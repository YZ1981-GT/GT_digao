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G 投资循环\"/>
    </mc:Choice>
  </mc:AlternateContent>
  <bookViews>
    <workbookView xWindow="0" yWindow="0" windowWidth="23040" windowHeight="9144" tabRatio="893"/>
  </bookViews>
  <sheets>
    <sheet name="底稿目录" sheetId="8" r:id="rId1"/>
    <sheet name="应收股利实质性程序表G3A" sheetId="14" r:id="rId2"/>
    <sheet name="审定表G3-1" sheetId="1" r:id="rId3"/>
    <sheet name="附注披露信息（上市公司）" sheetId="2" r:id="rId4"/>
    <sheet name="附注披露信息（国企）" sheetId="3" r:id="rId5"/>
    <sheet name="明细表G3-2" sheetId="9" r:id="rId6"/>
    <sheet name="调整分录汇总G3-3" sheetId="13" r:id="rId7"/>
    <sheet name="测算及检查表G3-4" sheetId="5" r:id="rId8"/>
    <sheet name="长期未收回款项检查表G3-5" sheetId="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dbf">#REF!</definedName>
    <definedName name="_00510">#REF!</definedName>
    <definedName name="_1、">#REF!</definedName>
    <definedName name="_1、受本循环影响的相关交易和账户余额">#REF!</definedName>
    <definedName name="_13">#REF!</definedName>
    <definedName name="_1w6_">#REF!</definedName>
    <definedName name="_1固定资产数据库_筛选打印">#REF!</definedName>
    <definedName name="_2、主要业务活动">#REF!</definedName>
    <definedName name="_2、注册会计师通常应在本循环中了解与上述业务活动相关的内部控制_如果计划在其他业务循环中对上述">#REF!</definedName>
    <definedName name="_2其他资产_开办费除外_明细表">#REF!</definedName>
    <definedName name="_3余额表_一级_.dbf">#REF!</definedName>
    <definedName name="_DAT1">#REF!</definedName>
    <definedName name="_DAT10">#REF!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xlnm._FilterDatabase" hidden="1">#REF!</definedName>
    <definedName name="_YE1">#REF!</definedName>
    <definedName name="_YS1">#REF!</definedName>
    <definedName name="_YS2">'[1]YS02-02'!#REF!</definedName>
    <definedName name="a">#REF!</definedName>
    <definedName name="a1c1">#REF!,#REF!</definedName>
    <definedName name="aa">#REF!</definedName>
    <definedName name="aaa">#REF!</definedName>
    <definedName name="AFV" hidden="1">#REF!</definedName>
    <definedName name="agmmt">#REF!</definedName>
    <definedName name="agmt">#REF!</definedName>
    <definedName name="agmt1">#REF!</definedName>
    <definedName name="al">#REF!</definedName>
    <definedName name="AS2DocOpenMode" hidden="1">"AS2DocumentEdit"</definedName>
    <definedName name="avg_days">[2]Sheet3!$A$2</definedName>
    <definedName name="a暗暗">[3]企业表一!$F$20</definedName>
    <definedName name="b">#REF!</definedName>
    <definedName name="BD">#REF!</definedName>
    <definedName name="beg_day">#REF!</definedName>
    <definedName name="beg_day1">#REF!</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ata1">[4]B!#REF!</definedName>
    <definedName name="data2">[4]B!#REF!</definedName>
    <definedName name="data3">[4]B!#REF!</definedName>
    <definedName name="_xlnm.Database">#REF!</definedName>
    <definedName name="Database1">[5]B!#REF!</definedName>
    <definedName name="datarange">#REF!</definedName>
    <definedName name="DEX" hidden="1">#REF!</definedName>
    <definedName name="EDC" hidden="1">#REF!</definedName>
    <definedName name="Effective_Tax_Rate">#REF!</definedName>
    <definedName name="end_day">#REF!</definedName>
    <definedName name="ewefw">#REF!</definedName>
    <definedName name="ExRate">#REF!</definedName>
    <definedName name="FAD" hidden="1">[6]Breakdown!#REF!</definedName>
    <definedName name="FASD" hidden="1">#REF!</definedName>
    <definedName name="FEDC" hidden="1">'[7]2004'!#REF!</definedName>
    <definedName name="ffd">[3]企业表一!$E$20</definedName>
    <definedName name="fffdfdfd">#REF!</definedName>
    <definedName name="fix2000.dbf">#REF!</definedName>
    <definedName name="fixlj2000.dbf">#REF!</definedName>
    <definedName name="fl">#REF!</definedName>
    <definedName name="fp">#REF!</definedName>
    <definedName name="frst">#REF!,#REF!</definedName>
    <definedName name="fu">#REF!</definedName>
    <definedName name="instalment">#REF!</definedName>
    <definedName name="interest">#REF!</definedName>
    <definedName name="interest_income">#REF!</definedName>
    <definedName name="kk">#REF!</definedName>
    <definedName name="Known">#REF!</definedName>
    <definedName name="KnownTable">#REF!</definedName>
    <definedName name="KnownTitle">#REF!</definedName>
    <definedName name="last">#REF!</definedName>
    <definedName name="Likely1">#REF!</definedName>
    <definedName name="Likely2">#REF!</definedName>
    <definedName name="LikelyTable1">#REF!</definedName>
    <definedName name="LikelyTable2">#REF!</definedName>
    <definedName name="LikelyTitle">#REF!</definedName>
    <definedName name="m">#REF!</definedName>
    <definedName name="Materiality">#REF!</definedName>
    <definedName name="method">#REF!</definedName>
    <definedName name="Monetary_Precision">#REF!</definedName>
    <definedName name="n">#REF!</definedName>
    <definedName name="neeeeee">#REF!</definedName>
    <definedName name="new">[8]A430!$A$3:$H$48</definedName>
    <definedName name="neww">'[9]loan database'!$A$1:$M$2736</definedName>
    <definedName name="newww">'[9]loan database'!$A$1:$M$2736</definedName>
    <definedName name="newwww">#REF!</definedName>
    <definedName name="newwwwwww">#REF!</definedName>
    <definedName name="no_inst">#REF!</definedName>
    <definedName name="no_pay">#REF!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o">#REF!</definedName>
    <definedName name="OtherConditions">#REF!</definedName>
    <definedName name="pp">#REF!</definedName>
    <definedName name="Pre_tax_materiality">#REF!</definedName>
    <definedName name="Precision">#REF!</definedName>
    <definedName name="_xlnm.Print_Area" localSheetId="7">'测算及检查表G3-4'!$A$1:$O$40</definedName>
    <definedName name="_xlnm.Print_Area" localSheetId="6">'调整分录汇总G3-3'!$A$1:$J$21</definedName>
    <definedName name="_xlnm.Print_Area" localSheetId="4">'附注披露信息（国企）'!$A$1:$E$29</definedName>
    <definedName name="_xlnm.Print_Area" localSheetId="3">'附注披露信息（上市公司）'!$A$1:$E$36</definedName>
    <definedName name="_xlnm.Print_Area" localSheetId="5">'明细表G3-2'!$A$1:$AG$34</definedName>
    <definedName name="_xlnm.Print_Area" localSheetId="2">'审定表G3-1'!$A$1:$O$26</definedName>
    <definedName name="_xlnm.Print_Area" localSheetId="1">应收股利实质性程序表G3A!$A$1:$I$26</definedName>
    <definedName name="_xlnm.Print_Area" localSheetId="8">'长期未收回款项检查表G3-5'!$A$1:$M$20</definedName>
    <definedName name="_xlnm.Print_Area">#N/A</definedName>
    <definedName name="_xlnm.Print_Titles" localSheetId="5">'明细表G3-2'!$A:$B</definedName>
    <definedName name="_xlnm.Print_Titles" localSheetId="1">应收股利实质性程序表G3A!$15:$15</definedName>
    <definedName name="_xlnm.Print_Titles">#REF!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q">#REF!</definedName>
    <definedName name="qqq">#REF!</definedName>
    <definedName name="qqqqqq">#REF!</definedName>
    <definedName name="Qualitative1">#REF!</definedName>
    <definedName name="Qualitative2">#REF!</definedName>
    <definedName name="Qualitative3">#REF!</definedName>
    <definedName name="QualitativeTextBox">#REF!</definedName>
    <definedName name="rate">#REF!</definedName>
    <definedName name="RDES" hidden="1">#REF!</definedName>
    <definedName name="sa">#REF!</definedName>
    <definedName name="schedule">#REF!</definedName>
    <definedName name="SM_CurrentYearHyplnk">#REF!</definedName>
    <definedName name="SM_PriorYearHyplnk">#REF!</definedName>
    <definedName name="SM_WholeSheet">#REF!</definedName>
    <definedName name="SOD">#REF!</definedName>
    <definedName name="src">#REF!</definedName>
    <definedName name="sssc">#REF!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blFund">#REF!</definedName>
    <definedName name="terms">#REF!</definedName>
    <definedName name="test\">#REF!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01231102643">#REF!</definedName>
    <definedName name="UFPrn20020120153922">#REF!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VFE" hidden="1">#REF!</definedName>
    <definedName name="vvv">[10]E1020!#REF!</definedName>
    <definedName name="w">#REF!</definedName>
    <definedName name="werf">#REF!</definedName>
    <definedName name="werfwe">#REF!</definedName>
    <definedName name="wqqq">#REF!</definedName>
    <definedName name="ww">#REF!</definedName>
    <definedName name="wws">#REF!</definedName>
    <definedName name="www">#REF!</definedName>
    <definedName name="x">#REF!</definedName>
    <definedName name="XAP" hidden="1">#REF!</definedName>
    <definedName name="XAQ" hidden="1">#REF!</definedName>
    <definedName name="XCD" hidden="1">#REF!</definedName>
    <definedName name="XREF_COLUMN_1" hidden="1">#REF!</definedName>
    <definedName name="XREF_COLUMN_2" hidden="1">[6]Breakdown!#REF!</definedName>
    <definedName name="XREF_COLUMN_3" hidden="1">#REF!</definedName>
    <definedName name="XREF_COLUMN_5" hidden="1">'[7]2004'!#REF!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xw9949xw">#REF!</definedName>
    <definedName name="xxs">#REF!</definedName>
    <definedName name="YE">#REF!</definedName>
    <definedName name="year_end">[2]Sheet3!$A$1</definedName>
    <definedName name="z">#REF!</definedName>
    <definedName name="zjgch2000.dbf">#REF!</definedName>
    <definedName name="zsw">#REF!</definedName>
    <definedName name="zz">#REF!</definedName>
    <definedName name="zzz">#REF!</definedName>
    <definedName name="暗暗审">'[3]M-5A'!$B$10</definedName>
    <definedName name="八">#REF!</definedName>
    <definedName name="保管费清单">#REF!</definedName>
    <definedName name="本循环科目" hidden="1">[11]索引!$D$15:$D$76</definedName>
    <definedName name="编号">#REF!</definedName>
    <definedName name="编制">[12]表头!$B$3</definedName>
    <definedName name="不使用">#REF!</definedName>
    <definedName name="财务费用.dbf">#REF!</definedName>
    <definedName name="查询3">#REF!</definedName>
    <definedName name="陈勇">#REF!</definedName>
    <definedName name="存货93期初">[13]企业表一!$C$7</definedName>
    <definedName name="存货93期末">[13]企业表一!$D$7</definedName>
    <definedName name="存货94期初">[13]企业表一!$E$7</definedName>
    <definedName name="存货94期末">[13]企业表一!$F$7</definedName>
    <definedName name="存货95期初">[13]企业表一!$G$7</definedName>
    <definedName name="存货95期末">[13]企业表一!$H$7</definedName>
    <definedName name="待处理固定资产净损失明细表">#REF!</definedName>
    <definedName name="待摊费用.dbf">#REF!</definedName>
    <definedName name="当前明细帐">#REF!</definedName>
    <definedName name="底稿目录" hidden="1">#REF!</definedName>
    <definedName name="短期">#REF!</definedName>
    <definedName name="短期借款.dbf">#REF!</definedName>
    <definedName name="短期投资_债券_明细表">#REF!</definedName>
    <definedName name="短期投资股票投资.dbf">[14]短期投资股票投资.dbf!$A$1:$H$38</definedName>
    <definedName name="短期投资国债投资.dbf">[14]短期投资国债投资.dbf!$A$1:$H$91</definedName>
    <definedName name="二">#REF!</definedName>
    <definedName name="发生额及余额表">#REF!</definedName>
    <definedName name="负债合计93期末">[13]企业表一!$D$17</definedName>
    <definedName name="负债合计94期末">[13]企业表一!$F$17</definedName>
    <definedName name="负债合计95期末">[13]企业表一!$H$17</definedName>
    <definedName name="复核">[12]表头!$B$4</definedName>
    <definedName name="股票投资收益.dbf">[14]股票投资收益.dbf!$A$1:$H$44</definedName>
    <definedName name="固定资产.dbf">#REF!</definedName>
    <definedName name="固定资产及累计折旧明细帐">#REF!</definedName>
    <definedName name="固定资产清单">[15]清单12.31!$A$1:$Q$170</definedName>
    <definedName name="管理费用明细表">#REF!</definedName>
    <definedName name="合并价差明细表">#REF!</definedName>
    <definedName name="和">#REF!</definedName>
    <definedName name="核算项目明细账_1133">#REF!</definedName>
    <definedName name="核算项目明细账_122">#REF!</definedName>
    <definedName name="核算项目明细账_1603">#REF!</definedName>
    <definedName name="汇率">#REF!</definedName>
    <definedName name="会计分录序时簿">#REF!</definedName>
    <definedName name="计划">#REF!</definedName>
    <definedName name="截止">[12]表头!$B$2</definedName>
    <definedName name="净_利_润93">'[13]M-5C'!$B$24</definedName>
    <definedName name="净_利_润94">'[13]M-5C'!$D$24</definedName>
    <definedName name="净_利_润95">'[13]M-5C'!$F$24</definedName>
    <definedName name="净资产合计93期初">[13]企业表一!$C$20</definedName>
    <definedName name="净资产合计93期末">[13]企业表一!$D$20</definedName>
    <definedName name="净资产合计94期初">[13]企业表一!$E$20</definedName>
    <definedName name="净资产合计94期末">[13]企业表一!$F$20</definedName>
    <definedName name="净资产合计95期初">[13]企业表一!$G$20</definedName>
    <definedName name="净资产合计95期末">[13]企业表一!$H$20</definedName>
    <definedName name="开办费明细表">#REF!</definedName>
    <definedName name="科目余额表">[16]科目余额表!$A$2:$F$374</definedName>
    <definedName name="客户">[12]表头!$B$1</definedName>
    <definedName name="累计折旧明细表">#REF!</definedName>
    <definedName name="累计折旧余额表.dbf">#REF!</definedName>
    <definedName name="利_润_总_额93">'[13]M-5A'!$B$10</definedName>
    <definedName name="利_润_总_额94">'[13]M-5A'!$C$10</definedName>
    <definedName name="利_润_总_额95">'[13]M-5A'!$D$10</definedName>
    <definedName name="流_动_资_产93">'[13]M-5A'!$B$15</definedName>
    <definedName name="流_动_资_产94">'[13]M-5A'!$C$15</definedName>
    <definedName name="流_动_资_产95">'[13]M-5A'!$D$15</definedName>
    <definedName name="流动负债93期末">[13]企业表一!$D$15</definedName>
    <definedName name="流动负债94期末">[13]企业表一!$F$15</definedName>
    <definedName name="流动负债95期末">[13]企业表一!$H$15</definedName>
    <definedName name="六">#REF!</definedName>
    <definedName name="_xlnm.Recorder">#REF!</definedName>
    <definedName name="孟傻">#REF!</definedName>
    <definedName name="明细分类账">#REF!</definedName>
    <definedName name="明细账">#REF!</definedName>
    <definedName name="盘点">#REF!</definedName>
    <definedName name="七">#REF!</definedName>
    <definedName name="其他货币海通.dbf">[14]其他货币海通.dbf!$A$1:$H$13</definedName>
    <definedName name="其他货币零领路.dbf">[14]其他货币零领路.dbf!$A$1:$H$149</definedName>
    <definedName name="其他货币资金.dbf">[17]其他货币资金.dbf!$A$1:$H$25</definedName>
    <definedName name="其他货币资金明细表">#REF!</definedName>
    <definedName name="其他未交款明细表">#REF!</definedName>
    <definedName name="其他业务收入.dbf">#REF!</definedName>
    <definedName name="其他业务支出.dbf">#REF!</definedName>
    <definedName name="其他应付款明细表">#REF!</definedName>
    <definedName name="其他应收款明细表">#REF!</definedName>
    <definedName name="去" hidden="1">#REF!</definedName>
    <definedName name="全球">#REF!</definedName>
    <definedName name="日期">#REF!</definedName>
    <definedName name="日期1">[12]表头!$B$5</definedName>
    <definedName name="日期2">[12]表头!$B$6</definedName>
    <definedName name="三">#REF!</definedName>
    <definedName name="上海中星_集团_公司开发产品明细表">#REF!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6">#REF!</definedName>
    <definedName name="生产期7">#REF!</definedName>
    <definedName name="生产期8">#REF!</definedName>
    <definedName name="生产期9">#REF!</definedName>
    <definedName name="事实上">[18]B!#REF!</definedName>
    <definedName name="四">#REF!</definedName>
    <definedName name="速_动_资_产93">'[13]M-5A'!$B$14</definedName>
    <definedName name="速_动_资_产94">'[13]M-5A'!$C$14</definedName>
    <definedName name="速_动_资_产95">'[13]M-5A'!$D$14</definedName>
    <definedName name="损益余额表.dbf">#REF!</definedName>
    <definedName name="投资收益债券.dbf">[14]投资收益债券.dbf!$A$1:$H$56</definedName>
    <definedName name="委托贷款.dbf">#REF!</definedName>
    <definedName name="未交税金明细表">#REF!</definedName>
    <definedName name="未完流水帐">#REF!</definedName>
    <definedName name="无对应明细表的报表项目">#REF!</definedName>
    <definedName name="五">#REF!</definedName>
    <definedName name="新目录" hidden="1">#REF!</definedName>
    <definedName name="徐雯990720">#REF!</definedName>
    <definedName name="一">#REF!</definedName>
    <definedName name="银行存款.dbf">[17]银行存款.dbf!$A$1:$H$21</definedName>
    <definedName name="应付福利费.dbf">#REF!</definedName>
    <definedName name="应付工资.dbf">#REF!</definedName>
    <definedName name="应付票据明细表">#REF!</definedName>
    <definedName name="应收帐款93期初">[13]企业表一!$C$6</definedName>
    <definedName name="应收帐款93期末">[13]企业表一!$D$6</definedName>
    <definedName name="应收帐款94期初">[13]企业表一!$E$6</definedName>
    <definedName name="应收帐款94期末">[13]企业表一!$F$6</definedName>
    <definedName name="应收帐款95期初">[13]企业表一!$G$6</definedName>
    <definedName name="应收帐款95期末">[13]企业表一!$H$6</definedName>
    <definedName name="营业外支出明细表">#REF!</definedName>
    <definedName name="余额表.dbf">#REF!</definedName>
    <definedName name="预付帐款明细表">#REF!</definedName>
    <definedName name="预收货款明细表">#REF!</definedName>
    <definedName name="预提费用明细表">#REF!</definedName>
    <definedName name="在建工程.dbf">#REF!</definedName>
    <definedName name="制造费用11">#REF!</definedName>
    <definedName name="资产合计93期初">[13]企业表一!$C$14</definedName>
    <definedName name="资产合计93期末">[13]企业表一!$D$14</definedName>
    <definedName name="资产合计94期初">[13]企业表一!$E$14</definedName>
    <definedName name="资产合计94期末">[13]企业表一!$F$14</definedName>
    <definedName name="资产合计95期初">[13]企业表一!$G$14</definedName>
    <definedName name="资产合计95期末">[13]企业表一!$H$14</definedName>
  </definedNames>
  <calcPr calcId="162913"/>
</workbook>
</file>

<file path=xl/calcChain.xml><?xml version="1.0" encoding="utf-8"?>
<calcChain xmlns="http://schemas.openxmlformats.org/spreadsheetml/2006/main">
  <c r="G10" i="5" l="1"/>
  <c r="I19" i="5" l="1"/>
  <c r="J3" i="5" l="1"/>
  <c r="M3" i="7" l="1"/>
  <c r="G34" i="5" l="1"/>
  <c r="F34" i="5"/>
  <c r="L13" i="7" l="1"/>
  <c r="K13" i="7"/>
  <c r="F13" i="7"/>
  <c r="D13" i="7"/>
  <c r="C13" i="7"/>
  <c r="B13" i="7"/>
  <c r="E10" i="7"/>
  <c r="E13" i="7" s="1"/>
  <c r="E25" i="5" l="1"/>
  <c r="D25" i="5"/>
  <c r="I20" i="5"/>
  <c r="I21" i="5"/>
  <c r="I22" i="5"/>
  <c r="I23" i="5"/>
  <c r="I24" i="5"/>
  <c r="I10" i="5"/>
  <c r="I25" i="5" l="1"/>
  <c r="H3" i="1"/>
  <c r="D4" i="1"/>
  <c r="K3" i="9"/>
  <c r="G4" i="9"/>
  <c r="G3" i="13"/>
  <c r="D4" i="13"/>
  <c r="G3" i="5"/>
  <c r="E4" i="5"/>
  <c r="E3" i="5"/>
  <c r="H3" i="7"/>
  <c r="D4" i="7"/>
  <c r="F4" i="14" l="1"/>
  <c r="C4" i="14"/>
  <c r="A4" i="14"/>
  <c r="I3" i="14"/>
  <c r="F3" i="14"/>
  <c r="C3" i="14"/>
  <c r="A3" i="14"/>
  <c r="E3" i="3" l="1"/>
  <c r="N3" i="1"/>
  <c r="J3" i="13"/>
  <c r="D21" i="9" l="1"/>
  <c r="C21" i="9"/>
  <c r="AG3" i="9"/>
  <c r="P3" i="9"/>
  <c r="E3" i="2"/>
  <c r="H4" i="7" l="1"/>
  <c r="G4" i="5"/>
  <c r="H4" i="1"/>
  <c r="C4" i="2"/>
  <c r="B4" i="2"/>
  <c r="C4" i="3"/>
  <c r="B4" i="3"/>
  <c r="AA4" i="9"/>
  <c r="V4" i="9"/>
  <c r="K4" i="9"/>
  <c r="G4" i="13"/>
  <c r="D3" i="13"/>
  <c r="A4" i="13"/>
  <c r="A3" i="13"/>
  <c r="AB13" i="9" l="1"/>
  <c r="AA13" i="9"/>
  <c r="E20" i="3" l="1"/>
  <c r="E21" i="3"/>
  <c r="E22" i="3"/>
  <c r="E23" i="3"/>
  <c r="E24" i="3"/>
  <c r="E19" i="3"/>
  <c r="D20" i="3"/>
  <c r="D21" i="3"/>
  <c r="D22" i="3"/>
  <c r="D23" i="3"/>
  <c r="D24" i="3"/>
  <c r="D19" i="3"/>
  <c r="E27" i="2"/>
  <c r="E28" i="2"/>
  <c r="E29" i="2"/>
  <c r="E30" i="2"/>
  <c r="E31" i="2"/>
  <c r="E26" i="2"/>
  <c r="D27" i="2"/>
  <c r="D28" i="2"/>
  <c r="D29" i="2"/>
  <c r="D30" i="2"/>
  <c r="D31" i="2"/>
  <c r="D26" i="2"/>
  <c r="C29" i="2" l="1"/>
  <c r="C30" i="2"/>
  <c r="C31" i="2"/>
  <c r="C27" i="2"/>
  <c r="C28" i="2"/>
  <c r="C26" i="2"/>
  <c r="D29" i="9"/>
  <c r="E29" i="9"/>
  <c r="G29" i="9"/>
  <c r="H29" i="9"/>
  <c r="I29" i="9"/>
  <c r="J29" i="9"/>
  <c r="K29" i="9"/>
  <c r="L29" i="9"/>
  <c r="Q29" i="9"/>
  <c r="B13" i="1" s="1"/>
  <c r="R29" i="9"/>
  <c r="S29" i="9"/>
  <c r="U29" i="9"/>
  <c r="V29" i="9"/>
  <c r="W29" i="9"/>
  <c r="X29" i="9"/>
  <c r="Y29" i="9"/>
  <c r="Z29" i="9"/>
  <c r="C29" i="9"/>
  <c r="B9" i="1" s="1"/>
  <c r="E21" i="9"/>
  <c r="G21" i="9"/>
  <c r="H21" i="9"/>
  <c r="I21" i="9"/>
  <c r="J21" i="9"/>
  <c r="K21" i="9"/>
  <c r="L21" i="9"/>
  <c r="Q21" i="9"/>
  <c r="B12" i="1" s="1"/>
  <c r="R21" i="9"/>
  <c r="S21" i="9"/>
  <c r="U21" i="9"/>
  <c r="V21" i="9"/>
  <c r="W21" i="9"/>
  <c r="X21" i="9"/>
  <c r="Y21" i="9"/>
  <c r="Z21" i="9"/>
  <c r="B8" i="1"/>
  <c r="A31" i="2"/>
  <c r="A28" i="2"/>
  <c r="A29" i="2"/>
  <c r="A30" i="2"/>
  <c r="A27" i="2"/>
  <c r="A26" i="2"/>
  <c r="A20" i="3"/>
  <c r="A21" i="3"/>
  <c r="A22" i="3"/>
  <c r="A23" i="3"/>
  <c r="A24" i="3"/>
  <c r="A19" i="3"/>
  <c r="A11" i="3"/>
  <c r="A12" i="3"/>
  <c r="A13" i="3"/>
  <c r="A14" i="3"/>
  <c r="A15" i="3"/>
  <c r="A16" i="3"/>
  <c r="A17" i="3"/>
  <c r="A10" i="3"/>
  <c r="F15" i="9"/>
  <c r="M15" i="9"/>
  <c r="N15" i="9"/>
  <c r="O15" i="9"/>
  <c r="T15" i="9"/>
  <c r="AA15" i="9"/>
  <c r="AB15" i="9"/>
  <c r="AC15" i="9"/>
  <c r="F16" i="9"/>
  <c r="M16" i="9"/>
  <c r="N16" i="9"/>
  <c r="O16" i="9"/>
  <c r="T16" i="9"/>
  <c r="AA16" i="9"/>
  <c r="AB16" i="9"/>
  <c r="AC16" i="9"/>
  <c r="F17" i="9"/>
  <c r="M17" i="9"/>
  <c r="N17" i="9"/>
  <c r="O17" i="9"/>
  <c r="T17" i="9"/>
  <c r="AA17" i="9"/>
  <c r="AB17" i="9"/>
  <c r="AC17" i="9"/>
  <c r="AA24" i="9"/>
  <c r="AB24" i="9"/>
  <c r="AC24" i="9"/>
  <c r="AA25" i="9"/>
  <c r="AB25" i="9"/>
  <c r="AC25" i="9"/>
  <c r="AA26" i="9"/>
  <c r="AB26" i="9"/>
  <c r="AC26" i="9"/>
  <c r="AA27" i="9"/>
  <c r="AB27" i="9"/>
  <c r="AC27" i="9"/>
  <c r="AA28" i="9"/>
  <c r="AB28" i="9"/>
  <c r="AC28" i="9"/>
  <c r="T24" i="9"/>
  <c r="T25" i="9"/>
  <c r="T26" i="9"/>
  <c r="T27" i="9"/>
  <c r="T28" i="9"/>
  <c r="M24" i="9"/>
  <c r="C20" i="3" s="1"/>
  <c r="N24" i="9"/>
  <c r="O24" i="9"/>
  <c r="M25" i="9"/>
  <c r="C21" i="3" s="1"/>
  <c r="N25" i="9"/>
  <c r="O25" i="9"/>
  <c r="M26" i="9"/>
  <c r="C22" i="3" s="1"/>
  <c r="N26" i="9"/>
  <c r="O26" i="9"/>
  <c r="M27" i="9"/>
  <c r="C23" i="3" s="1"/>
  <c r="N27" i="9"/>
  <c r="O27" i="9"/>
  <c r="F24" i="9"/>
  <c r="F25" i="9"/>
  <c r="F26" i="9"/>
  <c r="F27" i="9"/>
  <c r="F28" i="9"/>
  <c r="AA18" i="9"/>
  <c r="AB18" i="9"/>
  <c r="AC18" i="9"/>
  <c r="AA19" i="9"/>
  <c r="AB19" i="9"/>
  <c r="AC19" i="9"/>
  <c r="AA20" i="9"/>
  <c r="AB20" i="9"/>
  <c r="AC20" i="9"/>
  <c r="T18" i="9"/>
  <c r="T19" i="9"/>
  <c r="T20" i="9"/>
  <c r="T23" i="9"/>
  <c r="M18" i="9"/>
  <c r="N18" i="9"/>
  <c r="O18" i="9"/>
  <c r="M19" i="9"/>
  <c r="N19" i="9"/>
  <c r="O19" i="9"/>
  <c r="M20" i="9"/>
  <c r="N20" i="9"/>
  <c r="O20" i="9"/>
  <c r="F18" i="9"/>
  <c r="F19" i="9"/>
  <c r="F20" i="9"/>
  <c r="F23" i="9"/>
  <c r="H15" i="5"/>
  <c r="C14" i="3" l="1"/>
  <c r="B14" i="3"/>
  <c r="C13" i="3"/>
  <c r="B13" i="3"/>
  <c r="C12" i="3"/>
  <c r="B12" i="3"/>
  <c r="B17" i="3"/>
  <c r="C17" i="3"/>
  <c r="C15" i="3"/>
  <c r="B15" i="3"/>
  <c r="B16" i="3"/>
  <c r="C16" i="3"/>
  <c r="B16" i="1"/>
  <c r="D12" i="1"/>
  <c r="H12" i="1"/>
  <c r="C8" i="1"/>
  <c r="G8" i="1"/>
  <c r="C12" i="1"/>
  <c r="G12" i="1"/>
  <c r="H8" i="1"/>
  <c r="D8" i="1"/>
  <c r="C9" i="1"/>
  <c r="G9" i="1"/>
  <c r="C13" i="1"/>
  <c r="G13" i="1"/>
  <c r="H9" i="1"/>
  <c r="D9" i="1"/>
  <c r="D13" i="1"/>
  <c r="H13" i="1"/>
  <c r="B14" i="1"/>
  <c r="B10" i="1"/>
  <c r="B17" i="1"/>
  <c r="I30" i="9"/>
  <c r="D30" i="9"/>
  <c r="Q30" i="9"/>
  <c r="AE26" i="9"/>
  <c r="AE27" i="9"/>
  <c r="AE16" i="9"/>
  <c r="AE24" i="9"/>
  <c r="AE25" i="9"/>
  <c r="X30" i="9"/>
  <c r="Y30" i="9"/>
  <c r="U30" i="9"/>
  <c r="H30" i="9"/>
  <c r="AD26" i="9"/>
  <c r="F29" i="9"/>
  <c r="F9" i="1" s="1"/>
  <c r="P18" i="9"/>
  <c r="P27" i="9"/>
  <c r="B23" i="3" s="1"/>
  <c r="AD28" i="9"/>
  <c r="E30" i="9"/>
  <c r="AE19" i="9"/>
  <c r="AE15" i="9"/>
  <c r="T29" i="9"/>
  <c r="F13" i="1" s="1"/>
  <c r="P24" i="9"/>
  <c r="B20" i="3" s="1"/>
  <c r="P25" i="9"/>
  <c r="B21" i="3" s="1"/>
  <c r="AD17" i="9"/>
  <c r="P17" i="9"/>
  <c r="C30" i="9"/>
  <c r="P26" i="9"/>
  <c r="B22" i="3" s="1"/>
  <c r="AD25" i="9"/>
  <c r="AD24" i="9"/>
  <c r="AE20" i="9"/>
  <c r="AE17" i="9"/>
  <c r="AD16" i="9"/>
  <c r="P16" i="9"/>
  <c r="AD27" i="9"/>
  <c r="AD15" i="9"/>
  <c r="P15" i="9"/>
  <c r="L30" i="9"/>
  <c r="W30" i="9"/>
  <c r="S30" i="9"/>
  <c r="K30" i="9"/>
  <c r="G30" i="9"/>
  <c r="Z30" i="9"/>
  <c r="V30" i="9"/>
  <c r="R30" i="9"/>
  <c r="J30" i="9"/>
  <c r="P20" i="9"/>
  <c r="AD18" i="9"/>
  <c r="AE18" i="9"/>
  <c r="AD19" i="9"/>
  <c r="P19" i="9"/>
  <c r="AD20" i="9"/>
  <c r="AA3" i="9"/>
  <c r="V3" i="9"/>
  <c r="AC23" i="9"/>
  <c r="AC29" i="9" s="1"/>
  <c r="AB23" i="9"/>
  <c r="AB29" i="9" s="1"/>
  <c r="AA23" i="9"/>
  <c r="AA29" i="9" s="1"/>
  <c r="AC14" i="9"/>
  <c r="AB14" i="9"/>
  <c r="AB21" i="9" s="1"/>
  <c r="AA14" i="9"/>
  <c r="AA21" i="9" s="1"/>
  <c r="T14" i="9"/>
  <c r="AC13" i="9"/>
  <c r="T13" i="9"/>
  <c r="O28" i="9"/>
  <c r="N28" i="9"/>
  <c r="M28" i="9"/>
  <c r="C24" i="3" s="1"/>
  <c r="O23" i="9"/>
  <c r="N23" i="9"/>
  <c r="M23" i="9"/>
  <c r="C19" i="3" s="1"/>
  <c r="O14" i="9"/>
  <c r="N14" i="9"/>
  <c r="M14" i="9"/>
  <c r="F14" i="9"/>
  <c r="O13" i="9"/>
  <c r="N13" i="9"/>
  <c r="M13" i="9"/>
  <c r="F13" i="9"/>
  <c r="B11" i="3" l="1"/>
  <c r="C11" i="3"/>
  <c r="AE13" i="9"/>
  <c r="B10" i="3"/>
  <c r="C10" i="3"/>
  <c r="H16" i="1"/>
  <c r="E12" i="1"/>
  <c r="AC21" i="9"/>
  <c r="AC30" i="9" s="1"/>
  <c r="AD13" i="9"/>
  <c r="D16" i="1"/>
  <c r="D14" i="1"/>
  <c r="C14" i="1"/>
  <c r="C16" i="1"/>
  <c r="H14" i="1"/>
  <c r="G14" i="1"/>
  <c r="G16" i="1"/>
  <c r="E8" i="1"/>
  <c r="E9" i="1"/>
  <c r="I13" i="1"/>
  <c r="J13" i="1"/>
  <c r="K13" i="1" s="1"/>
  <c r="J9" i="1"/>
  <c r="K9" i="1" s="1"/>
  <c r="F17" i="1"/>
  <c r="I9" i="1"/>
  <c r="B18" i="1"/>
  <c r="H10" i="1"/>
  <c r="H17" i="1"/>
  <c r="C17" i="1"/>
  <c r="C10" i="1"/>
  <c r="D17" i="1"/>
  <c r="D10" i="1"/>
  <c r="G10" i="1"/>
  <c r="G17" i="1"/>
  <c r="E13" i="1"/>
  <c r="O21" i="9"/>
  <c r="N21" i="9"/>
  <c r="M21" i="9"/>
  <c r="F21" i="9"/>
  <c r="F8" i="1" s="1"/>
  <c r="F10" i="1" s="1"/>
  <c r="J10" i="1" s="1"/>
  <c r="K10" i="1" s="1"/>
  <c r="AE28" i="9"/>
  <c r="AF17" i="9"/>
  <c r="O29" i="9"/>
  <c r="AF24" i="9"/>
  <c r="AF26" i="9"/>
  <c r="AF25" i="9"/>
  <c r="AA30" i="9"/>
  <c r="C26" i="3" s="1"/>
  <c r="AF27" i="9"/>
  <c r="AF15" i="9"/>
  <c r="T21" i="9"/>
  <c r="F12" i="1" s="1"/>
  <c r="N29" i="9"/>
  <c r="AF18" i="9"/>
  <c r="M29" i="9"/>
  <c r="AB30" i="9"/>
  <c r="AF16" i="9"/>
  <c r="AE14" i="9"/>
  <c r="AE23" i="9"/>
  <c r="AF19" i="9"/>
  <c r="AF20" i="9"/>
  <c r="P13" i="9"/>
  <c r="AF13" i="9" s="1"/>
  <c r="AD23" i="9"/>
  <c r="AD29" i="9" s="1"/>
  <c r="P23" i="9"/>
  <c r="B19" i="3" s="1"/>
  <c r="P28" i="9"/>
  <c r="AD14" i="9"/>
  <c r="P14" i="9"/>
  <c r="C9" i="3" l="1"/>
  <c r="AF28" i="9"/>
  <c r="B24" i="3"/>
  <c r="B18" i="3" s="1"/>
  <c r="H18" i="1"/>
  <c r="D18" i="1"/>
  <c r="C18" i="1"/>
  <c r="E14" i="1"/>
  <c r="E16" i="1"/>
  <c r="G18" i="1"/>
  <c r="E10" i="1"/>
  <c r="I12" i="1"/>
  <c r="L12" i="1" s="1"/>
  <c r="M12" i="1" s="1"/>
  <c r="J12" i="1"/>
  <c r="K12" i="1" s="1"/>
  <c r="J8" i="1"/>
  <c r="K8" i="1" s="1"/>
  <c r="I8" i="1"/>
  <c r="L8" i="1" s="1"/>
  <c r="M8" i="1" s="1"/>
  <c r="F16" i="1"/>
  <c r="F14" i="1"/>
  <c r="J14" i="1" s="1"/>
  <c r="K14" i="1" s="1"/>
  <c r="J17" i="1"/>
  <c r="K17" i="1" s="1"/>
  <c r="I17" i="1"/>
  <c r="L9" i="1"/>
  <c r="M9" i="1" s="1"/>
  <c r="L13" i="1"/>
  <c r="M13" i="1" s="1"/>
  <c r="E17" i="1"/>
  <c r="B28" i="2"/>
  <c r="B30" i="2"/>
  <c r="B29" i="2"/>
  <c r="N30" i="9"/>
  <c r="C18" i="3"/>
  <c r="T30" i="9"/>
  <c r="O30" i="9"/>
  <c r="B9" i="3"/>
  <c r="M30" i="9"/>
  <c r="F30" i="9"/>
  <c r="B27" i="2"/>
  <c r="P29" i="9"/>
  <c r="AE21" i="9"/>
  <c r="AD21" i="9"/>
  <c r="AD30" i="9" s="1"/>
  <c r="B26" i="3" s="1"/>
  <c r="B31" i="2"/>
  <c r="AE29" i="9"/>
  <c r="P21" i="9"/>
  <c r="AF23" i="9"/>
  <c r="AF14" i="9"/>
  <c r="G3" i="9"/>
  <c r="A4" i="9"/>
  <c r="A3" i="9"/>
  <c r="B25" i="3" l="1"/>
  <c r="B27" i="3" s="1"/>
  <c r="E18" i="1"/>
  <c r="I10" i="1"/>
  <c r="L10" i="1" s="1"/>
  <c r="M10" i="1" s="1"/>
  <c r="J16" i="1"/>
  <c r="K16" i="1" s="1"/>
  <c r="I16" i="1"/>
  <c r="L16" i="1" s="1"/>
  <c r="M16" i="1" s="1"/>
  <c r="I14" i="1"/>
  <c r="L14" i="1" s="1"/>
  <c r="M14" i="1" s="1"/>
  <c r="F18" i="1"/>
  <c r="J18" i="1" s="1"/>
  <c r="K18" i="1" s="1"/>
  <c r="L17" i="1"/>
  <c r="M17" i="1" s="1"/>
  <c r="C25" i="3"/>
  <c r="C27" i="3" s="1"/>
  <c r="P30" i="9"/>
  <c r="AE30" i="9"/>
  <c r="C23" i="2"/>
  <c r="AF29" i="9"/>
  <c r="B26" i="2"/>
  <c r="B32" i="2" s="1"/>
  <c r="AF21" i="9"/>
  <c r="A4" i="7"/>
  <c r="D3" i="7"/>
  <c r="A3" i="7"/>
  <c r="A4" i="5"/>
  <c r="A3" i="5"/>
  <c r="A4" i="3"/>
  <c r="C3" i="3"/>
  <c r="B3" i="3"/>
  <c r="A3" i="3"/>
  <c r="A4" i="2"/>
  <c r="C3" i="2"/>
  <c r="B3" i="2"/>
  <c r="A3" i="2"/>
  <c r="D3" i="1"/>
  <c r="A4" i="1"/>
  <c r="A3" i="1"/>
  <c r="I18" i="1" l="1"/>
  <c r="B23" i="2"/>
  <c r="AF30" i="9"/>
  <c r="L18" i="1" l="1"/>
  <c r="M18" i="1" s="1"/>
  <c r="C20" i="1" s="1"/>
  <c r="F25" i="5"/>
  <c r="G14" i="5"/>
  <c r="I14" i="5" s="1"/>
  <c r="G13" i="5"/>
  <c r="I13" i="5" s="1"/>
  <c r="G12" i="5"/>
  <c r="I12" i="5" s="1"/>
  <c r="G11" i="5"/>
  <c r="I11" i="5" s="1"/>
  <c r="I15" i="5" l="1"/>
  <c r="G15" i="5"/>
  <c r="A13" i="1" l="1"/>
  <c r="A17" i="1" s="1"/>
  <c r="A12" i="1"/>
  <c r="A16" i="1"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<sst xmlns="http://schemas.openxmlformats.org/spreadsheetml/2006/main" count="406" uniqueCount="307">
  <si>
    <t>致同会计师事务所</t>
  </si>
  <si>
    <t>应收股利</t>
  </si>
  <si>
    <t>编制说明：</t>
    <phoneticPr fontId="9" type="noConversion"/>
  </si>
  <si>
    <r>
      <t>1</t>
    </r>
    <r>
      <rPr>
        <sz val="10"/>
        <color indexed="12"/>
        <rFont val="宋体"/>
        <family val="3"/>
        <charset val="134"/>
      </rPr>
      <t>、如适用，根据</t>
    </r>
    <r>
      <rPr>
        <sz val="10"/>
        <color indexed="12"/>
        <rFont val="Arial Narrow"/>
        <family val="2"/>
      </rPr>
      <t>1131</t>
    </r>
    <r>
      <rPr>
        <sz val="10"/>
        <color indexed="12"/>
        <rFont val="宋体"/>
        <family val="3"/>
        <charset val="134"/>
      </rPr>
      <t>号等审计准则和指南的要求编制，说明涉及事项内容、应对措施、审计结论或解决方法，</t>
    </r>
    <phoneticPr fontId="9" type="noConversion"/>
  </si>
  <si>
    <r>
      <t>(</t>
    </r>
    <r>
      <rPr>
        <sz val="10"/>
        <color indexed="12"/>
        <rFont val="宋体"/>
        <family val="3"/>
        <charset val="134"/>
      </rPr>
      <t>识别和实际评估的重大错报风险、尤其识特别风险，以及对内控了解和控制测试情况〔采用综合方案时〕）；</t>
    </r>
    <phoneticPr fontId="9" type="noConversion"/>
  </si>
  <si>
    <t>b、涉及特别风险时，应当重点说明有关事项、应当措施、结果〔可索引有关底稿〕。</t>
  </si>
  <si>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9" type="noConversion"/>
  </si>
  <si>
    <t>〔即具体事项内容和调整分录，见经索引的本科目或相关科目的检查表或测算表〕</t>
    <phoneticPr fontId="9" type="noConversion"/>
  </si>
  <si>
    <t>附注披露信息（上市公司）</t>
    <phoneticPr fontId="9" type="noConversion"/>
  </si>
  <si>
    <t>附注披露信息</t>
    <phoneticPr fontId="9" type="noConversion"/>
  </si>
  <si>
    <t>合计</t>
  </si>
  <si>
    <t>（2）拟调整事项及其调整分录、未调整事项及其影响，审计范围受到限制情况及其影响。</t>
  </si>
  <si>
    <t>项目名称</t>
    <phoneticPr fontId="9" type="noConversion"/>
  </si>
  <si>
    <t>持股比例
①</t>
    <phoneticPr fontId="9" type="noConversion"/>
  </si>
  <si>
    <r>
      <t>按持股比例计算应计股利
③＝①</t>
    </r>
    <r>
      <rPr>
        <b/>
        <sz val="10"/>
        <rFont val="Arial Narrow"/>
        <family val="2"/>
      </rPr>
      <t>*</t>
    </r>
    <r>
      <rPr>
        <b/>
        <sz val="10"/>
        <rFont val="宋体"/>
        <family val="3"/>
        <charset val="134"/>
      </rPr>
      <t>②</t>
    </r>
    <phoneticPr fontId="9" type="noConversion"/>
  </si>
  <si>
    <t>股利分配文件索引号</t>
    <phoneticPr fontId="9" type="noConversion"/>
  </si>
  <si>
    <t>持股比例</t>
    <phoneticPr fontId="9" type="noConversion"/>
  </si>
  <si>
    <t>本期减少①</t>
    <phoneticPr fontId="9" type="noConversion"/>
  </si>
  <si>
    <t>其他原因减少</t>
    <phoneticPr fontId="9" type="noConversion"/>
  </si>
  <si>
    <t>会计科目</t>
    <phoneticPr fontId="9" type="noConversion"/>
  </si>
  <si>
    <t>金额</t>
    <phoneticPr fontId="9" type="noConversion"/>
  </si>
  <si>
    <t>1、概述：（1）程序的测试情况、结果；</t>
  </si>
  <si>
    <r>
      <t>参考结论：</t>
    </r>
    <r>
      <rPr>
        <sz val="12"/>
        <rFont val="Arial Narrow"/>
        <family val="2"/>
      </rPr>
      <t/>
    </r>
    <phoneticPr fontId="9" type="noConversion"/>
  </si>
  <si>
    <r>
      <t>A</t>
    </r>
    <r>
      <rPr>
        <sz val="10"/>
        <color indexed="12"/>
        <rFont val="宋体"/>
        <family val="3"/>
        <charset val="134"/>
      </rPr>
      <t>、</t>
    </r>
    <phoneticPr fontId="9" type="noConversion"/>
  </si>
  <si>
    <t>未见异常。</t>
    <phoneticPr fontId="9" type="noConversion"/>
  </si>
  <si>
    <r>
      <t>B</t>
    </r>
    <r>
      <rPr>
        <sz val="10"/>
        <color indexed="12"/>
        <rFont val="宋体"/>
        <family val="3"/>
        <charset val="134"/>
      </rPr>
      <t>、</t>
    </r>
    <phoneticPr fontId="9" type="noConversion"/>
  </si>
  <si>
    <t>除以下重大不符事项应当作为调整事项予以调整外，其余未见异常。</t>
    <phoneticPr fontId="9" type="noConversion"/>
  </si>
  <si>
    <r>
      <t>C</t>
    </r>
    <r>
      <rPr>
        <sz val="10"/>
        <color indexed="12"/>
        <rFont val="宋体"/>
        <family val="3"/>
        <charset val="134"/>
      </rPr>
      <t>、</t>
    </r>
    <phoneticPr fontId="9" type="noConversion"/>
  </si>
  <si>
    <t>由于存在以下重大未调整事项（或审计范围受到限制无法获取充分、适当证据），不可确认。</t>
    <phoneticPr fontId="9" type="noConversion"/>
  </si>
  <si>
    <t>账龄</t>
  </si>
  <si>
    <t>底稿开列时，可先在以下单元格填写有关内容，以便其他底稿引用有关数据：</t>
    <phoneticPr fontId="9" type="noConversion"/>
  </si>
  <si>
    <t>编制人：</t>
    <phoneticPr fontId="9" type="noConversion"/>
  </si>
  <si>
    <t>未收回的原因</t>
  </si>
  <si>
    <t>是否发生减值及其原因</t>
  </si>
  <si>
    <t>——</t>
  </si>
  <si>
    <r>
      <t>项目</t>
    </r>
    <r>
      <rPr>
        <b/>
        <sz val="12"/>
        <color rgb="FF0000FF"/>
        <rFont val="仿宋_GB2312"/>
        <family val="3"/>
        <charset val="134"/>
      </rPr>
      <t>（或被投资单位）</t>
    </r>
  </si>
  <si>
    <r>
      <rPr>
        <b/>
        <sz val="10"/>
        <color indexed="8"/>
        <rFont val="宋体"/>
        <family val="3"/>
        <charset val="134"/>
      </rPr>
      <t>一、审计目标</t>
    </r>
    <r>
      <rPr>
        <b/>
        <sz val="10"/>
        <color indexed="8"/>
        <rFont val="Arial Narrow"/>
        <family val="2"/>
      </rPr>
      <t>:</t>
    </r>
    <phoneticPr fontId="10" type="noConversion"/>
  </si>
  <si>
    <r>
      <rPr>
        <b/>
        <sz val="10"/>
        <rFont val="宋体"/>
        <family val="3"/>
        <charset val="134"/>
      </rPr>
      <t>二、审计过程：</t>
    </r>
    <phoneticPr fontId="9" type="noConversion"/>
  </si>
  <si>
    <r>
      <rPr>
        <b/>
        <sz val="10"/>
        <color indexed="8"/>
        <rFont val="宋体"/>
        <family val="3"/>
        <charset val="134"/>
      </rPr>
      <t>四、审计结论：</t>
    </r>
    <phoneticPr fontId="9" type="noConversion"/>
  </si>
  <si>
    <t>原因</t>
    <phoneticPr fontId="9" type="noConversion"/>
  </si>
  <si>
    <t>差异</t>
    <phoneticPr fontId="9" type="noConversion"/>
  </si>
  <si>
    <t>原因/文件索引号</t>
    <phoneticPr fontId="3" type="noConversion"/>
  </si>
  <si>
    <t>收回金额②</t>
    <phoneticPr fontId="9" type="noConversion"/>
  </si>
  <si>
    <t>三、审计说明：</t>
    <phoneticPr fontId="9" type="noConversion"/>
  </si>
  <si>
    <r>
      <rPr>
        <b/>
        <sz val="10"/>
        <rFont val="宋体"/>
        <family val="3"/>
        <charset val="134"/>
      </rPr>
      <t>二、审计过程：</t>
    </r>
    <phoneticPr fontId="9" type="noConversion"/>
  </si>
  <si>
    <r>
      <rPr>
        <sz val="10"/>
        <rFont val="宋体"/>
        <family val="3"/>
        <charset val="134"/>
      </rPr>
      <t>确定应收股利计量是否恰当。</t>
    </r>
    <r>
      <rPr>
        <sz val="10"/>
        <rFont val="Arial Narrow"/>
        <family val="2"/>
      </rPr>
      <t xml:space="preserve"> </t>
    </r>
    <phoneticPr fontId="3" type="noConversion"/>
  </si>
  <si>
    <t>应收股利测算及检查表</t>
    <phoneticPr fontId="9" type="noConversion"/>
  </si>
  <si>
    <r>
      <rPr>
        <b/>
        <sz val="10"/>
        <color theme="1"/>
        <rFont val="宋体"/>
        <family val="3"/>
        <charset val="134"/>
      </rPr>
      <t>项目</t>
    </r>
    <phoneticPr fontId="9" type="noConversion"/>
  </si>
  <si>
    <t>期初数</t>
    <phoneticPr fontId="9" type="noConversion"/>
  </si>
  <si>
    <t>本期增加</t>
    <phoneticPr fontId="9" type="noConversion"/>
  </si>
  <si>
    <t>本期减少</t>
    <phoneticPr fontId="9" type="noConversion"/>
  </si>
  <si>
    <t>期末数</t>
    <phoneticPr fontId="9" type="noConversion"/>
  </si>
  <si>
    <r>
      <rPr>
        <b/>
        <sz val="10"/>
        <color indexed="8"/>
        <rFont val="宋体"/>
        <family val="3"/>
        <charset val="134"/>
      </rPr>
      <t>三、审计说明：</t>
    </r>
    <phoneticPr fontId="9" type="noConversion"/>
  </si>
  <si>
    <r>
      <rPr>
        <b/>
        <sz val="10"/>
        <color indexed="8"/>
        <rFont val="宋体"/>
        <family val="3"/>
        <charset val="134"/>
      </rPr>
      <t>四、审计结论：</t>
    </r>
    <phoneticPr fontId="9" type="noConversion"/>
  </si>
  <si>
    <t>小计</t>
    <phoneticPr fontId="3" type="noConversion"/>
  </si>
  <si>
    <t>小计</t>
    <phoneticPr fontId="3" type="noConversion"/>
  </si>
  <si>
    <t>应收股利明细表（减值准备）</t>
    <phoneticPr fontId="9" type="noConversion"/>
  </si>
  <si>
    <t>复核人：</t>
    <phoneticPr fontId="9" type="noConversion"/>
  </si>
  <si>
    <r>
      <t>1</t>
    </r>
    <r>
      <rPr>
        <sz val="10"/>
        <rFont val="宋体"/>
        <family val="3"/>
        <charset val="134"/>
      </rPr>
      <t>、账龄一年以内的应收股利</t>
    </r>
    <phoneticPr fontId="3" type="noConversion"/>
  </si>
  <si>
    <t>账龄一年以内的应收股利</t>
    <phoneticPr fontId="3" type="noConversion"/>
  </si>
  <si>
    <t>合  计</t>
  </si>
  <si>
    <t>--</t>
    <phoneticPr fontId="3" type="noConversion"/>
  </si>
  <si>
    <t>（对于重要的账龄超过1 年的应收股利，应披露未收回的原因和对相关款项是否发生减值的判断。）</t>
  </si>
  <si>
    <r>
      <t>项  目</t>
    </r>
    <r>
      <rPr>
        <b/>
        <sz val="12"/>
        <color rgb="FF0000FF"/>
        <rFont val="仿宋_GB2312"/>
        <family val="3"/>
        <charset val="134"/>
      </rPr>
      <t>（或被投资单位）</t>
    </r>
  </si>
  <si>
    <t>项  目</t>
  </si>
  <si>
    <t>期末余额</t>
  </si>
  <si>
    <t>相关款项是否发生减值</t>
  </si>
  <si>
    <t>小计</t>
  </si>
  <si>
    <t>账龄一年以上的应收股利</t>
    <phoneticPr fontId="3" type="noConversion"/>
  </si>
  <si>
    <t>索引号：</t>
    <phoneticPr fontId="9" type="noConversion"/>
  </si>
  <si>
    <r>
      <rPr>
        <sz val="10"/>
        <rFont val="宋体"/>
        <family val="3"/>
        <charset val="134"/>
      </rPr>
      <t>（</t>
    </r>
    <r>
      <rPr>
        <sz val="10"/>
        <rFont val="Arial Narrow"/>
        <family val="2"/>
      </rPr>
      <t>1</t>
    </r>
    <r>
      <rPr>
        <sz val="10"/>
        <rFont val="宋体"/>
        <family val="3"/>
        <charset val="134"/>
      </rPr>
      <t>）公司应收股利期末余额较期初余额增加（负数为减少）：</t>
    </r>
  </si>
  <si>
    <r>
      <rPr>
        <sz val="10"/>
        <rFont val="宋体"/>
        <family val="3"/>
        <charset val="134"/>
      </rPr>
      <t>（</t>
    </r>
    <r>
      <rPr>
        <sz val="10"/>
        <rFont val="Arial Narrow"/>
        <family val="2"/>
      </rPr>
      <t>2</t>
    </r>
    <r>
      <rPr>
        <sz val="10"/>
        <rFont val="宋体"/>
        <family val="3"/>
        <charset val="134"/>
      </rPr>
      <t>）金额较大的</t>
    </r>
    <r>
      <rPr>
        <sz val="10"/>
        <rFont val="Arial Narrow"/>
        <family val="2"/>
      </rPr>
      <t>1</t>
    </r>
    <r>
      <rPr>
        <sz val="10"/>
        <rFont val="宋体"/>
        <family val="3"/>
        <charset val="134"/>
      </rPr>
      <t>年以上应收未收的应收股利金额，分别贷款单位说明未收回的原因和对相关款项是否发生减值</t>
    </r>
  </si>
  <si>
    <r>
      <rPr>
        <i/>
        <sz val="10"/>
        <color indexed="12"/>
        <rFont val="宋体"/>
        <family val="3"/>
        <charset val="134"/>
      </rPr>
      <t>编制说明：</t>
    </r>
    <phoneticPr fontId="9" type="noConversion"/>
  </si>
  <si>
    <t>以及可能对审计报告的影响。</t>
    <phoneticPr fontId="9" type="noConversion"/>
  </si>
  <si>
    <r>
      <t>A</t>
    </r>
    <r>
      <rPr>
        <sz val="10"/>
        <color indexed="12"/>
        <rFont val="宋体"/>
        <family val="3"/>
        <charset val="134"/>
      </rPr>
      <t>、风险评估结果和内控了解、测试情况（不适用则说明：不存在重大错报风险。</t>
    </r>
    <r>
      <rPr>
        <sz val="10"/>
        <color indexed="12"/>
        <rFont val="Arial Narrow"/>
        <family val="2"/>
      </rPr>
      <t>)</t>
    </r>
    <phoneticPr fontId="9" type="noConversion"/>
  </si>
  <si>
    <r>
      <rPr>
        <sz val="10"/>
        <color indexed="12"/>
        <rFont val="宋体"/>
        <family val="3"/>
        <charset val="134"/>
      </rPr>
      <t>提示：</t>
    </r>
    <r>
      <rPr>
        <sz val="10"/>
        <color indexed="12"/>
        <rFont val="Arial Narrow"/>
        <family val="2"/>
      </rPr>
      <t>a</t>
    </r>
    <r>
      <rPr>
        <sz val="10"/>
        <color indexed="12"/>
        <rFont val="宋体"/>
        <family val="3"/>
        <charset val="134"/>
      </rPr>
      <t>、收入科目应当假定存在舞弊的特别风险，如不存在，应说明理由；</t>
    </r>
    <phoneticPr fontId="9" type="noConversion"/>
  </si>
  <si>
    <r>
      <rPr>
        <b/>
        <sz val="10"/>
        <color indexed="12"/>
        <rFont val="宋体"/>
        <family val="3"/>
        <charset val="134"/>
      </rPr>
      <t>特别风险涉及的事项包括但不限于：</t>
    </r>
    <r>
      <rPr>
        <sz val="10"/>
        <color indexed="12"/>
        <rFont val="Arial Narrow"/>
        <family val="2"/>
      </rPr>
      <t/>
    </r>
    <phoneticPr fontId="9"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</si>
  <si>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</si>
  <si>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</si>
  <si>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9" type="noConversion"/>
  </si>
  <si>
    <r>
      <t>B</t>
    </r>
    <r>
      <rPr>
        <sz val="10"/>
        <color indexed="12"/>
        <rFont val="宋体"/>
        <family val="3"/>
        <charset val="134"/>
      </rPr>
      <t>、发现的重大不符事项（如适用）</t>
    </r>
    <phoneticPr fontId="9" type="noConversion"/>
  </si>
  <si>
    <r>
      <rPr>
        <sz val="10"/>
        <color indexed="12"/>
        <rFont val="宋体"/>
        <family val="3"/>
        <charset val="134"/>
      </rPr>
      <t>按调整事项，逐笔概述调整原因及对本科目的调整金额，并说明相关底稿的索引号。</t>
    </r>
    <phoneticPr fontId="9" type="noConversion"/>
  </si>
  <si>
    <r>
      <t>2</t>
    </r>
    <r>
      <rPr>
        <sz val="10"/>
        <color indexed="12"/>
        <rFont val="宋体"/>
        <family val="3"/>
        <charset val="134"/>
      </rPr>
      <t>、说明基于获取的审计证据，在有关认定方面，是否发现重大错报或存在重大异常。</t>
    </r>
    <phoneticPr fontId="9" type="noConversion"/>
  </si>
  <si>
    <r>
      <rPr>
        <b/>
        <sz val="10"/>
        <color indexed="12"/>
        <rFont val="宋体"/>
        <family val="3"/>
        <charset val="134"/>
      </rPr>
      <t>参考结论：</t>
    </r>
    <phoneticPr fontId="9" type="noConversion"/>
  </si>
  <si>
    <r>
      <t>A</t>
    </r>
    <r>
      <rPr>
        <sz val="10"/>
        <color indexed="12"/>
        <rFont val="宋体"/>
        <family val="3"/>
        <charset val="134"/>
      </rPr>
      <t>、</t>
    </r>
  </si>
  <si>
    <r>
      <t>B</t>
    </r>
    <r>
      <rPr>
        <sz val="10"/>
        <color indexed="12"/>
        <rFont val="宋体"/>
        <family val="3"/>
        <charset val="134"/>
      </rPr>
      <t>、</t>
    </r>
  </si>
  <si>
    <r>
      <t>C</t>
    </r>
    <r>
      <rPr>
        <sz val="10"/>
        <color indexed="12"/>
        <rFont val="宋体"/>
        <family val="3"/>
        <charset val="134"/>
      </rPr>
      <t>、</t>
    </r>
  </si>
  <si>
    <t>一、账面余额</t>
    <phoneticPr fontId="9" type="noConversion"/>
  </si>
  <si>
    <t>二、减值准备</t>
    <phoneticPr fontId="9" type="noConversion"/>
  </si>
  <si>
    <t>三、账面价值</t>
    <phoneticPr fontId="9" type="noConversion"/>
  </si>
  <si>
    <t>合计</t>
    <phoneticPr fontId="9" type="noConversion"/>
  </si>
  <si>
    <t>期初数</t>
    <phoneticPr fontId="9" type="noConversion"/>
  </si>
  <si>
    <t>期末数</t>
    <phoneticPr fontId="9" type="noConversion"/>
  </si>
  <si>
    <t>未审数</t>
    <phoneticPr fontId="9" type="noConversion"/>
  </si>
  <si>
    <t>账项调整</t>
    <phoneticPr fontId="9" type="noConversion"/>
  </si>
  <si>
    <t>重分类调整</t>
    <phoneticPr fontId="9" type="noConversion"/>
  </si>
  <si>
    <t>审定数</t>
    <phoneticPr fontId="9" type="noConversion"/>
  </si>
  <si>
    <t>本期未审数与上期
未审数的比较</t>
    <phoneticPr fontId="9" type="noConversion"/>
  </si>
  <si>
    <t>本期审定数与上期
审定数的比较</t>
    <phoneticPr fontId="9" type="noConversion"/>
  </si>
  <si>
    <t>变动额</t>
  </si>
  <si>
    <t>变动率</t>
    <phoneticPr fontId="9" type="noConversion"/>
  </si>
  <si>
    <t>变动额</t>
    <phoneticPr fontId="9" type="noConversion"/>
  </si>
  <si>
    <r>
      <rPr>
        <b/>
        <sz val="12"/>
        <color rgb="FF0000FF"/>
        <rFont val="宋体"/>
        <family val="3"/>
        <charset val="134"/>
      </rPr>
      <t>【其他应收款、应收股利与应收利息的合计数披露详见</t>
    </r>
    <r>
      <rPr>
        <b/>
        <sz val="12"/>
        <color rgb="FF0000FF"/>
        <rFont val="Arial Narrow"/>
        <family val="2"/>
      </rPr>
      <t>M1-1</t>
    </r>
    <r>
      <rPr>
        <b/>
        <sz val="12"/>
        <color rgb="FF0000FF"/>
        <rFont val="宋体"/>
        <family val="3"/>
        <charset val="134"/>
      </rPr>
      <t>】</t>
    </r>
    <phoneticPr fontId="9" type="noConversion"/>
  </si>
  <si>
    <r>
      <rPr>
        <b/>
        <sz val="10"/>
        <rFont val="宋体"/>
        <family val="3"/>
        <charset val="134"/>
      </rPr>
      <t>一、本账户涉及的科目</t>
    </r>
    <phoneticPr fontId="9" type="noConversion"/>
  </si>
  <si>
    <r>
      <rPr>
        <b/>
        <sz val="10"/>
        <rFont val="宋体"/>
        <family val="3"/>
        <charset val="134"/>
      </rPr>
      <t>财务报表的认定　</t>
    </r>
  </si>
  <si>
    <t>1</t>
    <phoneticPr fontId="3" type="noConversion"/>
  </si>
  <si>
    <t>2</t>
  </si>
  <si>
    <t>3</t>
  </si>
  <si>
    <t>应收股利实质性程序表</t>
    <phoneticPr fontId="3" type="noConversion"/>
  </si>
  <si>
    <t>应收股利</t>
    <phoneticPr fontId="3" type="noConversion"/>
  </si>
  <si>
    <t>编制日期：</t>
    <phoneticPr fontId="9" type="noConversion"/>
  </si>
  <si>
    <t>复核日期：</t>
    <phoneticPr fontId="9" type="noConversion"/>
  </si>
  <si>
    <t>调整事项说明</t>
    <phoneticPr fontId="9" type="noConversion"/>
  </si>
  <si>
    <t>类别（报表调整/账项调整/其他）</t>
    <phoneticPr fontId="9" type="noConversion"/>
  </si>
  <si>
    <t>科目名称</t>
    <phoneticPr fontId="9" type="noConversion"/>
  </si>
  <si>
    <t>附注项目</t>
    <phoneticPr fontId="9" type="noConversion"/>
  </si>
  <si>
    <t>……</t>
    <phoneticPr fontId="9" type="noConversion"/>
  </si>
  <si>
    <t>借方调整金额</t>
    <phoneticPr fontId="9" type="noConversion"/>
  </si>
  <si>
    <t>贷方调整金额</t>
    <phoneticPr fontId="9" type="noConversion"/>
  </si>
  <si>
    <t>索引</t>
    <phoneticPr fontId="9" type="noConversion"/>
  </si>
  <si>
    <t>备注</t>
    <phoneticPr fontId="9" type="noConversion"/>
  </si>
  <si>
    <t>应收股利调整分录汇总表</t>
    <phoneticPr fontId="9" type="noConversion"/>
  </si>
  <si>
    <t>减：坏账准备</t>
  </si>
  <si>
    <t>年初余额</t>
    <phoneticPr fontId="3" type="noConversion"/>
  </si>
  <si>
    <t>索引号：</t>
    <phoneticPr fontId="3" type="noConversion"/>
  </si>
  <si>
    <t>索引：</t>
    <phoneticPr fontId="3" type="noConversion"/>
  </si>
  <si>
    <t>索引：</t>
    <phoneticPr fontId="3" type="noConversion"/>
  </si>
  <si>
    <t>账面余额</t>
    <phoneticPr fontId="3" type="noConversion"/>
  </si>
  <si>
    <t>减值准备</t>
    <phoneticPr fontId="3" type="noConversion"/>
  </si>
  <si>
    <t>账面价值</t>
    <phoneticPr fontId="3" type="noConversion"/>
  </si>
  <si>
    <t>备注</t>
    <phoneticPr fontId="3" type="noConversion"/>
  </si>
  <si>
    <t>未审数</t>
    <phoneticPr fontId="9" type="noConversion"/>
  </si>
  <si>
    <t>期初调整</t>
    <phoneticPr fontId="75" type="noConversion"/>
  </si>
  <si>
    <t>账项调整</t>
    <phoneticPr fontId="75" type="noConversion"/>
  </si>
  <si>
    <t>重分类调整</t>
    <phoneticPr fontId="75" type="noConversion"/>
  </si>
  <si>
    <t>审定数</t>
    <phoneticPr fontId="9" type="noConversion"/>
  </si>
  <si>
    <t>账项调整</t>
    <phoneticPr fontId="75" type="noConversion"/>
  </si>
  <si>
    <t>重分类调整</t>
    <phoneticPr fontId="75" type="noConversion"/>
  </si>
  <si>
    <t>审定数</t>
    <phoneticPr fontId="9" type="noConversion"/>
  </si>
  <si>
    <t>审定数</t>
    <phoneticPr fontId="3" type="noConversion"/>
  </si>
  <si>
    <t>本期减少</t>
    <phoneticPr fontId="9" type="noConversion"/>
  </si>
  <si>
    <t>本期增加</t>
    <phoneticPr fontId="9" type="noConversion"/>
  </si>
  <si>
    <t>本期减少</t>
    <phoneticPr fontId="9" type="noConversion"/>
  </si>
  <si>
    <t>期初数</t>
    <phoneticPr fontId="3" type="noConversion"/>
  </si>
  <si>
    <t>期末数</t>
    <phoneticPr fontId="3" type="noConversion"/>
  </si>
  <si>
    <t>G3A</t>
  </si>
  <si>
    <t>G3-2</t>
  </si>
  <si>
    <t>2、账龄一年以上的应收股利</t>
    <phoneticPr fontId="3" type="noConversion"/>
  </si>
  <si>
    <t>上年年末余额</t>
  </si>
  <si>
    <r>
      <t>小</t>
    </r>
    <r>
      <rPr>
        <sz val="10.5"/>
        <color theme="1"/>
        <rFont val="Arial Narrow"/>
        <family val="2"/>
      </rPr>
      <t xml:space="preserve">  </t>
    </r>
    <r>
      <rPr>
        <sz val="10.5"/>
        <color theme="1"/>
        <rFont val="仿宋_GB2312"/>
        <family val="3"/>
        <charset val="134"/>
      </rPr>
      <t>计</t>
    </r>
  </si>
  <si>
    <t>期末余额</t>
    <phoneticPr fontId="3" type="noConversion"/>
  </si>
  <si>
    <t xml:space="preserve">说明期末处于第一阶段、第二阶段和第三阶段的应收股利的坏账准备计提情况，披露格式可参考其他应收款的披露格式（见附注五、8、（3）③）。
说明坏账准备本期计提、转回、转销、核销情况，披露格式可参考其他应收款的披露格式。
说明本期发生损失准备的应收股利账面余额显著变动的情况。
【也可以在其他应收款项下合并披露应收股利的坏账准备计提情况，则索引至附注五、8、（3）③】
</t>
    <phoneticPr fontId="3" type="noConversion"/>
  </si>
  <si>
    <r>
      <rPr>
        <sz val="12"/>
        <color theme="1"/>
        <rFont val="等线"/>
        <family val="3"/>
        <charset val="134"/>
      </rPr>
      <t>①</t>
    </r>
    <r>
      <rPr>
        <sz val="12"/>
        <color theme="1"/>
        <rFont val="仿宋_GB2312"/>
        <family val="3"/>
        <charset val="134"/>
      </rPr>
      <t>重要的账龄超过1年的应收股利：</t>
    </r>
    <phoneticPr fontId="3" type="noConversion"/>
  </si>
  <si>
    <t>② 坏账准备计提情况</t>
    <phoneticPr fontId="3" type="noConversion"/>
  </si>
  <si>
    <t>被审计单位：</t>
    <phoneticPr fontId="9" type="noConversion"/>
  </si>
  <si>
    <t>二、审计目标与认定的对应关系</t>
    <phoneticPr fontId="9" type="noConversion"/>
  </si>
  <si>
    <t>审计目标</t>
    <phoneticPr fontId="9" type="noConversion"/>
  </si>
  <si>
    <t>存在</t>
    <phoneticPr fontId="9" type="noConversion"/>
  </si>
  <si>
    <t>完整性</t>
    <phoneticPr fontId="9" type="noConversion"/>
  </si>
  <si>
    <t>准确性、计价和分摊</t>
    <phoneticPr fontId="9" type="noConversion"/>
  </si>
  <si>
    <r>
      <rPr>
        <b/>
        <sz val="10"/>
        <rFont val="宋体"/>
        <family val="3"/>
        <charset val="134"/>
      </rPr>
      <t>程序分类</t>
    </r>
    <phoneticPr fontId="9" type="noConversion"/>
  </si>
  <si>
    <t>财务报表的认定</t>
    <phoneticPr fontId="9" type="noConversion"/>
  </si>
  <si>
    <t>底稿索引号</t>
    <phoneticPr fontId="9" type="noConversion"/>
  </si>
  <si>
    <t>存在</t>
    <phoneticPr fontId="9" type="noConversion"/>
  </si>
  <si>
    <t>完整性</t>
    <phoneticPr fontId="9" type="noConversion"/>
  </si>
  <si>
    <t>权利和
义务</t>
    <phoneticPr fontId="9" type="noConversion"/>
  </si>
  <si>
    <t>列报</t>
    <phoneticPr fontId="9" type="noConversion"/>
  </si>
  <si>
    <t>常规★</t>
    <phoneticPr fontId="3" type="noConversion"/>
  </si>
  <si>
    <r>
      <t>常规</t>
    </r>
    <r>
      <rPr>
        <b/>
        <sz val="10"/>
        <color theme="1"/>
        <rFont val="宋体"/>
        <family val="3"/>
        <charset val="134"/>
      </rPr>
      <t>★</t>
    </r>
    <phoneticPr fontId="3" type="noConversion"/>
  </si>
  <si>
    <t>备选</t>
    <phoneticPr fontId="9" type="noConversion"/>
  </si>
  <si>
    <t>对本期应收股利的增减变动，追查至相应的原始凭证及支持文件，检查其是否经过授权审批，确认是否符合合同协议条款的规定。</t>
    <phoneticPr fontId="3" type="noConversion"/>
  </si>
  <si>
    <t>5</t>
  </si>
  <si>
    <t>8</t>
  </si>
  <si>
    <r>
      <rPr>
        <sz val="10"/>
        <color theme="1"/>
        <rFont val="宋体"/>
        <family val="3"/>
        <charset val="134"/>
      </rPr>
      <t>根据评估的舞弊风险等因素增加的审计程序。</t>
    </r>
    <phoneticPr fontId="3" type="noConversion"/>
  </si>
  <si>
    <t>关注会计政策、会计估计合理性、一贯性。关注其是否利用会计政策和会计估计及其变更操纵利润。</t>
    <phoneticPr fontId="3" type="noConversion"/>
  </si>
  <si>
    <t>4</t>
    <phoneticPr fontId="3" type="noConversion"/>
  </si>
  <si>
    <t>√</t>
    <phoneticPr fontId="9" type="noConversion"/>
  </si>
  <si>
    <t>√</t>
    <phoneticPr fontId="9" type="noConversion"/>
  </si>
  <si>
    <t>√</t>
    <phoneticPr fontId="9"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</si>
  <si>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3" type="noConversion"/>
  </si>
  <si>
    <t>报表项目</t>
    <phoneticPr fontId="3" type="noConversion"/>
  </si>
  <si>
    <t>账面已计股利
④</t>
    <phoneticPr fontId="9" type="noConversion"/>
  </si>
  <si>
    <r>
      <t>差异
⑤</t>
    </r>
    <r>
      <rPr>
        <b/>
        <sz val="10"/>
        <rFont val="Arial Narrow"/>
        <family val="2"/>
      </rPr>
      <t>=</t>
    </r>
    <r>
      <rPr>
        <b/>
        <sz val="10"/>
        <rFont val="宋体"/>
        <family val="3"/>
        <charset val="134"/>
      </rPr>
      <t>④</t>
    </r>
    <r>
      <rPr>
        <b/>
        <sz val="10"/>
        <rFont val="Arial Narrow"/>
        <family val="2"/>
      </rPr>
      <t>-</t>
    </r>
    <r>
      <rPr>
        <b/>
        <sz val="10"/>
        <rFont val="宋体"/>
        <family val="3"/>
        <charset val="134"/>
      </rPr>
      <t>③</t>
    </r>
    <phoneticPr fontId="9" type="noConversion"/>
  </si>
  <si>
    <t>主要股利分配政策</t>
    <phoneticPr fontId="9" type="noConversion"/>
  </si>
  <si>
    <t>被投资项目股利分配总额
②</t>
    <phoneticPr fontId="9" type="noConversion"/>
  </si>
  <si>
    <t>宣告分派股利日</t>
    <phoneticPr fontId="9" type="noConversion"/>
  </si>
  <si>
    <r>
      <rPr>
        <b/>
        <sz val="10"/>
        <rFont val="宋体"/>
        <family val="3"/>
        <charset val="134"/>
      </rPr>
      <t>合</t>
    </r>
    <r>
      <rPr>
        <b/>
        <sz val="10"/>
        <rFont val="Arial Narrow"/>
        <family val="2"/>
      </rPr>
      <t xml:space="preserve">   </t>
    </r>
    <r>
      <rPr>
        <b/>
        <sz val="10"/>
        <rFont val="宋体"/>
        <family val="3"/>
        <charset val="134"/>
      </rPr>
      <t>计</t>
    </r>
    <phoneticPr fontId="3" type="noConversion"/>
  </si>
  <si>
    <t>如果在投资项目中已对应收股利进行测算，索引至投资项目即可。</t>
  </si>
  <si>
    <t>常规★</t>
    <phoneticPr fontId="9" type="noConversion"/>
  </si>
  <si>
    <t>√</t>
  </si>
  <si>
    <t>10</t>
  </si>
  <si>
    <t>必要时，向相关机构发函，并确定是否存在变现限制，同时记录函证过程：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phoneticPr fontId="3" type="noConversion"/>
  </si>
  <si>
    <t>备选</t>
    <phoneticPr fontId="3" type="noConversion"/>
  </si>
  <si>
    <r>
      <rPr>
        <sz val="10"/>
        <rFont val="宋体"/>
        <family val="3"/>
        <charset val="134"/>
      </rPr>
      <t>针对坏账准备，执行下列核对程序：
（</t>
    </r>
    <r>
      <rPr>
        <sz val="10"/>
        <rFont val="Arial Narrow"/>
        <family val="2"/>
      </rPr>
      <t>1</t>
    </r>
    <r>
      <rPr>
        <sz val="10"/>
        <rFont val="宋体"/>
        <family val="3"/>
        <charset val="134"/>
      </rPr>
      <t>）对于坏账准备的账面金额、本期审计调整金额、审定金额分别与坏账准备账面、本期审计调整、审定金额勾稽一致；
（</t>
    </r>
    <r>
      <rPr>
        <sz val="10"/>
        <rFont val="Arial Narrow"/>
        <family val="2"/>
      </rPr>
      <t>2</t>
    </r>
    <r>
      <rPr>
        <sz val="10"/>
        <rFont val="宋体"/>
        <family val="3"/>
        <charset val="134"/>
      </rPr>
      <t>）确定应收股利是否已计提充足的坏账准备；
（</t>
    </r>
    <r>
      <rPr>
        <sz val="10"/>
        <rFont val="Arial Narrow"/>
        <family val="2"/>
      </rPr>
      <t>3</t>
    </r>
    <r>
      <rPr>
        <sz val="10"/>
        <rFont val="宋体"/>
        <family val="3"/>
        <charset val="134"/>
      </rPr>
      <t>）取得上述经账龄复核后的账龄明细表，并取得被审计单位的坏账准备计算表，复核加计正确，与总账数、明细账合计数核对相符；
（</t>
    </r>
    <r>
      <rPr>
        <sz val="10"/>
        <rFont val="Arial Narrow"/>
        <family val="2"/>
      </rPr>
      <t>4</t>
    </r>
    <r>
      <rPr>
        <sz val="10"/>
        <rFont val="宋体"/>
        <family val="3"/>
        <charset val="134"/>
      </rPr>
      <t>）重新计算应计提的坏账准备，与客户已记录的坏账准备进行比较，调整差异。特别关注大额坏账准备转回是否合理；
（</t>
    </r>
    <r>
      <rPr>
        <sz val="10"/>
        <rFont val="Arial Narrow"/>
        <family val="2"/>
      </rPr>
      <t>5</t>
    </r>
    <r>
      <rPr>
        <sz val="10"/>
        <rFont val="宋体"/>
        <family val="3"/>
        <charset val="134"/>
      </rPr>
      <t>）根据账龄分析表中，选取金额大于的账户，逾期超过（）天账户，以及其他认为必要的账户。针对所选取的账户，与授信部门经理或其他负责人员讨论其可收回性，并复核往来函件或其他相关信息，以支持被审计单位就此作出的声明；
（</t>
    </r>
    <r>
      <rPr>
        <sz val="10"/>
        <rFont val="Arial Narrow"/>
        <family val="2"/>
      </rPr>
      <t>6</t>
    </r>
    <r>
      <rPr>
        <sz val="10"/>
        <rFont val="宋体"/>
        <family val="3"/>
        <charset val="134"/>
      </rPr>
      <t>）实际发生坏账损失的，检查核销依据是否符合有关规定，会计处理是否正确。已经确认并转销的坏账重新收回的，检查其会计处理是否正确。</t>
    </r>
    <phoneticPr fontId="3" type="noConversion"/>
  </si>
  <si>
    <t>检查期后收款情况：
（1）检查至审计时已收回金额较大的款项，如核对收款凭证、银行对账单、股利分配方案等；
（2）对长期未收回且金额较大的应收股利，询问被审计单位管理人员及相关职员或者查询被投资单位的情况，确定应收股利的可收回性。必要时，向被投资单位函证股利支付情况，复核并记录函证结果。</t>
    <phoneticPr fontId="3" type="noConversion"/>
  </si>
  <si>
    <t>债务人名称</t>
    <phoneticPr fontId="9" type="noConversion"/>
  </si>
  <si>
    <t>期初余额</t>
    <phoneticPr fontId="9" type="noConversion"/>
  </si>
  <si>
    <t>本期借方发生额</t>
    <phoneticPr fontId="9" type="noConversion"/>
  </si>
  <si>
    <t>本期贷方发生额</t>
    <phoneticPr fontId="9" type="noConversion"/>
  </si>
  <si>
    <r>
      <rPr>
        <b/>
        <sz val="10"/>
        <rFont val="宋体"/>
        <family val="3"/>
        <charset val="134"/>
      </rPr>
      <t>期末余额</t>
    </r>
    <phoneticPr fontId="9" type="noConversion"/>
  </si>
  <si>
    <r>
      <rPr>
        <b/>
        <sz val="10"/>
        <rFont val="宋体"/>
        <family val="3"/>
        <charset val="134"/>
      </rPr>
      <t>账龄</t>
    </r>
    <phoneticPr fontId="9" type="noConversion"/>
  </si>
  <si>
    <r>
      <rPr>
        <b/>
        <sz val="10"/>
        <rFont val="宋体"/>
        <family val="3"/>
        <charset val="134"/>
      </rPr>
      <t>经济业务说明</t>
    </r>
    <phoneticPr fontId="9" type="noConversion"/>
  </si>
  <si>
    <t>未收回或未结转的原因</t>
    <phoneticPr fontId="9" type="noConversion"/>
  </si>
  <si>
    <t>是否无法收回</t>
    <phoneticPr fontId="9" type="noConversion"/>
  </si>
  <si>
    <t>处理计划</t>
    <phoneticPr fontId="9" type="noConversion"/>
  </si>
  <si>
    <r>
      <rPr>
        <b/>
        <sz val="10"/>
        <rFont val="宋体"/>
        <family val="3"/>
        <charset val="134"/>
      </rPr>
      <t>审定余额</t>
    </r>
    <phoneticPr fontId="9" type="noConversion"/>
  </si>
  <si>
    <t>期后收款金额</t>
  </si>
  <si>
    <r>
      <rPr>
        <b/>
        <sz val="10"/>
        <rFont val="宋体"/>
        <family val="3"/>
        <charset val="134"/>
      </rPr>
      <t>备注</t>
    </r>
    <phoneticPr fontId="9" type="noConversion"/>
  </si>
  <si>
    <t>合计</t>
    <phoneticPr fontId="9" type="noConversion"/>
  </si>
  <si>
    <r>
      <rPr>
        <b/>
        <sz val="10"/>
        <rFont val="宋体"/>
        <family val="3"/>
        <charset val="134"/>
      </rPr>
      <t>三、审计说明</t>
    </r>
    <phoneticPr fontId="9" type="noConversion"/>
  </si>
  <si>
    <r>
      <rPr>
        <b/>
        <sz val="10"/>
        <rFont val="宋体"/>
        <family val="3"/>
        <charset val="134"/>
      </rPr>
      <t>四、审计结论</t>
    </r>
    <phoneticPr fontId="9" type="noConversion"/>
  </si>
  <si>
    <t>是否异常</t>
    <phoneticPr fontId="9" type="noConversion"/>
  </si>
  <si>
    <t>二、审计过程：</t>
    <phoneticPr fontId="9" type="noConversion"/>
  </si>
  <si>
    <r>
      <t>3.</t>
    </r>
    <r>
      <rPr>
        <b/>
        <sz val="10"/>
        <rFont val="宋体"/>
        <family val="3"/>
        <charset val="134"/>
      </rPr>
      <t>期后收款检查表</t>
    </r>
    <r>
      <rPr>
        <b/>
        <sz val="10"/>
        <rFont val="Arial Narrow"/>
        <family val="2"/>
      </rPr>
      <t/>
    </r>
    <phoneticPr fontId="9" type="noConversion"/>
  </si>
  <si>
    <t>日   期</t>
    <phoneticPr fontId="9" type="noConversion"/>
  </si>
  <si>
    <t>凭证编号</t>
    <phoneticPr fontId="9" type="noConversion"/>
  </si>
  <si>
    <t>业务内容</t>
    <phoneticPr fontId="9" type="noConversion"/>
  </si>
  <si>
    <t>对方科目</t>
    <phoneticPr fontId="9" type="noConversion"/>
  </si>
  <si>
    <t>对方明细科目</t>
  </si>
  <si>
    <t>金   额</t>
    <phoneticPr fontId="9" type="noConversion"/>
  </si>
  <si>
    <t>索引号</t>
    <phoneticPr fontId="9" type="noConversion"/>
  </si>
  <si>
    <t>借方</t>
  </si>
  <si>
    <t>贷方</t>
  </si>
  <si>
    <t>1.增加项目检查</t>
    <phoneticPr fontId="9" type="noConversion"/>
  </si>
  <si>
    <t>2.减少项目检查</t>
    <phoneticPr fontId="9" type="noConversion"/>
  </si>
  <si>
    <t>G3-1</t>
    <phoneticPr fontId="3" type="noConversion"/>
  </si>
  <si>
    <t>G3-3</t>
  </si>
  <si>
    <t>G3-5</t>
  </si>
  <si>
    <t>G3-2</t>
    <phoneticPr fontId="3" type="noConversion"/>
  </si>
  <si>
    <t>G0</t>
    <phoneticPr fontId="3" type="noConversion"/>
  </si>
  <si>
    <t>应收股利明细表</t>
    <phoneticPr fontId="9" type="noConversion"/>
  </si>
  <si>
    <t>G3-4</t>
  </si>
  <si>
    <t>长期未收回款项检查表</t>
    <phoneticPr fontId="9" type="noConversion"/>
  </si>
  <si>
    <t>致同会计师事务所</t>
    <phoneticPr fontId="3" type="noConversion"/>
  </si>
  <si>
    <t>附注披露信息（上市公司）</t>
    <phoneticPr fontId="9" type="noConversion"/>
  </si>
  <si>
    <t>应收股利审定表</t>
    <phoneticPr fontId="3" type="noConversion"/>
  </si>
  <si>
    <r>
      <rPr>
        <sz val="10"/>
        <color indexed="12"/>
        <rFont val="Arial Narrow"/>
        <family val="2"/>
      </rP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3" type="noConversion"/>
  </si>
  <si>
    <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3" type="noConversion"/>
  </si>
  <si>
    <r>
      <rPr>
        <i/>
        <sz val="10"/>
        <color indexed="12"/>
        <rFont val="宋体"/>
        <family val="3"/>
        <charset val="134"/>
      </rPr>
      <t>编制说明：</t>
    </r>
    <phoneticPr fontId="9" type="noConversion"/>
  </si>
  <si>
    <t>1.资产负债表中记录的应收股利、坏账准备是存在的，且已记录于恰当的账户；</t>
    <phoneticPr fontId="3" type="noConversion"/>
  </si>
  <si>
    <r>
      <rPr>
        <b/>
        <sz val="10"/>
        <rFont val="宋体"/>
        <family val="3"/>
        <charset val="134"/>
      </rPr>
      <t>项目</t>
    </r>
    <phoneticPr fontId="9" type="noConversion"/>
  </si>
  <si>
    <r>
      <rPr>
        <b/>
        <sz val="10"/>
        <rFont val="宋体"/>
        <family val="3"/>
        <charset val="134"/>
      </rPr>
      <t>索引</t>
    </r>
    <phoneticPr fontId="9" type="noConversion"/>
  </si>
  <si>
    <r>
      <rPr>
        <sz val="10"/>
        <rFont val="宋体"/>
        <family val="3"/>
        <charset val="134"/>
      </rPr>
      <t>账龄一年以内的应收股利</t>
    </r>
    <phoneticPr fontId="3" type="noConversion"/>
  </si>
  <si>
    <r>
      <rPr>
        <sz val="10"/>
        <rFont val="宋体"/>
        <family val="3"/>
        <charset val="134"/>
      </rPr>
      <t>账龄一年以上的应收股利</t>
    </r>
    <phoneticPr fontId="3" type="noConversion"/>
  </si>
  <si>
    <r>
      <t>1</t>
    </r>
    <r>
      <rPr>
        <b/>
        <sz val="10"/>
        <rFont val="宋体"/>
        <family val="3"/>
        <charset val="134"/>
      </rPr>
      <t>、审计说明</t>
    </r>
    <r>
      <rPr>
        <sz val="10"/>
        <color indexed="12"/>
        <rFont val="宋体"/>
        <family val="3"/>
        <charset val="134"/>
      </rPr>
      <t/>
    </r>
    <phoneticPr fontId="9"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</si>
  <si>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9" type="noConversion"/>
  </si>
  <si>
    <r>
      <rPr>
        <sz val="10"/>
        <rFont val="宋体"/>
        <family val="3"/>
        <charset val="134"/>
      </rPr>
      <t>所作的判断。</t>
    </r>
    <phoneticPr fontId="9" type="noConversion"/>
  </si>
  <si>
    <r>
      <t>2</t>
    </r>
    <r>
      <rPr>
        <b/>
        <sz val="10"/>
        <rFont val="宋体"/>
        <family val="3"/>
        <charset val="134"/>
      </rPr>
      <t>、审计结论</t>
    </r>
    <phoneticPr fontId="9" type="noConversion"/>
  </si>
  <si>
    <r>
      <rPr>
        <b/>
        <sz val="10"/>
        <color indexed="8"/>
        <rFont val="宋体"/>
        <family val="3"/>
        <charset val="134"/>
      </rPr>
      <t>合计</t>
    </r>
    <phoneticPr fontId="9" type="noConversion"/>
  </si>
  <si>
    <r>
      <rPr>
        <sz val="10"/>
        <color rgb="FF0000FF"/>
        <rFont val="宋体"/>
        <family val="3"/>
        <charset val="134"/>
      </rPr>
      <t>提示：</t>
    </r>
    <r>
      <rPr>
        <sz val="10"/>
        <color rgb="FF0000FF"/>
        <rFont val="Arial Narrow"/>
        <family val="2"/>
      </rPr>
      <t>1</t>
    </r>
    <r>
      <rPr>
        <sz val="10"/>
        <color rgb="FF0000FF"/>
        <rFont val="宋体"/>
        <family val="3"/>
        <charset val="134"/>
      </rPr>
      <t>、减值准备测算可参考其他应收款底稿</t>
    </r>
    <phoneticPr fontId="3" type="noConversion"/>
  </si>
  <si>
    <r>
      <rPr>
        <b/>
        <sz val="10"/>
        <rFont val="宋体"/>
        <family val="3"/>
        <charset val="134"/>
      </rPr>
      <t>序号</t>
    </r>
    <phoneticPr fontId="9" type="noConversion"/>
  </si>
  <si>
    <t>7</t>
    <phoneticPr fontId="3" type="noConversion"/>
  </si>
  <si>
    <t>6</t>
    <phoneticPr fontId="3" type="noConversion"/>
  </si>
  <si>
    <t>11</t>
    <phoneticPr fontId="3" type="noConversion"/>
  </si>
  <si>
    <t>页  次：</t>
    <phoneticPr fontId="3" type="noConversion"/>
  </si>
  <si>
    <t>索引号：</t>
  </si>
  <si>
    <t>页次：1</t>
    <phoneticPr fontId="3" type="noConversion"/>
  </si>
  <si>
    <t>权利和义务</t>
    <phoneticPr fontId="9" type="noConversion"/>
  </si>
  <si>
    <t>页 次：</t>
    <phoneticPr fontId="3" type="noConversion"/>
  </si>
  <si>
    <t>页 次：</t>
    <phoneticPr fontId="3" type="noConversion"/>
  </si>
  <si>
    <r>
      <t>3.</t>
    </r>
    <r>
      <rPr>
        <sz val="10"/>
        <color indexed="8"/>
        <rFont val="宋体"/>
        <family val="3"/>
        <charset val="134"/>
      </rPr>
      <t>应收股利以恰当的金额包括在财务报表中，与之相关的计价或分摊调整已恰当记录，相关披露已得到恰当计量和描述</t>
    </r>
    <r>
      <rPr>
        <sz val="10"/>
        <color indexed="8"/>
        <rFont val="Arial Narrow"/>
        <family val="2"/>
      </rPr>
      <t xml:space="preserve"> </t>
    </r>
    <phoneticPr fontId="3" type="noConversion"/>
  </si>
  <si>
    <r>
      <t>1.</t>
    </r>
    <r>
      <rPr>
        <sz val="10"/>
        <color indexed="8"/>
        <rFont val="宋体"/>
        <family val="3"/>
        <charset val="134"/>
      </rPr>
      <t>资产负债表中记录的应收股利是存在的，且已经记录在恰当的账户中；</t>
    </r>
    <r>
      <rPr>
        <sz val="10"/>
        <color indexed="8"/>
        <rFont val="Arial Narrow"/>
        <family val="2"/>
      </rPr>
      <t>2.</t>
    </r>
    <r>
      <rPr>
        <sz val="10"/>
        <color indexed="8"/>
        <rFont val="宋体"/>
        <family val="3"/>
        <charset val="134"/>
      </rPr>
      <t>所有应记录的应收股利均已记录，所有应当包括在财务报表中的相关披露均已包括；</t>
    </r>
    <phoneticPr fontId="3" type="noConversion"/>
  </si>
  <si>
    <r>
      <rPr>
        <b/>
        <sz val="10"/>
        <color indexed="8"/>
        <rFont val="宋体"/>
        <family val="3"/>
        <charset val="134"/>
      </rPr>
      <t>一、审计目标</t>
    </r>
    <r>
      <rPr>
        <sz val="10"/>
        <color indexed="8"/>
        <rFont val="Arial Narrow"/>
        <family val="2"/>
      </rPr>
      <t/>
    </r>
    <phoneticPr fontId="10" type="noConversion"/>
  </si>
  <si>
    <r>
      <rPr>
        <b/>
        <sz val="10"/>
        <color indexed="8"/>
        <rFont val="宋体"/>
        <family val="3"/>
        <charset val="134"/>
      </rPr>
      <t>一、审计目标</t>
    </r>
    <r>
      <rPr>
        <b/>
        <sz val="10"/>
        <color indexed="8"/>
        <rFont val="Arial Narrow"/>
        <family val="2"/>
      </rPr>
      <t/>
    </r>
    <phoneticPr fontId="10" type="noConversion"/>
  </si>
  <si>
    <t>页 次：1</t>
    <phoneticPr fontId="3" type="noConversion"/>
  </si>
  <si>
    <t>页 次：</t>
    <phoneticPr fontId="9" type="noConversion"/>
  </si>
  <si>
    <t>2.应收股利、坏账准备以恰当的金额包括在财务报表中，与之相关的计价或分摊调整已恰当记录，相关披露已得到恰当计量和描述</t>
    <phoneticPr fontId="3" type="noConversion"/>
  </si>
  <si>
    <t>页 次：</t>
    <phoneticPr fontId="3" type="noConversion"/>
  </si>
  <si>
    <r>
      <t>1.</t>
    </r>
    <r>
      <rPr>
        <sz val="10"/>
        <rFont val="宋体"/>
        <family val="3"/>
        <charset val="134"/>
      </rPr>
      <t>针对期后收款的凭证检查，详见测算及检查表</t>
    </r>
    <r>
      <rPr>
        <sz val="10"/>
        <rFont val="Arial Narrow"/>
        <family val="2"/>
      </rPr>
      <t>G3-4</t>
    </r>
    <phoneticPr fontId="9" type="noConversion"/>
  </si>
  <si>
    <r>
      <rPr>
        <sz val="10"/>
        <rFont val="宋体"/>
        <family val="3"/>
        <charset val="134"/>
      </rPr>
      <t>序号</t>
    </r>
    <phoneticPr fontId="9" type="noConversion"/>
  </si>
  <si>
    <r>
      <rPr>
        <sz val="10"/>
        <rFont val="宋体"/>
        <family val="3"/>
        <charset val="134"/>
      </rPr>
      <t>内容</t>
    </r>
  </si>
  <si>
    <r>
      <rPr>
        <sz val="10"/>
        <rFont val="宋体"/>
        <family val="3"/>
        <charset val="134"/>
      </rPr>
      <t>索引号</t>
    </r>
    <phoneticPr fontId="3" type="noConversion"/>
  </si>
  <si>
    <r>
      <rPr>
        <u/>
        <sz val="10"/>
        <color indexed="12"/>
        <rFont val="宋体"/>
        <family val="3"/>
        <charset val="134"/>
      </rPr>
      <t>应收股利实质性程序表</t>
    </r>
  </si>
  <si>
    <r>
      <rPr>
        <u/>
        <sz val="10"/>
        <color indexed="12"/>
        <rFont val="宋体"/>
        <family val="3"/>
        <charset val="134"/>
      </rPr>
      <t>审定表</t>
    </r>
  </si>
  <si>
    <r>
      <rPr>
        <u/>
        <sz val="10"/>
        <color indexed="12"/>
        <rFont val="宋体"/>
        <family val="3"/>
        <charset val="134"/>
      </rPr>
      <t>调整分录汇总</t>
    </r>
  </si>
  <si>
    <r>
      <rPr>
        <u/>
        <sz val="10"/>
        <color indexed="12"/>
        <rFont val="宋体"/>
        <family val="3"/>
        <charset val="134"/>
      </rPr>
      <t>测算及检查表</t>
    </r>
  </si>
  <si>
    <r>
      <rPr>
        <u/>
        <sz val="10"/>
        <color indexed="12"/>
        <rFont val="宋体"/>
        <family val="3"/>
        <charset val="134"/>
      </rPr>
      <t>长期未收回款项检查表</t>
    </r>
  </si>
  <si>
    <r>
      <rPr>
        <u/>
        <sz val="10"/>
        <color indexed="12"/>
        <rFont val="宋体"/>
        <family val="3"/>
        <charset val="134"/>
      </rPr>
      <t>附注披露信息（国企）</t>
    </r>
    <phoneticPr fontId="3" type="noConversion"/>
  </si>
  <si>
    <r>
      <rPr>
        <u/>
        <sz val="10"/>
        <color indexed="12"/>
        <rFont val="宋体"/>
        <family val="3"/>
        <charset val="134"/>
      </rPr>
      <t>明细表</t>
    </r>
    <phoneticPr fontId="3" type="noConversion"/>
  </si>
  <si>
    <r>
      <rPr>
        <u/>
        <sz val="10"/>
        <color indexed="12"/>
        <rFont val="宋体"/>
        <family val="3"/>
        <charset val="134"/>
      </rPr>
      <t>附注披露信息（上市公司）</t>
    </r>
    <phoneticPr fontId="3" type="noConversion"/>
  </si>
  <si>
    <t>支持性文件</t>
    <phoneticPr fontId="9" type="noConversion"/>
  </si>
  <si>
    <r>
      <rPr>
        <b/>
        <sz val="10"/>
        <rFont val="宋体"/>
        <family val="3"/>
        <charset val="134"/>
      </rPr>
      <t>核对内容</t>
    </r>
  </si>
  <si>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9" type="noConversion"/>
  </si>
  <si>
    <t>三、计划实施的实质性程序</t>
    <phoneticPr fontId="9" type="noConversion"/>
  </si>
  <si>
    <r>
      <t xml:space="preserve">A. </t>
    </r>
    <r>
      <rPr>
        <sz val="10"/>
        <rFont val="宋体"/>
        <family val="3"/>
        <charset val="134"/>
      </rPr>
      <t>资产负债表中记录的应收股利是存在的，且已记录于恰当的账户</t>
    </r>
  </si>
  <si>
    <r>
      <t xml:space="preserve">B. </t>
    </r>
    <r>
      <rPr>
        <sz val="10"/>
        <rFont val="宋体"/>
        <family val="3"/>
        <charset val="134"/>
      </rPr>
      <t>所有应记录的应收股利均已记录，所有应当包括在财务报表中的相关披露均已包括</t>
    </r>
  </si>
  <si>
    <r>
      <t xml:space="preserve">C. </t>
    </r>
    <r>
      <rPr>
        <sz val="10"/>
        <rFont val="宋体"/>
        <family val="3"/>
        <charset val="134"/>
      </rPr>
      <t>记录的应收股利由被审计单位拥有或控制</t>
    </r>
  </si>
  <si>
    <r>
      <t xml:space="preserve">E. </t>
    </r>
    <r>
      <rPr>
        <sz val="10"/>
        <rFont val="宋体"/>
        <family val="3"/>
        <charset val="134"/>
      </rPr>
      <t>应收股利已被恰当地汇总或分解且表述清楚，相关披露在按照企业会计准则的编制基础下是相关的、可理解的</t>
    </r>
  </si>
  <si>
    <r>
      <t xml:space="preserve">D. </t>
    </r>
    <r>
      <rPr>
        <sz val="10"/>
        <rFont val="宋体"/>
        <family val="3"/>
        <charset val="134"/>
      </rPr>
      <t>应收股利以恰当的金额包括在财务报表中，与之相关的计价或分摊调整已恰当记录，相关披露已得到恰当计量和描述</t>
    </r>
    <r>
      <rPr>
        <sz val="10"/>
        <rFont val="Arial Narrow"/>
        <family val="2"/>
      </rPr>
      <t xml:space="preserve"> </t>
    </r>
  </si>
  <si>
    <t>获取或编制应收股利的明细表，完成以下工作，并编制审定表
（1）复核加计是否正确，与总账、明细账合计数核对是否相符，期初余额与上期审定期末余额是否相符；
（2）与上年明细项目进行比较，确定与上年分类相同；
（3）检查非记账本位币计量的应收股利的折算汇率及折算是否正确。</t>
    <phoneticPr fontId="3" type="noConversion"/>
  </si>
  <si>
    <t>IPO/上市/新三板/重组/舞弊应对</t>
    <phoneticPr fontId="3" type="noConversion"/>
  </si>
  <si>
    <r>
      <t>A1-1/</t>
    </r>
    <r>
      <rPr>
        <sz val="10"/>
        <color rgb="FFFF0000"/>
        <rFont val="Arial Narrow"/>
        <family val="2"/>
      </rPr>
      <t>A1-15 /A1-16</t>
    </r>
    <phoneticPr fontId="3" type="noConversion"/>
  </si>
  <si>
    <t>检查应收股利是否已按企业会计准则或其他适用的规定在财务报表中做出恰当列报和披露。</t>
    <phoneticPr fontId="3" type="noConversion"/>
  </si>
  <si>
    <t>G3-1
/G3-2</t>
    <phoneticPr fontId="3" type="noConversion"/>
  </si>
  <si>
    <t>T1
/G0-2
/</t>
    <phoneticPr fontId="3" type="noConversion"/>
  </si>
  <si>
    <t>√</t>
    <phoneticPr fontId="9" type="noConversion"/>
  </si>
  <si>
    <t>√</t>
    <phoneticPr fontId="9" type="noConversion"/>
  </si>
  <si>
    <t>对期初余额的审计，取得应收股利期初余额明细表复核加计是否正确，与总账、明细账合计数是否相符，检查上期应收股利在本期收回情况，函证期初余额以及其他必要追加的审计程序。（适用于首次承接）</t>
    <phoneticPr fontId="3" type="noConversion"/>
  </si>
  <si>
    <t>准确性、计价和分摊</t>
    <phoneticPr fontId="9" type="noConversion"/>
  </si>
  <si>
    <t>列报</t>
    <phoneticPr fontId="9"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</si>
  <si>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9" type="noConversion"/>
  </si>
  <si>
    <t>关于工作底稿与审计程序索引号对应的说明</t>
    <phoneticPr fontId="9" type="noConversion"/>
  </si>
  <si>
    <r>
      <t>1.</t>
    </r>
    <r>
      <rPr>
        <b/>
        <sz val="12"/>
        <rFont val="宋体"/>
        <family val="3"/>
        <charset val="134"/>
      </rPr>
      <t>编制的审计工作底稿应与审计程序对应。</t>
    </r>
    <r>
      <rPr>
        <sz val="11"/>
        <color theme="1"/>
        <rFont val="宋体"/>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9" type="noConversion"/>
  </si>
  <si>
    <r>
      <t>2.</t>
    </r>
    <r>
      <rPr>
        <b/>
        <sz val="12"/>
        <rFont val="宋体"/>
        <family val="3"/>
        <charset val="134"/>
      </rPr>
      <t>获取的支持性证据应与审计底稿或程序对应。</t>
    </r>
    <r>
      <rPr>
        <sz val="11"/>
        <color theme="1"/>
        <rFont val="宋体"/>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2"/>
        <charset val="134"/>
        <scheme val="minor"/>
      </rPr>
      <t>、</t>
    </r>
    <r>
      <rPr>
        <sz val="12"/>
        <rFont val="Arial Narrow"/>
        <family val="2"/>
      </rPr>
      <t>D1-2-2</t>
    </r>
    <r>
      <rPr>
        <sz val="11"/>
        <color theme="1"/>
        <rFont val="宋体"/>
        <family val="2"/>
        <charset val="134"/>
        <scheme val="minor"/>
      </rPr>
      <t>、</t>
    </r>
    <r>
      <rPr>
        <sz val="12"/>
        <rFont val="Arial Narrow"/>
        <family val="2"/>
      </rPr>
      <t>……</t>
    </r>
    <r>
      <rPr>
        <sz val="11"/>
        <color theme="1"/>
        <rFont val="宋体"/>
        <family val="2"/>
        <charset val="134"/>
        <scheme val="minor"/>
      </rPr>
      <t>），并在底稿中说明引用的支持性证据、关联索引号。</t>
    </r>
    <phoneticPr fontId="9" type="noConversion"/>
  </si>
  <si>
    <r>
      <rPr>
        <b/>
        <sz val="12"/>
        <rFont val="Arial Narrow"/>
        <family val="2"/>
      </rPr>
      <t>3.</t>
    </r>
    <r>
      <rPr>
        <b/>
        <sz val="12"/>
        <rFont val="宋体"/>
        <family val="3"/>
        <charset val="134"/>
      </rPr>
      <t>工作底稿索引号的编码规则：</t>
    </r>
    <r>
      <rPr>
        <sz val="11"/>
        <color theme="1"/>
        <rFont val="宋体"/>
        <family val="2"/>
        <charset val="134"/>
        <scheme val="minor"/>
      </rPr>
      <t>实质性程序索引号按循环从</t>
    </r>
    <r>
      <rPr>
        <sz val="12"/>
        <rFont val="Arial Narrow"/>
        <family val="2"/>
      </rPr>
      <t>“D”</t>
    </r>
    <r>
      <rPr>
        <sz val="11"/>
        <color theme="1"/>
        <rFont val="宋体"/>
        <family val="2"/>
        <charset val="134"/>
        <scheme val="minor"/>
      </rPr>
      <t>到</t>
    </r>
    <r>
      <rPr>
        <sz val="12"/>
        <rFont val="Arial Narrow"/>
        <family val="2"/>
      </rPr>
      <t>“N”,</t>
    </r>
    <r>
      <rPr>
        <sz val="11"/>
        <color theme="1"/>
        <rFont val="宋体"/>
        <family val="2"/>
        <charset val="134"/>
        <scheme val="minor"/>
      </rPr>
      <t>循环内账户以顺序号排列，模板中底稿索引号按账户顺序</t>
    </r>
    <r>
      <rPr>
        <sz val="12"/>
        <rFont val="Arial Narrow"/>
        <family val="2"/>
      </rPr>
      <t>+</t>
    </r>
    <r>
      <rPr>
        <sz val="11"/>
        <color theme="1"/>
        <rFont val="宋体"/>
        <family val="2"/>
        <charset val="134"/>
        <scheme val="minor"/>
      </rPr>
      <t>自然数顺序（即模板中索引号按二级自然顺序排列，如</t>
    </r>
    <r>
      <rPr>
        <sz val="12"/>
        <rFont val="Arial Narrow"/>
        <family val="2"/>
      </rPr>
      <t>D1-1</t>
    </r>
    <r>
      <rPr>
        <sz val="11"/>
        <color theme="1"/>
        <rFont val="宋体"/>
        <family val="2"/>
        <charset val="134"/>
        <scheme val="minor"/>
      </rPr>
      <t>、</t>
    </r>
    <r>
      <rPr>
        <sz val="12"/>
        <rFont val="Arial Narrow"/>
        <family val="2"/>
      </rPr>
      <t>D1-2</t>
    </r>
    <r>
      <rPr>
        <sz val="11"/>
        <color theme="1"/>
        <rFont val="宋体"/>
        <family val="2"/>
        <charset val="134"/>
        <scheme val="minor"/>
      </rPr>
      <t>、</t>
    </r>
    <r>
      <rPr>
        <sz val="12"/>
        <rFont val="Arial Narrow"/>
        <family val="2"/>
      </rPr>
      <t>D1-3</t>
    </r>
    <r>
      <rPr>
        <sz val="11"/>
        <color theme="1"/>
        <rFont val="宋体"/>
        <family val="2"/>
        <charset val="134"/>
        <scheme val="minor"/>
      </rPr>
      <t>、</t>
    </r>
    <r>
      <rPr>
        <sz val="12"/>
        <rFont val="Arial Narrow"/>
        <family val="2"/>
      </rPr>
      <t>……D1-N</t>
    </r>
    <r>
      <rPr>
        <sz val="11"/>
        <color theme="1"/>
        <rFont val="宋体"/>
        <family val="2"/>
        <charset val="134"/>
        <scheme val="minor"/>
      </rPr>
      <t>）。</t>
    </r>
    <phoneticPr fontId="9" type="noConversion"/>
  </si>
  <si>
    <t>根据被审计单位实际情况和风险评估情况裁剪、修改或增加审计程序</t>
    <phoneticPr fontId="9" type="noConversion"/>
  </si>
  <si>
    <t>审计程序</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</si>
</sst>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7">
    <numFmt numFmtId="41" formatCode="_ * #,##0_ ;_ * \-#,##0_ ;_ * &quot;-&quot;_ ;_ @_ "/>
    <numFmt numFmtId="44" formatCode="_ &quot;¥&quot;* #,##0.00_ ;_ &quot;¥&quot;* \-#,##0.00_ ;_ &quot;¥&quot;*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_(&quot;$&quot;* #,##0_);_(&quot;$&quot;* \(#,##0\);_(&quot;$&quot;* &quot;-&quot;_);_(@_)"/>
    <numFmt numFmtId="206" formatCode="_(&quot;$&quot;* #,##0.00_);_(&quot;$&quot;* \(#,##0.00\);_(&quot;$&quot;* &quot;-&quot;??_);_(@_)"/>
    <numFmt numFmtId="207" formatCode="_-* #,##0_-;\-* #,##0_-;_-* &quot;-&quot;??_-;_-@_-"/>
    <numFmt numFmtId="208" formatCode="0.00000000000_);[Red]\(0.00000000000\)"/>
    <numFmt numFmtId="209" formatCode="&quot;\&quot;#,##0;&quot;\&quot;&quot;\&quot;\-#,##0"/>
    <numFmt numFmtId="210" formatCode="0%_);\(0%\)"/>
    <numFmt numFmtId="211" formatCode="\ \ @"/>
    <numFmt numFmtId="212" formatCode="#,##0_);\(#,##0_)"/>
    <numFmt numFmtId="213" formatCode="_-* #,##0_-;\-* #,##0_-;_-* &quot;-&quot;_-;_-@_-"/>
    <numFmt numFmtId="214" formatCode="_-* #,##0.00_-;\-* #,##0.00_-;_-* &quot;-&quot;??_-;_-@_-"/>
    <numFmt numFmtId="215" formatCode="_-&quot;$&quot;* #,##0_-;\-&quot;$&quot;* #,##0_-;_-&quot;$&quot;* &quot;-&quot;_-;_-@_-"/>
    <numFmt numFmtId="216" formatCode="_-&quot;$&quot;* #,##0.00_-;\-&quot;$&quot;* #,##0.00_-;_-&quot;$&quot;* &quot;-&quot;??_-;_-@_-"/>
    <numFmt numFmtId="21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8" formatCode="#,##0.00_ "/>
    <numFmt numFmtId="219" formatCode="&quot;¥&quot;#,##0;\-&quot;¥&quot;#,##0"/>
    <numFmt numFmtId="220" formatCode="#,##0.00&quot;¥&quot;;\-#,##0.00&quot;¥&quot;"/>
    <numFmt numFmtId="221" formatCode="_-* #,##0.00&quot;¥&quot;_-;\-* #,##0.00&quot;¥&quot;_-;_-* &quot;-&quot;??&quot;¥&quot;_-;_-@_-"/>
    <numFmt numFmtId="222" formatCode="0.000%"/>
    <numFmt numFmtId="223" formatCode="_-* #,##0&quot;¥&quot;_-;\-* #,##0&quot;¥&quot;_-;_-* &quot;-&quot;&quot;¥&quot;_-;_-@_-"/>
    <numFmt numFmtId="224" formatCode="#,##0.00&quot;¥&quot;;[Red]\-#,##0.00&quot;¥&quot;"/>
    <numFmt numFmtId="225" formatCode="&quot;\&quot;#,##0.00;[Red]&quot;\&quot;&quot;\&quot;&quot;\&quot;&quot;\&quot;&quot;\&quot;&quot;\&quot;\-#,##0.00"/>
    <numFmt numFmtId="226" formatCode="&quot;\&quot;#,##0.00;[Red]&quot;\&quot;\-#,##0.00"/>
    <numFmt numFmtId="227" formatCode="&quot;\&quot;#,##0;[Red]&quot;\&quot;\-#,##0"/>
    <numFmt numFmtId="228" formatCode="_(* #,##0.00_);_(* \(#,##0.00\);_(* &quot;-&quot;??_);_(@_)"/>
    <numFmt numFmtId="229" formatCode="yyyy\-mm\-dd;@"/>
  </numFmts>
  <fonts count="148">
    <font>
      <sz val="11"/>
      <color theme="1"/>
      <name val="宋体"/>
      <family val="2"/>
      <charset val="134"/>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b/>
      <sz val="12"/>
      <name val="Arial Narrow"/>
      <family val="2"/>
    </font>
    <font>
      <sz val="12"/>
      <name val="Arial Narrow"/>
      <family val="2"/>
    </font>
    <font>
      <sz val="10"/>
      <name val="宋体"/>
      <family val="3"/>
      <charset val="134"/>
    </font>
    <font>
      <sz val="9"/>
      <name val="宋体"/>
      <family val="3"/>
      <charset val="134"/>
    </font>
    <font>
      <sz val="10"/>
      <name val="Times New Roman"/>
      <family val="1"/>
    </font>
    <font>
      <sz val="10"/>
      <color indexed="12"/>
      <name val="宋体"/>
      <family val="3"/>
      <charset val="134"/>
    </font>
    <font>
      <u/>
      <sz val="12"/>
      <color indexed="12"/>
      <name val="宋体"/>
      <family val="3"/>
      <charset val="134"/>
    </font>
    <font>
      <sz val="12"/>
      <name val="Times New Roman"/>
      <family val="1"/>
    </font>
    <font>
      <u/>
      <sz val="10"/>
      <name val="Arial Narrow"/>
      <family val="2"/>
    </font>
    <font>
      <sz val="10"/>
      <color indexed="10"/>
      <name val="宋体"/>
      <family val="3"/>
      <charset val="134"/>
    </font>
    <font>
      <i/>
      <sz val="10"/>
      <color indexed="12"/>
      <name val="宋体"/>
      <family val="3"/>
      <charset val="134"/>
    </font>
    <font>
      <sz val="10"/>
      <color indexed="12"/>
      <name val="Arial Narrow"/>
      <family val="2"/>
    </font>
    <font>
      <b/>
      <sz val="10"/>
      <color indexed="12"/>
      <name val="宋体"/>
      <family val="3"/>
      <charset val="134"/>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indexed="8"/>
      <name val="宋体"/>
      <family val="3"/>
      <charset val="134"/>
    </font>
    <font>
      <u/>
      <sz val="10"/>
      <color indexed="12"/>
      <name val="宋体"/>
      <family val="3"/>
      <charset val="134"/>
    </font>
    <font>
      <sz val="10"/>
      <color indexed="17"/>
      <name val="Times New Roman"/>
      <family val="1"/>
    </font>
    <font>
      <sz val="11"/>
      <name val="ＭＳ Ｐゴシック"/>
      <family val="2"/>
    </font>
    <font>
      <sz val="12"/>
      <name val="바탕체"/>
      <family val="3"/>
    </font>
    <font>
      <sz val="10"/>
      <color indexed="10"/>
      <name val="Arial Narrow"/>
      <family val="2"/>
    </font>
    <font>
      <i/>
      <sz val="10"/>
      <color indexed="12"/>
      <name val="Arial Narrow"/>
      <family val="2"/>
    </font>
    <font>
      <b/>
      <sz val="10"/>
      <color indexed="12"/>
      <name val="Arial Narrow"/>
      <family val="2"/>
    </font>
    <font>
      <sz val="12"/>
      <name val="Arial"/>
      <family val="2"/>
    </font>
    <font>
      <u/>
      <sz val="11"/>
      <color theme="10"/>
      <name val="宋体"/>
      <family val="3"/>
      <charset val="134"/>
    </font>
    <font>
      <sz val="12"/>
      <color theme="1"/>
      <name val="仿宋_GB2312"/>
      <family val="3"/>
      <charset val="134"/>
    </font>
    <font>
      <b/>
      <sz val="12"/>
      <color theme="1"/>
      <name val="仿宋_GB2312"/>
      <family val="3"/>
      <charset val="134"/>
    </font>
    <font>
      <b/>
      <sz val="12"/>
      <color rgb="FF0000FF"/>
      <name val="仿宋_GB2312"/>
      <family val="3"/>
      <charset val="134"/>
    </font>
    <font>
      <b/>
      <sz val="12"/>
      <color rgb="FF000000"/>
      <name val="仿宋_GB2312"/>
      <family val="3"/>
      <charset val="134"/>
    </font>
    <font>
      <sz val="12"/>
      <color rgb="FF0000FF"/>
      <name val="仿宋_GB2312"/>
      <family val="3"/>
      <charset val="134"/>
    </font>
    <font>
      <sz val="11"/>
      <color theme="1"/>
      <name val="宋体"/>
      <family val="3"/>
      <charset val="134"/>
      <scheme val="minor"/>
    </font>
    <font>
      <b/>
      <sz val="10"/>
      <color indexed="8"/>
      <name val="Arial Narrow"/>
      <family val="2"/>
    </font>
    <font>
      <sz val="10"/>
      <color indexed="8"/>
      <name val="Arial Narrow"/>
      <family val="2"/>
    </font>
    <font>
      <sz val="10"/>
      <color indexed="8"/>
      <name val="宋体"/>
      <family val="3"/>
      <charset val="134"/>
    </font>
    <font>
      <b/>
      <sz val="10"/>
      <color indexed="10"/>
      <name val="Arial Narrow"/>
      <family val="2"/>
    </font>
    <font>
      <b/>
      <sz val="10"/>
      <color indexed="8"/>
      <name val="宋体"/>
      <family val="3"/>
      <charset val="134"/>
    </font>
    <font>
      <b/>
      <sz val="10"/>
      <color theme="1"/>
      <name val="Arial Narrow"/>
      <family val="2"/>
    </font>
    <font>
      <b/>
      <sz val="10"/>
      <color theme="1"/>
      <name val="宋体"/>
      <family val="3"/>
      <charset val="134"/>
    </font>
    <font>
      <sz val="9"/>
      <name val="宋体"/>
      <family val="3"/>
      <charset val="134"/>
      <scheme val="minor"/>
    </font>
    <font>
      <sz val="9"/>
      <name val="Arial Narrow"/>
      <family val="2"/>
    </font>
    <font>
      <sz val="10"/>
      <color rgb="FFFF0000"/>
      <name val="Arial Narrow"/>
      <family val="2"/>
    </font>
    <font>
      <sz val="10"/>
      <color theme="1"/>
      <name val="Arial Narrow"/>
      <family val="2"/>
    </font>
    <font>
      <sz val="12"/>
      <name val="仿宋_GB2312"/>
      <family val="3"/>
      <charset val="134"/>
    </font>
    <font>
      <b/>
      <sz val="12"/>
      <name val="仿宋_GB2312"/>
      <family val="3"/>
      <charset val="134"/>
    </font>
    <font>
      <i/>
      <u/>
      <sz val="10"/>
      <color indexed="12"/>
      <name val="Arial Narrow"/>
      <family val="2"/>
    </font>
    <font>
      <sz val="10"/>
      <color rgb="FFFF0000"/>
      <name val="宋体"/>
      <family val="3"/>
      <charset val="134"/>
    </font>
    <font>
      <b/>
      <sz val="12"/>
      <color rgb="FF0000FF"/>
      <name val="Arial Narrow"/>
      <family val="2"/>
    </font>
    <font>
      <b/>
      <sz val="12"/>
      <color rgb="FF0000FF"/>
      <name val="宋体"/>
      <family val="3"/>
      <charset val="134"/>
    </font>
    <font>
      <sz val="11"/>
      <color theme="1"/>
      <name val="宋体"/>
      <family val="2"/>
      <charset val="134"/>
      <scheme val="minor"/>
    </font>
    <font>
      <sz val="10"/>
      <color theme="1"/>
      <name val="宋体"/>
      <family val="3"/>
      <charset val="134"/>
    </font>
    <font>
      <sz val="12"/>
      <name val="???"/>
      <family val="1"/>
    </font>
    <font>
      <sz val="11"/>
      <color indexed="8"/>
      <name val="Calibri"/>
      <family val="2"/>
    </font>
    <font>
      <sz val="11"/>
      <color indexed="9"/>
      <name val="Calibri"/>
      <family val="2"/>
    </font>
    <font>
      <sz val="8"/>
      <name val="Times New Roman"/>
      <family val="1"/>
    </font>
    <font>
      <sz val="11"/>
      <color indexed="20"/>
      <name val="Calibri"/>
      <family val="2"/>
    </font>
    <font>
      <b/>
      <sz val="11"/>
      <color indexed="52"/>
      <name val="Calibri"/>
      <family val="2"/>
    </font>
    <font>
      <b/>
      <sz val="11"/>
      <color indexed="9"/>
      <name val="Calibri"/>
      <family val="2"/>
    </font>
    <font>
      <sz val="10"/>
      <name val="MS Serif"/>
      <family val="1"/>
    </font>
    <font>
      <sz val="12"/>
      <name val="Tms Rmn"/>
      <family val="1"/>
    </font>
    <font>
      <sz val="10"/>
      <color indexed="16"/>
      <name val="MS Serif"/>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0"/>
      <name val="Tms Rmn"/>
      <family val="1"/>
    </font>
    <font>
      <sz val="9"/>
      <color indexed="8"/>
      <name val="宋体"/>
      <family val="3"/>
      <charset val="134"/>
    </font>
    <font>
      <b/>
      <sz val="8"/>
      <color indexed="8"/>
      <name val="Helv"/>
      <family val="2"/>
    </font>
    <font>
      <b/>
      <sz val="11"/>
      <color indexed="8"/>
      <name val="Calibri"/>
      <family val="2"/>
    </font>
    <font>
      <sz val="11"/>
      <color indexed="10"/>
      <name val="Calibri"/>
      <family val="2"/>
    </font>
    <font>
      <sz val="14"/>
      <name val="柧挬"/>
      <family val="2"/>
    </font>
    <font>
      <sz val="11"/>
      <color rgb="FF9C0006"/>
      <name val="宋体"/>
      <family val="3"/>
      <charset val="134"/>
      <scheme val="minor"/>
    </font>
    <font>
      <sz val="10"/>
      <color indexed="20"/>
      <name val="Times New Roman"/>
      <family val="1"/>
    </font>
    <font>
      <sz val="12"/>
      <color indexed="8"/>
      <name val="宋体"/>
      <family val="3"/>
      <charset val="134"/>
    </font>
    <font>
      <sz val="11"/>
      <color rgb="FF006100"/>
      <name val="宋体"/>
      <family val="3"/>
      <charset val="134"/>
      <scheme val="minor"/>
    </font>
    <font>
      <sz val="12"/>
      <name val="官帕眉"/>
      <family val="2"/>
    </font>
    <font>
      <sz val="10"/>
      <name val="奔覆眉"/>
      <family val="2"/>
    </font>
    <font>
      <sz val="12"/>
      <name val="柧挬"/>
      <family val="2"/>
    </font>
    <font>
      <b/>
      <sz val="10"/>
      <color rgb="FFE92841"/>
      <name val="Arial Narrow"/>
      <family val="2"/>
    </font>
    <font>
      <b/>
      <sz val="10"/>
      <name val="宋体"/>
      <family val="3"/>
      <charset val="134"/>
      <scheme val="minor"/>
    </font>
    <font>
      <b/>
      <sz val="10"/>
      <color theme="1"/>
      <name val="宋体"/>
      <family val="3"/>
      <charset val="134"/>
      <scheme val="minor"/>
    </font>
    <font>
      <b/>
      <sz val="10"/>
      <color indexed="8"/>
      <name val="宋体"/>
      <family val="3"/>
      <charset val="134"/>
      <scheme val="minor"/>
    </font>
    <font>
      <b/>
      <sz val="9"/>
      <name val="Arial Narrow"/>
      <family val="2"/>
    </font>
    <font>
      <sz val="10"/>
      <name val="宋体"/>
      <family val="3"/>
      <charset val="134"/>
      <scheme val="minor"/>
    </font>
    <font>
      <sz val="10"/>
      <color rgb="FFFF0000"/>
      <name val="宋体"/>
      <family val="3"/>
      <charset val="134"/>
      <scheme val="minor"/>
    </font>
    <font>
      <b/>
      <sz val="10.5"/>
      <color rgb="FF000000"/>
      <name val="仿宋_GB2312"/>
      <family val="3"/>
      <charset val="134"/>
    </font>
    <font>
      <sz val="10.5"/>
      <color theme="1"/>
      <name val="仿宋_GB2312"/>
      <family val="3"/>
      <charset val="134"/>
    </font>
    <font>
      <sz val="10.5"/>
      <color theme="1"/>
      <name val="Arial Narrow"/>
      <family val="2"/>
    </font>
    <font>
      <sz val="12"/>
      <color theme="1"/>
      <name val="等线"/>
      <family val="3"/>
      <charset val="134"/>
    </font>
    <font>
      <sz val="10"/>
      <color rgb="FF0000FF"/>
      <name val="Arial Narrow"/>
      <family val="2"/>
    </font>
    <font>
      <sz val="10"/>
      <color rgb="FF0000FF"/>
      <name val="宋体"/>
      <family val="3"/>
      <charset val="134"/>
    </font>
    <font>
      <sz val="12"/>
      <name val="宋体"/>
      <family val="3"/>
      <charset val="134"/>
      <scheme val="minor"/>
    </font>
    <font>
      <b/>
      <sz val="12"/>
      <name val="宋体"/>
      <family val="3"/>
      <charset val="134"/>
      <scheme val="minor"/>
    </font>
    <font>
      <b/>
      <sz val="12"/>
      <color indexed="8"/>
      <name val="宋体"/>
      <family val="3"/>
      <charset val="134"/>
      <scheme val="minor"/>
    </font>
    <font>
      <b/>
      <sz val="14"/>
      <name val="宋体"/>
      <family val="3"/>
      <charset val="134"/>
      <scheme val="minor"/>
    </font>
    <font>
      <sz val="14"/>
      <name val="宋体"/>
      <family val="3"/>
      <charset val="134"/>
      <scheme val="minor"/>
    </font>
    <font>
      <b/>
      <sz val="14"/>
      <color indexed="8"/>
      <name val="宋体"/>
      <family val="3"/>
      <charset val="134"/>
      <scheme val="minor"/>
    </font>
    <font>
      <sz val="10"/>
      <color theme="1"/>
      <name val="宋体"/>
      <family val="2"/>
      <charset val="134"/>
      <scheme val="minor"/>
    </font>
    <font>
      <b/>
      <sz val="12"/>
      <name val="宋体"/>
      <family val="3"/>
      <charset val="134"/>
    </font>
    <font>
      <sz val="10"/>
      <color indexed="8"/>
      <name val="宋体"/>
      <family val="3"/>
      <charset val="134"/>
      <scheme val="minor"/>
    </font>
    <font>
      <b/>
      <sz val="10"/>
      <color indexed="10"/>
      <name val="宋体"/>
      <family val="3"/>
      <charset val="134"/>
      <scheme val="minor"/>
    </font>
    <font>
      <u/>
      <sz val="11"/>
      <color indexed="12"/>
      <name val="宋体"/>
      <family val="3"/>
      <charset val="134"/>
    </font>
    <font>
      <u/>
      <sz val="10"/>
      <color indexed="12"/>
      <name val="Arial Narrow"/>
      <family val="2"/>
    </font>
    <font>
      <b/>
      <sz val="10"/>
      <color rgb="FFFF0000"/>
      <name val="宋体"/>
      <family val="3"/>
      <charset val="134"/>
    </font>
    <font>
      <b/>
      <sz val="14"/>
      <name val="宋体"/>
      <family val="3"/>
      <charset val="134"/>
    </font>
    <font>
      <b/>
      <sz val="9"/>
      <color indexed="81"/>
      <name val="宋体"/>
      <family val="3"/>
      <charset val="134"/>
    </font>
    <font>
      <sz val="9"/>
      <color indexed="81"/>
      <name val="宋体"/>
      <family val="3"/>
      <charset val="134"/>
    </font>
  </fonts>
  <fills count="39">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indexed="9"/>
        <bgColor indexed="64"/>
      </patternFill>
    </fill>
    <fill>
      <patternFill patternType="solid">
        <fgColor theme="7" tint="0.59999389629810485"/>
        <bgColor indexed="64"/>
      </patternFill>
    </fill>
    <fill>
      <patternFill patternType="solid">
        <fgColor rgb="FFC6EFCE"/>
      </patternFill>
    </fill>
    <fill>
      <patternFill patternType="solid">
        <fgColor rgb="FFFFC7CE"/>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solid">
        <fgColor indexed="9"/>
      </patternFill>
    </fill>
    <fill>
      <patternFill patternType="solid">
        <fgColor rgb="FFE4DFEC"/>
        <bgColor indexed="64"/>
      </patternFill>
    </fill>
  </fills>
  <borders count="53">
    <border>
      <left/>
      <right/>
      <top/>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style="hair">
        <color indexed="8"/>
      </right>
      <top style="hair">
        <color indexed="8"/>
      </top>
      <bottom style="hair">
        <color indexed="8"/>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medium">
        <color indexed="64"/>
      </top>
      <bottom/>
      <diagonal/>
    </border>
    <border>
      <left style="hair">
        <color indexed="64"/>
      </left>
      <right style="hair">
        <color indexed="64"/>
      </right>
      <top/>
      <bottom/>
      <diagonal/>
    </border>
    <border>
      <left style="hair">
        <color indexed="8"/>
      </left>
      <right/>
      <top style="hair">
        <color indexed="8"/>
      </top>
      <bottom/>
      <diagonal/>
    </border>
    <border>
      <left/>
      <right style="hair">
        <color indexed="8"/>
      </right>
      <top style="hair">
        <color indexed="8"/>
      </top>
      <bottom/>
      <diagonal/>
    </border>
    <border>
      <left style="hair">
        <color indexed="8"/>
      </left>
      <right/>
      <top/>
      <bottom style="hair">
        <color indexed="8"/>
      </bottom>
      <diagonal/>
    </border>
    <border>
      <left/>
      <right style="hair">
        <color indexed="8"/>
      </right>
      <top/>
      <bottom style="hair">
        <color indexed="8"/>
      </bottom>
      <diagonal/>
    </border>
    <border>
      <left style="hair">
        <color indexed="64"/>
      </left>
      <right/>
      <top style="hair">
        <color indexed="8"/>
      </top>
      <bottom style="hair">
        <color indexed="8"/>
      </bottom>
      <diagonal/>
    </border>
    <border>
      <left/>
      <right/>
      <top style="hair">
        <color indexed="64"/>
      </top>
      <bottom style="hair">
        <color indexed="64"/>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auto="1"/>
      </left>
      <right style="hair">
        <color auto="1"/>
      </right>
      <top style="hair">
        <color auto="1"/>
      </top>
      <bottom style="hair">
        <color auto="1"/>
      </bottom>
      <diagonal/>
    </border>
    <border>
      <left/>
      <right/>
      <top style="hair">
        <color indexed="64"/>
      </top>
      <bottom/>
      <diagonal/>
    </border>
    <border>
      <left style="hair">
        <color auto="1"/>
      </left>
      <right style="hair">
        <color auto="1"/>
      </right>
      <top style="hair">
        <color auto="1"/>
      </top>
      <bottom style="hair">
        <color auto="1"/>
      </bottom>
      <diagonal/>
    </border>
    <border>
      <left/>
      <right/>
      <top style="hair">
        <color indexed="64"/>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top/>
      <bottom style="hair">
        <color indexed="64"/>
      </bottom>
      <diagonal/>
    </border>
    <border>
      <left style="hair">
        <color auto="1"/>
      </left>
      <right style="hair">
        <color auto="1"/>
      </right>
      <top style="hair">
        <color auto="1"/>
      </top>
      <bottom/>
      <diagonal/>
    </border>
    <border>
      <left/>
      <right/>
      <top style="hair">
        <color indexed="64"/>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bottom style="hair">
        <color auto="1"/>
      </bottom>
      <diagonal/>
    </border>
  </borders>
  <cellStyleXfs count="381">
    <xf numFmtId="0" fontId="0" fillId="0" borderId="0">
      <alignment vertical="center"/>
    </xf>
    <xf numFmtId="43" fontId="1" fillId="0" borderId="0" applyFont="0" applyFill="0" applyBorder="0" applyAlignment="0" applyProtection="0"/>
    <xf numFmtId="9" fontId="1" fillId="0" borderId="0" applyFont="0" applyFill="0" applyBorder="0" applyAlignment="0" applyProtection="0"/>
    <xf numFmtId="0" fontId="1" fillId="0" borderId="0" applyFill="0" applyBorder="0"/>
    <xf numFmtId="0" fontId="12" fillId="0" borderId="0" applyNumberFormat="0" applyFill="0" applyBorder="0" applyAlignment="0" applyProtection="0">
      <alignment vertical="top"/>
      <protection locked="0"/>
    </xf>
    <xf numFmtId="0" fontId="13" fillId="0" borderId="0"/>
    <xf numFmtId="0" fontId="19" fillId="0" borderId="0"/>
    <xf numFmtId="0" fontId="19" fillId="0" borderId="0"/>
    <xf numFmtId="0" fontId="19" fillId="0" borderId="0"/>
    <xf numFmtId="0" fontId="19" fillId="0" borderId="0"/>
    <xf numFmtId="0" fontId="19" fillId="0" borderId="0"/>
    <xf numFmtId="49" fontId="10" fillId="0" borderId="0" applyProtection="0">
      <alignment horizontal="left"/>
    </xf>
    <xf numFmtId="0" fontId="20" fillId="0" borderId="0">
      <alignment vertical="top"/>
      <protection locked="0"/>
    </xf>
    <xf numFmtId="0" fontId="20" fillId="0" borderId="0">
      <alignment vertical="top"/>
      <protection locked="0"/>
    </xf>
    <xf numFmtId="0" fontId="20" fillId="0" borderId="0">
      <alignment vertical="top"/>
      <protection locked="0"/>
    </xf>
    <xf numFmtId="0" fontId="20" fillId="0" borderId="0">
      <alignment vertical="top"/>
    </xf>
    <xf numFmtId="0" fontId="13" fillId="0" borderId="0"/>
    <xf numFmtId="0" fontId="20" fillId="0" borderId="0">
      <alignment vertical="top"/>
    </xf>
    <xf numFmtId="0" fontId="20" fillId="0" borderId="0">
      <alignment vertical="top"/>
      <protection locked="0"/>
    </xf>
    <xf numFmtId="0" fontId="20" fillId="0" borderId="0">
      <alignment vertical="top"/>
    </xf>
    <xf numFmtId="0" fontId="20" fillId="0" borderId="0">
      <alignment vertical="top"/>
    </xf>
    <xf numFmtId="0" fontId="20" fillId="0" borderId="0">
      <alignment vertical="top"/>
      <protection locked="0"/>
    </xf>
    <xf numFmtId="0" fontId="20" fillId="0" borderId="0">
      <alignment vertical="top"/>
      <protection locked="0"/>
    </xf>
    <xf numFmtId="0" fontId="20" fillId="0" borderId="0">
      <alignment vertical="top"/>
      <protection locked="0"/>
    </xf>
    <xf numFmtId="0" fontId="20" fillId="0" borderId="0">
      <alignment vertical="top"/>
    </xf>
    <xf numFmtId="0" fontId="20" fillId="0" borderId="0">
      <alignment vertical="top"/>
    </xf>
    <xf numFmtId="0" fontId="20" fillId="0" borderId="0">
      <alignment vertical="top"/>
      <protection locked="0"/>
    </xf>
    <xf numFmtId="0" fontId="20" fillId="0" borderId="0">
      <alignment vertical="top"/>
    </xf>
    <xf numFmtId="0" fontId="20" fillId="0" borderId="0">
      <alignment vertical="top"/>
    </xf>
    <xf numFmtId="0" fontId="20" fillId="0" borderId="0">
      <alignment vertical="top"/>
    </xf>
    <xf numFmtId="0" fontId="20" fillId="0" borderId="0">
      <alignment vertical="top"/>
      <protection locked="0"/>
    </xf>
    <xf numFmtId="0" fontId="20" fillId="0" borderId="0">
      <alignment vertical="top"/>
    </xf>
    <xf numFmtId="0" fontId="20" fillId="0" borderId="0">
      <alignment vertical="top"/>
      <protection locked="0"/>
    </xf>
    <xf numFmtId="0" fontId="20" fillId="0" borderId="0">
      <alignment vertical="top"/>
      <protection locked="0"/>
    </xf>
    <xf numFmtId="0" fontId="20" fillId="0" borderId="0">
      <alignment vertical="top"/>
      <protection locked="0"/>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protection locked="0"/>
    </xf>
    <xf numFmtId="0" fontId="20" fillId="0" borderId="0">
      <alignment vertical="top"/>
      <protection locked="0"/>
    </xf>
    <xf numFmtId="0" fontId="20" fillId="0" borderId="0">
      <alignment vertical="top"/>
    </xf>
    <xf numFmtId="0" fontId="20" fillId="0" borderId="0">
      <alignment vertical="top"/>
      <protection locked="0"/>
    </xf>
    <xf numFmtId="176" fontId="10" fillId="0" borderId="0" applyFill="0" applyBorder="0" applyProtection="0">
      <alignment horizontal="right"/>
    </xf>
    <xf numFmtId="177" fontId="10" fillId="0" borderId="0" applyFill="0" applyBorder="0" applyProtection="0">
      <alignment horizontal="right"/>
    </xf>
    <xf numFmtId="178" fontId="21" fillId="0" borderId="0" applyFill="0" applyBorder="0" applyProtection="0">
      <alignment horizontal="center"/>
    </xf>
    <xf numFmtId="179" fontId="21" fillId="0" borderId="0" applyFill="0" applyBorder="0" applyProtection="0">
      <alignment horizontal="center"/>
    </xf>
    <xf numFmtId="180" fontId="22" fillId="0" borderId="0" applyFill="0" applyBorder="0" applyProtection="0">
      <alignment horizontal="right"/>
    </xf>
    <xf numFmtId="181" fontId="10" fillId="0" borderId="0" applyFill="0" applyBorder="0" applyProtection="0">
      <alignment horizontal="right"/>
    </xf>
    <xf numFmtId="182" fontId="10" fillId="0" borderId="0" applyFill="0" applyBorder="0" applyProtection="0">
      <alignment horizontal="right"/>
    </xf>
    <xf numFmtId="183" fontId="10" fillId="0" borderId="0" applyFill="0" applyBorder="0" applyProtection="0">
      <alignment horizontal="right"/>
    </xf>
    <xf numFmtId="184" fontId="10" fillId="0" borderId="0" applyFill="0" applyBorder="0" applyProtection="0">
      <alignment horizontal="right"/>
    </xf>
    <xf numFmtId="185" fontId="23" fillId="0" borderId="0" applyFont="0" applyFill="0" applyBorder="0" applyAlignment="0" applyProtection="0"/>
    <xf numFmtId="0" fontId="13" fillId="0" borderId="0"/>
    <xf numFmtId="186" fontId="23" fillId="0" borderId="0" applyFont="0" applyFill="0" applyBorder="0" applyAlignment="0" applyProtection="0"/>
    <xf numFmtId="10" fontId="23" fillId="0" borderId="0" applyFont="0" applyFill="0" applyBorder="0" applyAlignment="0" applyProtection="0"/>
    <xf numFmtId="3" fontId="24" fillId="0" borderId="0"/>
    <xf numFmtId="187" fontId="25" fillId="0" borderId="8" applyAlignment="0" applyProtection="0"/>
    <xf numFmtId="188" fontId="20" fillId="0" borderId="0" applyFill="0" applyBorder="0" applyAlignment="0"/>
    <xf numFmtId="189" fontId="19" fillId="0" borderId="0" applyFill="0" applyBorder="0" applyAlignment="0"/>
    <xf numFmtId="190" fontId="19" fillId="0" borderId="0" applyFill="0" applyBorder="0" applyAlignment="0"/>
    <xf numFmtId="191" fontId="19" fillId="0" borderId="0" applyFill="0" applyBorder="0" applyAlignment="0"/>
    <xf numFmtId="192" fontId="19" fillId="0" borderId="0" applyFill="0" applyBorder="0" applyAlignment="0"/>
    <xf numFmtId="193" fontId="19" fillId="0" borderId="0" applyFill="0" applyBorder="0" applyAlignment="0"/>
    <xf numFmtId="194" fontId="19" fillId="0" borderId="0" applyFill="0" applyBorder="0" applyAlignment="0"/>
    <xf numFmtId="189" fontId="19" fillId="0" borderId="0" applyFill="0" applyBorder="0" applyAlignment="0"/>
    <xf numFmtId="0" fontId="26" fillId="0" borderId="0"/>
    <xf numFmtId="0" fontId="27" fillId="0" borderId="9" applyNumberFormat="0" applyFill="0" applyProtection="0">
      <alignment horizontal="center"/>
    </xf>
    <xf numFmtId="0" fontId="28" fillId="0" borderId="10">
      <alignment horizontal="center"/>
    </xf>
    <xf numFmtId="195" fontId="19" fillId="0" borderId="0"/>
    <xf numFmtId="195" fontId="19" fillId="0" borderId="0"/>
    <xf numFmtId="195" fontId="19" fillId="0" borderId="0"/>
    <xf numFmtId="195" fontId="19" fillId="0" borderId="0"/>
    <xf numFmtId="195" fontId="19" fillId="0" borderId="0"/>
    <xf numFmtId="195" fontId="19" fillId="0" borderId="0"/>
    <xf numFmtId="195" fontId="19" fillId="0" borderId="0"/>
    <xf numFmtId="195" fontId="19" fillId="0" borderId="0"/>
    <xf numFmtId="38" fontId="29" fillId="0" borderId="0" applyFont="0" applyFill="0" applyBorder="0" applyAlignment="0" applyProtection="0"/>
    <xf numFmtId="193" fontId="19" fillId="0" borderId="0" applyFont="0" applyFill="0" applyBorder="0" applyAlignment="0" applyProtection="0"/>
    <xf numFmtId="43" fontId="1" fillId="0" borderId="0" applyFont="0" applyFill="0" applyBorder="0" applyAlignment="0" applyProtection="0"/>
    <xf numFmtId="196" fontId="10" fillId="0" borderId="0"/>
    <xf numFmtId="37" fontId="23" fillId="0" borderId="0" applyFont="0" applyFill="0" applyBorder="0" applyAlignment="0" applyProtection="0"/>
    <xf numFmtId="197" fontId="23" fillId="0" borderId="0" applyFont="0" applyFill="0" applyBorder="0" applyAlignment="0" applyProtection="0"/>
    <xf numFmtId="39" fontId="23" fillId="0" borderId="0" applyFont="0" applyFill="0" applyBorder="0" applyAlignment="0" applyProtection="0"/>
    <xf numFmtId="40" fontId="29" fillId="0" borderId="0" applyFont="0" applyFill="0" applyBorder="0" applyAlignment="0" applyProtection="0"/>
    <xf numFmtId="198" fontId="1" fillId="0" borderId="0" applyFont="0" applyFill="0" applyBorder="0" applyAlignment="0" applyProtection="0"/>
    <xf numFmtId="189" fontId="19" fillId="0" borderId="0" applyFont="0" applyFill="0" applyBorder="0" applyAlignment="0" applyProtection="0"/>
    <xf numFmtId="187" fontId="23" fillId="0" borderId="0" applyFont="0" applyFill="0" applyBorder="0" applyAlignment="0" applyProtection="0"/>
    <xf numFmtId="199" fontId="23" fillId="0" borderId="0" applyFont="0" applyFill="0" applyBorder="0" applyAlignment="0" applyProtection="0"/>
    <xf numFmtId="200" fontId="1" fillId="0" borderId="0" applyFont="0" applyFill="0" applyBorder="0" applyAlignment="0" applyProtection="0"/>
    <xf numFmtId="201" fontId="10" fillId="0" borderId="0"/>
    <xf numFmtId="14" fontId="20" fillId="0" borderId="0" applyFill="0" applyBorder="0" applyAlignment="0"/>
    <xf numFmtId="41" fontId="19" fillId="0" borderId="0" applyFont="0" applyFill="0" applyBorder="0" applyAlignment="0" applyProtection="0"/>
    <xf numFmtId="43" fontId="19" fillId="0" borderId="0" applyFont="0" applyFill="0" applyBorder="0" applyAlignment="0" applyProtection="0"/>
    <xf numFmtId="202" fontId="10" fillId="0" borderId="0"/>
    <xf numFmtId="193" fontId="19" fillId="0" borderId="0" applyFill="0" applyBorder="0" applyAlignment="0"/>
    <xf numFmtId="189" fontId="19" fillId="0" borderId="0" applyFill="0" applyBorder="0" applyAlignment="0"/>
    <xf numFmtId="193" fontId="19" fillId="0" borderId="0" applyFill="0" applyBorder="0" applyAlignment="0"/>
    <xf numFmtId="194" fontId="19" fillId="0" borderId="0" applyFill="0" applyBorder="0" applyAlignment="0"/>
    <xf numFmtId="189" fontId="19" fillId="0" borderId="0" applyFill="0" applyBorder="0" applyAlignment="0"/>
    <xf numFmtId="0" fontId="30" fillId="0" borderId="0">
      <alignment horizontal="left"/>
    </xf>
    <xf numFmtId="0" fontId="31" fillId="2" borderId="11"/>
    <xf numFmtId="203" fontId="10" fillId="0" borderId="0" applyFont="0" applyFill="0" applyBorder="0" applyAlignment="0" applyProtection="0"/>
    <xf numFmtId="0" fontId="32" fillId="0" borderId="0" applyNumberFormat="0" applyFill="0" applyBorder="0" applyAlignment="0" applyProtection="0">
      <alignment vertical="top"/>
      <protection locked="0"/>
    </xf>
    <xf numFmtId="38" fontId="31" fillId="3" borderId="0" applyNumberFormat="0" applyBorder="0" applyAlignment="0" applyProtection="0"/>
    <xf numFmtId="0" fontId="33" fillId="0" borderId="0">
      <alignment horizontal="left"/>
    </xf>
    <xf numFmtId="0" fontId="34" fillId="0" borderId="12" applyNumberFormat="0" applyAlignment="0" applyProtection="0">
      <alignment horizontal="left" vertical="center"/>
    </xf>
    <xf numFmtId="0" fontId="34" fillId="0" borderId="13">
      <alignment horizontal="left" vertical="center"/>
    </xf>
    <xf numFmtId="14" fontId="35" fillId="4" borderId="14">
      <alignment horizontal="center" vertical="center" wrapText="1"/>
    </xf>
    <xf numFmtId="0" fontId="36" fillId="0" borderId="0" applyNumberFormat="0" applyFill="0" applyBorder="0" applyAlignment="0" applyProtection="0">
      <alignment vertical="top"/>
      <protection locked="0"/>
    </xf>
    <xf numFmtId="10" fontId="31" fillId="5" borderId="11" applyNumberFormat="0" applyBorder="0" applyAlignment="0" applyProtection="0"/>
    <xf numFmtId="0" fontId="10" fillId="0" borderId="0" applyNumberFormat="0" applyFont="0" applyFill="0" applyBorder="0" applyProtection="0">
      <alignment horizontal="left" vertical="center"/>
    </xf>
    <xf numFmtId="193" fontId="19" fillId="0" borderId="0" applyFill="0" applyBorder="0" applyAlignment="0"/>
    <xf numFmtId="189" fontId="19" fillId="0" borderId="0" applyFill="0" applyBorder="0" applyAlignment="0"/>
    <xf numFmtId="193" fontId="19" fillId="0" borderId="0" applyFill="0" applyBorder="0" applyAlignment="0"/>
    <xf numFmtId="194" fontId="19" fillId="0" borderId="0" applyFill="0" applyBorder="0" applyAlignment="0"/>
    <xf numFmtId="189" fontId="19" fillId="0" borderId="0" applyFill="0" applyBorder="0" applyAlignment="0"/>
    <xf numFmtId="41" fontId="19" fillId="0" borderId="0" applyFont="0" applyFill="0" applyBorder="0" applyAlignment="0" applyProtection="0"/>
    <xf numFmtId="43" fontId="19" fillId="0" borderId="0" applyFont="0" applyFill="0" applyBorder="0" applyAlignment="0" applyProtection="0"/>
    <xf numFmtId="0" fontId="37" fillId="0" borderId="14"/>
    <xf numFmtId="205" fontId="19" fillId="0" borderId="0" applyFont="0" applyFill="0" applyBorder="0" applyAlignment="0" applyProtection="0"/>
    <xf numFmtId="206" fontId="19" fillId="0" borderId="0" applyFont="0" applyFill="0" applyBorder="0" applyAlignment="0" applyProtection="0"/>
    <xf numFmtId="207" fontId="19" fillId="0" borderId="0" applyFont="0" applyFill="0" applyBorder="0" applyAlignment="0" applyProtection="0"/>
    <xf numFmtId="208" fontId="1" fillId="0" borderId="0" applyFont="0" applyFill="0" applyBorder="0" applyAlignment="0" applyProtection="0"/>
    <xf numFmtId="37" fontId="38" fillId="0" borderId="0"/>
    <xf numFmtId="0" fontId="39" fillId="0" borderId="0"/>
    <xf numFmtId="209" fontId="1" fillId="0" borderId="0"/>
    <xf numFmtId="0" fontId="1" fillId="0" borderId="0"/>
    <xf numFmtId="0" fontId="29" fillId="0" borderId="0"/>
    <xf numFmtId="0" fontId="40" fillId="0" borderId="0"/>
    <xf numFmtId="210" fontId="19" fillId="0" borderId="0" applyFont="0" applyFill="0" applyBorder="0" applyAlignment="0" applyProtection="0"/>
    <xf numFmtId="192" fontId="19" fillId="0" borderId="0" applyFont="0" applyFill="0" applyBorder="0" applyAlignment="0" applyProtection="0"/>
    <xf numFmtId="185" fontId="19" fillId="0" borderId="0" applyFont="0" applyFill="0" applyBorder="0" applyAlignment="0" applyProtection="0"/>
    <xf numFmtId="10" fontId="19" fillId="0" borderId="0" applyFont="0" applyFill="0" applyBorder="0" applyAlignment="0" applyProtection="0"/>
    <xf numFmtId="0" fontId="31" fillId="3" borderId="11"/>
    <xf numFmtId="193" fontId="19" fillId="0" borderId="0" applyFill="0" applyBorder="0" applyAlignment="0"/>
    <xf numFmtId="189" fontId="19" fillId="0" borderId="0" applyFill="0" applyBorder="0" applyAlignment="0"/>
    <xf numFmtId="193" fontId="19" fillId="0" borderId="0" applyFill="0" applyBorder="0" applyAlignment="0"/>
    <xf numFmtId="194" fontId="19" fillId="0" borderId="0" applyFill="0" applyBorder="0" applyAlignment="0"/>
    <xf numFmtId="189" fontId="19" fillId="0" borderId="0" applyFill="0" applyBorder="0" applyAlignment="0"/>
    <xf numFmtId="4" fontId="30" fillId="0" borderId="0">
      <alignment horizontal="right"/>
    </xf>
    <xf numFmtId="3" fontId="41" fillId="0" borderId="0"/>
    <xf numFmtId="4" fontId="42" fillId="0" borderId="0">
      <alignment horizontal="right"/>
    </xf>
    <xf numFmtId="0" fontId="43" fillId="0" borderId="0">
      <alignment horizontal="left"/>
    </xf>
    <xf numFmtId="43" fontId="31" fillId="0" borderId="15"/>
    <xf numFmtId="0" fontId="44" fillId="0" borderId="11">
      <alignment horizontal="center"/>
    </xf>
    <xf numFmtId="0" fontId="44" fillId="0" borderId="0">
      <alignment horizontal="center" vertical="center"/>
    </xf>
    <xf numFmtId="0" fontId="45" fillId="6" borderId="0" applyNumberFormat="0" applyFill="0">
      <alignment horizontal="left" vertical="center"/>
    </xf>
    <xf numFmtId="0" fontId="37" fillId="0" borderId="0"/>
    <xf numFmtId="49" fontId="20" fillId="0" borderId="0" applyFill="0" applyBorder="0" applyAlignment="0"/>
    <xf numFmtId="211" fontId="20" fillId="0" borderId="0" applyFill="0" applyBorder="0" applyAlignment="0"/>
    <xf numFmtId="212" fontId="19" fillId="0" borderId="0" applyFill="0" applyBorder="0" applyAlignment="0"/>
    <xf numFmtId="0" fontId="46" fillId="0" borderId="0" applyFill="0" applyBorder="0" applyProtection="0">
      <alignment horizontal="left" vertical="top"/>
    </xf>
    <xf numFmtId="0" fontId="47" fillId="0" borderId="0">
      <alignment horizontal="center"/>
    </xf>
    <xf numFmtId="0" fontId="48" fillId="0" borderId="0" applyNumberFormat="0" applyFont="0" applyFill="0" applyBorder="0" applyProtection="0">
      <alignment horizontal="center" vertical="center" wrapText="1"/>
    </xf>
    <xf numFmtId="9" fontId="49" fillId="0" borderId="0" applyFont="0" applyFill="0" applyBorder="0" applyAlignment="0" applyProtection="0"/>
    <xf numFmtId="0" fontId="13" fillId="0" borderId="0"/>
    <xf numFmtId="213" fontId="13" fillId="0" borderId="0" applyFont="0" applyFill="0" applyBorder="0" applyAlignment="0" applyProtection="0"/>
    <xf numFmtId="214" fontId="13" fillId="0" borderId="0" applyFont="0" applyFill="0" applyBorder="0" applyAlignment="0" applyProtection="0"/>
    <xf numFmtId="41" fontId="19"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4" fontId="50" fillId="0" borderId="0">
      <alignment horizontal="right"/>
    </xf>
    <xf numFmtId="0" fontId="51" fillId="7" borderId="0" applyNumberFormat="0" applyBorder="0" applyAlignment="0" applyProtection="0">
      <alignment vertical="center"/>
    </xf>
    <xf numFmtId="0" fontId="1" fillId="0" borderId="0">
      <protection locked="0"/>
    </xf>
    <xf numFmtId="0" fontId="1" fillId="0" borderId="0">
      <alignment vertical="center"/>
      <protection locked="0"/>
    </xf>
    <xf numFmtId="0" fontId="1" fillId="0" borderId="0">
      <protection locked="0"/>
    </xf>
    <xf numFmtId="0" fontId="52" fillId="0" borderId="0">
      <alignment vertical="center"/>
    </xf>
    <xf numFmtId="0" fontId="53"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25" fillId="0" borderId="0" applyNumberFormat="0" applyFill="0" applyBorder="0" applyAlignment="0" applyProtection="0"/>
    <xf numFmtId="0" fontId="54" fillId="8" borderId="0" applyNumberFormat="0" applyBorder="0" applyAlignment="0" applyProtection="0">
      <alignment vertical="center"/>
    </xf>
    <xf numFmtId="4" fontId="48" fillId="0" borderId="0" applyFont="0" applyFill="0" applyBorder="0" applyAlignment="0" applyProtection="0"/>
    <xf numFmtId="41" fontId="19" fillId="0" borderId="0" applyFont="0" applyFill="0" applyBorder="0" applyAlignment="0" applyProtection="0"/>
    <xf numFmtId="215" fontId="13" fillId="0" borderId="0" applyFont="0" applyFill="0" applyBorder="0" applyAlignment="0" applyProtection="0"/>
    <xf numFmtId="216" fontId="13"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alignment vertical="center"/>
    </xf>
    <xf numFmtId="206" fontId="19" fillId="0" borderId="0" applyFont="0" applyFill="0" applyBorder="0" applyAlignment="0" applyProtection="0"/>
    <xf numFmtId="217" fontId="48" fillId="0" borderId="0" applyFont="0" applyFill="0" applyBorder="0" applyAlignment="0" applyProtection="0"/>
    <xf numFmtId="0" fontId="20" fillId="0" borderId="0">
      <alignment vertical="top"/>
    </xf>
    <xf numFmtId="38" fontId="55" fillId="0" borderId="0" applyFont="0" applyFill="0" applyBorder="0" applyAlignment="0" applyProtection="0"/>
    <xf numFmtId="40"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56" fillId="0" borderId="0"/>
    <xf numFmtId="0" fontId="1" fillId="0" borderId="0">
      <alignment vertical="center"/>
    </xf>
    <xf numFmtId="0" fontId="1" fillId="0" borderId="0"/>
    <xf numFmtId="0" fontId="61" fillId="0" borderId="0" applyNumberFormat="0" applyFill="0" applyBorder="0" applyAlignment="0" applyProtection="0">
      <alignment vertical="top"/>
      <protection locked="0"/>
    </xf>
    <xf numFmtId="0" fontId="19" fillId="0" borderId="0"/>
    <xf numFmtId="0" fontId="67" fillId="0" borderId="0">
      <alignment vertical="center"/>
    </xf>
    <xf numFmtId="203" fontId="1" fillId="0" borderId="0">
      <protection locked="0"/>
    </xf>
    <xf numFmtId="203" fontId="1" fillId="0" borderId="0">
      <alignment vertical="center"/>
    </xf>
    <xf numFmtId="203" fontId="1" fillId="0" borderId="0">
      <protection locked="0"/>
    </xf>
    <xf numFmtId="43" fontId="52" fillId="0" borderId="0" applyFont="0" applyFill="0" applyBorder="0" applyAlignment="0" applyProtection="0">
      <alignment vertical="center"/>
    </xf>
    <xf numFmtId="203" fontId="67" fillId="0" borderId="0">
      <alignment vertical="center"/>
    </xf>
    <xf numFmtId="203" fontId="1" fillId="0" borderId="0">
      <alignment vertical="center"/>
    </xf>
    <xf numFmtId="203" fontId="1" fillId="0" borderId="0">
      <alignment vertical="center"/>
      <protection locked="0"/>
    </xf>
    <xf numFmtId="0" fontId="1" fillId="0" borderId="0" applyNumberForma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0" fontId="87" fillId="0" borderId="0"/>
    <xf numFmtId="49" fontId="10" fillId="0" borderId="0" applyProtection="0">
      <alignment horizontal="left"/>
    </xf>
    <xf numFmtId="0" fontId="20" fillId="0" borderId="0">
      <alignment vertical="top"/>
      <protection locked="0"/>
    </xf>
    <xf numFmtId="0" fontId="20" fillId="0" borderId="0">
      <alignment vertical="top"/>
    </xf>
    <xf numFmtId="0" fontId="19" fillId="0" borderId="0" applyNumberFormat="0" applyFill="0" applyBorder="0" applyAlignment="0">
      <protection locked="0"/>
    </xf>
    <xf numFmtId="0" fontId="20" fillId="0" borderId="0">
      <alignment vertical="top"/>
      <protection locked="0"/>
    </xf>
    <xf numFmtId="0" fontId="20" fillId="0" borderId="0">
      <alignment vertical="top"/>
      <protection locked="0"/>
    </xf>
    <xf numFmtId="0" fontId="20" fillId="0" borderId="0">
      <alignment vertical="top"/>
      <protection locked="0"/>
    </xf>
    <xf numFmtId="0" fontId="20" fillId="0" borderId="0">
      <alignment vertical="top"/>
      <protection locked="0"/>
    </xf>
    <xf numFmtId="0" fontId="20" fillId="0" borderId="0">
      <alignment vertical="top"/>
      <protection locked="0"/>
    </xf>
    <xf numFmtId="0" fontId="19" fillId="0" borderId="0" applyNumberFormat="0" applyFill="0" applyBorder="0" applyAlignment="0">
      <protection locked="0"/>
    </xf>
    <xf numFmtId="0" fontId="20" fillId="0" borderId="0">
      <alignment vertical="top"/>
    </xf>
    <xf numFmtId="0" fontId="20" fillId="0" borderId="0">
      <alignment vertical="top"/>
    </xf>
    <xf numFmtId="0" fontId="19" fillId="0" borderId="0" applyNumberFormat="0" applyFill="0" applyBorder="0" applyAlignment="0" applyProtection="0"/>
    <xf numFmtId="0" fontId="20" fillId="0" borderId="0">
      <alignment vertical="top"/>
      <protection locked="0"/>
    </xf>
    <xf numFmtId="0" fontId="20" fillId="0" borderId="0">
      <alignment vertical="top"/>
      <protection locked="0"/>
    </xf>
    <xf numFmtId="0" fontId="20" fillId="0" borderId="0">
      <alignment vertical="top"/>
      <protection locked="0"/>
    </xf>
    <xf numFmtId="0" fontId="20" fillId="0" borderId="0">
      <alignment vertical="top"/>
    </xf>
    <xf numFmtId="0" fontId="20" fillId="0" borderId="0">
      <alignment vertical="top"/>
    </xf>
    <xf numFmtId="0" fontId="20" fillId="0" borderId="0">
      <alignment vertical="top"/>
      <protection locked="0"/>
    </xf>
    <xf numFmtId="0" fontId="20" fillId="0" borderId="0">
      <alignment vertical="top"/>
      <protection locked="0"/>
    </xf>
    <xf numFmtId="0" fontId="20" fillId="0" borderId="0">
      <alignment vertical="top"/>
      <protection locked="0"/>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protection locked="0"/>
    </xf>
    <xf numFmtId="0" fontId="20" fillId="0" borderId="0">
      <alignment vertical="top"/>
      <protection locked="0"/>
    </xf>
    <xf numFmtId="0" fontId="20" fillId="0" borderId="0">
      <alignment vertical="top"/>
      <protection locked="0"/>
    </xf>
    <xf numFmtId="0" fontId="20" fillId="0" borderId="0">
      <alignment vertical="top"/>
      <protection locked="0"/>
    </xf>
    <xf numFmtId="0" fontId="20" fillId="0" borderId="0">
      <alignment vertical="top"/>
    </xf>
    <xf numFmtId="0" fontId="20" fillId="0" borderId="0">
      <alignment vertical="top"/>
      <protection locked="0"/>
    </xf>
    <xf numFmtId="0" fontId="20" fillId="0" borderId="0">
      <alignment vertical="top"/>
    </xf>
    <xf numFmtId="0" fontId="20" fillId="0" borderId="0">
      <alignment vertical="top"/>
      <protection locked="0"/>
    </xf>
    <xf numFmtId="0" fontId="20" fillId="0" borderId="0">
      <alignment vertical="top"/>
      <protection locked="0"/>
    </xf>
    <xf numFmtId="219" fontId="1" fillId="0" borderId="0" applyFont="0" applyFill="0" applyBorder="0" applyAlignment="0" applyProtection="0"/>
    <xf numFmtId="203" fontId="88" fillId="15" borderId="0" applyNumberFormat="0" applyBorder="0" applyAlignment="0" applyProtection="0"/>
    <xf numFmtId="203" fontId="88" fillId="7" borderId="0" applyNumberFormat="0" applyBorder="0" applyAlignment="0" applyProtection="0"/>
    <xf numFmtId="203" fontId="88" fillId="8" borderId="0" applyNumberFormat="0" applyBorder="0" applyAlignment="0" applyProtection="0"/>
    <xf numFmtId="203" fontId="88" fillId="16" borderId="0" applyNumberFormat="0" applyBorder="0" applyAlignment="0" applyProtection="0"/>
    <xf numFmtId="203" fontId="88" fillId="17" borderId="0" applyNumberFormat="0" applyBorder="0" applyAlignment="0" applyProtection="0"/>
    <xf numFmtId="203" fontId="88" fillId="18" borderId="0" applyNumberFormat="0" applyBorder="0" applyAlignment="0" applyProtection="0"/>
    <xf numFmtId="203" fontId="88" fillId="19" borderId="0" applyNumberFormat="0" applyBorder="0" applyAlignment="0" applyProtection="0"/>
    <xf numFmtId="203" fontId="88" fillId="20" borderId="0" applyNumberFormat="0" applyBorder="0" applyAlignment="0" applyProtection="0"/>
    <xf numFmtId="203" fontId="88" fillId="21" borderId="0" applyNumberFormat="0" applyBorder="0" applyAlignment="0" applyProtection="0"/>
    <xf numFmtId="203" fontId="88" fillId="16" borderId="0" applyNumberFormat="0" applyBorder="0" applyAlignment="0" applyProtection="0"/>
    <xf numFmtId="203" fontId="88" fillId="19" borderId="0" applyNumberFormat="0" applyBorder="0" applyAlignment="0" applyProtection="0"/>
    <xf numFmtId="203" fontId="88" fillId="22" borderId="0" applyNumberFormat="0" applyBorder="0" applyAlignment="0" applyProtection="0"/>
    <xf numFmtId="203" fontId="89" fillId="23" borderId="0" applyNumberFormat="0" applyBorder="0" applyAlignment="0" applyProtection="0"/>
    <xf numFmtId="203" fontId="89" fillId="20" borderId="0" applyNumberFormat="0" applyBorder="0" applyAlignment="0" applyProtection="0"/>
    <xf numFmtId="203" fontId="89" fillId="21" borderId="0" applyNumberFormat="0" applyBorder="0" applyAlignment="0" applyProtection="0"/>
    <xf numFmtId="203" fontId="89" fillId="24" borderId="0" applyNumberFormat="0" applyBorder="0" applyAlignment="0" applyProtection="0"/>
    <xf numFmtId="203" fontId="89" fillId="25" borderId="0" applyNumberFormat="0" applyBorder="0" applyAlignment="0" applyProtection="0"/>
    <xf numFmtId="203" fontId="89" fillId="26" borderId="0" applyNumberFormat="0" applyBorder="0" applyAlignment="0" applyProtection="0"/>
    <xf numFmtId="203" fontId="89" fillId="27" borderId="0" applyNumberFormat="0" applyBorder="0" applyAlignment="0" applyProtection="0"/>
    <xf numFmtId="203" fontId="89" fillId="28" borderId="0" applyNumberFormat="0" applyBorder="0" applyAlignment="0" applyProtection="0"/>
    <xf numFmtId="203" fontId="89" fillId="29" borderId="0" applyNumberFormat="0" applyBorder="0" applyAlignment="0" applyProtection="0"/>
    <xf numFmtId="203" fontId="89" fillId="24" borderId="0" applyNumberFormat="0" applyBorder="0" applyAlignment="0" applyProtection="0"/>
    <xf numFmtId="203" fontId="89" fillId="25" borderId="0" applyNumberFormat="0" applyBorder="0" applyAlignment="0" applyProtection="0"/>
    <xf numFmtId="203" fontId="89" fillId="30" borderId="0" applyNumberFormat="0" applyBorder="0" applyAlignment="0" applyProtection="0"/>
    <xf numFmtId="0" fontId="90" fillId="0" borderId="0">
      <alignment horizontal="center" wrapText="1"/>
      <protection locked="0"/>
    </xf>
    <xf numFmtId="203" fontId="91" fillId="7" borderId="0" applyNumberFormat="0" applyBorder="0" applyAlignment="0" applyProtection="0"/>
    <xf numFmtId="203" fontId="92" fillId="31" borderId="30" applyNumberFormat="0" applyAlignment="0" applyProtection="0"/>
    <xf numFmtId="203" fontId="93" fillId="32" borderId="31" applyNumberFormat="0" applyAlignment="0" applyProtection="0"/>
    <xf numFmtId="0" fontId="94" fillId="0" borderId="0" applyNumberFormat="0" applyAlignment="0">
      <alignment horizontal="left"/>
    </xf>
    <xf numFmtId="0" fontId="39" fillId="0" borderId="0" applyNumberFormat="0" applyAlignment="0"/>
    <xf numFmtId="15" fontId="29" fillId="0" borderId="0"/>
    <xf numFmtId="0" fontId="95" fillId="0" borderId="0" applyNumberFormat="0" applyFill="0" applyBorder="0" applyAlignment="0" applyProtection="0"/>
    <xf numFmtId="0" fontId="96" fillId="0" borderId="0" applyNumberFormat="0" applyAlignment="0">
      <alignment horizontal="left"/>
    </xf>
    <xf numFmtId="203" fontId="97" fillId="0" borderId="0" applyNumberFormat="0" applyFill="0" applyBorder="0" applyAlignment="0" applyProtection="0"/>
    <xf numFmtId="203" fontId="98" fillId="8" borderId="0" applyNumberFormat="0" applyBorder="0" applyAlignment="0" applyProtection="0"/>
    <xf numFmtId="203" fontId="99" fillId="0" borderId="32" applyNumberFormat="0" applyFill="0" applyAlignment="0" applyProtection="0"/>
    <xf numFmtId="203" fontId="100" fillId="0" borderId="33" applyNumberFormat="0" applyFill="0" applyAlignment="0" applyProtection="0"/>
    <xf numFmtId="203" fontId="101" fillId="0" borderId="34" applyNumberFormat="0" applyFill="0" applyAlignment="0" applyProtection="0"/>
    <xf numFmtId="203" fontId="101" fillId="0" borderId="0" applyNumberFormat="0" applyFill="0" applyBorder="0" applyAlignment="0" applyProtection="0"/>
    <xf numFmtId="203" fontId="102" fillId="18" borderId="30" applyNumberFormat="0" applyAlignment="0" applyProtection="0"/>
    <xf numFmtId="220" fontId="1" fillId="33" borderId="0"/>
    <xf numFmtId="203" fontId="103" fillId="0" borderId="35" applyNumberFormat="0" applyFill="0" applyAlignment="0" applyProtection="0"/>
    <xf numFmtId="220" fontId="1" fillId="34" borderId="0"/>
    <xf numFmtId="221" fontId="1" fillId="0" borderId="0" applyFont="0" applyFill="0" applyBorder="0" applyAlignment="0" applyProtection="0"/>
    <xf numFmtId="222" fontId="1" fillId="0" borderId="0" applyFont="0" applyFill="0" applyBorder="0" applyAlignment="0" applyProtection="0"/>
    <xf numFmtId="223" fontId="1" fillId="0" borderId="0" applyFont="0" applyFill="0" applyBorder="0" applyAlignment="0" applyProtection="0"/>
    <xf numFmtId="186" fontId="1" fillId="0" borderId="0" applyFont="0" applyFill="0" applyBorder="0" applyAlignment="0" applyProtection="0"/>
    <xf numFmtId="203" fontId="104" fillId="35" borderId="0" applyNumberFormat="0" applyBorder="0" applyAlignment="0" applyProtection="0"/>
    <xf numFmtId="0" fontId="10" fillId="0" borderId="0"/>
    <xf numFmtId="0" fontId="19" fillId="0" borderId="0"/>
    <xf numFmtId="0" fontId="19" fillId="0" borderId="0"/>
    <xf numFmtId="0" fontId="1" fillId="0" borderId="0">
      <alignment vertical="center"/>
    </xf>
    <xf numFmtId="203" fontId="19" fillId="36" borderId="36" applyNumberFormat="0" applyFont="0" applyAlignment="0" applyProtection="0"/>
    <xf numFmtId="214" fontId="19" fillId="0" borderId="0" applyFont="0" applyFill="0" applyBorder="0" applyAlignment="0" applyProtection="0"/>
    <xf numFmtId="213" fontId="19" fillId="0" borderId="0" applyFont="0" applyFill="0" applyBorder="0" applyAlignment="0" applyProtection="0"/>
    <xf numFmtId="203" fontId="105" fillId="31" borderId="37" applyNumberFormat="0" applyAlignment="0" applyProtection="0"/>
    <xf numFmtId="14" fontId="90" fillId="0" borderId="0">
      <alignment horizontal="center" wrapText="1"/>
      <protection locked="0"/>
    </xf>
    <xf numFmtId="219" fontId="106" fillId="0" borderId="0"/>
    <xf numFmtId="0" fontId="29" fillId="0" borderId="0" applyNumberFormat="0" applyFont="0" applyFill="0" applyBorder="0" applyAlignment="0" applyProtection="0">
      <alignment horizontal="left"/>
    </xf>
    <xf numFmtId="224" fontId="1" fillId="0" borderId="0" applyNumberFormat="0" applyFill="0" applyBorder="0" applyAlignment="0" applyProtection="0">
      <alignment horizontal="left"/>
    </xf>
    <xf numFmtId="41" fontId="10" fillId="0" borderId="0" applyFont="0" applyFill="0" applyBorder="0" applyAlignment="0" applyProtection="0"/>
    <xf numFmtId="0" fontId="107" fillId="37" borderId="0">
      <alignment horizontal="left" vertical="center"/>
    </xf>
    <xf numFmtId="0" fontId="107" fillId="37" borderId="0">
      <alignment horizontal="right" vertical="center"/>
    </xf>
    <xf numFmtId="40" fontId="108" fillId="0" borderId="0" applyBorder="0">
      <alignment horizontal="right"/>
    </xf>
    <xf numFmtId="203" fontId="109" fillId="0" borderId="38" applyNumberFormat="0" applyFill="0" applyAlignment="0" applyProtection="0"/>
    <xf numFmtId="203" fontId="110" fillId="0" borderId="0" applyNumberFormat="0" applyFill="0" applyBorder="0" applyAlignment="0" applyProtection="0"/>
    <xf numFmtId="0" fontId="5" fillId="0" borderId="0"/>
    <xf numFmtId="9" fontId="13" fillId="0" borderId="0" applyFont="0" applyFill="0" applyBorder="0" applyAlignment="0" applyProtection="0"/>
    <xf numFmtId="0" fontId="111" fillId="0" borderId="0" applyFont="0" applyFill="0" applyBorder="0" applyAlignment="0" applyProtection="0"/>
    <xf numFmtId="0" fontId="111" fillId="0" borderId="0" applyFont="0" applyFill="0" applyBorder="0" applyAlignment="0" applyProtection="0"/>
    <xf numFmtId="0" fontId="112" fillId="14" borderId="0" applyNumberFormat="0" applyBorder="0" applyAlignment="0" applyProtection="0">
      <alignment vertical="center"/>
    </xf>
    <xf numFmtId="0" fontId="113" fillId="16" borderId="0" applyNumberFormat="0" applyBorder="0" applyAlignment="0" applyProtection="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 fillId="0" borderId="0">
      <alignment vertical="center"/>
    </xf>
    <xf numFmtId="0" fontId="1" fillId="0" borderId="0">
      <alignment vertical="center"/>
    </xf>
    <xf numFmtId="0" fontId="1"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14" fillId="0" borderId="0" applyNumberFormat="0" applyBorder="0" applyAlignment="0">
      <alignment vertical="center"/>
      <protection locked="0"/>
    </xf>
    <xf numFmtId="0" fontId="1" fillId="0" borderId="0">
      <protection locked="0"/>
    </xf>
    <xf numFmtId="0" fontId="1" fillId="0" borderId="0">
      <alignment vertical="center"/>
    </xf>
    <xf numFmtId="0" fontId="1" fillId="0" borderId="0">
      <alignment vertical="center"/>
    </xf>
    <xf numFmtId="0" fontId="1" fillId="0" borderId="0">
      <alignment vertical="center"/>
    </xf>
    <xf numFmtId="0" fontId="52" fillId="0" borderId="0" applyNumberFormat="0" applyBorder="0" applyProtection="0">
      <alignment vertical="center"/>
    </xf>
    <xf numFmtId="0" fontId="1" fillId="0" borderId="0">
      <protection locked="0"/>
    </xf>
    <xf numFmtId="0" fontId="1" fillId="0" borderId="0">
      <alignment vertical="center"/>
    </xf>
    <xf numFmtId="0" fontId="19" fillId="0" borderId="0"/>
    <xf numFmtId="0" fontId="1" fillId="0" borderId="0">
      <alignment vertical="center"/>
    </xf>
    <xf numFmtId="0" fontId="1" fillId="0" borderId="0">
      <alignment vertical="center"/>
    </xf>
    <xf numFmtId="0" fontId="1" fillId="0" borderId="0">
      <alignment vertical="center"/>
    </xf>
    <xf numFmtId="0" fontId="67" fillId="0" borderId="0">
      <alignment vertical="center"/>
    </xf>
    <xf numFmtId="0" fontId="67" fillId="0" borderId="0">
      <alignment vertical="center"/>
    </xf>
    <xf numFmtId="0" fontId="67" fillId="0" borderId="0">
      <alignment vertical="center"/>
    </xf>
    <xf numFmtId="0" fontId="1" fillId="0" borderId="0"/>
    <xf numFmtId="0" fontId="114" fillId="0" borderId="0" applyNumberFormat="0" applyBorder="0" applyAlignment="0" applyProtection="0">
      <alignment vertical="center"/>
    </xf>
    <xf numFmtId="0" fontId="67" fillId="0" borderId="0">
      <alignment vertical="center"/>
    </xf>
    <xf numFmtId="0" fontId="85"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203" fontId="12" fillId="0" borderId="0" applyNumberFormat="0" applyFill="0" applyBorder="0" applyAlignment="0" applyProtection="0">
      <alignment vertical="top"/>
      <protection locked="0"/>
    </xf>
    <xf numFmtId="0" fontId="115" fillId="13" borderId="0" applyNumberFormat="0" applyBorder="0" applyAlignment="0" applyProtection="0">
      <alignment vertical="center"/>
    </xf>
    <xf numFmtId="0" fontId="54" fillId="17" borderId="0" applyNumberFormat="0" applyBorder="0" applyAlignment="0" applyProtection="0">
      <alignment vertical="center"/>
    </xf>
    <xf numFmtId="204" fontId="19" fillId="0" borderId="0" applyFont="0" applyFill="0" applyBorder="0" applyAlignment="0" applyProtection="0"/>
    <xf numFmtId="225" fontId="19" fillId="0" borderId="0" applyFont="0" applyFill="0" applyBorder="0" applyAlignment="0" applyProtection="0"/>
    <xf numFmtId="226" fontId="116" fillId="0" borderId="0" applyFont="0" applyFill="0" applyBorder="0" applyAlignment="0" applyProtection="0"/>
    <xf numFmtId="227" fontId="116" fillId="0" borderId="0" applyFont="0" applyFill="0" applyBorder="0" applyAlignment="0" applyProtection="0"/>
    <xf numFmtId="41" fontId="1" fillId="0" borderId="0" applyFont="0" applyFill="0" applyBorder="0" applyAlignment="0" applyProtection="0"/>
    <xf numFmtId="0" fontId="117" fillId="0" borderId="0"/>
    <xf numFmtId="0" fontId="118" fillId="0" borderId="0"/>
    <xf numFmtId="40" fontId="111" fillId="0" borderId="0" applyFont="0" applyFill="0" applyBorder="0" applyAlignment="0" applyProtection="0"/>
    <xf numFmtId="38" fontId="111" fillId="0" borderId="0" applyFont="0" applyFill="0" applyBorder="0" applyAlignment="0" applyProtection="0"/>
    <xf numFmtId="214" fontId="19" fillId="0" borderId="11" applyNumberFormat="0"/>
    <xf numFmtId="0" fontId="1" fillId="0" borderId="0">
      <protection locked="0"/>
    </xf>
    <xf numFmtId="203" fontId="1" fillId="0" borderId="0"/>
    <xf numFmtId="9" fontId="1" fillId="0" borderId="0" applyFont="0" applyFill="0" applyBorder="0" applyAlignment="0" applyProtection="0"/>
    <xf numFmtId="203" fontId="1" fillId="0" borderId="0">
      <alignment vertical="center"/>
      <protection locked="0"/>
    </xf>
    <xf numFmtId="203" fontId="1" fillId="0" borderId="0">
      <alignment vertical="center"/>
    </xf>
    <xf numFmtId="0" fontId="1" fillId="0" borderId="0">
      <protection locked="0"/>
    </xf>
    <xf numFmtId="43" fontId="1" fillId="0" borderId="0" applyFont="0" applyFill="0" applyBorder="0" applyAlignment="0" applyProtection="0">
      <alignment vertical="center"/>
    </xf>
    <xf numFmtId="0" fontId="1" fillId="0" borderId="0">
      <protection locked="0"/>
    </xf>
    <xf numFmtId="203" fontId="1" fillId="0" borderId="0">
      <alignment vertical="center"/>
      <protection locked="0"/>
    </xf>
    <xf numFmtId="203" fontId="1" fillId="0" borderId="0">
      <protection locked="0"/>
    </xf>
    <xf numFmtId="203" fontId="85" fillId="0" borderId="0">
      <alignment vertical="center"/>
    </xf>
  </cellStyleXfs>
  <cellXfs count="401">
    <xf numFmtId="0" fontId="0" fillId="0" borderId="0" xfId="0">
      <alignment vertical="center"/>
    </xf>
    <xf numFmtId="43" fontId="5" fillId="0" borderId="0" xfId="3" applyNumberFormat="1" applyFont="1" applyBorder="1" applyAlignment="1">
      <alignment vertical="center"/>
    </xf>
    <xf numFmtId="43" fontId="5" fillId="0" borderId="0" xfId="3" applyNumberFormat="1" applyFont="1" applyBorder="1" applyAlignment="1">
      <alignment horizontal="left" vertical="center"/>
    </xf>
    <xf numFmtId="43" fontId="5" fillId="0" borderId="2" xfId="1" applyFont="1" applyBorder="1" applyAlignment="1">
      <alignment horizontal="centerContinuous" vertical="center"/>
    </xf>
    <xf numFmtId="43" fontId="5" fillId="0" borderId="3" xfId="1" applyFont="1" applyBorder="1" applyAlignment="1">
      <alignment horizontal="centerContinuous" vertical="center" shrinkToFit="1"/>
    </xf>
    <xf numFmtId="0" fontId="5" fillId="0" borderId="0" xfId="5" applyFont="1" applyBorder="1" applyAlignment="1">
      <alignment vertical="center"/>
    </xf>
    <xf numFmtId="0" fontId="5" fillId="0" borderId="0" xfId="5" applyFont="1" applyBorder="1" applyAlignment="1">
      <alignment horizontal="left" vertical="center"/>
    </xf>
    <xf numFmtId="43" fontId="17" fillId="0" borderId="0" xfId="3" applyNumberFormat="1" applyFont="1" applyBorder="1" applyAlignment="1">
      <alignment vertical="center"/>
    </xf>
    <xf numFmtId="0" fontId="5" fillId="0" borderId="0" xfId="164" applyFont="1" applyAlignment="1">
      <alignment vertical="center"/>
      <protection locked="0"/>
    </xf>
    <xf numFmtId="0" fontId="5" fillId="0" borderId="0" xfId="164" applyFont="1" applyBorder="1" applyAlignment="1">
      <alignment vertical="center"/>
      <protection locked="0"/>
    </xf>
    <xf numFmtId="0" fontId="5" fillId="0" borderId="0" xfId="164" applyFont="1" applyAlignment="1">
      <alignment vertical="center" wrapText="1"/>
      <protection locked="0"/>
    </xf>
    <xf numFmtId="0" fontId="4" fillId="0" borderId="0" xfId="164" applyFont="1" applyAlignment="1">
      <alignment horizontal="center" vertical="center" wrapText="1"/>
      <protection locked="0"/>
    </xf>
    <xf numFmtId="0" fontId="17" fillId="0" borderId="0" xfId="164" applyFont="1" applyAlignment="1">
      <alignment vertical="center"/>
      <protection locked="0"/>
    </xf>
    <xf numFmtId="0" fontId="17" fillId="0" borderId="0" xfId="164" applyFont="1" applyAlignment="1">
      <protection locked="0"/>
    </xf>
    <xf numFmtId="0" fontId="17" fillId="0" borderId="0" xfId="164" applyFont="1" applyAlignment="1">
      <alignment horizontal="right"/>
      <protection locked="0"/>
    </xf>
    <xf numFmtId="0" fontId="11" fillId="0" borderId="0" xfId="164" applyFont="1" applyAlignment="1">
      <protection locked="0"/>
    </xf>
    <xf numFmtId="0" fontId="2" fillId="0" borderId="0" xfId="191" applyFont="1" applyBorder="1" applyAlignment="1">
      <alignment horizontal="left" vertical="center"/>
    </xf>
    <xf numFmtId="0" fontId="4" fillId="0" borderId="0" xfId="191" applyFont="1" applyBorder="1" applyAlignment="1">
      <alignment horizontal="left" vertical="center"/>
    </xf>
    <xf numFmtId="0" fontId="5" fillId="0" borderId="0" xfId="191" applyFont="1" applyBorder="1" applyAlignment="1" applyProtection="1">
      <alignment vertical="center"/>
      <protection locked="0"/>
    </xf>
    <xf numFmtId="0" fontId="2" fillId="0" borderId="0" xfId="164" applyFont="1" applyAlignment="1">
      <alignment vertical="center"/>
      <protection locked="0"/>
    </xf>
    <xf numFmtId="0" fontId="4" fillId="0" borderId="0" xfId="164" applyFont="1" applyAlignment="1">
      <alignment vertical="center" wrapText="1"/>
      <protection locked="0"/>
    </xf>
    <xf numFmtId="10" fontId="5" fillId="0" borderId="15" xfId="2" applyNumberFormat="1" applyFont="1" applyBorder="1" applyAlignment="1" applyProtection="1">
      <alignment vertical="center" wrapText="1"/>
      <protection locked="0"/>
    </xf>
    <xf numFmtId="43" fontId="5" fillId="0" borderId="15" xfId="164" applyNumberFormat="1" applyFont="1" applyBorder="1" applyAlignment="1">
      <alignment vertical="center" wrapText="1"/>
      <protection locked="0"/>
    </xf>
    <xf numFmtId="0" fontId="57" fillId="0" borderId="0" xfId="164" applyFont="1" applyBorder="1" applyAlignment="1">
      <alignment vertical="center"/>
      <protection locked="0"/>
    </xf>
    <xf numFmtId="0" fontId="16" fillId="0" borderId="0" xfId="164" applyFont="1" applyAlignment="1">
      <alignment vertical="center"/>
      <protection locked="0"/>
    </xf>
    <xf numFmtId="0" fontId="18" fillId="0" borderId="0" xfId="164" applyFont="1" applyAlignment="1">
      <alignment horizontal="left"/>
      <protection locked="0"/>
    </xf>
    <xf numFmtId="0" fontId="8" fillId="0" borderId="0" xfId="164" applyFont="1" applyAlignment="1">
      <alignment vertical="center"/>
      <protection locked="0"/>
    </xf>
    <xf numFmtId="0" fontId="58" fillId="0" borderId="0" xfId="164" applyFont="1" applyAlignment="1">
      <alignment vertical="center"/>
      <protection locked="0"/>
    </xf>
    <xf numFmtId="0" fontId="59" fillId="0" borderId="0" xfId="164" applyFont="1" applyAlignment="1">
      <alignment horizontal="left"/>
      <protection locked="0"/>
    </xf>
    <xf numFmtId="0" fontId="60" fillId="0" borderId="0" xfId="0" applyFont="1" applyAlignment="1" applyProtection="1">
      <alignment vertical="center"/>
      <protection locked="0"/>
    </xf>
    <xf numFmtId="0" fontId="0" fillId="0" borderId="0" xfId="0" applyAlignment="1" applyProtection="1">
      <alignment vertical="center"/>
      <protection locked="0"/>
    </xf>
    <xf numFmtId="0" fontId="8" fillId="9" borderId="0" xfId="0" applyFont="1" applyFill="1" applyBorder="1" applyAlignment="1" applyProtection="1">
      <alignment horizontal="justify" vertical="center" wrapText="1"/>
      <protection locked="0"/>
    </xf>
    <xf numFmtId="0" fontId="62" fillId="0" borderId="0" xfId="0" applyFont="1" applyAlignment="1">
      <alignment horizontal="justify" vertical="center"/>
    </xf>
    <xf numFmtId="0" fontId="63" fillId="0" borderId="12" xfId="0" applyFont="1" applyBorder="1" applyAlignment="1">
      <alignment horizontal="justify" vertical="center" wrapText="1"/>
    </xf>
    <xf numFmtId="0" fontId="63" fillId="0" borderId="14" xfId="0" applyFont="1" applyBorder="1" applyAlignment="1">
      <alignment horizontal="justify" vertical="center" wrapText="1"/>
    </xf>
    <xf numFmtId="0" fontId="62" fillId="0" borderId="0" xfId="0" applyFont="1" applyAlignment="1">
      <alignment horizontal="left" vertical="center"/>
    </xf>
    <xf numFmtId="0" fontId="68" fillId="0" borderId="0" xfId="194" applyFont="1">
      <alignment vertical="center"/>
    </xf>
    <xf numFmtId="0" fontId="69" fillId="0" borderId="0" xfId="194" applyFont="1">
      <alignment vertical="center"/>
    </xf>
    <xf numFmtId="0" fontId="68" fillId="0" borderId="0" xfId="194" applyFont="1" applyAlignment="1">
      <alignment horizontal="center" vertical="center"/>
    </xf>
    <xf numFmtId="0" fontId="71" fillId="0" borderId="0" xfId="194" applyFont="1">
      <alignment vertical="center"/>
    </xf>
    <xf numFmtId="203" fontId="68" fillId="0" borderId="0" xfId="195" applyFont="1" applyFill="1" applyAlignment="1" applyProtection="1">
      <alignment vertical="center"/>
    </xf>
    <xf numFmtId="203" fontId="4" fillId="0" borderId="0" xfId="195" applyFont="1" applyFill="1" applyAlignment="1" applyProtection="1">
      <alignment horizontal="left" vertical="center"/>
    </xf>
    <xf numFmtId="203" fontId="5" fillId="0" borderId="0" xfId="195" applyFont="1" applyBorder="1" applyAlignment="1">
      <alignment vertical="center"/>
      <protection locked="0"/>
    </xf>
    <xf numFmtId="203" fontId="5" fillId="0" borderId="0" xfId="195" applyFont="1" applyAlignment="1">
      <alignment vertical="center"/>
      <protection locked="0"/>
    </xf>
    <xf numFmtId="43" fontId="69" fillId="11" borderId="15" xfId="198" applyFont="1" applyFill="1" applyBorder="1">
      <alignment vertical="center"/>
    </xf>
    <xf numFmtId="0" fontId="68" fillId="12" borderId="0" xfId="194" applyFont="1" applyFill="1">
      <alignment vertical="center"/>
    </xf>
    <xf numFmtId="0" fontId="77" fillId="0" borderId="5" xfId="194" applyFont="1" applyFill="1" applyBorder="1" applyAlignment="1">
      <alignment vertical="center"/>
    </xf>
    <xf numFmtId="0" fontId="69" fillId="0" borderId="15" xfId="194" applyFont="1" applyBorder="1">
      <alignment vertical="center"/>
    </xf>
    <xf numFmtId="0" fontId="68" fillId="0" borderId="15" xfId="194" applyFont="1" applyFill="1" applyBorder="1">
      <alignment vertical="center"/>
    </xf>
    <xf numFmtId="0" fontId="5" fillId="0" borderId="0" xfId="191" applyFont="1" applyBorder="1" applyAlignment="1">
      <alignment vertical="center"/>
    </xf>
    <xf numFmtId="0" fontId="8" fillId="0" borderId="0" xfId="191" applyFont="1" applyBorder="1" applyAlignment="1">
      <alignment vertical="center"/>
    </xf>
    <xf numFmtId="0" fontId="2" fillId="0" borderId="0" xfId="164" applyFont="1" applyBorder="1" applyAlignment="1">
      <alignment vertical="center"/>
      <protection locked="0"/>
    </xf>
    <xf numFmtId="0" fontId="5" fillId="10" borderId="5" xfId="194" applyFont="1" applyFill="1" applyBorder="1" applyAlignment="1">
      <alignment vertical="center"/>
    </xf>
    <xf numFmtId="0" fontId="77" fillId="10" borderId="6" xfId="194" applyFont="1" applyFill="1" applyBorder="1" applyAlignment="1">
      <alignment vertical="center"/>
    </xf>
    <xf numFmtId="43" fontId="69" fillId="10" borderId="15" xfId="198" applyFont="1" applyFill="1" applyBorder="1">
      <alignment vertical="center"/>
    </xf>
    <xf numFmtId="43" fontId="76" fillId="10" borderId="15" xfId="199" applyNumberFormat="1" applyFont="1" applyFill="1" applyBorder="1" applyAlignment="1" applyProtection="1">
      <alignment horizontal="right" vertical="center" shrinkToFit="1"/>
    </xf>
    <xf numFmtId="43" fontId="69" fillId="10" borderId="15" xfId="198" applyFont="1" applyFill="1" applyBorder="1" applyAlignment="1">
      <alignment horizontal="right" vertical="center"/>
    </xf>
    <xf numFmtId="43" fontId="69" fillId="10" borderId="15" xfId="194" applyNumberFormat="1" applyFont="1" applyFill="1" applyBorder="1">
      <alignment vertical="center"/>
    </xf>
    <xf numFmtId="0" fontId="69" fillId="10" borderId="15" xfId="194" applyFont="1" applyFill="1" applyBorder="1">
      <alignment vertical="center"/>
    </xf>
    <xf numFmtId="0" fontId="69" fillId="10" borderId="0" xfId="194" applyFont="1" applyFill="1">
      <alignment vertical="center"/>
    </xf>
    <xf numFmtId="0" fontId="19" fillId="0" borderId="0" xfId="0" applyFont="1" applyAlignment="1" applyProtection="1">
      <alignment vertical="center"/>
      <protection locked="0"/>
    </xf>
    <xf numFmtId="0" fontId="60" fillId="0" borderId="0" xfId="0" applyFont="1" applyBorder="1" applyAlignment="1" applyProtection="1">
      <alignment horizontal="center" vertical="center"/>
      <protection locked="0"/>
    </xf>
    <xf numFmtId="0" fontId="61" fillId="0" borderId="0" xfId="192" quotePrefix="1" applyBorder="1" applyAlignment="1">
      <alignment vertical="center"/>
      <protection locked="0"/>
    </xf>
    <xf numFmtId="0" fontId="12" fillId="0" borderId="0" xfId="169" quotePrefix="1" applyBorder="1" applyAlignment="1">
      <alignment vertical="center"/>
      <protection locked="0"/>
    </xf>
    <xf numFmtId="0" fontId="12" fillId="0" borderId="0" xfId="169" quotePrefix="1" applyAlignment="1">
      <alignment vertical="center"/>
      <protection locked="0"/>
    </xf>
    <xf numFmtId="14" fontId="5" fillId="0" borderId="0" xfId="3" applyNumberFormat="1" applyFont="1" applyBorder="1" applyAlignment="1">
      <alignment vertical="center"/>
    </xf>
    <xf numFmtId="0" fontId="79" fillId="0" borderId="0" xfId="164" applyFont="1" applyAlignment="1">
      <alignment vertical="center"/>
      <protection locked="0"/>
    </xf>
    <xf numFmtId="0" fontId="62" fillId="0" borderId="0" xfId="0" applyFont="1" applyAlignment="1">
      <alignment vertical="center"/>
    </xf>
    <xf numFmtId="0" fontId="62" fillId="0" borderId="0" xfId="0" applyFont="1" applyAlignment="1">
      <alignment horizontal="justify" vertical="center" wrapText="1"/>
    </xf>
    <xf numFmtId="43" fontId="62" fillId="0" borderId="0" xfId="0" applyNumberFormat="1" applyFont="1" applyAlignment="1">
      <alignment horizontal="right" vertical="center" wrapText="1"/>
    </xf>
    <xf numFmtId="43" fontId="79" fillId="0" borderId="0" xfId="0" applyNumberFormat="1" applyFont="1" applyAlignment="1">
      <alignment horizontal="right" vertical="center" wrapText="1"/>
    </xf>
    <xf numFmtId="43" fontId="63" fillId="0" borderId="14" xfId="0" applyNumberFormat="1" applyFont="1" applyBorder="1" applyAlignment="1">
      <alignment horizontal="right" vertical="center" wrapText="1"/>
    </xf>
    <xf numFmtId="0" fontId="79" fillId="0" borderId="0" xfId="0" applyFont="1" applyAlignment="1">
      <alignment horizontal="right" vertical="center" wrapText="1"/>
    </xf>
    <xf numFmtId="43" fontId="79" fillId="0" borderId="0" xfId="1" applyFont="1" applyAlignment="1">
      <alignment horizontal="right" vertical="center" wrapText="1"/>
    </xf>
    <xf numFmtId="0" fontId="79" fillId="0" borderId="0" xfId="0" applyFont="1" applyBorder="1" applyAlignment="1">
      <alignment horizontal="justify" vertical="center" wrapText="1"/>
    </xf>
    <xf numFmtId="43" fontId="79" fillId="0" borderId="0" xfId="1" applyFont="1" applyBorder="1" applyAlignment="1">
      <alignment horizontal="right" vertical="center" wrapText="1"/>
    </xf>
    <xf numFmtId="0" fontId="79" fillId="0" borderId="0" xfId="0" applyFont="1" applyBorder="1" applyAlignment="1">
      <alignment horizontal="right" vertical="center" wrapText="1"/>
    </xf>
    <xf numFmtId="43" fontId="80" fillId="0" borderId="12" xfId="0" applyNumberFormat="1" applyFont="1" applyBorder="1" applyAlignment="1">
      <alignment horizontal="right" vertical="center" wrapText="1"/>
    </xf>
    <xf numFmtId="0" fontId="79" fillId="0" borderId="12" xfId="0" quotePrefix="1" applyFont="1" applyBorder="1" applyAlignment="1">
      <alignment horizontal="center" vertical="center" wrapText="1"/>
    </xf>
    <xf numFmtId="0" fontId="63" fillId="0" borderId="12" xfId="0" applyFont="1" applyBorder="1" applyAlignment="1">
      <alignment horizontal="center" vertical="center" wrapText="1"/>
    </xf>
    <xf numFmtId="0" fontId="62" fillId="0" borderId="0" xfId="0" applyFont="1" applyAlignment="1">
      <alignment horizontal="right" vertical="center" wrapText="1"/>
    </xf>
    <xf numFmtId="43" fontId="62" fillId="0" borderId="0" xfId="1" applyFont="1" applyAlignment="1">
      <alignment horizontal="right" vertical="center" wrapText="1"/>
    </xf>
    <xf numFmtId="43" fontId="62" fillId="0" borderId="14" xfId="1" applyFont="1" applyBorder="1" applyAlignment="1">
      <alignment horizontal="right" vertical="center" wrapText="1"/>
    </xf>
    <xf numFmtId="0" fontId="62" fillId="0" borderId="14" xfId="0" applyFont="1" applyBorder="1" applyAlignment="1">
      <alignment horizontal="right" vertical="center" wrapText="1"/>
    </xf>
    <xf numFmtId="0" fontId="63" fillId="0" borderId="14" xfId="0" applyFont="1" applyBorder="1" applyAlignment="1">
      <alignment horizontal="center" vertical="center" wrapText="1"/>
    </xf>
    <xf numFmtId="43" fontId="62" fillId="0" borderId="14" xfId="0" applyNumberFormat="1" applyFont="1" applyBorder="1" applyAlignment="1">
      <alignment horizontal="right" vertical="center" wrapText="1"/>
    </xf>
    <xf numFmtId="0" fontId="63" fillId="0" borderId="14" xfId="0" applyFont="1" applyBorder="1" applyAlignment="1">
      <alignment horizontal="right" vertical="center" wrapText="1"/>
    </xf>
    <xf numFmtId="14" fontId="69" fillId="0" borderId="0" xfId="194" applyNumberFormat="1" applyFont="1">
      <alignment vertical="center"/>
    </xf>
    <xf numFmtId="14" fontId="5" fillId="0" borderId="0" xfId="164" applyNumberFormat="1" applyFont="1" applyAlignment="1">
      <alignment vertical="center"/>
      <protection locked="0"/>
    </xf>
    <xf numFmtId="0" fontId="5" fillId="0" borderId="0" xfId="5" applyFont="1" applyAlignment="1">
      <alignment horizontal="center" vertical="center"/>
    </xf>
    <xf numFmtId="43" fontId="5" fillId="0" borderId="2" xfId="1" applyFont="1" applyFill="1" applyBorder="1" applyAlignment="1">
      <alignment vertical="center"/>
    </xf>
    <xf numFmtId="43" fontId="81" fillId="0" borderId="0" xfId="4" applyNumberFormat="1" applyFont="1" applyBorder="1" applyAlignment="1" applyProtection="1">
      <alignment horizontal="center" vertical="center"/>
    </xf>
    <xf numFmtId="0" fontId="4" fillId="0" borderId="0" xfId="5" applyFont="1" applyBorder="1" applyAlignment="1">
      <alignment vertical="center"/>
    </xf>
    <xf numFmtId="43" fontId="58" fillId="0" borderId="0" xfId="3" applyNumberFormat="1" applyFont="1" applyBorder="1" applyAlignment="1">
      <alignment vertical="center"/>
    </xf>
    <xf numFmtId="43" fontId="59" fillId="0" borderId="0" xfId="3" applyNumberFormat="1" applyFont="1" applyBorder="1" applyAlignment="1">
      <alignment vertical="center"/>
    </xf>
    <xf numFmtId="43" fontId="17" fillId="0" borderId="0" xfId="3" applyNumberFormat="1" applyFont="1" applyBorder="1" applyAlignment="1">
      <alignment horizontal="right" vertical="center"/>
    </xf>
    <xf numFmtId="43" fontId="5" fillId="0" borderId="1" xfId="1" applyFont="1" applyFill="1" applyBorder="1" applyAlignment="1">
      <alignment horizontal="left" vertical="center"/>
    </xf>
    <xf numFmtId="203" fontId="68" fillId="0" borderId="24" xfId="0" applyNumberFormat="1" applyFont="1" applyFill="1" applyBorder="1" applyAlignment="1" applyProtection="1">
      <alignment horizontal="center" vertical="center"/>
    </xf>
    <xf numFmtId="203" fontId="2" fillId="10" borderId="15" xfId="166" applyNumberFormat="1" applyFont="1" applyFill="1" applyBorder="1" applyAlignment="1" applyProtection="1">
      <alignment horizontal="center" vertical="center" wrapText="1"/>
      <protection locked="0"/>
    </xf>
    <xf numFmtId="203" fontId="2" fillId="10" borderId="15" xfId="197" applyNumberFormat="1" applyFont="1" applyFill="1" applyBorder="1" applyAlignment="1" applyProtection="1">
      <alignment horizontal="center" vertical="center"/>
      <protection locked="0"/>
    </xf>
    <xf numFmtId="203" fontId="2" fillId="10" borderId="15" xfId="197" applyFont="1" applyFill="1" applyBorder="1" applyAlignment="1" applyProtection="1">
      <alignment horizontal="center" vertical="center"/>
      <protection locked="0"/>
    </xf>
    <xf numFmtId="0" fontId="83" fillId="0" borderId="0" xfId="0" applyFont="1" applyFill="1" applyBorder="1" applyAlignment="1" applyProtection="1">
      <alignment vertical="center"/>
      <protection locked="0"/>
    </xf>
    <xf numFmtId="203" fontId="19" fillId="0" borderId="0" xfId="201" applyFont="1" applyFill="1" applyAlignment="1">
      <alignment vertical="center"/>
      <protection locked="0"/>
    </xf>
    <xf numFmtId="203" fontId="19" fillId="0" borderId="0" xfId="196" applyFont="1" applyFill="1" applyAlignment="1">
      <alignment vertical="center"/>
    </xf>
    <xf numFmtId="0" fontId="65" fillId="0" borderId="12" xfId="0" applyFont="1" applyBorder="1" applyAlignment="1">
      <alignment horizontal="center" vertical="center" wrapText="1"/>
    </xf>
    <xf numFmtId="0" fontId="1" fillId="0" borderId="0" xfId="370">
      <protection locked="0"/>
    </xf>
    <xf numFmtId="0" fontId="72" fillId="10" borderId="39" xfId="370" applyFont="1" applyFill="1" applyBorder="1" applyAlignment="1" applyProtection="1">
      <alignment horizontal="center" vertical="center"/>
    </xf>
    <xf numFmtId="0" fontId="72" fillId="10" borderId="39" xfId="370" applyFont="1" applyFill="1" applyBorder="1" applyAlignment="1" applyProtection="1">
      <alignment horizontal="center" vertical="center" wrapText="1"/>
    </xf>
    <xf numFmtId="203" fontId="2" fillId="10" borderId="39" xfId="371" applyFont="1" applyFill="1" applyBorder="1" applyAlignment="1" applyProtection="1">
      <alignment horizontal="center" vertical="center" wrapText="1"/>
      <protection locked="0"/>
    </xf>
    <xf numFmtId="203" fontId="119" fillId="10" borderId="39" xfId="371" applyFont="1" applyFill="1" applyBorder="1" applyAlignment="1" applyProtection="1">
      <alignment horizontal="center" vertical="center" wrapText="1"/>
      <protection locked="0"/>
    </xf>
    <xf numFmtId="0" fontId="70" fillId="0" borderId="39" xfId="370" applyFont="1" applyFill="1" applyBorder="1" applyAlignment="1" applyProtection="1">
      <alignment vertical="center"/>
    </xf>
    <xf numFmtId="0" fontId="8" fillId="0" borderId="39" xfId="370" applyFont="1" applyFill="1" applyBorder="1" applyAlignment="1" applyProtection="1">
      <alignment vertical="center"/>
    </xf>
    <xf numFmtId="0" fontId="82" fillId="0" borderId="39" xfId="370" applyFont="1" applyFill="1" applyBorder="1" applyAlignment="1" applyProtection="1">
      <alignment horizontal="left" vertical="center" indent="1"/>
    </xf>
    <xf numFmtId="43" fontId="4" fillId="0" borderId="40" xfId="3" applyNumberFormat="1" applyFont="1" applyBorder="1" applyAlignment="1">
      <alignment horizontal="left" vertical="center"/>
    </xf>
    <xf numFmtId="43" fontId="5" fillId="0" borderId="40" xfId="3" applyNumberFormat="1" applyFont="1" applyBorder="1" applyAlignment="1">
      <alignment horizontal="left" vertical="center"/>
    </xf>
    <xf numFmtId="43" fontId="81" fillId="0" borderId="40" xfId="169" applyNumberFormat="1" applyFont="1" applyBorder="1" applyAlignment="1" applyProtection="1">
      <alignment horizontal="center" vertical="center"/>
    </xf>
    <xf numFmtId="9" fontId="14" fillId="0" borderId="0" xfId="372" applyFont="1" applyBorder="1" applyAlignment="1">
      <alignment horizontal="left" vertical="center"/>
    </xf>
    <xf numFmtId="10" fontId="14" fillId="0" borderId="0" xfId="372" applyNumberFormat="1" applyFont="1" applyBorder="1" applyAlignment="1">
      <alignment horizontal="left" vertical="center"/>
    </xf>
    <xf numFmtId="0" fontId="63" fillId="0" borderId="0" xfId="0" applyFont="1" applyBorder="1" applyAlignment="1">
      <alignment horizontal="center" vertical="center"/>
    </xf>
    <xf numFmtId="43" fontId="62" fillId="0" borderId="0" xfId="1" applyFont="1" applyBorder="1" applyAlignment="1">
      <alignment horizontal="right" vertical="center" wrapText="1"/>
    </xf>
    <xf numFmtId="0" fontId="62" fillId="0" borderId="0" xfId="0" applyFont="1" applyBorder="1" applyAlignment="1">
      <alignment horizontal="right" vertical="center" wrapText="1"/>
    </xf>
    <xf numFmtId="0" fontId="62" fillId="0" borderId="14" xfId="0" applyFont="1" applyBorder="1" applyAlignment="1">
      <alignment horizontal="center" vertical="center"/>
    </xf>
    <xf numFmtId="203" fontId="120" fillId="10" borderId="15" xfId="199" applyFont="1" applyFill="1" applyBorder="1" applyAlignment="1" applyProtection="1">
      <alignment horizontal="center" vertical="center"/>
      <protection locked="0"/>
    </xf>
    <xf numFmtId="203" fontId="122" fillId="10" borderId="15" xfId="199" applyFont="1" applyFill="1" applyBorder="1" applyAlignment="1" applyProtection="1">
      <alignment horizontal="center" vertical="center"/>
      <protection locked="0"/>
    </xf>
    <xf numFmtId="0" fontId="122" fillId="10" borderId="15" xfId="194" applyFont="1" applyFill="1" applyBorder="1" applyAlignment="1">
      <alignment horizontal="center" vertical="center"/>
    </xf>
    <xf numFmtId="43" fontId="123" fillId="10" borderId="15" xfId="199" applyNumberFormat="1" applyFont="1" applyFill="1" applyBorder="1" applyAlignment="1" applyProtection="1">
      <alignment horizontal="right" vertical="center" shrinkToFit="1"/>
    </xf>
    <xf numFmtId="0" fontId="124" fillId="10" borderId="5" xfId="194" applyFont="1" applyFill="1" applyBorder="1" applyAlignment="1">
      <alignment vertical="center"/>
    </xf>
    <xf numFmtId="0" fontId="67" fillId="10" borderId="6" xfId="0" applyFont="1" applyFill="1" applyBorder="1" applyAlignment="1">
      <alignment vertical="center"/>
    </xf>
    <xf numFmtId="0" fontId="125" fillId="0" borderId="5" xfId="194" applyFont="1" applyFill="1" applyBorder="1" applyAlignment="1">
      <alignment vertical="center"/>
    </xf>
    <xf numFmtId="0" fontId="67" fillId="0" borderId="6" xfId="0" applyFont="1" applyFill="1" applyBorder="1" applyAlignment="1">
      <alignment vertical="center"/>
    </xf>
    <xf numFmtId="10" fontId="14" fillId="0" borderId="0" xfId="2" applyNumberFormat="1" applyFont="1" applyFill="1" applyBorder="1" applyAlignment="1">
      <alignment vertical="center"/>
    </xf>
    <xf numFmtId="0" fontId="126" fillId="0" borderId="12" xfId="0" applyFont="1" applyBorder="1" applyAlignment="1">
      <alignment horizontal="right" vertical="center" wrapText="1"/>
    </xf>
    <xf numFmtId="0" fontId="127" fillId="0" borderId="14" xfId="0" applyFont="1" applyBorder="1" applyAlignment="1">
      <alignment horizontal="justify" vertical="center" wrapText="1"/>
    </xf>
    <xf numFmtId="0" fontId="128" fillId="0" borderId="14" xfId="0" applyFont="1" applyBorder="1" applyAlignment="1">
      <alignment horizontal="right" vertical="center" wrapText="1"/>
    </xf>
    <xf numFmtId="0" fontId="127" fillId="0" borderId="0" xfId="0" applyFont="1" applyBorder="1" applyAlignment="1">
      <alignment horizontal="justify" vertical="center" wrapText="1"/>
    </xf>
    <xf numFmtId="0" fontId="128" fillId="0" borderId="0" xfId="0" applyFont="1" applyBorder="1" applyAlignment="1">
      <alignment horizontal="right" vertical="center" wrapText="1"/>
    </xf>
    <xf numFmtId="0" fontId="62" fillId="0" borderId="0" xfId="0" applyFont="1" applyBorder="1" applyAlignment="1">
      <alignment horizontal="justify" vertical="center" wrapText="1"/>
    </xf>
    <xf numFmtId="43" fontId="79" fillId="0" borderId="0" xfId="0" applyNumberFormat="1" applyFont="1" applyBorder="1" applyAlignment="1">
      <alignment horizontal="right" vertical="center" wrapText="1"/>
    </xf>
    <xf numFmtId="49" fontId="2" fillId="0" borderId="0" xfId="194" applyNumberFormat="1" applyFont="1" applyFill="1" applyAlignment="1" applyProtection="1">
      <alignment horizontal="left" vertical="center"/>
      <protection locked="0"/>
    </xf>
    <xf numFmtId="203" fontId="35" fillId="0" borderId="0" xfId="373" applyFont="1" applyAlignment="1">
      <alignment horizontal="justify" vertical="center"/>
      <protection locked="0"/>
    </xf>
    <xf numFmtId="203" fontId="19" fillId="0" borderId="0" xfId="373" applyFont="1" applyFill="1" applyAlignment="1">
      <alignment vertical="center"/>
      <protection locked="0"/>
    </xf>
    <xf numFmtId="203" fontId="8" fillId="0" borderId="0" xfId="195" applyFont="1" applyFill="1" applyAlignment="1" applyProtection="1">
      <alignment vertical="center"/>
    </xf>
    <xf numFmtId="49" fontId="5" fillId="0" borderId="0" xfId="198" applyNumberFormat="1" applyFont="1" applyFill="1" applyAlignment="1" applyProtection="1">
      <alignment horizontal="right" vertical="center" shrinkToFit="1"/>
    </xf>
    <xf numFmtId="0" fontId="72" fillId="10" borderId="41" xfId="370" applyFont="1" applyFill="1" applyBorder="1" applyAlignment="1" applyProtection="1">
      <alignment horizontal="center" vertical="center" wrapText="1"/>
    </xf>
    <xf numFmtId="0" fontId="70" fillId="0" borderId="41" xfId="370" applyFont="1" applyFill="1" applyBorder="1" applyAlignment="1" applyProtection="1">
      <alignment vertical="center"/>
    </xf>
    <xf numFmtId="43" fontId="4" fillId="0" borderId="42" xfId="3" applyNumberFormat="1" applyFont="1" applyBorder="1" applyAlignment="1">
      <alignment horizontal="left" vertical="center"/>
    </xf>
    <xf numFmtId="0" fontId="2" fillId="10" borderId="15" xfId="164" applyFont="1" applyFill="1" applyBorder="1" applyAlignment="1">
      <alignment horizontal="center" vertical="center" wrapText="1"/>
      <protection locked="0"/>
    </xf>
    <xf numFmtId="10" fontId="5" fillId="0" borderId="41" xfId="2" applyNumberFormat="1" applyFont="1" applyBorder="1" applyAlignment="1" applyProtection="1">
      <alignment vertical="center" wrapText="1"/>
      <protection locked="0"/>
    </xf>
    <xf numFmtId="0" fontId="5" fillId="0" borderId="41" xfId="164" applyFont="1" applyBorder="1" applyAlignment="1">
      <alignment vertical="center" wrapText="1"/>
      <protection locked="0"/>
    </xf>
    <xf numFmtId="43" fontId="69" fillId="10" borderId="41" xfId="1" applyNumberFormat="1" applyFont="1" applyFill="1" applyBorder="1" applyAlignment="1" applyProtection="1">
      <alignment vertical="center"/>
    </xf>
    <xf numFmtId="43" fontId="5" fillId="0" borderId="41" xfId="164" applyNumberFormat="1" applyFont="1" applyBorder="1" applyAlignment="1">
      <alignment vertical="center" wrapText="1"/>
      <protection locked="0"/>
    </xf>
    <xf numFmtId="0" fontId="130" fillId="0" borderId="0" xfId="164" applyFont="1" applyAlignment="1">
      <alignment vertical="center"/>
      <protection locked="0"/>
    </xf>
    <xf numFmtId="0" fontId="4" fillId="0" borderId="0" xfId="333" applyFont="1" applyAlignment="1">
      <alignment vertical="center"/>
      <protection locked="0"/>
    </xf>
    <xf numFmtId="203" fontId="19" fillId="0" borderId="0" xfId="374" applyFont="1" applyFill="1" applyAlignment="1">
      <alignment vertical="center"/>
    </xf>
    <xf numFmtId="218" fontId="4" fillId="38" borderId="43" xfId="197" applyNumberFormat="1" applyFont="1" applyFill="1" applyBorder="1" applyAlignment="1" applyProtection="1">
      <alignment horizontal="center" vertical="center"/>
    </xf>
    <xf numFmtId="0" fontId="7" fillId="0" borderId="0" xfId="0" applyFont="1" applyAlignment="1" applyProtection="1">
      <alignment vertical="center"/>
      <protection locked="0"/>
    </xf>
    <xf numFmtId="43" fontId="5" fillId="0" borderId="43" xfId="1" applyFont="1" applyBorder="1" applyAlignment="1" applyProtection="1">
      <alignment vertical="center"/>
    </xf>
    <xf numFmtId="43" fontId="4" fillId="38" borderId="43" xfId="1" applyFont="1" applyFill="1" applyBorder="1" applyAlignment="1" applyProtection="1">
      <alignment vertical="center"/>
    </xf>
    <xf numFmtId="0" fontId="4" fillId="0" borderId="0" xfId="0" applyFont="1" applyAlignment="1" applyProtection="1">
      <alignment vertical="center"/>
      <protection locked="0"/>
    </xf>
    <xf numFmtId="203" fontId="2" fillId="0" borderId="0" xfId="195" applyFont="1" applyFill="1" applyBorder="1" applyAlignment="1" applyProtection="1">
      <alignment horizontal="left" vertical="center"/>
    </xf>
    <xf numFmtId="0" fontId="8" fillId="0" borderId="0" xfId="164" applyFont="1" applyAlignment="1">
      <alignment horizontal="left" vertical="center"/>
      <protection locked="0"/>
    </xf>
    <xf numFmtId="0" fontId="4" fillId="0" borderId="47" xfId="191" applyFont="1" applyFill="1" applyBorder="1" applyAlignment="1">
      <alignment vertical="center"/>
    </xf>
    <xf numFmtId="0" fontId="1" fillId="0" borderId="49" xfId="333" applyFill="1" applyBorder="1">
      <protection locked="0"/>
    </xf>
    <xf numFmtId="0" fontId="1" fillId="0" borderId="0" xfId="333">
      <protection locked="0"/>
    </xf>
    <xf numFmtId="0" fontId="1" fillId="0" borderId="0" xfId="333" applyBorder="1">
      <protection locked="0"/>
    </xf>
    <xf numFmtId="229" fontId="5" fillId="0" borderId="43" xfId="333" applyNumberFormat="1" applyFont="1" applyFill="1" applyBorder="1" applyAlignment="1">
      <alignment horizontal="center" vertical="center" wrapText="1"/>
      <protection locked="0"/>
    </xf>
    <xf numFmtId="49" fontId="5" fillId="0" borderId="43" xfId="333" applyNumberFormat="1" applyFont="1" applyFill="1" applyBorder="1" applyAlignment="1">
      <alignment horizontal="center" vertical="center"/>
      <protection locked="0"/>
    </xf>
    <xf numFmtId="0" fontId="5" fillId="0" borderId="43" xfId="333" applyFont="1" applyFill="1" applyBorder="1" applyAlignment="1">
      <alignment vertical="center"/>
      <protection locked="0"/>
    </xf>
    <xf numFmtId="49" fontId="5" fillId="0" borderId="43" xfId="333" applyNumberFormat="1" applyFont="1" applyFill="1" applyBorder="1" applyAlignment="1">
      <alignment vertical="center"/>
      <protection locked="0"/>
    </xf>
    <xf numFmtId="0" fontId="72" fillId="38" borderId="43" xfId="333" applyFont="1" applyFill="1" applyBorder="1" applyAlignment="1">
      <alignment horizontal="center" vertical="center" wrapText="1"/>
      <protection locked="0"/>
    </xf>
    <xf numFmtId="229" fontId="4" fillId="38" borderId="43" xfId="333" applyNumberFormat="1" applyFont="1" applyFill="1" applyBorder="1" applyAlignment="1">
      <alignment horizontal="center" vertical="center" wrapText="1"/>
      <protection locked="0"/>
    </xf>
    <xf numFmtId="49" fontId="4" fillId="38" borderId="43" xfId="333" applyNumberFormat="1" applyFont="1" applyFill="1" applyBorder="1" applyAlignment="1">
      <alignment horizontal="center" vertical="center"/>
      <protection locked="0"/>
    </xf>
    <xf numFmtId="0" fontId="4" fillId="38" borderId="43" xfId="333" applyFont="1" applyFill="1" applyBorder="1" applyAlignment="1">
      <alignment vertical="center"/>
      <protection locked="0"/>
    </xf>
    <xf numFmtId="228" fontId="4" fillId="38" borderId="43" xfId="333" applyNumberFormat="1" applyFont="1" applyFill="1" applyBorder="1" applyAlignment="1">
      <alignment horizontal="right" vertical="center" shrinkToFit="1"/>
      <protection locked="0"/>
    </xf>
    <xf numFmtId="14" fontId="4" fillId="38" borderId="43" xfId="333" applyNumberFormat="1" applyFont="1" applyFill="1" applyBorder="1" applyAlignment="1">
      <alignment horizontal="center" vertical="center" wrapText="1"/>
      <protection locked="0"/>
    </xf>
    <xf numFmtId="0" fontId="4" fillId="38" borderId="43" xfId="333" applyFont="1" applyFill="1" applyBorder="1" applyAlignment="1">
      <alignment vertical="center" wrapText="1"/>
      <protection locked="0"/>
    </xf>
    <xf numFmtId="0" fontId="2" fillId="38" borderId="43" xfId="333" applyFont="1" applyFill="1" applyBorder="1" applyAlignment="1">
      <alignment vertical="center"/>
      <protection locked="0"/>
    </xf>
    <xf numFmtId="43" fontId="4" fillId="38" borderId="43" xfId="376" applyFont="1" applyFill="1" applyBorder="1" applyAlignment="1" applyProtection="1">
      <alignment vertical="center"/>
      <protection locked="0"/>
    </xf>
    <xf numFmtId="0" fontId="132" fillId="0" borderId="0" xfId="370" applyFont="1">
      <protection locked="0"/>
    </xf>
    <xf numFmtId="203" fontId="132" fillId="0" borderId="0" xfId="200" applyFont="1" applyFill="1" applyAlignment="1">
      <alignment vertical="center"/>
    </xf>
    <xf numFmtId="0" fontId="132" fillId="0" borderId="0" xfId="190" applyFont="1" applyAlignment="1">
      <alignment vertical="center"/>
    </xf>
    <xf numFmtId="0" fontId="132" fillId="0" borderId="0" xfId="190" applyFont="1" applyAlignment="1">
      <alignment vertical="center" wrapText="1"/>
    </xf>
    <xf numFmtId="0" fontId="134" fillId="0" borderId="0" xfId="194" applyFont="1">
      <alignment vertical="center"/>
    </xf>
    <xf numFmtId="0" fontId="133" fillId="0" borderId="0" xfId="164" applyFont="1" applyAlignment="1">
      <alignment vertical="center"/>
      <protection locked="0"/>
    </xf>
    <xf numFmtId="43" fontId="132" fillId="0" borderId="0" xfId="3" applyNumberFormat="1" applyFont="1" applyBorder="1" applyAlignment="1">
      <alignment vertical="center"/>
    </xf>
    <xf numFmtId="203" fontId="136" fillId="0" borderId="0" xfId="200" applyFont="1" applyFill="1" applyAlignment="1">
      <alignment vertical="center"/>
    </xf>
    <xf numFmtId="0" fontId="136" fillId="0" borderId="0" xfId="190" applyFont="1" applyAlignment="1">
      <alignment vertical="center"/>
    </xf>
    <xf numFmtId="0" fontId="136" fillId="0" borderId="0" xfId="190" applyFont="1" applyAlignment="1">
      <alignment vertical="center" wrapText="1"/>
    </xf>
    <xf numFmtId="0" fontId="136" fillId="0" borderId="0" xfId="370" applyFont="1">
      <protection locked="0"/>
    </xf>
    <xf numFmtId="0" fontId="137" fillId="0" borderId="0" xfId="194" applyFont="1">
      <alignment vertical="center"/>
    </xf>
    <xf numFmtId="0" fontId="135" fillId="0" borderId="0" xfId="164" applyFont="1" applyAlignment="1">
      <alignment vertical="center"/>
      <protection locked="0"/>
    </xf>
    <xf numFmtId="43" fontId="136" fillId="0" borderId="0" xfId="3" applyNumberFormat="1" applyFont="1" applyBorder="1" applyAlignment="1">
      <alignment vertical="center"/>
    </xf>
    <xf numFmtId="14" fontId="5" fillId="0" borderId="41" xfId="164" applyNumberFormat="1" applyFont="1" applyBorder="1" applyAlignment="1">
      <alignment vertical="center" wrapText="1"/>
      <protection locked="0"/>
    </xf>
    <xf numFmtId="0" fontId="78" fillId="0" borderId="6" xfId="0" applyFont="1" applyFill="1" applyBorder="1" applyAlignment="1">
      <alignment vertical="center"/>
    </xf>
    <xf numFmtId="43" fontId="5" fillId="10" borderId="15" xfId="199" applyNumberFormat="1" applyFont="1" applyFill="1" applyBorder="1" applyAlignment="1" applyProtection="1">
      <alignment horizontal="right" vertical="center" shrinkToFit="1"/>
    </xf>
    <xf numFmtId="0" fontId="11" fillId="0" borderId="0" xfId="164" applyFont="1" applyAlignment="1">
      <alignment vertical="center"/>
      <protection locked="0"/>
    </xf>
    <xf numFmtId="0" fontId="17" fillId="0" borderId="0" xfId="164" applyFont="1">
      <protection locked="0"/>
    </xf>
    <xf numFmtId="0" fontId="5" fillId="0" borderId="0" xfId="5" applyFont="1" applyAlignment="1">
      <alignment horizontal="center" vertical="center"/>
    </xf>
    <xf numFmtId="203" fontId="72" fillId="10" borderId="15" xfId="197" applyNumberFormat="1" applyFont="1" applyFill="1" applyBorder="1" applyAlignment="1" applyProtection="1">
      <alignment horizontal="center" vertical="center" wrapText="1"/>
      <protection locked="0"/>
    </xf>
    <xf numFmtId="0" fontId="2" fillId="0" borderId="0" xfId="0" applyFont="1" applyAlignment="1" applyProtection="1">
      <alignment vertical="center"/>
      <protection locked="0"/>
    </xf>
    <xf numFmtId="0" fontId="138" fillId="0" borderId="0" xfId="0" applyFont="1" applyAlignment="1" applyProtection="1">
      <alignment vertical="center"/>
      <protection locked="0"/>
    </xf>
    <xf numFmtId="0" fontId="19" fillId="0" borderId="0" xfId="0" applyFont="1" applyBorder="1" applyAlignment="1" applyProtection="1">
      <alignment horizontal="justify" vertical="center" wrapText="1"/>
      <protection locked="0"/>
    </xf>
    <xf numFmtId="0" fontId="8" fillId="0" borderId="0" xfId="0" applyFont="1" applyBorder="1" applyAlignment="1" applyProtection="1">
      <alignment horizontal="justify" vertical="center" wrapText="1"/>
      <protection locked="0"/>
    </xf>
    <xf numFmtId="0" fontId="19" fillId="0" borderId="0" xfId="0" applyFont="1" applyBorder="1" applyAlignment="1" applyProtection="1">
      <alignment vertical="center"/>
      <protection locked="0"/>
    </xf>
    <xf numFmtId="0" fontId="10" fillId="0" borderId="0" xfId="0" applyFont="1" applyBorder="1" applyAlignment="1" applyProtection="1">
      <alignment horizontal="justify" vertical="center" wrapText="1"/>
      <protection locked="0"/>
    </xf>
    <xf numFmtId="0" fontId="138" fillId="0" borderId="0" xfId="0" applyFont="1" applyBorder="1" applyAlignment="1" applyProtection="1">
      <alignment vertical="center"/>
      <protection locked="0"/>
    </xf>
    <xf numFmtId="0" fontId="35" fillId="0" borderId="0" xfId="0" applyFont="1" applyAlignment="1" applyProtection="1">
      <alignment horizontal="justify" vertical="center"/>
      <protection locked="0"/>
    </xf>
    <xf numFmtId="43" fontId="120" fillId="10" borderId="2" xfId="1" applyFont="1" applyFill="1" applyBorder="1" applyAlignment="1">
      <alignment horizontal="left" vertical="center"/>
    </xf>
    <xf numFmtId="43" fontId="120" fillId="10" borderId="1" xfId="1" applyFont="1" applyFill="1" applyBorder="1" applyAlignment="1">
      <alignment horizontal="center" vertical="center"/>
    </xf>
    <xf numFmtId="43" fontId="120" fillId="10" borderId="2" xfId="1" applyFont="1" applyFill="1" applyBorder="1" applyAlignment="1">
      <alignment horizontal="center" vertical="center"/>
    </xf>
    <xf numFmtId="43" fontId="120" fillId="10" borderId="2" xfId="1" applyFont="1" applyFill="1" applyBorder="1" applyAlignment="1">
      <alignment horizontal="centerContinuous" vertical="center"/>
    </xf>
    <xf numFmtId="43" fontId="120" fillId="10" borderId="3" xfId="1" applyFont="1" applyFill="1" applyBorder="1" applyAlignment="1">
      <alignment horizontal="centerContinuous" vertical="center" shrinkToFit="1"/>
    </xf>
    <xf numFmtId="43" fontId="124" fillId="0" borderId="0" xfId="3" applyNumberFormat="1" applyFont="1" applyBorder="1" applyAlignment="1">
      <alignment vertical="center"/>
    </xf>
    <xf numFmtId="43" fontId="4" fillId="10" borderId="15" xfId="199" applyNumberFormat="1" applyFont="1" applyFill="1" applyBorder="1" applyAlignment="1" applyProtection="1">
      <alignment horizontal="right" vertical="center" shrinkToFit="1"/>
    </xf>
    <xf numFmtId="10" fontId="5" fillId="10" borderId="15" xfId="2" applyNumberFormat="1" applyFont="1" applyFill="1" applyBorder="1" applyAlignment="1" applyProtection="1">
      <alignment horizontal="right" vertical="center" shrinkToFit="1"/>
    </xf>
    <xf numFmtId="10" fontId="120" fillId="10" borderId="2" xfId="1" applyNumberFormat="1" applyFont="1" applyFill="1" applyBorder="1" applyAlignment="1">
      <alignment horizontal="center" vertical="center"/>
    </xf>
    <xf numFmtId="10" fontId="5" fillId="10" borderId="15" xfId="199" applyNumberFormat="1" applyFont="1" applyFill="1" applyBorder="1" applyAlignment="1" applyProtection="1">
      <alignment horizontal="right" vertical="center" shrinkToFit="1"/>
    </xf>
    <xf numFmtId="10" fontId="4" fillId="10" borderId="15" xfId="199" applyNumberFormat="1" applyFont="1" applyFill="1" applyBorder="1" applyAlignment="1" applyProtection="1">
      <alignment horizontal="right" vertical="center" shrinkToFit="1"/>
    </xf>
    <xf numFmtId="0" fontId="130" fillId="0" borderId="0" xfId="194" applyFont="1">
      <alignment vertical="center"/>
    </xf>
    <xf numFmtId="49" fontId="35" fillId="0" borderId="0" xfId="196" applyNumberFormat="1" applyFont="1" applyFill="1" applyAlignment="1">
      <alignment horizontal="center" vertical="center"/>
    </xf>
    <xf numFmtId="203" fontId="35" fillId="0" borderId="0" xfId="373" applyFont="1" applyAlignment="1">
      <alignment vertical="center"/>
      <protection locked="0"/>
    </xf>
    <xf numFmtId="203" fontId="124" fillId="0" borderId="0" xfId="201" applyFont="1" applyFill="1" applyBorder="1" applyAlignment="1">
      <alignment vertical="center"/>
      <protection locked="0"/>
    </xf>
    <xf numFmtId="203" fontId="124" fillId="0" borderId="0" xfId="201" applyFont="1" applyFill="1" applyAlignment="1">
      <alignment vertical="center"/>
      <protection locked="0"/>
    </xf>
    <xf numFmtId="0" fontId="124" fillId="0" borderId="0" xfId="164" applyFont="1" applyAlignment="1">
      <alignment vertical="center" wrapText="1"/>
      <protection locked="0"/>
    </xf>
    <xf numFmtId="0" fontId="124" fillId="0" borderId="0" xfId="164" applyFont="1" applyAlignment="1">
      <alignment vertical="center"/>
      <protection locked="0"/>
    </xf>
    <xf numFmtId="43" fontId="124" fillId="0" borderId="0" xfId="3" applyNumberFormat="1" applyFont="1" applyBorder="1" applyAlignment="1">
      <alignment horizontal="left" vertical="center"/>
    </xf>
    <xf numFmtId="14" fontId="124" fillId="0" borderId="0" xfId="3" applyNumberFormat="1" applyFont="1" applyBorder="1" applyAlignment="1">
      <alignment vertical="center"/>
    </xf>
    <xf numFmtId="0" fontId="124" fillId="0" borderId="0" xfId="164" applyFont="1" applyAlignment="1">
      <alignment horizontal="right" vertical="center"/>
      <protection locked="0"/>
    </xf>
    <xf numFmtId="14" fontId="124" fillId="0" borderId="0" xfId="164" applyNumberFormat="1" applyFont="1" applyAlignment="1">
      <alignment vertical="center"/>
      <protection locked="0"/>
    </xf>
    <xf numFmtId="0" fontId="124" fillId="0" borderId="0" xfId="164" applyFont="1" applyBorder="1" applyAlignment="1">
      <alignment vertical="center"/>
      <protection locked="0"/>
    </xf>
    <xf numFmtId="43" fontId="124" fillId="0" borderId="0" xfId="3" applyNumberFormat="1" applyFont="1" applyBorder="1" applyAlignment="1">
      <alignment horizontal="center" vertical="center"/>
    </xf>
    <xf numFmtId="49" fontId="124" fillId="0" borderId="0" xfId="3" applyNumberFormat="1" applyFont="1" applyBorder="1" applyAlignment="1">
      <alignment horizontal="center" vertical="center"/>
    </xf>
    <xf numFmtId="203" fontId="124" fillId="0" borderId="0" xfId="201" applyFont="1" applyFill="1" applyBorder="1" applyAlignment="1">
      <alignment horizontal="left" vertical="center"/>
      <protection locked="0"/>
    </xf>
    <xf numFmtId="203" fontId="68" fillId="0" borderId="0" xfId="195" applyFont="1" applyFill="1" applyAlignment="1" applyProtection="1">
      <alignment horizontal="left" vertical="center" wrapText="1"/>
    </xf>
    <xf numFmtId="203" fontId="19" fillId="0" borderId="0" xfId="196" applyFont="1" applyFill="1" applyBorder="1" applyAlignment="1">
      <alignment vertical="center"/>
    </xf>
    <xf numFmtId="203" fontId="19" fillId="0" borderId="0" xfId="201" applyFont="1" applyFill="1" applyBorder="1" applyAlignment="1">
      <alignment horizontal="center" vertical="center" wrapText="1"/>
      <protection locked="0"/>
    </xf>
    <xf numFmtId="203" fontId="35" fillId="0" borderId="0" xfId="373" applyFont="1" applyBorder="1" applyAlignment="1">
      <alignment horizontal="justify" vertical="center"/>
      <protection locked="0"/>
    </xf>
    <xf numFmtId="203" fontId="19" fillId="0" borderId="0" xfId="373" applyFont="1" applyFill="1" applyBorder="1" applyAlignment="1">
      <alignment horizontal="center" vertical="center" wrapText="1"/>
      <protection locked="0"/>
    </xf>
    <xf numFmtId="44" fontId="140" fillId="0" borderId="0" xfId="194" applyNumberFormat="1" applyFont="1" applyAlignment="1">
      <alignment horizontal="left" vertical="center"/>
    </xf>
    <xf numFmtId="44" fontId="141" fillId="0" borderId="0" xfId="194" applyNumberFormat="1" applyFont="1" applyAlignment="1">
      <alignment horizontal="left" vertical="center"/>
    </xf>
    <xf numFmtId="0" fontId="69" fillId="0" borderId="0" xfId="195" applyNumberFormat="1" applyFont="1" applyFill="1" applyAlignment="1" applyProtection="1">
      <alignment horizontal="left" vertical="center"/>
    </xf>
    <xf numFmtId="0" fontId="69" fillId="0" borderId="0" xfId="195" applyNumberFormat="1" applyFont="1" applyFill="1" applyAlignment="1" applyProtection="1">
      <alignment vertical="center"/>
    </xf>
    <xf numFmtId="0" fontId="124" fillId="0" borderId="0" xfId="370" applyFont="1" applyAlignment="1">
      <alignment horizontal="left"/>
      <protection locked="0"/>
    </xf>
    <xf numFmtId="0" fontId="142" fillId="0" borderId="0" xfId="4" applyFont="1" applyBorder="1" applyAlignment="1">
      <alignment vertical="center"/>
      <protection locked="0"/>
    </xf>
    <xf numFmtId="0" fontId="5" fillId="0" borderId="15" xfId="164" applyNumberFormat="1" applyFont="1" applyBorder="1" applyAlignment="1">
      <alignment vertical="center" wrapText="1"/>
      <protection locked="0"/>
    </xf>
    <xf numFmtId="0" fontId="5" fillId="0" borderId="50" xfId="164" applyFont="1" applyBorder="1" applyAlignment="1">
      <alignment vertical="center" wrapText="1"/>
      <protection locked="0"/>
    </xf>
    <xf numFmtId="44" fontId="124" fillId="0" borderId="0" xfId="3" applyNumberFormat="1" applyFont="1" applyBorder="1" applyAlignment="1">
      <alignment horizontal="left" vertical="center"/>
    </xf>
    <xf numFmtId="44" fontId="124" fillId="0" borderId="0" xfId="164" applyNumberFormat="1" applyFont="1" applyAlignment="1">
      <alignment horizontal="left" vertical="center" wrapText="1"/>
      <protection locked="0"/>
    </xf>
    <xf numFmtId="44" fontId="124" fillId="0" borderId="0" xfId="164" applyNumberFormat="1" applyFont="1" applyAlignment="1">
      <alignment horizontal="left" vertical="center"/>
      <protection locked="0"/>
    </xf>
    <xf numFmtId="44" fontId="124" fillId="0" borderId="0" xfId="164" applyNumberFormat="1" applyFont="1" applyBorder="1" applyAlignment="1">
      <alignment horizontal="left" vertical="center"/>
      <protection locked="0"/>
    </xf>
    <xf numFmtId="0" fontId="5" fillId="0" borderId="43" xfId="197" applyNumberFormat="1" applyFont="1" applyBorder="1" applyAlignment="1" applyProtection="1">
      <alignment vertical="center"/>
    </xf>
    <xf numFmtId="0" fontId="5" fillId="0" borderId="0" xfId="333" applyFont="1" applyBorder="1" applyAlignment="1">
      <alignment vertical="center"/>
      <protection locked="0"/>
    </xf>
    <xf numFmtId="0" fontId="133" fillId="0" borderId="0" xfId="190" applyFont="1" applyAlignment="1">
      <alignment horizontal="center" vertical="center" wrapText="1"/>
    </xf>
    <xf numFmtId="0" fontId="135" fillId="0" borderId="0" xfId="190" applyFont="1" applyAlignment="1">
      <alignment horizontal="center" vertical="center" wrapText="1"/>
    </xf>
    <xf numFmtId="0" fontId="5" fillId="0" borderId="0" xfId="0" applyFont="1" applyAlignment="1" applyProtection="1">
      <alignment horizontal="center" vertical="center"/>
      <protection locked="0"/>
    </xf>
    <xf numFmtId="0" fontId="5" fillId="0" borderId="0" xfId="0" applyFont="1" applyBorder="1" applyAlignment="1" applyProtection="1">
      <alignment horizontal="center" vertical="center"/>
      <protection locked="0"/>
    </xf>
    <xf numFmtId="0" fontId="5" fillId="0" borderId="11" xfId="0" applyFont="1" applyBorder="1" applyAlignment="1" applyProtection="1">
      <alignment horizontal="center" vertical="center" wrapText="1"/>
      <protection locked="0"/>
    </xf>
    <xf numFmtId="0" fontId="143" fillId="0" borderId="11" xfId="4" applyFont="1" applyBorder="1" applyAlignment="1">
      <alignment vertical="center"/>
      <protection locked="0"/>
    </xf>
    <xf numFmtId="0" fontId="143" fillId="0" borderId="11" xfId="4" quotePrefix="1" applyFont="1" applyBorder="1" applyAlignment="1">
      <alignment vertical="center"/>
      <protection locked="0"/>
    </xf>
    <xf numFmtId="0" fontId="5" fillId="0" borderId="11" xfId="0" applyFont="1" applyBorder="1" applyAlignment="1" applyProtection="1">
      <alignment horizontal="center" vertical="center"/>
      <protection locked="0"/>
    </xf>
    <xf numFmtId="228" fontId="4" fillId="38" borderId="50" xfId="333" applyNumberFormat="1" applyFont="1" applyFill="1" applyBorder="1" applyAlignment="1">
      <alignment horizontal="right" vertical="center" shrinkToFit="1"/>
      <protection locked="0"/>
    </xf>
    <xf numFmtId="49" fontId="5" fillId="0" borderId="50" xfId="379" applyNumberFormat="1" applyFont="1" applyBorder="1" applyAlignment="1">
      <alignment horizontal="center" vertical="center"/>
      <protection locked="0"/>
    </xf>
    <xf numFmtId="0" fontId="5" fillId="0" borderId="50" xfId="330" applyFont="1" applyBorder="1" applyAlignment="1" applyProtection="1">
      <alignment horizontal="center" vertical="center"/>
      <protection locked="0"/>
    </xf>
    <xf numFmtId="43" fontId="5" fillId="0" borderId="43" xfId="333" applyNumberFormat="1" applyFont="1" applyFill="1" applyBorder="1" applyAlignment="1">
      <alignment horizontal="right" vertical="center" shrinkToFit="1"/>
      <protection locked="0"/>
    </xf>
    <xf numFmtId="0" fontId="77" fillId="0" borderId="0" xfId="330" applyFont="1" applyFill="1" applyBorder="1" applyAlignment="1" applyProtection="1">
      <alignment horizontal="left" vertical="center"/>
      <protection locked="0"/>
    </xf>
    <xf numFmtId="49" fontId="8" fillId="0" borderId="50" xfId="379" applyNumberFormat="1" applyFont="1" applyBorder="1" applyAlignment="1">
      <alignment horizontal="center" vertical="center"/>
      <protection locked="0"/>
    </xf>
    <xf numFmtId="0" fontId="8" fillId="0" borderId="43" xfId="197" applyNumberFormat="1" applyFont="1" applyBorder="1" applyAlignment="1" applyProtection="1">
      <alignment vertical="center"/>
    </xf>
    <xf numFmtId="0" fontId="8" fillId="0" borderId="43" xfId="333" applyFont="1" applyFill="1" applyBorder="1" applyAlignment="1">
      <alignment vertical="center"/>
      <protection locked="0"/>
    </xf>
    <xf numFmtId="0" fontId="2" fillId="38" borderId="15" xfId="164" applyFont="1" applyFill="1" applyBorder="1" applyAlignment="1">
      <alignment horizontal="center" vertical="center" wrapText="1"/>
      <protection locked="0"/>
    </xf>
    <xf numFmtId="0" fontId="2" fillId="38" borderId="41" xfId="0" applyFont="1" applyFill="1" applyBorder="1" applyAlignment="1" applyProtection="1">
      <alignment horizontal="center" vertical="center" wrapText="1"/>
    </xf>
    <xf numFmtId="43" fontId="69" fillId="38" borderId="50" xfId="1" applyNumberFormat="1" applyFont="1" applyFill="1" applyBorder="1" applyAlignment="1" applyProtection="1">
      <alignment vertical="center"/>
    </xf>
    <xf numFmtId="10" fontId="4" fillId="38" borderId="41" xfId="2" applyNumberFormat="1" applyFont="1" applyFill="1" applyBorder="1" applyAlignment="1" applyProtection="1">
      <alignment vertical="center" wrapText="1"/>
      <protection locked="0"/>
    </xf>
    <xf numFmtId="0" fontId="5" fillId="38" borderId="41" xfId="164" applyFont="1" applyFill="1" applyBorder="1" applyAlignment="1">
      <alignment vertical="center" wrapText="1"/>
      <protection locked="0"/>
    </xf>
    <xf numFmtId="43" fontId="4" fillId="38" borderId="41" xfId="164" applyNumberFormat="1" applyFont="1" applyFill="1" applyBorder="1" applyAlignment="1">
      <alignment vertical="center" wrapText="1"/>
      <protection locked="0"/>
    </xf>
    <xf numFmtId="43" fontId="68" fillId="38" borderId="41" xfId="1" applyNumberFormat="1" applyFont="1" applyFill="1" applyBorder="1" applyAlignment="1" applyProtection="1">
      <alignment vertical="center"/>
    </xf>
    <xf numFmtId="0" fontId="4" fillId="38" borderId="41" xfId="164" applyFont="1" applyFill="1" applyBorder="1" applyAlignment="1">
      <alignment vertical="center" wrapText="1"/>
      <protection locked="0"/>
    </xf>
    <xf numFmtId="10" fontId="5" fillId="38" borderId="15" xfId="2" applyNumberFormat="1" applyFont="1" applyFill="1" applyBorder="1" applyAlignment="1" applyProtection="1">
      <alignment vertical="center" wrapText="1"/>
      <protection locked="0"/>
    </xf>
    <xf numFmtId="43" fontId="68" fillId="38" borderId="39" xfId="1" applyNumberFormat="1" applyFont="1" applyFill="1" applyBorder="1" applyAlignment="1" applyProtection="1">
      <alignment vertical="center"/>
    </xf>
    <xf numFmtId="0" fontId="5" fillId="38" borderId="50" xfId="164" applyFont="1" applyFill="1" applyBorder="1" applyAlignment="1">
      <alignment vertical="center" wrapText="1"/>
      <protection locked="0"/>
    </xf>
    <xf numFmtId="0" fontId="4" fillId="38" borderId="50" xfId="330" applyNumberFormat="1" applyFont="1" applyFill="1" applyBorder="1" applyAlignment="1" applyProtection="1">
      <alignment horizontal="center" vertical="center"/>
      <protection locked="0"/>
    </xf>
    <xf numFmtId="218" fontId="2" fillId="38" borderId="43" xfId="197" applyNumberFormat="1" applyFont="1" applyFill="1" applyBorder="1" applyAlignment="1" applyProtection="1">
      <alignment horizontal="center" vertical="center"/>
    </xf>
    <xf numFmtId="218" fontId="4" fillId="38" borderId="43" xfId="197" applyNumberFormat="1" applyFont="1" applyFill="1" applyBorder="1" applyAlignment="1" applyProtection="1">
      <alignment horizontal="centerContinuous" vertical="center"/>
    </xf>
    <xf numFmtId="218" fontId="2" fillId="38" borderId="43" xfId="197" applyNumberFormat="1" applyFont="1" applyFill="1" applyBorder="1" applyAlignment="1" applyProtection="1">
      <alignment horizontal="center" vertical="center" wrapText="1"/>
    </xf>
    <xf numFmtId="0" fontId="7" fillId="38" borderId="0" xfId="0" applyFont="1" applyFill="1" applyAlignment="1" applyProtection="1">
      <alignment vertical="center"/>
      <protection locked="0"/>
    </xf>
    <xf numFmtId="43" fontId="4" fillId="38" borderId="43" xfId="1" applyFont="1" applyFill="1" applyBorder="1" applyAlignment="1" applyProtection="1">
      <alignment horizontal="center" vertical="center"/>
    </xf>
    <xf numFmtId="43" fontId="5" fillId="0" borderId="43" xfId="1" applyFont="1" applyFill="1" applyBorder="1" applyAlignment="1" applyProtection="1">
      <alignment vertical="center"/>
    </xf>
    <xf numFmtId="203" fontId="68" fillId="0" borderId="0" xfId="195" applyFont="1" applyFill="1" applyAlignment="1" applyProtection="1">
      <alignment horizontal="left" vertical="center" wrapText="1"/>
    </xf>
    <xf numFmtId="0" fontId="2" fillId="10" borderId="51" xfId="194" applyFont="1" applyFill="1" applyBorder="1" applyAlignment="1" applyProtection="1">
      <alignment horizontal="center" vertical="center" wrapText="1"/>
      <protection locked="0"/>
    </xf>
    <xf numFmtId="0" fontId="5" fillId="9" borderId="0" xfId="0" applyFont="1" applyFill="1" applyBorder="1" applyAlignment="1" applyProtection="1">
      <alignment horizontal="justify" vertical="center" wrapText="1"/>
      <protection locked="0"/>
    </xf>
    <xf numFmtId="0" fontId="145" fillId="0" borderId="0" xfId="0" applyFont="1" applyAlignment="1" applyProtection="1">
      <alignment horizontal="center" vertical="center"/>
      <protection locked="0"/>
    </xf>
    <xf numFmtId="203" fontId="131" fillId="0" borderId="0" xfId="380" applyFont="1" applyFill="1" applyAlignment="1">
      <alignment horizontal="left" vertical="center"/>
    </xf>
    <xf numFmtId="0" fontId="2" fillId="10" borderId="51" xfId="194" applyFont="1" applyFill="1" applyBorder="1" applyAlignment="1" applyProtection="1">
      <alignment horizontal="center" vertical="center"/>
      <protection locked="0"/>
    </xf>
    <xf numFmtId="49" fontId="5" fillId="0" borderId="51" xfId="196" applyNumberFormat="1" applyFont="1" applyFill="1" applyBorder="1" applyAlignment="1">
      <alignment horizontal="center" vertical="center"/>
    </xf>
    <xf numFmtId="0" fontId="86" fillId="0" borderId="51" xfId="194" applyFont="1" applyFill="1" applyBorder="1" applyAlignment="1">
      <alignment horizontal="left" vertical="center" wrapText="1"/>
    </xf>
    <xf numFmtId="0" fontId="86" fillId="0" borderId="51" xfId="194" applyFont="1" applyFill="1" applyBorder="1" applyAlignment="1">
      <alignment horizontal="center" vertical="center" wrapText="1"/>
    </xf>
    <xf numFmtId="0" fontId="78" fillId="0" borderId="51" xfId="194" applyFont="1" applyFill="1" applyBorder="1" applyAlignment="1">
      <alignment horizontal="center" vertical="center" wrapText="1"/>
    </xf>
    <xf numFmtId="0" fontId="74" fillId="0" borderId="51" xfId="194" applyFont="1" applyFill="1" applyBorder="1" applyAlignment="1">
      <alignment horizontal="center" vertical="center" wrapText="1"/>
    </xf>
    <xf numFmtId="0" fontId="5" fillId="0" borderId="51" xfId="194" applyFont="1" applyFill="1" applyBorder="1" applyAlignment="1">
      <alignment horizontal="center" vertical="center" wrapText="1"/>
    </xf>
    <xf numFmtId="0" fontId="77" fillId="0" borderId="51" xfId="194" applyFont="1" applyFill="1" applyBorder="1" applyAlignment="1">
      <alignment horizontal="center" vertical="center" wrapText="1"/>
    </xf>
    <xf numFmtId="203" fontId="8" fillId="0" borderId="51" xfId="201" applyFont="1" applyFill="1" applyBorder="1" applyAlignment="1">
      <alignment horizontal="left" vertical="center" wrapText="1"/>
      <protection locked="0"/>
    </xf>
    <xf numFmtId="203" fontId="8" fillId="0" borderId="51" xfId="201" applyFont="1" applyFill="1" applyBorder="1" applyAlignment="1">
      <alignment horizontal="center" vertical="center" wrapText="1"/>
      <protection locked="0"/>
    </xf>
    <xf numFmtId="0" fontId="86" fillId="0" borderId="51" xfId="348" applyFont="1" applyFill="1" applyBorder="1" applyAlignment="1">
      <alignment horizontal="center" vertical="center" wrapText="1"/>
    </xf>
    <xf numFmtId="0" fontId="78" fillId="0" borderId="51" xfId="348" applyFont="1" applyFill="1" applyBorder="1" applyAlignment="1">
      <alignment horizontal="center" vertical="center" wrapText="1"/>
    </xf>
    <xf numFmtId="203" fontId="19" fillId="0" borderId="51" xfId="201" applyFont="1" applyFill="1" applyBorder="1" applyAlignment="1">
      <alignment horizontal="center" vertical="center" wrapText="1"/>
      <protection locked="0"/>
    </xf>
    <xf numFmtId="0" fontId="5" fillId="0" borderId="51" xfId="333" applyFont="1" applyFill="1" applyBorder="1" applyAlignment="1">
      <alignment horizontal="left" vertical="center" wrapText="1"/>
      <protection locked="0"/>
    </xf>
    <xf numFmtId="0" fontId="8" fillId="0" borderId="51" xfId="333" applyFont="1" applyBorder="1" applyAlignment="1">
      <alignment horizontal="center" vertical="center" wrapText="1" shrinkToFit="1"/>
      <protection locked="0"/>
    </xf>
    <xf numFmtId="0" fontId="5" fillId="0" borderId="51" xfId="333" applyFont="1" applyBorder="1" applyAlignment="1">
      <alignment horizontal="center" vertical="center" wrapText="1"/>
      <protection locked="0"/>
    </xf>
    <xf numFmtId="0" fontId="2" fillId="0" borderId="51" xfId="333" applyFont="1" applyBorder="1" applyAlignment="1">
      <alignment horizontal="center" vertical="center" wrapText="1"/>
      <protection locked="0"/>
    </xf>
    <xf numFmtId="0" fontId="8" fillId="0" borderId="51" xfId="0" applyFont="1" applyFill="1" applyBorder="1" applyAlignment="1" applyProtection="1">
      <alignment horizontal="left" vertical="center" wrapText="1"/>
    </xf>
    <xf numFmtId="0" fontId="86" fillId="0" borderId="51" xfId="0" applyFont="1" applyFill="1" applyBorder="1" applyAlignment="1" applyProtection="1">
      <alignment horizontal="center" vertical="center" wrapText="1"/>
    </xf>
    <xf numFmtId="0" fontId="5" fillId="0" borderId="51" xfId="0" applyFont="1" applyFill="1" applyBorder="1" applyAlignment="1" applyProtection="1">
      <alignment horizontal="center" vertical="center" wrapText="1"/>
    </xf>
    <xf numFmtId="203" fontId="78" fillId="0" borderId="51" xfId="164" applyNumberFormat="1" applyFont="1" applyFill="1" applyBorder="1" applyAlignment="1" applyProtection="1">
      <alignment horizontal="left" vertical="center" wrapText="1"/>
    </xf>
    <xf numFmtId="0" fontId="86" fillId="0" borderId="51" xfId="194" applyFont="1" applyFill="1" applyBorder="1" applyAlignment="1">
      <alignment vertical="center" wrapText="1"/>
    </xf>
    <xf numFmtId="0" fontId="63" fillId="0" borderId="0" xfId="0" applyFont="1" applyFill="1" applyBorder="1" applyAlignment="1">
      <alignment horizontal="right" vertical="center" wrapText="1"/>
    </xf>
    <xf numFmtId="0" fontId="62" fillId="0" borderId="0" xfId="0" applyFont="1" applyFill="1" applyAlignment="1">
      <alignment horizontal="justify" vertical="center" wrapText="1"/>
    </xf>
    <xf numFmtId="0" fontId="62" fillId="0" borderId="0" xfId="0" applyFont="1" applyFill="1" applyAlignment="1">
      <alignment vertical="center"/>
    </xf>
    <xf numFmtId="0" fontId="70" fillId="0" borderId="51" xfId="370" applyFont="1" applyFill="1" applyBorder="1" applyAlignment="1" applyProtection="1">
      <alignment vertical="center"/>
    </xf>
    <xf numFmtId="0" fontId="8" fillId="0" borderId="51" xfId="370" applyFont="1" applyFill="1" applyBorder="1" applyAlignment="1" applyProtection="1">
      <alignment vertical="center"/>
    </xf>
    <xf numFmtId="0" fontId="5" fillId="0" borderId="0" xfId="164" applyFont="1" applyBorder="1" applyAlignment="1">
      <alignment vertical="center" wrapText="1"/>
      <protection locked="0"/>
    </xf>
    <xf numFmtId="44" fontId="17" fillId="0" borderId="0" xfId="4" applyNumberFormat="1" applyFont="1" applyAlignment="1">
      <alignment vertical="center"/>
      <protection locked="0"/>
    </xf>
    <xf numFmtId="0" fontId="6" fillId="0" borderId="0" xfId="0" applyFont="1" applyAlignment="1" applyProtection="1">
      <alignment horizontal="left" vertical="center" wrapText="1"/>
      <protection locked="0"/>
    </xf>
    <xf numFmtId="0" fontId="7" fillId="0" borderId="0" xfId="0" applyFont="1" applyAlignment="1" applyProtection="1">
      <alignment horizontal="left" vertical="center" wrapText="1"/>
      <protection locked="0"/>
    </xf>
    <xf numFmtId="203" fontId="35" fillId="10" borderId="51" xfId="373" applyFont="1" applyFill="1" applyBorder="1" applyAlignment="1">
      <alignment horizontal="center" vertical="center" wrapText="1"/>
      <protection locked="0"/>
    </xf>
    <xf numFmtId="203" fontId="8" fillId="0" borderId="0" xfId="201" applyFont="1" applyFill="1" applyBorder="1" applyAlignment="1">
      <alignment horizontal="left" vertical="center" wrapText="1"/>
      <protection locked="0"/>
    </xf>
    <xf numFmtId="203" fontId="19" fillId="0" borderId="0" xfId="201" applyFont="1" applyFill="1" applyBorder="1" applyAlignment="1">
      <alignment horizontal="left" vertical="center" wrapText="1"/>
      <protection locked="0"/>
    </xf>
    <xf numFmtId="0" fontId="2" fillId="10" borderId="51" xfId="194" applyFont="1" applyFill="1" applyBorder="1" applyAlignment="1" applyProtection="1">
      <alignment horizontal="center" vertical="center"/>
      <protection locked="0"/>
    </xf>
    <xf numFmtId="0" fontId="4" fillId="10" borderId="51" xfId="194" applyFont="1" applyFill="1" applyBorder="1" applyAlignment="1" applyProtection="1">
      <alignment horizontal="center" vertical="center"/>
      <protection locked="0"/>
    </xf>
    <xf numFmtId="0" fontId="2" fillId="10" borderId="51" xfId="194" applyFont="1" applyFill="1" applyBorder="1" applyAlignment="1" applyProtection="1">
      <alignment horizontal="center" vertical="center" wrapText="1"/>
      <protection locked="0"/>
    </xf>
    <xf numFmtId="0" fontId="2" fillId="0" borderId="52" xfId="194" applyFont="1" applyFill="1" applyBorder="1" applyAlignment="1" applyProtection="1">
      <alignment horizontal="left" vertical="center" wrapText="1"/>
      <protection locked="0"/>
    </xf>
    <xf numFmtId="49" fontId="35" fillId="10" borderId="51" xfId="373" applyNumberFormat="1" applyFont="1" applyFill="1" applyBorder="1" applyAlignment="1">
      <alignment horizontal="center" vertical="center"/>
      <protection locked="0"/>
    </xf>
    <xf numFmtId="203" fontId="133" fillId="0" borderId="0" xfId="200" applyFont="1" applyFill="1" applyAlignment="1">
      <alignment horizontal="center" vertical="center"/>
    </xf>
    <xf numFmtId="203" fontId="135" fillId="0" borderId="0" xfId="200" applyFont="1" applyFill="1" applyBorder="1" applyAlignment="1">
      <alignment horizontal="center" vertical="center"/>
    </xf>
    <xf numFmtId="203" fontId="124" fillId="0" borderId="0" xfId="201" applyFont="1" applyFill="1" applyBorder="1" applyAlignment="1">
      <alignment horizontal="left" vertical="center"/>
      <protection locked="0"/>
    </xf>
    <xf numFmtId="203" fontId="35" fillId="0" borderId="0" xfId="201" applyFont="1" applyFill="1" applyBorder="1" applyAlignment="1">
      <alignment horizontal="left" vertical="center"/>
      <protection locked="0"/>
    </xf>
    <xf numFmtId="0" fontId="8" fillId="0" borderId="51" xfId="194" applyFont="1" applyFill="1" applyBorder="1" applyAlignment="1" applyProtection="1">
      <alignment horizontal="center" vertical="center" wrapText="1"/>
      <protection locked="0"/>
    </xf>
    <xf numFmtId="0" fontId="5" fillId="0" borderId="51" xfId="194" applyFont="1" applyFill="1" applyBorder="1" applyAlignment="1" applyProtection="1">
      <alignment horizontal="left" vertical="center" wrapText="1"/>
      <protection locked="0"/>
    </xf>
    <xf numFmtId="0" fontId="35" fillId="10" borderId="51" xfId="194" applyFont="1" applyFill="1" applyBorder="1" applyAlignment="1" applyProtection="1">
      <alignment horizontal="center" vertical="center"/>
      <protection locked="0"/>
    </xf>
    <xf numFmtId="0" fontId="5" fillId="0" borderId="0" xfId="5" applyFont="1" applyAlignment="1">
      <alignment horizontal="center" vertical="center"/>
    </xf>
    <xf numFmtId="203" fontId="72" fillId="10" borderId="5" xfId="197" applyNumberFormat="1" applyFont="1" applyFill="1" applyBorder="1" applyAlignment="1" applyProtection="1">
      <alignment horizontal="center" vertical="center" wrapText="1"/>
      <protection locked="0"/>
    </xf>
    <xf numFmtId="203" fontId="72" fillId="10" borderId="6" xfId="197" applyNumberFormat="1" applyFont="1" applyFill="1" applyBorder="1" applyAlignment="1" applyProtection="1">
      <alignment horizontal="center" vertical="center" wrapText="1"/>
      <protection locked="0"/>
    </xf>
    <xf numFmtId="203" fontId="72" fillId="10" borderId="15" xfId="197" applyNumberFormat="1" applyFont="1" applyFill="1" applyBorder="1" applyAlignment="1" applyProtection="1">
      <alignment horizontal="center" vertical="center" wrapText="1"/>
      <protection locked="0"/>
    </xf>
    <xf numFmtId="203" fontId="2" fillId="10" borderId="15" xfId="197" applyFont="1" applyFill="1" applyBorder="1" applyAlignment="1" applyProtection="1">
      <alignment horizontal="center" vertical="center" wrapText="1"/>
      <protection locked="0"/>
    </xf>
    <xf numFmtId="43" fontId="133" fillId="0" borderId="0" xfId="3" applyNumberFormat="1" applyFont="1" applyBorder="1" applyAlignment="1">
      <alignment horizontal="center" vertical="center"/>
    </xf>
    <xf numFmtId="43" fontId="135" fillId="0" borderId="0" xfId="3" applyNumberFormat="1" applyFont="1" applyBorder="1" applyAlignment="1">
      <alignment horizontal="center" vertical="center"/>
    </xf>
    <xf numFmtId="43" fontId="4" fillId="10" borderId="20" xfId="1" applyFont="1" applyFill="1" applyBorder="1" applyAlignment="1">
      <alignment horizontal="center" vertical="center"/>
    </xf>
    <xf numFmtId="43" fontId="4" fillId="10" borderId="22" xfId="1" applyFont="1" applyFill="1" applyBorder="1" applyAlignment="1">
      <alignment horizontal="center" vertical="center"/>
    </xf>
    <xf numFmtId="203" fontId="2" fillId="10" borderId="5" xfId="166" applyNumberFormat="1" applyFont="1" applyFill="1" applyBorder="1" applyAlignment="1" applyProtection="1">
      <alignment horizontal="center" vertical="center" wrapText="1"/>
      <protection locked="0"/>
    </xf>
    <xf numFmtId="203" fontId="4" fillId="10" borderId="25" xfId="166" applyNumberFormat="1" applyFont="1" applyFill="1" applyBorder="1" applyAlignment="1" applyProtection="1">
      <alignment horizontal="center" vertical="center" wrapText="1"/>
      <protection locked="0"/>
    </xf>
    <xf numFmtId="203" fontId="4" fillId="10" borderId="6" xfId="166" applyNumberFormat="1" applyFont="1" applyFill="1" applyBorder="1" applyAlignment="1" applyProtection="1">
      <alignment horizontal="center" vertical="center" wrapText="1"/>
      <protection locked="0"/>
    </xf>
    <xf numFmtId="43" fontId="4" fillId="10" borderId="20" xfId="1" applyFont="1" applyFill="1" applyBorder="1" applyAlignment="1">
      <alignment horizontal="center" vertical="center" shrinkToFit="1"/>
    </xf>
    <xf numFmtId="43" fontId="4" fillId="10" borderId="21" xfId="1" applyFont="1" applyFill="1" applyBorder="1" applyAlignment="1">
      <alignment horizontal="center" vertical="center" shrinkToFit="1"/>
    </xf>
    <xf numFmtId="43" fontId="4" fillId="10" borderId="22" xfId="1" applyFont="1" applyFill="1" applyBorder="1" applyAlignment="1">
      <alignment horizontal="center" vertical="center" shrinkToFit="1"/>
    </xf>
    <xf numFmtId="43" fontId="4" fillId="10" borderId="23" xfId="1" applyFont="1" applyFill="1" applyBorder="1" applyAlignment="1">
      <alignment horizontal="center" vertical="center" shrinkToFit="1"/>
    </xf>
    <xf numFmtId="0" fontId="66" fillId="0" borderId="18" xfId="0" applyFont="1" applyBorder="1" applyAlignment="1">
      <alignment horizontal="left" vertical="center" wrapText="1"/>
    </xf>
    <xf numFmtId="0" fontId="133" fillId="0" borderId="0" xfId="164" applyFont="1" applyAlignment="1">
      <alignment horizontal="center" vertical="center"/>
      <protection locked="0"/>
    </xf>
    <xf numFmtId="0" fontId="135" fillId="0" borderId="0" xfId="164" applyFont="1" applyAlignment="1">
      <alignment horizontal="center" vertical="center"/>
      <protection locked="0"/>
    </xf>
    <xf numFmtId="0" fontId="66" fillId="0" borderId="18" xfId="0" applyFont="1" applyFill="1" applyBorder="1" applyAlignment="1">
      <alignment horizontal="left" vertical="center" wrapText="1"/>
    </xf>
    <xf numFmtId="203" fontId="68" fillId="0" borderId="0" xfId="195" applyFont="1" applyFill="1" applyAlignment="1" applyProtection="1">
      <alignment horizontal="left" vertical="center" wrapText="1"/>
    </xf>
    <xf numFmtId="203" fontId="120" fillId="10" borderId="16" xfId="195" applyFont="1" applyFill="1" applyBorder="1" applyAlignment="1">
      <alignment horizontal="center" vertical="center"/>
      <protection locked="0"/>
    </xf>
    <xf numFmtId="203" fontId="120" fillId="10" borderId="19" xfId="195" applyFont="1" applyFill="1" applyBorder="1" applyAlignment="1">
      <alignment horizontal="center" vertical="center"/>
      <protection locked="0"/>
    </xf>
    <xf numFmtId="203" fontId="120" fillId="10" borderId="17" xfId="195" applyFont="1" applyFill="1" applyBorder="1" applyAlignment="1">
      <alignment horizontal="center" vertical="center"/>
      <protection locked="0"/>
    </xf>
    <xf numFmtId="0" fontId="134" fillId="0" borderId="0" xfId="194" applyFont="1" applyAlignment="1">
      <alignment horizontal="center" vertical="center"/>
    </xf>
    <xf numFmtId="0" fontId="137" fillId="0" borderId="0" xfId="194" applyFont="1" applyAlignment="1">
      <alignment horizontal="center" vertical="center"/>
    </xf>
    <xf numFmtId="203" fontId="122" fillId="10" borderId="15" xfId="199" applyFont="1" applyFill="1" applyBorder="1" applyAlignment="1" applyProtection="1">
      <alignment horizontal="center" vertical="center"/>
      <protection locked="0"/>
    </xf>
    <xf numFmtId="203" fontId="120" fillId="10" borderId="15" xfId="199" applyFont="1" applyFill="1" applyBorder="1" applyAlignment="1" applyProtection="1">
      <alignment horizontal="center" vertical="center"/>
      <protection locked="0"/>
    </xf>
    <xf numFmtId="0" fontId="73" fillId="10" borderId="5" xfId="194" applyFont="1" applyFill="1" applyBorder="1" applyAlignment="1">
      <alignment horizontal="center" vertical="center" wrapText="1"/>
    </xf>
    <xf numFmtId="0" fontId="73" fillId="10" borderId="6" xfId="194" applyFont="1" applyFill="1" applyBorder="1" applyAlignment="1">
      <alignment horizontal="center" vertical="center" wrapText="1"/>
    </xf>
    <xf numFmtId="203" fontId="120" fillId="10" borderId="15" xfId="195" applyFont="1" applyFill="1" applyBorder="1" applyAlignment="1">
      <alignment horizontal="center" vertical="center"/>
      <protection locked="0"/>
    </xf>
    <xf numFmtId="0" fontId="122" fillId="10" borderId="15" xfId="194" applyFont="1" applyFill="1" applyBorder="1" applyAlignment="1">
      <alignment horizontal="center" vertical="center"/>
    </xf>
    <xf numFmtId="203" fontId="120" fillId="10" borderId="15" xfId="196" applyFont="1" applyFill="1" applyBorder="1" applyAlignment="1">
      <alignment horizontal="center" vertical="center"/>
    </xf>
    <xf numFmtId="0" fontId="122" fillId="10" borderId="5" xfId="194" applyFont="1" applyFill="1" applyBorder="1" applyAlignment="1">
      <alignment horizontal="center" vertical="center"/>
    </xf>
    <xf numFmtId="0" fontId="122" fillId="10" borderId="6" xfId="194" applyFont="1" applyFill="1" applyBorder="1" applyAlignment="1">
      <alignment horizontal="center" vertical="center"/>
    </xf>
    <xf numFmtId="0" fontId="121" fillId="10" borderId="15" xfId="0" applyFont="1" applyFill="1" applyBorder="1" applyAlignment="1">
      <alignment horizontal="center" vertical="center"/>
    </xf>
    <xf numFmtId="0" fontId="120" fillId="10" borderId="5" xfId="194" applyFont="1" applyFill="1" applyBorder="1" applyAlignment="1">
      <alignment horizontal="center" vertical="center"/>
    </xf>
    <xf numFmtId="0" fontId="120" fillId="10" borderId="6" xfId="194" applyFont="1" applyFill="1" applyBorder="1" applyAlignment="1">
      <alignment horizontal="center" vertical="center"/>
    </xf>
    <xf numFmtId="0" fontId="133" fillId="0" borderId="0" xfId="190" applyFont="1" applyAlignment="1">
      <alignment horizontal="center" vertical="center" wrapText="1"/>
    </xf>
    <xf numFmtId="0" fontId="135" fillId="0" borderId="0" xfId="190" applyFont="1" applyAlignment="1">
      <alignment horizontal="center" vertical="center" wrapText="1"/>
    </xf>
    <xf numFmtId="0" fontId="5" fillId="0" borderId="41" xfId="164" applyFont="1" applyBorder="1" applyAlignment="1">
      <alignment horizontal="left" vertical="center" wrapText="1"/>
      <protection locked="0"/>
    </xf>
    <xf numFmtId="0" fontId="2" fillId="38" borderId="15" xfId="164" applyFont="1" applyFill="1" applyBorder="1" applyAlignment="1">
      <alignment horizontal="center" vertical="center" wrapText="1"/>
      <protection locked="0"/>
    </xf>
    <xf numFmtId="0" fontId="5" fillId="0" borderId="15" xfId="164" applyFont="1" applyBorder="1" applyAlignment="1">
      <alignment horizontal="center" vertical="center" wrapText="1"/>
      <protection locked="0"/>
    </xf>
    <xf numFmtId="0" fontId="4" fillId="38" borderId="41" xfId="164" applyFont="1" applyFill="1" applyBorder="1" applyAlignment="1">
      <alignment horizontal="center" vertical="center" wrapText="1"/>
      <protection locked="0"/>
    </xf>
    <xf numFmtId="0" fontId="2" fillId="10" borderId="15" xfId="164" applyFont="1" applyFill="1" applyBorder="1" applyAlignment="1">
      <alignment horizontal="center" vertical="center" wrapText="1"/>
      <protection locked="0"/>
    </xf>
    <xf numFmtId="0" fontId="72" fillId="38" borderId="48" xfId="333" applyFont="1" applyFill="1" applyBorder="1" applyAlignment="1">
      <alignment horizontal="center" vertical="center" wrapText="1"/>
      <protection locked="0"/>
    </xf>
    <xf numFmtId="0" fontId="72" fillId="38" borderId="17" xfId="333" applyFont="1" applyFill="1" applyBorder="1" applyAlignment="1">
      <alignment horizontal="center" vertical="center" wrapText="1"/>
      <protection locked="0"/>
    </xf>
    <xf numFmtId="0" fontId="72" fillId="38" borderId="44" xfId="333" applyFont="1" applyFill="1" applyBorder="1" applyAlignment="1">
      <alignment horizontal="center" vertical="center" wrapText="1"/>
      <protection locked="0"/>
    </xf>
    <xf numFmtId="0" fontId="72" fillId="38" borderId="45" xfId="333" applyFont="1" applyFill="1" applyBorder="1" applyAlignment="1">
      <alignment horizontal="center" vertical="center" wrapText="1"/>
      <protection locked="0"/>
    </xf>
    <xf numFmtId="203" fontId="2" fillId="38" borderId="43" xfId="333" applyNumberFormat="1" applyFont="1" applyFill="1" applyBorder="1" applyAlignment="1" applyProtection="1">
      <alignment horizontal="center" vertical="center" wrapText="1"/>
    </xf>
    <xf numFmtId="0" fontId="4" fillId="10" borderId="15" xfId="164" applyFont="1" applyFill="1" applyBorder="1" applyAlignment="1">
      <alignment horizontal="center" vertical="center" wrapText="1"/>
      <protection locked="0"/>
    </xf>
    <xf numFmtId="0" fontId="2" fillId="10" borderId="27" xfId="164" applyFont="1" applyFill="1" applyBorder="1" applyAlignment="1">
      <alignment horizontal="center" vertical="center" wrapText="1"/>
      <protection locked="0"/>
    </xf>
    <xf numFmtId="0" fontId="2" fillId="10" borderId="28" xfId="164" applyFont="1" applyFill="1" applyBorder="1" applyAlignment="1">
      <alignment horizontal="center" vertical="center" wrapText="1"/>
      <protection locked="0"/>
    </xf>
    <xf numFmtId="0" fontId="2" fillId="10" borderId="29" xfId="164" applyFont="1" applyFill="1" applyBorder="1" applyAlignment="1">
      <alignment horizontal="center" vertical="center" wrapText="1"/>
      <protection locked="0"/>
    </xf>
    <xf numFmtId="0" fontId="2" fillId="10" borderId="7" xfId="164" applyFont="1" applyFill="1" applyBorder="1" applyAlignment="1">
      <alignment horizontal="center" vertical="center" wrapText="1"/>
      <protection locked="0"/>
    </xf>
    <xf numFmtId="0" fontId="2" fillId="10" borderId="4" xfId="164" applyFont="1" applyFill="1" applyBorder="1" applyAlignment="1">
      <alignment horizontal="center" vertical="center" wrapText="1"/>
      <protection locked="0"/>
    </xf>
    <xf numFmtId="0" fontId="2" fillId="10" borderId="26" xfId="164" applyFont="1" applyFill="1" applyBorder="1" applyAlignment="1">
      <alignment horizontal="center" vertical="center"/>
      <protection locked="0"/>
    </xf>
    <xf numFmtId="0" fontId="2" fillId="10" borderId="17" xfId="164" applyFont="1" applyFill="1" applyBorder="1" applyAlignment="1">
      <alignment horizontal="center" vertical="center"/>
      <protection locked="0"/>
    </xf>
    <xf numFmtId="203" fontId="2" fillId="38" borderId="50" xfId="378" applyFont="1" applyFill="1" applyBorder="1" applyAlignment="1">
      <alignment horizontal="center" vertical="center" wrapText="1"/>
      <protection locked="0"/>
    </xf>
    <xf numFmtId="203" fontId="4" fillId="38" borderId="50" xfId="378" applyFont="1" applyFill="1" applyBorder="1" applyAlignment="1">
      <alignment horizontal="center" vertical="center" wrapText="1"/>
      <protection locked="0"/>
    </xf>
    <xf numFmtId="0" fontId="4" fillId="38" borderId="44" xfId="330" applyFont="1" applyFill="1" applyBorder="1" applyAlignment="1" applyProtection="1">
      <alignment horizontal="center" vertical="center"/>
      <protection locked="0"/>
    </xf>
    <xf numFmtId="0" fontId="4" fillId="38" borderId="46" xfId="330" applyFont="1" applyFill="1" applyBorder="1" applyAlignment="1" applyProtection="1">
      <alignment horizontal="center" vertical="center"/>
      <protection locked="0"/>
    </xf>
    <xf numFmtId="0" fontId="133" fillId="0" borderId="0" xfId="190" applyFont="1" applyAlignment="1">
      <alignment horizontal="center" vertical="center"/>
    </xf>
    <xf numFmtId="0" fontId="135" fillId="0" borderId="0" xfId="190" applyFont="1" applyAlignment="1">
      <alignment horizontal="center" vertical="center"/>
    </xf>
  </cellXfs>
  <cellStyles count="381">
    <cellStyle name="%" xfId="6"/>
    <cellStyle name="% 2" xfId="202"/>
    <cellStyle name="?" xfId="7"/>
    <cellStyle name="??" xfId="203"/>
    <cellStyle name="?? [0]" xfId="204"/>
    <cellStyle name="??_0N-HANDLING " xfId="205"/>
    <cellStyle name="?餡_x000c_k" xfId="8"/>
    <cellStyle name="?餡_x000c_k?_x000d_^" xfId="9"/>
    <cellStyle name="?餡_x000c_k?_x000d_^黇_x0001_??_x0007__x0001__x0001_" xfId="10"/>
    <cellStyle name="@_text" xfId="11"/>
    <cellStyle name="@_text_子公司附注汇总(房开公司)" xfId="206"/>
    <cellStyle name="_(本部)2006年年报审计PBC表" xfId="207"/>
    <cellStyle name="_07930建造合同" xfId="208"/>
    <cellStyle name="_12月项目部访问及审计-德勤" xfId="209"/>
    <cellStyle name="_2005-08-31审计底稿－李" xfId="210"/>
    <cellStyle name="_2005审计报表及附注-中国建材股份模板（房屋）" xfId="12"/>
    <cellStyle name="_2006年年报审计PBC表（合并）" xfId="211"/>
    <cellStyle name="_2006年年报审计PBC表-XX" xfId="212"/>
    <cellStyle name="_2006年年报审计PBC表-XXX" xfId="13"/>
    <cellStyle name="_2006年年报审计PBC表-福州分公司" xfId="213"/>
    <cellStyle name="_2006年年报审计PBC表-云南分公司" xfId="214"/>
    <cellStyle name="_2006年年报审计填报资料" xfId="14"/>
    <cellStyle name="_2007调整分录-鲁佳" xfId="215"/>
    <cellStyle name="_Book1" xfId="15"/>
    <cellStyle name="_CREC(Huo" xfId="216"/>
    <cellStyle name="_ET_STYLE_NoName_00_" xfId="217"/>
    <cellStyle name="_ET_STYLE_NoName_00__2007调整分录-鲁佳" xfId="218"/>
    <cellStyle name="_ET_STYLE_NoName_00__股份本部" xfId="219"/>
    <cellStyle name="_ET_STYLE_NoName_00__股份本部_1" xfId="220"/>
    <cellStyle name="_ET_STYLE_NoName_00__股份本部_3" xfId="221"/>
    <cellStyle name="_ET_STYLE_NoName_00__股份本部_6_股份本部_2" xfId="222"/>
    <cellStyle name="_ET_STYLE_NoName_00__股份本部_7_股份本部_3" xfId="223"/>
    <cellStyle name="_J1000-存货-ZHHG" xfId="16"/>
    <cellStyle name="_PBC审核提示" xfId="17"/>
    <cellStyle name="_宝丽华房地产20051231" xfId="18"/>
    <cellStyle name="_保证金-企业填写部分" xfId="19"/>
    <cellStyle name="_北新房屋2004年审-刘" xfId="20"/>
    <cellStyle name="_北新股份2005年审工作底稿" xfId="21"/>
    <cellStyle name="_北新建材关连交易基础表051230（10－12月版）更新稿" xfId="22"/>
    <cellStyle name="_北新建材-会计报表附注模版" xfId="23"/>
    <cellStyle name="_北新龙之星2004年审工作底稿" xfId="24"/>
    <cellStyle name="_北新物流2005底稿-刘" xfId="25"/>
    <cellStyle name="_北新置换memo" xfId="26"/>
    <cellStyle name="_本部其他应收应付年审底稿--鲁佳pb" xfId="224"/>
    <cellStyle name="_存货结转测试" xfId="27"/>
    <cellStyle name="_存货数量与明细05.12" xfId="28"/>
    <cellStyle name="_动力厂2004年审工作底稿-刘" xfId="29"/>
    <cellStyle name="_分工" xfId="30"/>
    <cellStyle name="_工程施工项目现场审计提示" xfId="31"/>
    <cellStyle name="_关联交易" xfId="32"/>
    <cellStyle name="_关联交易、往来统计表" xfId="33"/>
    <cellStyle name="_合并报表审计调整模板(CREC)" xfId="225"/>
    <cellStyle name="_合并公司2006年度科目明细表(定稿)" xfId="226"/>
    <cellStyle name="_建造合同-宜万指（正式版）" xfId="34"/>
    <cellStyle name="_科目核对表" xfId="35"/>
    <cellStyle name="_刘青分工填列信息统计" xfId="227"/>
    <cellStyle name="_刘青分工－子公司审计模板-电务" xfId="228"/>
    <cellStyle name="_刘青分工－子公司审计模板－铁达本部" xfId="229"/>
    <cellStyle name="_母PL" xfId="36"/>
    <cellStyle name="_母公司底稿-鲁佳" xfId="230"/>
    <cellStyle name="_年审筹资循环资料清单" xfId="231"/>
    <cellStyle name="_人员分工备忘录" xfId="37"/>
    <cellStyle name="_审计底稿-轩" xfId="232"/>
    <cellStyle name="_审计所需资料清单－子公司" xfId="38"/>
    <cellStyle name="_审计提示模版" xfId="233"/>
    <cellStyle name="_审计提示模版-母公司部分" xfId="234"/>
    <cellStyle name="_铁鸿源－刘青分工－子公司审计模板" xfId="235"/>
    <cellStyle name="_兴华审计成本" xfId="236"/>
    <cellStyle name="_岩土长投--急0121报王占学" xfId="237"/>
    <cellStyle name="_一公司建造合同前5名" xfId="39"/>
    <cellStyle name="_一公司－刘丰收" xfId="40"/>
    <cellStyle name="_银行询证函统计－大表" xfId="238"/>
    <cellStyle name="_长期借款－江阴" xfId="41"/>
    <cellStyle name="_子公司筹资循环－刘青" xfId="239"/>
    <cellStyle name="_子公司审计提示模版-Liufs" xfId="42"/>
    <cellStyle name="{Comma [0]}" xfId="43"/>
    <cellStyle name="{Comma}" xfId="44"/>
    <cellStyle name="{Date}" xfId="45"/>
    <cellStyle name="{Month}" xfId="46"/>
    <cellStyle name="{Percent}" xfId="47"/>
    <cellStyle name="{Thousand [0]}" xfId="48"/>
    <cellStyle name="{Thousand}" xfId="49"/>
    <cellStyle name="{Z'0000(1 dec)}" xfId="50"/>
    <cellStyle name="{Z'0000(4 dec)}" xfId="51"/>
    <cellStyle name="0%" xfId="52"/>
    <cellStyle name="0,0_x000d__x000a_NA_x000d__x000a_" xfId="53"/>
    <cellStyle name="0.0%" xfId="54"/>
    <cellStyle name="0.00%" xfId="55"/>
    <cellStyle name="00" xfId="240"/>
    <cellStyle name="20% - Accent1" xfId="241"/>
    <cellStyle name="20% - Accent2" xfId="242"/>
    <cellStyle name="20% - Accent3" xfId="243"/>
    <cellStyle name="20% - Accent4" xfId="244"/>
    <cellStyle name="20% - Accent5" xfId="245"/>
    <cellStyle name="20% - Accent6" xfId="246"/>
    <cellStyle name="40% - Accent1" xfId="247"/>
    <cellStyle name="40% - Accent2" xfId="248"/>
    <cellStyle name="40% - Accent3" xfId="249"/>
    <cellStyle name="40% - Accent4" xfId="250"/>
    <cellStyle name="40% - Accent5" xfId="251"/>
    <cellStyle name="40% - Accent6" xfId="252"/>
    <cellStyle name="60% - Accent1" xfId="253"/>
    <cellStyle name="60% - Accent2" xfId="254"/>
    <cellStyle name="60% - Accent3" xfId="255"/>
    <cellStyle name="60% - Accent4" xfId="256"/>
    <cellStyle name="60% - Accent5" xfId="257"/>
    <cellStyle name="60% - Accent6" xfId="258"/>
    <cellStyle name="Accent1" xfId="259"/>
    <cellStyle name="Accent2" xfId="260"/>
    <cellStyle name="Accent3" xfId="261"/>
    <cellStyle name="Accent4" xfId="262"/>
    <cellStyle name="Accent5" xfId="263"/>
    <cellStyle name="Accent6" xfId="264"/>
    <cellStyle name="args.style" xfId="265"/>
    <cellStyle name="Bad" xfId="266"/>
    <cellStyle name="Black" xfId="56"/>
    <cellStyle name="Border" xfId="57"/>
    <cellStyle name="Calc Currency (0)" xfId="58"/>
    <cellStyle name="Calc Currency (2)" xfId="59"/>
    <cellStyle name="Calc Percent (0)" xfId="60"/>
    <cellStyle name="Calc Percent (1)" xfId="61"/>
    <cellStyle name="Calc Percent (2)" xfId="62"/>
    <cellStyle name="Calc Units (0)" xfId="63"/>
    <cellStyle name="Calc Units (1)" xfId="64"/>
    <cellStyle name="Calc Units (2)" xfId="65"/>
    <cellStyle name="Calculation" xfId="267"/>
    <cellStyle name="category" xfId="66"/>
    <cellStyle name="Check Cell" xfId="268"/>
    <cellStyle name="Col Heads" xfId="67"/>
    <cellStyle name="Column_Title" xfId="68"/>
    <cellStyle name="Comma  - Style1" xfId="69"/>
    <cellStyle name="Comma  - Style2" xfId="70"/>
    <cellStyle name="Comma  - Style3" xfId="71"/>
    <cellStyle name="Comma  - Style4" xfId="72"/>
    <cellStyle name="Comma  - Style5" xfId="73"/>
    <cellStyle name="Comma  - Style6" xfId="74"/>
    <cellStyle name="Comma  - Style7" xfId="75"/>
    <cellStyle name="Comma  - Style8" xfId="76"/>
    <cellStyle name="Comma [0]_ rislugp" xfId="77"/>
    <cellStyle name="Comma [00]" xfId="78"/>
    <cellStyle name="Comma 28" xfId="79"/>
    <cellStyle name="comma zerodec" xfId="80"/>
    <cellStyle name="Comma,0" xfId="81"/>
    <cellStyle name="Comma,1" xfId="82"/>
    <cellStyle name="Comma,2" xfId="83"/>
    <cellStyle name="Comma_ rislugp" xfId="84"/>
    <cellStyle name="Copied" xfId="269"/>
    <cellStyle name="COST1" xfId="270"/>
    <cellStyle name="Currency [0]_ rislugp" xfId="85"/>
    <cellStyle name="Currency [00]" xfId="86"/>
    <cellStyle name="Currency,0" xfId="87"/>
    <cellStyle name="Currency,2" xfId="88"/>
    <cellStyle name="Currency_ rislugp" xfId="89"/>
    <cellStyle name="Currency1" xfId="90"/>
    <cellStyle name="Date" xfId="271"/>
    <cellStyle name="Date Short" xfId="91"/>
    <cellStyle name="Dezimal [0]_laroux" xfId="92"/>
    <cellStyle name="Dezimal_laroux" xfId="93"/>
    <cellStyle name="Dollar (zero dec)" xfId="94"/>
    <cellStyle name="E&amp;Y House" xfId="272"/>
    <cellStyle name="Enter Currency (0)" xfId="95"/>
    <cellStyle name="Enter Currency (2)" xfId="96"/>
    <cellStyle name="Enter Units (0)" xfId="97"/>
    <cellStyle name="Enter Units (1)" xfId="98"/>
    <cellStyle name="Enter Units (2)" xfId="99"/>
    <cellStyle name="Entered" xfId="273"/>
    <cellStyle name="entry" xfId="100"/>
    <cellStyle name="entry box" xfId="101"/>
    <cellStyle name="Euro" xfId="102"/>
    <cellStyle name="Explanatory Text" xfId="274"/>
    <cellStyle name="Followed Hyperlink_AheadBehind.xls Chart 23" xfId="103"/>
    <cellStyle name="Good" xfId="275"/>
    <cellStyle name="Grey" xfId="104"/>
    <cellStyle name="HEADER" xfId="105"/>
    <cellStyle name="Header1" xfId="106"/>
    <cellStyle name="Header2" xfId="107"/>
    <cellStyle name="Heading" xfId="108"/>
    <cellStyle name="Heading 1" xfId="276"/>
    <cellStyle name="Heading 2" xfId="277"/>
    <cellStyle name="Heading 3" xfId="278"/>
    <cellStyle name="Heading 4" xfId="279"/>
    <cellStyle name="Hyperlink_AheadBehind.xls Chart 23" xfId="109"/>
    <cellStyle name="Input" xfId="280"/>
    <cellStyle name="Input [yellow]" xfId="110"/>
    <cellStyle name="Input Cells" xfId="281"/>
    <cellStyle name="left" xfId="111"/>
    <cellStyle name="Link Currency (0)" xfId="112"/>
    <cellStyle name="Link Currency (2)" xfId="113"/>
    <cellStyle name="Link Units (0)" xfId="114"/>
    <cellStyle name="Link Units (1)" xfId="115"/>
    <cellStyle name="Link Units (2)" xfId="116"/>
    <cellStyle name="Linked Cell" xfId="282"/>
    <cellStyle name="Linked Cells" xfId="283"/>
    <cellStyle name="Millares [0]_laroux" xfId="117"/>
    <cellStyle name="Millares_laroux" xfId="118"/>
    <cellStyle name="Milliers [0]_!!!GO" xfId="284"/>
    <cellStyle name="Milliers_!!!GO" xfId="285"/>
    <cellStyle name="Model" xfId="119"/>
    <cellStyle name="Moneda [0]_laroux" xfId="120"/>
    <cellStyle name="Moneda_laroux" xfId="121"/>
    <cellStyle name="Monétaire [0]_!!!GO" xfId="286"/>
    <cellStyle name="Monétaire_!!!GO" xfId="287"/>
    <cellStyle name="Mon閠aire [0]_laroux" xfId="122"/>
    <cellStyle name="Mon閠aire_laroux" xfId="123"/>
    <cellStyle name="Neutral" xfId="288"/>
    <cellStyle name="New Times Roman" xfId="289"/>
    <cellStyle name="no dec" xfId="124"/>
    <cellStyle name="Non défini" xfId="125"/>
    <cellStyle name="Normal - Style1" xfId="126"/>
    <cellStyle name="Normal 2" xfId="290"/>
    <cellStyle name="Normal 2 2" xfId="291"/>
    <cellStyle name="Normal 21" xfId="127"/>
    <cellStyle name="Normal 3 2" xfId="292"/>
    <cellStyle name="Normal_ rislugp" xfId="128"/>
    <cellStyle name="Normalny_Arkusz1" xfId="129"/>
    <cellStyle name="Note" xfId="293"/>
    <cellStyle name="Œ…‹æØ‚è [0.00]_Region Orders (2)" xfId="294"/>
    <cellStyle name="Œ…‹æØ‚è_Region Orders (2)" xfId="295"/>
    <cellStyle name="Output" xfId="296"/>
    <cellStyle name="per.style" xfId="297"/>
    <cellStyle name="Percent (0)" xfId="130"/>
    <cellStyle name="Percent [0]" xfId="131"/>
    <cellStyle name="Percent [00]" xfId="132"/>
    <cellStyle name="Percent [2]" xfId="133"/>
    <cellStyle name="Prefilled" xfId="134"/>
    <cellStyle name="PrePop Currency (0)" xfId="135"/>
    <cellStyle name="PrePop Currency (2)" xfId="136"/>
    <cellStyle name="PrePop Units (0)" xfId="137"/>
    <cellStyle name="PrePop Units (1)" xfId="138"/>
    <cellStyle name="PrePop Units (2)" xfId="139"/>
    <cellStyle name="price" xfId="140"/>
    <cellStyle name="pricing" xfId="298"/>
    <cellStyle name="PSChar" xfId="299"/>
    <cellStyle name="Red" xfId="141"/>
    <cellStyle name="revised" xfId="142"/>
    <cellStyle name="RevList" xfId="300"/>
    <cellStyle name="row_def_array" xfId="301"/>
    <cellStyle name="S4" xfId="302"/>
    <cellStyle name="S5" xfId="303"/>
    <cellStyle name="section" xfId="143"/>
    <cellStyle name="SOR" xfId="144"/>
    <cellStyle name="style" xfId="145"/>
    <cellStyle name="style1" xfId="146"/>
    <cellStyle name="style2" xfId="147"/>
    <cellStyle name="subhead" xfId="148"/>
    <cellStyle name="Subtotal" xfId="304"/>
    <cellStyle name="Text Indent A" xfId="149"/>
    <cellStyle name="Text Indent B" xfId="150"/>
    <cellStyle name="Text Indent C" xfId="151"/>
    <cellStyle name="Tickmark" xfId="152"/>
    <cellStyle name="title" xfId="153"/>
    <cellStyle name="Total" xfId="305"/>
    <cellStyle name="Warning Text" xfId="306"/>
    <cellStyle name="wrap" xfId="154"/>
    <cellStyle name="パーセント_laroux" xfId="155"/>
    <cellStyle name="_PLDT" xfId="156"/>
    <cellStyle name="_laroux" xfId="307"/>
    <cellStyle name="だ[0]_PLDT" xfId="157"/>
    <cellStyle name="だ_PLDT" xfId="158"/>
    <cellStyle name="だ[0]_Total (2)" xfId="159"/>
    <cellStyle name="だ_laroux" xfId="308"/>
    <cellStyle name="百分比" xfId="2" builtinId="5"/>
    <cellStyle name="百分比 2" xfId="160"/>
    <cellStyle name="百分比 2 2" xfId="372"/>
    <cellStyle name="百分比 3" xfId="161"/>
    <cellStyle name="捠壿 [0.00]_PRODUCT DETAIL Q1" xfId="309"/>
    <cellStyle name="捠壿_PRODUCT DETAIL Q1" xfId="310"/>
    <cellStyle name="標準_１１月価格表" xfId="162"/>
    <cellStyle name="差_StartUp" xfId="311"/>
    <cellStyle name="差_T1000-主营业务收入-LJCH" xfId="163"/>
    <cellStyle name="差_子公司附注汇总(房开公司)" xfId="312"/>
    <cellStyle name="常规" xfId="0" builtinId="0"/>
    <cellStyle name="常规 10" xfId="313"/>
    <cellStyle name="常规 10 2" xfId="314"/>
    <cellStyle name="常规 10 3" xfId="315"/>
    <cellStyle name="常规 10 4" xfId="316"/>
    <cellStyle name="常规 11 2" xfId="317"/>
    <cellStyle name="常规 11 3" xfId="318"/>
    <cellStyle name="常规 11 4" xfId="319"/>
    <cellStyle name="常规 11 5" xfId="380"/>
    <cellStyle name="常规 12 2" xfId="320"/>
    <cellStyle name="常规 12 3" xfId="321"/>
    <cellStyle name="常规 12 4" xfId="322"/>
    <cellStyle name="常规 13 2" xfId="323"/>
    <cellStyle name="常规 13 3" xfId="324"/>
    <cellStyle name="常规 13 4" xfId="325"/>
    <cellStyle name="常规 2" xfId="164"/>
    <cellStyle name="常规 2 2" xfId="195"/>
    <cellStyle name="常规 2 2 2" xfId="326"/>
    <cellStyle name="常规 2 2 3" xfId="327"/>
    <cellStyle name="常规 2 2 3 3" xfId="375"/>
    <cellStyle name="常规 2 2 4" xfId="370"/>
    <cellStyle name="常规 2 2 5" xfId="378"/>
    <cellStyle name="常规 2 3" xfId="201"/>
    <cellStyle name="常规 2 3 2" xfId="328"/>
    <cellStyle name="常规 2 3 4" xfId="373"/>
    <cellStyle name="常规 2 4" xfId="329"/>
    <cellStyle name="常规 2 5" xfId="330"/>
    <cellStyle name="常规 2 6" xfId="331"/>
    <cellStyle name="常规 2 7" xfId="332"/>
    <cellStyle name="常规 2 8" xfId="333"/>
    <cellStyle name="常规 2 8 2" xfId="379"/>
    <cellStyle name="常规 2_经销商信息-1-原始表" xfId="334"/>
    <cellStyle name="常规 3" xfId="165"/>
    <cellStyle name="常规 3 2" xfId="197"/>
    <cellStyle name="常规 3 2 2" xfId="377"/>
    <cellStyle name="常规 3 3" xfId="335"/>
    <cellStyle name="常规 3 4" xfId="336"/>
    <cellStyle name="常规 4" xfId="166"/>
    <cellStyle name="常规 4 2" xfId="199"/>
    <cellStyle name="常规 4 2 2" xfId="371"/>
    <cellStyle name="常规 4 3" xfId="337"/>
    <cellStyle name="常规 4 4" xfId="338"/>
    <cellStyle name="常规 5" xfId="167"/>
    <cellStyle name="常规 5 2" xfId="339"/>
    <cellStyle name="常规 5 3" xfId="340"/>
    <cellStyle name="常规 5 4" xfId="341"/>
    <cellStyle name="常规 6" xfId="193"/>
    <cellStyle name="常规 6 2" xfId="342"/>
    <cellStyle name="常规 6 3" xfId="343"/>
    <cellStyle name="常规 6 4" xfId="344"/>
    <cellStyle name="常规 6 5" xfId="345"/>
    <cellStyle name="常规 7" xfId="194"/>
    <cellStyle name="常规 7 2" xfId="346"/>
    <cellStyle name="常规 7 3" xfId="347"/>
    <cellStyle name="常规 7 4" xfId="348"/>
    <cellStyle name="常规 8" xfId="349"/>
    <cellStyle name="常规 8 2" xfId="350"/>
    <cellStyle name="常规 8 3" xfId="351"/>
    <cellStyle name="常规 8 4" xfId="352"/>
    <cellStyle name="常规 9" xfId="353"/>
    <cellStyle name="常规 9 2" xfId="354"/>
    <cellStyle name="常规 9 3" xfId="355"/>
    <cellStyle name="常规 9 4" xfId="356"/>
    <cellStyle name="常规_Book1" xfId="190"/>
    <cellStyle name="常规_Book1 2" xfId="200"/>
    <cellStyle name="常规_c-资产类" xfId="5"/>
    <cellStyle name="常规_进一步审计程序--销售与收款循环" xfId="191"/>
    <cellStyle name="常规_新审定表" xfId="3"/>
    <cellStyle name="常规_制造费用" xfId="196"/>
    <cellStyle name="常规_制造费用 2" xfId="374"/>
    <cellStyle name="超级链接_B4-1审计项目工时预算与控制表(集团)" xfId="168"/>
    <cellStyle name="超链接" xfId="4" builtinId="8"/>
    <cellStyle name="超链接 2" xfId="169"/>
    <cellStyle name="超链接 2 2" xfId="357"/>
    <cellStyle name="超链接 3" xfId="192"/>
    <cellStyle name="分级显示行_1_4附件二凯旋评估表" xfId="170"/>
    <cellStyle name="好_StartUp" xfId="358"/>
    <cellStyle name="好_T1000-主营业务收入" xfId="171"/>
    <cellStyle name="好_子公司附注汇总(房开公司)" xfId="359"/>
    <cellStyle name="桁区切り [0.00]_１１月価格表" xfId="172"/>
    <cellStyle name="桁区切り_１１月価格表" xfId="173"/>
    <cellStyle name="霓付 [0]_1202" xfId="360"/>
    <cellStyle name="霓付_1202" xfId="361"/>
    <cellStyle name="烹拳 [0]_1202" xfId="362"/>
    <cellStyle name="烹拳_1202" xfId="363"/>
    <cellStyle name="砯刽 [0]_PLDT" xfId="174"/>
    <cellStyle name="砯刽_PLDT" xfId="175"/>
    <cellStyle name="普通_ 白土" xfId="176"/>
    <cellStyle name="千分位[0]_ 白土" xfId="177"/>
    <cellStyle name="千分位_ 白土" xfId="178"/>
    <cellStyle name="千位[0]_ 应交税金审定表" xfId="179"/>
    <cellStyle name="千位_ 应交税金审定表" xfId="180"/>
    <cellStyle name="千位分隔" xfId="1" builtinId="3"/>
    <cellStyle name="千位分隔 2" xfId="181"/>
    <cellStyle name="千位分隔 3" xfId="198"/>
    <cellStyle name="千位分隔 6" xfId="376"/>
    <cellStyle name="千位分隔[0] 2" xfId="364"/>
    <cellStyle name="钎霖_(沥焊何巩)岿喊牢盔拌裙" xfId="365"/>
    <cellStyle name="通貨 [0.00]_１１月価格表" xfId="182"/>
    <cellStyle name="通貨_１１月価格表" xfId="183"/>
    <cellStyle name="样式 1" xfId="184"/>
    <cellStyle name="昗弨_BOOKSHIP" xfId="366"/>
    <cellStyle name="寘嬫愗傝 [0.00]_PRODUCT DETAIL Q1" xfId="367"/>
    <cellStyle name="寘嬫愗傝_PRODUCT DETAIL Q1" xfId="368"/>
    <cellStyle name="资产" xfId="369"/>
    <cellStyle name="콤마 [0]_BOILER-CO1" xfId="185"/>
    <cellStyle name="콤마_BOILER-CO1" xfId="186"/>
    <cellStyle name="통화 [0]_BOILER-CO1" xfId="187"/>
    <cellStyle name="통화_BOILER-CO1" xfId="188"/>
    <cellStyle name="표준_0N-HANDLING " xfId="189"/>
  </cellStyles>
  <dxfs count="0"/>
  <tableStyles count="0" defaultTableStyle="TableStyleMedium2"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6-108\h\&#23458;&#25143;&#36164;&#26009;\&#20027;&#26495;\&#27743;&#33487;&#21556;&#20013;\&#38271;&#24449;&#21046;&#33647;&#21378;\12-31\&#24212;&#25910;&#20184;&#24080;&#4083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arles-406278\ICBC\Zhejiang\OPERATE-LEA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OGRAM%20FILES/TENCENT/RTX/4024/Files/Documents%20and%20Settings/406719/Desktop/DOCUME~1/405861/LOCALS~1/Temp/audit/2000&#24180;&#19994;&#21153;&#35268;&#33539;/&#25552;&#20379;&#20989;/&#25991;&#26412;&#25552;&#20379;&#20989;/&#19978;&#24066;&#20844;&#21496;/EXCEL/&#23457;&#2668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OGRAM%20FILES/TENCENT/RTX/4024/Files/FIB/2001&#24180;&#34892;&#19994;&#23457;&#35745;/&#26126;&#32454;&#34920;&#22635;&#21015;/audit/2000&#24180;&#19994;&#21153;&#35268;&#33539;/&#25552;&#20379;&#20989;/&#25991;&#26412;&#25552;&#20379;&#20989;/&#19978;&#24066;&#20844;&#21496;/EXCEL/&#23457;&#2668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OGRAM%20FILES/TENCENT/RTX/4024/Files/client%20service/FIB/FIB%202002%20Xiamen/lead%20schedule/XIAMEN-FIB1%20at%206%202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OGRAM%20FILES/TENCENT/RTX/4024/Files/client%20service/FIB%2011%202002/Xia%20men%20branch/Credit%20review/loan%20database%2010%2031%2002%20xm.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OGRAM%20FILES/TENCENT/RTX/4024/Files/Documents%20and%20Settings/770515/Desktop/document/fib/fib/TAX/ICBC%20Hangzhou-lea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ocuments%20and%20Settings\Administrator\&#26700;&#38754;\to&#65293;&#20869;&#37096;&#25511;&#21046;&#32452;\&#20854;&#20182;&#25152;\&#22825;&#24314;\&#22269;&#36152;_2005_&#38543;&#2041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gti.com\Dept_Share_Folder\&#24037;&#20316;\10&#24180;&#24037;&#20316;\&#27468;&#21326;\&#40718;&#35270;\&#21152;&#24037;&#36134;-&#40718;&#3527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9978;&#24066;&#20844;&#21496;&#23457;&#35745;/&#29233;&#24314;/2002&#24180;&#29233;&#24314;/&#29233;&#24314;&#35745;&#36130;&#37096;/&#20020;&#26102;&#25991;&#20214;/&#30701;&#26399;&#25237;&#36164;&#25991;&#202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cpa-sh\&#25991;&#21360;&#23460;\WINDOWS\TEMP\My%20Documents\1999&#24180;&#25253;\&#20013;&#21326;&#20225;&#19994;\&#20013;&#20225;&#26412;&#37096;\&#22266;&#23450;&#36164;&#20135;\&#22266;&#23450;&#36164;&#2013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y%20Documents/2004&#24180;&#24180;&#25253;/&#22823;&#20247;&#20844;&#29992;/&#22823;&#20247;&#29123;&#27668;/&#21335;&#36890;&#29123;&#27668;/&#21335;&#36890;&#29123;&#27668;&#26412;&#37096;/04&#24037;&#20316;&#24213;&#31295;/My%20Documents/2004&#24180;&#24180;&#25253;/&#22823;&#20247;&#20844;&#29992;/&#22823;&#20247;&#29123;&#27668;/&#21335;&#36890;&#29123;&#27668;/1&#65293;6&#26376;&#26126;&#32454;&#24080;/2004&#24180;1&#65293;6&#26376;&#21335;&#36890;&#29123;&#27668;&#24207;&#26102;&#2408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qtysk.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OGRAM%20FILES/TENCENT/RTX/4024/Files/client%20service/FIB/FIB%202002%20Xiamen/lead%20schedule/fib/TAX/ICBC%20Hangzhou-lead.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S01-01"/>
      <sheetName val="YS02-02"/>
      <sheetName val="YYY"/>
      <sheetName val="TTT"/>
      <sheetName val="YS02_02"/>
      <sheetName val="企业表一"/>
      <sheetName val="M-5A"/>
      <sheetName val="1月"/>
      <sheetName val="XL4Poppy"/>
      <sheetName val="Consol"/>
      <sheetName val="Control"/>
      <sheetName val="资产负债表"/>
      <sheetName val="索引"/>
      <sheetName val="应付账款明细BS.09 "/>
      <sheetName val="科目余额表"/>
      <sheetName val="27-7"/>
      <sheetName val="财务成本"/>
      <sheetName val="订单418"/>
      <sheetName val="应付账款 (2)"/>
      <sheetName val="101"/>
      <sheetName val="数量金额总账"/>
      <sheetName val="主菜单"/>
      <sheetName val="参数"/>
      <sheetName val="累计1"/>
      <sheetName val="本年TB"/>
      <sheetName val="B"/>
      <sheetName val="基本信息及附注"/>
      <sheetName val="其他货币资金.dbf"/>
      <sheetName val="银行存款.dbf"/>
      <sheetName val="订单"/>
      <sheetName val="Sheet3"/>
      <sheetName val="A430"/>
      <sheetName val="目录"/>
      <sheetName val="坏账准备_应收账款Dy"/>
      <sheetName val="营业费用Dy"/>
      <sheetName val="预收账款Dy"/>
      <sheetName val="主营业务收入Dy"/>
      <sheetName val="主营业务税金及附加Dy"/>
      <sheetName val="应收账款Dy"/>
      <sheetName val="E1020"/>
      <sheetName val="收入明细－按客户"/>
      <sheetName val="AR"/>
      <sheetName val="邻酮定乙酚发出测试"/>
      <sheetName val="sell"/>
      <sheetName val="fin"/>
      <sheetName val="核算项目余额表"/>
      <sheetName val="库存商品余额表.dbf"/>
      <sheetName val="短期投资股票投资.dbf"/>
      <sheetName val="短期投资国债投资.dbf"/>
      <sheetName val="股票投资收益.dbf"/>
      <sheetName val="其他货币海通.dbf"/>
      <sheetName val="其他货币零领路.dbf"/>
      <sheetName val="投资收益债券.dbf"/>
      <sheetName val="清单12.31"/>
      <sheetName val="审计说明"/>
      <sheetName val="导引表"/>
      <sheetName val="已发货或已退货未开票"/>
      <sheetName val="制造费用明细表"/>
      <sheetName val="生产成本检查表"/>
      <sheetName val="交易性金融资产"/>
      <sheetName val="PER SALES ORG"/>
      <sheetName val="Sheet2"/>
      <sheetName val="银行存款函证结果汇总表"/>
      <sheetName val="#REF!"/>
      <sheetName val="银行借款询证"/>
      <sheetName val="制造费用"/>
      <sheetName val="资产负债表及损益表"/>
      <sheetName val="重要内部交易"/>
      <sheetName val="财务费用"/>
      <sheetName val="管理费用"/>
      <sheetName val="营业费用"/>
      <sheetName val="应收付帐龄"/>
      <sheetName val="电子"/>
      <sheetName val="应收账龄BS.01"/>
      <sheetName val="湖南湘潭应付个人明细帐"/>
      <sheetName val="loan database"/>
      <sheetName val="货币资金检查表"/>
      <sheetName val="应收账款检查表"/>
      <sheetName val="其他应收款检查表"/>
      <sheetName val="待摊费用检查表"/>
      <sheetName val="应收票据检查表"/>
      <sheetName val="预付账款检查表"/>
      <sheetName val="长期待摊费用Dy"/>
      <sheetName val="原材料抽查表"/>
      <sheetName val="利息支出分类表"/>
      <sheetName val="中山低值"/>
      <sheetName val="Sheet1"/>
      <sheetName val="XREF"/>
      <sheetName val="订"/>
      <sheetName val="应付股利Dy"/>
      <sheetName val="交易性金融资产Dy"/>
      <sheetName val="公司基本情况表"/>
      <sheetName val="ZI13生产能力调查"/>
      <sheetName val="M-5C"/>
      <sheetName val="其他应付款4-12月份明细表"/>
      <sheetName val="营业费用截止"/>
      <sheetName val="10明细表"/>
      <sheetName val="本年调整分录"/>
      <sheetName val="本年试算表"/>
      <sheetName val="福利费1"/>
      <sheetName val="设定"/>
      <sheetName val="帐务资料"/>
      <sheetName val="关键字定义年月"/>
      <sheetName val="销售6.13"/>
      <sheetName val="Contacts"/>
      <sheetName val="512101明细"/>
      <sheetName val="512102明细"/>
      <sheetName val="512103明细"/>
      <sheetName val="512106明细"/>
      <sheetName val="510102"/>
      <sheetName val="510103"/>
      <sheetName val="510104"/>
      <sheetName val="512101"/>
      <sheetName val="512102"/>
      <sheetName val="512103"/>
      <sheetName val="ZM-0调整分录"/>
      <sheetName val="F1"/>
      <sheetName val="流资汇总"/>
      <sheetName val="master"/>
      <sheetName val="其他应收款－单位凭证"/>
      <sheetName val="预付帐款明细表"/>
      <sheetName val="UFPrn20050920093221"/>
      <sheetName val="UFPrn20081116161818"/>
      <sheetName val="固定资产、累计折旧、减值准备审定表"/>
      <sheetName val="新城资金明细"/>
      <sheetName val="申鑫大厦租金明细"/>
      <sheetName val="三林明细"/>
      <sheetName val="东陆明细"/>
      <sheetName val="INVDAYS"/>
      <sheetName val="NBCF"/>
      <sheetName val="初始设定"/>
      <sheetName val="Sheet1 (11)"/>
      <sheetName val="人民币"/>
      <sheetName val="美元"/>
      <sheetName val="6月收入预测"/>
      <sheetName val="外地"/>
      <sheetName val="坯布"/>
      <sheetName val="材料"/>
      <sheetName val="外销"/>
      <sheetName val="总部帐2"/>
      <sheetName val="计划财务部"/>
      <sheetName val="行政&amp;人力资源部"/>
      <sheetName val="现金流量主表"/>
      <sheetName val="税金表"/>
      <sheetName val="利润表"/>
      <sheetName val="现金流量附表"/>
      <sheetName val="C1-2"/>
      <sheetName val="其他业务利润明细表"/>
      <sheetName val="投资收益明细表"/>
      <sheetName val="未交税金明细表"/>
      <sheetName val="现金抽凭"/>
      <sheetName val="FD-1明细表"/>
      <sheetName val="应付账款"/>
      <sheetName val="UFPrn20031213110049"/>
      <sheetName val="役"/>
      <sheetName val="3级余额表-累计"/>
      <sheetName val="P&amp;A"/>
      <sheetName val="出租开发产品明细"/>
      <sheetName val="目錄"/>
      <sheetName val="eqpmad2"/>
      <sheetName val="ZH1-4其他应收款个别认定"/>
      <sheetName val="ZH1-3应收账款个别认定"/>
      <sheetName val="dm"/>
      <sheetName val="收入"/>
      <sheetName val="10色母料"/>
      <sheetName val="其他应收款－个人借款"/>
      <sheetName val="Sch PR-2"/>
      <sheetName val="Sch PR-3"/>
      <sheetName val="其他应收款－个人借款明细"/>
      <sheetName val="应付预算(阵地电费-SHMTR)"/>
      <sheetName val="应付账款明细表"/>
      <sheetName val="设备部房屋"/>
      <sheetName val="固定资产清单"/>
      <sheetName val="材料采购－原材料（购价）"/>
      <sheetName val="定义名称"/>
      <sheetName val="Main"/>
      <sheetName val="#REF"/>
      <sheetName val="利润表项目"/>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lease"/>
      <sheetName val="sub-branch"/>
      <sheetName val="Sheet3"/>
      <sheetName val="Sheet1"/>
      <sheetName val="Sheet2"/>
      <sheetName val="Economic evaluation - FY98 base"/>
      <sheetName val="设定"/>
      <sheetName val="YS02-02"/>
      <sheetName val="_"/>
      <sheetName val="订单418"/>
      <sheetName val="固定资产清理Dy"/>
      <sheetName val="工程物资Dy"/>
      <sheetName val="loan database"/>
      <sheetName val="短期借款Dy"/>
      <sheetName val="企业表一"/>
      <sheetName val="M-5C"/>
      <sheetName val="M-5A"/>
      <sheetName val="应付账款 (2)"/>
      <sheetName val="订"/>
      <sheetName val="6月"/>
      <sheetName val="交易性金融资产Dy"/>
      <sheetName val="应付账款明细BS.09 "/>
      <sheetName val="A430"/>
      <sheetName val="1_巴西保罗公司"/>
      <sheetName val="索引"/>
      <sheetName val="订单"/>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累计1"/>
      <sheetName val="数量金额总账"/>
      <sheetName val="清单12.31"/>
      <sheetName val="资产负债表"/>
      <sheetName val="原材料Dy"/>
      <sheetName val="B"/>
      <sheetName val="27-7"/>
      <sheetName val="现金"/>
      <sheetName val="基本信息及附注"/>
      <sheetName val="科目余额表"/>
      <sheetName val="E1020"/>
      <sheetName val="湖南湘潭应付个人明细帐"/>
      <sheetName val="FH-2应付利息明细表"/>
      <sheetName val="财务成本"/>
      <sheetName val="利润分析"/>
      <sheetName val="资产负债分析"/>
      <sheetName val="年初数调整分录"/>
      <sheetName val="应收账龄BS.01"/>
      <sheetName val="应付职工薪酬Dy"/>
      <sheetName val="Financ. Overview"/>
      <sheetName val="Toolbox"/>
      <sheetName val="#REF!"/>
      <sheetName val="所得税费用Dy"/>
      <sheetName val="库存商品余额表.dbf"/>
      <sheetName val="完"/>
      <sheetName val="A5-200回函汇总"/>
      <sheetName val="表头"/>
      <sheetName val="链接"/>
      <sheetName val="役"/>
      <sheetName val="目录"/>
      <sheetName val="A22-100明细表样式"/>
      <sheetName val="3月总表"/>
      <sheetName val="4月工资汇总表"/>
      <sheetName val="5月总表"/>
      <sheetName val="6月总表"/>
      <sheetName val="7月总表"/>
      <sheetName val="8月总表"/>
      <sheetName val="9月总表"/>
      <sheetName val="10月总表"/>
      <sheetName val="11月总表"/>
      <sheetName val="12月总表"/>
      <sheetName val="ZA-1余额表"/>
      <sheetName val="ZA-1-0调整分录"/>
      <sheetName val="管理费用表分析-1"/>
      <sheetName val="标本-资产"/>
      <sheetName val="21122"/>
      <sheetName val="销售"/>
      <sheetName val="Open"/>
      <sheetName val="ZE-1明细表"/>
      <sheetName val="负债试算平衡"/>
      <sheetName val="目录表"/>
      <sheetName val="报表格式"/>
      <sheetName val="销售6.13"/>
      <sheetName val="应付职工薪酬审定表"/>
      <sheetName val="引用"/>
      <sheetName val="3月-2"/>
      <sheetName val="4月"/>
      <sheetName val="7月"/>
      <sheetName val="Profit and Loss"/>
      <sheetName val="5132"/>
      <sheetName val="表头信息设定"/>
      <sheetName val="目錄"/>
      <sheetName val="流资汇总"/>
      <sheetName val="全年"/>
      <sheetName val="存货汇总表10"/>
      <sheetName val="预付函证控制表"/>
      <sheetName val="101"/>
      <sheetName val="审定表"/>
      <sheetName val="Collateral"/>
      <sheetName val="选择报表"/>
      <sheetName val="填制说明"/>
      <sheetName val="主营业务收入Dy"/>
      <sheetName val="其他应付款Dy"/>
      <sheetName val="主营业务成本Dy"/>
      <sheetName val="其他应收款Dy"/>
      <sheetName val="应交税费Dy"/>
      <sheetName val="预收账款Dy"/>
      <sheetName val="应收票据Dy"/>
      <sheetName val="核算项目余额表"/>
      <sheetName val="DATA"/>
      <sheetName val="POWER ASSUMPTIONS"/>
      <sheetName val="XL4Poppy"/>
      <sheetName val="12月销售成本表(原表)"/>
      <sheetName val="固定资产及累计折旧表"/>
      <sheetName val="ZA封面"/>
      <sheetName val="应收账款审定表"/>
      <sheetName val="货币资金审定表"/>
      <sheetName val="货币资金明细"/>
      <sheetName val="交易性金融资产审定表"/>
      <sheetName val="应收票据审定表"/>
      <sheetName val="质押核对表"/>
      <sheetName val="贴现未到期"/>
      <sheetName val="应收股利审定表"/>
      <sheetName val="应收利息审定表"/>
      <sheetName val="应收账款明细表"/>
      <sheetName val="其他应收款审定表"/>
      <sheetName val="其他应收明细表"/>
      <sheetName val="预付账款审定表"/>
      <sheetName val="预付账款明细表"/>
      <sheetName val="存货审定表"/>
      <sheetName val="存货跌价准备明细表"/>
      <sheetName val="其他流动资产审定表"/>
      <sheetName val="可供出售金融资产审定表"/>
      <sheetName val="持有至到期投资审定表"/>
      <sheetName val="长期应收款审定表"/>
      <sheetName val="长期股权投资明细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短期借款审定表"/>
      <sheetName val="逾期贷款"/>
      <sheetName val="交易性金融负债审定"/>
      <sheetName val="应付票据审定表"/>
      <sheetName val="应付账款审定"/>
      <sheetName val="应付账款明细表"/>
      <sheetName val="预收账款审定表"/>
      <sheetName val="预收账款明细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资本公积审定表"/>
      <sheetName val="盈余公积审定表"/>
      <sheetName val="未分配利润审定表"/>
      <sheetName val="营业收入审定表"/>
      <sheetName val="营业成本审定表"/>
      <sheetName val="十大客户、供应商检查表"/>
      <sheetName val="营业税金及附加审定表"/>
      <sheetName val="销售费用审定表"/>
      <sheetName val="管理费用审定表"/>
      <sheetName val="公允价值变动损益审定表"/>
      <sheetName val="投资收益审定表"/>
      <sheetName val="资产减值损失审定表"/>
      <sheetName val="营业外收入审定表"/>
      <sheetName val="营业外支出审定表"/>
      <sheetName val="所得税费用审定表"/>
      <sheetName val="财务费用审定表"/>
      <sheetName val="库存商品明细审定表"/>
      <sheetName val="PER SALES ORG"/>
      <sheetName val="details"/>
      <sheetName val="其他应付款科目余额2005.12.31"/>
      <sheetName val="_2568"/>
      <sheetName val="5426"/>
      <sheetName val="_8048"/>
      <sheetName val="_2687"/>
      <sheetName val="_2691"/>
      <sheetName val="_2702"/>
      <sheetName val="_2786"/>
      <sheetName val="_2800"/>
      <sheetName val="_3244"/>
      <sheetName val="_5131"/>
      <sheetName val="_8041"/>
      <sheetName val="_2594"/>
      <sheetName val="_2598"/>
      <sheetName val="2600"/>
      <sheetName val="5076"/>
      <sheetName val="_5174"/>
      <sheetName val="Assump2"/>
      <sheetName val="P08A自制半成品收发存"/>
      <sheetName val="S20-1"/>
      <sheetName val="Interco-386"/>
      <sheetName val="Fixed assets"/>
      <sheetName val="工资"/>
      <sheetName val="其他应收款"/>
      <sheetName val="货币资金披露表（国企）"/>
      <sheetName val="试算平衡表"/>
      <sheetName val="固定资产实际实施程序表"/>
      <sheetName val="固定资产、累计折旧、减值准备审定表"/>
      <sheetName val="明细表"/>
      <sheetName val="Sheet5"/>
      <sheetName val="5YE"/>
      <sheetName val="应付账款明细-单一客户名称"/>
      <sheetName val="帐本记录与流水记录核对"/>
      <sheetName val="工时统计"/>
      <sheetName val="其他应收款检查表"/>
      <sheetName val="明细表2011年-户名更改"/>
      <sheetName val="应收股利"/>
      <sheetName val="UFPrn20060113152646"/>
      <sheetName val="UFPrn20060113153757"/>
      <sheetName val="UFPrn20060113154140"/>
      <sheetName val="eqpmad2"/>
      <sheetName val="CntrlSign"/>
      <sheetName val="CntrlType1_1"/>
      <sheetName val="CntrlType1_2"/>
      <sheetName val="RiskSign"/>
      <sheetName val="固定资产经贸公司数据"/>
      <sheetName val="管理费用"/>
      <sheetName val="外地"/>
      <sheetName val="坯布"/>
      <sheetName val="材料"/>
      <sheetName val="外销"/>
      <sheetName val="CY sales report"/>
      <sheetName val="UFPrn20090217100717"/>
      <sheetName val="资"/>
      <sheetName val="披露表(标准)"/>
      <sheetName val="披露表(上市)"/>
      <sheetName val="披露表(国资)"/>
      <sheetName val="ZH1-4其他应收款个别认定"/>
      <sheetName val="ZH1-3应收账款个别认定"/>
      <sheetName val="FG-1明细表"/>
      <sheetName val="H R"/>
      <sheetName val="表头信息"/>
      <sheetName val="应收账款发函明细表"/>
      <sheetName val="主营业务税金及附加Dy"/>
      <sheetName val="应收账款Dy"/>
      <sheetName val="评估结论"/>
      <sheetName val="SD-20-3"/>
      <sheetName val="明细分类账"/>
      <sheetName val="出租开发产品明细"/>
      <sheetName val="A 10－1"/>
      <sheetName val="应付帐款"/>
      <sheetName val="汇总"/>
      <sheetName val="A3 &amp; U 09-01"/>
      <sheetName val="表2-1"/>
      <sheetName val="表2-2"/>
      <sheetName val="表2-2-"/>
      <sheetName val="2000-le!se"/>
      <sheetName val="2009_12"/>
      <sheetName val="生产成本Dy"/>
      <sheetName val="制造费用Dy"/>
      <sheetName val="应收票据"/>
      <sheetName val="明细表（未审）"/>
      <sheetName val="新城资金明细"/>
      <sheetName val="申鑫大厦租金明细"/>
      <sheetName val="三林明细"/>
      <sheetName val="东陆明细"/>
      <sheetName val="UFPrn20120329113713"/>
      <sheetName val="FF-1-1应付职工薪酬"/>
      <sheetName val="应付职工薪酬进一步审计程序"/>
      <sheetName val="辅助表MT"/>
      <sheetName val="收入明细－按客户"/>
      <sheetName val="XSC-1销售与收款循环控制测试汇总表"/>
      <sheetName val="08.8"/>
      <sheetName val="rate"/>
      <sheetName val="Conso-FS(OK)"/>
      <sheetName val="差异调整97"/>
      <sheetName val="4-货币资金-现金"/>
      <sheetName val="ZD封面"/>
      <sheetName val="SW-TEO"/>
      <sheetName val="综合"/>
      <sheetName val="代码"/>
      <sheetName val="银行存款Dy"/>
      <sheetName val="货币资金Dy"/>
      <sheetName val="项目基本情况"/>
      <sheetName val="APR"/>
      <sheetName val="JUL"/>
      <sheetName val="JUN"/>
      <sheetName val="SEP"/>
      <sheetName val="MAR"/>
      <sheetName val="AUG"/>
      <sheetName val="灰铁明细账"/>
      <sheetName val="Breakdown"/>
      <sheetName val="TTU"/>
      <sheetName val="账上导出数（包括暂估）"/>
      <sheetName val="合并"/>
      <sheetName val="关联方及关联交易-关联方清单"/>
      <sheetName val="海外售后服务费明细及调整"/>
      <sheetName val="利息7月-8月"/>
      <sheetName val="其他应收账龄分析表"/>
      <sheetName val="储藏室"/>
      <sheetName val="利息支出分类表"/>
      <sheetName val="资本公积抽查"/>
      <sheetName val="收入"/>
      <sheetName val="上市披露"/>
      <sheetName val="可参考程序表"/>
      <sheetName val="可供参考程序表-货币资金"/>
      <sheetName val="可供参考程序表"/>
      <sheetName val="实际执行的程序"/>
      <sheetName val="可供参考的程序"/>
      <sheetName val="基本生产成本"/>
      <sheetName val="TB"/>
      <sheetName val="银行存款"/>
      <sheetName val="索引表"/>
      <sheetName val="运输"/>
      <sheetName val="电子"/>
      <sheetName val="UFPrn20060213094123"/>
      <sheetName val="Consol"/>
      <sheetName val="AFEMAI"/>
      <sheetName val="KEY"/>
      <sheetName val="F1"/>
      <sheetName val="2013年其他应收明细表"/>
      <sheetName val="基础数据"/>
      <sheetName val="Cover"/>
      <sheetName val="账户汇总表_2008年1月至2012年12"/>
      <sheetName val="金都商城"/>
      <sheetName val="中山低值"/>
      <sheetName val="W"/>
      <sheetName val="账户汇总表_2014年1月至12月_"/>
      <sheetName val="科目表"/>
      <sheetName val="OPERATE-LEASE"/>
      <sheetName val="RCP作業"/>
      <sheetName val="BUD-DI"/>
      <sheetName val="All"/>
      <sheetName val="設定"/>
      <sheetName val="销售出库序时簿"/>
      <sheetName val="原材料抽查表"/>
      <sheetName val="销量"/>
      <sheetName val="存货减值测试表"/>
      <sheetName val="Detail Loan Move. &amp; Listing"/>
      <sheetName val="账龄结构分析"/>
      <sheetName val="余额分析"/>
      <sheetName val="分项目列式"/>
      <sheetName val="营业收入导引表"/>
      <sheetName val="销售费用截止测试"/>
      <sheetName val="SCH-U-5 以前年度损益调整"/>
      <sheetName val="UFPrn20040104084034"/>
      <sheetName val="预收帐款"/>
      <sheetName val="应收账款明细"/>
      <sheetName val="Main"/>
      <sheetName val="参数"/>
      <sheetName val="TB损益"/>
      <sheetName val=" "/>
      <sheetName val="资产评估结果分类汇总表 (2)"/>
      <sheetName val="待摊费用明细表"/>
      <sheetName val="Profile"/>
      <sheetName val="初始设定"/>
      <sheetName val="dxnsjtempsheet"/>
      <sheetName val="1.1bal"/>
      <sheetName val="18.2 other ex"/>
      <sheetName val="Sum"/>
      <sheetName val="04.07"/>
      <sheetName val="111"/>
      <sheetName val="细节测试审计抽样"/>
      <sheetName val="for ey reviewer 销售费用"/>
      <sheetName val="for ey reviewer 制造费用"/>
      <sheetName val="HP99"/>
      <sheetName val="ADD"/>
      <sheetName val="MIS1"/>
      <sheetName val="NON-TP-ABB"/>
      <sheetName val="for ey reviewer ÏúÊÛ·ÑÓÃ"/>
      <sheetName val="for ey reviewer ÖÆÔì·ÑÓÃ"/>
      <sheetName val="master"/>
      <sheetName val="ARP"/>
      <sheetName val="base"/>
      <sheetName val="Pnl-10"/>
      <sheetName val="20"/>
      <sheetName val="30"/>
      <sheetName val="70"/>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10"/>
      <sheetName val="30a"/>
      <sheetName val="30-Note"/>
      <sheetName val="U-2"/>
      <sheetName val="FF-21(a)"/>
      <sheetName val="上报资产负债表"/>
      <sheetName val="上报损益表"/>
      <sheetName val="现金流量表（月报）"/>
      <sheetName val="补充表"/>
      <sheetName val="source"/>
      <sheetName val="AR Trend"/>
      <sheetName val="Bad Debt Reserve Trend"/>
      <sheetName val="Bad Debt Reserve calc"/>
      <sheetName val="底稿0000"/>
      <sheetName val="BOX SUM"/>
      <sheetName val="FIN GOOD"/>
      <sheetName val="List"/>
      <sheetName val="cfs直接"/>
      <sheetName val="YEB"/>
      <sheetName val="Ã«ÀûÂÊ·ÖÎö±í"/>
      <sheetName val="Movement-总厂 "/>
      <sheetName val="INVDAYS"/>
      <sheetName val="公允价值变动损益Dy"/>
      <sheetName val="可供出售金融资产Dy"/>
      <sheetName val="采购订单3名"/>
      <sheetName val="FG-20-1-1往来科目-待抵扣进项税的核对"/>
      <sheetName val="b2"/>
      <sheetName val="company"/>
      <sheetName val="currency"/>
      <sheetName val="detailitems_1"/>
      <sheetName val="detailitems_10"/>
      <sheetName val="detailitems_100"/>
      <sheetName val="detailitems_101"/>
      <sheetName val="detailitems_102"/>
      <sheetName val="detailitems_11"/>
      <sheetName val="detailitems_111"/>
      <sheetName val="detailitems_112"/>
      <sheetName val="detailitems_113"/>
      <sheetName val="detailitems_114"/>
      <sheetName val="detailitems_115"/>
      <sheetName val="detailitems_116"/>
      <sheetName val="detailitems_117"/>
      <sheetName val="detailitems_118"/>
      <sheetName val="detailitems_119"/>
      <sheetName val="detailitems_12"/>
      <sheetName val="detailitems_120"/>
      <sheetName val="detailitems_121"/>
      <sheetName val="detailitems_122"/>
      <sheetName val="detailitems_123"/>
      <sheetName val="Basic"/>
      <sheetName val="实际执行程序表-货币资金"/>
      <sheetName val="全部存货信息"/>
      <sheetName val="3111"/>
      <sheetName val="3113"/>
      <sheetName val="_8013"/>
      <sheetName val="_8022"/>
      <sheetName val="2.5"/>
      <sheetName val="应收账款"/>
      <sheetName val="detailitems_124"/>
      <sheetName val="detailitems_125"/>
      <sheetName val="detailitems_126"/>
      <sheetName val="detailitems_127"/>
      <sheetName val="detailitems_13"/>
      <sheetName val="detailitems_14"/>
      <sheetName val="detailitems_15"/>
      <sheetName val="detailitems_150"/>
      <sheetName val="detailitems_151"/>
      <sheetName val="detailitems_152"/>
      <sheetName val="detailitems_153"/>
      <sheetName val="detailitems_154"/>
      <sheetName val="detailitems_155"/>
      <sheetName val="detailitems_156"/>
      <sheetName val="detailitems_157"/>
      <sheetName val="detailitems_158"/>
      <sheetName val="detailitems_159"/>
      <sheetName val="detailitems_16"/>
      <sheetName val="detailitems_160"/>
      <sheetName val="detailitems_161"/>
      <sheetName val="detailitems_162"/>
      <sheetName val="detailitems_163"/>
      <sheetName val="detailitems_164"/>
      <sheetName val="detailitems_165"/>
      <sheetName val="detailitems_166"/>
      <sheetName val="detailitems_167"/>
      <sheetName val="detailitems_168"/>
      <sheetName val="detailitems_169"/>
      <sheetName val="detailitems_17"/>
      <sheetName val="detailitems_170"/>
      <sheetName val="detailitems_171"/>
      <sheetName val="detailitems_172"/>
      <sheetName val="detailitems_173"/>
      <sheetName val="detailitems_174"/>
      <sheetName val="detailitems_18"/>
      <sheetName val="detailitems_19"/>
      <sheetName val="detailitems_2"/>
      <sheetName val="detailitems_20"/>
      <sheetName val="detailitems_21"/>
      <sheetName val="detailitems_22"/>
      <sheetName val="detailitems_23"/>
      <sheetName val="detailitems_24"/>
      <sheetName val="detailitems_26"/>
      <sheetName val="detailitems_27"/>
      <sheetName val="detailitems_3"/>
      <sheetName val="detailitems_300"/>
      <sheetName val="detailitems_301"/>
      <sheetName val="detailitems_302"/>
      <sheetName val="detailitems_303"/>
      <sheetName val="detailitems_304"/>
      <sheetName val="detailitems_35"/>
      <sheetName val="detailitems_36"/>
      <sheetName val="detailitems_37"/>
      <sheetName val="detailitems_38"/>
      <sheetName val="detailitems_39"/>
      <sheetName val="detailitems_4"/>
      <sheetName val="detailitems_41"/>
      <sheetName val="detailitems_42"/>
      <sheetName val="detailitems_43"/>
      <sheetName val="detailitems_44"/>
      <sheetName val="detailitems_45"/>
      <sheetName val="detailitems_46"/>
      <sheetName val="detailitems_47"/>
      <sheetName val="detailitems_48"/>
      <sheetName val="detailitems_49"/>
      <sheetName val="detailitems_5"/>
      <sheetName val="detailitems_50"/>
      <sheetName val="detailitems_51"/>
      <sheetName val="detailitems_52"/>
      <sheetName val="detailitems_53"/>
      <sheetName val="detailitems_54"/>
      <sheetName val="detailitems_56"/>
      <sheetName val="detailitems_58"/>
      <sheetName val="detailitems_59"/>
      <sheetName val="detailitems_6"/>
      <sheetName val="detailitems_60"/>
      <sheetName val="detailitems_61"/>
      <sheetName val="detailitems_62"/>
      <sheetName val="detailitems_63"/>
      <sheetName val="detailitems_64"/>
      <sheetName val="detailitems_65"/>
      <sheetName val="detailitems_66"/>
      <sheetName val="detailitems_67"/>
      <sheetName val="detailitems_68"/>
      <sheetName val="detailitems_69"/>
      <sheetName val="detailitems_7"/>
      <sheetName val="detailitems_70"/>
      <sheetName val="detailitems_71"/>
      <sheetName val="detailitems_72"/>
      <sheetName val="detailitems_73"/>
      <sheetName val="detailitems_74"/>
      <sheetName val="detailitems_75"/>
      <sheetName val="detailitems_76"/>
      <sheetName val="detailitems_77"/>
      <sheetName val="detailitems_78"/>
      <sheetName val="detailitems_79"/>
      <sheetName val="detailitems_8"/>
      <sheetName val="detailitems_80"/>
      <sheetName val="detailitems_81"/>
      <sheetName val="detailitems_82"/>
      <sheetName val="detailitems_83"/>
      <sheetName val="detailitems_84"/>
      <sheetName val="detailitems_85"/>
      <sheetName val="detailitems_86"/>
      <sheetName val="detailitems_87"/>
      <sheetName val="detailitems_88"/>
      <sheetName val="detailitems_89"/>
      <sheetName val="detailitems_9"/>
      <sheetName val="detailitems_90"/>
      <sheetName val="detailitems_91"/>
      <sheetName val="detailitems_92"/>
      <sheetName val="detailitems_93"/>
      <sheetName val="detailitems_94"/>
      <sheetName val="detailitems_95"/>
      <sheetName val="detailitems_96"/>
      <sheetName val="detailitems_97"/>
      <sheetName val="detailitems_98"/>
      <sheetName val="detailitems_99"/>
      <sheetName val="detailitems_999"/>
      <sheetName val="product"/>
      <sheetName val="12月"/>
      <sheetName val="费用"/>
      <sheetName val="1"/>
      <sheetName val="账"/>
      <sheetName val="账1"/>
      <sheetName val="基本参数"/>
      <sheetName val="ZI-3-30原材料收发存"/>
      <sheetName val="ZI-5-1-11库存商品（产成品）"/>
      <sheetName val="银行存款函证结果汇总表"/>
      <sheetName val="表页-1"/>
      <sheetName val="月份分析"/>
      <sheetName val="SA1-6收入同期比较表"/>
      <sheetName val="SA1-1收入、成本明细"/>
      <sheetName val="SA1-3分月收入、成本"/>
      <sheetName val="5月"/>
      <sheetName val="5.基础档案"/>
      <sheetName val="1.3合同卡片"/>
      <sheetName val="1.合同台账"/>
      <sheetName val="固定资产增加检查表Pz"/>
      <sheetName val="固定资产Dy (2)"/>
      <sheetName val="选择键"/>
      <sheetName val="剥离前"/>
      <sheetName val="Summary"/>
      <sheetName val="ZI10-3生产成本发生额"/>
      <sheetName val="Economic_evaluation_-_FY98_base"/>
      <sheetName val="应付账款_(2)"/>
      <sheetName val="应付账款明细BS_09_"/>
      <sheetName val="其他货币资金_dbf"/>
      <sheetName val="银行存款_dbf"/>
      <sheetName val="清单12_31"/>
      <sheetName val="loan_database"/>
      <sheetName val="短期投资股票投资_dbf"/>
      <sheetName val="短期投资国债投资_dbf"/>
      <sheetName val="股票投资收益_dbf"/>
      <sheetName val="其他货币海通_dbf"/>
      <sheetName val="其他货币零领路_dbf"/>
      <sheetName val="投资收益债券_dbf"/>
      <sheetName val="应收账龄BS_01"/>
      <sheetName val="POWER_ASSUMPTIONS"/>
      <sheetName val="08_8"/>
      <sheetName val="Economic_evaluation_-_FY98_bas1"/>
      <sheetName val="应付账款_(2)1"/>
      <sheetName val="应付账款明细BS_09_1"/>
      <sheetName val="其他货币资金_dbf1"/>
      <sheetName val="银行存款_dbf1"/>
      <sheetName val="清单12_311"/>
      <sheetName val="loan_database1"/>
      <sheetName val="短期投资股票投资_dbf1"/>
      <sheetName val="短期投资国债投资_dbf1"/>
      <sheetName val="股票投资收益_dbf1"/>
      <sheetName val="其他货币海通_dbf1"/>
      <sheetName val="其他货币零领路_dbf1"/>
      <sheetName val="投资收益债券_dbf1"/>
      <sheetName val="应收账龄BS_011"/>
      <sheetName val="POWER_ASSUMPTIONS1"/>
      <sheetName val="08_81"/>
      <sheetName val="说明"/>
      <sheetName val="数据源"/>
      <sheetName val="设置"/>
      <sheetName val="基础信息"/>
      <sheetName val="库存商品发出8月"/>
      <sheetName val="2007.11PPR管件单件测算"/>
      <sheetName val="8月电工管单种测试"/>
      <sheetName val="PVC型材单件测算"/>
      <sheetName val="原材料计价测试"/>
      <sheetName val="调整分录"/>
      <sheetName val="Parameters"/>
      <sheetName val="应收帐款明细表"/>
      <sheetName val="数量金额总账12"/>
      <sheetName val="应收帐款账龄分析表"/>
      <sheetName val="酒业转入"/>
      <sheetName val="库存商品明细"/>
      <sheetName val="06余额表"/>
      <sheetName val="审计说明"/>
      <sheetName val="2013年应收"/>
      <sheetName val="2002.1-6管理费用"/>
      <sheetName val="Facer - 3f"/>
      <sheetName val="2010年12月销售按客户"/>
      <sheetName val="2011年12月销售按客户"/>
      <sheetName val="Auto Trans Total F&amp;T "/>
      <sheetName val="EN114 &amp; SN95"/>
      <sheetName val="Casting"/>
      <sheetName val="Target Cascade"/>
      <sheetName val="Manual Trans Total F&amp;T"/>
      <sheetName val="V Engine Mfg Process"/>
      <sheetName val="财务费用"/>
      <sheetName val="7-2-1折旧测算表-181231"/>
      <sheetName val="FA-LISTING"/>
      <sheetName val="original"/>
      <sheetName val="应收票据明细账"/>
      <sheetName val="ZI-2250生产成本发生额"/>
      <sheetName val="P12 TB SZ"/>
      <sheetName val="预付账款Dy"/>
      <sheetName val="sell"/>
      <sheetName val="fin"/>
      <sheetName val="附注汇总"/>
      <sheetName val="立项表"/>
      <sheetName val="关联方—创斯达"/>
      <sheetName val="关联方—东风汽车"/>
      <sheetName val="CRITERIA1"/>
      <sheetName val="CRITERIA2"/>
      <sheetName val="2004"/>
      <sheetName val="账面外销"/>
      <sheetName val="FS"/>
      <sheetName val="gl"/>
      <sheetName val="Adm"/>
      <sheetName val="物资采购含税转出"/>
      <sheetName val="福利费1"/>
      <sheetName val="账龄1年以上的预收账款查验"/>
      <sheetName val="“预收账款”余额明细表"/>
      <sheetName val="“预收账款”发生额查验记录-江浦中学"/>
      <sheetName val="ZD-0调整汇总"/>
      <sheetName val="其他应收款－个人借款明细"/>
      <sheetName val="exch. rate"/>
      <sheetName val="3080"/>
      <sheetName val="_5366"/>
      <sheetName val="内部购进明细表"/>
      <sheetName val="应收帐款"/>
      <sheetName val="预付款项明细表"/>
      <sheetName val="PLCONSO"/>
    </sheetNames>
    <sheetDataSet>
      <sheetData sheetId="0" refreshError="1"/>
      <sheetData sheetId="1" refreshError="1"/>
      <sheetData sheetId="2" refreshError="1">
        <row r="1">
          <cell r="A1">
            <v>37256</v>
          </cell>
        </row>
        <row r="2">
          <cell r="A2">
            <v>30.416666666666668</v>
          </cell>
        </row>
      </sheetData>
      <sheetData sheetId="3">
        <row r="1">
          <cell r="A1">
            <v>37256</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 val="辽宁三生库存商品总帐2005 3.1.3a"/>
      <sheetName val="Info. Request"/>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refreshError="1"/>
      <sheetData sheetId="266"/>
      <sheetData sheetId="267"/>
      <sheetData sheetId="268"/>
      <sheetData sheetId="269" refreshError="1"/>
      <sheetData sheetId="270" refreshError="1"/>
      <sheetData sheetId="271" refreshError="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sheetData sheetId="1119"/>
      <sheetData sheetId="1120"/>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ow r="24">
          <cell r="B24">
            <v>0</v>
          </cell>
        </row>
      </sheetData>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row r="24">
          <cell r="B24">
            <v>0</v>
          </cell>
        </row>
      </sheetData>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row r="6">
          <cell r="C6">
            <v>0</v>
          </cell>
        </row>
      </sheetData>
      <sheetData sheetId="3022"/>
      <sheetData sheetId="3023"/>
      <sheetData sheetId="3024"/>
      <sheetData sheetId="3025">
        <row r="6">
          <cell r="C6">
            <v>0</v>
          </cell>
        </row>
      </sheetData>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10">
          <cell r="C10" t="str">
            <v>衍生金融资产</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6">
          <cell r="C6">
            <v>13428470678.063999</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ow r="24">
          <cell r="B24">
            <v>0</v>
          </cell>
        </row>
      </sheetData>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3">
          <cell r="A3">
            <v>60232501088</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audit marks (2)"/>
      <sheetName val="A300"/>
      <sheetName val="A400"/>
      <sheetName val="A410"/>
      <sheetName val="A420"/>
      <sheetName val="A430"/>
      <sheetName val="A440"/>
      <sheetName val="A500"/>
      <sheetName val="A501"/>
      <sheetName val="A502"/>
      <sheetName val="A1000"/>
      <sheetName val="C"/>
      <sheetName val="C100"/>
      <sheetName val="C200"/>
      <sheetName val="c300"/>
      <sheetName val="C400"/>
      <sheetName val="E"/>
      <sheetName val="E10 "/>
      <sheetName val="E11"/>
      <sheetName val="E12"/>
      <sheetName val="E13"/>
      <sheetName val="E21 "/>
      <sheetName val="E300"/>
      <sheetName val="E400 "/>
      <sheetName val="E500"/>
      <sheetName val="E600"/>
      <sheetName val="E700"/>
      <sheetName val="&lt;E730&gt;"/>
      <sheetName val="E800"/>
      <sheetName val="E900"/>
      <sheetName val="E1000"/>
      <sheetName val="G"/>
      <sheetName val="G100"/>
      <sheetName val="H"/>
      <sheetName val="H100"/>
      <sheetName val="H200"/>
      <sheetName val="H300(reference)"/>
      <sheetName val="H310"/>
      <sheetName val="J "/>
      <sheetName val="J100"/>
      <sheetName val="J110"/>
      <sheetName val="J300"/>
      <sheetName val="J310"/>
      <sheetName val="J320"/>
      <sheetName val="K"/>
      <sheetName val="K100"/>
      <sheetName val="K200"/>
      <sheetName val="K300"/>
      <sheetName val="L"/>
      <sheetName val="L100"/>
      <sheetName val="N "/>
      <sheetName val="N10"/>
      <sheetName val="N100 "/>
      <sheetName val="N200  "/>
      <sheetName val="N300   "/>
      <sheetName val="N500  "/>
      <sheetName val="N600"/>
      <sheetName val="N700  "/>
      <sheetName val="N800"/>
      <sheetName val="N900 "/>
      <sheetName val="O"/>
      <sheetName val="O100"/>
      <sheetName val="O210"/>
      <sheetName val="o300"/>
      <sheetName val="o310"/>
      <sheetName val="P"/>
      <sheetName val="P100"/>
      <sheetName val="p110 "/>
      <sheetName val="p120"/>
      <sheetName val="P200"/>
      <sheetName val="P300"/>
      <sheetName val="Q "/>
      <sheetName val="Q100 "/>
      <sheetName val="Q200 "/>
      <sheetName val="Q300 "/>
      <sheetName val="Q400"/>
      <sheetName val="Q410"/>
      <sheetName val="Q700"/>
      <sheetName val="Q710"/>
      <sheetName val="S "/>
      <sheetName val="S100"/>
      <sheetName val="S200"/>
      <sheetName val="U.detail"/>
      <sheetName val="U100(Overall int yield analysis"/>
      <sheetName val="U110(Yield-MM placements）"/>
      <sheetName val="U120(Yield-Loan &amp; adv)"/>
      <sheetName val="U200"/>
      <sheetName val="U300"/>
      <sheetName val="U400"/>
      <sheetName val="U500"/>
      <sheetName val="U600"/>
      <sheetName val="U700"/>
      <sheetName val="U800"/>
      <sheetName val="U900"/>
      <sheetName val="U1000"/>
      <sheetName val="U1100"/>
      <sheetName val="U1200"/>
      <sheetName val="U1210"/>
      <sheetName val="U1300"/>
      <sheetName val="U1400"/>
      <sheetName val="V"/>
      <sheetName val="V100"/>
      <sheetName val="V300"/>
      <sheetName val="OS Matters"/>
      <sheetName val="review"/>
      <sheetName val="Standard audit marks"/>
    </sheetNames>
    <sheetDataSet>
      <sheetData sheetId="0" refreshError="1"/>
      <sheetData sheetId="1" refreshError="1"/>
      <sheetData sheetId="2" refreshError="1"/>
      <sheetData sheetId="3" refreshError="1"/>
      <sheetData sheetId="4" refreshError="1"/>
      <sheetData sheetId="5" refreshError="1">
        <row r="3">
          <cell r="A3" t="str">
            <v xml:space="preserve">     资     产</v>
          </cell>
          <cell r="B3" t="str">
            <v>行次</v>
          </cell>
          <cell r="C3" t="str">
            <v xml:space="preserve">  期  初  数</v>
          </cell>
          <cell r="D3" t="str">
            <v xml:space="preserve"> 期  末  数</v>
          </cell>
          <cell r="E3" t="str">
            <v xml:space="preserve">  负债及所有者权益</v>
          </cell>
          <cell r="F3" t="str">
            <v>行次</v>
          </cell>
          <cell r="G3" t="str">
            <v xml:space="preserve">  期  初  数</v>
          </cell>
          <cell r="H3" t="str">
            <v xml:space="preserve"> 期  末  数</v>
          </cell>
        </row>
        <row r="4">
          <cell r="A4" t="str">
            <v xml:space="preserve">  现金及银行存款</v>
          </cell>
          <cell r="B4">
            <v>1</v>
          </cell>
          <cell r="C4">
            <v>53258825.450000003</v>
          </cell>
          <cell r="D4">
            <v>56358793.560000002</v>
          </cell>
          <cell r="E4" t="str">
            <v xml:space="preserve">  短期存款</v>
          </cell>
          <cell r="F4">
            <v>46</v>
          </cell>
          <cell r="G4">
            <v>1944386230.6900001</v>
          </cell>
          <cell r="H4">
            <v>2056010318.1700001</v>
          </cell>
        </row>
        <row r="5">
          <cell r="A5" t="str">
            <v xml:space="preserve">  贵金属</v>
          </cell>
          <cell r="B5">
            <v>2</v>
          </cell>
          <cell r="E5" t="str">
            <v xml:space="preserve">  短期储蓄存款</v>
          </cell>
          <cell r="F5">
            <v>47</v>
          </cell>
          <cell r="G5">
            <v>321132588.75999999</v>
          </cell>
          <cell r="H5">
            <v>464403348.92000002</v>
          </cell>
        </row>
        <row r="6">
          <cell r="A6" t="str">
            <v xml:space="preserve">  存放中央银行款项</v>
          </cell>
          <cell r="B6">
            <v>3</v>
          </cell>
          <cell r="C6">
            <v>119754970.3</v>
          </cell>
          <cell r="D6">
            <v>582830376.00999999</v>
          </cell>
          <cell r="E6" t="str">
            <v xml:space="preserve">  财政性存款</v>
          </cell>
          <cell r="F6">
            <v>48</v>
          </cell>
          <cell r="G6">
            <v>10238880.220000001</v>
          </cell>
          <cell r="H6">
            <v>12040543.92</v>
          </cell>
        </row>
        <row r="7">
          <cell r="A7" t="str">
            <v xml:space="preserve">  存放同业款项</v>
          </cell>
          <cell r="B7">
            <v>4</v>
          </cell>
          <cell r="C7">
            <v>56995828.560000002</v>
          </cell>
          <cell r="D7">
            <v>54155244.25</v>
          </cell>
          <cell r="E7" t="str">
            <v xml:space="preserve">  向中央银行借款</v>
          </cell>
          <cell r="F7">
            <v>49</v>
          </cell>
          <cell r="G7">
            <v>136588650</v>
          </cell>
        </row>
        <row r="8">
          <cell r="A8" t="str">
            <v xml:space="preserve">  存放联行款项</v>
          </cell>
          <cell r="B8">
            <v>5</v>
          </cell>
          <cell r="C8">
            <v>64194239.450000003</v>
          </cell>
          <cell r="D8">
            <v>98277611.890000001</v>
          </cell>
          <cell r="E8" t="str">
            <v xml:space="preserve">  同业存放款项</v>
          </cell>
          <cell r="F8">
            <v>50</v>
          </cell>
          <cell r="G8">
            <v>8025780.6900000004</v>
          </cell>
          <cell r="H8">
            <v>347046460.52999997</v>
          </cell>
        </row>
        <row r="9">
          <cell r="A9" t="str">
            <v xml:space="preserve">  拆放同业</v>
          </cell>
          <cell r="B9">
            <v>6</v>
          </cell>
          <cell r="E9" t="str">
            <v xml:space="preserve">  联行存放款项</v>
          </cell>
          <cell r="F9">
            <v>51</v>
          </cell>
          <cell r="G9">
            <v>123037692.45</v>
          </cell>
          <cell r="H9">
            <v>50085681.5</v>
          </cell>
        </row>
        <row r="10">
          <cell r="A10" t="str">
            <v xml:space="preserve">  拆放金融性公司</v>
          </cell>
          <cell r="B10">
            <v>7</v>
          </cell>
          <cell r="E10" t="str">
            <v xml:space="preserve">  同业拆入</v>
          </cell>
          <cell r="F10">
            <v>52</v>
          </cell>
        </row>
        <row r="11">
          <cell r="A11" t="str">
            <v xml:space="preserve">  短期贷款</v>
          </cell>
          <cell r="B11">
            <v>8</v>
          </cell>
          <cell r="C11">
            <v>1940200062.05</v>
          </cell>
          <cell r="D11">
            <v>2159033719.1399999</v>
          </cell>
          <cell r="E11" t="str">
            <v xml:space="preserve">  金融性公司拆入</v>
          </cell>
          <cell r="F11">
            <v>53</v>
          </cell>
        </row>
        <row r="12">
          <cell r="A12" t="str">
            <v xml:space="preserve">  应收进出口押汇</v>
          </cell>
          <cell r="B12">
            <v>9</v>
          </cell>
          <cell r="C12">
            <v>6718496.2699999996</v>
          </cell>
          <cell r="D12">
            <v>23287709.02</v>
          </cell>
          <cell r="E12" t="str">
            <v xml:space="preserve">  应解汇款</v>
          </cell>
          <cell r="F12">
            <v>54</v>
          </cell>
          <cell r="G12">
            <v>60240899.649999999</v>
          </cell>
          <cell r="H12">
            <v>22528745.559999999</v>
          </cell>
        </row>
        <row r="13">
          <cell r="A13" t="str">
            <v xml:space="preserve">  应收帐款</v>
          </cell>
          <cell r="B13">
            <v>10</v>
          </cell>
          <cell r="C13">
            <v>120882436.66</v>
          </cell>
          <cell r="D13">
            <v>110398608.41</v>
          </cell>
          <cell r="E13" t="str">
            <v xml:space="preserve">  汇出汇款</v>
          </cell>
          <cell r="F13">
            <v>55</v>
          </cell>
          <cell r="G13">
            <v>19012626.449999999</v>
          </cell>
          <cell r="H13">
            <v>57226011.810000002</v>
          </cell>
        </row>
        <row r="14">
          <cell r="A14" t="str">
            <v xml:space="preserve">  减: 坏帐准备</v>
          </cell>
          <cell r="B14">
            <v>11</v>
          </cell>
          <cell r="C14">
            <v>346554.43</v>
          </cell>
          <cell r="D14">
            <v>326541.46999999997</v>
          </cell>
          <cell r="E14" t="str">
            <v xml:space="preserve">  委托存款</v>
          </cell>
          <cell r="F14">
            <v>56</v>
          </cell>
          <cell r="G14">
            <v>629429952.08000004</v>
          </cell>
          <cell r="H14">
            <v>640648674.44000006</v>
          </cell>
        </row>
        <row r="15">
          <cell r="A15" t="str">
            <v xml:space="preserve">  其他应收款</v>
          </cell>
          <cell r="B15">
            <v>12</v>
          </cell>
          <cell r="C15">
            <v>20212070.84</v>
          </cell>
          <cell r="D15">
            <v>13171910.76</v>
          </cell>
          <cell r="E15" t="str">
            <v xml:space="preserve">  应付代理证券款项</v>
          </cell>
          <cell r="F15">
            <v>57</v>
          </cell>
        </row>
        <row r="16">
          <cell r="A16" t="str">
            <v xml:space="preserve">  票据融资</v>
          </cell>
          <cell r="B16">
            <v>13</v>
          </cell>
          <cell r="C16">
            <v>198366560.81999999</v>
          </cell>
          <cell r="D16">
            <v>129369270.45999999</v>
          </cell>
          <cell r="E16" t="str">
            <v xml:space="preserve">  卖出回购证券款</v>
          </cell>
          <cell r="F16">
            <v>58</v>
          </cell>
        </row>
        <row r="17">
          <cell r="A17" t="str">
            <v xml:space="preserve">  短期投资</v>
          </cell>
          <cell r="B17">
            <v>14</v>
          </cell>
          <cell r="C17">
            <v>5485816.8899999997</v>
          </cell>
          <cell r="D17">
            <v>5199595.7300000004</v>
          </cell>
          <cell r="E17" t="str">
            <v xml:space="preserve">  应付帐款</v>
          </cell>
          <cell r="F17">
            <v>59</v>
          </cell>
          <cell r="G17">
            <v>24582753.75</v>
          </cell>
          <cell r="H17">
            <v>30884460.829999998</v>
          </cell>
        </row>
        <row r="18">
          <cell r="A18" t="str">
            <v xml:space="preserve">  委托贷款及委托投资</v>
          </cell>
          <cell r="B18">
            <v>15</v>
          </cell>
          <cell r="C18">
            <v>210357139.38</v>
          </cell>
          <cell r="D18">
            <v>209947139.38</v>
          </cell>
          <cell r="E18" t="str">
            <v xml:space="preserve">  其他应付款</v>
          </cell>
          <cell r="F18">
            <v>60</v>
          </cell>
          <cell r="G18">
            <v>25032891.93</v>
          </cell>
          <cell r="H18">
            <v>18713442.469999999</v>
          </cell>
        </row>
        <row r="19">
          <cell r="A19" t="str">
            <v xml:space="preserve">  自营证券</v>
          </cell>
          <cell r="B19">
            <v>16</v>
          </cell>
          <cell r="E19" t="str">
            <v xml:space="preserve">  应付工资</v>
          </cell>
          <cell r="F19">
            <v>61</v>
          </cell>
          <cell r="G19">
            <v>2590010.75</v>
          </cell>
          <cell r="H19">
            <v>13542139.33</v>
          </cell>
        </row>
        <row r="20">
          <cell r="A20" t="str">
            <v xml:space="preserve">  代理证券</v>
          </cell>
          <cell r="B20">
            <v>17</v>
          </cell>
          <cell r="E20" t="str">
            <v xml:space="preserve">  应付福利费</v>
          </cell>
          <cell r="F20">
            <v>62</v>
          </cell>
          <cell r="G20">
            <v>3264963.45</v>
          </cell>
          <cell r="H20">
            <v>5216914.03</v>
          </cell>
        </row>
        <row r="21">
          <cell r="A21" t="str">
            <v xml:space="preserve">  买入返售证券</v>
          </cell>
          <cell r="B21">
            <v>18</v>
          </cell>
          <cell r="E21" t="str">
            <v xml:space="preserve">  应交税金</v>
          </cell>
          <cell r="F21">
            <v>63</v>
          </cell>
          <cell r="G21">
            <v>498286.9</v>
          </cell>
          <cell r="H21">
            <v>6048185.1699999999</v>
          </cell>
        </row>
        <row r="22">
          <cell r="A22" t="str">
            <v xml:space="preserve">  待处理流动资产净损失</v>
          </cell>
          <cell r="B22">
            <v>19</v>
          </cell>
          <cell r="E22" t="str">
            <v xml:space="preserve">  应付利润</v>
          </cell>
          <cell r="F22">
            <v>64</v>
          </cell>
        </row>
        <row r="23">
          <cell r="A23" t="str">
            <v xml:space="preserve">  一年内到期的长期投资</v>
          </cell>
          <cell r="B23">
            <v>20</v>
          </cell>
          <cell r="E23" t="str">
            <v xml:space="preserve">  预提费用</v>
          </cell>
          <cell r="F23">
            <v>65</v>
          </cell>
        </row>
        <row r="24">
          <cell r="A24" t="str">
            <v xml:space="preserve">  流动资产合计</v>
          </cell>
          <cell r="B24">
            <v>21</v>
          </cell>
          <cell r="C24">
            <v>2796079892.2399998</v>
          </cell>
          <cell r="D24">
            <v>3441703437.1399999</v>
          </cell>
          <cell r="E24" t="str">
            <v xml:space="preserve">  发行短期债券</v>
          </cell>
          <cell r="F24">
            <v>66</v>
          </cell>
        </row>
        <row r="25">
          <cell r="A25" t="str">
            <v xml:space="preserve">  中长期贷款</v>
          </cell>
          <cell r="B25">
            <v>22</v>
          </cell>
          <cell r="C25">
            <v>596658837</v>
          </cell>
          <cell r="D25">
            <v>607569937</v>
          </cell>
          <cell r="E25" t="str">
            <v xml:space="preserve">  一年内到期的长期负债</v>
          </cell>
          <cell r="F25">
            <v>67</v>
          </cell>
        </row>
        <row r="26">
          <cell r="A26" t="str">
            <v xml:space="preserve">  逾期贷款</v>
          </cell>
          <cell r="B26">
            <v>23</v>
          </cell>
          <cell r="C26">
            <v>1245011151.26</v>
          </cell>
          <cell r="D26">
            <v>1063865034.77</v>
          </cell>
          <cell r="E26" t="str">
            <v xml:space="preserve">  流动负债合计</v>
          </cell>
          <cell r="F26">
            <v>68</v>
          </cell>
          <cell r="G26">
            <v>3308062207.77</v>
          </cell>
          <cell r="H26">
            <v>3724394926.6799998</v>
          </cell>
        </row>
        <row r="27">
          <cell r="A27" t="str">
            <v xml:space="preserve">  减: 贷款呆帐准备</v>
          </cell>
          <cell r="B27">
            <v>24</v>
          </cell>
          <cell r="E27" t="str">
            <v xml:space="preserve">  长期存款</v>
          </cell>
          <cell r="F27">
            <v>69</v>
          </cell>
          <cell r="G27">
            <v>674121906.63</v>
          </cell>
          <cell r="H27">
            <v>747998301.83000004</v>
          </cell>
        </row>
        <row r="28">
          <cell r="A28" t="str">
            <v xml:space="preserve">  应收租赁款</v>
          </cell>
          <cell r="B28">
            <v>25</v>
          </cell>
          <cell r="E28" t="str">
            <v xml:space="preserve">  长期储蓄存款</v>
          </cell>
          <cell r="F28">
            <v>70</v>
          </cell>
          <cell r="G28">
            <v>858356638.32000005</v>
          </cell>
          <cell r="H28">
            <v>862731385.04999995</v>
          </cell>
        </row>
        <row r="29">
          <cell r="A29" t="str">
            <v xml:space="preserve">  减: 未收租赁收益</v>
          </cell>
          <cell r="B29">
            <v>26</v>
          </cell>
          <cell r="E29" t="str">
            <v xml:space="preserve">  保证金</v>
          </cell>
          <cell r="F29">
            <v>71</v>
          </cell>
          <cell r="G29">
            <v>174410675.41999999</v>
          </cell>
          <cell r="H29">
            <v>205294240.66</v>
          </cell>
        </row>
        <row r="30">
          <cell r="A30" t="str">
            <v xml:space="preserve">  应收转租赁款</v>
          </cell>
          <cell r="B30">
            <v>27</v>
          </cell>
          <cell r="E30" t="str">
            <v xml:space="preserve">  应付转租赁租金</v>
          </cell>
          <cell r="F30">
            <v>72</v>
          </cell>
        </row>
        <row r="31">
          <cell r="A31" t="str">
            <v xml:space="preserve">  租赁资产</v>
          </cell>
          <cell r="B31">
            <v>28</v>
          </cell>
          <cell r="E31" t="str">
            <v xml:space="preserve">  发行长期债券</v>
          </cell>
          <cell r="F31">
            <v>73</v>
          </cell>
        </row>
        <row r="32">
          <cell r="A32" t="str">
            <v xml:space="preserve">  减: 待转租赁资产</v>
          </cell>
          <cell r="B32">
            <v>29</v>
          </cell>
          <cell r="E32" t="str">
            <v xml:space="preserve">  长期借款</v>
          </cell>
          <cell r="F32">
            <v>74</v>
          </cell>
        </row>
        <row r="33">
          <cell r="A33" t="str">
            <v xml:space="preserve">  经营租赁资产</v>
          </cell>
          <cell r="B33">
            <v>30</v>
          </cell>
          <cell r="E33" t="str">
            <v xml:space="preserve">  长期应付款</v>
          </cell>
          <cell r="F33">
            <v>75</v>
          </cell>
        </row>
        <row r="34">
          <cell r="A34" t="str">
            <v xml:space="preserve">  减: 经营租赁资产折旧</v>
          </cell>
          <cell r="B34">
            <v>31</v>
          </cell>
          <cell r="E34" t="str">
            <v xml:space="preserve">  长期负债合计</v>
          </cell>
          <cell r="F34">
            <v>76</v>
          </cell>
          <cell r="G34">
            <v>1706889220.3699999</v>
          </cell>
          <cell r="H34">
            <v>1816023927.54</v>
          </cell>
        </row>
        <row r="35">
          <cell r="A35" t="str">
            <v xml:space="preserve">  长期投资</v>
          </cell>
          <cell r="B35">
            <v>32</v>
          </cell>
          <cell r="C35">
            <v>146828083</v>
          </cell>
          <cell r="D35">
            <v>148444195</v>
          </cell>
          <cell r="E35" t="str">
            <v xml:space="preserve">  其他负债</v>
          </cell>
          <cell r="F35">
            <v>77</v>
          </cell>
          <cell r="G35">
            <v>34586039.240000002</v>
          </cell>
          <cell r="H35">
            <v>20279956.539999999</v>
          </cell>
        </row>
        <row r="36">
          <cell r="A36" t="str">
            <v xml:space="preserve">  减: 投资风险准备</v>
          </cell>
          <cell r="B36">
            <v>33</v>
          </cell>
          <cell r="E36" t="str">
            <v xml:space="preserve">  实收资本</v>
          </cell>
          <cell r="F36">
            <v>78</v>
          </cell>
        </row>
        <row r="37">
          <cell r="A37" t="str">
            <v xml:space="preserve">  固定资产原值</v>
          </cell>
          <cell r="B37">
            <v>34</v>
          </cell>
          <cell r="C37">
            <v>250016976.24000001</v>
          </cell>
          <cell r="D37">
            <v>271352782.94999999</v>
          </cell>
          <cell r="E37" t="str">
            <v xml:space="preserve">  资本公积</v>
          </cell>
          <cell r="F37">
            <v>79</v>
          </cell>
        </row>
        <row r="38">
          <cell r="A38" t="str">
            <v xml:space="preserve">  减: 累计折旧</v>
          </cell>
          <cell r="B38">
            <v>35</v>
          </cell>
          <cell r="C38">
            <v>69598212.930000007</v>
          </cell>
          <cell r="D38">
            <v>70862678.379999995</v>
          </cell>
          <cell r="E38" t="str">
            <v xml:space="preserve">  盈余公积</v>
          </cell>
          <cell r="F38">
            <v>80</v>
          </cell>
        </row>
        <row r="39">
          <cell r="A39" t="str">
            <v xml:space="preserve">  固定资产净值</v>
          </cell>
          <cell r="B39">
            <v>36</v>
          </cell>
          <cell r="C39">
            <v>180418763.31</v>
          </cell>
          <cell r="D39">
            <v>200490104.56999999</v>
          </cell>
          <cell r="E39" t="str">
            <v xml:space="preserve">  特殊呆账准备金</v>
          </cell>
          <cell r="F39">
            <v>81</v>
          </cell>
        </row>
        <row r="40">
          <cell r="A40" t="str">
            <v xml:space="preserve">  固定资产清理</v>
          </cell>
          <cell r="B40">
            <v>37</v>
          </cell>
          <cell r="E40" t="str">
            <v xml:space="preserve">  未分配利润</v>
          </cell>
          <cell r="F40">
            <v>82</v>
          </cell>
          <cell r="G40">
            <v>38850623.549999997</v>
          </cell>
          <cell r="H40">
            <v>32851304.16</v>
          </cell>
        </row>
        <row r="41">
          <cell r="A41" t="str">
            <v xml:space="preserve">  在建工程</v>
          </cell>
          <cell r="B41">
            <v>38</v>
          </cell>
          <cell r="C41">
            <v>93614635.189999998</v>
          </cell>
          <cell r="D41">
            <v>93610893.689999998</v>
          </cell>
          <cell r="E41" t="str">
            <v xml:space="preserve">  所有者权益合计</v>
          </cell>
          <cell r="F41">
            <v>83</v>
          </cell>
          <cell r="G41">
            <v>38850623.549999997</v>
          </cell>
          <cell r="H41">
            <v>32851304.16</v>
          </cell>
        </row>
        <row r="42">
          <cell r="A42" t="str">
            <v xml:space="preserve">  待处理固定资产损失</v>
          </cell>
          <cell r="B42">
            <v>39</v>
          </cell>
          <cell r="E42" t="str">
            <v/>
          </cell>
          <cell r="F42" t="str">
            <v/>
          </cell>
          <cell r="G42" t="str">
            <v/>
          </cell>
          <cell r="H42" t="str">
            <v/>
          </cell>
        </row>
        <row r="43">
          <cell r="A43" t="str">
            <v xml:space="preserve">  长期资产合计</v>
          </cell>
          <cell r="B43">
            <v>40</v>
          </cell>
          <cell r="C43">
            <v>2262531469.7600002</v>
          </cell>
          <cell r="D43">
            <v>2113980165.03</v>
          </cell>
          <cell r="E43" t="str">
            <v/>
          </cell>
          <cell r="F43" t="str">
            <v/>
          </cell>
          <cell r="G43" t="str">
            <v/>
          </cell>
          <cell r="H43" t="str">
            <v/>
          </cell>
        </row>
        <row r="44">
          <cell r="A44" t="str">
            <v xml:space="preserve">  无形资产</v>
          </cell>
          <cell r="B44">
            <v>41</v>
          </cell>
          <cell r="E44" t="str">
            <v/>
          </cell>
          <cell r="F44" t="str">
            <v/>
          </cell>
          <cell r="G44" t="str">
            <v/>
          </cell>
          <cell r="H44" t="str">
            <v/>
          </cell>
        </row>
        <row r="45">
          <cell r="A45" t="str">
            <v xml:space="preserve">  递延资产</v>
          </cell>
          <cell r="B45">
            <v>42</v>
          </cell>
          <cell r="C45">
            <v>11289377.699999999</v>
          </cell>
          <cell r="D45">
            <v>10834417.85</v>
          </cell>
          <cell r="E45" t="str">
            <v/>
          </cell>
          <cell r="F45" t="str">
            <v/>
          </cell>
          <cell r="G45" t="str">
            <v/>
          </cell>
          <cell r="H45" t="str">
            <v/>
          </cell>
        </row>
        <row r="46">
          <cell r="A46" t="str">
            <v xml:space="preserve">  其他资产</v>
          </cell>
          <cell r="B46">
            <v>43</v>
          </cell>
          <cell r="C46">
            <v>18487351.23</v>
          </cell>
          <cell r="D46">
            <v>27032094.899999999</v>
          </cell>
          <cell r="E46" t="str">
            <v/>
          </cell>
          <cell r="F46" t="str">
            <v/>
          </cell>
          <cell r="G46" t="str">
            <v/>
          </cell>
          <cell r="H46" t="str">
            <v/>
          </cell>
        </row>
        <row r="47">
          <cell r="A47" t="str">
            <v xml:space="preserve">  其他资产合计</v>
          </cell>
          <cell r="B47">
            <v>44</v>
          </cell>
          <cell r="C47">
            <v>29776728.93</v>
          </cell>
          <cell r="D47">
            <v>37866512.75</v>
          </cell>
          <cell r="E47" t="str">
            <v/>
          </cell>
          <cell r="F47" t="str">
            <v/>
          </cell>
          <cell r="G47" t="str">
            <v/>
          </cell>
          <cell r="H47" t="str">
            <v/>
          </cell>
        </row>
        <row r="48">
          <cell r="A48" t="str">
            <v xml:space="preserve">     资 产 合 计</v>
          </cell>
          <cell r="B48">
            <v>45</v>
          </cell>
          <cell r="C48">
            <v>5088388090.9300003</v>
          </cell>
          <cell r="D48">
            <v>5593550114.9200001</v>
          </cell>
          <cell r="E48" t="str">
            <v>负债及所有者权益合计</v>
          </cell>
          <cell r="F48">
            <v>84</v>
          </cell>
          <cell r="G48">
            <v>5088388090.9300003</v>
          </cell>
          <cell r="H48">
            <v>5593550114.9200001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ounted bills"/>
      <sheetName val="privo table"/>
      <sheetName val="loan database (2)"/>
      <sheetName val="loan database"/>
    </sheetNames>
    <sheetDataSet>
      <sheetData sheetId="0" refreshError="1"/>
      <sheetData sheetId="1" refreshError="1"/>
      <sheetData sheetId="2" refreshError="1"/>
      <sheetData sheetId="3" refreshError="1">
        <row r="1">
          <cell r="A1" t="str">
            <v>序号</v>
          </cell>
          <cell r="B1" t="str">
            <v>项目名称</v>
          </cell>
          <cell r="C1" t="str">
            <v>性质</v>
          </cell>
          <cell r="D1" t="str">
            <v>行业</v>
          </cell>
          <cell r="E1" t="str">
            <v>担保方式</v>
          </cell>
          <cell r="F1" t="str">
            <v>始期</v>
          </cell>
          <cell r="G1" t="str">
            <v>到期</v>
          </cell>
          <cell r="H1" t="str">
            <v>本月发放</v>
          </cell>
          <cell r="I1" t="str">
            <v>本年发放</v>
          </cell>
          <cell r="J1" t="str">
            <v>本月收回</v>
          </cell>
          <cell r="K1" t="str">
            <v>本年收回</v>
          </cell>
          <cell r="L1" t="str">
            <v>本月余额</v>
          </cell>
          <cell r="M1" t="str">
            <v>机构</v>
          </cell>
        </row>
        <row r="2">
          <cell r="A2" t="str">
            <v>923D02</v>
          </cell>
          <cell r="B2" t="str">
            <v>ABB电器控制设备有限¹</v>
          </cell>
          <cell r="C2" t="str">
            <v>其它</v>
          </cell>
          <cell r="D2" t="str">
            <v>工业</v>
          </cell>
          <cell r="E2" t="str">
            <v>保证贷款</v>
          </cell>
          <cell r="F2">
            <v>37524</v>
          </cell>
          <cell r="G2">
            <v>37889</v>
          </cell>
          <cell r="H2">
            <v>0</v>
          </cell>
          <cell r="I2">
            <v>200</v>
          </cell>
          <cell r="J2">
            <v>0</v>
          </cell>
          <cell r="K2">
            <v>0</v>
          </cell>
          <cell r="L2">
            <v>200</v>
          </cell>
          <cell r="M2" t="str">
            <v>禾祥</v>
          </cell>
        </row>
        <row r="3">
          <cell r="B3" t="str">
            <v>ABB电器控制设备有限¹ Total</v>
          </cell>
          <cell r="L3">
            <v>200</v>
          </cell>
        </row>
        <row r="4">
          <cell r="A4" t="str">
            <v>22308</v>
          </cell>
          <cell r="B4" t="str">
            <v>埃里星进出口有限公司</v>
          </cell>
          <cell r="C4" t="str">
            <v>集体</v>
          </cell>
          <cell r="D4" t="str">
            <v>商贸</v>
          </cell>
          <cell r="E4" t="str">
            <v>质押贷款</v>
          </cell>
          <cell r="F4">
            <v>37406</v>
          </cell>
          <cell r="G4">
            <v>37590</v>
          </cell>
          <cell r="H4">
            <v>0</v>
          </cell>
          <cell r="I4">
            <v>35</v>
          </cell>
          <cell r="J4">
            <v>0</v>
          </cell>
          <cell r="K4">
            <v>0</v>
          </cell>
          <cell r="L4">
            <v>35</v>
          </cell>
          <cell r="M4" t="str">
            <v>江头</v>
          </cell>
        </row>
        <row r="5">
          <cell r="B5" t="str">
            <v>埃里星进出口有限公司 Total</v>
          </cell>
          <cell r="L5">
            <v>35</v>
          </cell>
        </row>
        <row r="6">
          <cell r="A6" t="str">
            <v>200034</v>
          </cell>
          <cell r="B6" t="str">
            <v>艾细玉</v>
          </cell>
          <cell r="C6" t="str">
            <v>其它</v>
          </cell>
          <cell r="D6" t="str">
            <v>其它</v>
          </cell>
          <cell r="E6" t="str">
            <v>抵押贷款</v>
          </cell>
          <cell r="F6">
            <v>37344</v>
          </cell>
          <cell r="G6">
            <v>37709</v>
          </cell>
          <cell r="H6">
            <v>0</v>
          </cell>
          <cell r="I6">
            <v>160</v>
          </cell>
          <cell r="J6">
            <v>0</v>
          </cell>
          <cell r="K6">
            <v>20.2</v>
          </cell>
          <cell r="L6">
            <v>139.80000000000001</v>
          </cell>
          <cell r="M6" t="str">
            <v>鹭江</v>
          </cell>
        </row>
        <row r="7">
          <cell r="B7" t="str">
            <v>艾细玉 Total</v>
          </cell>
          <cell r="L7">
            <v>139.80000000000001</v>
          </cell>
        </row>
        <row r="8">
          <cell r="A8" t="str">
            <v>0055</v>
          </cell>
          <cell r="B8" t="str">
            <v>爱声音响</v>
          </cell>
          <cell r="C8" t="str">
            <v>三资</v>
          </cell>
          <cell r="D8" t="str">
            <v>工业</v>
          </cell>
          <cell r="E8" t="str">
            <v>票据贴现</v>
          </cell>
          <cell r="F8">
            <v>37511</v>
          </cell>
          <cell r="G8">
            <v>37568</v>
          </cell>
          <cell r="H8">
            <v>0</v>
          </cell>
          <cell r="I8">
            <v>100</v>
          </cell>
          <cell r="J8">
            <v>0</v>
          </cell>
          <cell r="K8">
            <v>0</v>
          </cell>
          <cell r="L8">
            <v>100</v>
          </cell>
          <cell r="M8" t="str">
            <v>莲花</v>
          </cell>
        </row>
        <row r="9">
          <cell r="A9" t="str">
            <v>0057</v>
          </cell>
          <cell r="B9" t="str">
            <v>爱声音响</v>
          </cell>
          <cell r="C9" t="str">
            <v>三资</v>
          </cell>
          <cell r="D9" t="str">
            <v>工业</v>
          </cell>
          <cell r="E9" t="str">
            <v>保证贷款</v>
          </cell>
          <cell r="F9">
            <v>37503</v>
          </cell>
          <cell r="G9">
            <v>37868</v>
          </cell>
          <cell r="H9">
            <v>0</v>
          </cell>
          <cell r="I9">
            <v>200</v>
          </cell>
          <cell r="J9">
            <v>0</v>
          </cell>
          <cell r="K9">
            <v>0</v>
          </cell>
          <cell r="L9">
            <v>200</v>
          </cell>
          <cell r="M9" t="str">
            <v>莲花</v>
          </cell>
        </row>
        <row r="10">
          <cell r="B10" t="str">
            <v>爱声音响 Total</v>
          </cell>
          <cell r="L10">
            <v>300</v>
          </cell>
        </row>
        <row r="11">
          <cell r="A11" t="str">
            <v>200068</v>
          </cell>
          <cell r="B11" t="str">
            <v>安航利</v>
          </cell>
          <cell r="C11" t="str">
            <v>集体</v>
          </cell>
          <cell r="D11" t="str">
            <v>商贸</v>
          </cell>
          <cell r="E11" t="str">
            <v>抵押贷款</v>
          </cell>
          <cell r="F11">
            <v>37509</v>
          </cell>
          <cell r="G11">
            <v>38168</v>
          </cell>
          <cell r="H11">
            <v>0</v>
          </cell>
          <cell r="I11">
            <v>11.6</v>
          </cell>
          <cell r="J11">
            <v>0.53</v>
          </cell>
          <cell r="K11">
            <v>0.53</v>
          </cell>
          <cell r="L11">
            <v>11.07</v>
          </cell>
          <cell r="M11" t="str">
            <v>新港</v>
          </cell>
        </row>
        <row r="12">
          <cell r="A12" t="str">
            <v>200069</v>
          </cell>
          <cell r="B12" t="str">
            <v>安航利</v>
          </cell>
          <cell r="C12" t="str">
            <v>集体</v>
          </cell>
          <cell r="D12" t="str">
            <v>商贸</v>
          </cell>
          <cell r="E12" t="str">
            <v>抵押贷款</v>
          </cell>
          <cell r="F12">
            <v>37509</v>
          </cell>
          <cell r="G12">
            <v>38168</v>
          </cell>
          <cell r="H12">
            <v>0</v>
          </cell>
          <cell r="I12">
            <v>11.6</v>
          </cell>
          <cell r="J12">
            <v>0.53</v>
          </cell>
          <cell r="K12">
            <v>0.53</v>
          </cell>
          <cell r="L12">
            <v>11.07</v>
          </cell>
          <cell r="M12" t="str">
            <v>新港</v>
          </cell>
        </row>
        <row r="13">
          <cell r="A13" t="str">
            <v>200052</v>
          </cell>
          <cell r="B13" t="str">
            <v>安航利</v>
          </cell>
          <cell r="C13" t="str">
            <v>集体</v>
          </cell>
          <cell r="D13" t="str">
            <v>商贸</v>
          </cell>
          <cell r="E13" t="str">
            <v>抵押贷款</v>
          </cell>
          <cell r="F13">
            <v>37468</v>
          </cell>
          <cell r="G13">
            <v>38197</v>
          </cell>
          <cell r="H13">
            <v>0</v>
          </cell>
          <cell r="I13">
            <v>33.44</v>
          </cell>
          <cell r="J13">
            <v>1.32</v>
          </cell>
          <cell r="K13">
            <v>3.94</v>
          </cell>
          <cell r="L13">
            <v>29.5</v>
          </cell>
          <cell r="M13" t="str">
            <v>新港</v>
          </cell>
        </row>
        <row r="14">
          <cell r="B14" t="str">
            <v>安航利 Total</v>
          </cell>
          <cell r="L14">
            <v>51.64</v>
          </cell>
        </row>
        <row r="15">
          <cell r="A15" t="str">
            <v>250821</v>
          </cell>
          <cell r="B15" t="str">
            <v>安妮纸业</v>
          </cell>
          <cell r="C15" t="str">
            <v>集体</v>
          </cell>
          <cell r="D15" t="str">
            <v>工业</v>
          </cell>
          <cell r="E15" t="str">
            <v>保证贷款</v>
          </cell>
          <cell r="F15">
            <v>37554</v>
          </cell>
          <cell r="G15">
            <v>37919</v>
          </cell>
          <cell r="H15">
            <v>300</v>
          </cell>
          <cell r="I15">
            <v>300</v>
          </cell>
          <cell r="J15">
            <v>0</v>
          </cell>
          <cell r="K15">
            <v>0</v>
          </cell>
          <cell r="L15">
            <v>300</v>
          </cell>
          <cell r="M15" t="str">
            <v>湖里</v>
          </cell>
        </row>
        <row r="16">
          <cell r="B16" t="str">
            <v>安妮纸业 Total</v>
          </cell>
          <cell r="L16">
            <v>300</v>
          </cell>
        </row>
        <row r="17">
          <cell r="A17" t="str">
            <v>800157</v>
          </cell>
          <cell r="B17" t="str">
            <v>安普利生物工程公司</v>
          </cell>
          <cell r="C17" t="str">
            <v>集体</v>
          </cell>
          <cell r="D17" t="str">
            <v>其它</v>
          </cell>
          <cell r="E17" t="str">
            <v>质押贷款</v>
          </cell>
          <cell r="F17">
            <v>36623</v>
          </cell>
          <cell r="G17">
            <v>37352</v>
          </cell>
          <cell r="H17">
            <v>0</v>
          </cell>
          <cell r="I17">
            <v>0</v>
          </cell>
          <cell r="J17">
            <v>0</v>
          </cell>
          <cell r="K17">
            <v>100</v>
          </cell>
          <cell r="L17">
            <v>100</v>
          </cell>
          <cell r="M17" t="str">
            <v>鹭江</v>
          </cell>
        </row>
        <row r="18">
          <cell r="B18" t="str">
            <v>安普利生物工程公司 Total</v>
          </cell>
          <cell r="L18">
            <v>100</v>
          </cell>
        </row>
        <row r="19">
          <cell r="A19" t="str">
            <v>300187</v>
          </cell>
          <cell r="B19" t="str">
            <v>安溪茗芳茶厂</v>
          </cell>
          <cell r="C19" t="str">
            <v>国营</v>
          </cell>
          <cell r="D19" t="str">
            <v>商贸</v>
          </cell>
          <cell r="E19" t="str">
            <v>票据贴现</v>
          </cell>
          <cell r="F19">
            <v>37527</v>
          </cell>
          <cell r="G19">
            <v>37618</v>
          </cell>
          <cell r="H19">
            <v>0</v>
          </cell>
          <cell r="I19">
            <v>24.86</v>
          </cell>
          <cell r="J19">
            <v>0</v>
          </cell>
          <cell r="K19">
            <v>0</v>
          </cell>
          <cell r="L19">
            <v>24.86</v>
          </cell>
          <cell r="M19" t="str">
            <v>鹭江</v>
          </cell>
        </row>
        <row r="20">
          <cell r="A20" t="str">
            <v>300163</v>
          </cell>
          <cell r="B20" t="str">
            <v>安溪茗芳茶厂</v>
          </cell>
          <cell r="C20" t="str">
            <v>国营</v>
          </cell>
          <cell r="D20" t="str">
            <v>商贸</v>
          </cell>
          <cell r="E20" t="str">
            <v>票据贴现</v>
          </cell>
          <cell r="F20">
            <v>37494</v>
          </cell>
          <cell r="G20">
            <v>37586</v>
          </cell>
          <cell r="H20">
            <v>0</v>
          </cell>
          <cell r="I20">
            <v>43.61</v>
          </cell>
          <cell r="J20">
            <v>0</v>
          </cell>
          <cell r="K20">
            <v>0</v>
          </cell>
          <cell r="L20">
            <v>43.61</v>
          </cell>
          <cell r="M20" t="str">
            <v>鹭江</v>
          </cell>
        </row>
        <row r="21">
          <cell r="B21" t="str">
            <v>安溪茗芳茶厂 Total</v>
          </cell>
          <cell r="L21">
            <v>68.47</v>
          </cell>
        </row>
        <row r="22">
          <cell r="A22" t="str">
            <v>200004</v>
          </cell>
          <cell r="B22" t="str">
            <v>白荣惠</v>
          </cell>
          <cell r="C22" t="str">
            <v>住房</v>
          </cell>
          <cell r="D22" t="str">
            <v>其它</v>
          </cell>
          <cell r="E22" t="str">
            <v>抵押贷款</v>
          </cell>
          <cell r="F22">
            <v>36691</v>
          </cell>
          <cell r="G22">
            <v>38516</v>
          </cell>
          <cell r="H22">
            <v>0</v>
          </cell>
          <cell r="I22">
            <v>11.55</v>
          </cell>
          <cell r="J22">
            <v>0.28000000000000003</v>
          </cell>
          <cell r="K22">
            <v>1.93</v>
          </cell>
          <cell r="L22">
            <v>9.6199999999999992</v>
          </cell>
          <cell r="M22" t="str">
            <v>鹭江</v>
          </cell>
        </row>
        <row r="23">
          <cell r="B23" t="str">
            <v>白荣惠 Total</v>
          </cell>
          <cell r="L23">
            <v>9.6199999999999992</v>
          </cell>
        </row>
        <row r="24">
          <cell r="A24" t="str">
            <v>000008</v>
          </cell>
          <cell r="B24" t="str">
            <v>白植行</v>
          </cell>
          <cell r="C24" t="str">
            <v>其它</v>
          </cell>
          <cell r="D24" t="str">
            <v>其它</v>
          </cell>
          <cell r="E24" t="str">
            <v>质押贷款</v>
          </cell>
          <cell r="F24">
            <v>37367</v>
          </cell>
          <cell r="G24">
            <v>37550</v>
          </cell>
          <cell r="H24">
            <v>0</v>
          </cell>
          <cell r="I24">
            <v>9</v>
          </cell>
          <cell r="J24">
            <v>0</v>
          </cell>
          <cell r="K24">
            <v>0</v>
          </cell>
          <cell r="L24">
            <v>9</v>
          </cell>
          <cell r="M24" t="str">
            <v>思明</v>
          </cell>
        </row>
        <row r="25">
          <cell r="B25" t="str">
            <v>白植行 Total</v>
          </cell>
          <cell r="L25">
            <v>9</v>
          </cell>
        </row>
        <row r="26">
          <cell r="A26" t="str">
            <v>200128</v>
          </cell>
          <cell r="B26" t="str">
            <v>百佳金属</v>
          </cell>
          <cell r="C26" t="str">
            <v>三资</v>
          </cell>
          <cell r="D26" t="str">
            <v>工业</v>
          </cell>
          <cell r="E26" t="str">
            <v>保证贷款</v>
          </cell>
          <cell r="F26">
            <v>37260</v>
          </cell>
          <cell r="G26">
            <v>37621</v>
          </cell>
          <cell r="H26">
            <v>0</v>
          </cell>
          <cell r="I26">
            <v>200</v>
          </cell>
          <cell r="J26">
            <v>5</v>
          </cell>
          <cell r="K26">
            <v>15</v>
          </cell>
          <cell r="L26">
            <v>185</v>
          </cell>
          <cell r="M26" t="str">
            <v>文滨</v>
          </cell>
        </row>
        <row r="27">
          <cell r="B27" t="str">
            <v>百佳金属 Total</v>
          </cell>
          <cell r="L27">
            <v>185</v>
          </cell>
        </row>
        <row r="28">
          <cell r="A28" t="str">
            <v>T02061</v>
          </cell>
          <cell r="B28" t="str">
            <v>邦德润滑油品</v>
          </cell>
          <cell r="C28" t="str">
            <v>集体</v>
          </cell>
          <cell r="D28" t="str">
            <v>其它</v>
          </cell>
          <cell r="E28" t="str">
            <v>票据贴现</v>
          </cell>
          <cell r="F28">
            <v>37545</v>
          </cell>
          <cell r="G28">
            <v>37722</v>
          </cell>
          <cell r="H28">
            <v>17</v>
          </cell>
          <cell r="I28">
            <v>17</v>
          </cell>
          <cell r="J28">
            <v>0</v>
          </cell>
          <cell r="K28">
            <v>0</v>
          </cell>
          <cell r="L28">
            <v>17</v>
          </cell>
          <cell r="M28" t="str">
            <v>营业</v>
          </cell>
        </row>
        <row r="29">
          <cell r="B29" t="str">
            <v>邦德润滑油品 Total</v>
          </cell>
          <cell r="L29">
            <v>17</v>
          </cell>
        </row>
        <row r="30">
          <cell r="A30" t="str">
            <v>20430</v>
          </cell>
          <cell r="B30" t="str">
            <v>宝龙集团发展有限公司</v>
          </cell>
          <cell r="C30" t="str">
            <v>三资</v>
          </cell>
          <cell r="D30" t="str">
            <v>商贸</v>
          </cell>
          <cell r="E30" t="str">
            <v>保证贷款</v>
          </cell>
          <cell r="F30">
            <v>37554</v>
          </cell>
          <cell r="G30">
            <v>37922</v>
          </cell>
          <cell r="H30">
            <v>600</v>
          </cell>
          <cell r="I30">
            <v>600</v>
          </cell>
          <cell r="J30">
            <v>0</v>
          </cell>
          <cell r="K30">
            <v>0</v>
          </cell>
          <cell r="L30">
            <v>600</v>
          </cell>
          <cell r="M30" t="str">
            <v>江头</v>
          </cell>
        </row>
        <row r="31">
          <cell r="A31" t="str">
            <v>20386</v>
          </cell>
          <cell r="B31" t="str">
            <v>宝龙集团发展有限公司</v>
          </cell>
          <cell r="C31" t="str">
            <v>三资</v>
          </cell>
          <cell r="D31" t="str">
            <v>商贸</v>
          </cell>
          <cell r="E31" t="str">
            <v>抵押贷款</v>
          </cell>
          <cell r="F31">
            <v>37504</v>
          </cell>
          <cell r="G31">
            <v>37869</v>
          </cell>
          <cell r="H31">
            <v>0</v>
          </cell>
          <cell r="I31">
            <v>800</v>
          </cell>
          <cell r="J31">
            <v>0</v>
          </cell>
          <cell r="K31">
            <v>0</v>
          </cell>
          <cell r="L31">
            <v>800</v>
          </cell>
          <cell r="M31" t="str">
            <v>江头</v>
          </cell>
        </row>
        <row r="32">
          <cell r="B32" t="str">
            <v>宝龙集团发展有限公司 Total</v>
          </cell>
          <cell r="L32">
            <v>1400</v>
          </cell>
        </row>
        <row r="33">
          <cell r="A33" t="str">
            <v>30107</v>
          </cell>
          <cell r="B33" t="str">
            <v>宝龙信息有限公司</v>
          </cell>
          <cell r="C33" t="str">
            <v>集体</v>
          </cell>
          <cell r="D33" t="str">
            <v>商贸</v>
          </cell>
          <cell r="E33" t="str">
            <v>抵押贷款</v>
          </cell>
          <cell r="F33">
            <v>37428</v>
          </cell>
          <cell r="G33">
            <v>37793</v>
          </cell>
          <cell r="H33">
            <v>0</v>
          </cell>
          <cell r="I33">
            <v>330</v>
          </cell>
          <cell r="J33">
            <v>0</v>
          </cell>
          <cell r="K33">
            <v>30</v>
          </cell>
          <cell r="L33">
            <v>300</v>
          </cell>
          <cell r="M33" t="str">
            <v>江头</v>
          </cell>
        </row>
        <row r="34">
          <cell r="B34" t="str">
            <v>宝龙信息有限公司 Total</v>
          </cell>
          <cell r="L34">
            <v>300</v>
          </cell>
        </row>
        <row r="35">
          <cell r="A35" t="str">
            <v>G0042C</v>
          </cell>
          <cell r="B35" t="str">
            <v>宝鹭</v>
          </cell>
          <cell r="C35" t="str">
            <v>国营</v>
          </cell>
          <cell r="D35" t="str">
            <v>商贸</v>
          </cell>
          <cell r="E35" t="str">
            <v>保证贷款</v>
          </cell>
          <cell r="F35">
            <v>35208</v>
          </cell>
          <cell r="G35">
            <v>35331</v>
          </cell>
          <cell r="H35">
            <v>0</v>
          </cell>
          <cell r="I35">
            <v>0</v>
          </cell>
          <cell r="J35">
            <v>0</v>
          </cell>
          <cell r="K35">
            <v>0</v>
          </cell>
          <cell r="L35">
            <v>0.91021699999999994</v>
          </cell>
          <cell r="M35" t="str">
            <v>营业</v>
          </cell>
        </row>
        <row r="36">
          <cell r="B36" t="str">
            <v>宝鹭 Total</v>
          </cell>
          <cell r="L36">
            <v>0.91021699999999994</v>
          </cell>
        </row>
        <row r="37">
          <cell r="A37" t="str">
            <v>217191</v>
          </cell>
          <cell r="B37" t="str">
            <v>宝益食品公司</v>
          </cell>
          <cell r="C37" t="str">
            <v>集体</v>
          </cell>
          <cell r="D37" t="str">
            <v>工业</v>
          </cell>
          <cell r="E37" t="str">
            <v>抵押贷款</v>
          </cell>
          <cell r="F37">
            <v>35609</v>
          </cell>
          <cell r="G37">
            <v>35823</v>
          </cell>
          <cell r="H37">
            <v>0</v>
          </cell>
          <cell r="I37">
            <v>0</v>
          </cell>
          <cell r="J37">
            <v>0</v>
          </cell>
          <cell r="K37">
            <v>0</v>
          </cell>
          <cell r="L37">
            <v>100</v>
          </cell>
          <cell r="M37" t="str">
            <v>同安</v>
          </cell>
        </row>
        <row r="38">
          <cell r="A38" t="str">
            <v>217092</v>
          </cell>
          <cell r="B38" t="str">
            <v>宝益食品公司</v>
          </cell>
          <cell r="C38" t="str">
            <v>集体</v>
          </cell>
          <cell r="D38" t="str">
            <v>工业</v>
          </cell>
          <cell r="E38" t="str">
            <v>抵押贷款</v>
          </cell>
          <cell r="F38">
            <v>35522</v>
          </cell>
          <cell r="G38">
            <v>35736</v>
          </cell>
          <cell r="H38">
            <v>0</v>
          </cell>
          <cell r="I38">
            <v>0</v>
          </cell>
          <cell r="J38">
            <v>0</v>
          </cell>
          <cell r="K38">
            <v>0</v>
          </cell>
          <cell r="L38">
            <v>149.33000000000001</v>
          </cell>
          <cell r="M38" t="str">
            <v>同安</v>
          </cell>
        </row>
        <row r="39">
          <cell r="A39" t="str">
            <v>217157</v>
          </cell>
          <cell r="B39" t="str">
            <v>宝益食品公司</v>
          </cell>
          <cell r="C39" t="str">
            <v>集体</v>
          </cell>
          <cell r="D39" t="str">
            <v>工业</v>
          </cell>
          <cell r="E39" t="str">
            <v>保证贷款</v>
          </cell>
          <cell r="F39">
            <v>35579</v>
          </cell>
          <cell r="G39">
            <v>35914</v>
          </cell>
          <cell r="H39">
            <v>0</v>
          </cell>
          <cell r="I39">
            <v>0</v>
          </cell>
          <cell r="J39">
            <v>0</v>
          </cell>
          <cell r="K39">
            <v>0</v>
          </cell>
          <cell r="L39">
            <v>190</v>
          </cell>
          <cell r="M39" t="str">
            <v>同安</v>
          </cell>
        </row>
        <row r="40">
          <cell r="B40" t="str">
            <v>宝益食品公司 Total</v>
          </cell>
          <cell r="L40">
            <v>439.33000000000004</v>
          </cell>
        </row>
        <row r="41">
          <cell r="A41" t="str">
            <v>G02053</v>
          </cell>
          <cell r="B41" t="str">
            <v>鲍贻清</v>
          </cell>
          <cell r="C41" t="str">
            <v>其它</v>
          </cell>
          <cell r="D41" t="str">
            <v>其它</v>
          </cell>
          <cell r="E41" t="str">
            <v>质押贷款</v>
          </cell>
          <cell r="F41">
            <v>37552</v>
          </cell>
          <cell r="G41">
            <v>37734</v>
          </cell>
          <cell r="H41">
            <v>100</v>
          </cell>
          <cell r="I41">
            <v>100</v>
          </cell>
          <cell r="J41">
            <v>0</v>
          </cell>
          <cell r="K41">
            <v>0</v>
          </cell>
          <cell r="L41">
            <v>100</v>
          </cell>
          <cell r="M41" t="str">
            <v>营业</v>
          </cell>
        </row>
        <row r="42">
          <cell r="B42" t="str">
            <v>鲍贻清 Total</v>
          </cell>
          <cell r="L42">
            <v>100</v>
          </cell>
        </row>
        <row r="43">
          <cell r="A43" t="str">
            <v>10001D</v>
          </cell>
          <cell r="B43" t="str">
            <v>北方工业厦门公司</v>
          </cell>
          <cell r="C43" t="str">
            <v>国营</v>
          </cell>
          <cell r="D43" t="str">
            <v>商贸</v>
          </cell>
          <cell r="E43" t="str">
            <v>保证贷款</v>
          </cell>
          <cell r="F43">
            <v>36047</v>
          </cell>
          <cell r="G43">
            <v>36054</v>
          </cell>
          <cell r="H43">
            <v>0</v>
          </cell>
          <cell r="I43">
            <v>0</v>
          </cell>
          <cell r="J43">
            <v>0</v>
          </cell>
          <cell r="K43">
            <v>0</v>
          </cell>
          <cell r="L43">
            <v>124.12049999999999</v>
          </cell>
          <cell r="M43" t="str">
            <v>江头</v>
          </cell>
        </row>
        <row r="44">
          <cell r="B44" t="str">
            <v>北方工业厦门公司 Total</v>
          </cell>
          <cell r="L44">
            <v>124.12049999999999</v>
          </cell>
        </row>
        <row r="45">
          <cell r="A45" t="str">
            <v>W01002</v>
          </cell>
          <cell r="B45" t="str">
            <v>北京冠海房地产有司</v>
          </cell>
          <cell r="C45" t="str">
            <v>三资</v>
          </cell>
          <cell r="D45" t="str">
            <v>其它</v>
          </cell>
          <cell r="E45" t="str">
            <v>抵押贷款</v>
          </cell>
          <cell r="F45">
            <v>37225</v>
          </cell>
          <cell r="G45">
            <v>37859</v>
          </cell>
          <cell r="H45">
            <v>0</v>
          </cell>
          <cell r="I45">
            <v>0</v>
          </cell>
          <cell r="J45">
            <v>0</v>
          </cell>
          <cell r="K45">
            <v>0</v>
          </cell>
          <cell r="L45">
            <v>1060.899287</v>
          </cell>
          <cell r="M45" t="str">
            <v>营业</v>
          </cell>
        </row>
        <row r="46">
          <cell r="A46" t="str">
            <v>W01001</v>
          </cell>
          <cell r="B46" t="str">
            <v>北京冠海房地产有司</v>
          </cell>
          <cell r="C46" t="str">
            <v>三资</v>
          </cell>
          <cell r="D46" t="str">
            <v>其它</v>
          </cell>
          <cell r="E46" t="str">
            <v>抵押贷款</v>
          </cell>
          <cell r="F46">
            <v>37225</v>
          </cell>
          <cell r="G46">
            <v>37859</v>
          </cell>
          <cell r="H46">
            <v>0</v>
          </cell>
          <cell r="I46">
            <v>0</v>
          </cell>
          <cell r="J46">
            <v>0</v>
          </cell>
          <cell r="K46">
            <v>0</v>
          </cell>
          <cell r="L46">
            <v>1489.4459999999999</v>
          </cell>
          <cell r="M46" t="str">
            <v>营业</v>
          </cell>
        </row>
        <row r="47">
          <cell r="B47" t="str">
            <v>北京冠海房地产有司 Total</v>
          </cell>
          <cell r="L47">
            <v>2550.3452870000001</v>
          </cell>
        </row>
        <row r="48">
          <cell r="A48" t="str">
            <v>150227</v>
          </cell>
          <cell r="B48" t="str">
            <v>滨海</v>
          </cell>
          <cell r="C48" t="str">
            <v>国营</v>
          </cell>
          <cell r="D48" t="str">
            <v>其它</v>
          </cell>
          <cell r="E48" t="str">
            <v>保证贷款</v>
          </cell>
          <cell r="F48">
            <v>36556</v>
          </cell>
          <cell r="G48">
            <v>36917</v>
          </cell>
          <cell r="H48">
            <v>0</v>
          </cell>
          <cell r="I48">
            <v>0</v>
          </cell>
          <cell r="J48">
            <v>0</v>
          </cell>
          <cell r="K48">
            <v>0</v>
          </cell>
          <cell r="L48">
            <v>27.6</v>
          </cell>
          <cell r="M48" t="str">
            <v>湖里</v>
          </cell>
        </row>
        <row r="49">
          <cell r="B49" t="str">
            <v>滨海 Total</v>
          </cell>
          <cell r="L49">
            <v>27.6</v>
          </cell>
        </row>
        <row r="50">
          <cell r="A50" t="str">
            <v>G0002B</v>
          </cell>
          <cell r="B50" t="str">
            <v>冰岛进出口</v>
          </cell>
          <cell r="C50" t="str">
            <v>国营</v>
          </cell>
          <cell r="D50" t="str">
            <v>商贸</v>
          </cell>
          <cell r="E50" t="str">
            <v>保证贷款</v>
          </cell>
          <cell r="F50">
            <v>35062</v>
          </cell>
          <cell r="G50">
            <v>35363</v>
          </cell>
          <cell r="H50">
            <v>0</v>
          </cell>
          <cell r="I50">
            <v>0</v>
          </cell>
          <cell r="J50">
            <v>0</v>
          </cell>
          <cell r="K50">
            <v>0</v>
          </cell>
          <cell r="L50">
            <v>661.97599999999989</v>
          </cell>
          <cell r="M50" t="str">
            <v>营业</v>
          </cell>
        </row>
        <row r="51">
          <cell r="B51" t="str">
            <v>冰岛进出口 Total</v>
          </cell>
          <cell r="L51">
            <v>661.97599999999989</v>
          </cell>
        </row>
        <row r="52">
          <cell r="A52" t="str">
            <v>t02119</v>
          </cell>
          <cell r="B52" t="str">
            <v>博信强</v>
          </cell>
          <cell r="C52" t="str">
            <v>集体</v>
          </cell>
          <cell r="D52" t="str">
            <v>商贸</v>
          </cell>
          <cell r="E52" t="str">
            <v>票据贴现</v>
          </cell>
          <cell r="F52">
            <v>37526</v>
          </cell>
          <cell r="G52">
            <v>37572</v>
          </cell>
          <cell r="H52">
            <v>0</v>
          </cell>
          <cell r="I52">
            <v>17.73</v>
          </cell>
          <cell r="J52">
            <v>0</v>
          </cell>
          <cell r="K52">
            <v>0</v>
          </cell>
          <cell r="L52">
            <v>17.73</v>
          </cell>
          <cell r="M52" t="str">
            <v>文滨</v>
          </cell>
        </row>
        <row r="53">
          <cell r="B53" t="str">
            <v>博信强 Total</v>
          </cell>
          <cell r="L53">
            <v>17.73</v>
          </cell>
        </row>
        <row r="54">
          <cell r="A54" t="str">
            <v>200013</v>
          </cell>
          <cell r="B54" t="str">
            <v>蔡端续</v>
          </cell>
          <cell r="C54" t="str">
            <v>住房</v>
          </cell>
          <cell r="D54" t="str">
            <v>其它</v>
          </cell>
          <cell r="E54" t="str">
            <v>抵押贷款</v>
          </cell>
          <cell r="F54">
            <v>36850</v>
          </cell>
          <cell r="G54">
            <v>40502</v>
          </cell>
          <cell r="H54">
            <v>0</v>
          </cell>
          <cell r="I54">
            <v>6.28</v>
          </cell>
          <cell r="J54">
            <v>0.05</v>
          </cell>
          <cell r="K54">
            <v>0.34</v>
          </cell>
          <cell r="L54">
            <v>5.94</v>
          </cell>
          <cell r="M54" t="str">
            <v>鹭江</v>
          </cell>
        </row>
        <row r="55">
          <cell r="B55" t="str">
            <v>蔡端续 Total</v>
          </cell>
          <cell r="L55">
            <v>5.94</v>
          </cell>
        </row>
        <row r="56">
          <cell r="A56" t="str">
            <v>40123</v>
          </cell>
          <cell r="B56" t="str">
            <v>蔡芳灿</v>
          </cell>
          <cell r="C56" t="str">
            <v>其它</v>
          </cell>
          <cell r="D56" t="str">
            <v>其它</v>
          </cell>
          <cell r="E56" t="str">
            <v>抵押贷款</v>
          </cell>
          <cell r="F56">
            <v>37400</v>
          </cell>
          <cell r="G56">
            <v>37765</v>
          </cell>
          <cell r="H56">
            <v>0</v>
          </cell>
          <cell r="I56">
            <v>35</v>
          </cell>
          <cell r="J56">
            <v>0</v>
          </cell>
          <cell r="K56">
            <v>0</v>
          </cell>
          <cell r="L56">
            <v>35</v>
          </cell>
          <cell r="M56" t="str">
            <v>象屿</v>
          </cell>
        </row>
        <row r="57">
          <cell r="B57" t="str">
            <v>蔡芳灿 Total</v>
          </cell>
          <cell r="L57">
            <v>35</v>
          </cell>
        </row>
        <row r="58">
          <cell r="A58" t="str">
            <v>TGX040</v>
          </cell>
          <cell r="B58" t="str">
            <v>蔡慷慨</v>
          </cell>
          <cell r="C58" t="str">
            <v>其它</v>
          </cell>
          <cell r="D58" t="str">
            <v>其它</v>
          </cell>
          <cell r="E58" t="str">
            <v>信用贷款</v>
          </cell>
          <cell r="F58">
            <v>36851</v>
          </cell>
          <cell r="G58">
            <v>37610</v>
          </cell>
          <cell r="H58">
            <v>0</v>
          </cell>
          <cell r="I58">
            <v>0.78</v>
          </cell>
          <cell r="J58">
            <v>0.08</v>
          </cell>
          <cell r="K58">
            <v>0.6</v>
          </cell>
          <cell r="L58">
            <v>0.18</v>
          </cell>
          <cell r="M58" t="str">
            <v>同安</v>
          </cell>
        </row>
        <row r="59">
          <cell r="B59" t="str">
            <v>蔡慷慨 Total</v>
          </cell>
          <cell r="L59">
            <v>0.18</v>
          </cell>
        </row>
        <row r="60">
          <cell r="A60" t="str">
            <v>020196</v>
          </cell>
          <cell r="B60" t="str">
            <v>蔡闽生</v>
          </cell>
          <cell r="C60" t="str">
            <v>其它</v>
          </cell>
          <cell r="D60" t="str">
            <v>其它</v>
          </cell>
          <cell r="E60" t="str">
            <v>保证贷款</v>
          </cell>
          <cell r="F60">
            <v>37554</v>
          </cell>
          <cell r="G60">
            <v>37919</v>
          </cell>
          <cell r="H60">
            <v>15</v>
          </cell>
          <cell r="I60">
            <v>15</v>
          </cell>
          <cell r="J60">
            <v>0</v>
          </cell>
          <cell r="K60">
            <v>0</v>
          </cell>
          <cell r="L60">
            <v>15</v>
          </cell>
          <cell r="M60" t="str">
            <v>东区</v>
          </cell>
        </row>
        <row r="61">
          <cell r="B61" t="str">
            <v>蔡闽生 Total</v>
          </cell>
          <cell r="L61">
            <v>15</v>
          </cell>
        </row>
        <row r="62">
          <cell r="A62" t="str">
            <v>020179</v>
          </cell>
          <cell r="B62" t="str">
            <v>蔡鹏</v>
          </cell>
          <cell r="C62" t="str">
            <v>其它</v>
          </cell>
          <cell r="D62" t="str">
            <v>其它</v>
          </cell>
          <cell r="E62" t="str">
            <v>保证贷款</v>
          </cell>
          <cell r="F62">
            <v>37518</v>
          </cell>
          <cell r="G62">
            <v>37883</v>
          </cell>
          <cell r="H62">
            <v>0</v>
          </cell>
          <cell r="I62">
            <v>10</v>
          </cell>
          <cell r="J62">
            <v>0</v>
          </cell>
          <cell r="K62">
            <v>0</v>
          </cell>
          <cell r="L62">
            <v>10</v>
          </cell>
          <cell r="M62" t="str">
            <v>东区</v>
          </cell>
        </row>
        <row r="63">
          <cell r="B63" t="str">
            <v>蔡鹏 Total</v>
          </cell>
          <cell r="L63">
            <v>10</v>
          </cell>
        </row>
        <row r="64">
          <cell r="A64" t="str">
            <v>300144</v>
          </cell>
          <cell r="B64" t="str">
            <v>蔡蓉蓉</v>
          </cell>
          <cell r="C64" t="str">
            <v>其它</v>
          </cell>
          <cell r="D64" t="str">
            <v>其它</v>
          </cell>
          <cell r="E64" t="str">
            <v>质押贷款</v>
          </cell>
          <cell r="F64">
            <v>37459</v>
          </cell>
          <cell r="G64">
            <v>37643</v>
          </cell>
          <cell r="H64">
            <v>0</v>
          </cell>
          <cell r="I64">
            <v>1.3</v>
          </cell>
          <cell r="J64">
            <v>0</v>
          </cell>
          <cell r="K64">
            <v>0</v>
          </cell>
          <cell r="L64">
            <v>1.3</v>
          </cell>
          <cell r="M64" t="str">
            <v>鹭江</v>
          </cell>
        </row>
        <row r="65">
          <cell r="B65" t="str">
            <v>蔡蓉蓉 Total</v>
          </cell>
          <cell r="L65">
            <v>1.3</v>
          </cell>
        </row>
        <row r="66">
          <cell r="A66" t="str">
            <v>G20162</v>
          </cell>
          <cell r="B66" t="str">
            <v>蔡伟忠</v>
          </cell>
          <cell r="C66" t="str">
            <v>其它</v>
          </cell>
          <cell r="D66" t="str">
            <v>其它</v>
          </cell>
          <cell r="E66" t="str">
            <v>信用贷款</v>
          </cell>
          <cell r="F66">
            <v>36871</v>
          </cell>
          <cell r="G66">
            <v>37610</v>
          </cell>
          <cell r="H66">
            <v>0</v>
          </cell>
          <cell r="I66">
            <v>1.17</v>
          </cell>
          <cell r="J66">
            <v>0.15</v>
          </cell>
          <cell r="K66">
            <v>0.91</v>
          </cell>
          <cell r="L66">
            <v>0.26</v>
          </cell>
          <cell r="M66" t="str">
            <v>营业</v>
          </cell>
        </row>
        <row r="67">
          <cell r="B67" t="str">
            <v>蔡伟忠 Total</v>
          </cell>
          <cell r="L67">
            <v>0.26</v>
          </cell>
        </row>
        <row r="68">
          <cell r="A68" t="str">
            <v>020076</v>
          </cell>
          <cell r="B68" t="str">
            <v>蔡文桂</v>
          </cell>
          <cell r="C68" t="str">
            <v>住房</v>
          </cell>
          <cell r="D68" t="str">
            <v>其它</v>
          </cell>
          <cell r="E68" t="str">
            <v>抵押贷款</v>
          </cell>
          <cell r="F68">
            <v>36614</v>
          </cell>
          <cell r="G68">
            <v>38440</v>
          </cell>
          <cell r="H68">
            <v>0</v>
          </cell>
          <cell r="I68">
            <v>22.02</v>
          </cell>
          <cell r="J68">
            <v>0.56000000000000005</v>
          </cell>
          <cell r="K68">
            <v>3.89</v>
          </cell>
          <cell r="L68">
            <v>18.13</v>
          </cell>
          <cell r="M68" t="str">
            <v>东区</v>
          </cell>
        </row>
        <row r="69">
          <cell r="B69" t="str">
            <v>蔡文桂 Total</v>
          </cell>
          <cell r="L69">
            <v>18.13</v>
          </cell>
        </row>
        <row r="70">
          <cell r="A70" t="str">
            <v>023507</v>
          </cell>
          <cell r="B70" t="str">
            <v>蔡秀英</v>
          </cell>
          <cell r="C70" t="str">
            <v>其它</v>
          </cell>
          <cell r="D70" t="str">
            <v>其它</v>
          </cell>
          <cell r="E70" t="str">
            <v>信用贷款</v>
          </cell>
          <cell r="F70">
            <v>36958</v>
          </cell>
          <cell r="G70">
            <v>37688</v>
          </cell>
          <cell r="H70">
            <v>0</v>
          </cell>
          <cell r="I70">
            <v>1.1200000000000001</v>
          </cell>
          <cell r="J70">
            <v>0.09</v>
          </cell>
          <cell r="K70">
            <v>0.7</v>
          </cell>
          <cell r="L70">
            <v>0.42</v>
          </cell>
          <cell r="M70" t="str">
            <v>杏林</v>
          </cell>
        </row>
        <row r="71">
          <cell r="B71" t="str">
            <v>蔡秀英 Total</v>
          </cell>
          <cell r="L71">
            <v>0.42</v>
          </cell>
        </row>
        <row r="72">
          <cell r="A72" t="str">
            <v>020049</v>
          </cell>
          <cell r="B72" t="str">
            <v>蔡泳海</v>
          </cell>
          <cell r="C72" t="str">
            <v>住房</v>
          </cell>
          <cell r="D72" t="str">
            <v>其它</v>
          </cell>
          <cell r="E72" t="str">
            <v>抵押贷款</v>
          </cell>
          <cell r="F72">
            <v>36943</v>
          </cell>
          <cell r="G72">
            <v>42420</v>
          </cell>
          <cell r="H72">
            <v>0</v>
          </cell>
          <cell r="I72">
            <v>36.19</v>
          </cell>
          <cell r="J72">
            <v>0.15</v>
          </cell>
          <cell r="K72">
            <v>1.03</v>
          </cell>
          <cell r="L72">
            <v>35.159999999999997</v>
          </cell>
          <cell r="M72" t="str">
            <v>东区</v>
          </cell>
        </row>
        <row r="73">
          <cell r="B73" t="str">
            <v>蔡泳海 Total</v>
          </cell>
          <cell r="L73">
            <v>35.159999999999997</v>
          </cell>
        </row>
        <row r="74">
          <cell r="A74" t="str">
            <v>023529</v>
          </cell>
          <cell r="B74" t="str">
            <v>蔡玉环</v>
          </cell>
          <cell r="C74" t="str">
            <v>其它</v>
          </cell>
          <cell r="D74" t="str">
            <v>其它</v>
          </cell>
          <cell r="E74" t="str">
            <v>质押贷款</v>
          </cell>
          <cell r="F74">
            <v>37483</v>
          </cell>
          <cell r="G74">
            <v>37667</v>
          </cell>
          <cell r="H74">
            <v>0</v>
          </cell>
          <cell r="I74">
            <v>40</v>
          </cell>
          <cell r="J74">
            <v>0</v>
          </cell>
          <cell r="K74">
            <v>0</v>
          </cell>
          <cell r="L74">
            <v>40</v>
          </cell>
          <cell r="M74" t="str">
            <v>集美</v>
          </cell>
        </row>
        <row r="75">
          <cell r="A75" t="str">
            <v>023528</v>
          </cell>
          <cell r="B75" t="str">
            <v>蔡玉环</v>
          </cell>
          <cell r="C75" t="str">
            <v>其它</v>
          </cell>
          <cell r="D75" t="str">
            <v>其它</v>
          </cell>
          <cell r="E75" t="str">
            <v>质押贷款</v>
          </cell>
          <cell r="F75">
            <v>37483</v>
          </cell>
          <cell r="G75">
            <v>37667</v>
          </cell>
          <cell r="H75">
            <v>0</v>
          </cell>
          <cell r="I75">
            <v>54</v>
          </cell>
          <cell r="J75">
            <v>0</v>
          </cell>
          <cell r="K75">
            <v>0</v>
          </cell>
          <cell r="L75">
            <v>54</v>
          </cell>
          <cell r="M75" t="str">
            <v>集美</v>
          </cell>
        </row>
        <row r="76">
          <cell r="B76" t="str">
            <v>蔡玉环 Total</v>
          </cell>
          <cell r="L76">
            <v>94</v>
          </cell>
        </row>
        <row r="77">
          <cell r="A77" t="str">
            <v>020163</v>
          </cell>
          <cell r="B77" t="str">
            <v>蔡玉莲</v>
          </cell>
          <cell r="C77" t="str">
            <v>其它</v>
          </cell>
          <cell r="D77" t="str">
            <v>其它</v>
          </cell>
          <cell r="E77" t="str">
            <v>质押贷款</v>
          </cell>
          <cell r="F77">
            <v>37483</v>
          </cell>
          <cell r="G77">
            <v>38579</v>
          </cell>
          <cell r="H77">
            <v>0</v>
          </cell>
          <cell r="I77">
            <v>24.3</v>
          </cell>
          <cell r="J77">
            <v>0.62</v>
          </cell>
          <cell r="K77">
            <v>1.24</v>
          </cell>
          <cell r="L77">
            <v>23.06</v>
          </cell>
          <cell r="M77" t="str">
            <v>东区</v>
          </cell>
        </row>
        <row r="78">
          <cell r="B78" t="str">
            <v>蔡玉莲 Total</v>
          </cell>
          <cell r="L78">
            <v>23.06</v>
          </cell>
        </row>
        <row r="79">
          <cell r="A79" t="str">
            <v>350897</v>
          </cell>
          <cell r="B79" t="str">
            <v>灿坤电器</v>
          </cell>
          <cell r="C79" t="str">
            <v>三资</v>
          </cell>
          <cell r="D79" t="str">
            <v>工业</v>
          </cell>
          <cell r="E79" t="str">
            <v>票据贴现</v>
          </cell>
          <cell r="F79">
            <v>37554</v>
          </cell>
          <cell r="G79">
            <v>37592</v>
          </cell>
          <cell r="H79">
            <v>10</v>
          </cell>
          <cell r="I79">
            <v>10</v>
          </cell>
          <cell r="J79">
            <v>0</v>
          </cell>
          <cell r="K79">
            <v>0</v>
          </cell>
          <cell r="L79">
            <v>10</v>
          </cell>
          <cell r="M79" t="str">
            <v>湖里</v>
          </cell>
        </row>
        <row r="80">
          <cell r="A80" t="str">
            <v>350900</v>
          </cell>
          <cell r="B80" t="str">
            <v>灿坤电器</v>
          </cell>
          <cell r="C80" t="str">
            <v>三资</v>
          </cell>
          <cell r="D80" t="str">
            <v>工业</v>
          </cell>
          <cell r="E80" t="str">
            <v>票据贴现</v>
          </cell>
          <cell r="F80">
            <v>37554</v>
          </cell>
          <cell r="G80">
            <v>37603</v>
          </cell>
          <cell r="H80">
            <v>10</v>
          </cell>
          <cell r="I80">
            <v>10</v>
          </cell>
          <cell r="J80">
            <v>0</v>
          </cell>
          <cell r="K80">
            <v>0</v>
          </cell>
          <cell r="L80">
            <v>10</v>
          </cell>
          <cell r="M80" t="str">
            <v>湖里</v>
          </cell>
        </row>
        <row r="81">
          <cell r="A81" t="str">
            <v>350901</v>
          </cell>
          <cell r="B81" t="str">
            <v>灿坤电器</v>
          </cell>
          <cell r="C81" t="str">
            <v>三资</v>
          </cell>
          <cell r="D81" t="str">
            <v>工业</v>
          </cell>
          <cell r="E81" t="str">
            <v>票据贴现</v>
          </cell>
          <cell r="F81">
            <v>37554</v>
          </cell>
          <cell r="G81">
            <v>37603</v>
          </cell>
          <cell r="H81">
            <v>10</v>
          </cell>
          <cell r="I81">
            <v>10</v>
          </cell>
          <cell r="J81">
            <v>0</v>
          </cell>
          <cell r="K81">
            <v>0</v>
          </cell>
          <cell r="L81">
            <v>10</v>
          </cell>
          <cell r="M81" t="str">
            <v>湖里</v>
          </cell>
        </row>
        <row r="82">
          <cell r="A82" t="str">
            <v>350902</v>
          </cell>
          <cell r="B82" t="str">
            <v>灿坤电器</v>
          </cell>
          <cell r="C82" t="str">
            <v>三资</v>
          </cell>
          <cell r="D82" t="str">
            <v>工业</v>
          </cell>
          <cell r="E82" t="str">
            <v>票据贴现</v>
          </cell>
          <cell r="F82">
            <v>37554</v>
          </cell>
          <cell r="G82">
            <v>37603</v>
          </cell>
          <cell r="H82">
            <v>10</v>
          </cell>
          <cell r="I82">
            <v>10</v>
          </cell>
          <cell r="J82">
            <v>0</v>
          </cell>
          <cell r="K82">
            <v>0</v>
          </cell>
          <cell r="L82">
            <v>10</v>
          </cell>
          <cell r="M82" t="str">
            <v>湖里</v>
          </cell>
        </row>
        <row r="83">
          <cell r="A83" t="str">
            <v>350905</v>
          </cell>
          <cell r="B83" t="str">
            <v>灿坤电器</v>
          </cell>
          <cell r="C83" t="str">
            <v>三资</v>
          </cell>
          <cell r="D83" t="str">
            <v>工业</v>
          </cell>
          <cell r="E83" t="str">
            <v>票据贴现</v>
          </cell>
          <cell r="F83">
            <v>37554</v>
          </cell>
          <cell r="G83">
            <v>37611</v>
          </cell>
          <cell r="H83">
            <v>10</v>
          </cell>
          <cell r="I83">
            <v>10</v>
          </cell>
          <cell r="J83">
            <v>0</v>
          </cell>
          <cell r="K83">
            <v>0</v>
          </cell>
          <cell r="L83">
            <v>10</v>
          </cell>
          <cell r="M83" t="str">
            <v>湖里</v>
          </cell>
        </row>
        <row r="84">
          <cell r="A84" t="str">
            <v>350906</v>
          </cell>
          <cell r="B84" t="str">
            <v>灿坤电器</v>
          </cell>
          <cell r="C84" t="str">
            <v>三资</v>
          </cell>
          <cell r="D84" t="str">
            <v>工业</v>
          </cell>
          <cell r="E84" t="str">
            <v>票据贴现</v>
          </cell>
          <cell r="F84">
            <v>37554</v>
          </cell>
          <cell r="G84">
            <v>37583</v>
          </cell>
          <cell r="H84">
            <v>15</v>
          </cell>
          <cell r="I84">
            <v>15</v>
          </cell>
          <cell r="J84">
            <v>0</v>
          </cell>
          <cell r="K84">
            <v>0</v>
          </cell>
          <cell r="L84">
            <v>15</v>
          </cell>
          <cell r="M84" t="str">
            <v>湖里</v>
          </cell>
        </row>
        <row r="85">
          <cell r="A85" t="str">
            <v>350896</v>
          </cell>
          <cell r="B85" t="str">
            <v>灿坤电器</v>
          </cell>
          <cell r="C85" t="str">
            <v>三资</v>
          </cell>
          <cell r="D85" t="str">
            <v>工业</v>
          </cell>
          <cell r="E85" t="str">
            <v>票据贴现</v>
          </cell>
          <cell r="F85">
            <v>37554</v>
          </cell>
          <cell r="G85">
            <v>37601</v>
          </cell>
          <cell r="H85">
            <v>20</v>
          </cell>
          <cell r="I85">
            <v>20</v>
          </cell>
          <cell r="J85">
            <v>0</v>
          </cell>
          <cell r="K85">
            <v>0</v>
          </cell>
          <cell r="L85">
            <v>20</v>
          </cell>
          <cell r="M85" t="str">
            <v>湖里</v>
          </cell>
        </row>
        <row r="86">
          <cell r="A86" t="str">
            <v>350859</v>
          </cell>
          <cell r="B86" t="str">
            <v>灿坤电器</v>
          </cell>
          <cell r="C86" t="str">
            <v>三资</v>
          </cell>
          <cell r="D86" t="str">
            <v>工业</v>
          </cell>
          <cell r="E86" t="str">
            <v>票据贴现</v>
          </cell>
          <cell r="F86">
            <v>37498</v>
          </cell>
          <cell r="G86">
            <v>37567</v>
          </cell>
          <cell r="H86">
            <v>0</v>
          </cell>
          <cell r="I86">
            <v>24.83</v>
          </cell>
          <cell r="J86">
            <v>0</v>
          </cell>
          <cell r="K86">
            <v>0</v>
          </cell>
          <cell r="L86">
            <v>24.83</v>
          </cell>
          <cell r="M86" t="str">
            <v>湖里</v>
          </cell>
        </row>
        <row r="87">
          <cell r="A87" t="str">
            <v>350907</v>
          </cell>
          <cell r="B87" t="str">
            <v>灿坤电器</v>
          </cell>
          <cell r="C87" t="str">
            <v>三资</v>
          </cell>
          <cell r="D87" t="str">
            <v>工业</v>
          </cell>
          <cell r="E87" t="str">
            <v>票据贴现</v>
          </cell>
          <cell r="F87">
            <v>37554</v>
          </cell>
          <cell r="G87">
            <v>37583</v>
          </cell>
          <cell r="H87">
            <v>25</v>
          </cell>
          <cell r="I87">
            <v>25</v>
          </cell>
          <cell r="J87">
            <v>0</v>
          </cell>
          <cell r="K87">
            <v>0</v>
          </cell>
          <cell r="L87">
            <v>25</v>
          </cell>
          <cell r="M87" t="str">
            <v>湖里</v>
          </cell>
        </row>
        <row r="88">
          <cell r="A88" t="str">
            <v>350895</v>
          </cell>
          <cell r="B88" t="str">
            <v>灿坤电器</v>
          </cell>
          <cell r="C88" t="str">
            <v>三资</v>
          </cell>
          <cell r="D88" t="str">
            <v>工业</v>
          </cell>
          <cell r="E88" t="str">
            <v>票据贴现</v>
          </cell>
          <cell r="F88">
            <v>37554</v>
          </cell>
          <cell r="G88">
            <v>37595</v>
          </cell>
          <cell r="H88">
            <v>27.81</v>
          </cell>
          <cell r="I88">
            <v>27.81</v>
          </cell>
          <cell r="J88">
            <v>0</v>
          </cell>
          <cell r="K88">
            <v>0</v>
          </cell>
          <cell r="L88">
            <v>27.81</v>
          </cell>
          <cell r="M88" t="str">
            <v>湖里</v>
          </cell>
        </row>
        <row r="89">
          <cell r="A89" t="str">
            <v>350899</v>
          </cell>
          <cell r="B89" t="str">
            <v>灿坤电器</v>
          </cell>
          <cell r="C89" t="str">
            <v>三资</v>
          </cell>
          <cell r="D89" t="str">
            <v>工业</v>
          </cell>
          <cell r="E89" t="str">
            <v>票据贴现</v>
          </cell>
          <cell r="F89">
            <v>37554</v>
          </cell>
          <cell r="G89">
            <v>37603</v>
          </cell>
          <cell r="H89">
            <v>28.17</v>
          </cell>
          <cell r="I89">
            <v>28.17</v>
          </cell>
          <cell r="J89">
            <v>0</v>
          </cell>
          <cell r="K89">
            <v>0</v>
          </cell>
          <cell r="L89">
            <v>28.17</v>
          </cell>
          <cell r="M89" t="str">
            <v>湖里</v>
          </cell>
        </row>
        <row r="90">
          <cell r="A90" t="str">
            <v>350903</v>
          </cell>
          <cell r="B90" t="str">
            <v>灿坤电器</v>
          </cell>
          <cell r="C90" t="str">
            <v>三资</v>
          </cell>
          <cell r="D90" t="str">
            <v>工业</v>
          </cell>
          <cell r="E90" t="str">
            <v>票据贴现</v>
          </cell>
          <cell r="F90">
            <v>37554</v>
          </cell>
          <cell r="G90">
            <v>37580</v>
          </cell>
          <cell r="H90">
            <v>30</v>
          </cell>
          <cell r="I90">
            <v>30</v>
          </cell>
          <cell r="J90">
            <v>0</v>
          </cell>
          <cell r="K90">
            <v>0</v>
          </cell>
          <cell r="L90">
            <v>30</v>
          </cell>
          <cell r="M90" t="str">
            <v>湖里</v>
          </cell>
        </row>
        <row r="91">
          <cell r="A91" t="str">
            <v>350904</v>
          </cell>
          <cell r="B91" t="str">
            <v>灿坤电器</v>
          </cell>
          <cell r="C91" t="str">
            <v>三资</v>
          </cell>
          <cell r="D91" t="str">
            <v>工业</v>
          </cell>
          <cell r="E91" t="str">
            <v>票据贴现</v>
          </cell>
          <cell r="F91">
            <v>37554</v>
          </cell>
          <cell r="G91">
            <v>37589</v>
          </cell>
          <cell r="H91">
            <v>30</v>
          </cell>
          <cell r="I91">
            <v>30</v>
          </cell>
          <cell r="J91">
            <v>0</v>
          </cell>
          <cell r="K91">
            <v>0</v>
          </cell>
          <cell r="L91">
            <v>30</v>
          </cell>
          <cell r="M91" t="str">
            <v>湖里</v>
          </cell>
        </row>
        <row r="92">
          <cell r="A92" t="str">
            <v>350898</v>
          </cell>
          <cell r="B92" t="str">
            <v>灿坤电器</v>
          </cell>
          <cell r="C92" t="str">
            <v>三资</v>
          </cell>
          <cell r="D92" t="str">
            <v>工业</v>
          </cell>
          <cell r="E92" t="str">
            <v>票据贴现</v>
          </cell>
          <cell r="F92">
            <v>37554</v>
          </cell>
          <cell r="G92">
            <v>37593</v>
          </cell>
          <cell r="H92">
            <v>40</v>
          </cell>
          <cell r="I92">
            <v>40</v>
          </cell>
          <cell r="J92">
            <v>0</v>
          </cell>
          <cell r="K92">
            <v>0</v>
          </cell>
          <cell r="L92">
            <v>40</v>
          </cell>
          <cell r="M92" t="str">
            <v>湖里</v>
          </cell>
        </row>
        <row r="93">
          <cell r="B93" t="str">
            <v>灿坤电器 Total</v>
          </cell>
          <cell r="L93">
            <v>290.81</v>
          </cell>
        </row>
        <row r="94">
          <cell r="A94" t="str">
            <v>020022</v>
          </cell>
          <cell r="B94" t="str">
            <v>曹阳</v>
          </cell>
          <cell r="C94" t="str">
            <v>住房</v>
          </cell>
          <cell r="D94" t="str">
            <v>其它</v>
          </cell>
          <cell r="E94" t="str">
            <v>抵押贷款</v>
          </cell>
          <cell r="F94">
            <v>36819</v>
          </cell>
          <cell r="G94">
            <v>44124</v>
          </cell>
          <cell r="H94">
            <v>0</v>
          </cell>
          <cell r="I94">
            <v>29.76</v>
          </cell>
          <cell r="J94">
            <v>0.08</v>
          </cell>
          <cell r="K94">
            <v>0.55000000000000004</v>
          </cell>
          <cell r="L94">
            <v>29.21</v>
          </cell>
          <cell r="M94" t="str">
            <v>东区</v>
          </cell>
        </row>
        <row r="95">
          <cell r="B95" t="str">
            <v>曹阳 Total</v>
          </cell>
          <cell r="L95">
            <v>29.21</v>
          </cell>
        </row>
        <row r="96">
          <cell r="A96" t="str">
            <v>217276</v>
          </cell>
          <cell r="B96" t="str">
            <v>策槽塑料厂</v>
          </cell>
          <cell r="C96" t="str">
            <v>集体</v>
          </cell>
          <cell r="D96" t="str">
            <v>工业</v>
          </cell>
          <cell r="E96" t="str">
            <v>保证贷款</v>
          </cell>
          <cell r="F96">
            <v>35671</v>
          </cell>
          <cell r="G96">
            <v>35974</v>
          </cell>
          <cell r="H96">
            <v>0</v>
          </cell>
          <cell r="I96">
            <v>0</v>
          </cell>
          <cell r="J96">
            <v>0</v>
          </cell>
          <cell r="K96">
            <v>0</v>
          </cell>
          <cell r="L96">
            <v>20</v>
          </cell>
          <cell r="M96" t="str">
            <v>同安</v>
          </cell>
        </row>
        <row r="97">
          <cell r="B97" t="str">
            <v>策槽塑料厂 Total</v>
          </cell>
          <cell r="L97">
            <v>20</v>
          </cell>
        </row>
        <row r="98">
          <cell r="A98" t="str">
            <v>0017</v>
          </cell>
          <cell r="B98" t="str">
            <v>陈安南</v>
          </cell>
          <cell r="C98" t="str">
            <v>其它</v>
          </cell>
          <cell r="D98" t="str">
            <v>其它</v>
          </cell>
          <cell r="E98" t="str">
            <v>抵押贷款</v>
          </cell>
          <cell r="F98">
            <v>37527</v>
          </cell>
          <cell r="G98">
            <v>37892</v>
          </cell>
          <cell r="H98">
            <v>0</v>
          </cell>
          <cell r="I98">
            <v>12</v>
          </cell>
          <cell r="J98">
            <v>0</v>
          </cell>
          <cell r="K98">
            <v>0</v>
          </cell>
          <cell r="L98">
            <v>12</v>
          </cell>
          <cell r="M98" t="str">
            <v>东芳</v>
          </cell>
        </row>
        <row r="99">
          <cell r="B99" t="str">
            <v>陈安南 Total</v>
          </cell>
          <cell r="L99">
            <v>12</v>
          </cell>
        </row>
        <row r="100">
          <cell r="A100" t="str">
            <v>000011</v>
          </cell>
          <cell r="B100" t="str">
            <v>陈斌</v>
          </cell>
          <cell r="C100" t="str">
            <v>其它</v>
          </cell>
          <cell r="D100" t="str">
            <v>其它</v>
          </cell>
          <cell r="E100" t="str">
            <v>质押贷款</v>
          </cell>
          <cell r="F100">
            <v>37449</v>
          </cell>
          <cell r="G100">
            <v>37633</v>
          </cell>
          <cell r="H100">
            <v>0</v>
          </cell>
          <cell r="I100">
            <v>30</v>
          </cell>
          <cell r="J100">
            <v>0</v>
          </cell>
          <cell r="K100">
            <v>0</v>
          </cell>
          <cell r="L100">
            <v>30</v>
          </cell>
          <cell r="M100" t="str">
            <v>思明</v>
          </cell>
        </row>
        <row r="101">
          <cell r="B101" t="str">
            <v>陈斌 Total</v>
          </cell>
          <cell r="L101">
            <v>30</v>
          </cell>
        </row>
        <row r="102">
          <cell r="A102" t="str">
            <v>170022</v>
          </cell>
          <cell r="B102" t="str">
            <v>陈长球</v>
          </cell>
          <cell r="C102" t="str">
            <v>其它</v>
          </cell>
          <cell r="D102" t="str">
            <v>其它</v>
          </cell>
          <cell r="E102" t="str">
            <v>抵押贷款</v>
          </cell>
          <cell r="F102">
            <v>37386</v>
          </cell>
          <cell r="G102">
            <v>37751</v>
          </cell>
          <cell r="H102">
            <v>0</v>
          </cell>
          <cell r="I102">
            <v>12</v>
          </cell>
          <cell r="J102">
            <v>0</v>
          </cell>
          <cell r="K102">
            <v>0</v>
          </cell>
          <cell r="L102">
            <v>12</v>
          </cell>
          <cell r="M102" t="str">
            <v>厦禾</v>
          </cell>
        </row>
        <row r="103">
          <cell r="B103" t="str">
            <v>陈长球 Total</v>
          </cell>
          <cell r="L103">
            <v>12</v>
          </cell>
        </row>
        <row r="104">
          <cell r="A104" t="str">
            <v>gs0202</v>
          </cell>
          <cell r="B104" t="str">
            <v>陈成基</v>
          </cell>
          <cell r="C104" t="str">
            <v>其它</v>
          </cell>
          <cell r="D104" t="str">
            <v>其它</v>
          </cell>
          <cell r="E104" t="str">
            <v>抵押贷款</v>
          </cell>
          <cell r="F104">
            <v>37336</v>
          </cell>
          <cell r="G104">
            <v>37701</v>
          </cell>
          <cell r="H104">
            <v>0</v>
          </cell>
          <cell r="I104">
            <v>55</v>
          </cell>
          <cell r="J104">
            <v>0</v>
          </cell>
          <cell r="K104">
            <v>0</v>
          </cell>
          <cell r="L104">
            <v>55</v>
          </cell>
          <cell r="M104" t="str">
            <v>公园</v>
          </cell>
        </row>
        <row r="105">
          <cell r="B105" t="str">
            <v>陈成基 Total</v>
          </cell>
          <cell r="L105">
            <v>55</v>
          </cell>
        </row>
        <row r="106">
          <cell r="A106" t="str">
            <v>52215</v>
          </cell>
          <cell r="B106" t="str">
            <v>陈笃清</v>
          </cell>
          <cell r="C106" t="str">
            <v>其它</v>
          </cell>
          <cell r="D106" t="str">
            <v>其它</v>
          </cell>
          <cell r="E106" t="str">
            <v>质押贷款</v>
          </cell>
          <cell r="F106">
            <v>35626</v>
          </cell>
          <cell r="G106">
            <v>35841</v>
          </cell>
          <cell r="H106">
            <v>0</v>
          </cell>
          <cell r="I106">
            <v>0</v>
          </cell>
          <cell r="J106">
            <v>0</v>
          </cell>
          <cell r="K106">
            <v>0</v>
          </cell>
          <cell r="L106">
            <v>10</v>
          </cell>
          <cell r="M106" t="str">
            <v>同安</v>
          </cell>
        </row>
        <row r="107">
          <cell r="B107" t="str">
            <v>陈笃清 Total</v>
          </cell>
          <cell r="L107">
            <v>10</v>
          </cell>
        </row>
        <row r="108">
          <cell r="A108" t="str">
            <v>020039</v>
          </cell>
          <cell r="B108" t="str">
            <v>陈尔奕</v>
          </cell>
          <cell r="C108" t="str">
            <v>住房</v>
          </cell>
          <cell r="D108" t="str">
            <v>其它</v>
          </cell>
          <cell r="E108" t="str">
            <v>抵押贷款</v>
          </cell>
          <cell r="F108">
            <v>36872</v>
          </cell>
          <cell r="G108">
            <v>44185</v>
          </cell>
          <cell r="H108">
            <v>0</v>
          </cell>
          <cell r="I108">
            <v>33.770000000000003</v>
          </cell>
          <cell r="J108">
            <v>0.08</v>
          </cell>
          <cell r="K108">
            <v>4.54</v>
          </cell>
          <cell r="L108">
            <v>29.23</v>
          </cell>
          <cell r="M108" t="str">
            <v>东区</v>
          </cell>
        </row>
        <row r="109">
          <cell r="B109" t="str">
            <v>陈尔奕 Total</v>
          </cell>
          <cell r="L109">
            <v>29.23</v>
          </cell>
        </row>
        <row r="110">
          <cell r="A110" t="str">
            <v>023501</v>
          </cell>
          <cell r="B110" t="str">
            <v>陈福仁</v>
          </cell>
          <cell r="C110" t="str">
            <v>其它</v>
          </cell>
          <cell r="D110" t="str">
            <v>其它</v>
          </cell>
          <cell r="E110" t="str">
            <v>信用贷款</v>
          </cell>
          <cell r="F110">
            <v>36927</v>
          </cell>
          <cell r="G110">
            <v>37657</v>
          </cell>
          <cell r="H110">
            <v>0</v>
          </cell>
          <cell r="I110">
            <v>1.03</v>
          </cell>
          <cell r="J110">
            <v>0.09</v>
          </cell>
          <cell r="K110">
            <v>0.68</v>
          </cell>
          <cell r="L110">
            <v>0.35</v>
          </cell>
          <cell r="M110" t="str">
            <v>杏林</v>
          </cell>
        </row>
        <row r="111">
          <cell r="B111" t="str">
            <v>陈福仁 Total</v>
          </cell>
          <cell r="L111">
            <v>0.35</v>
          </cell>
        </row>
        <row r="112">
          <cell r="A112" t="str">
            <v>200021</v>
          </cell>
          <cell r="B112" t="str">
            <v>陈桂香</v>
          </cell>
          <cell r="C112" t="str">
            <v>住房</v>
          </cell>
          <cell r="D112" t="str">
            <v>其它</v>
          </cell>
          <cell r="E112" t="str">
            <v>抵押贷款</v>
          </cell>
          <cell r="F112">
            <v>37062</v>
          </cell>
          <cell r="G112">
            <v>40714</v>
          </cell>
          <cell r="H112">
            <v>0</v>
          </cell>
          <cell r="I112">
            <v>24.69</v>
          </cell>
          <cell r="J112">
            <v>0.16</v>
          </cell>
          <cell r="K112">
            <v>1.58</v>
          </cell>
          <cell r="L112">
            <v>23.11</v>
          </cell>
          <cell r="M112" t="str">
            <v>鹭江</v>
          </cell>
        </row>
        <row r="113">
          <cell r="B113" t="str">
            <v>陈桂香 Total</v>
          </cell>
          <cell r="L113">
            <v>23.11</v>
          </cell>
        </row>
        <row r="114">
          <cell r="A114" t="str">
            <v>923z40</v>
          </cell>
          <cell r="B114" t="str">
            <v>陈宏慧</v>
          </cell>
          <cell r="C114" t="str">
            <v>其它</v>
          </cell>
          <cell r="D114" t="str">
            <v>其它</v>
          </cell>
          <cell r="E114" t="str">
            <v>质押贷款</v>
          </cell>
          <cell r="F114">
            <v>37386</v>
          </cell>
          <cell r="G114">
            <v>37751</v>
          </cell>
          <cell r="H114">
            <v>0</v>
          </cell>
          <cell r="I114">
            <v>1.6</v>
          </cell>
          <cell r="J114">
            <v>0</v>
          </cell>
          <cell r="K114">
            <v>0</v>
          </cell>
          <cell r="L114">
            <v>1.6</v>
          </cell>
          <cell r="M114" t="str">
            <v>禾祥</v>
          </cell>
        </row>
        <row r="115">
          <cell r="A115" t="str">
            <v>923z27</v>
          </cell>
          <cell r="B115" t="str">
            <v>陈宏慧</v>
          </cell>
          <cell r="C115" t="str">
            <v>其它</v>
          </cell>
          <cell r="D115" t="str">
            <v>其它</v>
          </cell>
          <cell r="E115" t="str">
            <v>质押贷款</v>
          </cell>
          <cell r="F115">
            <v>37272</v>
          </cell>
          <cell r="G115">
            <v>37637</v>
          </cell>
          <cell r="H115">
            <v>0</v>
          </cell>
          <cell r="I115">
            <v>2.1</v>
          </cell>
          <cell r="J115">
            <v>0</v>
          </cell>
          <cell r="K115">
            <v>0</v>
          </cell>
          <cell r="L115">
            <v>2.1</v>
          </cell>
          <cell r="M115" t="str">
            <v>禾祥</v>
          </cell>
        </row>
        <row r="116">
          <cell r="B116" t="str">
            <v>陈宏慧 Total</v>
          </cell>
          <cell r="L116">
            <v>3.7</v>
          </cell>
        </row>
        <row r="117">
          <cell r="A117" t="str">
            <v>G00334</v>
          </cell>
          <cell r="B117" t="str">
            <v>陈辉昌</v>
          </cell>
          <cell r="C117" t="str">
            <v>其它</v>
          </cell>
          <cell r="D117" t="str">
            <v>其它</v>
          </cell>
          <cell r="E117" t="str">
            <v>信用贷款</v>
          </cell>
          <cell r="F117">
            <v>36847</v>
          </cell>
          <cell r="G117">
            <v>37580</v>
          </cell>
          <cell r="H117">
            <v>0</v>
          </cell>
          <cell r="I117">
            <v>1.04</v>
          </cell>
          <cell r="J117">
            <v>0.13</v>
          </cell>
          <cell r="K117">
            <v>0.91</v>
          </cell>
          <cell r="L117">
            <v>0.13</v>
          </cell>
          <cell r="M117" t="str">
            <v>营业</v>
          </cell>
        </row>
        <row r="118">
          <cell r="B118" t="str">
            <v>陈辉昌 Total</v>
          </cell>
          <cell r="L118">
            <v>0.13</v>
          </cell>
        </row>
        <row r="119">
          <cell r="A119" t="str">
            <v>020183</v>
          </cell>
          <cell r="B119" t="str">
            <v>陈惠姗</v>
          </cell>
          <cell r="C119" t="str">
            <v>住房</v>
          </cell>
          <cell r="D119" t="str">
            <v>其它</v>
          </cell>
          <cell r="E119" t="str">
            <v>抵押贷款</v>
          </cell>
          <cell r="F119">
            <v>37525</v>
          </cell>
          <cell r="G119">
            <v>41178</v>
          </cell>
          <cell r="H119">
            <v>0</v>
          </cell>
          <cell r="I119">
            <v>35</v>
          </cell>
          <cell r="J119">
            <v>0.22</v>
          </cell>
          <cell r="K119">
            <v>0.22</v>
          </cell>
          <cell r="L119">
            <v>34.78</v>
          </cell>
          <cell r="M119" t="str">
            <v>东区</v>
          </cell>
        </row>
        <row r="120">
          <cell r="B120" t="str">
            <v>陈惠姗 Total</v>
          </cell>
          <cell r="L120">
            <v>34.78</v>
          </cell>
        </row>
        <row r="121">
          <cell r="A121" t="str">
            <v>TGX012</v>
          </cell>
          <cell r="B121" t="str">
            <v>陈建华</v>
          </cell>
          <cell r="C121" t="str">
            <v>其它</v>
          </cell>
          <cell r="D121" t="str">
            <v>其它</v>
          </cell>
          <cell r="E121" t="str">
            <v>信用贷款</v>
          </cell>
          <cell r="F121">
            <v>36833</v>
          </cell>
          <cell r="G121">
            <v>37580</v>
          </cell>
          <cell r="H121">
            <v>0</v>
          </cell>
          <cell r="I121">
            <v>1.17</v>
          </cell>
          <cell r="J121">
            <v>0.27</v>
          </cell>
          <cell r="K121">
            <v>1.04</v>
          </cell>
          <cell r="L121">
            <v>0.13</v>
          </cell>
          <cell r="M121" t="str">
            <v>同安</v>
          </cell>
        </row>
        <row r="122">
          <cell r="B122" t="str">
            <v>陈建华 Total</v>
          </cell>
          <cell r="L122">
            <v>0.13</v>
          </cell>
        </row>
        <row r="123">
          <cell r="A123" t="str">
            <v>023534</v>
          </cell>
          <cell r="B123" t="str">
            <v>陈建墨</v>
          </cell>
          <cell r="C123" t="str">
            <v>其它</v>
          </cell>
          <cell r="D123" t="str">
            <v>其它</v>
          </cell>
          <cell r="E123" t="str">
            <v>质押贷款</v>
          </cell>
          <cell r="F123">
            <v>37552</v>
          </cell>
          <cell r="G123">
            <v>37733</v>
          </cell>
          <cell r="H123">
            <v>3.5</v>
          </cell>
          <cell r="I123">
            <v>3.5</v>
          </cell>
          <cell r="J123">
            <v>0</v>
          </cell>
          <cell r="K123">
            <v>0</v>
          </cell>
          <cell r="L123">
            <v>3.5</v>
          </cell>
          <cell r="M123" t="str">
            <v>集美</v>
          </cell>
        </row>
        <row r="124">
          <cell r="A124" t="str">
            <v>023524</v>
          </cell>
          <cell r="B124" t="str">
            <v>陈建墨</v>
          </cell>
          <cell r="C124" t="str">
            <v>其它</v>
          </cell>
          <cell r="D124" t="str">
            <v>其它</v>
          </cell>
          <cell r="E124" t="str">
            <v>质押贷款</v>
          </cell>
          <cell r="F124">
            <v>37410</v>
          </cell>
          <cell r="G124">
            <v>37593</v>
          </cell>
          <cell r="H124">
            <v>0</v>
          </cell>
          <cell r="I124">
            <v>5</v>
          </cell>
          <cell r="J124">
            <v>0</v>
          </cell>
          <cell r="K124">
            <v>0</v>
          </cell>
          <cell r="L124">
            <v>5</v>
          </cell>
          <cell r="M124" t="str">
            <v>集美</v>
          </cell>
        </row>
        <row r="125">
          <cell r="A125" t="str">
            <v>023525</v>
          </cell>
          <cell r="B125" t="str">
            <v>陈建墨</v>
          </cell>
          <cell r="C125" t="str">
            <v>其它</v>
          </cell>
          <cell r="D125" t="str">
            <v>其它</v>
          </cell>
          <cell r="E125" t="str">
            <v>质押贷款</v>
          </cell>
          <cell r="F125">
            <v>37466</v>
          </cell>
          <cell r="G125">
            <v>37649</v>
          </cell>
          <cell r="H125">
            <v>0</v>
          </cell>
          <cell r="I125">
            <v>5</v>
          </cell>
          <cell r="J125">
            <v>0</v>
          </cell>
          <cell r="K125">
            <v>0</v>
          </cell>
          <cell r="L125">
            <v>5</v>
          </cell>
          <cell r="M125" t="str">
            <v>集美</v>
          </cell>
        </row>
        <row r="126">
          <cell r="B126" t="str">
            <v>陈建墨 Total</v>
          </cell>
          <cell r="L126">
            <v>13.5</v>
          </cell>
        </row>
        <row r="127">
          <cell r="A127" t="str">
            <v>52236</v>
          </cell>
          <cell r="B127" t="str">
            <v>陈建设</v>
          </cell>
          <cell r="C127" t="str">
            <v>其它</v>
          </cell>
          <cell r="D127" t="str">
            <v>其它</v>
          </cell>
          <cell r="E127" t="str">
            <v>质押贷款</v>
          </cell>
          <cell r="F127">
            <v>35733</v>
          </cell>
          <cell r="G127">
            <v>35945</v>
          </cell>
          <cell r="H127">
            <v>0</v>
          </cell>
          <cell r="I127">
            <v>0</v>
          </cell>
          <cell r="J127">
            <v>0</v>
          </cell>
          <cell r="K127">
            <v>0</v>
          </cell>
          <cell r="L127">
            <v>5</v>
          </cell>
          <cell r="M127" t="str">
            <v>同安</v>
          </cell>
        </row>
        <row r="128">
          <cell r="B128" t="str">
            <v>陈建设 Total</v>
          </cell>
          <cell r="L128">
            <v>5</v>
          </cell>
        </row>
        <row r="129">
          <cell r="A129" t="str">
            <v>000007</v>
          </cell>
          <cell r="B129" t="str">
            <v>陈洁</v>
          </cell>
          <cell r="C129" t="str">
            <v>其它</v>
          </cell>
          <cell r="D129" t="str">
            <v>其它</v>
          </cell>
          <cell r="E129" t="str">
            <v>抵押贷款</v>
          </cell>
          <cell r="F129">
            <v>37357</v>
          </cell>
          <cell r="G129">
            <v>37722</v>
          </cell>
          <cell r="H129">
            <v>0</v>
          </cell>
          <cell r="I129">
            <v>35</v>
          </cell>
          <cell r="J129">
            <v>0</v>
          </cell>
          <cell r="K129">
            <v>0</v>
          </cell>
          <cell r="L129">
            <v>35</v>
          </cell>
          <cell r="M129" t="str">
            <v>思明</v>
          </cell>
        </row>
        <row r="130">
          <cell r="B130" t="str">
            <v>陈洁 Total</v>
          </cell>
          <cell r="L130">
            <v>35</v>
          </cell>
        </row>
        <row r="131">
          <cell r="A131" t="str">
            <v>gs0027</v>
          </cell>
          <cell r="B131" t="str">
            <v>陈锦祥</v>
          </cell>
          <cell r="C131" t="str">
            <v>其它</v>
          </cell>
          <cell r="D131" t="str">
            <v>其它</v>
          </cell>
          <cell r="E131" t="str">
            <v>抵押贷款</v>
          </cell>
          <cell r="F131">
            <v>36927</v>
          </cell>
          <cell r="G131">
            <v>37230</v>
          </cell>
          <cell r="H131">
            <v>0</v>
          </cell>
          <cell r="I131">
            <v>180</v>
          </cell>
          <cell r="J131">
            <v>0</v>
          </cell>
          <cell r="K131">
            <v>0</v>
          </cell>
          <cell r="L131">
            <v>180</v>
          </cell>
          <cell r="M131" t="str">
            <v>公园</v>
          </cell>
        </row>
        <row r="132">
          <cell r="B132" t="str">
            <v>陈锦祥 Total</v>
          </cell>
          <cell r="L132">
            <v>180</v>
          </cell>
        </row>
        <row r="133">
          <cell r="A133" t="str">
            <v>200019</v>
          </cell>
          <cell r="B133" t="str">
            <v>陈劲</v>
          </cell>
          <cell r="C133" t="str">
            <v>住房</v>
          </cell>
          <cell r="D133" t="str">
            <v>其它</v>
          </cell>
          <cell r="E133" t="str">
            <v>抵押贷款</v>
          </cell>
          <cell r="F133">
            <v>37062</v>
          </cell>
          <cell r="G133">
            <v>42541</v>
          </cell>
          <cell r="H133">
            <v>0</v>
          </cell>
          <cell r="I133">
            <v>32.159999999999997</v>
          </cell>
          <cell r="J133">
            <v>0.12</v>
          </cell>
          <cell r="K133">
            <v>0.87</v>
          </cell>
          <cell r="L133">
            <v>31.29</v>
          </cell>
          <cell r="M133" t="str">
            <v>鹭江</v>
          </cell>
        </row>
        <row r="134">
          <cell r="B134" t="str">
            <v>陈劲 Total</v>
          </cell>
          <cell r="L134">
            <v>31.29</v>
          </cell>
        </row>
        <row r="135">
          <cell r="A135" t="str">
            <v>GX0123</v>
          </cell>
          <cell r="B135" t="str">
            <v>陈靖安</v>
          </cell>
          <cell r="C135" t="str">
            <v>其它</v>
          </cell>
          <cell r="D135" t="str">
            <v>其它</v>
          </cell>
          <cell r="E135" t="str">
            <v>信用贷款</v>
          </cell>
          <cell r="F135">
            <v>36965</v>
          </cell>
          <cell r="G135">
            <v>37700</v>
          </cell>
          <cell r="H135">
            <v>0</v>
          </cell>
          <cell r="I135">
            <v>1.54</v>
          </cell>
          <cell r="J135">
            <v>0.13</v>
          </cell>
          <cell r="K135">
            <v>0.89</v>
          </cell>
          <cell r="L135">
            <v>0.65</v>
          </cell>
          <cell r="M135" t="str">
            <v>同安</v>
          </cell>
        </row>
        <row r="136">
          <cell r="B136" t="str">
            <v>陈靖安 Total</v>
          </cell>
          <cell r="L136">
            <v>0.65</v>
          </cell>
        </row>
        <row r="137">
          <cell r="A137" t="str">
            <v>0025</v>
          </cell>
          <cell r="B137" t="str">
            <v>陈静</v>
          </cell>
          <cell r="C137" t="str">
            <v>其它</v>
          </cell>
          <cell r="D137" t="str">
            <v>其它</v>
          </cell>
          <cell r="E137" t="str">
            <v>质押贷款</v>
          </cell>
          <cell r="F137">
            <v>37517</v>
          </cell>
          <cell r="G137">
            <v>37698</v>
          </cell>
          <cell r="H137">
            <v>0</v>
          </cell>
          <cell r="I137">
            <v>1.48</v>
          </cell>
          <cell r="J137">
            <v>0</v>
          </cell>
          <cell r="K137">
            <v>0</v>
          </cell>
          <cell r="L137">
            <v>1.48</v>
          </cell>
          <cell r="M137" t="str">
            <v>莲花</v>
          </cell>
        </row>
        <row r="138">
          <cell r="B138" t="str">
            <v>陈静 Total</v>
          </cell>
          <cell r="L138">
            <v>1.48</v>
          </cell>
        </row>
        <row r="139">
          <cell r="A139" t="str">
            <v>300143</v>
          </cell>
          <cell r="B139" t="str">
            <v>陈丽云</v>
          </cell>
          <cell r="C139" t="str">
            <v>其它</v>
          </cell>
          <cell r="D139" t="str">
            <v>其它</v>
          </cell>
          <cell r="E139" t="str">
            <v>质押贷款</v>
          </cell>
          <cell r="F139">
            <v>37456</v>
          </cell>
          <cell r="G139">
            <v>37640</v>
          </cell>
          <cell r="H139">
            <v>0</v>
          </cell>
          <cell r="I139">
            <v>3.6</v>
          </cell>
          <cell r="J139">
            <v>1.6</v>
          </cell>
          <cell r="K139">
            <v>1.6</v>
          </cell>
          <cell r="L139">
            <v>2</v>
          </cell>
          <cell r="M139" t="str">
            <v>鹭江</v>
          </cell>
        </row>
        <row r="140">
          <cell r="B140" t="str">
            <v>陈丽云 Total</v>
          </cell>
          <cell r="L140">
            <v>2</v>
          </cell>
        </row>
        <row r="141">
          <cell r="A141" t="str">
            <v>0030</v>
          </cell>
          <cell r="B141" t="str">
            <v>陈鹭生</v>
          </cell>
          <cell r="C141" t="str">
            <v>其它</v>
          </cell>
          <cell r="D141" t="str">
            <v>其它</v>
          </cell>
          <cell r="E141" t="str">
            <v>抵押贷款</v>
          </cell>
          <cell r="F141">
            <v>37502</v>
          </cell>
          <cell r="G141">
            <v>37867</v>
          </cell>
          <cell r="H141">
            <v>0</v>
          </cell>
          <cell r="I141">
            <v>12</v>
          </cell>
          <cell r="J141">
            <v>0</v>
          </cell>
          <cell r="K141">
            <v>0</v>
          </cell>
          <cell r="L141">
            <v>12</v>
          </cell>
          <cell r="M141" t="str">
            <v>莲花</v>
          </cell>
        </row>
        <row r="142">
          <cell r="B142" t="str">
            <v>陈鹭生 Total</v>
          </cell>
          <cell r="L142">
            <v>12</v>
          </cell>
        </row>
        <row r="143">
          <cell r="A143" t="str">
            <v>020186</v>
          </cell>
          <cell r="B143" t="str">
            <v>陈密桃</v>
          </cell>
          <cell r="C143" t="str">
            <v>住房</v>
          </cell>
          <cell r="D143" t="str">
            <v>其它</v>
          </cell>
          <cell r="E143" t="str">
            <v>抵押贷款</v>
          </cell>
          <cell r="F143">
            <v>37503</v>
          </cell>
          <cell r="G143">
            <v>39329</v>
          </cell>
          <cell r="H143">
            <v>0</v>
          </cell>
          <cell r="I143">
            <v>23</v>
          </cell>
          <cell r="J143">
            <v>0.34</v>
          </cell>
          <cell r="K143">
            <v>0.34</v>
          </cell>
          <cell r="L143">
            <v>22.66</v>
          </cell>
          <cell r="M143" t="str">
            <v>东区</v>
          </cell>
        </row>
        <row r="144">
          <cell r="B144" t="str">
            <v>陈密桃 Total</v>
          </cell>
          <cell r="L144">
            <v>22.66</v>
          </cell>
        </row>
        <row r="145">
          <cell r="A145" t="str">
            <v>200220</v>
          </cell>
          <cell r="B145" t="str">
            <v>陈培荣</v>
          </cell>
          <cell r="C145" t="str">
            <v>其它</v>
          </cell>
          <cell r="D145" t="str">
            <v>其它</v>
          </cell>
          <cell r="E145" t="str">
            <v>抵押贷款</v>
          </cell>
          <cell r="F145">
            <v>37489</v>
          </cell>
          <cell r="G145">
            <v>37853</v>
          </cell>
          <cell r="H145">
            <v>0</v>
          </cell>
          <cell r="I145">
            <v>15</v>
          </cell>
          <cell r="J145">
            <v>0</v>
          </cell>
          <cell r="K145">
            <v>0</v>
          </cell>
          <cell r="L145">
            <v>15</v>
          </cell>
          <cell r="M145" t="str">
            <v>海沧</v>
          </cell>
        </row>
        <row r="146">
          <cell r="B146" t="str">
            <v>陈培荣 Total</v>
          </cell>
          <cell r="L146">
            <v>15</v>
          </cell>
        </row>
        <row r="147">
          <cell r="A147" t="str">
            <v>942032</v>
          </cell>
          <cell r="B147" t="str">
            <v>陈启航</v>
          </cell>
          <cell r="C147" t="str">
            <v>其它</v>
          </cell>
          <cell r="D147" t="str">
            <v>其它</v>
          </cell>
          <cell r="E147" t="str">
            <v>抵押贷款</v>
          </cell>
          <cell r="F147">
            <v>37362</v>
          </cell>
          <cell r="G147">
            <v>37727</v>
          </cell>
          <cell r="H147">
            <v>0</v>
          </cell>
          <cell r="I147">
            <v>20.5</v>
          </cell>
          <cell r="J147">
            <v>0</v>
          </cell>
          <cell r="K147">
            <v>0</v>
          </cell>
          <cell r="L147">
            <v>20.5</v>
          </cell>
          <cell r="M147" t="str">
            <v>莲富</v>
          </cell>
        </row>
        <row r="148">
          <cell r="B148" t="str">
            <v>陈启航 Total</v>
          </cell>
          <cell r="L148">
            <v>20.5</v>
          </cell>
        </row>
        <row r="149">
          <cell r="A149" t="str">
            <v>020009</v>
          </cell>
          <cell r="B149" t="str">
            <v>陈强</v>
          </cell>
          <cell r="C149" t="str">
            <v>住房</v>
          </cell>
          <cell r="D149" t="str">
            <v>其它</v>
          </cell>
          <cell r="E149" t="str">
            <v>抵押贷款</v>
          </cell>
          <cell r="F149">
            <v>36718</v>
          </cell>
          <cell r="G149">
            <v>40370</v>
          </cell>
          <cell r="H149">
            <v>0</v>
          </cell>
          <cell r="I149">
            <v>29.56</v>
          </cell>
          <cell r="J149">
            <v>0</v>
          </cell>
          <cell r="K149">
            <v>1.42</v>
          </cell>
          <cell r="L149">
            <v>28.14</v>
          </cell>
          <cell r="M149" t="str">
            <v>东区</v>
          </cell>
        </row>
        <row r="150">
          <cell r="B150" t="str">
            <v>陈强 Total</v>
          </cell>
          <cell r="L150">
            <v>28.14</v>
          </cell>
        </row>
        <row r="151">
          <cell r="A151" t="str">
            <v>TGX046</v>
          </cell>
          <cell r="B151" t="str">
            <v>陈荣芳</v>
          </cell>
          <cell r="C151" t="str">
            <v>其它</v>
          </cell>
          <cell r="D151" t="str">
            <v>其它</v>
          </cell>
          <cell r="E151" t="str">
            <v>信用贷款</v>
          </cell>
          <cell r="F151">
            <v>36896</v>
          </cell>
          <cell r="G151">
            <v>37641</v>
          </cell>
          <cell r="H151">
            <v>0</v>
          </cell>
          <cell r="I151">
            <v>0.86</v>
          </cell>
          <cell r="J151">
            <v>0.09</v>
          </cell>
          <cell r="K151">
            <v>0.62</v>
          </cell>
          <cell r="L151">
            <v>0.24</v>
          </cell>
          <cell r="M151" t="str">
            <v>马巷</v>
          </cell>
        </row>
        <row r="152">
          <cell r="B152" t="str">
            <v>陈荣芳 Total</v>
          </cell>
          <cell r="L152">
            <v>0.24</v>
          </cell>
        </row>
        <row r="153">
          <cell r="A153" t="str">
            <v>52237</v>
          </cell>
          <cell r="B153" t="str">
            <v>陈省伟</v>
          </cell>
          <cell r="C153" t="str">
            <v>其它</v>
          </cell>
          <cell r="D153" t="str">
            <v>其它</v>
          </cell>
          <cell r="E153" t="str">
            <v>质押贷款</v>
          </cell>
          <cell r="F153">
            <v>35733</v>
          </cell>
          <cell r="G153">
            <v>35945</v>
          </cell>
          <cell r="H153">
            <v>0</v>
          </cell>
          <cell r="I153">
            <v>0</v>
          </cell>
          <cell r="J153">
            <v>0</v>
          </cell>
          <cell r="K153">
            <v>0</v>
          </cell>
          <cell r="L153">
            <v>5</v>
          </cell>
          <cell r="M153" t="str">
            <v>同安</v>
          </cell>
        </row>
        <row r="154">
          <cell r="B154" t="str">
            <v>陈省伟 Total</v>
          </cell>
          <cell r="L154">
            <v>5</v>
          </cell>
        </row>
        <row r="155">
          <cell r="A155" t="str">
            <v>020113</v>
          </cell>
          <cell r="B155" t="str">
            <v>陈守在</v>
          </cell>
          <cell r="C155" t="str">
            <v>其它</v>
          </cell>
          <cell r="D155" t="str">
            <v>其它</v>
          </cell>
          <cell r="E155" t="str">
            <v>抵押贷款</v>
          </cell>
          <cell r="F155">
            <v>37252</v>
          </cell>
          <cell r="G155">
            <v>37617</v>
          </cell>
          <cell r="H155">
            <v>0</v>
          </cell>
          <cell r="I155">
            <v>125</v>
          </cell>
          <cell r="J155">
            <v>0</v>
          </cell>
          <cell r="K155">
            <v>0</v>
          </cell>
          <cell r="L155">
            <v>125</v>
          </cell>
          <cell r="M155" t="str">
            <v>东区</v>
          </cell>
        </row>
        <row r="156">
          <cell r="B156" t="str">
            <v>陈守在 Total</v>
          </cell>
          <cell r="L156">
            <v>125</v>
          </cell>
        </row>
        <row r="157">
          <cell r="A157" t="str">
            <v>TGX048</v>
          </cell>
          <cell r="B157" t="str">
            <v>陈水并</v>
          </cell>
          <cell r="C157" t="str">
            <v>其它</v>
          </cell>
          <cell r="D157" t="str">
            <v>其它</v>
          </cell>
          <cell r="E157" t="str">
            <v>信用贷款</v>
          </cell>
          <cell r="F157">
            <v>36896</v>
          </cell>
          <cell r="G157">
            <v>37641</v>
          </cell>
          <cell r="H157">
            <v>0</v>
          </cell>
          <cell r="I157">
            <v>1.29</v>
          </cell>
          <cell r="J157">
            <v>0.14000000000000001</v>
          </cell>
          <cell r="K157">
            <v>0.9</v>
          </cell>
          <cell r="L157">
            <v>0.39</v>
          </cell>
          <cell r="M157" t="str">
            <v>同安</v>
          </cell>
        </row>
        <row r="158">
          <cell r="B158" t="str">
            <v>陈水并 Total</v>
          </cell>
          <cell r="L158">
            <v>0.39</v>
          </cell>
        </row>
        <row r="159">
          <cell r="A159" t="str">
            <v>020045</v>
          </cell>
          <cell r="B159" t="str">
            <v>陈伟</v>
          </cell>
          <cell r="C159" t="str">
            <v>住房</v>
          </cell>
          <cell r="D159" t="str">
            <v>其它</v>
          </cell>
          <cell r="E159" t="str">
            <v>抵押贷款</v>
          </cell>
          <cell r="F159">
            <v>36902</v>
          </cell>
          <cell r="G159">
            <v>44216</v>
          </cell>
          <cell r="H159">
            <v>0</v>
          </cell>
          <cell r="I159">
            <v>31.92</v>
          </cell>
          <cell r="J159">
            <v>0.08</v>
          </cell>
          <cell r="K159">
            <v>0.56999999999999995</v>
          </cell>
          <cell r="L159">
            <v>31.35</v>
          </cell>
          <cell r="M159" t="str">
            <v>东区</v>
          </cell>
        </row>
        <row r="160">
          <cell r="B160" t="str">
            <v>陈伟 Total</v>
          </cell>
          <cell r="L160">
            <v>31.35</v>
          </cell>
        </row>
        <row r="161">
          <cell r="A161" t="str">
            <v>023502</v>
          </cell>
          <cell r="B161" t="str">
            <v>陈文红</v>
          </cell>
          <cell r="C161" t="str">
            <v>其它</v>
          </cell>
          <cell r="D161" t="str">
            <v>其它</v>
          </cell>
          <cell r="E161" t="str">
            <v>信用贷款</v>
          </cell>
          <cell r="F161">
            <v>36936</v>
          </cell>
          <cell r="G161">
            <v>37666</v>
          </cell>
          <cell r="H161">
            <v>0</v>
          </cell>
          <cell r="I161">
            <v>1.04</v>
          </cell>
          <cell r="J161">
            <v>0.09</v>
          </cell>
          <cell r="K161">
            <v>0.69</v>
          </cell>
          <cell r="L161">
            <v>0.35</v>
          </cell>
          <cell r="M161" t="str">
            <v>杏林</v>
          </cell>
        </row>
        <row r="162">
          <cell r="B162" t="str">
            <v>陈文红 Total</v>
          </cell>
          <cell r="L162">
            <v>0.35</v>
          </cell>
        </row>
        <row r="163">
          <cell r="A163" t="str">
            <v>500010</v>
          </cell>
          <cell r="B163" t="str">
            <v>陈祥芬</v>
          </cell>
          <cell r="C163" t="str">
            <v>其它</v>
          </cell>
          <cell r="D163" t="str">
            <v>其它</v>
          </cell>
          <cell r="E163" t="str">
            <v>抵押贷款</v>
          </cell>
          <cell r="F163">
            <v>37082</v>
          </cell>
          <cell r="G163">
            <v>37801</v>
          </cell>
          <cell r="H163">
            <v>0</v>
          </cell>
          <cell r="I163">
            <v>27.58</v>
          </cell>
          <cell r="J163">
            <v>1.72</v>
          </cell>
          <cell r="K163">
            <v>13.46</v>
          </cell>
          <cell r="L163">
            <v>14.12</v>
          </cell>
          <cell r="M163" t="str">
            <v>新港</v>
          </cell>
        </row>
        <row r="164">
          <cell r="B164" t="str">
            <v>陈祥芬 Total</v>
          </cell>
          <cell r="L164">
            <v>14.12</v>
          </cell>
        </row>
        <row r="165">
          <cell r="A165" t="str">
            <v>200094</v>
          </cell>
          <cell r="B165" t="str">
            <v>陈小芬</v>
          </cell>
          <cell r="C165" t="str">
            <v>其它</v>
          </cell>
          <cell r="D165" t="str">
            <v>其它</v>
          </cell>
          <cell r="E165" t="str">
            <v>质押贷款</v>
          </cell>
          <cell r="F165">
            <v>37452</v>
          </cell>
          <cell r="G165">
            <v>37636</v>
          </cell>
          <cell r="H165">
            <v>0</v>
          </cell>
          <cell r="I165">
            <v>0.6</v>
          </cell>
          <cell r="J165">
            <v>0</v>
          </cell>
          <cell r="K165">
            <v>0</v>
          </cell>
          <cell r="L165">
            <v>0.6</v>
          </cell>
          <cell r="M165" t="str">
            <v>鹭江</v>
          </cell>
        </row>
        <row r="166">
          <cell r="B166" t="str">
            <v>陈小芬 Total</v>
          </cell>
          <cell r="L166">
            <v>0.6</v>
          </cell>
        </row>
        <row r="167">
          <cell r="A167" t="str">
            <v>020018</v>
          </cell>
          <cell r="B167" t="str">
            <v>陈晓汀</v>
          </cell>
          <cell r="C167" t="str">
            <v>住房</v>
          </cell>
          <cell r="D167" t="str">
            <v>其它</v>
          </cell>
          <cell r="E167" t="str">
            <v>抵押贷款</v>
          </cell>
          <cell r="F167">
            <v>36783</v>
          </cell>
          <cell r="G167">
            <v>40441</v>
          </cell>
          <cell r="H167">
            <v>0</v>
          </cell>
          <cell r="I167">
            <v>27.38</v>
          </cell>
          <cell r="J167">
            <v>0.22</v>
          </cell>
          <cell r="K167">
            <v>1.49</v>
          </cell>
          <cell r="L167">
            <v>25.89</v>
          </cell>
          <cell r="M167" t="str">
            <v>东区</v>
          </cell>
        </row>
        <row r="168">
          <cell r="B168" t="str">
            <v>陈晓汀 Total</v>
          </cell>
          <cell r="L168">
            <v>25.89</v>
          </cell>
        </row>
        <row r="169">
          <cell r="A169" t="str">
            <v>gs0066</v>
          </cell>
          <cell r="B169" t="str">
            <v>陈旭新</v>
          </cell>
          <cell r="C169" t="str">
            <v>其它</v>
          </cell>
          <cell r="D169" t="str">
            <v>其它</v>
          </cell>
          <cell r="E169" t="str">
            <v>保证贷款</v>
          </cell>
          <cell r="F169">
            <v>37489</v>
          </cell>
          <cell r="G169">
            <v>37854</v>
          </cell>
          <cell r="H169">
            <v>0</v>
          </cell>
          <cell r="I169">
            <v>6</v>
          </cell>
          <cell r="J169">
            <v>0</v>
          </cell>
          <cell r="K169">
            <v>0</v>
          </cell>
          <cell r="L169">
            <v>6</v>
          </cell>
          <cell r="M169" t="str">
            <v>湖里</v>
          </cell>
        </row>
        <row r="170">
          <cell r="B170" t="str">
            <v>陈旭新 Total</v>
          </cell>
          <cell r="L170">
            <v>6</v>
          </cell>
        </row>
        <row r="171">
          <cell r="A171" t="str">
            <v>gx0054</v>
          </cell>
          <cell r="B171" t="str">
            <v>陈雅卿</v>
          </cell>
          <cell r="C171" t="str">
            <v>其它</v>
          </cell>
          <cell r="D171" t="str">
            <v>其它</v>
          </cell>
          <cell r="E171" t="str">
            <v>保证贷款</v>
          </cell>
          <cell r="F171">
            <v>37432</v>
          </cell>
          <cell r="G171">
            <v>38163</v>
          </cell>
          <cell r="H171">
            <v>0</v>
          </cell>
          <cell r="I171">
            <v>2</v>
          </cell>
          <cell r="J171">
            <v>0</v>
          </cell>
          <cell r="K171">
            <v>0</v>
          </cell>
          <cell r="L171">
            <v>2</v>
          </cell>
          <cell r="M171" t="str">
            <v>公园</v>
          </cell>
        </row>
        <row r="172">
          <cell r="B172" t="str">
            <v>陈雅卿 Total</v>
          </cell>
          <cell r="L172">
            <v>2</v>
          </cell>
        </row>
        <row r="173">
          <cell r="A173" t="str">
            <v>G02044</v>
          </cell>
          <cell r="B173" t="str">
            <v>陈亚英</v>
          </cell>
          <cell r="C173" t="str">
            <v>其它</v>
          </cell>
          <cell r="D173" t="str">
            <v>其它</v>
          </cell>
          <cell r="E173" t="str">
            <v>质押贷款</v>
          </cell>
          <cell r="F173">
            <v>37504</v>
          </cell>
          <cell r="G173">
            <v>37685</v>
          </cell>
          <cell r="H173">
            <v>0</v>
          </cell>
          <cell r="I173">
            <v>8</v>
          </cell>
          <cell r="J173">
            <v>0</v>
          </cell>
          <cell r="K173">
            <v>0</v>
          </cell>
          <cell r="L173">
            <v>8</v>
          </cell>
          <cell r="M173" t="str">
            <v>营业</v>
          </cell>
        </row>
        <row r="174">
          <cell r="B174" t="str">
            <v>陈亚英 Total</v>
          </cell>
          <cell r="L174">
            <v>8</v>
          </cell>
        </row>
        <row r="175">
          <cell r="A175" t="str">
            <v>500017</v>
          </cell>
          <cell r="B175" t="str">
            <v>陈毅红</v>
          </cell>
          <cell r="C175" t="str">
            <v>其它</v>
          </cell>
          <cell r="D175" t="str">
            <v>其它</v>
          </cell>
          <cell r="E175" t="str">
            <v>抵押贷款</v>
          </cell>
          <cell r="F175">
            <v>37406</v>
          </cell>
          <cell r="G175">
            <v>37754</v>
          </cell>
          <cell r="H175">
            <v>0</v>
          </cell>
          <cell r="I175">
            <v>10</v>
          </cell>
          <cell r="J175">
            <v>0</v>
          </cell>
          <cell r="K175">
            <v>0</v>
          </cell>
          <cell r="L175">
            <v>10</v>
          </cell>
          <cell r="M175" t="str">
            <v>新港</v>
          </cell>
        </row>
        <row r="176">
          <cell r="B176" t="str">
            <v>陈毅红 Total</v>
          </cell>
          <cell r="L176">
            <v>10</v>
          </cell>
        </row>
        <row r="177">
          <cell r="A177" t="str">
            <v>G02004</v>
          </cell>
          <cell r="B177" t="str">
            <v>陈颖凯</v>
          </cell>
          <cell r="C177" t="str">
            <v>其它</v>
          </cell>
          <cell r="D177" t="str">
            <v>其它</v>
          </cell>
          <cell r="E177" t="str">
            <v>质押贷款</v>
          </cell>
          <cell r="F177">
            <v>37496</v>
          </cell>
          <cell r="G177">
            <v>37813</v>
          </cell>
          <cell r="H177">
            <v>0</v>
          </cell>
          <cell r="I177">
            <v>10</v>
          </cell>
          <cell r="J177">
            <v>0</v>
          </cell>
          <cell r="K177">
            <v>2</v>
          </cell>
          <cell r="L177">
            <v>8</v>
          </cell>
          <cell r="M177" t="str">
            <v>营业</v>
          </cell>
        </row>
        <row r="178">
          <cell r="B178" t="str">
            <v>陈颖凯 Total</v>
          </cell>
          <cell r="L178">
            <v>8</v>
          </cell>
        </row>
        <row r="179">
          <cell r="A179" t="str">
            <v>020041</v>
          </cell>
          <cell r="B179" t="str">
            <v>陈玉富</v>
          </cell>
          <cell r="C179" t="str">
            <v>住房</v>
          </cell>
          <cell r="D179" t="str">
            <v>其它</v>
          </cell>
          <cell r="E179" t="str">
            <v>抵押贷款</v>
          </cell>
          <cell r="F179">
            <v>36894</v>
          </cell>
          <cell r="G179">
            <v>44216</v>
          </cell>
          <cell r="H179">
            <v>0</v>
          </cell>
          <cell r="I179">
            <v>30.95</v>
          </cell>
          <cell r="J179">
            <v>0.08</v>
          </cell>
          <cell r="K179">
            <v>0.56000000000000005</v>
          </cell>
          <cell r="L179">
            <v>30.39</v>
          </cell>
          <cell r="M179" t="str">
            <v>东区</v>
          </cell>
        </row>
        <row r="180">
          <cell r="B180" t="str">
            <v>陈玉富 Total</v>
          </cell>
          <cell r="L180">
            <v>30.39</v>
          </cell>
        </row>
        <row r="181">
          <cell r="A181" t="str">
            <v>923z47</v>
          </cell>
          <cell r="B181" t="str">
            <v>陈玉莲</v>
          </cell>
          <cell r="C181" t="str">
            <v>其它</v>
          </cell>
          <cell r="D181" t="str">
            <v>其它</v>
          </cell>
          <cell r="E181" t="str">
            <v>质押贷款</v>
          </cell>
          <cell r="F181">
            <v>37445</v>
          </cell>
          <cell r="G181">
            <v>37629</v>
          </cell>
          <cell r="H181">
            <v>0</v>
          </cell>
          <cell r="I181">
            <v>5.6</v>
          </cell>
          <cell r="J181">
            <v>0</v>
          </cell>
          <cell r="K181">
            <v>0</v>
          </cell>
          <cell r="L181">
            <v>5.6</v>
          </cell>
          <cell r="M181" t="str">
            <v>禾祥</v>
          </cell>
        </row>
        <row r="182">
          <cell r="A182" t="str">
            <v>923z61</v>
          </cell>
          <cell r="B182" t="str">
            <v>陈玉莲</v>
          </cell>
          <cell r="C182" t="str">
            <v>其它</v>
          </cell>
          <cell r="D182" t="str">
            <v>其它</v>
          </cell>
          <cell r="E182" t="str">
            <v>质押贷款</v>
          </cell>
          <cell r="F182">
            <v>37540</v>
          </cell>
          <cell r="G182">
            <v>37722</v>
          </cell>
          <cell r="H182">
            <v>6</v>
          </cell>
          <cell r="I182">
            <v>6</v>
          </cell>
          <cell r="J182">
            <v>0</v>
          </cell>
          <cell r="K182">
            <v>0</v>
          </cell>
          <cell r="L182">
            <v>6</v>
          </cell>
          <cell r="M182" t="str">
            <v>禾祥</v>
          </cell>
        </row>
        <row r="183">
          <cell r="B183" t="str">
            <v>陈玉莲 Total</v>
          </cell>
          <cell r="L183">
            <v>11.6</v>
          </cell>
        </row>
        <row r="184">
          <cell r="A184" t="str">
            <v>000031</v>
          </cell>
          <cell r="B184" t="str">
            <v>陈振眉</v>
          </cell>
          <cell r="C184" t="str">
            <v>其它</v>
          </cell>
          <cell r="D184" t="str">
            <v>其它</v>
          </cell>
          <cell r="E184" t="str">
            <v>抵押贷款</v>
          </cell>
          <cell r="F184">
            <v>37420</v>
          </cell>
          <cell r="G184">
            <v>37769</v>
          </cell>
          <cell r="H184">
            <v>0</v>
          </cell>
          <cell r="I184">
            <v>10</v>
          </cell>
          <cell r="J184">
            <v>0</v>
          </cell>
          <cell r="K184">
            <v>0</v>
          </cell>
          <cell r="L184">
            <v>10</v>
          </cell>
          <cell r="M184" t="str">
            <v>康乐</v>
          </cell>
        </row>
        <row r="185">
          <cell r="B185" t="str">
            <v>陈振眉 Total</v>
          </cell>
          <cell r="L185">
            <v>10</v>
          </cell>
        </row>
        <row r="186">
          <cell r="A186" t="str">
            <v>GX0136</v>
          </cell>
          <cell r="B186" t="str">
            <v>陈志勇</v>
          </cell>
          <cell r="C186" t="str">
            <v>其它</v>
          </cell>
          <cell r="D186" t="str">
            <v>其它</v>
          </cell>
          <cell r="E186" t="str">
            <v>保证贷款</v>
          </cell>
          <cell r="F186">
            <v>37216</v>
          </cell>
          <cell r="G186">
            <v>37946</v>
          </cell>
          <cell r="H186">
            <v>0</v>
          </cell>
          <cell r="I186">
            <v>2.52</v>
          </cell>
          <cell r="J186">
            <v>0.12</v>
          </cell>
          <cell r="K186">
            <v>0.85</v>
          </cell>
          <cell r="L186">
            <v>1.67</v>
          </cell>
          <cell r="M186" t="str">
            <v>同安</v>
          </cell>
        </row>
        <row r="187">
          <cell r="B187" t="str">
            <v>陈志勇 Total</v>
          </cell>
          <cell r="L187">
            <v>1.67</v>
          </cell>
        </row>
        <row r="188">
          <cell r="A188" t="str">
            <v>000009</v>
          </cell>
          <cell r="B188" t="str">
            <v>陈子元</v>
          </cell>
          <cell r="C188" t="str">
            <v>其它</v>
          </cell>
          <cell r="D188" t="str">
            <v>其它</v>
          </cell>
          <cell r="E188" t="str">
            <v>抵押贷款</v>
          </cell>
          <cell r="F188">
            <v>37393</v>
          </cell>
          <cell r="G188">
            <v>37758</v>
          </cell>
          <cell r="H188">
            <v>0</v>
          </cell>
          <cell r="I188">
            <v>18</v>
          </cell>
          <cell r="J188">
            <v>0</v>
          </cell>
          <cell r="K188">
            <v>0</v>
          </cell>
          <cell r="L188">
            <v>18</v>
          </cell>
          <cell r="M188" t="str">
            <v>思明</v>
          </cell>
        </row>
        <row r="189">
          <cell r="B189" t="str">
            <v>陈子元 Total</v>
          </cell>
          <cell r="L189">
            <v>18</v>
          </cell>
        </row>
        <row r="190">
          <cell r="A190" t="str">
            <v>942063</v>
          </cell>
          <cell r="B190" t="str">
            <v>成细龙</v>
          </cell>
          <cell r="C190" t="str">
            <v>其它</v>
          </cell>
          <cell r="D190" t="str">
            <v>其它</v>
          </cell>
          <cell r="E190" t="str">
            <v>抵押贷款</v>
          </cell>
          <cell r="F190">
            <v>37439</v>
          </cell>
          <cell r="G190">
            <v>37804</v>
          </cell>
          <cell r="H190">
            <v>0</v>
          </cell>
          <cell r="I190">
            <v>12</v>
          </cell>
          <cell r="J190">
            <v>0</v>
          </cell>
          <cell r="K190">
            <v>0</v>
          </cell>
          <cell r="L190">
            <v>12</v>
          </cell>
          <cell r="M190" t="str">
            <v>莲富</v>
          </cell>
        </row>
        <row r="191">
          <cell r="B191" t="str">
            <v>成细龙 Total</v>
          </cell>
          <cell r="L191">
            <v>12</v>
          </cell>
        </row>
        <row r="192">
          <cell r="A192" t="str">
            <v>0017</v>
          </cell>
          <cell r="B192" t="str">
            <v>程祥何</v>
          </cell>
          <cell r="C192" t="str">
            <v>其它</v>
          </cell>
          <cell r="D192" t="str">
            <v>其它</v>
          </cell>
          <cell r="E192" t="str">
            <v>抵押贷款</v>
          </cell>
          <cell r="F192">
            <v>37439</v>
          </cell>
          <cell r="G192">
            <v>37804</v>
          </cell>
          <cell r="H192">
            <v>0</v>
          </cell>
          <cell r="I192">
            <v>35</v>
          </cell>
          <cell r="J192">
            <v>0</v>
          </cell>
          <cell r="K192">
            <v>0</v>
          </cell>
          <cell r="L192">
            <v>35</v>
          </cell>
          <cell r="M192" t="str">
            <v>莲花</v>
          </cell>
        </row>
        <row r="193">
          <cell r="B193" t="str">
            <v>程祥何 Total</v>
          </cell>
          <cell r="L193">
            <v>35</v>
          </cell>
        </row>
        <row r="194">
          <cell r="A194" t="str">
            <v>gs0149</v>
          </cell>
          <cell r="B194" t="str">
            <v>程辕</v>
          </cell>
          <cell r="C194" t="str">
            <v>其它</v>
          </cell>
          <cell r="D194" t="str">
            <v>其它</v>
          </cell>
          <cell r="E194" t="str">
            <v>抵押贷款</v>
          </cell>
          <cell r="F194">
            <v>36643</v>
          </cell>
          <cell r="G194">
            <v>37008</v>
          </cell>
          <cell r="H194">
            <v>0</v>
          </cell>
          <cell r="I194">
            <v>0</v>
          </cell>
          <cell r="J194">
            <v>0</v>
          </cell>
          <cell r="K194">
            <v>5</v>
          </cell>
          <cell r="L194">
            <v>5.78</v>
          </cell>
          <cell r="M194" t="str">
            <v>鹭江</v>
          </cell>
        </row>
        <row r="195">
          <cell r="B195" t="str">
            <v>程辕 Total</v>
          </cell>
          <cell r="L195">
            <v>5.78</v>
          </cell>
        </row>
        <row r="196">
          <cell r="A196" t="str">
            <v>020118</v>
          </cell>
          <cell r="B196" t="str">
            <v>崔居明</v>
          </cell>
          <cell r="C196" t="str">
            <v>其它</v>
          </cell>
          <cell r="D196" t="str">
            <v>其它</v>
          </cell>
          <cell r="E196" t="str">
            <v>保证贷款</v>
          </cell>
          <cell r="F196">
            <v>37343</v>
          </cell>
          <cell r="G196">
            <v>37708</v>
          </cell>
          <cell r="H196">
            <v>0</v>
          </cell>
          <cell r="I196">
            <v>17</v>
          </cell>
          <cell r="J196">
            <v>0</v>
          </cell>
          <cell r="K196">
            <v>0</v>
          </cell>
          <cell r="L196">
            <v>17</v>
          </cell>
          <cell r="M196" t="str">
            <v>东区</v>
          </cell>
        </row>
        <row r="197">
          <cell r="B197" t="str">
            <v>崔居明 Total</v>
          </cell>
          <cell r="L197">
            <v>17</v>
          </cell>
        </row>
        <row r="198">
          <cell r="A198" t="str">
            <v>020067</v>
          </cell>
          <cell r="B198" t="str">
            <v>崔立</v>
          </cell>
          <cell r="C198" t="str">
            <v>住房</v>
          </cell>
          <cell r="D198" t="str">
            <v>其它</v>
          </cell>
          <cell r="E198" t="str">
            <v>抵押贷款</v>
          </cell>
          <cell r="F198">
            <v>36614</v>
          </cell>
          <cell r="G198">
            <v>43919</v>
          </cell>
          <cell r="H198">
            <v>0</v>
          </cell>
          <cell r="I198">
            <v>35.06</v>
          </cell>
          <cell r="J198">
            <v>0.1</v>
          </cell>
          <cell r="K198">
            <v>0.77</v>
          </cell>
          <cell r="L198">
            <v>34.29</v>
          </cell>
          <cell r="M198" t="str">
            <v>东区</v>
          </cell>
        </row>
        <row r="199">
          <cell r="B199" t="str">
            <v>崔立 Total</v>
          </cell>
          <cell r="L199">
            <v>34.29</v>
          </cell>
        </row>
        <row r="200">
          <cell r="A200" t="str">
            <v>020130</v>
          </cell>
          <cell r="B200" t="str">
            <v>崔晓</v>
          </cell>
          <cell r="C200" t="str">
            <v>其它</v>
          </cell>
          <cell r="D200" t="str">
            <v>其它</v>
          </cell>
          <cell r="E200" t="str">
            <v>保证贷款</v>
          </cell>
          <cell r="F200">
            <v>37364</v>
          </cell>
          <cell r="G200">
            <v>37729</v>
          </cell>
          <cell r="H200">
            <v>0</v>
          </cell>
          <cell r="I200">
            <v>15</v>
          </cell>
          <cell r="J200">
            <v>0</v>
          </cell>
          <cell r="K200">
            <v>0</v>
          </cell>
          <cell r="L200">
            <v>15</v>
          </cell>
          <cell r="M200" t="str">
            <v>东区</v>
          </cell>
        </row>
        <row r="201">
          <cell r="B201" t="str">
            <v>崔晓 Total</v>
          </cell>
          <cell r="L201">
            <v>15</v>
          </cell>
        </row>
        <row r="202">
          <cell r="A202" t="str">
            <v>w23015</v>
          </cell>
          <cell r="B202" t="str">
            <v>崔晓峰</v>
          </cell>
          <cell r="C202" t="str">
            <v>其它</v>
          </cell>
          <cell r="D202" t="str">
            <v>其它</v>
          </cell>
          <cell r="E202" t="str">
            <v>抵押贷款</v>
          </cell>
          <cell r="F202">
            <v>37223</v>
          </cell>
          <cell r="G202">
            <v>37576</v>
          </cell>
          <cell r="H202">
            <v>0</v>
          </cell>
          <cell r="I202">
            <v>19</v>
          </cell>
          <cell r="J202">
            <v>0</v>
          </cell>
          <cell r="K202">
            <v>0</v>
          </cell>
          <cell r="L202">
            <v>19</v>
          </cell>
          <cell r="M202" t="str">
            <v>文滨</v>
          </cell>
        </row>
        <row r="203">
          <cell r="B203" t="str">
            <v>崔晓峰 Total</v>
          </cell>
          <cell r="L203">
            <v>19</v>
          </cell>
        </row>
        <row r="204">
          <cell r="A204" t="str">
            <v>300001</v>
          </cell>
          <cell r="B204" t="str">
            <v>大达经济开发公司</v>
          </cell>
          <cell r="C204" t="str">
            <v>三资</v>
          </cell>
          <cell r="D204" t="str">
            <v>商贸</v>
          </cell>
          <cell r="E204" t="str">
            <v>抵押贷款</v>
          </cell>
          <cell r="F204">
            <v>35864</v>
          </cell>
          <cell r="G204">
            <v>36222</v>
          </cell>
          <cell r="H204">
            <v>0</v>
          </cell>
          <cell r="I204">
            <v>0</v>
          </cell>
          <cell r="J204">
            <v>0</v>
          </cell>
          <cell r="K204">
            <v>0</v>
          </cell>
          <cell r="L204">
            <v>126.15</v>
          </cell>
          <cell r="M204" t="str">
            <v>新港</v>
          </cell>
        </row>
        <row r="205">
          <cell r="B205" t="str">
            <v>大达经济开发公司 Total</v>
          </cell>
          <cell r="L205">
            <v>126.15</v>
          </cell>
        </row>
        <row r="206">
          <cell r="A206" t="str">
            <v>100906</v>
          </cell>
          <cell r="B206" t="str">
            <v>大丰商场</v>
          </cell>
          <cell r="C206" t="str">
            <v>国营</v>
          </cell>
          <cell r="D206" t="str">
            <v>商贸</v>
          </cell>
          <cell r="E206" t="str">
            <v>保证贷款</v>
          </cell>
          <cell r="F206">
            <v>36152</v>
          </cell>
          <cell r="G206">
            <v>36364</v>
          </cell>
          <cell r="H206">
            <v>0</v>
          </cell>
          <cell r="I206">
            <v>0</v>
          </cell>
          <cell r="J206">
            <v>0</v>
          </cell>
          <cell r="K206">
            <v>0</v>
          </cell>
          <cell r="L206">
            <v>475</v>
          </cell>
          <cell r="M206" t="str">
            <v>鹭江</v>
          </cell>
        </row>
        <row r="207">
          <cell r="B207" t="str">
            <v>大丰商场 Total</v>
          </cell>
          <cell r="L207">
            <v>475</v>
          </cell>
        </row>
        <row r="208">
          <cell r="A208" t="str">
            <v>000200</v>
          </cell>
          <cell r="B208" t="str">
            <v>大福发</v>
          </cell>
          <cell r="C208" t="str">
            <v>其它</v>
          </cell>
          <cell r="D208" t="str">
            <v>其它</v>
          </cell>
          <cell r="E208" t="str">
            <v>抵押贷款</v>
          </cell>
          <cell r="F208">
            <v>37557</v>
          </cell>
          <cell r="G208">
            <v>38284</v>
          </cell>
          <cell r="H208">
            <v>39.299999999999997</v>
          </cell>
          <cell r="I208">
            <v>39.299999999999997</v>
          </cell>
          <cell r="J208">
            <v>0</v>
          </cell>
          <cell r="K208">
            <v>0</v>
          </cell>
          <cell r="L208">
            <v>39.299999999999997</v>
          </cell>
          <cell r="M208" t="str">
            <v>康乐</v>
          </cell>
        </row>
        <row r="209">
          <cell r="B209" t="str">
            <v>大福发 Total</v>
          </cell>
          <cell r="L209">
            <v>39.299999999999997</v>
          </cell>
        </row>
        <row r="210">
          <cell r="A210" t="str">
            <v>200061</v>
          </cell>
          <cell r="B210" t="str">
            <v>大顺大</v>
          </cell>
          <cell r="C210" t="str">
            <v>集体</v>
          </cell>
          <cell r="D210" t="str">
            <v>商贸</v>
          </cell>
          <cell r="E210" t="str">
            <v>保证贷款</v>
          </cell>
          <cell r="F210">
            <v>37474</v>
          </cell>
          <cell r="G210">
            <v>37685</v>
          </cell>
          <cell r="H210">
            <v>0</v>
          </cell>
          <cell r="I210">
            <v>80</v>
          </cell>
          <cell r="J210">
            <v>0</v>
          </cell>
          <cell r="K210">
            <v>0</v>
          </cell>
          <cell r="L210">
            <v>80</v>
          </cell>
          <cell r="M210" t="str">
            <v>新港</v>
          </cell>
        </row>
        <row r="211">
          <cell r="B211" t="str">
            <v>大顺大 Total</v>
          </cell>
          <cell r="L211">
            <v>80</v>
          </cell>
        </row>
        <row r="212">
          <cell r="A212" t="str">
            <v>02-002</v>
          </cell>
          <cell r="B212" t="str">
            <v>大唐房地产有限公司</v>
          </cell>
          <cell r="C212" t="str">
            <v>三资</v>
          </cell>
          <cell r="D212" t="str">
            <v>其它</v>
          </cell>
          <cell r="E212" t="str">
            <v>保证贷款</v>
          </cell>
          <cell r="F212">
            <v>37376</v>
          </cell>
          <cell r="G212">
            <v>37741</v>
          </cell>
          <cell r="H212">
            <v>0</v>
          </cell>
          <cell r="I212">
            <v>500</v>
          </cell>
          <cell r="J212">
            <v>0</v>
          </cell>
          <cell r="K212">
            <v>0</v>
          </cell>
          <cell r="L212">
            <v>500</v>
          </cell>
          <cell r="M212" t="str">
            <v>营业</v>
          </cell>
        </row>
        <row r="213">
          <cell r="B213" t="str">
            <v>大唐房地产有限公司 Total</v>
          </cell>
          <cell r="L213">
            <v>500</v>
          </cell>
        </row>
        <row r="214">
          <cell r="A214" t="str">
            <v>070057</v>
          </cell>
          <cell r="B214" t="str">
            <v>大通实业公司</v>
          </cell>
          <cell r="C214" t="str">
            <v>集体</v>
          </cell>
          <cell r="D214" t="str">
            <v>商贸</v>
          </cell>
          <cell r="E214" t="str">
            <v>保证贷款</v>
          </cell>
          <cell r="F214">
            <v>37445</v>
          </cell>
          <cell r="G214">
            <v>37810</v>
          </cell>
          <cell r="H214">
            <v>0</v>
          </cell>
          <cell r="I214">
            <v>100</v>
          </cell>
          <cell r="J214">
            <v>0</v>
          </cell>
          <cell r="K214">
            <v>0</v>
          </cell>
          <cell r="L214">
            <v>100</v>
          </cell>
          <cell r="M214" t="str">
            <v>公园</v>
          </cell>
        </row>
        <row r="215">
          <cell r="B215" t="str">
            <v>大通实业公司 Total</v>
          </cell>
          <cell r="L215">
            <v>100</v>
          </cell>
        </row>
        <row r="216">
          <cell r="A216" t="str">
            <v>99018</v>
          </cell>
          <cell r="B216" t="str">
            <v>大新都商贸有限公司</v>
          </cell>
          <cell r="C216" t="str">
            <v>集体</v>
          </cell>
          <cell r="D216" t="str">
            <v>商贸</v>
          </cell>
          <cell r="E216" t="str">
            <v>抵押贷款</v>
          </cell>
          <cell r="F216">
            <v>36266</v>
          </cell>
          <cell r="G216">
            <v>36533</v>
          </cell>
          <cell r="H216">
            <v>0</v>
          </cell>
          <cell r="I216">
            <v>0</v>
          </cell>
          <cell r="J216">
            <v>0</v>
          </cell>
          <cell r="K216">
            <v>0</v>
          </cell>
          <cell r="L216">
            <v>20.94</v>
          </cell>
          <cell r="M216" t="str">
            <v>禾祥</v>
          </cell>
        </row>
        <row r="217">
          <cell r="B217" t="str">
            <v>大新都商贸有限公司 Total</v>
          </cell>
          <cell r="L217">
            <v>20.94</v>
          </cell>
        </row>
        <row r="218">
          <cell r="A218" t="str">
            <v>200204</v>
          </cell>
          <cell r="B218" t="str">
            <v>大兴房地产公司</v>
          </cell>
          <cell r="C218" t="str">
            <v>三资</v>
          </cell>
          <cell r="D218" t="str">
            <v>工业</v>
          </cell>
          <cell r="E218" t="str">
            <v>抵押贷款</v>
          </cell>
          <cell r="F218">
            <v>37287</v>
          </cell>
          <cell r="G218">
            <v>37649</v>
          </cell>
          <cell r="H218">
            <v>0</v>
          </cell>
          <cell r="I218">
            <v>660</v>
          </cell>
          <cell r="J218">
            <v>0</v>
          </cell>
          <cell r="K218">
            <v>0</v>
          </cell>
          <cell r="L218">
            <v>660</v>
          </cell>
          <cell r="M218" t="str">
            <v>同安</v>
          </cell>
        </row>
        <row r="219">
          <cell r="B219" t="str">
            <v>大兴房地产公司 Total</v>
          </cell>
          <cell r="L219">
            <v>660</v>
          </cell>
        </row>
        <row r="220">
          <cell r="A220" t="str">
            <v>000001</v>
          </cell>
          <cell r="B220" t="str">
            <v>大雅实业公司</v>
          </cell>
          <cell r="C220" t="str">
            <v>其它</v>
          </cell>
          <cell r="D220" t="str">
            <v>商贸</v>
          </cell>
          <cell r="E220" t="str">
            <v>抵押贷款</v>
          </cell>
          <cell r="F220">
            <v>35580</v>
          </cell>
          <cell r="G220">
            <v>35807</v>
          </cell>
          <cell r="H220">
            <v>0</v>
          </cell>
          <cell r="I220">
            <v>0</v>
          </cell>
          <cell r="J220">
            <v>0</v>
          </cell>
          <cell r="K220">
            <v>0</v>
          </cell>
          <cell r="L220">
            <v>104.39</v>
          </cell>
          <cell r="M220" t="str">
            <v>思明</v>
          </cell>
        </row>
        <row r="221">
          <cell r="B221" t="str">
            <v>大雅实业公司 Total</v>
          </cell>
          <cell r="L221">
            <v>104.39</v>
          </cell>
        </row>
        <row r="222">
          <cell r="A222" t="str">
            <v>150262</v>
          </cell>
          <cell r="B222" t="str">
            <v>大洋彩印</v>
          </cell>
          <cell r="C222" t="str">
            <v>国营</v>
          </cell>
          <cell r="D222" t="str">
            <v>工业</v>
          </cell>
          <cell r="E222" t="str">
            <v>票据贴现</v>
          </cell>
          <cell r="F222">
            <v>37547</v>
          </cell>
          <cell r="G222">
            <v>37655</v>
          </cell>
          <cell r="H222">
            <v>42.58</v>
          </cell>
          <cell r="I222">
            <v>42.58</v>
          </cell>
          <cell r="J222">
            <v>0</v>
          </cell>
          <cell r="K222">
            <v>0</v>
          </cell>
          <cell r="L222">
            <v>42.58</v>
          </cell>
          <cell r="M222" t="str">
            <v>湖里</v>
          </cell>
        </row>
        <row r="223">
          <cell r="A223" t="str">
            <v>150263</v>
          </cell>
          <cell r="B223" t="str">
            <v>大洋彩印</v>
          </cell>
          <cell r="C223" t="str">
            <v>国营</v>
          </cell>
          <cell r="D223" t="str">
            <v>工业</v>
          </cell>
          <cell r="E223" t="str">
            <v>票据贴现</v>
          </cell>
          <cell r="F223">
            <v>37557</v>
          </cell>
          <cell r="G223">
            <v>37739</v>
          </cell>
          <cell r="H223">
            <v>50</v>
          </cell>
          <cell r="I223">
            <v>50</v>
          </cell>
          <cell r="J223">
            <v>0</v>
          </cell>
          <cell r="K223">
            <v>0</v>
          </cell>
          <cell r="L223">
            <v>50</v>
          </cell>
          <cell r="M223" t="str">
            <v>湖里</v>
          </cell>
        </row>
        <row r="224">
          <cell r="B224" t="str">
            <v>大洋彩印 Total</v>
          </cell>
          <cell r="L224">
            <v>92.58</v>
          </cell>
        </row>
        <row r="225">
          <cell r="A225" t="str">
            <v>300003</v>
          </cell>
          <cell r="B225" t="str">
            <v>大洋房地产</v>
          </cell>
          <cell r="C225" t="str">
            <v>三资</v>
          </cell>
          <cell r="D225" t="str">
            <v>其它</v>
          </cell>
          <cell r="E225" t="str">
            <v>质押贷款</v>
          </cell>
          <cell r="F225">
            <v>37434</v>
          </cell>
          <cell r="G225">
            <v>38159</v>
          </cell>
          <cell r="H225">
            <v>0</v>
          </cell>
          <cell r="I225">
            <v>1800</v>
          </cell>
          <cell r="J225">
            <v>0</v>
          </cell>
          <cell r="K225">
            <v>0</v>
          </cell>
          <cell r="L225">
            <v>1800</v>
          </cell>
          <cell r="M225" t="str">
            <v>湖里</v>
          </cell>
        </row>
        <row r="226">
          <cell r="A226" t="str">
            <v>300004</v>
          </cell>
          <cell r="B226" t="str">
            <v>大洋房地产</v>
          </cell>
          <cell r="C226" t="str">
            <v>三资</v>
          </cell>
          <cell r="D226" t="str">
            <v>其它</v>
          </cell>
          <cell r="E226" t="str">
            <v>质押贷款</v>
          </cell>
          <cell r="F226">
            <v>37434</v>
          </cell>
          <cell r="G226">
            <v>38128</v>
          </cell>
          <cell r="H226">
            <v>0</v>
          </cell>
          <cell r="I226">
            <v>1800</v>
          </cell>
          <cell r="J226">
            <v>0</v>
          </cell>
          <cell r="K226">
            <v>0</v>
          </cell>
          <cell r="L226">
            <v>1800</v>
          </cell>
          <cell r="M226" t="str">
            <v>湖里</v>
          </cell>
        </row>
        <row r="227">
          <cell r="A227" t="str">
            <v>300005</v>
          </cell>
          <cell r="B227" t="str">
            <v>大洋房地产</v>
          </cell>
          <cell r="C227" t="str">
            <v>三资</v>
          </cell>
          <cell r="D227" t="str">
            <v>其它</v>
          </cell>
          <cell r="E227" t="str">
            <v>抵押贷款</v>
          </cell>
          <cell r="F227">
            <v>37468</v>
          </cell>
          <cell r="G227">
            <v>38186</v>
          </cell>
          <cell r="H227">
            <v>0</v>
          </cell>
          <cell r="I227">
            <v>2200</v>
          </cell>
          <cell r="J227">
            <v>0</v>
          </cell>
          <cell r="K227">
            <v>28</v>
          </cell>
          <cell r="L227">
            <v>2172</v>
          </cell>
          <cell r="M227" t="str">
            <v>湖里</v>
          </cell>
        </row>
        <row r="228">
          <cell r="B228" t="str">
            <v>大洋房地产 Total</v>
          </cell>
          <cell r="L228">
            <v>5772</v>
          </cell>
        </row>
        <row r="229">
          <cell r="A229" t="str">
            <v>250739</v>
          </cell>
          <cell r="B229" t="str">
            <v>大洋集团股份</v>
          </cell>
          <cell r="C229" t="str">
            <v>集体</v>
          </cell>
          <cell r="D229" t="str">
            <v>商贸</v>
          </cell>
          <cell r="E229" t="str">
            <v>质押贷款</v>
          </cell>
          <cell r="F229">
            <v>37434</v>
          </cell>
          <cell r="G229">
            <v>37793</v>
          </cell>
          <cell r="H229">
            <v>0</v>
          </cell>
          <cell r="I229">
            <v>1300</v>
          </cell>
          <cell r="J229">
            <v>0</v>
          </cell>
          <cell r="K229">
            <v>0</v>
          </cell>
          <cell r="L229">
            <v>1300</v>
          </cell>
          <cell r="M229" t="str">
            <v>湖里</v>
          </cell>
        </row>
        <row r="230">
          <cell r="A230" t="str">
            <v>250740</v>
          </cell>
          <cell r="B230" t="str">
            <v>大洋集团股份</v>
          </cell>
          <cell r="C230" t="str">
            <v>集体</v>
          </cell>
          <cell r="D230" t="str">
            <v>商贸</v>
          </cell>
          <cell r="E230" t="str">
            <v>质押贷款</v>
          </cell>
          <cell r="F230">
            <v>37434</v>
          </cell>
          <cell r="G230">
            <v>37762</v>
          </cell>
          <cell r="H230">
            <v>0</v>
          </cell>
          <cell r="I230">
            <v>1300</v>
          </cell>
          <cell r="J230">
            <v>0</v>
          </cell>
          <cell r="K230">
            <v>0</v>
          </cell>
          <cell r="L230">
            <v>1300</v>
          </cell>
          <cell r="M230" t="str">
            <v>湖里</v>
          </cell>
        </row>
        <row r="231">
          <cell r="B231" t="str">
            <v>大洋集团股份 Total</v>
          </cell>
          <cell r="L231">
            <v>2600</v>
          </cell>
        </row>
        <row r="232">
          <cell r="A232" t="str">
            <v>49965C</v>
          </cell>
          <cell r="B232" t="str">
            <v>大元工贸</v>
          </cell>
          <cell r="C232" t="str">
            <v>三资</v>
          </cell>
          <cell r="D232" t="str">
            <v>商贸</v>
          </cell>
          <cell r="E232" t="str">
            <v>保证贷款</v>
          </cell>
          <cell r="F232">
            <v>35307</v>
          </cell>
          <cell r="G232">
            <v>35450</v>
          </cell>
          <cell r="H232">
            <v>0</v>
          </cell>
          <cell r="I232">
            <v>0</v>
          </cell>
          <cell r="J232">
            <v>0</v>
          </cell>
          <cell r="K232">
            <v>0</v>
          </cell>
          <cell r="L232">
            <v>500</v>
          </cell>
          <cell r="M232" t="str">
            <v>营业</v>
          </cell>
        </row>
        <row r="233">
          <cell r="B233" t="str">
            <v>大元工贸 Total</v>
          </cell>
          <cell r="L233">
            <v>500</v>
          </cell>
        </row>
        <row r="234">
          <cell r="A234" t="str">
            <v>992141</v>
          </cell>
          <cell r="B234" t="str">
            <v>戴镔</v>
          </cell>
          <cell r="C234" t="str">
            <v>住房</v>
          </cell>
          <cell r="D234" t="str">
            <v>其它</v>
          </cell>
          <cell r="E234" t="str">
            <v>质押贷款</v>
          </cell>
          <cell r="F234">
            <v>36553</v>
          </cell>
          <cell r="G234">
            <v>47496</v>
          </cell>
          <cell r="H234">
            <v>0</v>
          </cell>
          <cell r="I234">
            <v>10.99</v>
          </cell>
          <cell r="J234">
            <v>0.04</v>
          </cell>
          <cell r="K234">
            <v>-0.39</v>
          </cell>
          <cell r="L234">
            <v>11.38</v>
          </cell>
          <cell r="M234" t="str">
            <v>营业</v>
          </cell>
        </row>
        <row r="235">
          <cell r="B235" t="str">
            <v>戴镔 Total</v>
          </cell>
          <cell r="L235">
            <v>11.38</v>
          </cell>
        </row>
        <row r="236">
          <cell r="A236" t="str">
            <v>020057</v>
          </cell>
          <cell r="B236" t="str">
            <v>戴清香</v>
          </cell>
          <cell r="C236" t="str">
            <v>住房</v>
          </cell>
          <cell r="D236" t="str">
            <v>其它</v>
          </cell>
          <cell r="E236" t="str">
            <v>抵押贷款</v>
          </cell>
          <cell r="F236">
            <v>36979</v>
          </cell>
          <cell r="G236">
            <v>44284</v>
          </cell>
          <cell r="H236">
            <v>0</v>
          </cell>
          <cell r="I236">
            <v>31.18</v>
          </cell>
          <cell r="J236">
            <v>0.08</v>
          </cell>
          <cell r="K236">
            <v>0.56000000000000005</v>
          </cell>
          <cell r="L236">
            <v>30.62</v>
          </cell>
          <cell r="M236" t="str">
            <v>东区</v>
          </cell>
        </row>
        <row r="237">
          <cell r="B237" t="str">
            <v>戴清香 Total</v>
          </cell>
          <cell r="L237">
            <v>30.62</v>
          </cell>
        </row>
        <row r="238">
          <cell r="A238" t="str">
            <v>200107</v>
          </cell>
          <cell r="B238" t="str">
            <v>单永泰</v>
          </cell>
          <cell r="C238" t="str">
            <v>其它</v>
          </cell>
          <cell r="D238" t="str">
            <v>其它</v>
          </cell>
          <cell r="E238" t="str">
            <v>质押贷款</v>
          </cell>
          <cell r="F238">
            <v>37546</v>
          </cell>
          <cell r="G238">
            <v>37728</v>
          </cell>
          <cell r="H238">
            <v>3.2</v>
          </cell>
          <cell r="I238">
            <v>3.2</v>
          </cell>
          <cell r="J238">
            <v>0</v>
          </cell>
          <cell r="K238">
            <v>0</v>
          </cell>
          <cell r="L238">
            <v>3.2</v>
          </cell>
          <cell r="M238" t="str">
            <v>鹭江</v>
          </cell>
        </row>
        <row r="239">
          <cell r="B239" t="str">
            <v>单永泰 Total</v>
          </cell>
          <cell r="L239">
            <v>3.2</v>
          </cell>
        </row>
        <row r="240">
          <cell r="A240" t="str">
            <v>22319</v>
          </cell>
          <cell r="B240" t="str">
            <v>道亨服饰有限公司</v>
          </cell>
          <cell r="C240" t="str">
            <v>外事</v>
          </cell>
          <cell r="D240" t="str">
            <v>商贸</v>
          </cell>
          <cell r="E240" t="str">
            <v>保证贷款</v>
          </cell>
          <cell r="F240">
            <v>37452</v>
          </cell>
          <cell r="G240">
            <v>37636</v>
          </cell>
          <cell r="H240">
            <v>0</v>
          </cell>
          <cell r="I240">
            <v>31</v>
          </cell>
          <cell r="J240">
            <v>0</v>
          </cell>
          <cell r="K240">
            <v>0</v>
          </cell>
          <cell r="L240">
            <v>31</v>
          </cell>
          <cell r="M240" t="str">
            <v>江头</v>
          </cell>
        </row>
        <row r="241">
          <cell r="B241" t="str">
            <v>道亨服饰有限公司 Total</v>
          </cell>
          <cell r="L241">
            <v>31</v>
          </cell>
        </row>
        <row r="242">
          <cell r="A242" t="str">
            <v>250714</v>
          </cell>
          <cell r="B242" t="str">
            <v>德丰行塑胶</v>
          </cell>
          <cell r="C242" t="str">
            <v>集体</v>
          </cell>
          <cell r="D242" t="str">
            <v>工业</v>
          </cell>
          <cell r="E242" t="str">
            <v>保证贷款</v>
          </cell>
          <cell r="F242">
            <v>37398</v>
          </cell>
          <cell r="G242">
            <v>37582</v>
          </cell>
          <cell r="H242">
            <v>0</v>
          </cell>
          <cell r="I242">
            <v>150</v>
          </cell>
          <cell r="J242">
            <v>0</v>
          </cell>
          <cell r="K242">
            <v>0</v>
          </cell>
          <cell r="L242">
            <v>150</v>
          </cell>
          <cell r="M242" t="str">
            <v>湖里</v>
          </cell>
        </row>
        <row r="243">
          <cell r="B243" t="str">
            <v>德丰行塑胶 Total</v>
          </cell>
          <cell r="L243">
            <v>150</v>
          </cell>
        </row>
        <row r="244">
          <cell r="A244" t="str">
            <v>020056</v>
          </cell>
          <cell r="B244" t="str">
            <v>邓谷鸣</v>
          </cell>
          <cell r="C244" t="str">
            <v>住房</v>
          </cell>
          <cell r="D244" t="str">
            <v>其它</v>
          </cell>
          <cell r="E244" t="str">
            <v>抵押贷款</v>
          </cell>
          <cell r="F244">
            <v>36979</v>
          </cell>
          <cell r="G244">
            <v>40653</v>
          </cell>
          <cell r="H244">
            <v>0</v>
          </cell>
          <cell r="I244">
            <v>32.54</v>
          </cell>
          <cell r="J244">
            <v>0.24</v>
          </cell>
          <cell r="K244">
            <v>1.63</v>
          </cell>
          <cell r="L244">
            <v>30.91</v>
          </cell>
          <cell r="M244" t="str">
            <v>东区</v>
          </cell>
        </row>
        <row r="245">
          <cell r="B245" t="str">
            <v>邓谷鸣 Total</v>
          </cell>
          <cell r="L245">
            <v>30.91</v>
          </cell>
        </row>
        <row r="246">
          <cell r="A246" t="str">
            <v>0032</v>
          </cell>
          <cell r="B246" t="str">
            <v>邓国川</v>
          </cell>
          <cell r="C246" t="str">
            <v>其它</v>
          </cell>
          <cell r="D246" t="str">
            <v>其它</v>
          </cell>
          <cell r="E246" t="str">
            <v>质押贷款</v>
          </cell>
          <cell r="F246">
            <v>37558</v>
          </cell>
          <cell r="G246">
            <v>37740</v>
          </cell>
          <cell r="H246">
            <v>19</v>
          </cell>
          <cell r="I246">
            <v>19</v>
          </cell>
          <cell r="J246">
            <v>0</v>
          </cell>
          <cell r="K246">
            <v>0</v>
          </cell>
          <cell r="L246">
            <v>19</v>
          </cell>
          <cell r="M246" t="str">
            <v>莲花</v>
          </cell>
        </row>
        <row r="247">
          <cell r="B247" t="str">
            <v>邓国川 Total</v>
          </cell>
          <cell r="L247">
            <v>19</v>
          </cell>
        </row>
        <row r="248">
          <cell r="A248" t="str">
            <v>800080</v>
          </cell>
          <cell r="B248" t="str">
            <v>邓其根</v>
          </cell>
          <cell r="C248" t="str">
            <v>其它</v>
          </cell>
          <cell r="D248" t="str">
            <v>其它</v>
          </cell>
          <cell r="E248" t="str">
            <v>质押贷款</v>
          </cell>
          <cell r="F248">
            <v>37230</v>
          </cell>
          <cell r="G248">
            <v>37595</v>
          </cell>
          <cell r="H248">
            <v>0</v>
          </cell>
          <cell r="I248">
            <v>0</v>
          </cell>
          <cell r="J248">
            <v>0</v>
          </cell>
          <cell r="K248">
            <v>0</v>
          </cell>
          <cell r="L248">
            <v>10</v>
          </cell>
          <cell r="M248" t="str">
            <v>鹭江</v>
          </cell>
        </row>
        <row r="249">
          <cell r="B249" t="str">
            <v>邓其根 Total</v>
          </cell>
          <cell r="L249">
            <v>10</v>
          </cell>
        </row>
        <row r="250">
          <cell r="A250" t="str">
            <v>971008</v>
          </cell>
          <cell r="B250" t="str">
            <v>迪肯贸易发展有限公司</v>
          </cell>
          <cell r="C250" t="str">
            <v>集体</v>
          </cell>
          <cell r="D250" t="str">
            <v>商贸</v>
          </cell>
          <cell r="E250" t="str">
            <v>保证贷款</v>
          </cell>
          <cell r="F250">
            <v>35579</v>
          </cell>
          <cell r="G250">
            <v>35855</v>
          </cell>
          <cell r="H250">
            <v>0</v>
          </cell>
          <cell r="I250">
            <v>0</v>
          </cell>
          <cell r="J250">
            <v>0</v>
          </cell>
          <cell r="K250">
            <v>0</v>
          </cell>
          <cell r="L250">
            <v>25</v>
          </cell>
          <cell r="M250" t="str">
            <v>集美</v>
          </cell>
        </row>
        <row r="251">
          <cell r="B251" t="str">
            <v>迪肯贸易发展有限公司 Total</v>
          </cell>
          <cell r="L251">
            <v>25</v>
          </cell>
        </row>
        <row r="252">
          <cell r="A252" t="str">
            <v>980006</v>
          </cell>
          <cell r="B252" t="str">
            <v>地材公司</v>
          </cell>
          <cell r="C252" t="str">
            <v>国营</v>
          </cell>
          <cell r="D252" t="str">
            <v>商贸</v>
          </cell>
          <cell r="E252" t="str">
            <v>保证贷款</v>
          </cell>
          <cell r="F252">
            <v>35429</v>
          </cell>
          <cell r="G252">
            <v>35435</v>
          </cell>
          <cell r="H252">
            <v>0</v>
          </cell>
          <cell r="I252">
            <v>0</v>
          </cell>
          <cell r="J252">
            <v>0</v>
          </cell>
          <cell r="K252">
            <v>0</v>
          </cell>
          <cell r="L252">
            <v>303.43324899999999</v>
          </cell>
          <cell r="M252" t="str">
            <v>公园</v>
          </cell>
        </row>
        <row r="253">
          <cell r="A253" t="str">
            <v>980007</v>
          </cell>
          <cell r="B253" t="str">
            <v>地材公司</v>
          </cell>
          <cell r="C253" t="str">
            <v>国营</v>
          </cell>
          <cell r="D253" t="str">
            <v>商贸</v>
          </cell>
          <cell r="E253" t="str">
            <v>保证贷款</v>
          </cell>
          <cell r="F253">
            <v>35451</v>
          </cell>
          <cell r="G253">
            <v>35458</v>
          </cell>
          <cell r="H253">
            <v>0</v>
          </cell>
          <cell r="I253">
            <v>0</v>
          </cell>
          <cell r="J253">
            <v>0</v>
          </cell>
          <cell r="K253">
            <v>0</v>
          </cell>
          <cell r="L253">
            <v>774.84290799999997</v>
          </cell>
          <cell r="M253" t="str">
            <v>公园</v>
          </cell>
        </row>
        <row r="254">
          <cell r="A254" t="str">
            <v>980008</v>
          </cell>
          <cell r="B254" t="str">
            <v>地材公司</v>
          </cell>
          <cell r="C254" t="str">
            <v>国营</v>
          </cell>
          <cell r="D254" t="str">
            <v>商贸</v>
          </cell>
          <cell r="E254" t="str">
            <v>保证贷款</v>
          </cell>
          <cell r="F254">
            <v>35475</v>
          </cell>
          <cell r="G254">
            <v>35482</v>
          </cell>
          <cell r="H254">
            <v>0</v>
          </cell>
          <cell r="I254">
            <v>0</v>
          </cell>
          <cell r="J254">
            <v>0</v>
          </cell>
          <cell r="K254">
            <v>0</v>
          </cell>
          <cell r="L254">
            <v>946.54293299999995</v>
          </cell>
          <cell r="M254" t="str">
            <v>公园</v>
          </cell>
        </row>
        <row r="255">
          <cell r="B255" t="str">
            <v>地材公司 Total</v>
          </cell>
          <cell r="L255">
            <v>2024.81909</v>
          </cell>
        </row>
        <row r="256">
          <cell r="A256" t="str">
            <v>218003</v>
          </cell>
          <cell r="B256" t="str">
            <v>第二蚊香厂</v>
          </cell>
          <cell r="C256" t="str">
            <v>集体</v>
          </cell>
          <cell r="D256" t="str">
            <v>工业</v>
          </cell>
          <cell r="E256" t="str">
            <v>保证贷款</v>
          </cell>
          <cell r="F256">
            <v>35817</v>
          </cell>
          <cell r="G256">
            <v>36029</v>
          </cell>
          <cell r="H256">
            <v>0</v>
          </cell>
          <cell r="I256">
            <v>0</v>
          </cell>
          <cell r="J256">
            <v>0</v>
          </cell>
          <cell r="K256">
            <v>0</v>
          </cell>
          <cell r="L256">
            <v>10</v>
          </cell>
          <cell r="M256" t="str">
            <v>同安</v>
          </cell>
        </row>
        <row r="257">
          <cell r="B257" t="str">
            <v>第二蚊香厂 Total</v>
          </cell>
          <cell r="L257">
            <v>10</v>
          </cell>
        </row>
        <row r="258">
          <cell r="A258" t="str">
            <v>070028</v>
          </cell>
          <cell r="B258" t="str">
            <v>第一民用建筑工程公司</v>
          </cell>
          <cell r="C258" t="str">
            <v>集体</v>
          </cell>
          <cell r="D258" t="str">
            <v>其它</v>
          </cell>
          <cell r="E258" t="str">
            <v>保证贷款</v>
          </cell>
          <cell r="F258">
            <v>37260</v>
          </cell>
          <cell r="G258">
            <v>37625</v>
          </cell>
          <cell r="H258">
            <v>0</v>
          </cell>
          <cell r="I258">
            <v>500</v>
          </cell>
          <cell r="J258">
            <v>0</v>
          </cell>
          <cell r="K258">
            <v>0</v>
          </cell>
          <cell r="L258">
            <v>500</v>
          </cell>
          <cell r="M258" t="str">
            <v>公园</v>
          </cell>
        </row>
        <row r="259">
          <cell r="B259" t="str">
            <v>第一民用建筑工程公司 Total</v>
          </cell>
          <cell r="L259">
            <v>500</v>
          </cell>
        </row>
        <row r="260">
          <cell r="A260" t="str">
            <v>250807</v>
          </cell>
          <cell r="B260" t="str">
            <v>鼎天电子</v>
          </cell>
          <cell r="C260" t="str">
            <v>集体</v>
          </cell>
          <cell r="D260" t="str">
            <v>工业</v>
          </cell>
          <cell r="E260" t="str">
            <v>票据贴现</v>
          </cell>
          <cell r="F260">
            <v>37522</v>
          </cell>
          <cell r="G260">
            <v>37564</v>
          </cell>
          <cell r="H260">
            <v>0</v>
          </cell>
          <cell r="I260">
            <v>20.5</v>
          </cell>
          <cell r="J260">
            <v>0</v>
          </cell>
          <cell r="K260">
            <v>0</v>
          </cell>
          <cell r="L260">
            <v>20.5</v>
          </cell>
          <cell r="M260" t="str">
            <v>湖里</v>
          </cell>
        </row>
        <row r="261">
          <cell r="B261" t="str">
            <v>鼎天电子 Total</v>
          </cell>
          <cell r="L261">
            <v>20.5</v>
          </cell>
        </row>
        <row r="262">
          <cell r="A262" t="str">
            <v>26012</v>
          </cell>
          <cell r="B262" t="str">
            <v>东方万里原石有限公司</v>
          </cell>
          <cell r="C262" t="str">
            <v>三资</v>
          </cell>
          <cell r="D262" t="str">
            <v>商贸</v>
          </cell>
          <cell r="E262" t="str">
            <v>保证贷款</v>
          </cell>
          <cell r="F262">
            <v>37322</v>
          </cell>
          <cell r="G262">
            <v>37687</v>
          </cell>
          <cell r="H262">
            <v>0</v>
          </cell>
          <cell r="I262">
            <v>30</v>
          </cell>
          <cell r="J262">
            <v>0</v>
          </cell>
          <cell r="K262">
            <v>15</v>
          </cell>
          <cell r="L262">
            <v>124.12049999999999</v>
          </cell>
          <cell r="M262" t="str">
            <v>象屿</v>
          </cell>
        </row>
        <row r="263">
          <cell r="B263" t="str">
            <v>东方万里原石有限公司 Total</v>
          </cell>
          <cell r="L263">
            <v>124.12049999999999</v>
          </cell>
        </row>
        <row r="264">
          <cell r="A264" t="str">
            <v>250720</v>
          </cell>
          <cell r="B264" t="str">
            <v>东吉工贸</v>
          </cell>
          <cell r="C264" t="str">
            <v>集体</v>
          </cell>
          <cell r="D264" t="str">
            <v>商贸</v>
          </cell>
          <cell r="E264" t="str">
            <v>抵押贷款</v>
          </cell>
          <cell r="F264">
            <v>37406</v>
          </cell>
          <cell r="G264">
            <v>38131</v>
          </cell>
          <cell r="H264">
            <v>0</v>
          </cell>
          <cell r="I264">
            <v>10.96</v>
          </cell>
          <cell r="J264">
            <v>0.44</v>
          </cell>
          <cell r="K264">
            <v>2.1800000000000002</v>
          </cell>
          <cell r="L264">
            <v>8.7799999999999994</v>
          </cell>
          <cell r="M264" t="str">
            <v>湖里</v>
          </cell>
        </row>
        <row r="265">
          <cell r="B265" t="str">
            <v>东吉工贸 Total</v>
          </cell>
          <cell r="L265">
            <v>8.7799999999999994</v>
          </cell>
        </row>
        <row r="266">
          <cell r="A266" t="str">
            <v>237292</v>
          </cell>
          <cell r="B266" t="str">
            <v>东升装饰服务公司</v>
          </cell>
          <cell r="C266" t="str">
            <v>集体</v>
          </cell>
          <cell r="D266" t="str">
            <v>其它</v>
          </cell>
          <cell r="E266" t="str">
            <v>保证贷款</v>
          </cell>
          <cell r="F266">
            <v>35699</v>
          </cell>
          <cell r="G266">
            <v>36002</v>
          </cell>
          <cell r="H266">
            <v>0</v>
          </cell>
          <cell r="I266">
            <v>0</v>
          </cell>
          <cell r="J266">
            <v>0</v>
          </cell>
          <cell r="K266">
            <v>0.09</v>
          </cell>
          <cell r="L266">
            <v>5.41</v>
          </cell>
          <cell r="M266" t="str">
            <v>同安</v>
          </cell>
        </row>
        <row r="267">
          <cell r="B267" t="str">
            <v>东升装饰服务公司 Total</v>
          </cell>
          <cell r="L267">
            <v>5.41</v>
          </cell>
        </row>
        <row r="268">
          <cell r="A268" t="str">
            <v>200015</v>
          </cell>
          <cell r="B268" t="str">
            <v>东胜汽车</v>
          </cell>
          <cell r="C268" t="str">
            <v>集体</v>
          </cell>
          <cell r="D268" t="str">
            <v>商贸</v>
          </cell>
          <cell r="E268" t="str">
            <v>抵押贷款</v>
          </cell>
          <cell r="F268">
            <v>37230</v>
          </cell>
          <cell r="G268">
            <v>37685</v>
          </cell>
          <cell r="H268">
            <v>0</v>
          </cell>
          <cell r="I268">
            <v>0</v>
          </cell>
          <cell r="J268">
            <v>0.51</v>
          </cell>
          <cell r="K268">
            <v>5</v>
          </cell>
          <cell r="L268">
            <v>6.96</v>
          </cell>
          <cell r="M268" t="str">
            <v>新港</v>
          </cell>
        </row>
        <row r="269">
          <cell r="B269" t="str">
            <v>东胜汽车 Total</v>
          </cell>
          <cell r="L269">
            <v>6.96</v>
          </cell>
        </row>
        <row r="270">
          <cell r="A270" t="str">
            <v>000081</v>
          </cell>
          <cell r="B270" t="str">
            <v>东同辉</v>
          </cell>
          <cell r="C270" t="str">
            <v>其它</v>
          </cell>
          <cell r="D270" t="str">
            <v>其它</v>
          </cell>
          <cell r="E270" t="str">
            <v>抵押贷款</v>
          </cell>
          <cell r="F270">
            <v>37399</v>
          </cell>
          <cell r="G270">
            <v>38122</v>
          </cell>
          <cell r="H270">
            <v>0</v>
          </cell>
          <cell r="I270">
            <v>9.84</v>
          </cell>
          <cell r="J270">
            <v>0.4</v>
          </cell>
          <cell r="K270">
            <v>1.96</v>
          </cell>
          <cell r="L270">
            <v>7.88</v>
          </cell>
          <cell r="M270" t="str">
            <v>康乐</v>
          </cell>
        </row>
        <row r="271">
          <cell r="A271" t="str">
            <v>000005</v>
          </cell>
          <cell r="B271" t="str">
            <v>东同辉</v>
          </cell>
          <cell r="C271" t="str">
            <v>其它</v>
          </cell>
          <cell r="D271" t="str">
            <v>其它</v>
          </cell>
          <cell r="E271" t="str">
            <v>抵押贷款</v>
          </cell>
          <cell r="F271">
            <v>37203</v>
          </cell>
          <cell r="G271">
            <v>37918</v>
          </cell>
          <cell r="H271">
            <v>0</v>
          </cell>
          <cell r="I271">
            <v>0</v>
          </cell>
          <cell r="J271">
            <v>4.32</v>
          </cell>
          <cell r="K271">
            <v>42.07</v>
          </cell>
          <cell r="L271">
            <v>53.86</v>
          </cell>
          <cell r="M271" t="str">
            <v>康乐</v>
          </cell>
        </row>
        <row r="272">
          <cell r="A272" t="str">
            <v>000006</v>
          </cell>
          <cell r="B272" t="str">
            <v>东同辉</v>
          </cell>
          <cell r="C272" t="str">
            <v>其它</v>
          </cell>
          <cell r="D272" t="str">
            <v>其它</v>
          </cell>
          <cell r="E272" t="str">
            <v>抵押贷款</v>
          </cell>
          <cell r="F272">
            <v>37216</v>
          </cell>
          <cell r="G272">
            <v>37938</v>
          </cell>
          <cell r="H272">
            <v>0</v>
          </cell>
          <cell r="I272">
            <v>0</v>
          </cell>
          <cell r="J272">
            <v>5.45</v>
          </cell>
          <cell r="K272">
            <v>53.04</v>
          </cell>
          <cell r="L272">
            <v>73.83</v>
          </cell>
          <cell r="M272" t="str">
            <v>康乐</v>
          </cell>
        </row>
        <row r="273">
          <cell r="B273" t="str">
            <v>东同辉 Total</v>
          </cell>
          <cell r="L273">
            <v>135.57</v>
          </cell>
        </row>
        <row r="274">
          <cell r="A274" t="str">
            <v>37237</v>
          </cell>
          <cell r="B274" t="str">
            <v>东兴陶瓷欣业有限公司</v>
          </cell>
          <cell r="C274" t="str">
            <v>三资</v>
          </cell>
          <cell r="D274" t="str">
            <v>工业</v>
          </cell>
          <cell r="E274" t="str">
            <v>保证贷款</v>
          </cell>
          <cell r="F274">
            <v>35642</v>
          </cell>
          <cell r="G274">
            <v>35855</v>
          </cell>
          <cell r="H274">
            <v>0</v>
          </cell>
          <cell r="I274">
            <v>0</v>
          </cell>
          <cell r="J274">
            <v>0</v>
          </cell>
          <cell r="K274">
            <v>0</v>
          </cell>
          <cell r="L274">
            <v>200</v>
          </cell>
          <cell r="M274" t="str">
            <v>同安</v>
          </cell>
        </row>
        <row r="275">
          <cell r="B275" t="str">
            <v>东兴陶瓷欣业有限公司 Total</v>
          </cell>
          <cell r="L275">
            <v>200</v>
          </cell>
        </row>
        <row r="276">
          <cell r="A276" t="str">
            <v>100366</v>
          </cell>
          <cell r="B276" t="str">
            <v>东宇进出口公司</v>
          </cell>
          <cell r="C276" t="str">
            <v>外事</v>
          </cell>
          <cell r="D276" t="str">
            <v>商贸</v>
          </cell>
          <cell r="E276" t="str">
            <v>抵押贷款</v>
          </cell>
          <cell r="F276">
            <v>34996</v>
          </cell>
          <cell r="G276">
            <v>35209</v>
          </cell>
          <cell r="H276">
            <v>0</v>
          </cell>
          <cell r="I276">
            <v>0</v>
          </cell>
          <cell r="J276">
            <v>0</v>
          </cell>
          <cell r="K276">
            <v>0</v>
          </cell>
          <cell r="L276">
            <v>287.67</v>
          </cell>
          <cell r="M276" t="str">
            <v>鹭江</v>
          </cell>
        </row>
        <row r="277">
          <cell r="B277" t="str">
            <v>东宇进出口公司 Total</v>
          </cell>
          <cell r="L277">
            <v>287.67</v>
          </cell>
        </row>
        <row r="278">
          <cell r="A278" t="str">
            <v>020111</v>
          </cell>
          <cell r="B278" t="str">
            <v>董彦武</v>
          </cell>
          <cell r="C278" t="str">
            <v>其它</v>
          </cell>
          <cell r="D278" t="str">
            <v>其它</v>
          </cell>
          <cell r="E278" t="str">
            <v>保证贷款</v>
          </cell>
          <cell r="F278">
            <v>37207</v>
          </cell>
          <cell r="G278">
            <v>37572</v>
          </cell>
          <cell r="H278">
            <v>0</v>
          </cell>
          <cell r="I278">
            <v>20</v>
          </cell>
          <cell r="J278">
            <v>0</v>
          </cell>
          <cell r="K278">
            <v>0</v>
          </cell>
          <cell r="L278">
            <v>20</v>
          </cell>
          <cell r="M278" t="str">
            <v>东区</v>
          </cell>
        </row>
        <row r="279">
          <cell r="B279" t="str">
            <v>董彦武 Total</v>
          </cell>
          <cell r="L279">
            <v>20</v>
          </cell>
        </row>
        <row r="280">
          <cell r="A280" t="str">
            <v>02gd03</v>
          </cell>
          <cell r="B280" t="str">
            <v>杜成祖</v>
          </cell>
          <cell r="C280" t="str">
            <v>其它</v>
          </cell>
          <cell r="D280" t="str">
            <v>其它</v>
          </cell>
          <cell r="E280" t="str">
            <v>保证贷款</v>
          </cell>
          <cell r="F280">
            <v>37376</v>
          </cell>
          <cell r="G280">
            <v>37741</v>
          </cell>
          <cell r="H280">
            <v>0</v>
          </cell>
          <cell r="I280">
            <v>18</v>
          </cell>
          <cell r="J280">
            <v>0</v>
          </cell>
          <cell r="K280">
            <v>0</v>
          </cell>
          <cell r="L280">
            <v>18</v>
          </cell>
          <cell r="M280" t="str">
            <v>厦禾</v>
          </cell>
        </row>
        <row r="281">
          <cell r="B281" t="str">
            <v>杜成祖 Total</v>
          </cell>
          <cell r="L281">
            <v>18</v>
          </cell>
        </row>
        <row r="282">
          <cell r="A282" t="str">
            <v>000045</v>
          </cell>
          <cell r="B282" t="str">
            <v>杜国胜</v>
          </cell>
          <cell r="C282" t="str">
            <v>其它</v>
          </cell>
          <cell r="D282" t="str">
            <v>其它</v>
          </cell>
          <cell r="E282" t="str">
            <v>保证贷款</v>
          </cell>
          <cell r="F282">
            <v>37524</v>
          </cell>
          <cell r="G282">
            <v>38254</v>
          </cell>
          <cell r="H282">
            <v>0</v>
          </cell>
          <cell r="I282">
            <v>16.600000000000001</v>
          </cell>
          <cell r="J282">
            <v>0.65</v>
          </cell>
          <cell r="K282">
            <v>0.65</v>
          </cell>
          <cell r="L282">
            <v>15.95</v>
          </cell>
          <cell r="M282" t="str">
            <v>康乐</v>
          </cell>
        </row>
        <row r="283">
          <cell r="B283" t="str">
            <v>杜国胜 Total</v>
          </cell>
          <cell r="L283">
            <v>15.95</v>
          </cell>
        </row>
        <row r="284">
          <cell r="A284" t="str">
            <v>000036</v>
          </cell>
          <cell r="B284" t="str">
            <v>杜辉程</v>
          </cell>
          <cell r="C284" t="str">
            <v>其它</v>
          </cell>
          <cell r="D284" t="str">
            <v>其它</v>
          </cell>
          <cell r="E284" t="str">
            <v>抵押贷款</v>
          </cell>
          <cell r="F284">
            <v>37454</v>
          </cell>
          <cell r="G284">
            <v>37806</v>
          </cell>
          <cell r="H284">
            <v>0</v>
          </cell>
          <cell r="I284">
            <v>40</v>
          </cell>
          <cell r="J284">
            <v>0</v>
          </cell>
          <cell r="K284">
            <v>0</v>
          </cell>
          <cell r="L284">
            <v>40</v>
          </cell>
          <cell r="M284" t="str">
            <v>康乐</v>
          </cell>
        </row>
        <row r="285">
          <cell r="B285" t="str">
            <v>杜辉程 Total</v>
          </cell>
          <cell r="L285">
            <v>40</v>
          </cell>
        </row>
        <row r="286">
          <cell r="A286" t="str">
            <v>001024</v>
          </cell>
          <cell r="B286" t="str">
            <v>杜建明</v>
          </cell>
          <cell r="C286" t="str">
            <v>其它</v>
          </cell>
          <cell r="D286" t="str">
            <v>其它</v>
          </cell>
          <cell r="E286" t="str">
            <v>抵押贷款</v>
          </cell>
          <cell r="F286">
            <v>37256</v>
          </cell>
          <cell r="G286">
            <v>37607</v>
          </cell>
          <cell r="H286">
            <v>0</v>
          </cell>
          <cell r="I286">
            <v>90</v>
          </cell>
          <cell r="J286">
            <v>0</v>
          </cell>
          <cell r="K286">
            <v>0</v>
          </cell>
          <cell r="L286">
            <v>90</v>
          </cell>
          <cell r="M286" t="str">
            <v>营业</v>
          </cell>
        </row>
        <row r="287">
          <cell r="B287" t="str">
            <v>杜建明 Total</v>
          </cell>
          <cell r="L287">
            <v>90</v>
          </cell>
        </row>
        <row r="288">
          <cell r="A288" t="str">
            <v>020166</v>
          </cell>
          <cell r="B288" t="str">
            <v>杜利</v>
          </cell>
          <cell r="C288" t="str">
            <v>其它</v>
          </cell>
          <cell r="D288" t="str">
            <v>其它</v>
          </cell>
          <cell r="E288" t="str">
            <v>保证贷款</v>
          </cell>
          <cell r="F288">
            <v>37484</v>
          </cell>
          <cell r="G288">
            <v>37849</v>
          </cell>
          <cell r="H288">
            <v>0</v>
          </cell>
          <cell r="I288">
            <v>10</v>
          </cell>
          <cell r="J288">
            <v>0</v>
          </cell>
          <cell r="K288">
            <v>0</v>
          </cell>
          <cell r="L288">
            <v>10</v>
          </cell>
          <cell r="M288" t="str">
            <v>东区</v>
          </cell>
        </row>
        <row r="289">
          <cell r="B289" t="str">
            <v>杜利 Total</v>
          </cell>
          <cell r="L289">
            <v>10</v>
          </cell>
        </row>
        <row r="290">
          <cell r="A290" t="str">
            <v>020120</v>
          </cell>
          <cell r="B290" t="str">
            <v>范国平</v>
          </cell>
          <cell r="C290" t="str">
            <v>其它</v>
          </cell>
          <cell r="D290" t="str">
            <v>其它</v>
          </cell>
          <cell r="E290" t="str">
            <v>抵押贷款</v>
          </cell>
          <cell r="F290">
            <v>37243</v>
          </cell>
          <cell r="G290">
            <v>37608</v>
          </cell>
          <cell r="H290">
            <v>0</v>
          </cell>
          <cell r="I290">
            <v>13</v>
          </cell>
          <cell r="J290">
            <v>0</v>
          </cell>
          <cell r="K290">
            <v>0</v>
          </cell>
          <cell r="L290">
            <v>13</v>
          </cell>
          <cell r="M290" t="str">
            <v>东区</v>
          </cell>
        </row>
        <row r="291">
          <cell r="B291" t="str">
            <v>范国平 Total</v>
          </cell>
          <cell r="L291">
            <v>13</v>
          </cell>
        </row>
        <row r="292">
          <cell r="A292" t="str">
            <v>023510</v>
          </cell>
          <cell r="B292" t="str">
            <v>范素颖</v>
          </cell>
          <cell r="C292" t="str">
            <v>其它</v>
          </cell>
          <cell r="D292" t="str">
            <v>其它</v>
          </cell>
          <cell r="E292" t="str">
            <v>保证贷款</v>
          </cell>
          <cell r="F292">
            <v>37340</v>
          </cell>
          <cell r="G292">
            <v>37705</v>
          </cell>
          <cell r="H292">
            <v>0</v>
          </cell>
          <cell r="I292">
            <v>5</v>
          </cell>
          <cell r="J292">
            <v>0</v>
          </cell>
          <cell r="K292">
            <v>0</v>
          </cell>
          <cell r="L292">
            <v>5</v>
          </cell>
          <cell r="M292" t="str">
            <v>集美</v>
          </cell>
        </row>
        <row r="293">
          <cell r="B293" t="str">
            <v>范素颖 Total</v>
          </cell>
          <cell r="L293">
            <v>5</v>
          </cell>
        </row>
        <row r="294">
          <cell r="A294" t="str">
            <v>gs0067</v>
          </cell>
          <cell r="B294" t="str">
            <v>方彩兰</v>
          </cell>
          <cell r="C294" t="str">
            <v>其它</v>
          </cell>
          <cell r="D294" t="str">
            <v>其它</v>
          </cell>
          <cell r="E294" t="str">
            <v>抵押贷款</v>
          </cell>
          <cell r="F294">
            <v>37498</v>
          </cell>
          <cell r="G294">
            <v>37838</v>
          </cell>
          <cell r="H294">
            <v>0</v>
          </cell>
          <cell r="I294">
            <v>48</v>
          </cell>
          <cell r="J294">
            <v>0</v>
          </cell>
          <cell r="K294">
            <v>0</v>
          </cell>
          <cell r="L294">
            <v>48</v>
          </cell>
          <cell r="M294" t="str">
            <v>湖里</v>
          </cell>
        </row>
        <row r="295">
          <cell r="B295" t="str">
            <v>方彩兰 Total</v>
          </cell>
          <cell r="L295">
            <v>48</v>
          </cell>
        </row>
        <row r="296">
          <cell r="A296" t="str">
            <v>200011</v>
          </cell>
          <cell r="B296" t="str">
            <v>方瑜</v>
          </cell>
          <cell r="C296" t="str">
            <v>住房</v>
          </cell>
          <cell r="D296" t="str">
            <v>其它</v>
          </cell>
          <cell r="E296" t="str">
            <v>抵押贷款</v>
          </cell>
          <cell r="F296">
            <v>36788</v>
          </cell>
          <cell r="G296">
            <v>42265</v>
          </cell>
          <cell r="H296">
            <v>0</v>
          </cell>
          <cell r="I296">
            <v>14.93</v>
          </cell>
          <cell r="J296">
            <v>7.0000000000000007E-2</v>
          </cell>
          <cell r="K296">
            <v>0.44</v>
          </cell>
          <cell r="L296">
            <v>14.49</v>
          </cell>
          <cell r="M296" t="str">
            <v>鹭江</v>
          </cell>
        </row>
        <row r="297">
          <cell r="B297" t="str">
            <v>方瑜 Total</v>
          </cell>
          <cell r="L297">
            <v>14.49</v>
          </cell>
        </row>
        <row r="298">
          <cell r="A298" t="str">
            <v>217263</v>
          </cell>
          <cell r="B298" t="str">
            <v>丰裕粮食加工厂</v>
          </cell>
          <cell r="C298" t="str">
            <v>集体</v>
          </cell>
          <cell r="D298" t="str">
            <v>工业</v>
          </cell>
          <cell r="E298" t="str">
            <v>保证贷款</v>
          </cell>
          <cell r="F298">
            <v>35671</v>
          </cell>
          <cell r="G298">
            <v>35886</v>
          </cell>
          <cell r="H298">
            <v>0</v>
          </cell>
          <cell r="I298">
            <v>0</v>
          </cell>
          <cell r="J298">
            <v>0</v>
          </cell>
          <cell r="K298">
            <v>0</v>
          </cell>
          <cell r="L298">
            <v>37.700000000000003</v>
          </cell>
          <cell r="M298" t="str">
            <v>同安</v>
          </cell>
        </row>
        <row r="299">
          <cell r="B299" t="str">
            <v>丰裕粮食加工厂 Total</v>
          </cell>
          <cell r="L299">
            <v>37.700000000000003</v>
          </cell>
        </row>
        <row r="300">
          <cell r="A300" t="str">
            <v>000060</v>
          </cell>
          <cell r="B300" t="str">
            <v>凤山水泥</v>
          </cell>
          <cell r="C300" t="str">
            <v>其它</v>
          </cell>
          <cell r="D300" t="str">
            <v>工业</v>
          </cell>
          <cell r="E300" t="str">
            <v>抵押贷款</v>
          </cell>
          <cell r="F300">
            <v>37344</v>
          </cell>
          <cell r="G300">
            <v>38073</v>
          </cell>
          <cell r="H300">
            <v>0</v>
          </cell>
          <cell r="I300">
            <v>20.72</v>
          </cell>
          <cell r="J300">
            <v>0.84</v>
          </cell>
          <cell r="K300">
            <v>5.76</v>
          </cell>
          <cell r="L300">
            <v>14.96</v>
          </cell>
          <cell r="M300" t="str">
            <v>康乐</v>
          </cell>
        </row>
        <row r="301">
          <cell r="B301" t="str">
            <v>凤山水泥 Total</v>
          </cell>
          <cell r="L301">
            <v>14.96</v>
          </cell>
        </row>
        <row r="302">
          <cell r="A302" t="str">
            <v>300197</v>
          </cell>
          <cell r="B302" t="str">
            <v>福建安溪茗芳茶厂</v>
          </cell>
          <cell r="C302" t="str">
            <v>国营</v>
          </cell>
          <cell r="D302" t="str">
            <v>商贸</v>
          </cell>
          <cell r="E302" t="str">
            <v>票据贴现</v>
          </cell>
          <cell r="F302">
            <v>37558</v>
          </cell>
          <cell r="G302">
            <v>37645</v>
          </cell>
          <cell r="H302">
            <v>38.299999999999997</v>
          </cell>
          <cell r="I302">
            <v>38.299999999999997</v>
          </cell>
          <cell r="J302">
            <v>0</v>
          </cell>
          <cell r="K302">
            <v>0</v>
          </cell>
          <cell r="L302">
            <v>38.299999999999997</v>
          </cell>
          <cell r="M302" t="str">
            <v>鹭江</v>
          </cell>
        </row>
        <row r="303">
          <cell r="B303" t="str">
            <v>福建安溪茗芳茶厂 Total</v>
          </cell>
          <cell r="L303">
            <v>38.299999999999997</v>
          </cell>
        </row>
        <row r="304">
          <cell r="A304" t="str">
            <v>200245</v>
          </cell>
          <cell r="B304" t="str">
            <v>福建联通对台公司</v>
          </cell>
          <cell r="C304" t="str">
            <v>国营</v>
          </cell>
          <cell r="D304" t="str">
            <v>商贸</v>
          </cell>
          <cell r="E304" t="str">
            <v>保证贷款</v>
          </cell>
          <cell r="F304">
            <v>37419</v>
          </cell>
          <cell r="G304">
            <v>37602</v>
          </cell>
          <cell r="H304">
            <v>0</v>
          </cell>
          <cell r="I304">
            <v>30</v>
          </cell>
          <cell r="J304">
            <v>0</v>
          </cell>
          <cell r="K304">
            <v>0</v>
          </cell>
          <cell r="L304">
            <v>30</v>
          </cell>
          <cell r="M304" t="str">
            <v>同安</v>
          </cell>
        </row>
        <row r="305">
          <cell r="B305" t="str">
            <v>福建联通对台公司 Total</v>
          </cell>
          <cell r="L305">
            <v>30</v>
          </cell>
        </row>
        <row r="306">
          <cell r="A306" t="str">
            <v>0079</v>
          </cell>
          <cell r="B306" t="str">
            <v>福建省厦门东海经贸有</v>
          </cell>
          <cell r="C306" t="str">
            <v>国营</v>
          </cell>
          <cell r="D306" t="str">
            <v>商贸</v>
          </cell>
          <cell r="E306" t="str">
            <v>保证贷款</v>
          </cell>
          <cell r="F306">
            <v>37449</v>
          </cell>
          <cell r="G306">
            <v>37633</v>
          </cell>
          <cell r="H306">
            <v>0</v>
          </cell>
          <cell r="I306">
            <v>18</v>
          </cell>
          <cell r="J306">
            <v>0</v>
          </cell>
          <cell r="K306">
            <v>0</v>
          </cell>
          <cell r="L306">
            <v>18</v>
          </cell>
          <cell r="M306" t="str">
            <v>东芳</v>
          </cell>
        </row>
        <row r="307">
          <cell r="B307" t="str">
            <v>福建省厦门东海经贸有 Total</v>
          </cell>
          <cell r="L307">
            <v>18</v>
          </cell>
        </row>
        <row r="308">
          <cell r="A308" t="str">
            <v>200241</v>
          </cell>
          <cell r="B308" t="str">
            <v>福建银芝集团</v>
          </cell>
          <cell r="C308" t="str">
            <v>集体</v>
          </cell>
          <cell r="D308" t="str">
            <v>工业</v>
          </cell>
          <cell r="E308" t="str">
            <v>质押贷款</v>
          </cell>
          <cell r="F308">
            <v>37405</v>
          </cell>
          <cell r="G308">
            <v>37759</v>
          </cell>
          <cell r="H308">
            <v>0</v>
          </cell>
          <cell r="I308">
            <v>28</v>
          </cell>
          <cell r="J308">
            <v>0</v>
          </cell>
          <cell r="K308">
            <v>0</v>
          </cell>
          <cell r="L308">
            <v>28</v>
          </cell>
          <cell r="M308" t="str">
            <v>同安</v>
          </cell>
        </row>
        <row r="309">
          <cell r="A309" t="str">
            <v>200250</v>
          </cell>
          <cell r="B309" t="str">
            <v>福建银芝集团</v>
          </cell>
          <cell r="C309" t="str">
            <v>集体</v>
          </cell>
          <cell r="D309" t="str">
            <v>工业</v>
          </cell>
          <cell r="E309" t="str">
            <v>质押贷款</v>
          </cell>
          <cell r="F309">
            <v>37421</v>
          </cell>
          <cell r="G309">
            <v>37601</v>
          </cell>
          <cell r="H309">
            <v>0</v>
          </cell>
          <cell r="I309">
            <v>30</v>
          </cell>
          <cell r="J309">
            <v>0</v>
          </cell>
          <cell r="K309">
            <v>0</v>
          </cell>
          <cell r="L309">
            <v>30</v>
          </cell>
          <cell r="M309" t="str">
            <v>同安</v>
          </cell>
        </row>
        <row r="310">
          <cell r="A310" t="str">
            <v>200242</v>
          </cell>
          <cell r="B310" t="str">
            <v>福建银芝集团</v>
          </cell>
          <cell r="C310" t="str">
            <v>集体</v>
          </cell>
          <cell r="D310" t="str">
            <v>工业</v>
          </cell>
          <cell r="E310" t="str">
            <v>质押贷款</v>
          </cell>
          <cell r="F310">
            <v>37407</v>
          </cell>
          <cell r="G310">
            <v>37583</v>
          </cell>
          <cell r="H310">
            <v>0</v>
          </cell>
          <cell r="I310">
            <v>31</v>
          </cell>
          <cell r="J310">
            <v>0</v>
          </cell>
          <cell r="K310">
            <v>0</v>
          </cell>
          <cell r="L310">
            <v>31</v>
          </cell>
          <cell r="M310" t="str">
            <v>同安</v>
          </cell>
        </row>
        <row r="311">
          <cell r="A311" t="str">
            <v>200249</v>
          </cell>
          <cell r="B311" t="str">
            <v>福建银芝集团</v>
          </cell>
          <cell r="C311" t="str">
            <v>集体</v>
          </cell>
          <cell r="D311" t="str">
            <v>工业</v>
          </cell>
          <cell r="E311" t="str">
            <v>质押贷款</v>
          </cell>
          <cell r="F311">
            <v>37419</v>
          </cell>
          <cell r="G311">
            <v>37601</v>
          </cell>
          <cell r="H311">
            <v>0</v>
          </cell>
          <cell r="I311">
            <v>38</v>
          </cell>
          <cell r="J311">
            <v>0</v>
          </cell>
          <cell r="K311">
            <v>0</v>
          </cell>
          <cell r="L311">
            <v>38</v>
          </cell>
          <cell r="M311" t="str">
            <v>同安</v>
          </cell>
        </row>
        <row r="312">
          <cell r="A312" t="str">
            <v>200268</v>
          </cell>
          <cell r="B312" t="str">
            <v>福建银芝集团</v>
          </cell>
          <cell r="C312" t="str">
            <v>集体</v>
          </cell>
          <cell r="D312" t="str">
            <v>工业</v>
          </cell>
          <cell r="E312" t="str">
            <v>质押贷款</v>
          </cell>
          <cell r="F312">
            <v>37550</v>
          </cell>
          <cell r="G312">
            <v>37731</v>
          </cell>
          <cell r="H312">
            <v>77</v>
          </cell>
          <cell r="I312">
            <v>77</v>
          </cell>
          <cell r="J312">
            <v>0</v>
          </cell>
          <cell r="K312">
            <v>0</v>
          </cell>
          <cell r="L312">
            <v>77</v>
          </cell>
          <cell r="M312" t="str">
            <v>同安</v>
          </cell>
        </row>
        <row r="313">
          <cell r="A313" t="str">
            <v>200232</v>
          </cell>
          <cell r="B313" t="str">
            <v>福建银芝集团</v>
          </cell>
          <cell r="C313" t="str">
            <v>集体</v>
          </cell>
          <cell r="D313" t="str">
            <v>工业</v>
          </cell>
          <cell r="E313" t="str">
            <v>保证贷款</v>
          </cell>
          <cell r="F313">
            <v>37358</v>
          </cell>
          <cell r="G313">
            <v>37723</v>
          </cell>
          <cell r="H313">
            <v>0</v>
          </cell>
          <cell r="I313">
            <v>100</v>
          </cell>
          <cell r="J313">
            <v>0</v>
          </cell>
          <cell r="K313">
            <v>0</v>
          </cell>
          <cell r="L313">
            <v>100</v>
          </cell>
          <cell r="M313" t="str">
            <v>同安</v>
          </cell>
        </row>
        <row r="314">
          <cell r="A314" t="str">
            <v>200257</v>
          </cell>
          <cell r="B314" t="str">
            <v>福建银芝集团</v>
          </cell>
          <cell r="C314" t="str">
            <v>集体</v>
          </cell>
          <cell r="D314" t="str">
            <v>工业</v>
          </cell>
          <cell r="E314" t="str">
            <v>保证贷款</v>
          </cell>
          <cell r="F314">
            <v>37487</v>
          </cell>
          <cell r="G314">
            <v>37852</v>
          </cell>
          <cell r="H314">
            <v>0</v>
          </cell>
          <cell r="I314">
            <v>100</v>
          </cell>
          <cell r="J314">
            <v>0</v>
          </cell>
          <cell r="K314">
            <v>0</v>
          </cell>
          <cell r="L314">
            <v>100</v>
          </cell>
          <cell r="M314" t="str">
            <v>同安</v>
          </cell>
        </row>
        <row r="315">
          <cell r="A315" t="str">
            <v>200212</v>
          </cell>
          <cell r="B315" t="str">
            <v>福建银芝集团</v>
          </cell>
          <cell r="C315" t="str">
            <v>集体</v>
          </cell>
          <cell r="D315" t="str">
            <v>工业</v>
          </cell>
          <cell r="E315" t="str">
            <v>保证贷款</v>
          </cell>
          <cell r="F315">
            <v>37315</v>
          </cell>
          <cell r="G315">
            <v>37680</v>
          </cell>
          <cell r="H315">
            <v>0</v>
          </cell>
          <cell r="I315">
            <v>110</v>
          </cell>
          <cell r="J315">
            <v>0</v>
          </cell>
          <cell r="K315">
            <v>0</v>
          </cell>
          <cell r="L315">
            <v>110</v>
          </cell>
          <cell r="M315" t="str">
            <v>同安</v>
          </cell>
        </row>
        <row r="316">
          <cell r="A316" t="str">
            <v>200235</v>
          </cell>
          <cell r="B316" t="str">
            <v>福建银芝集团</v>
          </cell>
          <cell r="C316" t="str">
            <v>集体</v>
          </cell>
          <cell r="D316" t="str">
            <v>工业</v>
          </cell>
          <cell r="E316" t="str">
            <v>保证贷款</v>
          </cell>
          <cell r="F316">
            <v>37375</v>
          </cell>
          <cell r="G316">
            <v>37648</v>
          </cell>
          <cell r="H316">
            <v>0</v>
          </cell>
          <cell r="I316">
            <v>110</v>
          </cell>
          <cell r="J316">
            <v>0</v>
          </cell>
          <cell r="K316">
            <v>0</v>
          </cell>
          <cell r="L316">
            <v>110</v>
          </cell>
          <cell r="M316" t="str">
            <v>同安</v>
          </cell>
        </row>
        <row r="317">
          <cell r="A317" t="str">
            <v>200234</v>
          </cell>
          <cell r="B317" t="str">
            <v>福建银芝集团</v>
          </cell>
          <cell r="C317" t="str">
            <v>集体</v>
          </cell>
          <cell r="D317" t="str">
            <v>工业</v>
          </cell>
          <cell r="E317" t="str">
            <v>保证贷款</v>
          </cell>
          <cell r="F317">
            <v>37368</v>
          </cell>
          <cell r="G317">
            <v>37702</v>
          </cell>
          <cell r="H317">
            <v>0</v>
          </cell>
          <cell r="I317">
            <v>120</v>
          </cell>
          <cell r="J317">
            <v>0</v>
          </cell>
          <cell r="K317">
            <v>0</v>
          </cell>
          <cell r="L317">
            <v>120</v>
          </cell>
          <cell r="M317" t="str">
            <v>同安</v>
          </cell>
        </row>
        <row r="318">
          <cell r="B318" t="str">
            <v>福建银芝集团 Total</v>
          </cell>
          <cell r="L318">
            <v>744</v>
          </cell>
        </row>
        <row r="319">
          <cell r="A319" t="str">
            <v>070070</v>
          </cell>
          <cell r="B319" t="str">
            <v>福联经贸</v>
          </cell>
          <cell r="C319" t="str">
            <v>集体</v>
          </cell>
          <cell r="D319" t="str">
            <v>商贸</v>
          </cell>
          <cell r="E319" t="str">
            <v>保证贷款</v>
          </cell>
          <cell r="F319">
            <v>37511</v>
          </cell>
          <cell r="G319">
            <v>37692</v>
          </cell>
          <cell r="H319">
            <v>0</v>
          </cell>
          <cell r="I319">
            <v>18.7</v>
          </cell>
          <cell r="J319">
            <v>0</v>
          </cell>
          <cell r="K319">
            <v>0</v>
          </cell>
          <cell r="L319">
            <v>18.7</v>
          </cell>
          <cell r="M319" t="str">
            <v>公园</v>
          </cell>
        </row>
        <row r="320">
          <cell r="A320" t="str">
            <v>070074</v>
          </cell>
          <cell r="B320" t="str">
            <v>福联经贸</v>
          </cell>
          <cell r="C320" t="str">
            <v>集体</v>
          </cell>
          <cell r="D320" t="str">
            <v>商贸</v>
          </cell>
          <cell r="E320" t="str">
            <v>票据贴现</v>
          </cell>
          <cell r="F320">
            <v>37526</v>
          </cell>
          <cell r="G320">
            <v>37596</v>
          </cell>
          <cell r="H320">
            <v>0</v>
          </cell>
          <cell r="I320">
            <v>30</v>
          </cell>
          <cell r="J320">
            <v>0</v>
          </cell>
          <cell r="K320">
            <v>0</v>
          </cell>
          <cell r="L320">
            <v>30</v>
          </cell>
          <cell r="M320" t="str">
            <v>公园</v>
          </cell>
        </row>
        <row r="321">
          <cell r="A321" t="str">
            <v>070058</v>
          </cell>
          <cell r="B321" t="str">
            <v>福联经贸</v>
          </cell>
          <cell r="C321" t="str">
            <v>集体</v>
          </cell>
          <cell r="D321" t="str">
            <v>商贸</v>
          </cell>
          <cell r="E321" t="str">
            <v>保证贷款</v>
          </cell>
          <cell r="F321">
            <v>37453</v>
          </cell>
          <cell r="G321">
            <v>37637</v>
          </cell>
          <cell r="H321">
            <v>0</v>
          </cell>
          <cell r="I321">
            <v>36.9</v>
          </cell>
          <cell r="J321">
            <v>0</v>
          </cell>
          <cell r="K321">
            <v>0</v>
          </cell>
          <cell r="L321">
            <v>36.9</v>
          </cell>
          <cell r="M321" t="str">
            <v>公园</v>
          </cell>
        </row>
        <row r="322">
          <cell r="A322" t="str">
            <v>070071</v>
          </cell>
          <cell r="B322" t="str">
            <v>福联经贸</v>
          </cell>
          <cell r="C322" t="str">
            <v>集体</v>
          </cell>
          <cell r="D322" t="str">
            <v>商贸</v>
          </cell>
          <cell r="E322" t="str">
            <v>票据贴现</v>
          </cell>
          <cell r="F322">
            <v>37512</v>
          </cell>
          <cell r="G322">
            <v>37616</v>
          </cell>
          <cell r="H322">
            <v>0</v>
          </cell>
          <cell r="I322">
            <v>40</v>
          </cell>
          <cell r="J322">
            <v>0</v>
          </cell>
          <cell r="K322">
            <v>0</v>
          </cell>
          <cell r="L322">
            <v>40</v>
          </cell>
          <cell r="M322" t="str">
            <v>公园</v>
          </cell>
        </row>
        <row r="323">
          <cell r="A323" t="str">
            <v>070064</v>
          </cell>
          <cell r="B323" t="str">
            <v>福联经贸</v>
          </cell>
          <cell r="C323" t="str">
            <v>集体</v>
          </cell>
          <cell r="D323" t="str">
            <v>商贸</v>
          </cell>
          <cell r="E323" t="str">
            <v>保证贷款</v>
          </cell>
          <cell r="F323">
            <v>37477</v>
          </cell>
          <cell r="G323">
            <v>37661</v>
          </cell>
          <cell r="H323">
            <v>0</v>
          </cell>
          <cell r="I323">
            <v>43.2</v>
          </cell>
          <cell r="J323">
            <v>0</v>
          </cell>
          <cell r="K323">
            <v>0</v>
          </cell>
          <cell r="L323">
            <v>43.2</v>
          </cell>
          <cell r="M323" t="str">
            <v>公园</v>
          </cell>
        </row>
        <row r="324">
          <cell r="A324" t="str">
            <v>070055</v>
          </cell>
          <cell r="B324" t="str">
            <v>福联经贸</v>
          </cell>
          <cell r="C324" t="str">
            <v>集体</v>
          </cell>
          <cell r="D324" t="str">
            <v>商贸</v>
          </cell>
          <cell r="E324" t="str">
            <v>保证贷款</v>
          </cell>
          <cell r="F324">
            <v>37440</v>
          </cell>
          <cell r="G324">
            <v>37624</v>
          </cell>
          <cell r="H324">
            <v>0</v>
          </cell>
          <cell r="I324">
            <v>255</v>
          </cell>
          <cell r="J324">
            <v>0</v>
          </cell>
          <cell r="K324">
            <v>15</v>
          </cell>
          <cell r="L324">
            <v>240</v>
          </cell>
          <cell r="M324" t="str">
            <v>公园</v>
          </cell>
        </row>
        <row r="325">
          <cell r="A325" t="str">
            <v>070056</v>
          </cell>
          <cell r="B325" t="str">
            <v>福联经贸</v>
          </cell>
          <cell r="C325" t="str">
            <v>集体</v>
          </cell>
          <cell r="D325" t="str">
            <v>商贸</v>
          </cell>
          <cell r="E325" t="str">
            <v>保证贷款</v>
          </cell>
          <cell r="F325">
            <v>37440</v>
          </cell>
          <cell r="G325">
            <v>37624</v>
          </cell>
          <cell r="H325">
            <v>0</v>
          </cell>
          <cell r="I325">
            <v>256</v>
          </cell>
          <cell r="J325">
            <v>0</v>
          </cell>
          <cell r="K325">
            <v>0</v>
          </cell>
          <cell r="L325">
            <v>256</v>
          </cell>
          <cell r="M325" t="str">
            <v>公园</v>
          </cell>
        </row>
        <row r="326">
          <cell r="B326" t="str">
            <v>福联经贸 Total</v>
          </cell>
          <cell r="L326">
            <v>664.8</v>
          </cell>
        </row>
        <row r="327">
          <cell r="A327" t="str">
            <v>200201</v>
          </cell>
          <cell r="B327" t="str">
            <v>福盛面粉厂</v>
          </cell>
          <cell r="C327" t="str">
            <v>集体</v>
          </cell>
          <cell r="D327" t="str">
            <v>工业</v>
          </cell>
          <cell r="E327" t="str">
            <v>保证贷款</v>
          </cell>
          <cell r="F327">
            <v>37284</v>
          </cell>
          <cell r="G327">
            <v>37646</v>
          </cell>
          <cell r="H327">
            <v>0</v>
          </cell>
          <cell r="I327">
            <v>150</v>
          </cell>
          <cell r="J327">
            <v>0</v>
          </cell>
          <cell r="K327">
            <v>0</v>
          </cell>
          <cell r="L327">
            <v>150</v>
          </cell>
          <cell r="M327" t="str">
            <v>马巷</v>
          </cell>
        </row>
        <row r="328">
          <cell r="B328" t="str">
            <v>福盛面粉厂 Total</v>
          </cell>
          <cell r="L328">
            <v>150</v>
          </cell>
        </row>
        <row r="329">
          <cell r="A329" t="str">
            <v>250324</v>
          </cell>
          <cell r="B329" t="str">
            <v>福信集团</v>
          </cell>
          <cell r="C329" t="str">
            <v>集体</v>
          </cell>
          <cell r="D329" t="str">
            <v>其它</v>
          </cell>
          <cell r="E329" t="str">
            <v>质押贷款</v>
          </cell>
          <cell r="F329">
            <v>37481</v>
          </cell>
          <cell r="G329">
            <v>37573</v>
          </cell>
          <cell r="H329">
            <v>0</v>
          </cell>
          <cell r="I329">
            <v>0</v>
          </cell>
          <cell r="J329">
            <v>0</v>
          </cell>
          <cell r="K329">
            <v>0</v>
          </cell>
          <cell r="L329">
            <v>480</v>
          </cell>
          <cell r="M329" t="str">
            <v>湖里</v>
          </cell>
        </row>
        <row r="330">
          <cell r="B330" t="str">
            <v>福信集团 Total</v>
          </cell>
          <cell r="L330">
            <v>480</v>
          </cell>
        </row>
        <row r="331">
          <cell r="A331" t="str">
            <v>350875</v>
          </cell>
          <cell r="B331" t="str">
            <v>富尔泰服装包袋</v>
          </cell>
          <cell r="C331" t="str">
            <v>三资</v>
          </cell>
          <cell r="D331" t="str">
            <v>工业</v>
          </cell>
          <cell r="E331" t="str">
            <v>保证贷款</v>
          </cell>
          <cell r="F331">
            <v>37527</v>
          </cell>
          <cell r="G331">
            <v>37708</v>
          </cell>
          <cell r="H331">
            <v>0</v>
          </cell>
          <cell r="I331">
            <v>58</v>
          </cell>
          <cell r="J331">
            <v>0</v>
          </cell>
          <cell r="K331">
            <v>0</v>
          </cell>
          <cell r="L331">
            <v>58</v>
          </cell>
          <cell r="M331" t="str">
            <v>湖里</v>
          </cell>
        </row>
        <row r="332">
          <cell r="B332" t="str">
            <v>富尔泰服装包袋 Total</v>
          </cell>
          <cell r="L332">
            <v>58</v>
          </cell>
        </row>
        <row r="333">
          <cell r="A333" t="str">
            <v>350739</v>
          </cell>
          <cell r="B333" t="str">
            <v>富尔泰服装包装</v>
          </cell>
          <cell r="C333" t="str">
            <v>三资</v>
          </cell>
          <cell r="D333" t="str">
            <v>工业</v>
          </cell>
          <cell r="E333" t="str">
            <v>保证贷款</v>
          </cell>
          <cell r="F333">
            <v>37384</v>
          </cell>
          <cell r="G333">
            <v>37568</v>
          </cell>
          <cell r="H333">
            <v>0</v>
          </cell>
          <cell r="I333">
            <v>38.6</v>
          </cell>
          <cell r="J333">
            <v>0</v>
          </cell>
          <cell r="K333">
            <v>0</v>
          </cell>
          <cell r="L333">
            <v>38.6</v>
          </cell>
          <cell r="M333" t="str">
            <v>湖里</v>
          </cell>
        </row>
        <row r="334">
          <cell r="A334" t="str">
            <v>350741</v>
          </cell>
          <cell r="B334" t="str">
            <v>富尔泰服装包装</v>
          </cell>
          <cell r="C334" t="str">
            <v>三资</v>
          </cell>
          <cell r="D334" t="str">
            <v>工业</v>
          </cell>
          <cell r="E334" t="str">
            <v>保证贷款</v>
          </cell>
          <cell r="F334">
            <v>37398</v>
          </cell>
          <cell r="G334">
            <v>37582</v>
          </cell>
          <cell r="H334">
            <v>0</v>
          </cell>
          <cell r="I334">
            <v>65</v>
          </cell>
          <cell r="J334">
            <v>0</v>
          </cell>
          <cell r="K334">
            <v>0</v>
          </cell>
          <cell r="L334">
            <v>65</v>
          </cell>
          <cell r="M334" t="str">
            <v>湖里</v>
          </cell>
        </row>
        <row r="335">
          <cell r="B335" t="str">
            <v>富尔泰服装包装 Total</v>
          </cell>
          <cell r="L335">
            <v>103.6</v>
          </cell>
        </row>
        <row r="336">
          <cell r="A336" t="str">
            <v>03488S</v>
          </cell>
          <cell r="B336" t="str">
            <v>富山国贸</v>
          </cell>
          <cell r="C336" t="str">
            <v>国营</v>
          </cell>
          <cell r="D336" t="str">
            <v>商贸</v>
          </cell>
          <cell r="E336" t="str">
            <v>保证贷款</v>
          </cell>
          <cell r="F336">
            <v>36340</v>
          </cell>
          <cell r="G336">
            <v>36553</v>
          </cell>
          <cell r="H336">
            <v>0</v>
          </cell>
          <cell r="I336">
            <v>0</v>
          </cell>
          <cell r="J336">
            <v>0</v>
          </cell>
          <cell r="K336">
            <v>0</v>
          </cell>
          <cell r="L336">
            <v>200</v>
          </cell>
          <cell r="M336" t="str">
            <v>营业</v>
          </cell>
        </row>
        <row r="337">
          <cell r="B337" t="str">
            <v>富山国贸 Total</v>
          </cell>
          <cell r="L337">
            <v>200</v>
          </cell>
        </row>
        <row r="338">
          <cell r="A338" t="str">
            <v>300158</v>
          </cell>
          <cell r="B338" t="str">
            <v>富远贸易有限公司</v>
          </cell>
          <cell r="C338" t="str">
            <v>三资</v>
          </cell>
          <cell r="D338" t="str">
            <v>商贸</v>
          </cell>
          <cell r="E338" t="str">
            <v>保证贷款</v>
          </cell>
          <cell r="F338">
            <v>37490</v>
          </cell>
          <cell r="G338">
            <v>37674</v>
          </cell>
          <cell r="H338">
            <v>0</v>
          </cell>
          <cell r="I338">
            <v>30</v>
          </cell>
          <cell r="J338">
            <v>0</v>
          </cell>
          <cell r="K338">
            <v>0</v>
          </cell>
          <cell r="L338">
            <v>30</v>
          </cell>
          <cell r="M338" t="str">
            <v>鹭江</v>
          </cell>
        </row>
        <row r="339">
          <cell r="B339" t="str">
            <v>富远贸易有限公司 Total</v>
          </cell>
          <cell r="L339">
            <v>30</v>
          </cell>
        </row>
        <row r="340">
          <cell r="A340" t="str">
            <v>gs0026</v>
          </cell>
          <cell r="B340" t="str">
            <v>高凌</v>
          </cell>
          <cell r="C340" t="str">
            <v>其它</v>
          </cell>
          <cell r="D340" t="str">
            <v>其它</v>
          </cell>
          <cell r="E340" t="str">
            <v>抵押贷款</v>
          </cell>
          <cell r="F340">
            <v>36927</v>
          </cell>
          <cell r="G340">
            <v>37230</v>
          </cell>
          <cell r="H340">
            <v>0</v>
          </cell>
          <cell r="I340">
            <v>140</v>
          </cell>
          <cell r="J340">
            <v>0</v>
          </cell>
          <cell r="K340">
            <v>0</v>
          </cell>
          <cell r="L340">
            <v>140</v>
          </cell>
          <cell r="M340" t="str">
            <v>公园</v>
          </cell>
        </row>
        <row r="341">
          <cell r="B341" t="str">
            <v>高凌 Total</v>
          </cell>
          <cell r="L341">
            <v>140</v>
          </cell>
        </row>
        <row r="342">
          <cell r="A342" t="str">
            <v>250811</v>
          </cell>
          <cell r="B342" t="str">
            <v>高校电子</v>
          </cell>
          <cell r="C342" t="str">
            <v>集体</v>
          </cell>
          <cell r="D342" t="str">
            <v>工业</v>
          </cell>
          <cell r="E342" t="str">
            <v>质押贷款</v>
          </cell>
          <cell r="F342">
            <v>37527</v>
          </cell>
          <cell r="G342">
            <v>37890</v>
          </cell>
          <cell r="H342">
            <v>0</v>
          </cell>
          <cell r="I342">
            <v>450</v>
          </cell>
          <cell r="J342">
            <v>0</v>
          </cell>
          <cell r="K342">
            <v>0</v>
          </cell>
          <cell r="L342">
            <v>450</v>
          </cell>
          <cell r="M342" t="str">
            <v>湖里</v>
          </cell>
        </row>
        <row r="343">
          <cell r="B343" t="str">
            <v>高校电子 Total</v>
          </cell>
          <cell r="L343">
            <v>450</v>
          </cell>
        </row>
        <row r="344">
          <cell r="A344" t="str">
            <v>936</v>
          </cell>
          <cell r="B344" t="str">
            <v>个人按揭</v>
          </cell>
          <cell r="C344" t="str">
            <v>其它</v>
          </cell>
          <cell r="D344" t="str">
            <v>其它</v>
          </cell>
          <cell r="E344" t="str">
            <v>抵押贷款</v>
          </cell>
          <cell r="F344">
            <v>37245</v>
          </cell>
          <cell r="G344">
            <v>37276</v>
          </cell>
          <cell r="H344">
            <v>1.42</v>
          </cell>
          <cell r="I344">
            <v>18.649999999999999</v>
          </cell>
          <cell r="J344">
            <v>0</v>
          </cell>
          <cell r="K344">
            <v>4.91</v>
          </cell>
          <cell r="L344">
            <v>13.74</v>
          </cell>
          <cell r="M344" t="str">
            <v>厦禾</v>
          </cell>
        </row>
        <row r="345">
          <cell r="B345" t="str">
            <v>个人按揭 Total</v>
          </cell>
          <cell r="L345">
            <v>13.74</v>
          </cell>
        </row>
        <row r="346">
          <cell r="A346" t="str">
            <v>937937</v>
          </cell>
          <cell r="B346" t="str">
            <v>个人贷款</v>
          </cell>
          <cell r="C346" t="str">
            <v>其它</v>
          </cell>
          <cell r="D346" t="str">
            <v>其它</v>
          </cell>
          <cell r="E346" t="str">
            <v>质押贷款</v>
          </cell>
          <cell r="F346">
            <v>37257</v>
          </cell>
          <cell r="G346">
            <v>37621</v>
          </cell>
          <cell r="H346">
            <v>126</v>
          </cell>
          <cell r="I346">
            <v>1532.18</v>
          </cell>
          <cell r="J346">
            <v>19.5</v>
          </cell>
          <cell r="K346">
            <v>934.85</v>
          </cell>
          <cell r="L346">
            <v>597.33000000000004</v>
          </cell>
          <cell r="M346" t="str">
            <v>梧村</v>
          </cell>
        </row>
        <row r="347">
          <cell r="B347" t="str">
            <v>个人贷款 Total</v>
          </cell>
          <cell r="L347">
            <v>597.33000000000004</v>
          </cell>
        </row>
        <row r="348">
          <cell r="A348" t="str">
            <v>40100</v>
          </cell>
          <cell r="B348" t="str">
            <v>个人其他贷款</v>
          </cell>
          <cell r="C348" t="str">
            <v>其它</v>
          </cell>
          <cell r="D348" t="str">
            <v>其它</v>
          </cell>
          <cell r="E348" t="str">
            <v>质押贷款</v>
          </cell>
          <cell r="F348">
            <v>37257</v>
          </cell>
          <cell r="G348">
            <v>37621</v>
          </cell>
          <cell r="H348">
            <v>0</v>
          </cell>
          <cell r="I348">
            <v>3600.36</v>
          </cell>
          <cell r="J348">
            <v>257.95</v>
          </cell>
          <cell r="K348">
            <v>2482.9699999999998</v>
          </cell>
          <cell r="L348">
            <v>1117.3900000000001</v>
          </cell>
          <cell r="M348" t="str">
            <v>江头</v>
          </cell>
        </row>
        <row r="349">
          <cell r="B349" t="str">
            <v>个人其他贷款 Total</v>
          </cell>
          <cell r="L349">
            <v>1117.3900000000001</v>
          </cell>
        </row>
        <row r="350">
          <cell r="A350" t="str">
            <v>200001</v>
          </cell>
          <cell r="B350" t="str">
            <v>个人消费贷</v>
          </cell>
          <cell r="C350" t="str">
            <v>其它</v>
          </cell>
          <cell r="D350" t="str">
            <v>其它</v>
          </cell>
          <cell r="E350" t="str">
            <v>抵押贷款</v>
          </cell>
          <cell r="F350">
            <v>37202</v>
          </cell>
          <cell r="G350">
            <v>37875</v>
          </cell>
          <cell r="H350">
            <v>144</v>
          </cell>
          <cell r="I350">
            <v>144</v>
          </cell>
          <cell r="J350">
            <v>0</v>
          </cell>
          <cell r="K350">
            <v>0</v>
          </cell>
          <cell r="L350">
            <v>144</v>
          </cell>
          <cell r="M350" t="str">
            <v>松柏</v>
          </cell>
        </row>
        <row r="351">
          <cell r="B351" t="str">
            <v>个人消费贷 Total</v>
          </cell>
          <cell r="L351">
            <v>144</v>
          </cell>
        </row>
        <row r="352">
          <cell r="A352" t="str">
            <v>937000</v>
          </cell>
          <cell r="B352" t="str">
            <v>个人消费贷款</v>
          </cell>
          <cell r="C352" t="str">
            <v>其它</v>
          </cell>
          <cell r="D352" t="str">
            <v>其它</v>
          </cell>
          <cell r="E352" t="str">
            <v>抵押贷款</v>
          </cell>
          <cell r="F352">
            <v>37347</v>
          </cell>
          <cell r="G352">
            <v>38352</v>
          </cell>
          <cell r="H352">
            <v>11</v>
          </cell>
          <cell r="I352">
            <v>211.5</v>
          </cell>
          <cell r="J352">
            <v>0</v>
          </cell>
          <cell r="K352">
            <v>0</v>
          </cell>
          <cell r="L352">
            <v>211.5</v>
          </cell>
          <cell r="M352" t="str">
            <v>梧村</v>
          </cell>
        </row>
        <row r="353">
          <cell r="B353" t="str">
            <v>个人消费贷款 Total</v>
          </cell>
          <cell r="L353">
            <v>211.5</v>
          </cell>
        </row>
        <row r="354">
          <cell r="A354" t="str">
            <v>02001a</v>
          </cell>
          <cell r="B354" t="str">
            <v>个人小额质押贷款</v>
          </cell>
          <cell r="C354" t="str">
            <v>其它</v>
          </cell>
          <cell r="D354" t="str">
            <v>其它</v>
          </cell>
          <cell r="E354" t="str">
            <v>质押贷款</v>
          </cell>
          <cell r="F354">
            <v>37530</v>
          </cell>
          <cell r="G354">
            <v>37549</v>
          </cell>
          <cell r="H354">
            <v>14.96</v>
          </cell>
          <cell r="I354">
            <v>14.96</v>
          </cell>
          <cell r="J354">
            <v>0</v>
          </cell>
          <cell r="K354">
            <v>0</v>
          </cell>
          <cell r="L354">
            <v>14.96</v>
          </cell>
          <cell r="M354" t="str">
            <v>公园</v>
          </cell>
        </row>
        <row r="355">
          <cell r="A355" t="str">
            <v>020001</v>
          </cell>
          <cell r="B355" t="str">
            <v>个人小额质押贷款</v>
          </cell>
          <cell r="C355" t="str">
            <v>其它</v>
          </cell>
          <cell r="D355" t="str">
            <v>其它</v>
          </cell>
          <cell r="E355" t="str">
            <v>质押贷款</v>
          </cell>
          <cell r="F355">
            <v>37257</v>
          </cell>
          <cell r="G355">
            <v>37622</v>
          </cell>
          <cell r="H355">
            <v>497.35</v>
          </cell>
          <cell r="I355">
            <v>2870.63</v>
          </cell>
          <cell r="J355">
            <v>343.31</v>
          </cell>
          <cell r="K355">
            <v>2042.88</v>
          </cell>
          <cell r="L355">
            <v>827.75</v>
          </cell>
          <cell r="M355" t="str">
            <v>公园</v>
          </cell>
        </row>
        <row r="356">
          <cell r="B356" t="str">
            <v>个人小额质押贷款 Total</v>
          </cell>
          <cell r="L356">
            <v>842.71</v>
          </cell>
        </row>
        <row r="357">
          <cell r="A357" t="str">
            <v>99001g</v>
          </cell>
          <cell r="B357" t="str">
            <v>个人住房按揭贷款</v>
          </cell>
          <cell r="C357" t="str">
            <v>住房</v>
          </cell>
          <cell r="D357" t="str">
            <v>其它</v>
          </cell>
          <cell r="E357" t="str">
            <v>抵押贷款</v>
          </cell>
          <cell r="F357">
            <v>36466</v>
          </cell>
          <cell r="G357">
            <v>40119</v>
          </cell>
          <cell r="H357">
            <v>0</v>
          </cell>
          <cell r="I357">
            <v>987.04</v>
          </cell>
          <cell r="J357">
            <v>10.87</v>
          </cell>
          <cell r="K357">
            <v>84.71</v>
          </cell>
          <cell r="L357">
            <v>902.33</v>
          </cell>
          <cell r="M357" t="str">
            <v>公园</v>
          </cell>
        </row>
        <row r="358">
          <cell r="B358" t="str">
            <v>个人住房按揭贷款 Total</v>
          </cell>
          <cell r="L358">
            <v>902.33</v>
          </cell>
        </row>
        <row r="359">
          <cell r="A359" t="str">
            <v>200088</v>
          </cell>
          <cell r="B359" t="str">
            <v>个人住房按揭逾期</v>
          </cell>
          <cell r="C359" t="str">
            <v>住房</v>
          </cell>
          <cell r="D359" t="str">
            <v>其它</v>
          </cell>
          <cell r="E359" t="str">
            <v>抵押贷款</v>
          </cell>
          <cell r="F359">
            <v>37377</v>
          </cell>
          <cell r="G359">
            <v>37397</v>
          </cell>
          <cell r="H359">
            <v>0.24</v>
          </cell>
          <cell r="I359">
            <v>1.22</v>
          </cell>
          <cell r="J359">
            <v>0</v>
          </cell>
          <cell r="K359">
            <v>0.22</v>
          </cell>
          <cell r="L359">
            <v>1</v>
          </cell>
          <cell r="M359" t="str">
            <v>鹭江</v>
          </cell>
        </row>
        <row r="360">
          <cell r="B360" t="str">
            <v>个人住房按揭逾期 Total</v>
          </cell>
          <cell r="L360">
            <v>1</v>
          </cell>
        </row>
        <row r="361">
          <cell r="A361" t="str">
            <v>020177</v>
          </cell>
          <cell r="B361" t="str">
            <v>弓振斌</v>
          </cell>
          <cell r="C361" t="str">
            <v>其它</v>
          </cell>
          <cell r="D361" t="str">
            <v>其它</v>
          </cell>
          <cell r="E361" t="str">
            <v>保证贷款</v>
          </cell>
          <cell r="F361">
            <v>37516</v>
          </cell>
          <cell r="G361">
            <v>39342</v>
          </cell>
          <cell r="H361">
            <v>0</v>
          </cell>
          <cell r="I361">
            <v>11</v>
          </cell>
          <cell r="J361">
            <v>0.16</v>
          </cell>
          <cell r="K361">
            <v>0.16</v>
          </cell>
          <cell r="L361">
            <v>10.84</v>
          </cell>
          <cell r="M361" t="str">
            <v>东区</v>
          </cell>
        </row>
        <row r="362">
          <cell r="B362" t="str">
            <v>弓振斌 Total</v>
          </cell>
          <cell r="L362">
            <v>10.84</v>
          </cell>
        </row>
        <row r="363">
          <cell r="A363" t="str">
            <v>44632W</v>
          </cell>
          <cell r="B363" t="str">
            <v>共和集团</v>
          </cell>
          <cell r="C363" t="str">
            <v>国营</v>
          </cell>
          <cell r="D363" t="str">
            <v>商贸</v>
          </cell>
          <cell r="E363" t="str">
            <v>抵押贷款</v>
          </cell>
          <cell r="F363">
            <v>36159</v>
          </cell>
          <cell r="G363">
            <v>36446</v>
          </cell>
          <cell r="H363">
            <v>0</v>
          </cell>
          <cell r="I363">
            <v>0</v>
          </cell>
          <cell r="J363">
            <v>0</v>
          </cell>
          <cell r="K363">
            <v>0</v>
          </cell>
          <cell r="L363">
            <v>500</v>
          </cell>
          <cell r="M363" t="str">
            <v>营业</v>
          </cell>
        </row>
        <row r="364">
          <cell r="A364" t="str">
            <v>44632S</v>
          </cell>
          <cell r="B364" t="str">
            <v>共和集团</v>
          </cell>
          <cell r="C364" t="str">
            <v>国营</v>
          </cell>
          <cell r="D364" t="str">
            <v>商贸</v>
          </cell>
          <cell r="E364" t="str">
            <v>抵押贷款</v>
          </cell>
          <cell r="F364">
            <v>36341</v>
          </cell>
          <cell r="G364">
            <v>36636</v>
          </cell>
          <cell r="H364">
            <v>0</v>
          </cell>
          <cell r="I364">
            <v>0</v>
          </cell>
          <cell r="J364">
            <v>0</v>
          </cell>
          <cell r="K364">
            <v>0</v>
          </cell>
          <cell r="L364">
            <v>1000</v>
          </cell>
          <cell r="M364" t="str">
            <v>营业</v>
          </cell>
        </row>
        <row r="365">
          <cell r="A365" t="str">
            <v>44632D</v>
          </cell>
          <cell r="B365" t="str">
            <v>共和集团</v>
          </cell>
          <cell r="C365" t="str">
            <v>国营</v>
          </cell>
          <cell r="D365" t="str">
            <v>商贸</v>
          </cell>
          <cell r="E365" t="str">
            <v>抵押贷款</v>
          </cell>
          <cell r="F365">
            <v>36341</v>
          </cell>
          <cell r="G365">
            <v>36605</v>
          </cell>
          <cell r="H365">
            <v>0</v>
          </cell>
          <cell r="I365">
            <v>0</v>
          </cell>
          <cell r="J365">
            <v>0</v>
          </cell>
          <cell r="K365">
            <v>0</v>
          </cell>
          <cell r="L365">
            <v>1000</v>
          </cell>
          <cell r="M365" t="str">
            <v>营业</v>
          </cell>
        </row>
        <row r="366">
          <cell r="B366" t="str">
            <v>共和集团 Total</v>
          </cell>
          <cell r="L366">
            <v>2500</v>
          </cell>
        </row>
        <row r="367">
          <cell r="A367" t="str">
            <v>971217</v>
          </cell>
          <cell r="B367" t="str">
            <v>灌口物资供应站</v>
          </cell>
          <cell r="C367" t="str">
            <v>集体</v>
          </cell>
          <cell r="D367" t="str">
            <v>商贸</v>
          </cell>
          <cell r="E367" t="str">
            <v>保证贷款</v>
          </cell>
          <cell r="F367">
            <v>35639</v>
          </cell>
          <cell r="G367">
            <v>35855</v>
          </cell>
          <cell r="H367">
            <v>0</v>
          </cell>
          <cell r="I367">
            <v>0</v>
          </cell>
          <cell r="J367">
            <v>0</v>
          </cell>
          <cell r="K367">
            <v>0</v>
          </cell>
          <cell r="L367">
            <v>23.33</v>
          </cell>
          <cell r="M367" t="str">
            <v>杏林</v>
          </cell>
        </row>
        <row r="368">
          <cell r="B368" t="str">
            <v>灌口物资供应站 Total</v>
          </cell>
          <cell r="L368">
            <v>23.33</v>
          </cell>
        </row>
        <row r="369">
          <cell r="A369" t="str">
            <v>350838</v>
          </cell>
          <cell r="B369" t="str">
            <v>光夏印刷</v>
          </cell>
          <cell r="C369" t="str">
            <v>三资</v>
          </cell>
          <cell r="D369" t="str">
            <v>工业</v>
          </cell>
          <cell r="E369" t="str">
            <v>抵押贷款</v>
          </cell>
          <cell r="F369">
            <v>37470</v>
          </cell>
          <cell r="G369">
            <v>37654</v>
          </cell>
          <cell r="H369">
            <v>0</v>
          </cell>
          <cell r="I369">
            <v>150</v>
          </cell>
          <cell r="J369">
            <v>0</v>
          </cell>
          <cell r="K369">
            <v>0</v>
          </cell>
          <cell r="L369">
            <v>150</v>
          </cell>
          <cell r="M369" t="str">
            <v>湖里</v>
          </cell>
        </row>
        <row r="370">
          <cell r="A370" t="str">
            <v>350848</v>
          </cell>
          <cell r="B370" t="str">
            <v>光夏印刷</v>
          </cell>
          <cell r="C370" t="str">
            <v>三资</v>
          </cell>
          <cell r="D370" t="str">
            <v>工业</v>
          </cell>
          <cell r="E370" t="str">
            <v>抵押贷款</v>
          </cell>
          <cell r="F370">
            <v>37481</v>
          </cell>
          <cell r="G370">
            <v>37665</v>
          </cell>
          <cell r="H370">
            <v>0</v>
          </cell>
          <cell r="I370">
            <v>150</v>
          </cell>
          <cell r="J370">
            <v>0</v>
          </cell>
          <cell r="K370">
            <v>0</v>
          </cell>
          <cell r="L370">
            <v>150</v>
          </cell>
          <cell r="M370" t="str">
            <v>湖里</v>
          </cell>
        </row>
        <row r="371">
          <cell r="A371" t="str">
            <v>350826</v>
          </cell>
          <cell r="B371" t="str">
            <v>光夏印刷</v>
          </cell>
          <cell r="C371" t="str">
            <v>三资</v>
          </cell>
          <cell r="D371" t="str">
            <v>工业</v>
          </cell>
          <cell r="E371" t="str">
            <v>抵押贷款</v>
          </cell>
          <cell r="F371">
            <v>37448</v>
          </cell>
          <cell r="G371">
            <v>37632</v>
          </cell>
          <cell r="H371">
            <v>0</v>
          </cell>
          <cell r="I371">
            <v>200</v>
          </cell>
          <cell r="J371">
            <v>0</v>
          </cell>
          <cell r="K371">
            <v>0</v>
          </cell>
          <cell r="L371">
            <v>200</v>
          </cell>
          <cell r="M371" t="str">
            <v>湖里</v>
          </cell>
        </row>
        <row r="372">
          <cell r="A372" t="str">
            <v>350827</v>
          </cell>
          <cell r="B372" t="str">
            <v>光夏印刷</v>
          </cell>
          <cell r="C372" t="str">
            <v>三资</v>
          </cell>
          <cell r="D372" t="str">
            <v>工业</v>
          </cell>
          <cell r="E372" t="str">
            <v>抵押贷款</v>
          </cell>
          <cell r="F372">
            <v>37448</v>
          </cell>
          <cell r="G372">
            <v>37601</v>
          </cell>
          <cell r="H372">
            <v>0</v>
          </cell>
          <cell r="I372">
            <v>200</v>
          </cell>
          <cell r="J372">
            <v>0</v>
          </cell>
          <cell r="K372">
            <v>0</v>
          </cell>
          <cell r="L372">
            <v>200</v>
          </cell>
          <cell r="M372" t="str">
            <v>湖里</v>
          </cell>
        </row>
        <row r="373">
          <cell r="A373" t="str">
            <v>350869</v>
          </cell>
          <cell r="B373" t="str">
            <v>光夏印刷</v>
          </cell>
          <cell r="C373" t="str">
            <v>三资</v>
          </cell>
          <cell r="D373" t="str">
            <v>工业</v>
          </cell>
          <cell r="E373" t="str">
            <v>抵押贷款</v>
          </cell>
          <cell r="F373">
            <v>37519</v>
          </cell>
          <cell r="G373">
            <v>37700</v>
          </cell>
          <cell r="H373">
            <v>0</v>
          </cell>
          <cell r="I373">
            <v>200</v>
          </cell>
          <cell r="J373">
            <v>0</v>
          </cell>
          <cell r="K373">
            <v>0</v>
          </cell>
          <cell r="L373">
            <v>200</v>
          </cell>
          <cell r="M373" t="str">
            <v>湖里</v>
          </cell>
        </row>
        <row r="374">
          <cell r="A374" t="str">
            <v>350874</v>
          </cell>
          <cell r="B374" t="str">
            <v>光夏印刷</v>
          </cell>
          <cell r="C374" t="str">
            <v>三资</v>
          </cell>
          <cell r="D374" t="str">
            <v>工业</v>
          </cell>
          <cell r="E374" t="str">
            <v>抵押贷款</v>
          </cell>
          <cell r="F374">
            <v>37525</v>
          </cell>
          <cell r="G374">
            <v>37678</v>
          </cell>
          <cell r="H374">
            <v>0</v>
          </cell>
          <cell r="I374">
            <v>200</v>
          </cell>
          <cell r="J374">
            <v>0</v>
          </cell>
          <cell r="K374">
            <v>0</v>
          </cell>
          <cell r="L374">
            <v>200</v>
          </cell>
          <cell r="M374" t="str">
            <v>湖里</v>
          </cell>
        </row>
        <row r="375">
          <cell r="A375" t="str">
            <v>350868</v>
          </cell>
          <cell r="B375" t="str">
            <v>光夏印刷</v>
          </cell>
          <cell r="C375" t="str">
            <v>三资</v>
          </cell>
          <cell r="D375" t="str">
            <v>工业</v>
          </cell>
          <cell r="E375" t="str">
            <v>抵押贷款</v>
          </cell>
          <cell r="F375">
            <v>37512</v>
          </cell>
          <cell r="G375">
            <v>37693</v>
          </cell>
          <cell r="H375">
            <v>0</v>
          </cell>
          <cell r="I375">
            <v>300</v>
          </cell>
          <cell r="J375">
            <v>0</v>
          </cell>
          <cell r="K375">
            <v>0</v>
          </cell>
          <cell r="L375">
            <v>300</v>
          </cell>
          <cell r="M375" t="str">
            <v>湖里</v>
          </cell>
        </row>
        <row r="376">
          <cell r="A376" t="str">
            <v>350873</v>
          </cell>
          <cell r="B376" t="str">
            <v>光夏印刷</v>
          </cell>
          <cell r="C376" t="str">
            <v>三资</v>
          </cell>
          <cell r="D376" t="str">
            <v>工业</v>
          </cell>
          <cell r="E376" t="str">
            <v>抵押贷款</v>
          </cell>
          <cell r="F376">
            <v>37522</v>
          </cell>
          <cell r="G376">
            <v>37613</v>
          </cell>
          <cell r="H376">
            <v>0</v>
          </cell>
          <cell r="I376">
            <v>300</v>
          </cell>
          <cell r="J376">
            <v>0</v>
          </cell>
          <cell r="K376">
            <v>0</v>
          </cell>
          <cell r="L376">
            <v>300</v>
          </cell>
          <cell r="M376" t="str">
            <v>湖里</v>
          </cell>
        </row>
        <row r="377">
          <cell r="B377" t="str">
            <v>光夏印刷 Total</v>
          </cell>
          <cell r="L377">
            <v>1700</v>
          </cell>
        </row>
        <row r="378">
          <cell r="A378" t="str">
            <v>250831</v>
          </cell>
          <cell r="B378" t="str">
            <v>广州蓝屋科技开发公司</v>
          </cell>
          <cell r="C378" t="str">
            <v>集体</v>
          </cell>
          <cell r="D378" t="str">
            <v>工业</v>
          </cell>
          <cell r="E378" t="str">
            <v>票据贴现</v>
          </cell>
          <cell r="F378">
            <v>37560</v>
          </cell>
          <cell r="G378">
            <v>37739</v>
          </cell>
          <cell r="H378">
            <v>50</v>
          </cell>
          <cell r="I378">
            <v>50</v>
          </cell>
          <cell r="J378">
            <v>0</v>
          </cell>
          <cell r="K378">
            <v>0</v>
          </cell>
          <cell r="L378">
            <v>50</v>
          </cell>
          <cell r="M378" t="str">
            <v>湖里</v>
          </cell>
        </row>
        <row r="379">
          <cell r="B379" t="str">
            <v>广州蓝屋科技开发公司 Total</v>
          </cell>
          <cell r="L379">
            <v>50</v>
          </cell>
        </row>
        <row r="380">
          <cell r="A380" t="str">
            <v>923z46</v>
          </cell>
          <cell r="B380" t="str">
            <v>郭德仁</v>
          </cell>
          <cell r="C380" t="str">
            <v>其它</v>
          </cell>
          <cell r="D380" t="str">
            <v>其它</v>
          </cell>
          <cell r="E380" t="str">
            <v>质押贷款</v>
          </cell>
          <cell r="F380">
            <v>37439</v>
          </cell>
          <cell r="G380">
            <v>37623</v>
          </cell>
          <cell r="H380">
            <v>0</v>
          </cell>
          <cell r="I380">
            <v>130</v>
          </cell>
          <cell r="J380">
            <v>0</v>
          </cell>
          <cell r="K380">
            <v>0</v>
          </cell>
          <cell r="L380">
            <v>130</v>
          </cell>
          <cell r="M380" t="str">
            <v>禾祥</v>
          </cell>
        </row>
        <row r="381">
          <cell r="B381" t="str">
            <v>郭德仁 Total</v>
          </cell>
          <cell r="L381">
            <v>130</v>
          </cell>
        </row>
        <row r="382">
          <cell r="A382" t="str">
            <v>300134</v>
          </cell>
          <cell r="B382" t="str">
            <v>郭泉松</v>
          </cell>
          <cell r="C382" t="str">
            <v>其它</v>
          </cell>
          <cell r="D382" t="str">
            <v>其它</v>
          </cell>
          <cell r="E382" t="str">
            <v>质押贷款</v>
          </cell>
          <cell r="F382">
            <v>37424</v>
          </cell>
          <cell r="G382">
            <v>37607</v>
          </cell>
          <cell r="H382">
            <v>0</v>
          </cell>
          <cell r="I382">
            <v>1.2</v>
          </cell>
          <cell r="J382">
            <v>0</v>
          </cell>
          <cell r="K382">
            <v>0</v>
          </cell>
          <cell r="L382">
            <v>1.2</v>
          </cell>
          <cell r="M382" t="str">
            <v>鹭江</v>
          </cell>
        </row>
        <row r="383">
          <cell r="B383" t="str">
            <v>郭泉松 Total</v>
          </cell>
          <cell r="L383">
            <v>1.2</v>
          </cell>
        </row>
        <row r="384">
          <cell r="A384" t="str">
            <v>小额13</v>
          </cell>
          <cell r="B384" t="str">
            <v>郭蓉</v>
          </cell>
          <cell r="C384" t="str">
            <v>其它</v>
          </cell>
          <cell r="D384" t="str">
            <v>其它</v>
          </cell>
          <cell r="E384" t="str">
            <v>质押贷款</v>
          </cell>
          <cell r="F384">
            <v>37558</v>
          </cell>
          <cell r="G384">
            <v>37740</v>
          </cell>
          <cell r="H384">
            <v>2</v>
          </cell>
          <cell r="I384">
            <v>2</v>
          </cell>
          <cell r="J384">
            <v>0</v>
          </cell>
          <cell r="K384">
            <v>0</v>
          </cell>
          <cell r="L384">
            <v>2</v>
          </cell>
          <cell r="M384" t="str">
            <v>莲富</v>
          </cell>
        </row>
        <row r="385">
          <cell r="B385" t="str">
            <v>郭蓉 Total</v>
          </cell>
          <cell r="L385">
            <v>2</v>
          </cell>
        </row>
        <row r="386">
          <cell r="A386" t="str">
            <v>00728A</v>
          </cell>
          <cell r="B386" t="str">
            <v>国际展览公司</v>
          </cell>
          <cell r="C386" t="str">
            <v>国营</v>
          </cell>
          <cell r="D386" t="str">
            <v>商贸</v>
          </cell>
          <cell r="E386" t="str">
            <v>保证贷款</v>
          </cell>
          <cell r="F386">
            <v>36340</v>
          </cell>
          <cell r="G386">
            <v>36553</v>
          </cell>
          <cell r="H386">
            <v>0</v>
          </cell>
          <cell r="I386">
            <v>0</v>
          </cell>
          <cell r="J386">
            <v>0</v>
          </cell>
          <cell r="K386">
            <v>0</v>
          </cell>
          <cell r="L386">
            <v>100</v>
          </cell>
          <cell r="M386" t="str">
            <v>营业</v>
          </cell>
        </row>
        <row r="387">
          <cell r="A387" t="str">
            <v>00728Q</v>
          </cell>
          <cell r="B387" t="str">
            <v>国际展览公司</v>
          </cell>
          <cell r="C387" t="str">
            <v>国营</v>
          </cell>
          <cell r="D387" t="str">
            <v>商贸</v>
          </cell>
          <cell r="E387" t="str">
            <v>保证贷款</v>
          </cell>
          <cell r="F387">
            <v>36159</v>
          </cell>
          <cell r="G387">
            <v>36646</v>
          </cell>
          <cell r="H387">
            <v>0</v>
          </cell>
          <cell r="I387">
            <v>0</v>
          </cell>
          <cell r="J387">
            <v>0</v>
          </cell>
          <cell r="K387">
            <v>0</v>
          </cell>
          <cell r="L387">
            <v>475</v>
          </cell>
          <cell r="M387" t="str">
            <v>营业</v>
          </cell>
        </row>
        <row r="388">
          <cell r="B388" t="str">
            <v>国际展览公司 Total</v>
          </cell>
          <cell r="L388">
            <v>575</v>
          </cell>
        </row>
        <row r="389">
          <cell r="A389" t="str">
            <v>200070</v>
          </cell>
          <cell r="B389" t="str">
            <v>国旅旅运</v>
          </cell>
          <cell r="C389" t="str">
            <v>集体</v>
          </cell>
          <cell r="D389" t="str">
            <v>商贸</v>
          </cell>
          <cell r="E389" t="str">
            <v>抵押贷款</v>
          </cell>
          <cell r="F389">
            <v>37511</v>
          </cell>
          <cell r="G389">
            <v>38239</v>
          </cell>
          <cell r="H389">
            <v>0</v>
          </cell>
          <cell r="I389">
            <v>26</v>
          </cell>
          <cell r="J389">
            <v>1.02</v>
          </cell>
          <cell r="K389">
            <v>1.02</v>
          </cell>
          <cell r="L389">
            <v>24.98</v>
          </cell>
          <cell r="M389" t="str">
            <v>新港</v>
          </cell>
        </row>
        <row r="390">
          <cell r="A390" t="str">
            <v>200035</v>
          </cell>
          <cell r="B390" t="str">
            <v>国旅旅运</v>
          </cell>
          <cell r="C390" t="str">
            <v>集体</v>
          </cell>
          <cell r="D390" t="str">
            <v>商贸</v>
          </cell>
          <cell r="E390" t="str">
            <v>抵押贷款</v>
          </cell>
          <cell r="F390">
            <v>37407</v>
          </cell>
          <cell r="G390">
            <v>38131</v>
          </cell>
          <cell r="H390">
            <v>0</v>
          </cell>
          <cell r="I390">
            <v>156.80000000000001</v>
          </cell>
          <cell r="J390">
            <v>6.26</v>
          </cell>
          <cell r="K390">
            <v>30.98</v>
          </cell>
          <cell r="L390">
            <v>125.82</v>
          </cell>
          <cell r="M390" t="str">
            <v>新港</v>
          </cell>
        </row>
        <row r="391">
          <cell r="B391" t="str">
            <v>国旅旅运 Total</v>
          </cell>
          <cell r="L391">
            <v>150.79999999999998</v>
          </cell>
        </row>
        <row r="392">
          <cell r="A392" t="str">
            <v>GX001A</v>
          </cell>
          <cell r="B392" t="str">
            <v>国信贸易</v>
          </cell>
          <cell r="C392" t="str">
            <v>国营</v>
          </cell>
          <cell r="D392" t="str">
            <v>商贸</v>
          </cell>
          <cell r="E392" t="str">
            <v>保证贷款</v>
          </cell>
          <cell r="F392">
            <v>36038</v>
          </cell>
          <cell r="G392">
            <v>36154</v>
          </cell>
          <cell r="H392">
            <v>0</v>
          </cell>
          <cell r="I392">
            <v>0</v>
          </cell>
          <cell r="J392">
            <v>0</v>
          </cell>
          <cell r="K392">
            <v>0</v>
          </cell>
          <cell r="L392">
            <v>59.46</v>
          </cell>
          <cell r="M392" t="str">
            <v>营业</v>
          </cell>
        </row>
        <row r="393">
          <cell r="B393" t="str">
            <v>国信贸易 Total</v>
          </cell>
          <cell r="L393">
            <v>59.46</v>
          </cell>
        </row>
        <row r="394">
          <cell r="A394" t="str">
            <v>160036</v>
          </cell>
          <cell r="B394" t="str">
            <v>哈利奥工贸有限公司</v>
          </cell>
          <cell r="C394" t="str">
            <v>其它</v>
          </cell>
          <cell r="D394" t="str">
            <v>其它</v>
          </cell>
          <cell r="E394" t="str">
            <v>质押贷款</v>
          </cell>
          <cell r="F394">
            <v>37404</v>
          </cell>
          <cell r="G394">
            <v>37569</v>
          </cell>
          <cell r="H394">
            <v>0</v>
          </cell>
          <cell r="I394">
            <v>27.4</v>
          </cell>
          <cell r="J394">
            <v>0</v>
          </cell>
          <cell r="K394">
            <v>0</v>
          </cell>
          <cell r="L394">
            <v>27.4</v>
          </cell>
          <cell r="M394" t="str">
            <v>梧村</v>
          </cell>
        </row>
        <row r="395">
          <cell r="B395" t="str">
            <v>哈利奥工贸有限公司 Total</v>
          </cell>
          <cell r="L395">
            <v>27.4</v>
          </cell>
        </row>
        <row r="396">
          <cell r="A396" t="str">
            <v>200226</v>
          </cell>
          <cell r="B396" t="str">
            <v>海沧投资总公司</v>
          </cell>
          <cell r="C396" t="str">
            <v>国营</v>
          </cell>
          <cell r="D396" t="str">
            <v>商贸</v>
          </cell>
          <cell r="E396" t="str">
            <v>保证贷款</v>
          </cell>
          <cell r="F396">
            <v>37315</v>
          </cell>
          <cell r="G396">
            <v>37680</v>
          </cell>
          <cell r="H396">
            <v>0</v>
          </cell>
          <cell r="I396">
            <v>2000</v>
          </cell>
          <cell r="J396">
            <v>0</v>
          </cell>
          <cell r="K396">
            <v>0</v>
          </cell>
          <cell r="L396">
            <v>2000</v>
          </cell>
          <cell r="M396" t="str">
            <v>海沧</v>
          </cell>
        </row>
        <row r="397">
          <cell r="A397" t="str">
            <v>200246</v>
          </cell>
          <cell r="B397" t="str">
            <v>海沧投资总公司</v>
          </cell>
          <cell r="C397" t="str">
            <v>国营</v>
          </cell>
          <cell r="D397" t="str">
            <v>商贸</v>
          </cell>
          <cell r="E397" t="str">
            <v>保证贷款</v>
          </cell>
          <cell r="F397">
            <v>37529</v>
          </cell>
          <cell r="G397">
            <v>37893</v>
          </cell>
          <cell r="H397">
            <v>0</v>
          </cell>
          <cell r="I397">
            <v>2000</v>
          </cell>
          <cell r="J397">
            <v>0</v>
          </cell>
          <cell r="K397">
            <v>0</v>
          </cell>
          <cell r="L397">
            <v>2000</v>
          </cell>
          <cell r="M397" t="str">
            <v>海沧</v>
          </cell>
        </row>
        <row r="398">
          <cell r="B398" t="str">
            <v>海沧投资总公司 Total</v>
          </cell>
          <cell r="L398">
            <v>4000</v>
          </cell>
        </row>
        <row r="399">
          <cell r="A399" t="str">
            <v>250403</v>
          </cell>
          <cell r="B399" t="str">
            <v>海川行商贸</v>
          </cell>
          <cell r="C399" t="str">
            <v>集体</v>
          </cell>
          <cell r="D399" t="str">
            <v>商贸</v>
          </cell>
          <cell r="E399" t="str">
            <v>抵押贷款</v>
          </cell>
          <cell r="F399">
            <v>37242</v>
          </cell>
          <cell r="G399">
            <v>37972</v>
          </cell>
          <cell r="H399">
            <v>0</v>
          </cell>
          <cell r="I399">
            <v>0</v>
          </cell>
          <cell r="J399">
            <v>0.8</v>
          </cell>
          <cell r="K399">
            <v>7.8</v>
          </cell>
          <cell r="L399">
            <v>11.64</v>
          </cell>
          <cell r="M399" t="str">
            <v>湖里</v>
          </cell>
        </row>
        <row r="400">
          <cell r="B400" t="str">
            <v>海川行商贸 Total</v>
          </cell>
          <cell r="L400">
            <v>11.64</v>
          </cell>
        </row>
        <row r="401">
          <cell r="A401" t="str">
            <v>250804</v>
          </cell>
          <cell r="B401" t="str">
            <v>海平电子</v>
          </cell>
          <cell r="C401" t="str">
            <v>集体</v>
          </cell>
          <cell r="D401" t="str">
            <v>商贸</v>
          </cell>
          <cell r="E401" t="str">
            <v>票据贴现</v>
          </cell>
          <cell r="F401">
            <v>37516</v>
          </cell>
          <cell r="G401">
            <v>37653</v>
          </cell>
          <cell r="H401">
            <v>0</v>
          </cell>
          <cell r="I401">
            <v>7</v>
          </cell>
          <cell r="J401">
            <v>0</v>
          </cell>
          <cell r="K401">
            <v>0</v>
          </cell>
          <cell r="L401">
            <v>7</v>
          </cell>
          <cell r="M401" t="str">
            <v>湖里</v>
          </cell>
        </row>
        <row r="402">
          <cell r="B402" t="str">
            <v>海平电子 Total</v>
          </cell>
          <cell r="L402">
            <v>7</v>
          </cell>
        </row>
        <row r="403">
          <cell r="A403" t="str">
            <v>001107</v>
          </cell>
          <cell r="B403" t="str">
            <v>海润进出口有司</v>
          </cell>
          <cell r="C403" t="str">
            <v>集体</v>
          </cell>
          <cell r="D403" t="str">
            <v>商贸</v>
          </cell>
          <cell r="E403" t="str">
            <v>保证贷款</v>
          </cell>
          <cell r="F403">
            <v>37246</v>
          </cell>
          <cell r="G403">
            <v>37581</v>
          </cell>
          <cell r="H403">
            <v>0</v>
          </cell>
          <cell r="I403">
            <v>0</v>
          </cell>
          <cell r="J403">
            <v>0</v>
          </cell>
          <cell r="K403">
            <v>0</v>
          </cell>
          <cell r="L403">
            <v>500</v>
          </cell>
          <cell r="M403" t="str">
            <v>营业</v>
          </cell>
        </row>
        <row r="404">
          <cell r="B404" t="str">
            <v>海润进出口有司 Total</v>
          </cell>
          <cell r="L404">
            <v>500</v>
          </cell>
        </row>
        <row r="405">
          <cell r="A405" t="str">
            <v>000012</v>
          </cell>
          <cell r="B405" t="str">
            <v>海洋集团股份有限公司</v>
          </cell>
          <cell r="C405" t="str">
            <v>国营</v>
          </cell>
          <cell r="D405" t="str">
            <v>其它</v>
          </cell>
          <cell r="E405" t="str">
            <v>保证贷款</v>
          </cell>
          <cell r="F405">
            <v>37164</v>
          </cell>
          <cell r="G405">
            <v>37345</v>
          </cell>
          <cell r="H405">
            <v>0</v>
          </cell>
          <cell r="I405">
            <v>0</v>
          </cell>
          <cell r="J405">
            <v>0</v>
          </cell>
          <cell r="K405">
            <v>0</v>
          </cell>
          <cell r="L405">
            <v>600</v>
          </cell>
          <cell r="M405" t="str">
            <v>思明</v>
          </cell>
        </row>
        <row r="406">
          <cell r="A406" t="str">
            <v>000011</v>
          </cell>
          <cell r="B406" t="str">
            <v>海洋集团股份有限公司</v>
          </cell>
          <cell r="C406" t="str">
            <v>国营</v>
          </cell>
          <cell r="D406" t="str">
            <v>其它</v>
          </cell>
          <cell r="E406" t="str">
            <v>保证贷款</v>
          </cell>
          <cell r="F406">
            <v>36815</v>
          </cell>
          <cell r="G406">
            <v>37180</v>
          </cell>
          <cell r="H406">
            <v>0</v>
          </cell>
          <cell r="I406">
            <v>0</v>
          </cell>
          <cell r="J406">
            <v>0</v>
          </cell>
          <cell r="K406">
            <v>0</v>
          </cell>
          <cell r="L406">
            <v>1000</v>
          </cell>
          <cell r="M406" t="str">
            <v>思明</v>
          </cell>
        </row>
        <row r="407">
          <cell r="B407" t="str">
            <v>海洋集团股份有限公司 Total</v>
          </cell>
          <cell r="L407">
            <v>1600</v>
          </cell>
        </row>
        <row r="408">
          <cell r="A408" t="str">
            <v>020050</v>
          </cell>
          <cell r="B408" t="str">
            <v>韩国彬</v>
          </cell>
          <cell r="C408" t="str">
            <v>住房</v>
          </cell>
          <cell r="D408" t="str">
            <v>其它</v>
          </cell>
          <cell r="E408" t="str">
            <v>抵押贷款</v>
          </cell>
          <cell r="F408">
            <v>36943</v>
          </cell>
          <cell r="G408">
            <v>40594</v>
          </cell>
          <cell r="H408">
            <v>0</v>
          </cell>
          <cell r="I408">
            <v>21.08</v>
          </cell>
          <cell r="J408">
            <v>0</v>
          </cell>
          <cell r="K408">
            <v>0.92</v>
          </cell>
          <cell r="L408">
            <v>20.16</v>
          </cell>
          <cell r="M408" t="str">
            <v>东区</v>
          </cell>
        </row>
        <row r="409">
          <cell r="B409" t="str">
            <v>韩国彬 Total</v>
          </cell>
          <cell r="L409">
            <v>20.16</v>
          </cell>
        </row>
        <row r="410">
          <cell r="A410" t="str">
            <v>942040</v>
          </cell>
          <cell r="B410" t="str">
            <v>豪德(厦门)石材有限公</v>
          </cell>
          <cell r="C410" t="str">
            <v>三资</v>
          </cell>
          <cell r="D410" t="str">
            <v>工业</v>
          </cell>
          <cell r="E410" t="str">
            <v>保证贷款</v>
          </cell>
          <cell r="F410">
            <v>37370</v>
          </cell>
          <cell r="G410">
            <v>37735</v>
          </cell>
          <cell r="H410">
            <v>0</v>
          </cell>
          <cell r="I410">
            <v>250</v>
          </cell>
          <cell r="J410">
            <v>0</v>
          </cell>
          <cell r="K410">
            <v>0</v>
          </cell>
          <cell r="L410">
            <v>250</v>
          </cell>
          <cell r="M410" t="str">
            <v>莲富</v>
          </cell>
        </row>
        <row r="411">
          <cell r="B411" t="str">
            <v>豪德(厦门)石材有限公 Total</v>
          </cell>
          <cell r="L411">
            <v>250</v>
          </cell>
        </row>
        <row r="412">
          <cell r="A412" t="str">
            <v>160042</v>
          </cell>
          <cell r="B412" t="str">
            <v>禾百盛商贸有限公司</v>
          </cell>
          <cell r="C412" t="str">
            <v>其它</v>
          </cell>
          <cell r="D412" t="str">
            <v>商贸</v>
          </cell>
          <cell r="E412" t="str">
            <v>票据贴现</v>
          </cell>
          <cell r="F412">
            <v>37445</v>
          </cell>
          <cell r="G412">
            <v>37575</v>
          </cell>
          <cell r="H412">
            <v>0</v>
          </cell>
          <cell r="I412">
            <v>100</v>
          </cell>
          <cell r="J412">
            <v>0</v>
          </cell>
          <cell r="K412">
            <v>0</v>
          </cell>
          <cell r="L412">
            <v>100</v>
          </cell>
          <cell r="M412" t="str">
            <v>梧村</v>
          </cell>
        </row>
        <row r="413">
          <cell r="B413" t="str">
            <v>禾百盛商贸有限公司 Total</v>
          </cell>
          <cell r="L413">
            <v>100</v>
          </cell>
        </row>
        <row r="414">
          <cell r="A414" t="str">
            <v>217275</v>
          </cell>
          <cell r="B414" t="str">
            <v>禾山联利石材厂</v>
          </cell>
          <cell r="C414" t="str">
            <v>集体</v>
          </cell>
          <cell r="D414" t="str">
            <v>工业</v>
          </cell>
          <cell r="E414" t="str">
            <v>保证贷款</v>
          </cell>
          <cell r="F414">
            <v>35671</v>
          </cell>
          <cell r="G414">
            <v>35977</v>
          </cell>
          <cell r="H414">
            <v>0</v>
          </cell>
          <cell r="I414">
            <v>0</v>
          </cell>
          <cell r="J414">
            <v>0</v>
          </cell>
          <cell r="K414">
            <v>0</v>
          </cell>
          <cell r="L414">
            <v>13.53</v>
          </cell>
          <cell r="M414" t="str">
            <v>同安</v>
          </cell>
        </row>
        <row r="415">
          <cell r="B415" t="str">
            <v>禾山联利石材厂 Total</v>
          </cell>
          <cell r="L415">
            <v>13.53</v>
          </cell>
        </row>
        <row r="416">
          <cell r="A416" t="str">
            <v>020149</v>
          </cell>
          <cell r="B416" t="str">
            <v>何道惠</v>
          </cell>
          <cell r="C416" t="str">
            <v>其它</v>
          </cell>
          <cell r="D416" t="str">
            <v>其它</v>
          </cell>
          <cell r="E416" t="str">
            <v>保证贷款</v>
          </cell>
          <cell r="F416">
            <v>37414</v>
          </cell>
          <cell r="G416">
            <v>37597</v>
          </cell>
          <cell r="H416">
            <v>0</v>
          </cell>
          <cell r="I416">
            <v>20</v>
          </cell>
          <cell r="J416">
            <v>0</v>
          </cell>
          <cell r="K416">
            <v>0</v>
          </cell>
          <cell r="L416">
            <v>20</v>
          </cell>
          <cell r="M416" t="str">
            <v>东区</v>
          </cell>
        </row>
        <row r="417">
          <cell r="B417" t="str">
            <v>何道惠 Total</v>
          </cell>
          <cell r="L417">
            <v>20</v>
          </cell>
        </row>
        <row r="418">
          <cell r="A418" t="str">
            <v>40124</v>
          </cell>
          <cell r="B418" t="str">
            <v>何建坤</v>
          </cell>
          <cell r="C418" t="str">
            <v>其它</v>
          </cell>
          <cell r="D418" t="str">
            <v>其它</v>
          </cell>
          <cell r="E418" t="str">
            <v>质押贷款</v>
          </cell>
          <cell r="F418">
            <v>37477</v>
          </cell>
          <cell r="G418">
            <v>37661</v>
          </cell>
          <cell r="H418">
            <v>0</v>
          </cell>
          <cell r="I418">
            <v>4.5</v>
          </cell>
          <cell r="J418">
            <v>0</v>
          </cell>
          <cell r="K418">
            <v>0</v>
          </cell>
          <cell r="L418">
            <v>4.5</v>
          </cell>
          <cell r="M418" t="str">
            <v>象屿</v>
          </cell>
        </row>
        <row r="419">
          <cell r="B419" t="str">
            <v>何建坤 Total</v>
          </cell>
          <cell r="L419">
            <v>4.5</v>
          </cell>
        </row>
        <row r="420">
          <cell r="A420" t="str">
            <v>x24002</v>
          </cell>
          <cell r="B420" t="str">
            <v>何可明</v>
          </cell>
          <cell r="C420" t="str">
            <v>其它</v>
          </cell>
          <cell r="D420" t="str">
            <v>其它</v>
          </cell>
          <cell r="E420" t="str">
            <v>抵押贷款</v>
          </cell>
          <cell r="F420">
            <v>37351</v>
          </cell>
          <cell r="G420">
            <v>37716</v>
          </cell>
          <cell r="H420">
            <v>0</v>
          </cell>
          <cell r="I420">
            <v>28</v>
          </cell>
          <cell r="J420">
            <v>0</v>
          </cell>
          <cell r="K420">
            <v>0</v>
          </cell>
          <cell r="L420">
            <v>28</v>
          </cell>
          <cell r="M420" t="str">
            <v>文滨</v>
          </cell>
        </row>
        <row r="421">
          <cell r="B421" t="str">
            <v>何可明 Total</v>
          </cell>
          <cell r="L421">
            <v>28</v>
          </cell>
        </row>
        <row r="422">
          <cell r="A422" t="str">
            <v>923z48</v>
          </cell>
          <cell r="B422" t="str">
            <v>何维禹</v>
          </cell>
          <cell r="C422" t="str">
            <v>其它</v>
          </cell>
          <cell r="D422" t="str">
            <v>其它</v>
          </cell>
          <cell r="E422" t="str">
            <v>质押贷款</v>
          </cell>
          <cell r="F422">
            <v>37446</v>
          </cell>
          <cell r="G422">
            <v>37630</v>
          </cell>
          <cell r="H422">
            <v>0</v>
          </cell>
          <cell r="I422">
            <v>6.4</v>
          </cell>
          <cell r="J422">
            <v>0</v>
          </cell>
          <cell r="K422">
            <v>0</v>
          </cell>
          <cell r="L422">
            <v>6.4</v>
          </cell>
          <cell r="M422" t="str">
            <v>禾祥</v>
          </cell>
        </row>
        <row r="423">
          <cell r="A423" t="str">
            <v>923z29</v>
          </cell>
          <cell r="B423" t="str">
            <v>何维禹</v>
          </cell>
          <cell r="C423" t="str">
            <v>其它</v>
          </cell>
          <cell r="D423" t="str">
            <v>其它</v>
          </cell>
          <cell r="E423" t="str">
            <v>质押贷款</v>
          </cell>
          <cell r="F423">
            <v>37278</v>
          </cell>
          <cell r="G423">
            <v>37643</v>
          </cell>
          <cell r="H423">
            <v>0</v>
          </cell>
          <cell r="I423">
            <v>32</v>
          </cell>
          <cell r="J423">
            <v>0</v>
          </cell>
          <cell r="K423">
            <v>0</v>
          </cell>
          <cell r="L423">
            <v>32</v>
          </cell>
          <cell r="M423" t="str">
            <v>禾祥</v>
          </cell>
        </row>
        <row r="424">
          <cell r="B424" t="str">
            <v>何维禹 Total</v>
          </cell>
          <cell r="L424">
            <v>38.4</v>
          </cell>
        </row>
        <row r="425">
          <cell r="A425" t="str">
            <v>0024</v>
          </cell>
          <cell r="B425" t="str">
            <v>何伟</v>
          </cell>
          <cell r="C425" t="str">
            <v>其它</v>
          </cell>
          <cell r="D425" t="str">
            <v>其它</v>
          </cell>
          <cell r="E425" t="str">
            <v>质押贷款</v>
          </cell>
          <cell r="F425">
            <v>37516</v>
          </cell>
          <cell r="G425">
            <v>37697</v>
          </cell>
          <cell r="H425">
            <v>0</v>
          </cell>
          <cell r="I425">
            <v>7</v>
          </cell>
          <cell r="J425">
            <v>0</v>
          </cell>
          <cell r="K425">
            <v>0</v>
          </cell>
          <cell r="L425">
            <v>7</v>
          </cell>
          <cell r="M425" t="str">
            <v>莲花</v>
          </cell>
        </row>
        <row r="426">
          <cell r="B426" t="str">
            <v>何伟 Total</v>
          </cell>
          <cell r="L426">
            <v>7</v>
          </cell>
        </row>
        <row r="427">
          <cell r="A427" t="str">
            <v>170038</v>
          </cell>
          <cell r="B427" t="str">
            <v>何小红</v>
          </cell>
          <cell r="C427" t="str">
            <v>其它</v>
          </cell>
          <cell r="D427" t="str">
            <v>其它</v>
          </cell>
          <cell r="E427" t="str">
            <v>抵押贷款</v>
          </cell>
          <cell r="F427">
            <v>37517</v>
          </cell>
          <cell r="G427">
            <v>37882</v>
          </cell>
          <cell r="H427">
            <v>0</v>
          </cell>
          <cell r="I427">
            <v>12.5</v>
          </cell>
          <cell r="J427">
            <v>0</v>
          </cell>
          <cell r="K427">
            <v>0</v>
          </cell>
          <cell r="L427">
            <v>12.5</v>
          </cell>
          <cell r="M427" t="str">
            <v>厦禾</v>
          </cell>
        </row>
        <row r="428">
          <cell r="B428" t="str">
            <v>何小红 Total</v>
          </cell>
          <cell r="L428">
            <v>12.5</v>
          </cell>
        </row>
        <row r="429">
          <cell r="A429" t="str">
            <v>MX0211</v>
          </cell>
          <cell r="B429" t="str">
            <v>和顺面粉厂</v>
          </cell>
          <cell r="C429" t="str">
            <v>集体</v>
          </cell>
          <cell r="D429" t="str">
            <v>工业</v>
          </cell>
          <cell r="E429" t="str">
            <v>保证贷款</v>
          </cell>
          <cell r="F429">
            <v>37529</v>
          </cell>
          <cell r="G429">
            <v>37741</v>
          </cell>
          <cell r="H429">
            <v>0</v>
          </cell>
          <cell r="I429">
            <v>45</v>
          </cell>
          <cell r="J429">
            <v>0</v>
          </cell>
          <cell r="K429">
            <v>0</v>
          </cell>
          <cell r="L429">
            <v>45</v>
          </cell>
          <cell r="M429" t="str">
            <v>马巷</v>
          </cell>
        </row>
        <row r="430">
          <cell r="B430" t="str">
            <v>和顺面粉厂 Total</v>
          </cell>
          <cell r="L430">
            <v>45</v>
          </cell>
        </row>
        <row r="431">
          <cell r="A431" t="str">
            <v>97124</v>
          </cell>
          <cell r="B431" t="str">
            <v>核二四厦门公司</v>
          </cell>
          <cell r="C431" t="str">
            <v>国营</v>
          </cell>
          <cell r="D431" t="str">
            <v>其它</v>
          </cell>
          <cell r="E431" t="str">
            <v>抵押贷款</v>
          </cell>
          <cell r="F431">
            <v>35656</v>
          </cell>
          <cell r="G431">
            <v>35898</v>
          </cell>
          <cell r="H431">
            <v>0</v>
          </cell>
          <cell r="I431">
            <v>0</v>
          </cell>
          <cell r="J431">
            <v>0</v>
          </cell>
          <cell r="K431">
            <v>101.8</v>
          </cell>
          <cell r="L431">
            <v>19</v>
          </cell>
          <cell r="M431" t="str">
            <v>文滨</v>
          </cell>
        </row>
        <row r="432">
          <cell r="B432" t="str">
            <v>核二四厦门公司 Total</v>
          </cell>
          <cell r="L432">
            <v>19</v>
          </cell>
        </row>
        <row r="433">
          <cell r="A433" t="str">
            <v>020188</v>
          </cell>
          <cell r="B433" t="str">
            <v>贺美红</v>
          </cell>
          <cell r="C433" t="str">
            <v>住房</v>
          </cell>
          <cell r="D433" t="str">
            <v>其它</v>
          </cell>
          <cell r="E433" t="str">
            <v>抵押贷款</v>
          </cell>
          <cell r="F433">
            <v>37511</v>
          </cell>
          <cell r="G433">
            <v>41164</v>
          </cell>
          <cell r="H433">
            <v>0</v>
          </cell>
          <cell r="I433">
            <v>32</v>
          </cell>
          <cell r="J433">
            <v>0.21</v>
          </cell>
          <cell r="K433">
            <v>0.21</v>
          </cell>
          <cell r="L433">
            <v>31.79</v>
          </cell>
          <cell r="M433" t="str">
            <v>东区</v>
          </cell>
        </row>
        <row r="434">
          <cell r="B434" t="str">
            <v>贺美红 Total</v>
          </cell>
          <cell r="L434">
            <v>31.79</v>
          </cell>
        </row>
        <row r="435">
          <cell r="A435" t="str">
            <v>217100</v>
          </cell>
          <cell r="B435" t="str">
            <v>恒辉石材公司</v>
          </cell>
          <cell r="C435" t="str">
            <v>集体</v>
          </cell>
          <cell r="D435" t="str">
            <v>工业</v>
          </cell>
          <cell r="E435" t="str">
            <v>保证贷款</v>
          </cell>
          <cell r="F435">
            <v>35523</v>
          </cell>
          <cell r="G435">
            <v>35737</v>
          </cell>
          <cell r="H435">
            <v>0</v>
          </cell>
          <cell r="I435">
            <v>0</v>
          </cell>
          <cell r="J435">
            <v>0</v>
          </cell>
          <cell r="K435">
            <v>0</v>
          </cell>
          <cell r="L435">
            <v>30</v>
          </cell>
          <cell r="M435" t="str">
            <v>马巷</v>
          </cell>
        </row>
        <row r="436">
          <cell r="B436" t="str">
            <v>恒辉石材公司 Total</v>
          </cell>
          <cell r="L436">
            <v>30</v>
          </cell>
        </row>
        <row r="437">
          <cell r="A437" t="str">
            <v>000017</v>
          </cell>
          <cell r="B437" t="str">
            <v>恒实建材</v>
          </cell>
          <cell r="C437" t="str">
            <v>其它</v>
          </cell>
          <cell r="D437" t="str">
            <v>其它</v>
          </cell>
          <cell r="E437" t="str">
            <v>抵押贷款</v>
          </cell>
          <cell r="F437">
            <v>37254</v>
          </cell>
          <cell r="G437">
            <v>37604</v>
          </cell>
          <cell r="H437">
            <v>0</v>
          </cell>
          <cell r="I437">
            <v>0</v>
          </cell>
          <cell r="J437">
            <v>0</v>
          </cell>
          <cell r="K437">
            <v>0</v>
          </cell>
          <cell r="L437">
            <v>290</v>
          </cell>
          <cell r="M437" t="str">
            <v>康乐</v>
          </cell>
        </row>
        <row r="438">
          <cell r="B438" t="str">
            <v>恒实建材 Total</v>
          </cell>
          <cell r="L438">
            <v>290</v>
          </cell>
        </row>
        <row r="439">
          <cell r="A439" t="str">
            <v>250756</v>
          </cell>
          <cell r="B439" t="str">
            <v>横店集团电声公司</v>
          </cell>
          <cell r="C439" t="str">
            <v>集体</v>
          </cell>
          <cell r="D439" t="str">
            <v>工业</v>
          </cell>
          <cell r="E439" t="str">
            <v>票据贴现</v>
          </cell>
          <cell r="F439">
            <v>37448</v>
          </cell>
          <cell r="G439">
            <v>37623</v>
          </cell>
          <cell r="H439">
            <v>0</v>
          </cell>
          <cell r="I439">
            <v>80</v>
          </cell>
          <cell r="J439">
            <v>0</v>
          </cell>
          <cell r="K439">
            <v>0</v>
          </cell>
          <cell r="L439">
            <v>80</v>
          </cell>
          <cell r="M439" t="str">
            <v>湖里</v>
          </cell>
        </row>
        <row r="440">
          <cell r="B440" t="str">
            <v>横店集团电声公司 Total</v>
          </cell>
          <cell r="L440">
            <v>80</v>
          </cell>
        </row>
        <row r="441">
          <cell r="A441" t="str">
            <v>227036</v>
          </cell>
          <cell r="B441" t="str">
            <v>红联贸易公司</v>
          </cell>
          <cell r="C441" t="str">
            <v>集体</v>
          </cell>
          <cell r="D441" t="str">
            <v>商贸</v>
          </cell>
          <cell r="E441" t="str">
            <v>保证贷款</v>
          </cell>
          <cell r="F441">
            <v>35464</v>
          </cell>
          <cell r="G441">
            <v>35767</v>
          </cell>
          <cell r="H441">
            <v>0</v>
          </cell>
          <cell r="I441">
            <v>0</v>
          </cell>
          <cell r="J441">
            <v>0</v>
          </cell>
          <cell r="K441">
            <v>0</v>
          </cell>
          <cell r="L441">
            <v>400</v>
          </cell>
          <cell r="M441" t="str">
            <v>同安</v>
          </cell>
        </row>
        <row r="442">
          <cell r="B442" t="str">
            <v>红联贸易公司 Total</v>
          </cell>
          <cell r="L442">
            <v>400</v>
          </cell>
        </row>
        <row r="443">
          <cell r="A443" t="str">
            <v>200008</v>
          </cell>
          <cell r="B443" t="str">
            <v>宏强汽车运输</v>
          </cell>
          <cell r="C443" t="str">
            <v>集体</v>
          </cell>
          <cell r="D443" t="str">
            <v>商贸</v>
          </cell>
          <cell r="E443" t="str">
            <v>抵押贷款</v>
          </cell>
          <cell r="F443">
            <v>37175</v>
          </cell>
          <cell r="G443">
            <v>37889</v>
          </cell>
          <cell r="H443">
            <v>0</v>
          </cell>
          <cell r="I443">
            <v>0</v>
          </cell>
          <cell r="J443">
            <v>0.74</v>
          </cell>
          <cell r="K443">
            <v>7.22</v>
          </cell>
          <cell r="L443">
            <v>8.43</v>
          </cell>
          <cell r="M443" t="str">
            <v>新港</v>
          </cell>
        </row>
        <row r="444">
          <cell r="A444" t="str">
            <v>200013</v>
          </cell>
          <cell r="B444" t="str">
            <v>宏强汽车运输</v>
          </cell>
          <cell r="C444" t="str">
            <v>集体</v>
          </cell>
          <cell r="D444" t="str">
            <v>商贸</v>
          </cell>
          <cell r="E444" t="str">
            <v>抵押贷款</v>
          </cell>
          <cell r="F444">
            <v>37229</v>
          </cell>
          <cell r="G444">
            <v>37775</v>
          </cell>
          <cell r="H444">
            <v>0</v>
          </cell>
          <cell r="I444">
            <v>0</v>
          </cell>
          <cell r="J444">
            <v>0.73</v>
          </cell>
          <cell r="K444">
            <v>6.42</v>
          </cell>
          <cell r="L444">
            <v>10.7</v>
          </cell>
          <cell r="M444" t="str">
            <v>新港</v>
          </cell>
        </row>
        <row r="445">
          <cell r="B445" t="str">
            <v>宏强汽车运输 Total</v>
          </cell>
          <cell r="L445">
            <v>19.13</v>
          </cell>
        </row>
        <row r="446">
          <cell r="A446" t="str">
            <v>48192</v>
          </cell>
          <cell r="B446" t="str">
            <v>宏盛达公司</v>
          </cell>
          <cell r="C446" t="str">
            <v>国营</v>
          </cell>
          <cell r="D446" t="str">
            <v>商贸</v>
          </cell>
          <cell r="E446" t="str">
            <v>保证贷款</v>
          </cell>
          <cell r="F446">
            <v>35254</v>
          </cell>
          <cell r="G446">
            <v>35261</v>
          </cell>
          <cell r="H446">
            <v>0</v>
          </cell>
          <cell r="I446">
            <v>0</v>
          </cell>
          <cell r="J446">
            <v>0</v>
          </cell>
          <cell r="K446">
            <v>0</v>
          </cell>
          <cell r="L446">
            <v>58.584875999999994</v>
          </cell>
          <cell r="M446" t="str">
            <v>营业</v>
          </cell>
        </row>
        <row r="447">
          <cell r="B447" t="str">
            <v>宏盛达公司 Total</v>
          </cell>
          <cell r="L447">
            <v>58.584875999999994</v>
          </cell>
        </row>
        <row r="448">
          <cell r="A448" t="str">
            <v>217240</v>
          </cell>
          <cell r="B448" t="str">
            <v>宏友石板材厂</v>
          </cell>
          <cell r="C448" t="str">
            <v>集体</v>
          </cell>
          <cell r="D448" t="str">
            <v>工业</v>
          </cell>
          <cell r="E448" t="str">
            <v>保证贷款</v>
          </cell>
          <cell r="F448">
            <v>35642</v>
          </cell>
          <cell r="G448">
            <v>35855</v>
          </cell>
          <cell r="H448">
            <v>0</v>
          </cell>
          <cell r="I448">
            <v>0</v>
          </cell>
          <cell r="J448">
            <v>0</v>
          </cell>
          <cell r="K448">
            <v>0</v>
          </cell>
          <cell r="L448">
            <v>25</v>
          </cell>
          <cell r="M448" t="str">
            <v>同安</v>
          </cell>
        </row>
        <row r="449">
          <cell r="B449" t="str">
            <v>宏友石板材厂 Total</v>
          </cell>
          <cell r="L449">
            <v>25</v>
          </cell>
        </row>
        <row r="450">
          <cell r="A450" t="str">
            <v>300165</v>
          </cell>
          <cell r="B450" t="str">
            <v>洪波澜</v>
          </cell>
          <cell r="C450" t="str">
            <v>其它</v>
          </cell>
          <cell r="D450" t="str">
            <v>其它</v>
          </cell>
          <cell r="E450" t="str">
            <v>质押贷款</v>
          </cell>
          <cell r="F450">
            <v>37517</v>
          </cell>
          <cell r="G450">
            <v>37698</v>
          </cell>
          <cell r="H450">
            <v>0</v>
          </cell>
          <cell r="I450">
            <v>19.100000000000001</v>
          </cell>
          <cell r="J450">
            <v>0</v>
          </cell>
          <cell r="K450">
            <v>0</v>
          </cell>
          <cell r="L450">
            <v>19.100000000000001</v>
          </cell>
          <cell r="M450" t="str">
            <v>鹭江</v>
          </cell>
        </row>
        <row r="451">
          <cell r="A451" t="str">
            <v>200097</v>
          </cell>
          <cell r="B451" t="str">
            <v>洪波澜</v>
          </cell>
          <cell r="C451" t="str">
            <v>其它</v>
          </cell>
          <cell r="D451" t="str">
            <v>其它</v>
          </cell>
          <cell r="E451" t="str">
            <v>质押贷款</v>
          </cell>
          <cell r="F451">
            <v>37480</v>
          </cell>
          <cell r="G451">
            <v>37664</v>
          </cell>
          <cell r="H451">
            <v>0</v>
          </cell>
          <cell r="I451">
            <v>38.799999999999997</v>
          </cell>
          <cell r="J451">
            <v>0</v>
          </cell>
          <cell r="K451">
            <v>0</v>
          </cell>
          <cell r="L451">
            <v>38.799999999999997</v>
          </cell>
          <cell r="M451" t="str">
            <v>鹭江</v>
          </cell>
        </row>
        <row r="452">
          <cell r="B452" t="str">
            <v>洪波澜 Total</v>
          </cell>
          <cell r="L452">
            <v>57.9</v>
          </cell>
        </row>
        <row r="453">
          <cell r="A453" t="str">
            <v>023503</v>
          </cell>
          <cell r="B453" t="str">
            <v>洪丁酉</v>
          </cell>
          <cell r="C453" t="str">
            <v>其它</v>
          </cell>
          <cell r="D453" t="str">
            <v>其它</v>
          </cell>
          <cell r="E453" t="str">
            <v>信用贷款</v>
          </cell>
          <cell r="F453">
            <v>36951</v>
          </cell>
          <cell r="G453">
            <v>37681</v>
          </cell>
          <cell r="H453">
            <v>0</v>
          </cell>
          <cell r="I453">
            <v>1.1200000000000001</v>
          </cell>
          <cell r="J453">
            <v>0.08</v>
          </cell>
          <cell r="K453">
            <v>0.68</v>
          </cell>
          <cell r="L453">
            <v>0.44</v>
          </cell>
          <cell r="M453" t="str">
            <v>杏林</v>
          </cell>
        </row>
        <row r="454">
          <cell r="B454" t="str">
            <v>洪丁酉 Total</v>
          </cell>
          <cell r="L454">
            <v>0.44</v>
          </cell>
        </row>
        <row r="455">
          <cell r="A455" t="str">
            <v>023521</v>
          </cell>
          <cell r="B455" t="str">
            <v>洪峰</v>
          </cell>
          <cell r="C455" t="str">
            <v>其它</v>
          </cell>
          <cell r="D455" t="str">
            <v>其它</v>
          </cell>
          <cell r="E455" t="str">
            <v>质押贷款</v>
          </cell>
          <cell r="F455">
            <v>37399</v>
          </cell>
          <cell r="G455">
            <v>37583</v>
          </cell>
          <cell r="H455">
            <v>0</v>
          </cell>
          <cell r="I455">
            <v>3.19</v>
          </cell>
          <cell r="J455">
            <v>0</v>
          </cell>
          <cell r="K455">
            <v>0</v>
          </cell>
          <cell r="L455">
            <v>3.19</v>
          </cell>
          <cell r="M455" t="str">
            <v>集美</v>
          </cell>
        </row>
        <row r="456">
          <cell r="B456" t="str">
            <v>洪峰 Total</v>
          </cell>
          <cell r="L456">
            <v>3.19</v>
          </cell>
        </row>
        <row r="457">
          <cell r="A457" t="str">
            <v>020136</v>
          </cell>
          <cell r="B457" t="str">
            <v>洪庚辛</v>
          </cell>
          <cell r="C457" t="str">
            <v>其它</v>
          </cell>
          <cell r="D457" t="str">
            <v>其它</v>
          </cell>
          <cell r="E457" t="str">
            <v>抵押贷款</v>
          </cell>
          <cell r="F457">
            <v>37348</v>
          </cell>
          <cell r="G457">
            <v>39168</v>
          </cell>
          <cell r="H457">
            <v>0</v>
          </cell>
          <cell r="I457">
            <v>23.84</v>
          </cell>
          <cell r="J457">
            <v>0.35</v>
          </cell>
          <cell r="K457">
            <v>2.4</v>
          </cell>
          <cell r="L457">
            <v>21.44</v>
          </cell>
          <cell r="M457" t="str">
            <v>东区</v>
          </cell>
        </row>
        <row r="458">
          <cell r="B458" t="str">
            <v>洪庚辛 Total</v>
          </cell>
          <cell r="L458">
            <v>21.44</v>
          </cell>
        </row>
        <row r="459">
          <cell r="A459" t="str">
            <v>023509</v>
          </cell>
          <cell r="B459" t="str">
            <v>洪光泽</v>
          </cell>
          <cell r="C459" t="str">
            <v>其它</v>
          </cell>
          <cell r="D459" t="str">
            <v>其它</v>
          </cell>
          <cell r="E459" t="str">
            <v>信用贷款</v>
          </cell>
          <cell r="F459">
            <v>36984</v>
          </cell>
          <cell r="G459">
            <v>37714</v>
          </cell>
          <cell r="H459">
            <v>0</v>
          </cell>
          <cell r="I459">
            <v>1.2</v>
          </cell>
          <cell r="J459">
            <v>0.09</v>
          </cell>
          <cell r="K459">
            <v>0.68</v>
          </cell>
          <cell r="L459">
            <v>0.52</v>
          </cell>
          <cell r="M459" t="str">
            <v>杏林</v>
          </cell>
        </row>
        <row r="460">
          <cell r="B460" t="str">
            <v>洪光泽 Total</v>
          </cell>
          <cell r="L460">
            <v>0.52</v>
          </cell>
        </row>
        <row r="461">
          <cell r="A461" t="str">
            <v>GX0121</v>
          </cell>
          <cell r="B461" t="str">
            <v>洪国清</v>
          </cell>
          <cell r="C461" t="str">
            <v>其它</v>
          </cell>
          <cell r="D461" t="str">
            <v>其它</v>
          </cell>
          <cell r="E461" t="str">
            <v>信用贷款</v>
          </cell>
          <cell r="F461">
            <v>36956</v>
          </cell>
          <cell r="G461">
            <v>37700</v>
          </cell>
          <cell r="H461">
            <v>0</v>
          </cell>
          <cell r="I461">
            <v>1.54</v>
          </cell>
          <cell r="J461">
            <v>0.13</v>
          </cell>
          <cell r="K461">
            <v>0.9</v>
          </cell>
          <cell r="L461">
            <v>0.52</v>
          </cell>
          <cell r="M461" t="str">
            <v>马巷</v>
          </cell>
        </row>
        <row r="462">
          <cell r="B462" t="str">
            <v>洪国清 Total</v>
          </cell>
          <cell r="L462">
            <v>0.52</v>
          </cell>
        </row>
        <row r="463">
          <cell r="A463" t="str">
            <v>gs0201</v>
          </cell>
          <cell r="B463" t="str">
            <v>洪华强</v>
          </cell>
          <cell r="C463" t="str">
            <v>其它</v>
          </cell>
          <cell r="D463" t="str">
            <v>其它</v>
          </cell>
          <cell r="E463" t="str">
            <v>抵押贷款</v>
          </cell>
          <cell r="F463">
            <v>37274</v>
          </cell>
          <cell r="G463">
            <v>37639</v>
          </cell>
          <cell r="H463">
            <v>0</v>
          </cell>
          <cell r="I463">
            <v>30</v>
          </cell>
          <cell r="J463">
            <v>0</v>
          </cell>
          <cell r="K463">
            <v>0</v>
          </cell>
          <cell r="L463">
            <v>30</v>
          </cell>
          <cell r="M463" t="str">
            <v>公园</v>
          </cell>
        </row>
        <row r="464">
          <cell r="B464" t="str">
            <v>洪华强 Total</v>
          </cell>
          <cell r="L464">
            <v>30</v>
          </cell>
        </row>
        <row r="465">
          <cell r="A465" t="str">
            <v>0029</v>
          </cell>
          <cell r="B465" t="str">
            <v>洪佳富</v>
          </cell>
          <cell r="C465" t="str">
            <v>其它</v>
          </cell>
          <cell r="D465" t="str">
            <v>其它</v>
          </cell>
          <cell r="E465" t="str">
            <v>抵押贷款</v>
          </cell>
          <cell r="F465">
            <v>37518</v>
          </cell>
          <cell r="G465">
            <v>37883</v>
          </cell>
          <cell r="H465">
            <v>0</v>
          </cell>
          <cell r="I465">
            <v>62</v>
          </cell>
          <cell r="J465">
            <v>0</v>
          </cell>
          <cell r="K465">
            <v>0</v>
          </cell>
          <cell r="L465">
            <v>62</v>
          </cell>
          <cell r="M465" t="str">
            <v>莲花</v>
          </cell>
        </row>
        <row r="466">
          <cell r="B466" t="str">
            <v>洪佳富 Total</v>
          </cell>
          <cell r="L466">
            <v>62</v>
          </cell>
        </row>
        <row r="467">
          <cell r="A467" t="str">
            <v>023519</v>
          </cell>
          <cell r="B467" t="str">
            <v>洪锦兴</v>
          </cell>
          <cell r="C467" t="str">
            <v>其它</v>
          </cell>
          <cell r="D467" t="str">
            <v>其它</v>
          </cell>
          <cell r="E467" t="str">
            <v>质押贷款</v>
          </cell>
          <cell r="F467">
            <v>37399</v>
          </cell>
          <cell r="G467">
            <v>37583</v>
          </cell>
          <cell r="H467">
            <v>0</v>
          </cell>
          <cell r="I467">
            <v>4.5599999999999996</v>
          </cell>
          <cell r="J467">
            <v>0</v>
          </cell>
          <cell r="K467">
            <v>0</v>
          </cell>
          <cell r="L467">
            <v>4.5599999999999996</v>
          </cell>
          <cell r="M467" t="str">
            <v>集美</v>
          </cell>
        </row>
        <row r="468">
          <cell r="B468" t="str">
            <v>洪锦兴 Total</v>
          </cell>
          <cell r="L468">
            <v>4.5599999999999996</v>
          </cell>
        </row>
        <row r="469">
          <cell r="A469" t="str">
            <v>020184</v>
          </cell>
          <cell r="B469" t="str">
            <v>洪丽红</v>
          </cell>
          <cell r="C469" t="str">
            <v>住房</v>
          </cell>
          <cell r="D469" t="str">
            <v>其它</v>
          </cell>
          <cell r="E469" t="str">
            <v>抵押贷款</v>
          </cell>
          <cell r="F469">
            <v>37525</v>
          </cell>
          <cell r="G469">
            <v>41178</v>
          </cell>
          <cell r="H469">
            <v>0</v>
          </cell>
          <cell r="I469">
            <v>32</v>
          </cell>
          <cell r="J469">
            <v>0.21</v>
          </cell>
          <cell r="K469">
            <v>0.21</v>
          </cell>
          <cell r="L469">
            <v>31.79</v>
          </cell>
          <cell r="M469" t="str">
            <v>东区</v>
          </cell>
        </row>
        <row r="470">
          <cell r="B470" t="str">
            <v>洪丽红 Total</v>
          </cell>
          <cell r="L470">
            <v>31.79</v>
          </cell>
        </row>
        <row r="471">
          <cell r="A471" t="str">
            <v>923z23</v>
          </cell>
          <cell r="B471" t="str">
            <v>洪丽萍</v>
          </cell>
          <cell r="C471" t="str">
            <v>其它</v>
          </cell>
          <cell r="D471" t="str">
            <v>其它</v>
          </cell>
          <cell r="E471" t="str">
            <v>信用贷款</v>
          </cell>
          <cell r="F471">
            <v>36823</v>
          </cell>
          <cell r="G471">
            <v>37580</v>
          </cell>
          <cell r="H471">
            <v>0</v>
          </cell>
          <cell r="I471">
            <v>1.03</v>
          </cell>
          <cell r="J471">
            <v>0.13</v>
          </cell>
          <cell r="K471">
            <v>0.9</v>
          </cell>
          <cell r="L471">
            <v>0.13</v>
          </cell>
          <cell r="M471" t="str">
            <v>禾祥</v>
          </cell>
        </row>
        <row r="472">
          <cell r="B472" t="str">
            <v>洪丽萍 Total</v>
          </cell>
          <cell r="L472">
            <v>0.13</v>
          </cell>
        </row>
        <row r="473">
          <cell r="A473" t="str">
            <v>GX0133</v>
          </cell>
          <cell r="B473" t="str">
            <v>洪珊妹</v>
          </cell>
          <cell r="C473" t="str">
            <v>其它</v>
          </cell>
          <cell r="D473" t="str">
            <v>其它</v>
          </cell>
          <cell r="E473" t="str">
            <v>保证贷款</v>
          </cell>
          <cell r="F473">
            <v>37210</v>
          </cell>
          <cell r="G473">
            <v>37940</v>
          </cell>
          <cell r="H473">
            <v>0</v>
          </cell>
          <cell r="I473">
            <v>2.52</v>
          </cell>
          <cell r="J473">
            <v>0.12</v>
          </cell>
          <cell r="K473">
            <v>0.85</v>
          </cell>
          <cell r="L473">
            <v>1.67</v>
          </cell>
          <cell r="M473" t="str">
            <v>同安</v>
          </cell>
        </row>
        <row r="474">
          <cell r="B474" t="str">
            <v>洪珊妹 Total</v>
          </cell>
          <cell r="L474">
            <v>1.67</v>
          </cell>
        </row>
        <row r="475">
          <cell r="A475" t="str">
            <v>0028</v>
          </cell>
          <cell r="B475" t="str">
            <v>洪顺兴</v>
          </cell>
          <cell r="C475" t="str">
            <v>其它</v>
          </cell>
          <cell r="D475" t="str">
            <v>其它</v>
          </cell>
          <cell r="E475" t="str">
            <v>抵押贷款</v>
          </cell>
          <cell r="F475">
            <v>37518</v>
          </cell>
          <cell r="G475">
            <v>37883</v>
          </cell>
          <cell r="H475">
            <v>0</v>
          </cell>
          <cell r="I475">
            <v>50</v>
          </cell>
          <cell r="J475">
            <v>0</v>
          </cell>
          <cell r="K475">
            <v>0</v>
          </cell>
          <cell r="L475">
            <v>50</v>
          </cell>
          <cell r="M475" t="str">
            <v>莲花</v>
          </cell>
        </row>
        <row r="476">
          <cell r="B476" t="str">
            <v>洪顺兴 Total</v>
          </cell>
          <cell r="L476">
            <v>50</v>
          </cell>
        </row>
        <row r="477">
          <cell r="A477" t="str">
            <v>200039</v>
          </cell>
          <cell r="B477" t="str">
            <v>洪塘矿产资源开发公司</v>
          </cell>
          <cell r="C477" t="str">
            <v>集体</v>
          </cell>
          <cell r="D477" t="str">
            <v>工业</v>
          </cell>
          <cell r="E477" t="str">
            <v>保证贷款</v>
          </cell>
          <cell r="F477">
            <v>36889</v>
          </cell>
          <cell r="G477">
            <v>37254</v>
          </cell>
          <cell r="H477">
            <v>0</v>
          </cell>
          <cell r="I477">
            <v>0</v>
          </cell>
          <cell r="J477">
            <v>0</v>
          </cell>
          <cell r="K477">
            <v>0</v>
          </cell>
          <cell r="L477">
            <v>250</v>
          </cell>
          <cell r="M477" t="str">
            <v>同安</v>
          </cell>
        </row>
        <row r="478">
          <cell r="B478" t="str">
            <v>洪塘矿产资源开发公司 Total</v>
          </cell>
          <cell r="L478">
            <v>250</v>
          </cell>
        </row>
        <row r="479">
          <cell r="A479" t="str">
            <v>237239</v>
          </cell>
          <cell r="B479" t="str">
            <v>洪塘农技城东加油站</v>
          </cell>
          <cell r="C479" t="str">
            <v>集体</v>
          </cell>
          <cell r="D479" t="str">
            <v>其它</v>
          </cell>
          <cell r="E479" t="str">
            <v>抵押贷款</v>
          </cell>
          <cell r="F479">
            <v>35642</v>
          </cell>
          <cell r="G479">
            <v>35855</v>
          </cell>
          <cell r="H479">
            <v>0</v>
          </cell>
          <cell r="I479">
            <v>0</v>
          </cell>
          <cell r="J479">
            <v>0</v>
          </cell>
          <cell r="K479">
            <v>0</v>
          </cell>
          <cell r="L479">
            <v>50</v>
          </cell>
          <cell r="M479" t="str">
            <v>同安</v>
          </cell>
        </row>
        <row r="480">
          <cell r="B480" t="str">
            <v>洪塘农技城东加油站 Total</v>
          </cell>
          <cell r="L480">
            <v>50</v>
          </cell>
        </row>
        <row r="481">
          <cell r="A481" t="str">
            <v>020090</v>
          </cell>
          <cell r="B481" t="str">
            <v>洪天发</v>
          </cell>
          <cell r="C481" t="str">
            <v>其它</v>
          </cell>
          <cell r="D481" t="str">
            <v>其它</v>
          </cell>
          <cell r="E481" t="str">
            <v>抵押贷款</v>
          </cell>
          <cell r="F481">
            <v>37076</v>
          </cell>
          <cell r="G481">
            <v>37441</v>
          </cell>
          <cell r="H481">
            <v>0</v>
          </cell>
          <cell r="I481">
            <v>130</v>
          </cell>
          <cell r="J481">
            <v>0</v>
          </cell>
          <cell r="K481">
            <v>91.7</v>
          </cell>
          <cell r="L481">
            <v>38.299999999999997</v>
          </cell>
          <cell r="M481" t="str">
            <v>东区</v>
          </cell>
        </row>
        <row r="482">
          <cell r="B482" t="str">
            <v>洪天发 Total</v>
          </cell>
          <cell r="L482">
            <v>38.299999999999997</v>
          </cell>
        </row>
        <row r="483">
          <cell r="A483" t="str">
            <v>020075</v>
          </cell>
          <cell r="B483" t="str">
            <v>洪晓珠</v>
          </cell>
          <cell r="C483" t="str">
            <v>住房</v>
          </cell>
          <cell r="D483" t="str">
            <v>其它</v>
          </cell>
          <cell r="E483" t="str">
            <v>抵押贷款</v>
          </cell>
          <cell r="F483">
            <v>36614</v>
          </cell>
          <cell r="G483">
            <v>43919</v>
          </cell>
          <cell r="H483">
            <v>0</v>
          </cell>
          <cell r="I483">
            <v>28.35</v>
          </cell>
          <cell r="J483">
            <v>0.08</v>
          </cell>
          <cell r="K483">
            <v>0.55000000000000004</v>
          </cell>
          <cell r="L483">
            <v>27.8</v>
          </cell>
          <cell r="M483" t="str">
            <v>东区</v>
          </cell>
        </row>
        <row r="484">
          <cell r="B484" t="str">
            <v>洪晓珠 Total</v>
          </cell>
          <cell r="L484">
            <v>27.8</v>
          </cell>
        </row>
        <row r="485">
          <cell r="A485" t="str">
            <v>40120</v>
          </cell>
          <cell r="B485" t="str">
            <v>洪秀花</v>
          </cell>
          <cell r="C485" t="str">
            <v>其它</v>
          </cell>
          <cell r="D485" t="str">
            <v>其它</v>
          </cell>
          <cell r="E485" t="str">
            <v>抵押贷款</v>
          </cell>
          <cell r="F485">
            <v>37274</v>
          </cell>
          <cell r="G485">
            <v>37639</v>
          </cell>
          <cell r="H485">
            <v>0</v>
          </cell>
          <cell r="I485">
            <v>4.2</v>
          </cell>
          <cell r="J485">
            <v>0</v>
          </cell>
          <cell r="K485">
            <v>0</v>
          </cell>
          <cell r="L485">
            <v>4.2</v>
          </cell>
          <cell r="M485" t="str">
            <v>象屿</v>
          </cell>
        </row>
        <row r="486">
          <cell r="B486" t="str">
            <v>洪秀花 Total</v>
          </cell>
          <cell r="L486">
            <v>4.2</v>
          </cell>
        </row>
        <row r="487">
          <cell r="A487" t="str">
            <v>250822</v>
          </cell>
          <cell r="B487" t="str">
            <v>洪莹鑫商贸</v>
          </cell>
          <cell r="C487" t="str">
            <v>集体</v>
          </cell>
          <cell r="D487" t="str">
            <v>商贸</v>
          </cell>
          <cell r="E487" t="str">
            <v>票据贴现</v>
          </cell>
          <cell r="F487">
            <v>37558</v>
          </cell>
          <cell r="G487">
            <v>37607</v>
          </cell>
          <cell r="H487">
            <v>90.55</v>
          </cell>
          <cell r="I487">
            <v>90.55</v>
          </cell>
          <cell r="J487">
            <v>0</v>
          </cell>
          <cell r="K487">
            <v>0</v>
          </cell>
          <cell r="L487">
            <v>90.55</v>
          </cell>
          <cell r="M487" t="str">
            <v>湖里</v>
          </cell>
        </row>
        <row r="488">
          <cell r="B488" t="str">
            <v>洪莹鑫商贸 Total</v>
          </cell>
          <cell r="L488">
            <v>90.55</v>
          </cell>
        </row>
        <row r="489">
          <cell r="A489" t="str">
            <v>200045</v>
          </cell>
          <cell r="B489" t="str">
            <v>洪云</v>
          </cell>
          <cell r="C489" t="str">
            <v>其它</v>
          </cell>
          <cell r="D489" t="str">
            <v>其它</v>
          </cell>
          <cell r="E489" t="str">
            <v>信用贷款</v>
          </cell>
          <cell r="F489">
            <v>37288</v>
          </cell>
          <cell r="G489">
            <v>37653</v>
          </cell>
          <cell r="H489">
            <v>0</v>
          </cell>
          <cell r="I489">
            <v>3</v>
          </cell>
          <cell r="J489">
            <v>0</v>
          </cell>
          <cell r="K489">
            <v>0.5</v>
          </cell>
          <cell r="L489">
            <v>2.5</v>
          </cell>
          <cell r="M489" t="str">
            <v>鹭江</v>
          </cell>
        </row>
        <row r="490">
          <cell r="B490" t="str">
            <v>洪云 Total</v>
          </cell>
          <cell r="L490">
            <v>2.5</v>
          </cell>
        </row>
        <row r="491">
          <cell r="A491" t="str">
            <v>020010</v>
          </cell>
          <cell r="B491" t="str">
            <v>洪志华</v>
          </cell>
          <cell r="C491" t="str">
            <v>住房</v>
          </cell>
          <cell r="D491" t="str">
            <v>其它</v>
          </cell>
          <cell r="E491" t="str">
            <v>抵押贷款</v>
          </cell>
          <cell r="F491">
            <v>36727</v>
          </cell>
          <cell r="G491">
            <v>38553</v>
          </cell>
          <cell r="H491">
            <v>0</v>
          </cell>
          <cell r="I491">
            <v>30.78</v>
          </cell>
          <cell r="J491">
            <v>0.72</v>
          </cell>
          <cell r="K491">
            <v>4.95</v>
          </cell>
          <cell r="L491">
            <v>25.83</v>
          </cell>
          <cell r="M491" t="str">
            <v>东区</v>
          </cell>
        </row>
        <row r="492">
          <cell r="B492" t="str">
            <v>洪志华 Total</v>
          </cell>
          <cell r="L492">
            <v>25.83</v>
          </cell>
        </row>
        <row r="493">
          <cell r="A493" t="str">
            <v>200098</v>
          </cell>
          <cell r="B493" t="str">
            <v>洪滋润</v>
          </cell>
          <cell r="C493" t="str">
            <v>其它</v>
          </cell>
          <cell r="D493" t="str">
            <v>其它</v>
          </cell>
          <cell r="E493" t="str">
            <v>质押贷款</v>
          </cell>
          <cell r="F493">
            <v>37487</v>
          </cell>
          <cell r="G493">
            <v>37671</v>
          </cell>
          <cell r="H493">
            <v>0</v>
          </cell>
          <cell r="I493">
            <v>4.5</v>
          </cell>
          <cell r="J493">
            <v>0</v>
          </cell>
          <cell r="K493">
            <v>0</v>
          </cell>
          <cell r="L493">
            <v>4.5</v>
          </cell>
          <cell r="M493" t="str">
            <v>鹭江</v>
          </cell>
        </row>
        <row r="494">
          <cell r="A494" t="str">
            <v>200096</v>
          </cell>
          <cell r="B494" t="str">
            <v>洪滋润</v>
          </cell>
          <cell r="C494" t="str">
            <v>其它</v>
          </cell>
          <cell r="D494" t="str">
            <v>其它</v>
          </cell>
          <cell r="E494" t="str">
            <v>抵押贷款</v>
          </cell>
          <cell r="F494">
            <v>37498</v>
          </cell>
          <cell r="G494">
            <v>37863</v>
          </cell>
          <cell r="H494">
            <v>0</v>
          </cell>
          <cell r="I494">
            <v>25</v>
          </cell>
          <cell r="J494">
            <v>0</v>
          </cell>
          <cell r="K494">
            <v>0</v>
          </cell>
          <cell r="L494">
            <v>25</v>
          </cell>
          <cell r="M494" t="str">
            <v>鹭江</v>
          </cell>
        </row>
        <row r="495">
          <cell r="B495" t="str">
            <v>洪滋润 Total</v>
          </cell>
          <cell r="L495">
            <v>29.5</v>
          </cell>
        </row>
        <row r="496">
          <cell r="A496" t="str">
            <v>48073Q</v>
          </cell>
          <cell r="B496" t="str">
            <v>鸿宇公司</v>
          </cell>
          <cell r="C496" t="str">
            <v>国营</v>
          </cell>
          <cell r="D496" t="str">
            <v>商贸</v>
          </cell>
          <cell r="E496" t="str">
            <v>保证贷款</v>
          </cell>
          <cell r="F496">
            <v>36098</v>
          </cell>
          <cell r="G496">
            <v>36428</v>
          </cell>
          <cell r="H496">
            <v>0</v>
          </cell>
          <cell r="I496">
            <v>0</v>
          </cell>
          <cell r="J496">
            <v>0</v>
          </cell>
          <cell r="K496">
            <v>0</v>
          </cell>
          <cell r="L496">
            <v>133.46</v>
          </cell>
          <cell r="M496" t="str">
            <v>营业</v>
          </cell>
        </row>
        <row r="497">
          <cell r="B497" t="str">
            <v>鸿宇公司 Total</v>
          </cell>
          <cell r="L497">
            <v>133.46</v>
          </cell>
        </row>
        <row r="498">
          <cell r="A498" t="str">
            <v>020171</v>
          </cell>
          <cell r="B498" t="str">
            <v>胡红兵\罗帼芬</v>
          </cell>
          <cell r="C498" t="str">
            <v>住房</v>
          </cell>
          <cell r="D498" t="str">
            <v>其它</v>
          </cell>
          <cell r="E498" t="str">
            <v>抵押贷款</v>
          </cell>
          <cell r="F498">
            <v>37488</v>
          </cell>
          <cell r="G498">
            <v>42967</v>
          </cell>
          <cell r="H498">
            <v>0</v>
          </cell>
          <cell r="I498">
            <v>31</v>
          </cell>
          <cell r="J498">
            <v>0.12</v>
          </cell>
          <cell r="K498">
            <v>0.24</v>
          </cell>
          <cell r="L498">
            <v>30.76</v>
          </cell>
          <cell r="M498" t="str">
            <v>东区</v>
          </cell>
        </row>
        <row r="499">
          <cell r="B499" t="str">
            <v>胡红兵\罗帼芬 Total</v>
          </cell>
          <cell r="L499">
            <v>30.76</v>
          </cell>
        </row>
        <row r="500">
          <cell r="A500" t="str">
            <v>x02505</v>
          </cell>
          <cell r="B500" t="str">
            <v>胡美羡</v>
          </cell>
          <cell r="C500" t="str">
            <v>其它</v>
          </cell>
          <cell r="D500" t="str">
            <v>其它</v>
          </cell>
          <cell r="E500" t="str">
            <v>质押贷款</v>
          </cell>
          <cell r="F500">
            <v>37384</v>
          </cell>
          <cell r="G500">
            <v>37568</v>
          </cell>
          <cell r="H500">
            <v>0</v>
          </cell>
          <cell r="I500">
            <v>8.8000000000000007</v>
          </cell>
          <cell r="J500">
            <v>0</v>
          </cell>
          <cell r="K500">
            <v>0</v>
          </cell>
          <cell r="L500">
            <v>8.8000000000000007</v>
          </cell>
          <cell r="M500" t="str">
            <v>文滨</v>
          </cell>
        </row>
        <row r="501">
          <cell r="B501" t="str">
            <v>胡美羡 Total</v>
          </cell>
          <cell r="L501">
            <v>8.8000000000000007</v>
          </cell>
        </row>
        <row r="502">
          <cell r="A502" t="str">
            <v>020117</v>
          </cell>
          <cell r="B502" t="str">
            <v>胡明宝</v>
          </cell>
          <cell r="C502" t="str">
            <v>其它</v>
          </cell>
          <cell r="D502" t="str">
            <v>其它</v>
          </cell>
          <cell r="E502" t="str">
            <v>抵押贷款</v>
          </cell>
          <cell r="F502">
            <v>37296</v>
          </cell>
          <cell r="G502">
            <v>37658</v>
          </cell>
          <cell r="H502">
            <v>0</v>
          </cell>
          <cell r="I502">
            <v>21</v>
          </cell>
          <cell r="J502">
            <v>0</v>
          </cell>
          <cell r="K502">
            <v>0</v>
          </cell>
          <cell r="L502">
            <v>21</v>
          </cell>
          <cell r="M502" t="str">
            <v>东区</v>
          </cell>
        </row>
        <row r="503">
          <cell r="B503" t="str">
            <v>胡明宝 Total</v>
          </cell>
          <cell r="L503">
            <v>21</v>
          </cell>
        </row>
        <row r="504">
          <cell r="A504" t="str">
            <v>200037</v>
          </cell>
          <cell r="B504" t="str">
            <v>湖里储运</v>
          </cell>
          <cell r="C504" t="str">
            <v>集体</v>
          </cell>
          <cell r="D504" t="str">
            <v>商贸</v>
          </cell>
          <cell r="E504" t="str">
            <v>抵押贷款</v>
          </cell>
          <cell r="F504">
            <v>37397</v>
          </cell>
          <cell r="G504">
            <v>38007</v>
          </cell>
          <cell r="H504">
            <v>0</v>
          </cell>
          <cell r="I504">
            <v>32.24</v>
          </cell>
          <cell r="J504">
            <v>1.56</v>
          </cell>
          <cell r="K504">
            <v>7.73</v>
          </cell>
          <cell r="L504">
            <v>24.51</v>
          </cell>
          <cell r="M504" t="str">
            <v>新港</v>
          </cell>
        </row>
        <row r="505">
          <cell r="B505" t="str">
            <v>湖里储运 Total</v>
          </cell>
          <cell r="L505">
            <v>24.51</v>
          </cell>
        </row>
        <row r="506">
          <cell r="A506" t="str">
            <v>000009</v>
          </cell>
          <cell r="B506" t="str">
            <v>湖里工商企业发展总公</v>
          </cell>
          <cell r="C506" t="str">
            <v>集体</v>
          </cell>
          <cell r="D506" t="str">
            <v>其它</v>
          </cell>
          <cell r="E506" t="str">
            <v>保证贷款</v>
          </cell>
          <cell r="F506">
            <v>35793</v>
          </cell>
          <cell r="G506">
            <v>36005</v>
          </cell>
          <cell r="H506">
            <v>0</v>
          </cell>
          <cell r="I506">
            <v>0</v>
          </cell>
          <cell r="J506">
            <v>0</v>
          </cell>
          <cell r="K506">
            <v>0</v>
          </cell>
          <cell r="L506">
            <v>100</v>
          </cell>
          <cell r="M506" t="str">
            <v>思明</v>
          </cell>
        </row>
        <row r="507">
          <cell r="B507" t="str">
            <v>湖里工商企业发展总公 Total</v>
          </cell>
          <cell r="L507">
            <v>100</v>
          </cell>
        </row>
        <row r="508">
          <cell r="A508" t="str">
            <v>217013</v>
          </cell>
          <cell r="B508" t="str">
            <v>湖头米粉面制品厂</v>
          </cell>
          <cell r="C508" t="str">
            <v>集体</v>
          </cell>
          <cell r="D508" t="str">
            <v>工业</v>
          </cell>
          <cell r="E508" t="str">
            <v>保证贷款</v>
          </cell>
          <cell r="F508">
            <v>35439</v>
          </cell>
          <cell r="G508">
            <v>35712</v>
          </cell>
          <cell r="H508">
            <v>0</v>
          </cell>
          <cell r="I508">
            <v>0</v>
          </cell>
          <cell r="J508">
            <v>0</v>
          </cell>
          <cell r="K508">
            <v>0</v>
          </cell>
          <cell r="L508">
            <v>200</v>
          </cell>
          <cell r="M508" t="str">
            <v>同安</v>
          </cell>
        </row>
        <row r="509">
          <cell r="A509" t="str">
            <v>217148</v>
          </cell>
          <cell r="B509" t="str">
            <v>湖头米粉面制品厂</v>
          </cell>
          <cell r="C509" t="str">
            <v>集体</v>
          </cell>
          <cell r="D509" t="str">
            <v>工业</v>
          </cell>
          <cell r="E509" t="str">
            <v>抵押贷款</v>
          </cell>
          <cell r="F509">
            <v>35578</v>
          </cell>
          <cell r="G509">
            <v>35882</v>
          </cell>
          <cell r="H509">
            <v>0</v>
          </cell>
          <cell r="I509">
            <v>0</v>
          </cell>
          <cell r="J509">
            <v>0</v>
          </cell>
          <cell r="K509">
            <v>0</v>
          </cell>
          <cell r="L509">
            <v>200</v>
          </cell>
          <cell r="M509" t="str">
            <v>同安</v>
          </cell>
        </row>
        <row r="510">
          <cell r="B510" t="str">
            <v>湖头米粉面制品厂 Total</v>
          </cell>
          <cell r="L510">
            <v>400</v>
          </cell>
        </row>
        <row r="511">
          <cell r="A511" t="str">
            <v>217091</v>
          </cell>
          <cell r="B511" t="str">
            <v>湖头纸箱厂</v>
          </cell>
          <cell r="C511" t="str">
            <v>集体</v>
          </cell>
          <cell r="D511" t="str">
            <v>工业</v>
          </cell>
          <cell r="E511" t="str">
            <v>保证贷款</v>
          </cell>
          <cell r="F511">
            <v>35522</v>
          </cell>
          <cell r="G511">
            <v>35736</v>
          </cell>
          <cell r="H511">
            <v>0</v>
          </cell>
          <cell r="I511">
            <v>0</v>
          </cell>
          <cell r="J511">
            <v>0</v>
          </cell>
          <cell r="K511">
            <v>0</v>
          </cell>
          <cell r="L511">
            <v>100</v>
          </cell>
          <cell r="M511" t="str">
            <v>马巷</v>
          </cell>
        </row>
        <row r="512">
          <cell r="A512" t="str">
            <v>217162</v>
          </cell>
          <cell r="B512" t="str">
            <v>湖头纸箱厂</v>
          </cell>
          <cell r="C512" t="str">
            <v>集体</v>
          </cell>
          <cell r="D512" t="str">
            <v>工业</v>
          </cell>
          <cell r="E512" t="str">
            <v>保证贷款</v>
          </cell>
          <cell r="F512">
            <v>35580</v>
          </cell>
          <cell r="G512">
            <v>35825</v>
          </cell>
          <cell r="H512">
            <v>0</v>
          </cell>
          <cell r="I512">
            <v>0</v>
          </cell>
          <cell r="J512">
            <v>0</v>
          </cell>
          <cell r="K512">
            <v>0</v>
          </cell>
          <cell r="L512">
            <v>187.53</v>
          </cell>
          <cell r="M512" t="str">
            <v>马巷</v>
          </cell>
        </row>
        <row r="513">
          <cell r="B513" t="str">
            <v>湖头纸箱厂 Total</v>
          </cell>
          <cell r="L513">
            <v>287.52999999999997</v>
          </cell>
        </row>
        <row r="514">
          <cell r="A514" t="str">
            <v>100004</v>
          </cell>
          <cell r="B514" t="str">
            <v>华鼎动物保健品公司</v>
          </cell>
          <cell r="C514" t="str">
            <v>三资</v>
          </cell>
          <cell r="D514" t="str">
            <v>工业</v>
          </cell>
          <cell r="E514" t="str">
            <v>抵押贷款</v>
          </cell>
          <cell r="F514">
            <v>37400</v>
          </cell>
          <cell r="G514">
            <v>37765</v>
          </cell>
          <cell r="H514">
            <v>70</v>
          </cell>
          <cell r="I514">
            <v>70</v>
          </cell>
          <cell r="J514">
            <v>0</v>
          </cell>
          <cell r="K514">
            <v>0</v>
          </cell>
          <cell r="L514">
            <v>70</v>
          </cell>
          <cell r="M514" t="str">
            <v>松柏</v>
          </cell>
        </row>
        <row r="515">
          <cell r="B515" t="str">
            <v>华鼎动物保健品公司 Total</v>
          </cell>
          <cell r="L515">
            <v>70</v>
          </cell>
        </row>
        <row r="516">
          <cell r="A516" t="str">
            <v>200207</v>
          </cell>
          <cell r="B516" t="str">
            <v>华丰面粉厂</v>
          </cell>
          <cell r="C516" t="str">
            <v>集体</v>
          </cell>
          <cell r="D516" t="str">
            <v>工业</v>
          </cell>
          <cell r="E516" t="str">
            <v>保证贷款</v>
          </cell>
          <cell r="F516">
            <v>37293</v>
          </cell>
          <cell r="G516">
            <v>37566</v>
          </cell>
          <cell r="H516">
            <v>0</v>
          </cell>
          <cell r="I516">
            <v>160</v>
          </cell>
          <cell r="J516">
            <v>0</v>
          </cell>
          <cell r="K516">
            <v>0</v>
          </cell>
          <cell r="L516">
            <v>160</v>
          </cell>
          <cell r="M516" t="str">
            <v>马巷</v>
          </cell>
        </row>
        <row r="517">
          <cell r="B517" t="str">
            <v>华丰面粉厂 Total</v>
          </cell>
          <cell r="L517">
            <v>160</v>
          </cell>
        </row>
        <row r="518">
          <cell r="A518" t="str">
            <v>MX0213</v>
          </cell>
          <cell r="B518" t="str">
            <v>华丰面粉有限公司</v>
          </cell>
          <cell r="C518" t="str">
            <v>其它</v>
          </cell>
          <cell r="D518" t="str">
            <v>工业</v>
          </cell>
          <cell r="E518" t="str">
            <v>质押贷款</v>
          </cell>
          <cell r="F518">
            <v>37538</v>
          </cell>
          <cell r="G518">
            <v>37695</v>
          </cell>
          <cell r="H518">
            <v>0</v>
          </cell>
          <cell r="I518">
            <v>30</v>
          </cell>
          <cell r="J518">
            <v>0</v>
          </cell>
          <cell r="K518">
            <v>0</v>
          </cell>
          <cell r="L518">
            <v>30</v>
          </cell>
          <cell r="M518" t="str">
            <v>马巷</v>
          </cell>
        </row>
        <row r="519">
          <cell r="A519" t="str">
            <v>MX0214</v>
          </cell>
          <cell r="B519" t="str">
            <v>华丰面粉有限公司</v>
          </cell>
          <cell r="C519" t="str">
            <v>其它</v>
          </cell>
          <cell r="D519" t="str">
            <v>工业</v>
          </cell>
          <cell r="E519" t="str">
            <v>质押贷款</v>
          </cell>
          <cell r="F519">
            <v>37546</v>
          </cell>
          <cell r="G519">
            <v>37695</v>
          </cell>
          <cell r="H519">
            <v>0</v>
          </cell>
          <cell r="I519">
            <v>56</v>
          </cell>
          <cell r="J519">
            <v>0</v>
          </cell>
          <cell r="K519">
            <v>0</v>
          </cell>
          <cell r="L519">
            <v>56</v>
          </cell>
          <cell r="M519" t="str">
            <v>马巷</v>
          </cell>
        </row>
        <row r="520">
          <cell r="A520" t="str">
            <v>MX0212</v>
          </cell>
          <cell r="B520" t="str">
            <v>华丰面粉有限公司</v>
          </cell>
          <cell r="C520" t="str">
            <v>其它</v>
          </cell>
          <cell r="D520" t="str">
            <v>工业</v>
          </cell>
          <cell r="E520" t="str">
            <v>保证贷款</v>
          </cell>
          <cell r="F520">
            <v>37537</v>
          </cell>
          <cell r="G520">
            <v>37863</v>
          </cell>
          <cell r="H520">
            <v>0</v>
          </cell>
          <cell r="I520">
            <v>170</v>
          </cell>
          <cell r="J520">
            <v>0</v>
          </cell>
          <cell r="K520">
            <v>0</v>
          </cell>
          <cell r="L520">
            <v>170</v>
          </cell>
          <cell r="M520" t="str">
            <v>马巷</v>
          </cell>
        </row>
        <row r="521">
          <cell r="A521" t="str">
            <v>M02004</v>
          </cell>
          <cell r="B521" t="str">
            <v>华丰面粉有限公司</v>
          </cell>
          <cell r="C521" t="str">
            <v>其它</v>
          </cell>
          <cell r="D521" t="str">
            <v>工业</v>
          </cell>
          <cell r="E521" t="str">
            <v>保证贷款</v>
          </cell>
          <cell r="F521">
            <v>37449</v>
          </cell>
          <cell r="G521">
            <v>37784</v>
          </cell>
          <cell r="H521">
            <v>0</v>
          </cell>
          <cell r="I521">
            <v>300</v>
          </cell>
          <cell r="J521">
            <v>0</v>
          </cell>
          <cell r="K521">
            <v>0</v>
          </cell>
          <cell r="L521">
            <v>300</v>
          </cell>
          <cell r="M521" t="str">
            <v>马巷</v>
          </cell>
        </row>
        <row r="522">
          <cell r="A522" t="str">
            <v>M02002</v>
          </cell>
          <cell r="B522" t="str">
            <v>华丰面粉有限公司</v>
          </cell>
          <cell r="C522" t="str">
            <v>其它</v>
          </cell>
          <cell r="D522" t="str">
            <v>其它</v>
          </cell>
          <cell r="E522" t="str">
            <v>抵押贷款</v>
          </cell>
          <cell r="F522">
            <v>37434</v>
          </cell>
          <cell r="G522">
            <v>37738</v>
          </cell>
          <cell r="H522">
            <v>0</v>
          </cell>
          <cell r="I522">
            <v>230</v>
          </cell>
          <cell r="J522">
            <v>0</v>
          </cell>
          <cell r="K522">
            <v>0</v>
          </cell>
          <cell r="L522">
            <v>230</v>
          </cell>
          <cell r="M522" t="str">
            <v>马巷</v>
          </cell>
        </row>
        <row r="523">
          <cell r="B523" t="str">
            <v>华丰面粉有限公司 Total</v>
          </cell>
          <cell r="L523">
            <v>786</v>
          </cell>
        </row>
        <row r="524">
          <cell r="A524" t="str">
            <v>000204</v>
          </cell>
          <cell r="B524" t="str">
            <v>华联</v>
          </cell>
          <cell r="C524" t="str">
            <v>国营</v>
          </cell>
          <cell r="D524" t="str">
            <v>工业</v>
          </cell>
          <cell r="E524" t="str">
            <v>票据贴现</v>
          </cell>
          <cell r="F524">
            <v>37558</v>
          </cell>
          <cell r="G524">
            <v>37606</v>
          </cell>
          <cell r="H524">
            <v>50</v>
          </cell>
          <cell r="I524">
            <v>50</v>
          </cell>
          <cell r="J524">
            <v>0</v>
          </cell>
          <cell r="K524">
            <v>0</v>
          </cell>
          <cell r="L524">
            <v>50</v>
          </cell>
          <cell r="M524" t="str">
            <v>康乐</v>
          </cell>
        </row>
        <row r="525">
          <cell r="B525" t="str">
            <v>华联 Total</v>
          </cell>
          <cell r="L525">
            <v>50</v>
          </cell>
        </row>
        <row r="526">
          <cell r="A526" t="str">
            <v>000003</v>
          </cell>
          <cell r="B526" t="str">
            <v>华伦电力</v>
          </cell>
          <cell r="C526" t="str">
            <v>集体</v>
          </cell>
          <cell r="D526" t="str">
            <v>工业</v>
          </cell>
          <cell r="E526" t="str">
            <v>抵押贷款</v>
          </cell>
          <cell r="F526">
            <v>36192</v>
          </cell>
          <cell r="G526">
            <v>36404</v>
          </cell>
          <cell r="H526">
            <v>0</v>
          </cell>
          <cell r="I526">
            <v>0</v>
          </cell>
          <cell r="J526">
            <v>0</v>
          </cell>
          <cell r="K526">
            <v>0</v>
          </cell>
          <cell r="L526">
            <v>130</v>
          </cell>
          <cell r="M526" t="str">
            <v>思明</v>
          </cell>
        </row>
        <row r="527">
          <cell r="B527" t="str">
            <v>华伦电力 Total</v>
          </cell>
          <cell r="L527">
            <v>130</v>
          </cell>
        </row>
        <row r="528">
          <cell r="A528" t="str">
            <v>300173</v>
          </cell>
          <cell r="B528" t="str">
            <v>华纶纺织贸易有限公司</v>
          </cell>
          <cell r="C528" t="str">
            <v>集体</v>
          </cell>
          <cell r="D528" t="str">
            <v>商贸</v>
          </cell>
          <cell r="E528" t="str">
            <v>票据贴现</v>
          </cell>
          <cell r="F528">
            <v>37508</v>
          </cell>
          <cell r="G528">
            <v>37666</v>
          </cell>
          <cell r="H528">
            <v>0</v>
          </cell>
          <cell r="I528">
            <v>10</v>
          </cell>
          <cell r="J528">
            <v>0</v>
          </cell>
          <cell r="K528">
            <v>0</v>
          </cell>
          <cell r="L528">
            <v>10</v>
          </cell>
          <cell r="M528" t="str">
            <v>鹭江</v>
          </cell>
        </row>
        <row r="529">
          <cell r="A529" t="str">
            <v>300170</v>
          </cell>
          <cell r="B529" t="str">
            <v>华纶纺织贸易有限公司</v>
          </cell>
          <cell r="C529" t="str">
            <v>集体</v>
          </cell>
          <cell r="D529" t="str">
            <v>商贸</v>
          </cell>
          <cell r="E529" t="str">
            <v>票据贴现</v>
          </cell>
          <cell r="F529">
            <v>37508</v>
          </cell>
          <cell r="G529">
            <v>37677</v>
          </cell>
          <cell r="H529">
            <v>0</v>
          </cell>
          <cell r="I529">
            <v>20</v>
          </cell>
          <cell r="J529">
            <v>0</v>
          </cell>
          <cell r="K529">
            <v>0</v>
          </cell>
          <cell r="L529">
            <v>20</v>
          </cell>
          <cell r="M529" t="str">
            <v>鹭江</v>
          </cell>
        </row>
        <row r="530">
          <cell r="A530" t="str">
            <v>300169</v>
          </cell>
          <cell r="B530" t="str">
            <v>华纶纺织贸易有限公司</v>
          </cell>
          <cell r="C530" t="str">
            <v>集体</v>
          </cell>
          <cell r="D530" t="str">
            <v>商贸</v>
          </cell>
          <cell r="E530" t="str">
            <v>票据贴现</v>
          </cell>
          <cell r="F530">
            <v>37508</v>
          </cell>
          <cell r="G530">
            <v>37588</v>
          </cell>
          <cell r="H530">
            <v>0</v>
          </cell>
          <cell r="I530">
            <v>50</v>
          </cell>
          <cell r="J530">
            <v>0</v>
          </cell>
          <cell r="K530">
            <v>0</v>
          </cell>
          <cell r="L530">
            <v>50</v>
          </cell>
          <cell r="M530" t="str">
            <v>鹭江</v>
          </cell>
        </row>
        <row r="531">
          <cell r="A531" t="str">
            <v>300171</v>
          </cell>
          <cell r="B531" t="str">
            <v>华纶纺织贸易有限公司</v>
          </cell>
          <cell r="C531" t="str">
            <v>集体</v>
          </cell>
          <cell r="D531" t="str">
            <v>商贸</v>
          </cell>
          <cell r="E531" t="str">
            <v>票据贴现</v>
          </cell>
          <cell r="F531">
            <v>37508</v>
          </cell>
          <cell r="G531">
            <v>37670</v>
          </cell>
          <cell r="H531">
            <v>0</v>
          </cell>
          <cell r="I531">
            <v>50</v>
          </cell>
          <cell r="J531">
            <v>0</v>
          </cell>
          <cell r="K531">
            <v>0</v>
          </cell>
          <cell r="L531">
            <v>50</v>
          </cell>
          <cell r="M531" t="str">
            <v>鹭江</v>
          </cell>
        </row>
        <row r="532">
          <cell r="A532" t="str">
            <v>300172</v>
          </cell>
          <cell r="B532" t="str">
            <v>华纶纺织贸易有限公司</v>
          </cell>
          <cell r="C532" t="str">
            <v>集体</v>
          </cell>
          <cell r="D532" t="str">
            <v>商贸</v>
          </cell>
          <cell r="E532" t="str">
            <v>票据贴现</v>
          </cell>
          <cell r="F532">
            <v>37508</v>
          </cell>
          <cell r="G532">
            <v>37670</v>
          </cell>
          <cell r="H532">
            <v>0</v>
          </cell>
          <cell r="I532">
            <v>50</v>
          </cell>
          <cell r="J532">
            <v>0</v>
          </cell>
          <cell r="K532">
            <v>0</v>
          </cell>
          <cell r="L532">
            <v>50</v>
          </cell>
          <cell r="M532" t="str">
            <v>鹭江</v>
          </cell>
        </row>
        <row r="533">
          <cell r="A533" t="str">
            <v>300174</v>
          </cell>
          <cell r="B533" t="str">
            <v>华纶纺织贸易有限公司</v>
          </cell>
          <cell r="C533" t="str">
            <v>集体</v>
          </cell>
          <cell r="D533" t="str">
            <v>商贸</v>
          </cell>
          <cell r="E533" t="str">
            <v>票据贴现</v>
          </cell>
          <cell r="F533">
            <v>37508</v>
          </cell>
          <cell r="G533">
            <v>37670</v>
          </cell>
          <cell r="H533">
            <v>0</v>
          </cell>
          <cell r="I533">
            <v>100</v>
          </cell>
          <cell r="J533">
            <v>0</v>
          </cell>
          <cell r="K533">
            <v>0</v>
          </cell>
          <cell r="L533">
            <v>100</v>
          </cell>
          <cell r="M533" t="str">
            <v>鹭江</v>
          </cell>
        </row>
        <row r="534">
          <cell r="A534" t="str">
            <v>300175</v>
          </cell>
          <cell r="B534" t="str">
            <v>华纶纺织贸易有限公司</v>
          </cell>
          <cell r="C534" t="str">
            <v>集体</v>
          </cell>
          <cell r="D534" t="str">
            <v>商贸</v>
          </cell>
          <cell r="E534" t="str">
            <v>票据贴现</v>
          </cell>
          <cell r="F534">
            <v>37508</v>
          </cell>
          <cell r="G534">
            <v>37680</v>
          </cell>
          <cell r="H534">
            <v>0</v>
          </cell>
          <cell r="I534">
            <v>100</v>
          </cell>
          <cell r="J534">
            <v>0</v>
          </cell>
          <cell r="K534">
            <v>0</v>
          </cell>
          <cell r="L534">
            <v>100</v>
          </cell>
          <cell r="M534" t="str">
            <v>鹭江</v>
          </cell>
        </row>
        <row r="535">
          <cell r="A535" t="str">
            <v>300176</v>
          </cell>
          <cell r="B535" t="str">
            <v>华纶纺织贸易有限公司</v>
          </cell>
          <cell r="C535" t="str">
            <v>集体</v>
          </cell>
          <cell r="D535" t="str">
            <v>商贸</v>
          </cell>
          <cell r="E535" t="str">
            <v>票据贴现</v>
          </cell>
          <cell r="F535">
            <v>37508</v>
          </cell>
          <cell r="G535">
            <v>37680</v>
          </cell>
          <cell r="H535">
            <v>0</v>
          </cell>
          <cell r="I535">
            <v>100</v>
          </cell>
          <cell r="J535">
            <v>0</v>
          </cell>
          <cell r="K535">
            <v>0</v>
          </cell>
          <cell r="L535">
            <v>100</v>
          </cell>
          <cell r="M535" t="str">
            <v>鹭江</v>
          </cell>
        </row>
        <row r="536">
          <cell r="A536" t="str">
            <v>300177</v>
          </cell>
          <cell r="B536" t="str">
            <v>华纶纺织贸易有限公司</v>
          </cell>
          <cell r="C536" t="str">
            <v>集体</v>
          </cell>
          <cell r="D536" t="str">
            <v>商贸</v>
          </cell>
          <cell r="E536" t="str">
            <v>票据贴现</v>
          </cell>
          <cell r="F536">
            <v>37508</v>
          </cell>
          <cell r="G536">
            <v>37680</v>
          </cell>
          <cell r="H536">
            <v>0</v>
          </cell>
          <cell r="I536">
            <v>100</v>
          </cell>
          <cell r="J536">
            <v>0</v>
          </cell>
          <cell r="K536">
            <v>0</v>
          </cell>
          <cell r="L536">
            <v>100</v>
          </cell>
          <cell r="M536" t="str">
            <v>鹭江</v>
          </cell>
        </row>
        <row r="537">
          <cell r="A537" t="str">
            <v>300178</v>
          </cell>
          <cell r="B537" t="str">
            <v>华纶纺织贸易有限公司</v>
          </cell>
          <cell r="C537" t="str">
            <v>集体</v>
          </cell>
          <cell r="D537" t="str">
            <v>商贸</v>
          </cell>
          <cell r="E537" t="str">
            <v>票据贴现</v>
          </cell>
          <cell r="F537">
            <v>37508</v>
          </cell>
          <cell r="G537">
            <v>37680</v>
          </cell>
          <cell r="H537">
            <v>0</v>
          </cell>
          <cell r="I537">
            <v>100</v>
          </cell>
          <cell r="J537">
            <v>0</v>
          </cell>
          <cell r="K537">
            <v>0</v>
          </cell>
          <cell r="L537">
            <v>100</v>
          </cell>
          <cell r="M537" t="str">
            <v>鹭江</v>
          </cell>
        </row>
        <row r="538">
          <cell r="A538" t="str">
            <v>300179</v>
          </cell>
          <cell r="B538" t="str">
            <v>华纶纺织贸易有限公司</v>
          </cell>
          <cell r="C538" t="str">
            <v>集体</v>
          </cell>
          <cell r="D538" t="str">
            <v>商贸</v>
          </cell>
          <cell r="E538" t="str">
            <v>票据贴现</v>
          </cell>
          <cell r="F538">
            <v>37508</v>
          </cell>
          <cell r="G538">
            <v>37680</v>
          </cell>
          <cell r="H538">
            <v>0</v>
          </cell>
          <cell r="I538">
            <v>100</v>
          </cell>
          <cell r="J538">
            <v>0</v>
          </cell>
          <cell r="K538">
            <v>0</v>
          </cell>
          <cell r="L538">
            <v>100</v>
          </cell>
          <cell r="M538" t="str">
            <v>鹭江</v>
          </cell>
        </row>
        <row r="539">
          <cell r="B539" t="str">
            <v>华纶纺织贸易有限公司 Total</v>
          </cell>
          <cell r="L539">
            <v>780</v>
          </cell>
        </row>
        <row r="540">
          <cell r="A540" t="str">
            <v>021323</v>
          </cell>
          <cell r="B540" t="str">
            <v>华懋织造染整有限公司</v>
          </cell>
          <cell r="C540" t="str">
            <v>三资</v>
          </cell>
          <cell r="D540" t="str">
            <v>工业</v>
          </cell>
          <cell r="E540" t="str">
            <v>票据贴现</v>
          </cell>
          <cell r="F540">
            <v>37510</v>
          </cell>
          <cell r="G540">
            <v>37591</v>
          </cell>
          <cell r="H540">
            <v>0</v>
          </cell>
          <cell r="I540">
            <v>39.450000000000003</v>
          </cell>
          <cell r="J540">
            <v>0</v>
          </cell>
          <cell r="K540">
            <v>0</v>
          </cell>
          <cell r="L540">
            <v>39.450000000000003</v>
          </cell>
          <cell r="M540" t="str">
            <v>杏林</v>
          </cell>
        </row>
        <row r="541">
          <cell r="A541" t="str">
            <v>021325</v>
          </cell>
          <cell r="B541" t="str">
            <v>华懋织造染整有限公司</v>
          </cell>
          <cell r="C541" t="str">
            <v>三资</v>
          </cell>
          <cell r="D541" t="str">
            <v>工业</v>
          </cell>
          <cell r="E541" t="str">
            <v>票据贴现</v>
          </cell>
          <cell r="F541">
            <v>37547</v>
          </cell>
          <cell r="G541">
            <v>37623</v>
          </cell>
          <cell r="H541">
            <v>45</v>
          </cell>
          <cell r="I541">
            <v>45</v>
          </cell>
          <cell r="J541">
            <v>0</v>
          </cell>
          <cell r="K541">
            <v>0</v>
          </cell>
          <cell r="L541">
            <v>45</v>
          </cell>
          <cell r="M541" t="str">
            <v>杏林</v>
          </cell>
        </row>
        <row r="542">
          <cell r="A542" t="str">
            <v>021312</v>
          </cell>
          <cell r="B542" t="str">
            <v>华懋织造染整有限公司</v>
          </cell>
          <cell r="C542" t="str">
            <v>三资</v>
          </cell>
          <cell r="D542" t="str">
            <v>工业</v>
          </cell>
          <cell r="E542" t="str">
            <v>抵押贷款</v>
          </cell>
          <cell r="F542">
            <v>37510</v>
          </cell>
          <cell r="G542">
            <v>37632</v>
          </cell>
          <cell r="H542">
            <v>0</v>
          </cell>
          <cell r="I542">
            <v>8</v>
          </cell>
          <cell r="J542">
            <v>0</v>
          </cell>
          <cell r="K542">
            <v>0</v>
          </cell>
          <cell r="L542">
            <v>66.197599999999994</v>
          </cell>
          <cell r="M542" t="str">
            <v>杏林</v>
          </cell>
        </row>
        <row r="543">
          <cell r="A543" t="str">
            <v>021311</v>
          </cell>
          <cell r="B543" t="str">
            <v>华懋织造染整有限公司</v>
          </cell>
          <cell r="C543" t="str">
            <v>三资</v>
          </cell>
          <cell r="D543" t="str">
            <v>工业</v>
          </cell>
          <cell r="E543" t="str">
            <v>抵押贷款</v>
          </cell>
          <cell r="F543">
            <v>37491</v>
          </cell>
          <cell r="G543">
            <v>37856</v>
          </cell>
          <cell r="H543">
            <v>0</v>
          </cell>
          <cell r="I543">
            <v>50</v>
          </cell>
          <cell r="J543">
            <v>0</v>
          </cell>
          <cell r="K543">
            <v>0</v>
          </cell>
          <cell r="L543">
            <v>413.73500000000001</v>
          </cell>
          <cell r="M543" t="str">
            <v>杏林</v>
          </cell>
        </row>
        <row r="544">
          <cell r="A544" t="str">
            <v>021310</v>
          </cell>
          <cell r="B544" t="str">
            <v>华懋织造染整有限公司</v>
          </cell>
          <cell r="C544" t="str">
            <v>三资</v>
          </cell>
          <cell r="D544" t="str">
            <v>工业</v>
          </cell>
          <cell r="E544" t="str">
            <v>抵押贷款</v>
          </cell>
          <cell r="F544">
            <v>37474</v>
          </cell>
          <cell r="G544">
            <v>37747</v>
          </cell>
          <cell r="H544">
            <v>0</v>
          </cell>
          <cell r="I544">
            <v>50.37</v>
          </cell>
          <cell r="J544">
            <v>0</v>
          </cell>
          <cell r="K544">
            <v>0</v>
          </cell>
          <cell r="L544">
            <v>416.79663899999997</v>
          </cell>
          <cell r="M544" t="str">
            <v>杏林</v>
          </cell>
        </row>
        <row r="545">
          <cell r="B545" t="str">
            <v>华懋织造染整有限公司 Total</v>
          </cell>
          <cell r="L545">
            <v>981.17923900000005</v>
          </cell>
        </row>
        <row r="546">
          <cell r="A546" t="str">
            <v>01082</v>
          </cell>
          <cell r="B546" t="str">
            <v>华纳创新</v>
          </cell>
          <cell r="C546" t="str">
            <v>集体</v>
          </cell>
          <cell r="D546" t="str">
            <v>商贸</v>
          </cell>
          <cell r="E546" t="str">
            <v>抵押贷款</v>
          </cell>
          <cell r="F546">
            <v>37174</v>
          </cell>
          <cell r="G546">
            <v>37417</v>
          </cell>
          <cell r="H546">
            <v>0</v>
          </cell>
          <cell r="I546">
            <v>0</v>
          </cell>
          <cell r="J546">
            <v>0</v>
          </cell>
          <cell r="K546">
            <v>0</v>
          </cell>
          <cell r="L546">
            <v>250</v>
          </cell>
          <cell r="M546" t="str">
            <v>营业</v>
          </cell>
        </row>
        <row r="547">
          <cell r="A547" t="str">
            <v>01-078</v>
          </cell>
          <cell r="B547" t="str">
            <v>华纳创新</v>
          </cell>
          <cell r="C547" t="str">
            <v>集体</v>
          </cell>
          <cell r="D547" t="str">
            <v>商贸</v>
          </cell>
          <cell r="E547" t="str">
            <v>抵押贷款</v>
          </cell>
          <cell r="F547">
            <v>37164</v>
          </cell>
          <cell r="G547">
            <v>37374</v>
          </cell>
          <cell r="H547">
            <v>0</v>
          </cell>
          <cell r="I547">
            <v>0</v>
          </cell>
          <cell r="J547">
            <v>0</v>
          </cell>
          <cell r="K547">
            <v>0</v>
          </cell>
          <cell r="L547">
            <v>900</v>
          </cell>
          <cell r="M547" t="str">
            <v>营业</v>
          </cell>
        </row>
        <row r="548">
          <cell r="B548" t="str">
            <v>华纳创新 Total</v>
          </cell>
          <cell r="L548">
            <v>1150</v>
          </cell>
        </row>
        <row r="549">
          <cell r="A549" t="str">
            <v>200017</v>
          </cell>
          <cell r="B549" t="str">
            <v>华南行运输</v>
          </cell>
          <cell r="C549" t="str">
            <v>集体</v>
          </cell>
          <cell r="D549" t="str">
            <v>商贸</v>
          </cell>
          <cell r="E549" t="str">
            <v>抵押贷款</v>
          </cell>
          <cell r="F549">
            <v>37279</v>
          </cell>
          <cell r="G549">
            <v>38007</v>
          </cell>
          <cell r="H549">
            <v>0</v>
          </cell>
          <cell r="I549">
            <v>82.2</v>
          </cell>
          <cell r="J549">
            <v>3.35</v>
          </cell>
          <cell r="K549">
            <v>29.46</v>
          </cell>
          <cell r="L549">
            <v>52.74</v>
          </cell>
          <cell r="M549" t="str">
            <v>新港</v>
          </cell>
        </row>
        <row r="550">
          <cell r="B550" t="str">
            <v>华南行运输 Total</v>
          </cell>
          <cell r="L550">
            <v>52.74</v>
          </cell>
        </row>
        <row r="551">
          <cell r="A551" t="str">
            <v>300162</v>
          </cell>
          <cell r="B551" t="str">
            <v>华商贸易</v>
          </cell>
          <cell r="C551" t="str">
            <v>集体</v>
          </cell>
          <cell r="D551" t="str">
            <v>商贸</v>
          </cell>
          <cell r="E551" t="str">
            <v>票据贴现</v>
          </cell>
          <cell r="F551">
            <v>37487</v>
          </cell>
          <cell r="G551">
            <v>37565</v>
          </cell>
          <cell r="H551">
            <v>0</v>
          </cell>
          <cell r="I551">
            <v>15</v>
          </cell>
          <cell r="J551">
            <v>0</v>
          </cell>
          <cell r="K551">
            <v>0</v>
          </cell>
          <cell r="L551">
            <v>15</v>
          </cell>
          <cell r="M551" t="str">
            <v>鹭江</v>
          </cell>
        </row>
        <row r="552">
          <cell r="B552" t="str">
            <v>华商贸易 Total</v>
          </cell>
          <cell r="L552">
            <v>15</v>
          </cell>
        </row>
        <row r="553">
          <cell r="A553" t="str">
            <v>350837</v>
          </cell>
          <cell r="B553" t="str">
            <v>华洋彩印</v>
          </cell>
          <cell r="C553" t="str">
            <v>三资</v>
          </cell>
          <cell r="D553" t="str">
            <v>工业</v>
          </cell>
          <cell r="E553" t="str">
            <v>抵押贷款</v>
          </cell>
          <cell r="F553">
            <v>37468</v>
          </cell>
          <cell r="G553">
            <v>37833</v>
          </cell>
          <cell r="H553">
            <v>0</v>
          </cell>
          <cell r="I553">
            <v>300</v>
          </cell>
          <cell r="J553">
            <v>0</v>
          </cell>
          <cell r="K553">
            <v>200</v>
          </cell>
          <cell r="L553">
            <v>100</v>
          </cell>
          <cell r="M553" t="str">
            <v>湖里</v>
          </cell>
        </row>
        <row r="554">
          <cell r="A554" t="str">
            <v>350844</v>
          </cell>
          <cell r="B554" t="str">
            <v>华洋彩印</v>
          </cell>
          <cell r="C554" t="str">
            <v>三资</v>
          </cell>
          <cell r="D554" t="str">
            <v>工业</v>
          </cell>
          <cell r="E554" t="str">
            <v>保证贷款</v>
          </cell>
          <cell r="F554">
            <v>37475</v>
          </cell>
          <cell r="G554">
            <v>37840</v>
          </cell>
          <cell r="H554">
            <v>0</v>
          </cell>
          <cell r="I554">
            <v>100</v>
          </cell>
          <cell r="J554">
            <v>0</v>
          </cell>
          <cell r="K554">
            <v>0</v>
          </cell>
          <cell r="L554">
            <v>100</v>
          </cell>
          <cell r="M554" t="str">
            <v>湖里</v>
          </cell>
        </row>
        <row r="555">
          <cell r="A555" t="str">
            <v>350772</v>
          </cell>
          <cell r="B555" t="str">
            <v>华洋彩印</v>
          </cell>
          <cell r="C555" t="str">
            <v>三资</v>
          </cell>
          <cell r="D555" t="str">
            <v>工业</v>
          </cell>
          <cell r="E555" t="str">
            <v>保证贷款</v>
          </cell>
          <cell r="F555">
            <v>37406</v>
          </cell>
          <cell r="G555">
            <v>37590</v>
          </cell>
          <cell r="H555">
            <v>0</v>
          </cell>
          <cell r="I555">
            <v>300</v>
          </cell>
          <cell r="J555">
            <v>0</v>
          </cell>
          <cell r="K555">
            <v>0</v>
          </cell>
          <cell r="L555">
            <v>300</v>
          </cell>
          <cell r="M555" t="str">
            <v>湖里</v>
          </cell>
        </row>
        <row r="556">
          <cell r="B556" t="str">
            <v>华洋彩印 Total</v>
          </cell>
          <cell r="L556">
            <v>500</v>
          </cell>
        </row>
        <row r="557">
          <cell r="A557" t="str">
            <v>200135</v>
          </cell>
          <cell r="B557" t="str">
            <v>华业贸易公司</v>
          </cell>
          <cell r="C557" t="str">
            <v>集体</v>
          </cell>
          <cell r="D557" t="str">
            <v>商贸</v>
          </cell>
          <cell r="E557" t="str">
            <v>保证贷款</v>
          </cell>
          <cell r="F557">
            <v>37102</v>
          </cell>
          <cell r="G557">
            <v>37316</v>
          </cell>
          <cell r="H557">
            <v>0</v>
          </cell>
          <cell r="I557">
            <v>0</v>
          </cell>
          <cell r="J557">
            <v>0.6</v>
          </cell>
          <cell r="K557">
            <v>4.9400000000000004</v>
          </cell>
          <cell r="L557">
            <v>3.06</v>
          </cell>
          <cell r="M557" t="str">
            <v>同安</v>
          </cell>
        </row>
        <row r="558">
          <cell r="B558" t="str">
            <v>华业贸易公司 Total</v>
          </cell>
          <cell r="L558">
            <v>3.06</v>
          </cell>
        </row>
        <row r="559">
          <cell r="A559" t="str">
            <v>000103</v>
          </cell>
          <cell r="B559" t="str">
            <v>华英特</v>
          </cell>
          <cell r="C559" t="str">
            <v>其它</v>
          </cell>
          <cell r="D559" t="str">
            <v>其它</v>
          </cell>
          <cell r="E559" t="str">
            <v>保证贷款</v>
          </cell>
          <cell r="F559">
            <v>37468</v>
          </cell>
          <cell r="G559">
            <v>37652</v>
          </cell>
          <cell r="H559">
            <v>0</v>
          </cell>
          <cell r="I559">
            <v>17</v>
          </cell>
          <cell r="J559">
            <v>0</v>
          </cell>
          <cell r="K559">
            <v>0</v>
          </cell>
          <cell r="L559">
            <v>17</v>
          </cell>
          <cell r="M559" t="str">
            <v>康乐</v>
          </cell>
        </row>
        <row r="560">
          <cell r="B560" t="str">
            <v>华英特 Total</v>
          </cell>
          <cell r="L560">
            <v>17</v>
          </cell>
        </row>
        <row r="561">
          <cell r="A561" t="str">
            <v>help\\</v>
          </cell>
          <cell r="B561" t="str">
            <v>华友供应公司</v>
          </cell>
          <cell r="C561" t="str">
            <v>国营</v>
          </cell>
          <cell r="D561" t="str">
            <v>商贸</v>
          </cell>
          <cell r="E561" t="str">
            <v>保证贷款</v>
          </cell>
          <cell r="F561">
            <v>34746</v>
          </cell>
          <cell r="G561">
            <v>35110</v>
          </cell>
          <cell r="H561">
            <v>0</v>
          </cell>
          <cell r="I561">
            <v>0</v>
          </cell>
          <cell r="J561">
            <v>0</v>
          </cell>
          <cell r="K561">
            <v>0</v>
          </cell>
          <cell r="L561">
            <v>58</v>
          </cell>
          <cell r="M561" t="str">
            <v>公园</v>
          </cell>
        </row>
        <row r="562">
          <cell r="B562" t="str">
            <v>华友供应公司 Total</v>
          </cell>
          <cell r="L562">
            <v>58</v>
          </cell>
        </row>
        <row r="563">
          <cell r="A563" t="str">
            <v>250776</v>
          </cell>
          <cell r="B563" t="str">
            <v>华宇进出口</v>
          </cell>
          <cell r="C563" t="str">
            <v>集体</v>
          </cell>
          <cell r="D563" t="str">
            <v>商贸</v>
          </cell>
          <cell r="E563" t="str">
            <v>保证贷款</v>
          </cell>
          <cell r="F563">
            <v>37481</v>
          </cell>
          <cell r="G563">
            <v>37665</v>
          </cell>
          <cell r="H563">
            <v>0</v>
          </cell>
          <cell r="I563">
            <v>44.3</v>
          </cell>
          <cell r="J563">
            <v>0</v>
          </cell>
          <cell r="K563">
            <v>0</v>
          </cell>
          <cell r="L563">
            <v>44.3</v>
          </cell>
          <cell r="M563" t="str">
            <v>湖里</v>
          </cell>
        </row>
        <row r="564">
          <cell r="A564" t="str">
            <v>250760</v>
          </cell>
          <cell r="B564" t="str">
            <v>华宇进出口</v>
          </cell>
          <cell r="C564" t="str">
            <v>集体</v>
          </cell>
          <cell r="D564" t="str">
            <v>商贸</v>
          </cell>
          <cell r="E564" t="str">
            <v>保证贷款</v>
          </cell>
          <cell r="F564">
            <v>37449</v>
          </cell>
          <cell r="G564">
            <v>37633</v>
          </cell>
          <cell r="H564">
            <v>0</v>
          </cell>
          <cell r="I564">
            <v>44.7</v>
          </cell>
          <cell r="J564">
            <v>0</v>
          </cell>
          <cell r="K564">
            <v>0</v>
          </cell>
          <cell r="L564">
            <v>44.7</v>
          </cell>
          <cell r="M564" t="str">
            <v>湖里</v>
          </cell>
        </row>
        <row r="565">
          <cell r="A565" t="str">
            <v>250735</v>
          </cell>
          <cell r="B565" t="str">
            <v>华宇进出口</v>
          </cell>
          <cell r="C565" t="str">
            <v>集体</v>
          </cell>
          <cell r="D565" t="str">
            <v>商贸</v>
          </cell>
          <cell r="E565" t="str">
            <v>保证贷款</v>
          </cell>
          <cell r="F565">
            <v>37424</v>
          </cell>
          <cell r="G565">
            <v>37607</v>
          </cell>
          <cell r="H565">
            <v>0</v>
          </cell>
          <cell r="I565">
            <v>54</v>
          </cell>
          <cell r="J565">
            <v>0</v>
          </cell>
          <cell r="K565">
            <v>0</v>
          </cell>
          <cell r="L565">
            <v>54</v>
          </cell>
          <cell r="M565" t="str">
            <v>湖里</v>
          </cell>
        </row>
        <row r="566">
          <cell r="A566" t="str">
            <v>250722</v>
          </cell>
          <cell r="B566" t="str">
            <v>华宇进出口</v>
          </cell>
          <cell r="C566" t="str">
            <v>集体</v>
          </cell>
          <cell r="D566" t="str">
            <v>商贸</v>
          </cell>
          <cell r="E566" t="str">
            <v>保证贷款</v>
          </cell>
          <cell r="F566">
            <v>37406</v>
          </cell>
          <cell r="G566">
            <v>37590</v>
          </cell>
          <cell r="H566">
            <v>0</v>
          </cell>
          <cell r="I566">
            <v>104</v>
          </cell>
          <cell r="J566">
            <v>0</v>
          </cell>
          <cell r="K566">
            <v>32.83</v>
          </cell>
          <cell r="L566">
            <v>71.17</v>
          </cell>
          <cell r="M566" t="str">
            <v>湖里</v>
          </cell>
        </row>
        <row r="567">
          <cell r="A567" t="str">
            <v>250802</v>
          </cell>
          <cell r="B567" t="str">
            <v>华宇进出口</v>
          </cell>
          <cell r="C567" t="str">
            <v>集体</v>
          </cell>
          <cell r="D567" t="str">
            <v>商贸</v>
          </cell>
          <cell r="E567" t="str">
            <v>保证贷款</v>
          </cell>
          <cell r="F567">
            <v>37512</v>
          </cell>
          <cell r="G567">
            <v>37693</v>
          </cell>
          <cell r="H567">
            <v>0</v>
          </cell>
          <cell r="I567">
            <v>82</v>
          </cell>
          <cell r="J567">
            <v>0</v>
          </cell>
          <cell r="K567">
            <v>0</v>
          </cell>
          <cell r="L567">
            <v>82</v>
          </cell>
          <cell r="M567" t="str">
            <v>湖里</v>
          </cell>
        </row>
        <row r="568">
          <cell r="A568" t="str">
            <v>250433</v>
          </cell>
          <cell r="B568" t="str">
            <v>华宇进出口</v>
          </cell>
          <cell r="C568" t="str">
            <v>集体</v>
          </cell>
          <cell r="D568" t="str">
            <v>商贸</v>
          </cell>
          <cell r="E568" t="str">
            <v>抵押贷款</v>
          </cell>
          <cell r="F568">
            <v>37291</v>
          </cell>
          <cell r="G568">
            <v>37656</v>
          </cell>
          <cell r="H568">
            <v>0</v>
          </cell>
          <cell r="I568">
            <v>90</v>
          </cell>
          <cell r="J568">
            <v>0</v>
          </cell>
          <cell r="K568">
            <v>0</v>
          </cell>
          <cell r="L568">
            <v>90</v>
          </cell>
          <cell r="M568" t="str">
            <v>湖里</v>
          </cell>
        </row>
        <row r="569">
          <cell r="B569" t="str">
            <v>华宇进出口 Total</v>
          </cell>
          <cell r="L569">
            <v>386.17</v>
          </cell>
        </row>
        <row r="570">
          <cell r="A570" t="str">
            <v>800155</v>
          </cell>
          <cell r="B570" t="str">
            <v>欢乐园</v>
          </cell>
          <cell r="C570" t="str">
            <v>国营</v>
          </cell>
          <cell r="D570" t="str">
            <v>商贸</v>
          </cell>
          <cell r="E570" t="str">
            <v>抵押贷款</v>
          </cell>
          <cell r="F570">
            <v>36641</v>
          </cell>
          <cell r="G570">
            <v>36758</v>
          </cell>
          <cell r="H570">
            <v>0</v>
          </cell>
          <cell r="I570">
            <v>0</v>
          </cell>
          <cell r="J570">
            <v>0</v>
          </cell>
          <cell r="K570">
            <v>0</v>
          </cell>
          <cell r="L570">
            <v>200</v>
          </cell>
          <cell r="M570" t="str">
            <v>鹭江</v>
          </cell>
        </row>
        <row r="571">
          <cell r="B571" t="str">
            <v>欢乐园 Total</v>
          </cell>
          <cell r="L571">
            <v>200</v>
          </cell>
        </row>
        <row r="572">
          <cell r="A572" t="str">
            <v>96018</v>
          </cell>
          <cell r="B572" t="str">
            <v>环通集团公司</v>
          </cell>
          <cell r="C572" t="str">
            <v>国营</v>
          </cell>
          <cell r="D572" t="str">
            <v>商贸</v>
          </cell>
          <cell r="E572" t="str">
            <v>保证贷款</v>
          </cell>
          <cell r="F572">
            <v>35184</v>
          </cell>
          <cell r="G572">
            <v>35370</v>
          </cell>
          <cell r="H572">
            <v>0</v>
          </cell>
          <cell r="I572">
            <v>0</v>
          </cell>
          <cell r="J572">
            <v>0</v>
          </cell>
          <cell r="K572">
            <v>0</v>
          </cell>
          <cell r="L572">
            <v>200</v>
          </cell>
          <cell r="M572" t="str">
            <v>公园</v>
          </cell>
        </row>
        <row r="573">
          <cell r="B573" t="str">
            <v>环通集团公司 Total</v>
          </cell>
          <cell r="L573">
            <v>200</v>
          </cell>
        </row>
        <row r="574">
          <cell r="A574" t="str">
            <v>200001</v>
          </cell>
          <cell r="B574" t="str">
            <v>黄伯群</v>
          </cell>
          <cell r="C574" t="str">
            <v>住房</v>
          </cell>
          <cell r="D574" t="str">
            <v>其它</v>
          </cell>
          <cell r="E574" t="str">
            <v>抵押贷款</v>
          </cell>
          <cell r="F574">
            <v>36677</v>
          </cell>
          <cell r="G574">
            <v>40328</v>
          </cell>
          <cell r="H574">
            <v>0</v>
          </cell>
          <cell r="I574">
            <v>14.67</v>
          </cell>
          <cell r="J574">
            <v>0.12</v>
          </cell>
          <cell r="K574">
            <v>0.84</v>
          </cell>
          <cell r="L574">
            <v>13.83</v>
          </cell>
          <cell r="M574" t="str">
            <v>鹭江</v>
          </cell>
        </row>
        <row r="575">
          <cell r="B575" t="str">
            <v>黄伯群 Total</v>
          </cell>
          <cell r="L575">
            <v>13.83</v>
          </cell>
        </row>
        <row r="576">
          <cell r="A576" t="str">
            <v>gs0025</v>
          </cell>
          <cell r="B576" t="str">
            <v>黄典辉</v>
          </cell>
          <cell r="C576" t="str">
            <v>其它</v>
          </cell>
          <cell r="D576" t="str">
            <v>其它</v>
          </cell>
          <cell r="E576" t="str">
            <v>抵押贷款</v>
          </cell>
          <cell r="F576">
            <v>36927</v>
          </cell>
          <cell r="G576">
            <v>37230</v>
          </cell>
          <cell r="H576">
            <v>0</v>
          </cell>
          <cell r="I576">
            <v>160</v>
          </cell>
          <cell r="J576">
            <v>0</v>
          </cell>
          <cell r="K576">
            <v>0</v>
          </cell>
          <cell r="L576">
            <v>160</v>
          </cell>
          <cell r="M576" t="str">
            <v>公园</v>
          </cell>
        </row>
        <row r="577">
          <cell r="B577" t="str">
            <v>黄典辉 Total</v>
          </cell>
          <cell r="L577">
            <v>160</v>
          </cell>
        </row>
        <row r="578">
          <cell r="A578" t="str">
            <v>TGX039</v>
          </cell>
          <cell r="B578" t="str">
            <v>黄东跃</v>
          </cell>
          <cell r="C578" t="str">
            <v>其它</v>
          </cell>
          <cell r="D578" t="str">
            <v>其它</v>
          </cell>
          <cell r="E578" t="str">
            <v>信用贷款</v>
          </cell>
          <cell r="F578">
            <v>36840</v>
          </cell>
          <cell r="G578">
            <v>37580</v>
          </cell>
          <cell r="H578">
            <v>0</v>
          </cell>
          <cell r="I578">
            <v>0.86</v>
          </cell>
          <cell r="J578">
            <v>0.11</v>
          </cell>
          <cell r="K578">
            <v>0.75</v>
          </cell>
          <cell r="L578">
            <v>0.11</v>
          </cell>
          <cell r="M578" t="str">
            <v>同安</v>
          </cell>
        </row>
        <row r="579">
          <cell r="B579" t="str">
            <v>黄东跃 Total</v>
          </cell>
          <cell r="L579">
            <v>0.11</v>
          </cell>
        </row>
        <row r="580">
          <cell r="A580" t="str">
            <v>G00002</v>
          </cell>
          <cell r="B580" t="str">
            <v>黄放鸣</v>
          </cell>
          <cell r="C580" t="str">
            <v>其它</v>
          </cell>
          <cell r="D580" t="str">
            <v>其它</v>
          </cell>
          <cell r="E580" t="str">
            <v>信用贷款</v>
          </cell>
          <cell r="F580">
            <v>36829</v>
          </cell>
          <cell r="G580">
            <v>37580</v>
          </cell>
          <cell r="H580">
            <v>0</v>
          </cell>
          <cell r="I580">
            <v>1.04</v>
          </cell>
          <cell r="J580">
            <v>0.13</v>
          </cell>
          <cell r="K580">
            <v>0.91</v>
          </cell>
          <cell r="L580">
            <v>0.13</v>
          </cell>
          <cell r="M580" t="str">
            <v>营业</v>
          </cell>
        </row>
        <row r="581">
          <cell r="B581" t="str">
            <v>黄放鸣 Total</v>
          </cell>
          <cell r="L581">
            <v>0.13</v>
          </cell>
        </row>
        <row r="582">
          <cell r="A582" t="str">
            <v>923z49</v>
          </cell>
          <cell r="B582" t="str">
            <v>黄凤莲</v>
          </cell>
          <cell r="C582" t="str">
            <v>其它</v>
          </cell>
          <cell r="D582" t="str">
            <v>其它</v>
          </cell>
          <cell r="E582" t="str">
            <v>质押贷款</v>
          </cell>
          <cell r="F582">
            <v>37449</v>
          </cell>
          <cell r="G582">
            <v>37633</v>
          </cell>
          <cell r="H582">
            <v>0</v>
          </cell>
          <cell r="I582">
            <v>0.7</v>
          </cell>
          <cell r="J582">
            <v>0</v>
          </cell>
          <cell r="K582">
            <v>0</v>
          </cell>
          <cell r="L582">
            <v>0.7</v>
          </cell>
          <cell r="M582" t="str">
            <v>禾祥</v>
          </cell>
        </row>
        <row r="583">
          <cell r="B583" t="str">
            <v>黄凤莲 Total</v>
          </cell>
          <cell r="L583">
            <v>0.7</v>
          </cell>
        </row>
        <row r="584">
          <cell r="A584" t="str">
            <v>G00282</v>
          </cell>
          <cell r="B584" t="str">
            <v>黄高翔</v>
          </cell>
          <cell r="C584" t="str">
            <v>其它</v>
          </cell>
          <cell r="D584" t="str">
            <v>其它</v>
          </cell>
          <cell r="E584" t="str">
            <v>信用贷款</v>
          </cell>
          <cell r="F584">
            <v>36832</v>
          </cell>
          <cell r="G584">
            <v>37580</v>
          </cell>
          <cell r="H584">
            <v>0</v>
          </cell>
          <cell r="I584">
            <v>1.04</v>
          </cell>
          <cell r="J584">
            <v>0.13</v>
          </cell>
          <cell r="K584">
            <v>0.91</v>
          </cell>
          <cell r="L584">
            <v>0.13</v>
          </cell>
          <cell r="M584" t="str">
            <v>营业</v>
          </cell>
        </row>
        <row r="585">
          <cell r="B585" t="str">
            <v>黄高翔 Total</v>
          </cell>
          <cell r="L585">
            <v>0.13</v>
          </cell>
        </row>
        <row r="586">
          <cell r="A586" t="str">
            <v>500022</v>
          </cell>
          <cell r="B586" t="str">
            <v>黄洪光</v>
          </cell>
          <cell r="C586" t="str">
            <v>其它</v>
          </cell>
          <cell r="D586" t="str">
            <v>其它</v>
          </cell>
          <cell r="E586" t="str">
            <v>抵押贷款</v>
          </cell>
          <cell r="F586">
            <v>37503</v>
          </cell>
          <cell r="G586">
            <v>37868</v>
          </cell>
          <cell r="H586">
            <v>0</v>
          </cell>
          <cell r="I586">
            <v>19</v>
          </cell>
          <cell r="J586">
            <v>0</v>
          </cell>
          <cell r="K586">
            <v>0</v>
          </cell>
          <cell r="L586">
            <v>19</v>
          </cell>
          <cell r="M586" t="str">
            <v>新港</v>
          </cell>
        </row>
        <row r="587">
          <cell r="B587" t="str">
            <v>黄洪光 Total</v>
          </cell>
          <cell r="L587">
            <v>19</v>
          </cell>
        </row>
        <row r="588">
          <cell r="A588" t="str">
            <v>gs0051</v>
          </cell>
          <cell r="B588" t="str">
            <v>黄惠琼</v>
          </cell>
          <cell r="C588" t="str">
            <v>其它</v>
          </cell>
          <cell r="D588" t="str">
            <v>其它</v>
          </cell>
          <cell r="E588" t="str">
            <v>抵押贷款</v>
          </cell>
          <cell r="F588">
            <v>37460</v>
          </cell>
          <cell r="G588">
            <v>37824</v>
          </cell>
          <cell r="H588">
            <v>0</v>
          </cell>
          <cell r="I588">
            <v>35</v>
          </cell>
          <cell r="J588">
            <v>12</v>
          </cell>
          <cell r="K588">
            <v>12</v>
          </cell>
          <cell r="L588">
            <v>23</v>
          </cell>
          <cell r="M588" t="str">
            <v>公园</v>
          </cell>
        </row>
        <row r="589">
          <cell r="B589" t="str">
            <v>黄惠琼 Total</v>
          </cell>
          <cell r="L589">
            <v>23</v>
          </cell>
        </row>
        <row r="590">
          <cell r="A590" t="str">
            <v>020072</v>
          </cell>
          <cell r="B590" t="str">
            <v>黄家伟</v>
          </cell>
          <cell r="C590" t="str">
            <v>住房</v>
          </cell>
          <cell r="D590" t="str">
            <v>其它</v>
          </cell>
          <cell r="E590" t="str">
            <v>抵押贷款</v>
          </cell>
          <cell r="F590">
            <v>36614</v>
          </cell>
          <cell r="G590">
            <v>40266</v>
          </cell>
          <cell r="H590">
            <v>0</v>
          </cell>
          <cell r="I590">
            <v>32.26</v>
          </cell>
          <cell r="J590">
            <v>0.27</v>
          </cell>
          <cell r="K590">
            <v>1.9</v>
          </cell>
          <cell r="L590">
            <v>30.36</v>
          </cell>
          <cell r="M590" t="str">
            <v>东区</v>
          </cell>
        </row>
        <row r="591">
          <cell r="B591" t="str">
            <v>黄家伟 Total</v>
          </cell>
          <cell r="L591">
            <v>30.36</v>
          </cell>
        </row>
        <row r="592">
          <cell r="A592" t="str">
            <v>020187</v>
          </cell>
          <cell r="B592" t="str">
            <v>黄建通</v>
          </cell>
          <cell r="C592" t="str">
            <v>住房</v>
          </cell>
          <cell r="D592" t="str">
            <v>其它</v>
          </cell>
          <cell r="E592" t="str">
            <v>抵押贷款</v>
          </cell>
          <cell r="F592">
            <v>37503</v>
          </cell>
          <cell r="G592">
            <v>42982</v>
          </cell>
          <cell r="H592">
            <v>0</v>
          </cell>
          <cell r="I592">
            <v>33</v>
          </cell>
          <cell r="J592">
            <v>0.12</v>
          </cell>
          <cell r="K592">
            <v>0.12</v>
          </cell>
          <cell r="L592">
            <v>32.880000000000003</v>
          </cell>
          <cell r="M592" t="str">
            <v>东区</v>
          </cell>
        </row>
        <row r="593">
          <cell r="B593" t="str">
            <v>黄建通 Total</v>
          </cell>
          <cell r="L593">
            <v>32.880000000000003</v>
          </cell>
        </row>
        <row r="594">
          <cell r="A594" t="str">
            <v>023523</v>
          </cell>
          <cell r="B594" t="str">
            <v>黄金莲</v>
          </cell>
          <cell r="C594" t="str">
            <v>其它</v>
          </cell>
          <cell r="D594" t="str">
            <v>其它</v>
          </cell>
          <cell r="E594" t="str">
            <v>质押贷款</v>
          </cell>
          <cell r="F594">
            <v>37421</v>
          </cell>
          <cell r="G594">
            <v>37604</v>
          </cell>
          <cell r="H594">
            <v>0</v>
          </cell>
          <cell r="I594">
            <v>1</v>
          </cell>
          <cell r="J594">
            <v>0</v>
          </cell>
          <cell r="K594">
            <v>0</v>
          </cell>
          <cell r="L594">
            <v>1</v>
          </cell>
          <cell r="M594" t="str">
            <v>集美</v>
          </cell>
        </row>
        <row r="595">
          <cell r="B595" t="str">
            <v>黄金莲 Total</v>
          </cell>
          <cell r="L595">
            <v>1</v>
          </cell>
        </row>
        <row r="596">
          <cell r="A596" t="str">
            <v>000032</v>
          </cell>
          <cell r="B596" t="str">
            <v>黄金其</v>
          </cell>
          <cell r="C596" t="str">
            <v>其它</v>
          </cell>
          <cell r="D596" t="str">
            <v>其它</v>
          </cell>
          <cell r="E596" t="str">
            <v>抵押贷款</v>
          </cell>
          <cell r="F596">
            <v>37433</v>
          </cell>
          <cell r="G596">
            <v>37762</v>
          </cell>
          <cell r="H596">
            <v>0</v>
          </cell>
          <cell r="I596">
            <v>19</v>
          </cell>
          <cell r="J596">
            <v>0</v>
          </cell>
          <cell r="K596">
            <v>0</v>
          </cell>
          <cell r="L596">
            <v>19</v>
          </cell>
          <cell r="M596" t="str">
            <v>康乐</v>
          </cell>
        </row>
        <row r="597">
          <cell r="B597" t="str">
            <v>黄金其 Total</v>
          </cell>
          <cell r="L597">
            <v>19</v>
          </cell>
        </row>
        <row r="598">
          <cell r="A598" t="str">
            <v>020169</v>
          </cell>
          <cell r="B598" t="str">
            <v>黄锦彬</v>
          </cell>
          <cell r="C598" t="str">
            <v>住房</v>
          </cell>
          <cell r="D598" t="str">
            <v>其它</v>
          </cell>
          <cell r="E598" t="str">
            <v>抵押贷款</v>
          </cell>
          <cell r="F598">
            <v>37487</v>
          </cell>
          <cell r="G598">
            <v>42966</v>
          </cell>
          <cell r="H598">
            <v>0</v>
          </cell>
          <cell r="I598">
            <v>23</v>
          </cell>
          <cell r="J598">
            <v>0.09</v>
          </cell>
          <cell r="K598">
            <v>0.18</v>
          </cell>
          <cell r="L598">
            <v>22.82</v>
          </cell>
          <cell r="M598" t="str">
            <v>东区</v>
          </cell>
        </row>
        <row r="599">
          <cell r="B599" t="str">
            <v>黄锦彬 Total</v>
          </cell>
          <cell r="L599">
            <v>22.82</v>
          </cell>
        </row>
        <row r="600">
          <cell r="A600" t="str">
            <v>942006</v>
          </cell>
          <cell r="B600" t="str">
            <v>黄劲</v>
          </cell>
          <cell r="C600" t="str">
            <v>其它</v>
          </cell>
          <cell r="D600" t="str">
            <v>其它</v>
          </cell>
          <cell r="E600" t="str">
            <v>抵押贷款</v>
          </cell>
          <cell r="F600">
            <v>37285</v>
          </cell>
          <cell r="G600">
            <v>37650</v>
          </cell>
          <cell r="H600">
            <v>0</v>
          </cell>
          <cell r="I600">
            <v>10</v>
          </cell>
          <cell r="J600">
            <v>0</v>
          </cell>
          <cell r="K600">
            <v>0</v>
          </cell>
          <cell r="L600">
            <v>10</v>
          </cell>
          <cell r="M600" t="str">
            <v>莲富</v>
          </cell>
        </row>
        <row r="601">
          <cell r="B601" t="str">
            <v>黄劲 Total</v>
          </cell>
          <cell r="L601">
            <v>10</v>
          </cell>
        </row>
        <row r="602">
          <cell r="A602" t="str">
            <v>G02051</v>
          </cell>
          <cell r="B602" t="str">
            <v>黄景敏</v>
          </cell>
          <cell r="C602" t="str">
            <v>其它</v>
          </cell>
          <cell r="D602" t="str">
            <v>其它</v>
          </cell>
          <cell r="E602" t="str">
            <v>质押贷款</v>
          </cell>
          <cell r="F602">
            <v>37539</v>
          </cell>
          <cell r="G602">
            <v>37721</v>
          </cell>
          <cell r="H602">
            <v>4.7</v>
          </cell>
          <cell r="I602">
            <v>4.7</v>
          </cell>
          <cell r="J602">
            <v>0</v>
          </cell>
          <cell r="K602">
            <v>0</v>
          </cell>
          <cell r="L602">
            <v>4.7</v>
          </cell>
          <cell r="M602" t="str">
            <v>营业</v>
          </cell>
        </row>
        <row r="603">
          <cell r="B603" t="str">
            <v>黄景敏 Total</v>
          </cell>
          <cell r="L603">
            <v>4.7</v>
          </cell>
        </row>
        <row r="604">
          <cell r="A604" t="str">
            <v>x02227</v>
          </cell>
          <cell r="B604" t="str">
            <v>黄聚金</v>
          </cell>
          <cell r="C604" t="str">
            <v>其它</v>
          </cell>
          <cell r="D604" t="str">
            <v>其它</v>
          </cell>
          <cell r="E604" t="str">
            <v>质押贷款</v>
          </cell>
          <cell r="F604">
            <v>37527</v>
          </cell>
          <cell r="G604">
            <v>37708</v>
          </cell>
          <cell r="H604">
            <v>0</v>
          </cell>
          <cell r="I604">
            <v>8.7100000000000009</v>
          </cell>
          <cell r="J604">
            <v>0</v>
          </cell>
          <cell r="K604">
            <v>0</v>
          </cell>
          <cell r="L604">
            <v>8.7100000000000009</v>
          </cell>
          <cell r="M604" t="str">
            <v>文滨</v>
          </cell>
        </row>
        <row r="605">
          <cell r="A605" t="str">
            <v>x02228</v>
          </cell>
          <cell r="B605" t="str">
            <v>黄聚金</v>
          </cell>
          <cell r="C605" t="str">
            <v>其它</v>
          </cell>
          <cell r="D605" t="str">
            <v>其它</v>
          </cell>
          <cell r="E605" t="str">
            <v>质押贷款</v>
          </cell>
          <cell r="F605">
            <v>37527</v>
          </cell>
          <cell r="G605">
            <v>37708</v>
          </cell>
          <cell r="H605">
            <v>0</v>
          </cell>
          <cell r="I605">
            <v>8.7100000000000009</v>
          </cell>
          <cell r="J605">
            <v>0</v>
          </cell>
          <cell r="K605">
            <v>0</v>
          </cell>
          <cell r="L605">
            <v>8.7100000000000009</v>
          </cell>
          <cell r="M605" t="str">
            <v>文滨</v>
          </cell>
        </row>
        <row r="606">
          <cell r="B606" t="str">
            <v>黄聚金 Total</v>
          </cell>
          <cell r="L606">
            <v>17.420000000000002</v>
          </cell>
        </row>
        <row r="607">
          <cell r="A607" t="str">
            <v>020081</v>
          </cell>
          <cell r="B607" t="str">
            <v>黄琼霞</v>
          </cell>
          <cell r="C607" t="str">
            <v>住房</v>
          </cell>
          <cell r="D607" t="str">
            <v>其它</v>
          </cell>
          <cell r="E607" t="str">
            <v>抵押贷款</v>
          </cell>
          <cell r="F607">
            <v>36662</v>
          </cell>
          <cell r="G607">
            <v>40314</v>
          </cell>
          <cell r="H607">
            <v>0</v>
          </cell>
          <cell r="I607">
            <v>22.25</v>
          </cell>
          <cell r="J607">
            <v>0.18</v>
          </cell>
          <cell r="K607">
            <v>1.26</v>
          </cell>
          <cell r="L607">
            <v>20.99</v>
          </cell>
          <cell r="M607" t="str">
            <v>东区</v>
          </cell>
        </row>
        <row r="608">
          <cell r="B608" t="str">
            <v>黄琼霞 Total</v>
          </cell>
          <cell r="L608">
            <v>20.99</v>
          </cell>
        </row>
        <row r="609">
          <cell r="A609" t="str">
            <v>000033</v>
          </cell>
          <cell r="B609" t="str">
            <v>黄书龙</v>
          </cell>
          <cell r="C609" t="str">
            <v>其它</v>
          </cell>
          <cell r="D609" t="str">
            <v>其它</v>
          </cell>
          <cell r="E609" t="str">
            <v>抵押贷款</v>
          </cell>
          <cell r="F609">
            <v>37441</v>
          </cell>
          <cell r="G609">
            <v>37792</v>
          </cell>
          <cell r="H609">
            <v>0</v>
          </cell>
          <cell r="I609">
            <v>29</v>
          </cell>
          <cell r="J609">
            <v>0</v>
          </cell>
          <cell r="K609">
            <v>0</v>
          </cell>
          <cell r="L609">
            <v>29</v>
          </cell>
          <cell r="M609" t="str">
            <v>康乐</v>
          </cell>
        </row>
        <row r="610">
          <cell r="B610" t="str">
            <v>黄书龙 Total</v>
          </cell>
          <cell r="L610">
            <v>29</v>
          </cell>
        </row>
        <row r="611">
          <cell r="A611" t="str">
            <v>020091</v>
          </cell>
          <cell r="B611" t="str">
            <v>黄素卿</v>
          </cell>
          <cell r="C611" t="str">
            <v>其它</v>
          </cell>
          <cell r="D611" t="str">
            <v>其它</v>
          </cell>
          <cell r="E611" t="str">
            <v>抵押贷款</v>
          </cell>
          <cell r="F611">
            <v>37141</v>
          </cell>
          <cell r="G611">
            <v>37475</v>
          </cell>
          <cell r="H611">
            <v>0</v>
          </cell>
          <cell r="I611">
            <v>7.5</v>
          </cell>
          <cell r="J611">
            <v>0</v>
          </cell>
          <cell r="K611">
            <v>1.53</v>
          </cell>
          <cell r="L611">
            <v>5.97</v>
          </cell>
          <cell r="M611" t="str">
            <v>东区</v>
          </cell>
        </row>
        <row r="612">
          <cell r="B612" t="str">
            <v>黄素卿 Total</v>
          </cell>
          <cell r="L612">
            <v>5.97</v>
          </cell>
        </row>
        <row r="613">
          <cell r="A613" t="str">
            <v>200103</v>
          </cell>
          <cell r="B613" t="str">
            <v>黄伟斌</v>
          </cell>
          <cell r="C613" t="str">
            <v>其它</v>
          </cell>
          <cell r="D613" t="str">
            <v>其它</v>
          </cell>
          <cell r="E613" t="str">
            <v>抵押贷款</v>
          </cell>
          <cell r="F613">
            <v>37558</v>
          </cell>
          <cell r="G613">
            <v>37923</v>
          </cell>
          <cell r="H613">
            <v>30</v>
          </cell>
          <cell r="I613">
            <v>30</v>
          </cell>
          <cell r="J613">
            <v>0</v>
          </cell>
          <cell r="K613">
            <v>0</v>
          </cell>
          <cell r="L613">
            <v>30</v>
          </cell>
          <cell r="M613" t="str">
            <v>鹭江</v>
          </cell>
        </row>
        <row r="614">
          <cell r="B614" t="str">
            <v>黄伟斌 Total</v>
          </cell>
          <cell r="L614">
            <v>30</v>
          </cell>
        </row>
        <row r="615">
          <cell r="A615" t="str">
            <v>200002</v>
          </cell>
          <cell r="B615" t="str">
            <v>黄文安</v>
          </cell>
          <cell r="C615" t="str">
            <v>住房</v>
          </cell>
          <cell r="D615" t="str">
            <v>其它</v>
          </cell>
          <cell r="E615" t="str">
            <v>抵押贷款</v>
          </cell>
          <cell r="F615">
            <v>36677</v>
          </cell>
          <cell r="G615">
            <v>40329</v>
          </cell>
          <cell r="H615">
            <v>0</v>
          </cell>
          <cell r="I615">
            <v>34.659999999999997</v>
          </cell>
          <cell r="J615">
            <v>0.28000000000000003</v>
          </cell>
          <cell r="K615">
            <v>1.91</v>
          </cell>
          <cell r="L615">
            <v>32.75</v>
          </cell>
          <cell r="M615" t="str">
            <v>鹭江</v>
          </cell>
        </row>
        <row r="616">
          <cell r="B616" t="str">
            <v>黄文安 Total</v>
          </cell>
          <cell r="L616">
            <v>32.75</v>
          </cell>
        </row>
        <row r="617">
          <cell r="A617" t="str">
            <v>300133</v>
          </cell>
          <cell r="B617" t="str">
            <v>黄亚杉</v>
          </cell>
          <cell r="C617" t="str">
            <v>其它</v>
          </cell>
          <cell r="D617" t="str">
            <v>其它</v>
          </cell>
          <cell r="E617" t="str">
            <v>质押贷款</v>
          </cell>
          <cell r="F617">
            <v>37414</v>
          </cell>
          <cell r="G617">
            <v>37597</v>
          </cell>
          <cell r="H617">
            <v>0</v>
          </cell>
          <cell r="I617">
            <v>4.2</v>
          </cell>
          <cell r="J617">
            <v>0</v>
          </cell>
          <cell r="K617">
            <v>0</v>
          </cell>
          <cell r="L617">
            <v>4.2</v>
          </cell>
          <cell r="M617" t="str">
            <v>鹭江</v>
          </cell>
        </row>
        <row r="618">
          <cell r="B618" t="str">
            <v>黄亚杉 Total</v>
          </cell>
          <cell r="L618">
            <v>4.2</v>
          </cell>
        </row>
        <row r="619">
          <cell r="A619" t="str">
            <v>023530</v>
          </cell>
          <cell r="B619" t="str">
            <v>黄一飞</v>
          </cell>
          <cell r="C619" t="str">
            <v>其它</v>
          </cell>
          <cell r="D619" t="str">
            <v>其它</v>
          </cell>
          <cell r="E619" t="str">
            <v>保证贷款</v>
          </cell>
          <cell r="F619">
            <v>37484</v>
          </cell>
          <cell r="G619">
            <v>37848</v>
          </cell>
          <cell r="H619">
            <v>0</v>
          </cell>
          <cell r="I619">
            <v>3</v>
          </cell>
          <cell r="J619">
            <v>0</v>
          </cell>
          <cell r="K619">
            <v>0</v>
          </cell>
          <cell r="L619">
            <v>3</v>
          </cell>
          <cell r="M619" t="str">
            <v>集美</v>
          </cell>
        </row>
        <row r="620">
          <cell r="B620" t="str">
            <v>黄一飞 Total</v>
          </cell>
          <cell r="L620">
            <v>3</v>
          </cell>
        </row>
        <row r="621">
          <cell r="A621" t="str">
            <v>G02016</v>
          </cell>
          <cell r="B621" t="str">
            <v>黄亦菁</v>
          </cell>
          <cell r="C621" t="str">
            <v>其它</v>
          </cell>
          <cell r="D621" t="str">
            <v>其它</v>
          </cell>
          <cell r="E621" t="str">
            <v>质押贷款</v>
          </cell>
          <cell r="F621">
            <v>37322</v>
          </cell>
          <cell r="G621">
            <v>37506</v>
          </cell>
          <cell r="H621">
            <v>0</v>
          </cell>
          <cell r="I621">
            <v>18.8</v>
          </cell>
          <cell r="J621">
            <v>0</v>
          </cell>
          <cell r="K621">
            <v>0</v>
          </cell>
          <cell r="L621">
            <v>18.8</v>
          </cell>
          <cell r="M621" t="str">
            <v>营业</v>
          </cell>
        </row>
        <row r="622">
          <cell r="B622" t="str">
            <v>黄亦菁 Total</v>
          </cell>
          <cell r="L622">
            <v>18.8</v>
          </cell>
        </row>
        <row r="623">
          <cell r="A623" t="str">
            <v>020042</v>
          </cell>
          <cell r="B623" t="str">
            <v>黄奕成</v>
          </cell>
          <cell r="C623" t="str">
            <v>住房</v>
          </cell>
          <cell r="D623" t="str">
            <v>其它</v>
          </cell>
          <cell r="E623" t="str">
            <v>抵押贷款</v>
          </cell>
          <cell r="F623">
            <v>36894</v>
          </cell>
          <cell r="G623">
            <v>40563</v>
          </cell>
          <cell r="H623">
            <v>0</v>
          </cell>
          <cell r="I623">
            <v>28.21</v>
          </cell>
          <cell r="J623">
            <v>0.21</v>
          </cell>
          <cell r="K623">
            <v>1.47</v>
          </cell>
          <cell r="L623">
            <v>26.74</v>
          </cell>
          <cell r="M623" t="str">
            <v>东区</v>
          </cell>
        </row>
        <row r="624">
          <cell r="B624" t="str">
            <v>黄奕成 Total</v>
          </cell>
          <cell r="L624">
            <v>26.74</v>
          </cell>
        </row>
        <row r="625">
          <cell r="A625" t="str">
            <v>000012</v>
          </cell>
          <cell r="B625" t="str">
            <v>黄玉莲</v>
          </cell>
          <cell r="C625" t="str">
            <v>其它</v>
          </cell>
          <cell r="D625" t="str">
            <v>其它</v>
          </cell>
          <cell r="E625" t="str">
            <v>抵押贷款</v>
          </cell>
          <cell r="F625">
            <v>37386</v>
          </cell>
          <cell r="G625">
            <v>37751</v>
          </cell>
          <cell r="H625">
            <v>0</v>
          </cell>
          <cell r="I625">
            <v>25</v>
          </cell>
          <cell r="J625">
            <v>0</v>
          </cell>
          <cell r="K625">
            <v>0</v>
          </cell>
          <cell r="L625">
            <v>25</v>
          </cell>
          <cell r="M625" t="str">
            <v>思明</v>
          </cell>
        </row>
        <row r="626">
          <cell r="B626" t="str">
            <v>黄玉莲 Total</v>
          </cell>
          <cell r="L626">
            <v>25</v>
          </cell>
        </row>
        <row r="627">
          <cell r="A627" t="str">
            <v>200017</v>
          </cell>
          <cell r="B627" t="str">
            <v>黄玉伟</v>
          </cell>
          <cell r="C627" t="str">
            <v>住房</v>
          </cell>
          <cell r="D627" t="str">
            <v>其它</v>
          </cell>
          <cell r="E627" t="str">
            <v>抵押贷款</v>
          </cell>
          <cell r="F627">
            <v>36970</v>
          </cell>
          <cell r="G627">
            <v>42449</v>
          </cell>
          <cell r="H627">
            <v>0</v>
          </cell>
          <cell r="I627">
            <v>27.73</v>
          </cell>
          <cell r="J627">
            <v>0.11</v>
          </cell>
          <cell r="K627">
            <v>0.78</v>
          </cell>
          <cell r="L627">
            <v>26.95</v>
          </cell>
          <cell r="M627" t="str">
            <v>鹭江</v>
          </cell>
        </row>
        <row r="628">
          <cell r="B628" t="str">
            <v>黄玉伟 Total</v>
          </cell>
          <cell r="L628">
            <v>26.95</v>
          </cell>
        </row>
        <row r="629">
          <cell r="A629" t="str">
            <v>550656</v>
          </cell>
          <cell r="B629" t="str">
            <v>黄元禧</v>
          </cell>
          <cell r="C629" t="str">
            <v>其它</v>
          </cell>
          <cell r="D629" t="str">
            <v>其它</v>
          </cell>
          <cell r="E629" t="str">
            <v>质押贷款</v>
          </cell>
          <cell r="F629">
            <v>37398</v>
          </cell>
          <cell r="G629">
            <v>37582</v>
          </cell>
          <cell r="H629">
            <v>0</v>
          </cell>
          <cell r="I629">
            <v>3.75</v>
          </cell>
          <cell r="J629">
            <v>0</v>
          </cell>
          <cell r="K629">
            <v>0</v>
          </cell>
          <cell r="L629">
            <v>3.75</v>
          </cell>
          <cell r="M629" t="str">
            <v>湖里</v>
          </cell>
        </row>
        <row r="630">
          <cell r="B630" t="str">
            <v>黄元禧 Total</v>
          </cell>
          <cell r="L630">
            <v>3.75</v>
          </cell>
        </row>
        <row r="631">
          <cell r="A631" t="str">
            <v>020019</v>
          </cell>
          <cell r="B631" t="str">
            <v>黄中淮</v>
          </cell>
          <cell r="C631" t="str">
            <v>住房</v>
          </cell>
          <cell r="D631" t="str">
            <v>其它</v>
          </cell>
          <cell r="E631" t="str">
            <v>抵押贷款</v>
          </cell>
          <cell r="F631">
            <v>36783</v>
          </cell>
          <cell r="G631">
            <v>40441</v>
          </cell>
          <cell r="H631">
            <v>0</v>
          </cell>
          <cell r="I631">
            <v>29.14</v>
          </cell>
          <cell r="J631">
            <v>0.23</v>
          </cell>
          <cell r="K631">
            <v>1.59</v>
          </cell>
          <cell r="L631">
            <v>27.55</v>
          </cell>
          <cell r="M631" t="str">
            <v>东区</v>
          </cell>
        </row>
        <row r="632">
          <cell r="B632" t="str">
            <v>黄中淮 Total</v>
          </cell>
          <cell r="L632">
            <v>27.55</v>
          </cell>
        </row>
        <row r="633">
          <cell r="A633" t="str">
            <v>000059</v>
          </cell>
          <cell r="B633" t="str">
            <v>汇盛</v>
          </cell>
          <cell r="C633" t="str">
            <v>国营</v>
          </cell>
          <cell r="D633" t="str">
            <v>其它</v>
          </cell>
          <cell r="E633" t="str">
            <v>保证贷款</v>
          </cell>
          <cell r="F633">
            <v>37341</v>
          </cell>
          <cell r="G633">
            <v>37706</v>
          </cell>
          <cell r="H633">
            <v>0</v>
          </cell>
          <cell r="I633">
            <v>200</v>
          </cell>
          <cell r="J633">
            <v>0</v>
          </cell>
          <cell r="K633">
            <v>0</v>
          </cell>
          <cell r="L633">
            <v>200</v>
          </cell>
          <cell r="M633" t="str">
            <v>康乐</v>
          </cell>
        </row>
        <row r="634">
          <cell r="A634" t="str">
            <v>000094</v>
          </cell>
          <cell r="B634" t="str">
            <v>汇盛</v>
          </cell>
          <cell r="C634" t="str">
            <v>国营</v>
          </cell>
          <cell r="D634" t="str">
            <v>其它</v>
          </cell>
          <cell r="E634" t="str">
            <v>保证贷款</v>
          </cell>
          <cell r="F634">
            <v>37418</v>
          </cell>
          <cell r="G634">
            <v>37783</v>
          </cell>
          <cell r="H634">
            <v>0</v>
          </cell>
          <cell r="I634">
            <v>300</v>
          </cell>
          <cell r="J634">
            <v>0</v>
          </cell>
          <cell r="K634">
            <v>0</v>
          </cell>
          <cell r="L634">
            <v>300</v>
          </cell>
          <cell r="M634" t="str">
            <v>康乐</v>
          </cell>
        </row>
        <row r="635">
          <cell r="A635" t="str">
            <v>000095</v>
          </cell>
          <cell r="B635" t="str">
            <v>汇盛</v>
          </cell>
          <cell r="C635" t="str">
            <v>国营</v>
          </cell>
          <cell r="D635" t="str">
            <v>其它</v>
          </cell>
          <cell r="E635" t="str">
            <v>保证贷款</v>
          </cell>
          <cell r="F635">
            <v>37435</v>
          </cell>
          <cell r="G635">
            <v>37800</v>
          </cell>
          <cell r="H635">
            <v>0</v>
          </cell>
          <cell r="I635">
            <v>500</v>
          </cell>
          <cell r="J635">
            <v>0</v>
          </cell>
          <cell r="K635">
            <v>0</v>
          </cell>
          <cell r="L635">
            <v>500</v>
          </cell>
          <cell r="M635" t="str">
            <v>康乐</v>
          </cell>
        </row>
        <row r="636">
          <cell r="B636" t="str">
            <v>汇盛 Total</v>
          </cell>
          <cell r="L636">
            <v>1000</v>
          </cell>
        </row>
        <row r="637">
          <cell r="A637" t="str">
            <v>200001</v>
          </cell>
          <cell r="B637" t="str">
            <v>汇元运输</v>
          </cell>
          <cell r="C637" t="str">
            <v>集体</v>
          </cell>
          <cell r="D637" t="str">
            <v>商贸</v>
          </cell>
          <cell r="E637" t="str">
            <v>抵押贷款</v>
          </cell>
          <cell r="F637">
            <v>37207</v>
          </cell>
          <cell r="G637">
            <v>37919</v>
          </cell>
          <cell r="H637">
            <v>0</v>
          </cell>
          <cell r="I637">
            <v>0</v>
          </cell>
          <cell r="J637">
            <v>1.55</v>
          </cell>
          <cell r="K637">
            <v>15.09</v>
          </cell>
          <cell r="L637">
            <v>19.329999999999998</v>
          </cell>
          <cell r="M637" t="str">
            <v>新港</v>
          </cell>
        </row>
        <row r="638">
          <cell r="B638" t="str">
            <v>汇元运输 Total</v>
          </cell>
          <cell r="L638">
            <v>19.329999999999998</v>
          </cell>
        </row>
        <row r="639">
          <cell r="A639" t="str">
            <v>070049</v>
          </cell>
          <cell r="B639" t="str">
            <v>汇源贸易公司</v>
          </cell>
          <cell r="C639" t="str">
            <v>国营</v>
          </cell>
          <cell r="D639" t="str">
            <v>商贸</v>
          </cell>
          <cell r="E639" t="str">
            <v>保证贷款</v>
          </cell>
          <cell r="F639">
            <v>37419</v>
          </cell>
          <cell r="G639">
            <v>37624</v>
          </cell>
          <cell r="H639">
            <v>0</v>
          </cell>
          <cell r="I639">
            <v>60</v>
          </cell>
          <cell r="J639">
            <v>0</v>
          </cell>
          <cell r="K639">
            <v>0</v>
          </cell>
          <cell r="L639">
            <v>60</v>
          </cell>
          <cell r="M639" t="str">
            <v>公园</v>
          </cell>
        </row>
        <row r="640">
          <cell r="B640" t="str">
            <v>汇源贸易公司 Total</v>
          </cell>
          <cell r="L640">
            <v>60</v>
          </cell>
        </row>
        <row r="641">
          <cell r="A641" t="str">
            <v>070062</v>
          </cell>
          <cell r="B641" t="str">
            <v>汇远公司</v>
          </cell>
          <cell r="C641" t="str">
            <v>国营</v>
          </cell>
          <cell r="D641" t="str">
            <v>商贸</v>
          </cell>
          <cell r="E641" t="str">
            <v>保证贷款</v>
          </cell>
          <cell r="F641">
            <v>37475</v>
          </cell>
          <cell r="G641">
            <v>37687</v>
          </cell>
          <cell r="H641">
            <v>0</v>
          </cell>
          <cell r="I641">
            <v>150</v>
          </cell>
          <cell r="J641">
            <v>0</v>
          </cell>
          <cell r="K641">
            <v>0</v>
          </cell>
          <cell r="L641">
            <v>150</v>
          </cell>
          <cell r="M641" t="str">
            <v>公园</v>
          </cell>
        </row>
        <row r="642">
          <cell r="B642" t="str">
            <v>汇远公司 Total</v>
          </cell>
          <cell r="L642">
            <v>150</v>
          </cell>
        </row>
        <row r="643">
          <cell r="A643" t="str">
            <v>01-086</v>
          </cell>
          <cell r="B643" t="str">
            <v>惠安驻厦建筑工</v>
          </cell>
          <cell r="C643" t="str">
            <v>集体</v>
          </cell>
          <cell r="D643" t="str">
            <v>其它</v>
          </cell>
          <cell r="E643" t="str">
            <v>抵押贷款</v>
          </cell>
          <cell r="F643">
            <v>37210</v>
          </cell>
          <cell r="G643">
            <v>37575</v>
          </cell>
          <cell r="H643">
            <v>0</v>
          </cell>
          <cell r="I643">
            <v>0</v>
          </cell>
          <cell r="J643">
            <v>0</v>
          </cell>
          <cell r="K643">
            <v>0</v>
          </cell>
          <cell r="L643">
            <v>180</v>
          </cell>
          <cell r="M643" t="str">
            <v>营业</v>
          </cell>
        </row>
        <row r="644">
          <cell r="B644" t="str">
            <v>惠安驻厦建筑工 Total</v>
          </cell>
          <cell r="L644">
            <v>180</v>
          </cell>
        </row>
        <row r="645">
          <cell r="A645" t="str">
            <v>200266</v>
          </cell>
          <cell r="B645" t="str">
            <v>惠尔康食品</v>
          </cell>
          <cell r="C645" t="str">
            <v>三资</v>
          </cell>
          <cell r="D645" t="str">
            <v>工业</v>
          </cell>
          <cell r="E645" t="str">
            <v>保证贷款</v>
          </cell>
          <cell r="F645">
            <v>37522</v>
          </cell>
          <cell r="G645">
            <v>37703</v>
          </cell>
          <cell r="H645">
            <v>0</v>
          </cell>
          <cell r="I645">
            <v>400</v>
          </cell>
          <cell r="J645">
            <v>0</v>
          </cell>
          <cell r="K645">
            <v>0</v>
          </cell>
          <cell r="L645">
            <v>400</v>
          </cell>
          <cell r="M645" t="str">
            <v>同安</v>
          </cell>
        </row>
        <row r="646">
          <cell r="B646" t="str">
            <v>惠尔康食品 Total</v>
          </cell>
          <cell r="L646">
            <v>400</v>
          </cell>
        </row>
        <row r="647">
          <cell r="A647" t="str">
            <v>200053</v>
          </cell>
          <cell r="B647" t="str">
            <v>惠元</v>
          </cell>
          <cell r="C647" t="str">
            <v>集体</v>
          </cell>
          <cell r="D647" t="str">
            <v>商贸</v>
          </cell>
          <cell r="E647" t="str">
            <v>抵押贷款</v>
          </cell>
          <cell r="F647">
            <v>37456</v>
          </cell>
          <cell r="G647">
            <v>38176</v>
          </cell>
          <cell r="H647">
            <v>0</v>
          </cell>
          <cell r="I647">
            <v>33.28</v>
          </cell>
          <cell r="J647">
            <v>1.32</v>
          </cell>
          <cell r="K647">
            <v>3.93</v>
          </cell>
          <cell r="L647">
            <v>29.35</v>
          </cell>
          <cell r="M647" t="str">
            <v>新港</v>
          </cell>
        </row>
        <row r="648">
          <cell r="B648" t="str">
            <v>惠元 Total</v>
          </cell>
          <cell r="L648">
            <v>29.35</v>
          </cell>
        </row>
        <row r="649">
          <cell r="A649" t="str">
            <v>300155</v>
          </cell>
          <cell r="B649" t="str">
            <v>霍晓滨</v>
          </cell>
          <cell r="C649" t="str">
            <v>其它</v>
          </cell>
          <cell r="D649" t="str">
            <v>其它</v>
          </cell>
          <cell r="E649" t="str">
            <v>质押贷款</v>
          </cell>
          <cell r="F649">
            <v>37482</v>
          </cell>
          <cell r="G649">
            <v>37666</v>
          </cell>
          <cell r="H649">
            <v>0</v>
          </cell>
          <cell r="I649">
            <v>10</v>
          </cell>
          <cell r="J649">
            <v>0</v>
          </cell>
          <cell r="K649">
            <v>0</v>
          </cell>
          <cell r="L649">
            <v>10</v>
          </cell>
          <cell r="M649" t="str">
            <v>鹭江</v>
          </cell>
        </row>
        <row r="650">
          <cell r="B650" t="str">
            <v>霍晓滨 Total</v>
          </cell>
          <cell r="L650">
            <v>10</v>
          </cell>
        </row>
        <row r="651">
          <cell r="A651" t="str">
            <v>000206</v>
          </cell>
          <cell r="B651" t="str">
            <v>及时雨</v>
          </cell>
          <cell r="C651" t="str">
            <v>其它</v>
          </cell>
          <cell r="D651" t="str">
            <v>其它</v>
          </cell>
          <cell r="E651" t="str">
            <v>票据贴现</v>
          </cell>
          <cell r="F651">
            <v>37547</v>
          </cell>
          <cell r="G651">
            <v>37589</v>
          </cell>
          <cell r="H651">
            <v>5</v>
          </cell>
          <cell r="I651">
            <v>5</v>
          </cell>
          <cell r="J651">
            <v>0</v>
          </cell>
          <cell r="K651">
            <v>0</v>
          </cell>
          <cell r="L651">
            <v>5</v>
          </cell>
          <cell r="M651" t="str">
            <v>康乐</v>
          </cell>
        </row>
        <row r="652">
          <cell r="B652" t="str">
            <v>及时雨 Total</v>
          </cell>
          <cell r="L652">
            <v>5</v>
          </cell>
        </row>
        <row r="653">
          <cell r="A653" t="str">
            <v>000115</v>
          </cell>
          <cell r="B653" t="str">
            <v>吉顺通</v>
          </cell>
          <cell r="C653" t="str">
            <v>其它</v>
          </cell>
          <cell r="D653" t="str">
            <v>其它</v>
          </cell>
          <cell r="E653" t="str">
            <v>抵押贷款</v>
          </cell>
          <cell r="F653">
            <v>37511</v>
          </cell>
          <cell r="G653">
            <v>38254</v>
          </cell>
          <cell r="H653">
            <v>0</v>
          </cell>
          <cell r="I653">
            <v>18.2</v>
          </cell>
          <cell r="J653">
            <v>0.72</v>
          </cell>
          <cell r="K653">
            <v>0.72</v>
          </cell>
          <cell r="L653">
            <v>17.48</v>
          </cell>
          <cell r="M653" t="str">
            <v>康乐</v>
          </cell>
        </row>
        <row r="654">
          <cell r="A654" t="str">
            <v>000089</v>
          </cell>
          <cell r="B654" t="str">
            <v>吉顺通</v>
          </cell>
          <cell r="C654" t="str">
            <v>其它</v>
          </cell>
          <cell r="D654" t="str">
            <v>其它</v>
          </cell>
          <cell r="E654" t="str">
            <v>抵押贷款</v>
          </cell>
          <cell r="F654">
            <v>37419</v>
          </cell>
          <cell r="G654">
            <v>37777</v>
          </cell>
          <cell r="H654">
            <v>0</v>
          </cell>
          <cell r="I654">
            <v>30</v>
          </cell>
          <cell r="J654">
            <v>2.4700000000000002</v>
          </cell>
          <cell r="K654">
            <v>9.7899999999999991</v>
          </cell>
          <cell r="L654">
            <v>20.21</v>
          </cell>
          <cell r="M654" t="str">
            <v>康乐</v>
          </cell>
        </row>
        <row r="655">
          <cell r="A655" t="str">
            <v>000074</v>
          </cell>
          <cell r="B655" t="str">
            <v>吉顺通</v>
          </cell>
          <cell r="C655" t="str">
            <v>其它</v>
          </cell>
          <cell r="D655" t="str">
            <v>其它</v>
          </cell>
          <cell r="E655" t="str">
            <v>抵押贷款</v>
          </cell>
          <cell r="F655">
            <v>37356</v>
          </cell>
          <cell r="G655">
            <v>38071</v>
          </cell>
          <cell r="H655">
            <v>0</v>
          </cell>
          <cell r="I655">
            <v>32</v>
          </cell>
          <cell r="J655">
            <v>1.35</v>
          </cell>
          <cell r="K655">
            <v>7.97</v>
          </cell>
          <cell r="L655">
            <v>24.03</v>
          </cell>
          <cell r="M655" t="str">
            <v>康乐</v>
          </cell>
        </row>
        <row r="656">
          <cell r="B656" t="str">
            <v>吉顺通 Total</v>
          </cell>
          <cell r="L656">
            <v>61.72</v>
          </cell>
        </row>
        <row r="657">
          <cell r="A657" t="str">
            <v>218047</v>
          </cell>
          <cell r="B657" t="str">
            <v>集丰农业技术服务部</v>
          </cell>
          <cell r="C657" t="str">
            <v>集体</v>
          </cell>
          <cell r="D657" t="str">
            <v>工业</v>
          </cell>
          <cell r="E657" t="str">
            <v>保证贷款</v>
          </cell>
          <cell r="F657">
            <v>35930</v>
          </cell>
          <cell r="G657">
            <v>36144</v>
          </cell>
          <cell r="H657">
            <v>0</v>
          </cell>
          <cell r="I657">
            <v>0</v>
          </cell>
          <cell r="J657">
            <v>0</v>
          </cell>
          <cell r="K657">
            <v>0</v>
          </cell>
          <cell r="L657">
            <v>25</v>
          </cell>
          <cell r="M657" t="str">
            <v>马巷</v>
          </cell>
        </row>
        <row r="658">
          <cell r="B658" t="str">
            <v>集丰农业技术服务部 Total</v>
          </cell>
          <cell r="L658">
            <v>25</v>
          </cell>
        </row>
        <row r="659">
          <cell r="A659" t="str">
            <v>011235</v>
          </cell>
          <cell r="B659" t="str">
            <v>集美建筑工程公司</v>
          </cell>
          <cell r="C659" t="str">
            <v>集体</v>
          </cell>
          <cell r="D659" t="str">
            <v>工业</v>
          </cell>
          <cell r="E659" t="str">
            <v>保证贷款</v>
          </cell>
          <cell r="F659">
            <v>37253</v>
          </cell>
          <cell r="G659">
            <v>37649</v>
          </cell>
          <cell r="H659">
            <v>0</v>
          </cell>
          <cell r="I659">
            <v>150</v>
          </cell>
          <cell r="J659">
            <v>0</v>
          </cell>
          <cell r="K659">
            <v>150</v>
          </cell>
          <cell r="L659">
            <v>150</v>
          </cell>
          <cell r="M659" t="str">
            <v>集美</v>
          </cell>
        </row>
        <row r="660">
          <cell r="A660" t="str">
            <v>011236</v>
          </cell>
          <cell r="B660" t="str">
            <v>集美建筑工程公司</v>
          </cell>
          <cell r="C660" t="str">
            <v>集体</v>
          </cell>
          <cell r="D660" t="str">
            <v>工业</v>
          </cell>
          <cell r="E660" t="str">
            <v>保证贷款</v>
          </cell>
          <cell r="F660">
            <v>37253</v>
          </cell>
          <cell r="G660">
            <v>37649</v>
          </cell>
          <cell r="H660">
            <v>0</v>
          </cell>
          <cell r="I660">
            <v>340</v>
          </cell>
          <cell r="J660">
            <v>0</v>
          </cell>
          <cell r="K660">
            <v>340</v>
          </cell>
          <cell r="L660">
            <v>340</v>
          </cell>
          <cell r="M660" t="str">
            <v>集美</v>
          </cell>
        </row>
        <row r="661">
          <cell r="B661" t="str">
            <v>集美建筑工程公司 Total</v>
          </cell>
          <cell r="L661">
            <v>490</v>
          </cell>
        </row>
        <row r="662">
          <cell r="A662" t="str">
            <v>971209</v>
          </cell>
          <cell r="B662" t="str">
            <v>集美冷冻厂</v>
          </cell>
          <cell r="C662" t="str">
            <v>集体</v>
          </cell>
          <cell r="D662" t="str">
            <v>工业</v>
          </cell>
          <cell r="E662" t="str">
            <v>保证贷款</v>
          </cell>
          <cell r="F662">
            <v>35580</v>
          </cell>
          <cell r="G662">
            <v>35825</v>
          </cell>
          <cell r="H662">
            <v>0</v>
          </cell>
          <cell r="I662">
            <v>0</v>
          </cell>
          <cell r="J662">
            <v>0</v>
          </cell>
          <cell r="K662">
            <v>3</v>
          </cell>
          <cell r="L662">
            <v>16.899999999999999</v>
          </cell>
          <cell r="M662" t="str">
            <v>集美</v>
          </cell>
        </row>
        <row r="663">
          <cell r="A663" t="str">
            <v>011229</v>
          </cell>
          <cell r="B663" t="str">
            <v>集美冷冻厂</v>
          </cell>
          <cell r="C663" t="str">
            <v>集体</v>
          </cell>
          <cell r="D663" t="str">
            <v>工业</v>
          </cell>
          <cell r="E663" t="str">
            <v>抵押贷款</v>
          </cell>
          <cell r="F663">
            <v>37139</v>
          </cell>
          <cell r="G663">
            <v>37504</v>
          </cell>
          <cell r="H663">
            <v>0</v>
          </cell>
          <cell r="I663">
            <v>0</v>
          </cell>
          <cell r="J663">
            <v>0</v>
          </cell>
          <cell r="K663">
            <v>0</v>
          </cell>
          <cell r="L663">
            <v>160</v>
          </cell>
          <cell r="M663" t="str">
            <v>集美</v>
          </cell>
        </row>
        <row r="664">
          <cell r="A664" t="str">
            <v>981202</v>
          </cell>
          <cell r="B664" t="str">
            <v>集美冷冻厂</v>
          </cell>
          <cell r="C664" t="str">
            <v>集体</v>
          </cell>
          <cell r="D664" t="str">
            <v>工业</v>
          </cell>
          <cell r="E664" t="str">
            <v>抵押贷款</v>
          </cell>
          <cell r="F664">
            <v>36027</v>
          </cell>
          <cell r="G664">
            <v>36392</v>
          </cell>
          <cell r="H664">
            <v>0</v>
          </cell>
          <cell r="I664">
            <v>0</v>
          </cell>
          <cell r="J664">
            <v>0</v>
          </cell>
          <cell r="K664">
            <v>0</v>
          </cell>
          <cell r="L664">
            <v>250</v>
          </cell>
          <cell r="M664" t="str">
            <v>集美</v>
          </cell>
        </row>
        <row r="665">
          <cell r="B665" t="str">
            <v>集美冷冻厂 Total</v>
          </cell>
          <cell r="L665">
            <v>426.9</v>
          </cell>
        </row>
        <row r="666">
          <cell r="A666" t="str">
            <v>971004</v>
          </cell>
          <cell r="B666" t="str">
            <v>集美区鸿兴贸易公司</v>
          </cell>
          <cell r="C666" t="str">
            <v>集体</v>
          </cell>
          <cell r="D666" t="str">
            <v>商贸</v>
          </cell>
          <cell r="E666" t="str">
            <v>保证贷款</v>
          </cell>
          <cell r="F666">
            <v>35535</v>
          </cell>
          <cell r="G666">
            <v>35748</v>
          </cell>
          <cell r="H666">
            <v>0</v>
          </cell>
          <cell r="I666">
            <v>0</v>
          </cell>
          <cell r="J666">
            <v>0</v>
          </cell>
          <cell r="K666">
            <v>0</v>
          </cell>
          <cell r="L666">
            <v>40</v>
          </cell>
          <cell r="M666" t="str">
            <v>集美</v>
          </cell>
        </row>
        <row r="667">
          <cell r="B667" t="str">
            <v>集美区鸿兴贸易公司 Total</v>
          </cell>
          <cell r="L667">
            <v>40</v>
          </cell>
        </row>
        <row r="668">
          <cell r="A668" t="str">
            <v>962213</v>
          </cell>
          <cell r="B668" t="str">
            <v>集美云泉建材公司</v>
          </cell>
          <cell r="C668" t="str">
            <v>集体</v>
          </cell>
          <cell r="D668" t="str">
            <v>商贸</v>
          </cell>
          <cell r="E668" t="str">
            <v>保证贷款</v>
          </cell>
          <cell r="F668">
            <v>35430</v>
          </cell>
          <cell r="G668">
            <v>35642</v>
          </cell>
          <cell r="H668">
            <v>0</v>
          </cell>
          <cell r="I668">
            <v>0</v>
          </cell>
          <cell r="J668">
            <v>0</v>
          </cell>
          <cell r="K668">
            <v>0</v>
          </cell>
          <cell r="L668">
            <v>15</v>
          </cell>
          <cell r="M668" t="str">
            <v>杏林</v>
          </cell>
        </row>
        <row r="669">
          <cell r="B669" t="str">
            <v>集美云泉建材公司 Total</v>
          </cell>
          <cell r="L669">
            <v>15</v>
          </cell>
        </row>
        <row r="670">
          <cell r="A670" t="str">
            <v>97001</v>
          </cell>
          <cell r="B670" t="str">
            <v>集友实业公司</v>
          </cell>
          <cell r="C670" t="str">
            <v>国营</v>
          </cell>
          <cell r="D670" t="str">
            <v>商贸</v>
          </cell>
          <cell r="E670" t="str">
            <v>保证贷款</v>
          </cell>
          <cell r="F670">
            <v>34171</v>
          </cell>
          <cell r="G670">
            <v>34262</v>
          </cell>
          <cell r="H670">
            <v>0</v>
          </cell>
          <cell r="I670">
            <v>0</v>
          </cell>
          <cell r="J670">
            <v>0</v>
          </cell>
          <cell r="K670">
            <v>0</v>
          </cell>
          <cell r="L670">
            <v>45</v>
          </cell>
          <cell r="M670" t="str">
            <v>公园</v>
          </cell>
        </row>
        <row r="671">
          <cell r="B671" t="str">
            <v>集友实业公司 Total</v>
          </cell>
          <cell r="L671">
            <v>45</v>
          </cell>
        </row>
        <row r="672">
          <cell r="A672" t="str">
            <v>020134</v>
          </cell>
          <cell r="B672" t="str">
            <v>计彦林</v>
          </cell>
          <cell r="C672" t="str">
            <v>其它</v>
          </cell>
          <cell r="D672" t="str">
            <v>其它</v>
          </cell>
          <cell r="E672" t="str">
            <v>保证贷款</v>
          </cell>
          <cell r="F672">
            <v>37376</v>
          </cell>
          <cell r="G672">
            <v>37741</v>
          </cell>
          <cell r="H672">
            <v>0</v>
          </cell>
          <cell r="I672">
            <v>10</v>
          </cell>
          <cell r="J672">
            <v>0</v>
          </cell>
          <cell r="K672">
            <v>0</v>
          </cell>
          <cell r="L672">
            <v>10</v>
          </cell>
          <cell r="M672" t="str">
            <v>东区</v>
          </cell>
        </row>
        <row r="673">
          <cell r="B673" t="str">
            <v>计彦林 Total</v>
          </cell>
          <cell r="L673">
            <v>10</v>
          </cell>
        </row>
        <row r="674">
          <cell r="A674" t="str">
            <v>G01055</v>
          </cell>
          <cell r="B674" t="str">
            <v>纪焕璋</v>
          </cell>
          <cell r="C674" t="str">
            <v>其它</v>
          </cell>
          <cell r="D674" t="str">
            <v>其它</v>
          </cell>
          <cell r="E674" t="str">
            <v>保证贷款</v>
          </cell>
          <cell r="F674">
            <v>37210</v>
          </cell>
          <cell r="G674">
            <v>37575</v>
          </cell>
          <cell r="H674">
            <v>0</v>
          </cell>
          <cell r="I674">
            <v>3</v>
          </cell>
          <cell r="J674">
            <v>0</v>
          </cell>
          <cell r="K674">
            <v>0</v>
          </cell>
          <cell r="L674">
            <v>3</v>
          </cell>
          <cell r="M674" t="str">
            <v>营业</v>
          </cell>
        </row>
        <row r="675">
          <cell r="B675" t="str">
            <v>纪焕璋 Total</v>
          </cell>
          <cell r="L675">
            <v>3</v>
          </cell>
        </row>
        <row r="676">
          <cell r="A676" t="str">
            <v>0083</v>
          </cell>
          <cell r="B676" t="str">
            <v>纪君</v>
          </cell>
          <cell r="C676" t="str">
            <v>其它</v>
          </cell>
          <cell r="D676" t="str">
            <v>其它</v>
          </cell>
          <cell r="E676" t="str">
            <v>质押贷款</v>
          </cell>
          <cell r="F676">
            <v>37459</v>
          </cell>
          <cell r="G676">
            <v>37643</v>
          </cell>
          <cell r="H676">
            <v>0</v>
          </cell>
          <cell r="I676">
            <v>28</v>
          </cell>
          <cell r="J676">
            <v>3</v>
          </cell>
          <cell r="K676">
            <v>22.9</v>
          </cell>
          <cell r="L676">
            <v>5.0999999999999996</v>
          </cell>
          <cell r="M676" t="str">
            <v>东芳</v>
          </cell>
        </row>
        <row r="677">
          <cell r="A677" t="str">
            <v>0092</v>
          </cell>
          <cell r="B677" t="str">
            <v>纪君</v>
          </cell>
          <cell r="C677" t="str">
            <v>其它</v>
          </cell>
          <cell r="D677" t="str">
            <v>其它</v>
          </cell>
          <cell r="E677" t="str">
            <v>质押贷款</v>
          </cell>
          <cell r="F677">
            <v>37522</v>
          </cell>
          <cell r="G677">
            <v>37612</v>
          </cell>
          <cell r="H677">
            <v>0</v>
          </cell>
          <cell r="I677">
            <v>20</v>
          </cell>
          <cell r="J677">
            <v>0</v>
          </cell>
          <cell r="K677">
            <v>0</v>
          </cell>
          <cell r="L677">
            <v>20</v>
          </cell>
          <cell r="M677" t="str">
            <v>东芳</v>
          </cell>
        </row>
        <row r="678">
          <cell r="B678" t="str">
            <v>纪君 Total</v>
          </cell>
          <cell r="L678">
            <v>25.1</v>
          </cell>
        </row>
        <row r="679">
          <cell r="A679" t="str">
            <v>020182</v>
          </cell>
          <cell r="B679" t="str">
            <v>纪云恩\邓红</v>
          </cell>
          <cell r="C679" t="str">
            <v>住房</v>
          </cell>
          <cell r="D679" t="str">
            <v>其它</v>
          </cell>
          <cell r="E679" t="str">
            <v>抵押贷款</v>
          </cell>
          <cell r="F679">
            <v>37525</v>
          </cell>
          <cell r="G679">
            <v>43004</v>
          </cell>
          <cell r="H679">
            <v>0</v>
          </cell>
          <cell r="I679">
            <v>30</v>
          </cell>
          <cell r="J679">
            <v>0.11</v>
          </cell>
          <cell r="K679">
            <v>0.11</v>
          </cell>
          <cell r="L679">
            <v>29.89</v>
          </cell>
          <cell r="M679" t="str">
            <v>东区</v>
          </cell>
        </row>
        <row r="680">
          <cell r="B680" t="str">
            <v>纪云恩\邓红 Total</v>
          </cell>
          <cell r="L680">
            <v>29.89</v>
          </cell>
        </row>
        <row r="681">
          <cell r="A681" t="str">
            <v>99024</v>
          </cell>
          <cell r="B681" t="str">
            <v>技术创新有限公司</v>
          </cell>
          <cell r="C681" t="str">
            <v>国营</v>
          </cell>
          <cell r="D681" t="str">
            <v>其它</v>
          </cell>
          <cell r="E681" t="str">
            <v>抵押贷款</v>
          </cell>
          <cell r="F681">
            <v>36341</v>
          </cell>
          <cell r="G681">
            <v>36705</v>
          </cell>
          <cell r="H681">
            <v>0</v>
          </cell>
          <cell r="I681">
            <v>0</v>
          </cell>
          <cell r="J681">
            <v>0</v>
          </cell>
          <cell r="K681">
            <v>0</v>
          </cell>
          <cell r="L681">
            <v>660</v>
          </cell>
          <cell r="M681" t="str">
            <v>文滨</v>
          </cell>
        </row>
        <row r="682">
          <cell r="B682" t="str">
            <v>技术创新有限公司 Total</v>
          </cell>
          <cell r="L682">
            <v>660</v>
          </cell>
        </row>
        <row r="683">
          <cell r="A683" t="str">
            <v>250825</v>
          </cell>
          <cell r="B683" t="str">
            <v>加利隆休闲用品</v>
          </cell>
          <cell r="C683" t="str">
            <v>集体</v>
          </cell>
          <cell r="D683" t="str">
            <v>工业</v>
          </cell>
          <cell r="E683" t="str">
            <v>票据贴现</v>
          </cell>
          <cell r="F683">
            <v>37552</v>
          </cell>
          <cell r="G683">
            <v>37590</v>
          </cell>
          <cell r="H683">
            <v>28.67</v>
          </cell>
          <cell r="I683">
            <v>28.67</v>
          </cell>
          <cell r="J683">
            <v>0</v>
          </cell>
          <cell r="K683">
            <v>0</v>
          </cell>
          <cell r="L683">
            <v>28.67</v>
          </cell>
          <cell r="M683" t="str">
            <v>湖里</v>
          </cell>
        </row>
        <row r="684">
          <cell r="B684" t="str">
            <v>加利隆休闲用品 Total</v>
          </cell>
          <cell r="L684">
            <v>28.67</v>
          </cell>
        </row>
        <row r="685">
          <cell r="A685" t="str">
            <v>100001</v>
          </cell>
          <cell r="B685" t="str">
            <v>佳益房地产开发公司</v>
          </cell>
          <cell r="C685" t="str">
            <v>集体</v>
          </cell>
          <cell r="D685" t="str">
            <v>其它</v>
          </cell>
          <cell r="E685" t="str">
            <v>抵押贷款</v>
          </cell>
          <cell r="F685">
            <v>36993</v>
          </cell>
          <cell r="G685">
            <v>37299</v>
          </cell>
          <cell r="H685">
            <v>0</v>
          </cell>
          <cell r="I685">
            <v>0</v>
          </cell>
          <cell r="J685">
            <v>0</v>
          </cell>
          <cell r="K685">
            <v>0</v>
          </cell>
          <cell r="L685">
            <v>130</v>
          </cell>
          <cell r="M685" t="str">
            <v>公园</v>
          </cell>
        </row>
        <row r="686">
          <cell r="A686" t="str">
            <v>200045</v>
          </cell>
          <cell r="B686" t="str">
            <v>佳益房地产开发公司</v>
          </cell>
          <cell r="C686" t="str">
            <v>集体</v>
          </cell>
          <cell r="D686" t="str">
            <v>其它</v>
          </cell>
          <cell r="E686" t="str">
            <v>抵押贷款</v>
          </cell>
          <cell r="F686">
            <v>36927</v>
          </cell>
          <cell r="G686">
            <v>37230</v>
          </cell>
          <cell r="H686">
            <v>0</v>
          </cell>
          <cell r="I686">
            <v>0</v>
          </cell>
          <cell r="J686">
            <v>0</v>
          </cell>
          <cell r="K686">
            <v>0</v>
          </cell>
          <cell r="L686">
            <v>1600</v>
          </cell>
          <cell r="M686" t="str">
            <v>公园</v>
          </cell>
        </row>
        <row r="687">
          <cell r="B687" t="str">
            <v>佳益房地产开发公司 Total</v>
          </cell>
          <cell r="L687">
            <v>1730</v>
          </cell>
        </row>
        <row r="688">
          <cell r="A688" t="str">
            <v>0116-3</v>
          </cell>
          <cell r="B688" t="str">
            <v>嘉华进出口</v>
          </cell>
          <cell r="C688" t="str">
            <v>外事</v>
          </cell>
          <cell r="D688" t="str">
            <v>商贸</v>
          </cell>
          <cell r="E688" t="str">
            <v>保证贷款</v>
          </cell>
          <cell r="F688">
            <v>37267</v>
          </cell>
          <cell r="G688">
            <v>37601</v>
          </cell>
          <cell r="H688">
            <v>0</v>
          </cell>
          <cell r="I688">
            <v>500</v>
          </cell>
          <cell r="J688">
            <v>0</v>
          </cell>
          <cell r="K688">
            <v>0</v>
          </cell>
          <cell r="L688">
            <v>500</v>
          </cell>
          <cell r="M688" t="str">
            <v>文滨</v>
          </cell>
        </row>
        <row r="689">
          <cell r="A689" t="str">
            <v>024003</v>
          </cell>
          <cell r="B689" t="str">
            <v>嘉华进出口</v>
          </cell>
          <cell r="C689" t="str">
            <v>外事</v>
          </cell>
          <cell r="D689" t="str">
            <v>商贸</v>
          </cell>
          <cell r="E689" t="str">
            <v>保证贷款</v>
          </cell>
          <cell r="F689">
            <v>37364</v>
          </cell>
          <cell r="G689">
            <v>37670</v>
          </cell>
          <cell r="H689">
            <v>0</v>
          </cell>
          <cell r="I689">
            <v>500</v>
          </cell>
          <cell r="J689">
            <v>0</v>
          </cell>
          <cell r="K689">
            <v>0</v>
          </cell>
          <cell r="L689">
            <v>500</v>
          </cell>
          <cell r="M689" t="str">
            <v>文滨</v>
          </cell>
        </row>
        <row r="690">
          <cell r="B690" t="str">
            <v>嘉华进出口 Total</v>
          </cell>
          <cell r="L690">
            <v>1000</v>
          </cell>
        </row>
        <row r="691">
          <cell r="A691" t="str">
            <v>961223</v>
          </cell>
          <cell r="B691" t="str">
            <v>建达水泥厂</v>
          </cell>
          <cell r="C691" t="str">
            <v>集体</v>
          </cell>
          <cell r="D691" t="str">
            <v>工业</v>
          </cell>
          <cell r="E691" t="str">
            <v>保证贷款</v>
          </cell>
          <cell r="F691">
            <v>35430</v>
          </cell>
          <cell r="G691">
            <v>35642</v>
          </cell>
          <cell r="H691">
            <v>0</v>
          </cell>
          <cell r="I691">
            <v>0</v>
          </cell>
          <cell r="J691">
            <v>0</v>
          </cell>
          <cell r="K691">
            <v>25.5</v>
          </cell>
          <cell r="L691">
            <v>144.5</v>
          </cell>
          <cell r="M691" t="str">
            <v>杏林</v>
          </cell>
        </row>
        <row r="692">
          <cell r="B692" t="str">
            <v>建达水泥厂 Total</v>
          </cell>
          <cell r="L692">
            <v>144.5</v>
          </cell>
        </row>
        <row r="693">
          <cell r="A693" t="str">
            <v>300185</v>
          </cell>
          <cell r="B693" t="str">
            <v>建发股份有限公司</v>
          </cell>
          <cell r="C693" t="str">
            <v>国营</v>
          </cell>
          <cell r="D693" t="str">
            <v>商贸</v>
          </cell>
          <cell r="E693" t="str">
            <v>票据贴现</v>
          </cell>
          <cell r="F693">
            <v>37526</v>
          </cell>
          <cell r="G693">
            <v>37616</v>
          </cell>
          <cell r="H693">
            <v>0</v>
          </cell>
          <cell r="I693">
            <v>120</v>
          </cell>
          <cell r="J693">
            <v>0</v>
          </cell>
          <cell r="K693">
            <v>0</v>
          </cell>
          <cell r="L693">
            <v>120</v>
          </cell>
          <cell r="M693" t="str">
            <v>鹭江</v>
          </cell>
        </row>
        <row r="694">
          <cell r="A694" t="str">
            <v>300186</v>
          </cell>
          <cell r="B694" t="str">
            <v>建发股份有限公司</v>
          </cell>
          <cell r="C694" t="str">
            <v>国营</v>
          </cell>
          <cell r="D694" t="str">
            <v>商贸</v>
          </cell>
          <cell r="E694" t="str">
            <v>票据贴现</v>
          </cell>
          <cell r="F694">
            <v>37527</v>
          </cell>
          <cell r="G694">
            <v>37641</v>
          </cell>
          <cell r="H694">
            <v>0</v>
          </cell>
          <cell r="I694">
            <v>200</v>
          </cell>
          <cell r="J694">
            <v>0</v>
          </cell>
          <cell r="K694">
            <v>0</v>
          </cell>
          <cell r="L694">
            <v>200</v>
          </cell>
          <cell r="M694" t="str">
            <v>鹭江</v>
          </cell>
        </row>
        <row r="695">
          <cell r="B695" t="str">
            <v>建发股份有限公司 Total</v>
          </cell>
          <cell r="L695">
            <v>320</v>
          </cell>
        </row>
        <row r="696">
          <cell r="A696" t="str">
            <v>350795</v>
          </cell>
          <cell r="B696" t="str">
            <v>建菱贸易</v>
          </cell>
          <cell r="C696" t="str">
            <v>三资</v>
          </cell>
          <cell r="D696" t="str">
            <v>工业</v>
          </cell>
          <cell r="E696" t="str">
            <v>质押贷款</v>
          </cell>
          <cell r="F696">
            <v>37431</v>
          </cell>
          <cell r="G696">
            <v>37611</v>
          </cell>
          <cell r="H696">
            <v>0</v>
          </cell>
          <cell r="I696">
            <v>5000</v>
          </cell>
          <cell r="J696">
            <v>0</v>
          </cell>
          <cell r="K696">
            <v>0</v>
          </cell>
          <cell r="L696">
            <v>5000</v>
          </cell>
          <cell r="M696" t="str">
            <v>湖里</v>
          </cell>
        </row>
        <row r="697">
          <cell r="B697" t="str">
            <v>建菱贸易 Total</v>
          </cell>
          <cell r="L697">
            <v>5000</v>
          </cell>
        </row>
        <row r="698">
          <cell r="A698" t="str">
            <v>000014</v>
          </cell>
          <cell r="B698" t="str">
            <v>建宁经济贸易公司</v>
          </cell>
          <cell r="C698" t="str">
            <v>集体</v>
          </cell>
          <cell r="D698" t="str">
            <v>商贸</v>
          </cell>
          <cell r="E698" t="str">
            <v>抵押贷款</v>
          </cell>
          <cell r="F698">
            <v>36042</v>
          </cell>
          <cell r="G698">
            <v>36251</v>
          </cell>
          <cell r="H698">
            <v>0</v>
          </cell>
          <cell r="I698">
            <v>0</v>
          </cell>
          <cell r="J698">
            <v>0</v>
          </cell>
          <cell r="K698">
            <v>0</v>
          </cell>
          <cell r="L698">
            <v>33.4</v>
          </cell>
          <cell r="M698" t="str">
            <v>思明</v>
          </cell>
        </row>
        <row r="699">
          <cell r="B699" t="str">
            <v>建宁经济贸易公司 Total</v>
          </cell>
          <cell r="L699">
            <v>33.4</v>
          </cell>
        </row>
        <row r="700">
          <cell r="A700" t="str">
            <v>000016</v>
          </cell>
          <cell r="B700" t="str">
            <v>江达发</v>
          </cell>
          <cell r="C700" t="str">
            <v>其它</v>
          </cell>
          <cell r="D700" t="str">
            <v>其它</v>
          </cell>
          <cell r="E700" t="str">
            <v>抵押贷款</v>
          </cell>
          <cell r="F700">
            <v>37344</v>
          </cell>
          <cell r="G700">
            <v>38073</v>
          </cell>
          <cell r="H700">
            <v>0</v>
          </cell>
          <cell r="I700">
            <v>40.799999999999997</v>
          </cell>
          <cell r="J700">
            <v>0</v>
          </cell>
          <cell r="K700">
            <v>9.6999999999999993</v>
          </cell>
          <cell r="L700">
            <v>31.1</v>
          </cell>
          <cell r="M700" t="str">
            <v>康乐</v>
          </cell>
        </row>
        <row r="701">
          <cell r="B701" t="str">
            <v>江达发 Total</v>
          </cell>
          <cell r="L701">
            <v>31.1</v>
          </cell>
        </row>
        <row r="702">
          <cell r="A702" t="str">
            <v>G02032</v>
          </cell>
          <cell r="B702" t="str">
            <v>江惠珍</v>
          </cell>
          <cell r="C702" t="str">
            <v>其它</v>
          </cell>
          <cell r="D702" t="str">
            <v>其它</v>
          </cell>
          <cell r="E702" t="str">
            <v>质押贷款</v>
          </cell>
          <cell r="F702">
            <v>37420</v>
          </cell>
          <cell r="G702">
            <v>37785</v>
          </cell>
          <cell r="H702">
            <v>0</v>
          </cell>
          <cell r="I702">
            <v>13</v>
          </cell>
          <cell r="J702">
            <v>0</v>
          </cell>
          <cell r="K702">
            <v>0</v>
          </cell>
          <cell r="L702">
            <v>13</v>
          </cell>
          <cell r="M702" t="str">
            <v>营业</v>
          </cell>
        </row>
        <row r="703">
          <cell r="B703" t="str">
            <v>江惠珍 Total</v>
          </cell>
          <cell r="L703">
            <v>13</v>
          </cell>
        </row>
        <row r="704">
          <cell r="A704" t="str">
            <v>250827</v>
          </cell>
          <cell r="B704" t="str">
            <v>江苏省太仓市苏晨塑业</v>
          </cell>
          <cell r="C704" t="str">
            <v>集体</v>
          </cell>
          <cell r="D704" t="str">
            <v>工业</v>
          </cell>
          <cell r="E704" t="str">
            <v>票据贴现</v>
          </cell>
          <cell r="F704">
            <v>37558</v>
          </cell>
          <cell r="G704">
            <v>37739</v>
          </cell>
          <cell r="H704">
            <v>200</v>
          </cell>
          <cell r="I704">
            <v>200</v>
          </cell>
          <cell r="J704">
            <v>0</v>
          </cell>
          <cell r="K704">
            <v>0</v>
          </cell>
          <cell r="L704">
            <v>200</v>
          </cell>
          <cell r="M704" t="str">
            <v>湖里</v>
          </cell>
        </row>
        <row r="705">
          <cell r="B705" t="str">
            <v>江苏省太仓市苏晨塑业 Total</v>
          </cell>
          <cell r="L705">
            <v>200</v>
          </cell>
        </row>
        <row r="706">
          <cell r="A706" t="str">
            <v>000035</v>
          </cell>
          <cell r="B706" t="str">
            <v>姜华</v>
          </cell>
          <cell r="C706" t="str">
            <v>其它</v>
          </cell>
          <cell r="D706" t="str">
            <v>其它</v>
          </cell>
          <cell r="E706" t="str">
            <v>抵押贷款</v>
          </cell>
          <cell r="F706">
            <v>37460</v>
          </cell>
          <cell r="G706">
            <v>37811</v>
          </cell>
          <cell r="H706">
            <v>0</v>
          </cell>
          <cell r="I706">
            <v>19</v>
          </cell>
          <cell r="J706">
            <v>0</v>
          </cell>
          <cell r="K706">
            <v>0</v>
          </cell>
          <cell r="L706">
            <v>19</v>
          </cell>
          <cell r="M706" t="str">
            <v>康乐</v>
          </cell>
        </row>
        <row r="707">
          <cell r="B707" t="str">
            <v>姜华 Total</v>
          </cell>
          <cell r="L707">
            <v>19</v>
          </cell>
        </row>
        <row r="708">
          <cell r="A708" t="str">
            <v>0052gb</v>
          </cell>
          <cell r="B708" t="str">
            <v>蒋明雁</v>
          </cell>
          <cell r="C708" t="str">
            <v>其它</v>
          </cell>
          <cell r="D708" t="str">
            <v>其它</v>
          </cell>
          <cell r="E708" t="str">
            <v>抵押贷款</v>
          </cell>
          <cell r="F708">
            <v>37131</v>
          </cell>
          <cell r="G708">
            <v>39688</v>
          </cell>
          <cell r="H708">
            <v>0</v>
          </cell>
          <cell r="I708">
            <v>136.32</v>
          </cell>
          <cell r="J708">
            <v>1.42</v>
          </cell>
          <cell r="K708">
            <v>11.09</v>
          </cell>
          <cell r="L708">
            <v>125.23</v>
          </cell>
          <cell r="M708" t="str">
            <v>厦禾</v>
          </cell>
        </row>
        <row r="709">
          <cell r="B709" t="str">
            <v>蒋明雁 Total</v>
          </cell>
          <cell r="L709">
            <v>125.23</v>
          </cell>
        </row>
        <row r="710">
          <cell r="A710" t="str">
            <v>023504</v>
          </cell>
          <cell r="B710" t="str">
            <v>蒋玉钦</v>
          </cell>
          <cell r="C710" t="str">
            <v>其它</v>
          </cell>
          <cell r="D710" t="str">
            <v>工业</v>
          </cell>
          <cell r="E710" t="str">
            <v>保证贷款</v>
          </cell>
          <cell r="F710">
            <v>37281</v>
          </cell>
          <cell r="G710">
            <v>37646</v>
          </cell>
          <cell r="H710">
            <v>0</v>
          </cell>
          <cell r="I710">
            <v>5</v>
          </cell>
          <cell r="J710">
            <v>0</v>
          </cell>
          <cell r="K710">
            <v>0</v>
          </cell>
          <cell r="L710">
            <v>5</v>
          </cell>
          <cell r="M710" t="str">
            <v>集美</v>
          </cell>
        </row>
        <row r="711">
          <cell r="B711" t="str">
            <v>蒋玉钦 Total</v>
          </cell>
          <cell r="L711">
            <v>5</v>
          </cell>
        </row>
        <row r="712">
          <cell r="A712" t="str">
            <v>300153</v>
          </cell>
          <cell r="B712" t="str">
            <v>金谷商场</v>
          </cell>
          <cell r="C712" t="str">
            <v>国营</v>
          </cell>
          <cell r="D712" t="str">
            <v>商贸</v>
          </cell>
          <cell r="E712" t="str">
            <v>保证贷款</v>
          </cell>
          <cell r="F712">
            <v>37498</v>
          </cell>
          <cell r="G712">
            <v>37802</v>
          </cell>
          <cell r="H712">
            <v>0</v>
          </cell>
          <cell r="I712">
            <v>40</v>
          </cell>
          <cell r="J712">
            <v>0</v>
          </cell>
          <cell r="K712">
            <v>0</v>
          </cell>
          <cell r="L712">
            <v>40</v>
          </cell>
          <cell r="M712" t="str">
            <v>鹭江</v>
          </cell>
        </row>
        <row r="713">
          <cell r="B713" t="str">
            <v>金谷商场 Total</v>
          </cell>
          <cell r="L713">
            <v>40</v>
          </cell>
        </row>
        <row r="714">
          <cell r="A714" t="str">
            <v>200042</v>
          </cell>
          <cell r="B714" t="str">
            <v>金海顺</v>
          </cell>
          <cell r="C714" t="str">
            <v>集体</v>
          </cell>
          <cell r="D714" t="str">
            <v>商贸</v>
          </cell>
          <cell r="E714" t="str">
            <v>抵押贷款</v>
          </cell>
          <cell r="F714">
            <v>37412</v>
          </cell>
          <cell r="G714">
            <v>37777</v>
          </cell>
          <cell r="H714">
            <v>0</v>
          </cell>
          <cell r="I714">
            <v>250</v>
          </cell>
          <cell r="J714">
            <v>0</v>
          </cell>
          <cell r="K714">
            <v>0</v>
          </cell>
          <cell r="L714">
            <v>250</v>
          </cell>
          <cell r="M714" t="str">
            <v>新港</v>
          </cell>
        </row>
        <row r="715">
          <cell r="B715" t="str">
            <v>金海顺 Total</v>
          </cell>
          <cell r="L715">
            <v>250</v>
          </cell>
        </row>
        <row r="716">
          <cell r="A716" t="str">
            <v>227196</v>
          </cell>
          <cell r="B716" t="str">
            <v>金煌实业有限公司</v>
          </cell>
          <cell r="C716" t="str">
            <v>集体</v>
          </cell>
          <cell r="D716" t="str">
            <v>商贸</v>
          </cell>
          <cell r="E716" t="str">
            <v>保证贷款</v>
          </cell>
          <cell r="F716">
            <v>35609</v>
          </cell>
          <cell r="G716">
            <v>35823</v>
          </cell>
          <cell r="H716">
            <v>0</v>
          </cell>
          <cell r="I716">
            <v>0</v>
          </cell>
          <cell r="J716">
            <v>0</v>
          </cell>
          <cell r="K716">
            <v>0</v>
          </cell>
          <cell r="L716">
            <v>278</v>
          </cell>
          <cell r="M716" t="str">
            <v>同安</v>
          </cell>
        </row>
        <row r="717">
          <cell r="B717" t="str">
            <v>金煌实业有限公司 Total</v>
          </cell>
          <cell r="L717">
            <v>278</v>
          </cell>
        </row>
        <row r="718">
          <cell r="A718" t="str">
            <v>98106A</v>
          </cell>
          <cell r="B718" t="str">
            <v>金科公司</v>
          </cell>
          <cell r="C718" t="str">
            <v>集体</v>
          </cell>
          <cell r="D718" t="str">
            <v>商贸</v>
          </cell>
          <cell r="E718" t="str">
            <v>保证贷款</v>
          </cell>
          <cell r="F718">
            <v>36241</v>
          </cell>
          <cell r="G718">
            <v>36256</v>
          </cell>
          <cell r="H718">
            <v>0</v>
          </cell>
          <cell r="I718">
            <v>0</v>
          </cell>
          <cell r="J718">
            <v>0</v>
          </cell>
          <cell r="K718">
            <v>0</v>
          </cell>
          <cell r="L718">
            <v>299.46139299999993</v>
          </cell>
          <cell r="M718" t="str">
            <v>营业</v>
          </cell>
        </row>
        <row r="719">
          <cell r="A719" t="str">
            <v>98106</v>
          </cell>
          <cell r="B719" t="str">
            <v>金科公司</v>
          </cell>
          <cell r="C719" t="str">
            <v>集体</v>
          </cell>
          <cell r="D719" t="str">
            <v>商贸</v>
          </cell>
          <cell r="E719" t="str">
            <v>保证贷款</v>
          </cell>
          <cell r="F719">
            <v>36083</v>
          </cell>
          <cell r="G719">
            <v>36098</v>
          </cell>
          <cell r="H719">
            <v>0</v>
          </cell>
          <cell r="I719">
            <v>0</v>
          </cell>
          <cell r="J719">
            <v>0</v>
          </cell>
          <cell r="K719">
            <v>0</v>
          </cell>
          <cell r="L719">
            <v>785.76551199999983</v>
          </cell>
          <cell r="M719" t="str">
            <v>营业</v>
          </cell>
        </row>
        <row r="720">
          <cell r="B720" t="str">
            <v>金科公司 Total</v>
          </cell>
          <cell r="L720">
            <v>1085.2269049999998</v>
          </cell>
        </row>
        <row r="721">
          <cell r="A721" t="str">
            <v>200166</v>
          </cell>
          <cell r="B721" t="str">
            <v>金英实业有限公司</v>
          </cell>
          <cell r="C721" t="str">
            <v>集体</v>
          </cell>
          <cell r="D721" t="str">
            <v>商贸</v>
          </cell>
          <cell r="E721" t="str">
            <v>保证贷款</v>
          </cell>
          <cell r="F721">
            <v>37225</v>
          </cell>
          <cell r="G721">
            <v>37588</v>
          </cell>
          <cell r="H721">
            <v>0</v>
          </cell>
          <cell r="I721">
            <v>0</v>
          </cell>
          <cell r="J721">
            <v>0</v>
          </cell>
          <cell r="K721">
            <v>0</v>
          </cell>
          <cell r="L721">
            <v>100</v>
          </cell>
          <cell r="M721" t="str">
            <v>马巷</v>
          </cell>
        </row>
        <row r="722">
          <cell r="A722" t="str">
            <v>200205</v>
          </cell>
          <cell r="B722" t="str">
            <v>金英实业有限公司</v>
          </cell>
          <cell r="C722" t="str">
            <v>集体</v>
          </cell>
          <cell r="D722" t="str">
            <v>商贸</v>
          </cell>
          <cell r="E722" t="str">
            <v>保证贷款</v>
          </cell>
          <cell r="F722">
            <v>37296</v>
          </cell>
          <cell r="G722">
            <v>37660</v>
          </cell>
          <cell r="H722">
            <v>0</v>
          </cell>
          <cell r="I722">
            <v>100</v>
          </cell>
          <cell r="J722">
            <v>0</v>
          </cell>
          <cell r="K722">
            <v>0</v>
          </cell>
          <cell r="L722">
            <v>100</v>
          </cell>
          <cell r="M722" t="str">
            <v>马巷</v>
          </cell>
        </row>
        <row r="723">
          <cell r="A723" t="str">
            <v>M02006</v>
          </cell>
          <cell r="B723" t="str">
            <v>金英实业有限公司</v>
          </cell>
          <cell r="C723" t="str">
            <v>三资</v>
          </cell>
          <cell r="D723" t="str">
            <v>其它</v>
          </cell>
          <cell r="E723" t="str">
            <v>保证贷款</v>
          </cell>
          <cell r="F723">
            <v>37456</v>
          </cell>
          <cell r="G723">
            <v>37640</v>
          </cell>
          <cell r="H723">
            <v>0</v>
          </cell>
          <cell r="I723">
            <v>52</v>
          </cell>
          <cell r="J723">
            <v>0</v>
          </cell>
          <cell r="K723">
            <v>0</v>
          </cell>
          <cell r="L723">
            <v>52</v>
          </cell>
          <cell r="M723" t="str">
            <v>马巷</v>
          </cell>
        </row>
        <row r="724">
          <cell r="B724" t="str">
            <v>金英实业有限公司 Total</v>
          </cell>
          <cell r="L724">
            <v>252</v>
          </cell>
        </row>
        <row r="725">
          <cell r="A725" t="str">
            <v>200238</v>
          </cell>
          <cell r="B725" t="str">
            <v>劲成贸易公司</v>
          </cell>
          <cell r="C725" t="str">
            <v>集体</v>
          </cell>
          <cell r="D725" t="str">
            <v>商贸</v>
          </cell>
          <cell r="E725" t="str">
            <v>保证贷款</v>
          </cell>
          <cell r="F725">
            <v>37393</v>
          </cell>
          <cell r="G725">
            <v>37669</v>
          </cell>
          <cell r="H725">
            <v>0</v>
          </cell>
          <cell r="I725">
            <v>80</v>
          </cell>
          <cell r="J725">
            <v>0</v>
          </cell>
          <cell r="K725">
            <v>0</v>
          </cell>
          <cell r="L725">
            <v>80</v>
          </cell>
          <cell r="M725" t="str">
            <v>同安</v>
          </cell>
        </row>
        <row r="726">
          <cell r="B726" t="str">
            <v>劲成贸易公司 Total</v>
          </cell>
          <cell r="L726">
            <v>80</v>
          </cell>
        </row>
        <row r="727">
          <cell r="A727" t="str">
            <v>300049</v>
          </cell>
          <cell r="B727" t="str">
            <v>进雄企业</v>
          </cell>
          <cell r="C727" t="str">
            <v>三资</v>
          </cell>
          <cell r="D727" t="str">
            <v>工业</v>
          </cell>
          <cell r="E727" t="str">
            <v>抵押贷款</v>
          </cell>
          <cell r="F727">
            <v>37546</v>
          </cell>
          <cell r="G727">
            <v>37727</v>
          </cell>
          <cell r="H727">
            <v>26</v>
          </cell>
          <cell r="I727">
            <v>26</v>
          </cell>
          <cell r="J727">
            <v>0</v>
          </cell>
          <cell r="K727">
            <v>0</v>
          </cell>
          <cell r="L727">
            <v>215.14219999999997</v>
          </cell>
          <cell r="M727" t="str">
            <v>湖里</v>
          </cell>
        </row>
        <row r="728">
          <cell r="A728" t="str">
            <v>300048</v>
          </cell>
          <cell r="B728" t="str">
            <v>进雄企业</v>
          </cell>
          <cell r="C728" t="str">
            <v>三资</v>
          </cell>
          <cell r="D728" t="str">
            <v>工业</v>
          </cell>
          <cell r="E728" t="str">
            <v>信用贷款</v>
          </cell>
          <cell r="F728">
            <v>37546</v>
          </cell>
          <cell r="G728">
            <v>37727</v>
          </cell>
          <cell r="H728">
            <v>274</v>
          </cell>
          <cell r="I728">
            <v>274</v>
          </cell>
          <cell r="J728">
            <v>0</v>
          </cell>
          <cell r="K728">
            <v>0</v>
          </cell>
          <cell r="L728">
            <v>2267.2677999999996</v>
          </cell>
          <cell r="M728" t="str">
            <v>湖里</v>
          </cell>
        </row>
        <row r="729">
          <cell r="B729" t="str">
            <v>进雄企业 Total</v>
          </cell>
          <cell r="L729">
            <v>2482.4099999999994</v>
          </cell>
        </row>
        <row r="730">
          <cell r="A730" t="str">
            <v>250818</v>
          </cell>
          <cell r="B730" t="str">
            <v>晋东物资</v>
          </cell>
          <cell r="C730" t="str">
            <v>集体</v>
          </cell>
          <cell r="D730" t="str">
            <v>商贸</v>
          </cell>
          <cell r="E730" t="str">
            <v>票据贴现</v>
          </cell>
          <cell r="F730">
            <v>37545</v>
          </cell>
          <cell r="G730">
            <v>37654</v>
          </cell>
          <cell r="H730">
            <v>545.49</v>
          </cell>
          <cell r="I730">
            <v>545.49</v>
          </cell>
          <cell r="J730">
            <v>0</v>
          </cell>
          <cell r="K730">
            <v>0</v>
          </cell>
          <cell r="L730">
            <v>545.49</v>
          </cell>
          <cell r="M730" t="str">
            <v>湖里</v>
          </cell>
        </row>
        <row r="731">
          <cell r="B731" t="str">
            <v>晋东物资 Total</v>
          </cell>
          <cell r="L731">
            <v>545.49</v>
          </cell>
        </row>
        <row r="732">
          <cell r="A732" t="str">
            <v>02/002</v>
          </cell>
          <cell r="B732" t="str">
            <v>京冶</v>
          </cell>
          <cell r="C732" t="str">
            <v>集体</v>
          </cell>
          <cell r="D732" t="str">
            <v>商贸</v>
          </cell>
          <cell r="E732" t="str">
            <v>保证贷款</v>
          </cell>
          <cell r="F732">
            <v>37527</v>
          </cell>
          <cell r="G732">
            <v>38258</v>
          </cell>
          <cell r="H732">
            <v>0</v>
          </cell>
          <cell r="I732">
            <v>30.3</v>
          </cell>
          <cell r="J732">
            <v>1.2</v>
          </cell>
          <cell r="K732">
            <v>1.2</v>
          </cell>
          <cell r="L732">
            <v>29.1</v>
          </cell>
          <cell r="M732" t="str">
            <v>营业</v>
          </cell>
        </row>
        <row r="733">
          <cell r="B733" t="str">
            <v>京冶 Total</v>
          </cell>
          <cell r="L733">
            <v>29.1</v>
          </cell>
        </row>
        <row r="734">
          <cell r="A734" t="str">
            <v>01027</v>
          </cell>
          <cell r="B734" t="str">
            <v>经贸轻工</v>
          </cell>
          <cell r="C734" t="str">
            <v>国营</v>
          </cell>
          <cell r="D734" t="str">
            <v>商贸</v>
          </cell>
          <cell r="E734" t="str">
            <v>保证贷款</v>
          </cell>
          <cell r="F734">
            <v>37252</v>
          </cell>
          <cell r="G734">
            <v>37617</v>
          </cell>
          <cell r="H734">
            <v>0</v>
          </cell>
          <cell r="I734">
            <v>0</v>
          </cell>
          <cell r="J734">
            <v>0</v>
          </cell>
          <cell r="K734">
            <v>0</v>
          </cell>
          <cell r="L734">
            <v>500</v>
          </cell>
          <cell r="M734" t="str">
            <v>文滨</v>
          </cell>
        </row>
        <row r="735">
          <cell r="B735" t="str">
            <v>经贸轻工 Total</v>
          </cell>
          <cell r="L735">
            <v>500</v>
          </cell>
        </row>
        <row r="736">
          <cell r="A736" t="str">
            <v>12055</v>
          </cell>
          <cell r="B736" t="str">
            <v>经协集团公司</v>
          </cell>
          <cell r="C736" t="str">
            <v>国营</v>
          </cell>
          <cell r="D736" t="str">
            <v>商贸</v>
          </cell>
          <cell r="E736" t="str">
            <v>抵押贷款</v>
          </cell>
          <cell r="F736">
            <v>35397</v>
          </cell>
          <cell r="G736">
            <v>35674</v>
          </cell>
          <cell r="H736">
            <v>0</v>
          </cell>
          <cell r="I736">
            <v>0</v>
          </cell>
          <cell r="J736">
            <v>0</v>
          </cell>
          <cell r="K736">
            <v>0</v>
          </cell>
          <cell r="L736">
            <v>310</v>
          </cell>
          <cell r="M736" t="str">
            <v>江头</v>
          </cell>
        </row>
        <row r="737">
          <cell r="B737" t="str">
            <v>经协集团公司 Total</v>
          </cell>
          <cell r="L737">
            <v>310</v>
          </cell>
        </row>
        <row r="738">
          <cell r="A738" t="str">
            <v>00258A</v>
          </cell>
          <cell r="B738" t="str">
            <v>九州集团</v>
          </cell>
          <cell r="C738" t="str">
            <v>国营</v>
          </cell>
          <cell r="D738" t="str">
            <v>商贸</v>
          </cell>
          <cell r="E738" t="str">
            <v>保证贷款</v>
          </cell>
          <cell r="F738">
            <v>36189</v>
          </cell>
          <cell r="G738">
            <v>36493</v>
          </cell>
          <cell r="H738">
            <v>0</v>
          </cell>
          <cell r="I738">
            <v>0</v>
          </cell>
          <cell r="J738">
            <v>0</v>
          </cell>
          <cell r="K738">
            <v>0</v>
          </cell>
          <cell r="L738">
            <v>1000</v>
          </cell>
          <cell r="M738" t="str">
            <v>营业</v>
          </cell>
        </row>
        <row r="739">
          <cell r="A739" t="str">
            <v>00258U</v>
          </cell>
          <cell r="B739" t="str">
            <v>九州集团</v>
          </cell>
          <cell r="C739" t="str">
            <v>国营</v>
          </cell>
          <cell r="D739" t="str">
            <v>商贸</v>
          </cell>
          <cell r="E739" t="str">
            <v>抵押贷款</v>
          </cell>
          <cell r="F739">
            <v>36257</v>
          </cell>
          <cell r="G739">
            <v>36623</v>
          </cell>
          <cell r="H739">
            <v>0</v>
          </cell>
          <cell r="I739">
            <v>0</v>
          </cell>
          <cell r="J739">
            <v>0</v>
          </cell>
          <cell r="K739">
            <v>477.95</v>
          </cell>
          <cell r="L739">
            <v>422.05</v>
          </cell>
          <cell r="M739" t="str">
            <v>营业</v>
          </cell>
        </row>
        <row r="740">
          <cell r="A740" t="str">
            <v>00258Y</v>
          </cell>
          <cell r="B740" t="str">
            <v>九州集团</v>
          </cell>
          <cell r="C740" t="str">
            <v>国营</v>
          </cell>
          <cell r="D740" t="str">
            <v>商贸</v>
          </cell>
          <cell r="E740" t="str">
            <v>保证贷款</v>
          </cell>
          <cell r="F740">
            <v>36241</v>
          </cell>
          <cell r="G740">
            <v>36486</v>
          </cell>
          <cell r="H740">
            <v>0</v>
          </cell>
          <cell r="I740">
            <v>0</v>
          </cell>
          <cell r="J740">
            <v>0</v>
          </cell>
          <cell r="K740">
            <v>0</v>
          </cell>
          <cell r="L740">
            <v>500</v>
          </cell>
          <cell r="M740" t="str">
            <v>营业</v>
          </cell>
        </row>
        <row r="741">
          <cell r="A741" t="str">
            <v>00258P</v>
          </cell>
          <cell r="B741" t="str">
            <v>九州集团</v>
          </cell>
          <cell r="C741" t="str">
            <v>国营</v>
          </cell>
          <cell r="D741" t="str">
            <v>商贸</v>
          </cell>
          <cell r="E741" t="str">
            <v>保证贷款</v>
          </cell>
          <cell r="F741">
            <v>36341</v>
          </cell>
          <cell r="G741">
            <v>36555</v>
          </cell>
          <cell r="H741">
            <v>0</v>
          </cell>
          <cell r="I741">
            <v>0</v>
          </cell>
          <cell r="J741">
            <v>0</v>
          </cell>
          <cell r="K741">
            <v>0</v>
          </cell>
          <cell r="L741">
            <v>500</v>
          </cell>
          <cell r="M741" t="str">
            <v>营业</v>
          </cell>
        </row>
        <row r="742">
          <cell r="A742" t="str">
            <v>00258O</v>
          </cell>
          <cell r="B742" t="str">
            <v>九州集团</v>
          </cell>
          <cell r="C742" t="str">
            <v>国营</v>
          </cell>
          <cell r="D742" t="str">
            <v>商贸</v>
          </cell>
          <cell r="E742" t="str">
            <v>保证贷款</v>
          </cell>
          <cell r="F742">
            <v>36341</v>
          </cell>
          <cell r="G742">
            <v>36555</v>
          </cell>
          <cell r="H742">
            <v>0</v>
          </cell>
          <cell r="I742">
            <v>0</v>
          </cell>
          <cell r="J742">
            <v>0</v>
          </cell>
          <cell r="K742">
            <v>0</v>
          </cell>
          <cell r="L742">
            <v>970</v>
          </cell>
          <cell r="M742" t="str">
            <v>营业</v>
          </cell>
        </row>
        <row r="743">
          <cell r="A743" t="str">
            <v>J0002B</v>
          </cell>
          <cell r="B743" t="str">
            <v>九州集团</v>
          </cell>
          <cell r="C743" t="str">
            <v>国营</v>
          </cell>
          <cell r="D743" t="str">
            <v>商贸</v>
          </cell>
          <cell r="E743" t="str">
            <v>保证贷款</v>
          </cell>
          <cell r="F743">
            <v>36031</v>
          </cell>
          <cell r="G743">
            <v>36273</v>
          </cell>
          <cell r="H743">
            <v>0</v>
          </cell>
          <cell r="I743">
            <v>0</v>
          </cell>
          <cell r="J743">
            <v>0</v>
          </cell>
          <cell r="K743">
            <v>0</v>
          </cell>
          <cell r="L743">
            <v>827.47</v>
          </cell>
          <cell r="M743" t="str">
            <v>营业</v>
          </cell>
        </row>
        <row r="744">
          <cell r="A744" t="str">
            <v>002581</v>
          </cell>
          <cell r="B744" t="str">
            <v>九州集团</v>
          </cell>
          <cell r="C744" t="str">
            <v>国营</v>
          </cell>
          <cell r="D744" t="str">
            <v>商贸</v>
          </cell>
          <cell r="E744" t="str">
            <v>保证贷款</v>
          </cell>
          <cell r="F744">
            <v>36433</v>
          </cell>
          <cell r="G744">
            <v>36737</v>
          </cell>
          <cell r="H744">
            <v>0</v>
          </cell>
          <cell r="I744">
            <v>0</v>
          </cell>
          <cell r="J744">
            <v>0</v>
          </cell>
          <cell r="K744">
            <v>0</v>
          </cell>
          <cell r="L744">
            <v>200</v>
          </cell>
          <cell r="M744" t="str">
            <v>营业</v>
          </cell>
        </row>
        <row r="745">
          <cell r="B745" t="str">
            <v>九州集团 Total</v>
          </cell>
          <cell r="L745">
            <v>4419.5200000000004</v>
          </cell>
        </row>
        <row r="746">
          <cell r="A746" t="str">
            <v>100007</v>
          </cell>
          <cell r="B746" t="str">
            <v>九洲房地产</v>
          </cell>
          <cell r="C746" t="str">
            <v>国营</v>
          </cell>
          <cell r="D746" t="str">
            <v>商贸</v>
          </cell>
          <cell r="E746" t="str">
            <v>保证贷款</v>
          </cell>
          <cell r="F746">
            <v>35713</v>
          </cell>
          <cell r="G746">
            <v>35720</v>
          </cell>
          <cell r="H746">
            <v>0</v>
          </cell>
          <cell r="I746">
            <v>0</v>
          </cell>
          <cell r="J746">
            <v>0</v>
          </cell>
          <cell r="K746">
            <v>0</v>
          </cell>
          <cell r="L746">
            <v>42.862945999999994</v>
          </cell>
          <cell r="M746" t="str">
            <v>鹭江</v>
          </cell>
        </row>
        <row r="747">
          <cell r="B747" t="str">
            <v>九洲房地产 Total</v>
          </cell>
          <cell r="L747">
            <v>42.862945999999994</v>
          </cell>
        </row>
        <row r="748">
          <cell r="A748" t="str">
            <v>000105</v>
          </cell>
          <cell r="B748" t="str">
            <v>聚商河</v>
          </cell>
          <cell r="C748" t="str">
            <v>其它</v>
          </cell>
          <cell r="D748" t="str">
            <v>其它</v>
          </cell>
          <cell r="E748" t="str">
            <v>抵押贷款</v>
          </cell>
          <cell r="F748">
            <v>37442</v>
          </cell>
          <cell r="G748">
            <v>38166</v>
          </cell>
          <cell r="H748">
            <v>0</v>
          </cell>
          <cell r="I748">
            <v>16</v>
          </cell>
          <cell r="J748">
            <v>0.66</v>
          </cell>
          <cell r="K748">
            <v>1.98</v>
          </cell>
          <cell r="L748">
            <v>14.02</v>
          </cell>
          <cell r="M748" t="str">
            <v>康乐</v>
          </cell>
        </row>
        <row r="749">
          <cell r="B749" t="str">
            <v>聚商河 Total</v>
          </cell>
          <cell r="L749">
            <v>14.02</v>
          </cell>
        </row>
        <row r="750">
          <cell r="A750" t="str">
            <v>971003</v>
          </cell>
          <cell r="B750" t="str">
            <v>俊杰汽配有限公司</v>
          </cell>
          <cell r="C750" t="str">
            <v>集体</v>
          </cell>
          <cell r="D750" t="str">
            <v>商贸</v>
          </cell>
          <cell r="E750" t="str">
            <v>保证贷款</v>
          </cell>
          <cell r="F750">
            <v>35536</v>
          </cell>
          <cell r="G750">
            <v>35689</v>
          </cell>
          <cell r="H750">
            <v>0</v>
          </cell>
          <cell r="I750">
            <v>0</v>
          </cell>
          <cell r="J750">
            <v>0</v>
          </cell>
          <cell r="K750">
            <v>7.23</v>
          </cell>
          <cell r="L750">
            <v>4.7699999999999996</v>
          </cell>
          <cell r="M750" t="str">
            <v>杏林</v>
          </cell>
        </row>
        <row r="751">
          <cell r="B751" t="str">
            <v>俊杰汽配有限公司 Total</v>
          </cell>
          <cell r="L751">
            <v>4.7699999999999996</v>
          </cell>
        </row>
        <row r="752">
          <cell r="A752" t="str">
            <v>01023</v>
          </cell>
          <cell r="B752" t="str">
            <v>开元 家电</v>
          </cell>
          <cell r="C752" t="str">
            <v>集体</v>
          </cell>
          <cell r="D752" t="str">
            <v>商贸</v>
          </cell>
          <cell r="E752" t="str">
            <v>保证贷款</v>
          </cell>
          <cell r="F752">
            <v>37236</v>
          </cell>
          <cell r="G752">
            <v>37596</v>
          </cell>
          <cell r="H752">
            <v>0</v>
          </cell>
          <cell r="I752">
            <v>0</v>
          </cell>
          <cell r="J752">
            <v>0</v>
          </cell>
          <cell r="K752">
            <v>200</v>
          </cell>
          <cell r="L752">
            <v>300</v>
          </cell>
          <cell r="M752" t="str">
            <v>文滨</v>
          </cell>
        </row>
        <row r="753">
          <cell r="B753" t="str">
            <v>开元 家电 Total</v>
          </cell>
          <cell r="L753">
            <v>300</v>
          </cell>
        </row>
        <row r="754">
          <cell r="A754" t="str">
            <v>005-06</v>
          </cell>
          <cell r="B754" t="str">
            <v>开元鹭江交通公司</v>
          </cell>
          <cell r="C754" t="str">
            <v>其它</v>
          </cell>
          <cell r="D754" t="str">
            <v>其它</v>
          </cell>
          <cell r="E754" t="str">
            <v>抵押贷款</v>
          </cell>
          <cell r="F754">
            <v>37463</v>
          </cell>
          <cell r="G754">
            <v>38173</v>
          </cell>
          <cell r="H754">
            <v>0</v>
          </cell>
          <cell r="I754">
            <v>9.6</v>
          </cell>
          <cell r="J754">
            <v>0.38</v>
          </cell>
          <cell r="K754">
            <v>1.1399999999999999</v>
          </cell>
          <cell r="L754">
            <v>8.4600000000000009</v>
          </cell>
          <cell r="M754" t="str">
            <v>公园</v>
          </cell>
        </row>
        <row r="755">
          <cell r="B755" t="str">
            <v>开元鹭江交通公司 Total</v>
          </cell>
          <cell r="L755">
            <v>8.4600000000000009</v>
          </cell>
        </row>
        <row r="756">
          <cell r="A756" t="str">
            <v>20382</v>
          </cell>
          <cell r="B756" t="str">
            <v>开元外贸进出口公司</v>
          </cell>
          <cell r="C756" t="str">
            <v>国营</v>
          </cell>
          <cell r="D756" t="str">
            <v>商贸</v>
          </cell>
          <cell r="E756" t="str">
            <v>保证贷款</v>
          </cell>
          <cell r="F756">
            <v>36024</v>
          </cell>
          <cell r="G756">
            <v>36389</v>
          </cell>
          <cell r="H756">
            <v>0</v>
          </cell>
          <cell r="I756">
            <v>0</v>
          </cell>
          <cell r="J756">
            <v>0</v>
          </cell>
          <cell r="K756">
            <v>0</v>
          </cell>
          <cell r="L756">
            <v>692.42689599999994</v>
          </cell>
          <cell r="M756" t="str">
            <v>营业</v>
          </cell>
        </row>
        <row r="757">
          <cell r="B757" t="str">
            <v>开元外贸进出口公司 Total</v>
          </cell>
          <cell r="L757">
            <v>692.42689599999994</v>
          </cell>
        </row>
        <row r="758">
          <cell r="A758" t="str">
            <v>237167</v>
          </cell>
          <cell r="B758" t="str">
            <v>凯旋娱乐有限公司</v>
          </cell>
          <cell r="C758" t="str">
            <v>集体</v>
          </cell>
          <cell r="D758" t="str">
            <v>其它</v>
          </cell>
          <cell r="E758" t="str">
            <v>保证贷款</v>
          </cell>
          <cell r="F758">
            <v>35584</v>
          </cell>
          <cell r="G758">
            <v>35888</v>
          </cell>
          <cell r="H758">
            <v>0</v>
          </cell>
          <cell r="I758">
            <v>0</v>
          </cell>
          <cell r="J758">
            <v>0</v>
          </cell>
          <cell r="K758">
            <v>0</v>
          </cell>
          <cell r="L758">
            <v>300</v>
          </cell>
          <cell r="M758" t="str">
            <v>同安</v>
          </cell>
        </row>
        <row r="759">
          <cell r="B759" t="str">
            <v>凯旋娱乐有限公司 Total</v>
          </cell>
          <cell r="L759">
            <v>300</v>
          </cell>
        </row>
        <row r="760">
          <cell r="A760" t="str">
            <v>020052</v>
          </cell>
          <cell r="B760" t="str">
            <v>康碧鸾</v>
          </cell>
          <cell r="C760" t="str">
            <v>住房</v>
          </cell>
          <cell r="D760" t="str">
            <v>其它</v>
          </cell>
          <cell r="E760" t="str">
            <v>抵押贷款</v>
          </cell>
          <cell r="F760">
            <v>36963</v>
          </cell>
          <cell r="G760">
            <v>42442</v>
          </cell>
          <cell r="H760">
            <v>0</v>
          </cell>
          <cell r="I760">
            <v>26.77</v>
          </cell>
          <cell r="J760">
            <v>0.11</v>
          </cell>
          <cell r="K760">
            <v>0.75</v>
          </cell>
          <cell r="L760">
            <v>26.02</v>
          </cell>
          <cell r="M760" t="str">
            <v>东区</v>
          </cell>
        </row>
        <row r="761">
          <cell r="B761" t="str">
            <v>康碧鸾 Total</v>
          </cell>
          <cell r="L761">
            <v>26.02</v>
          </cell>
        </row>
        <row r="762">
          <cell r="A762" t="str">
            <v>G01005</v>
          </cell>
          <cell r="B762" t="str">
            <v>柯利群</v>
          </cell>
          <cell r="C762" t="str">
            <v>其它</v>
          </cell>
          <cell r="D762" t="str">
            <v>其它</v>
          </cell>
          <cell r="E762" t="str">
            <v>信用贷款</v>
          </cell>
          <cell r="F762">
            <v>36980</v>
          </cell>
          <cell r="G762">
            <v>37710</v>
          </cell>
          <cell r="H762">
            <v>0</v>
          </cell>
          <cell r="I762">
            <v>1.67</v>
          </cell>
          <cell r="J762">
            <v>0.13</v>
          </cell>
          <cell r="K762">
            <v>0.89</v>
          </cell>
          <cell r="L762">
            <v>0.78</v>
          </cell>
          <cell r="M762" t="str">
            <v>营业</v>
          </cell>
        </row>
        <row r="763">
          <cell r="B763" t="str">
            <v>柯利群 Total</v>
          </cell>
          <cell r="L763">
            <v>0.78</v>
          </cell>
        </row>
        <row r="764">
          <cell r="A764" t="str">
            <v>x02225</v>
          </cell>
          <cell r="B764" t="str">
            <v>柯美芬</v>
          </cell>
          <cell r="C764" t="str">
            <v>其它</v>
          </cell>
          <cell r="D764" t="str">
            <v>其它</v>
          </cell>
          <cell r="E764" t="str">
            <v>质押贷款</v>
          </cell>
          <cell r="F764">
            <v>37510</v>
          </cell>
          <cell r="G764">
            <v>37691</v>
          </cell>
          <cell r="H764">
            <v>0</v>
          </cell>
          <cell r="I764">
            <v>2</v>
          </cell>
          <cell r="J764">
            <v>0</v>
          </cell>
          <cell r="K764">
            <v>0</v>
          </cell>
          <cell r="L764">
            <v>2</v>
          </cell>
          <cell r="M764" t="str">
            <v>文滨</v>
          </cell>
        </row>
        <row r="765">
          <cell r="B765" t="str">
            <v>柯美芬 Total</v>
          </cell>
          <cell r="L765">
            <v>2</v>
          </cell>
        </row>
        <row r="766">
          <cell r="A766" t="str">
            <v>020025</v>
          </cell>
          <cell r="B766" t="str">
            <v>柯明月</v>
          </cell>
          <cell r="C766" t="str">
            <v>住房</v>
          </cell>
          <cell r="D766" t="str">
            <v>其它</v>
          </cell>
          <cell r="E766" t="str">
            <v>抵押贷款</v>
          </cell>
          <cell r="F766">
            <v>36819</v>
          </cell>
          <cell r="G766">
            <v>42297</v>
          </cell>
          <cell r="H766">
            <v>0</v>
          </cell>
          <cell r="I766">
            <v>28.11</v>
          </cell>
          <cell r="J766">
            <v>0.08</v>
          </cell>
          <cell r="K766">
            <v>8.2799999999999994</v>
          </cell>
          <cell r="L766">
            <v>19.829999999999998</v>
          </cell>
          <cell r="M766" t="str">
            <v>东区</v>
          </cell>
        </row>
        <row r="767">
          <cell r="B767" t="str">
            <v>柯明月 Total</v>
          </cell>
          <cell r="L767">
            <v>19.829999999999998</v>
          </cell>
        </row>
        <row r="768">
          <cell r="A768" t="str">
            <v>160027</v>
          </cell>
          <cell r="B768" t="str">
            <v>科华恒盛股份有限公司</v>
          </cell>
          <cell r="C768" t="str">
            <v>其它</v>
          </cell>
          <cell r="D768" t="str">
            <v>其它</v>
          </cell>
          <cell r="E768" t="str">
            <v>抵押贷款</v>
          </cell>
          <cell r="F768">
            <v>37374</v>
          </cell>
          <cell r="G768">
            <v>37739</v>
          </cell>
          <cell r="H768">
            <v>0</v>
          </cell>
          <cell r="I768">
            <v>100</v>
          </cell>
          <cell r="J768">
            <v>0</v>
          </cell>
          <cell r="K768">
            <v>0</v>
          </cell>
          <cell r="L768">
            <v>100</v>
          </cell>
          <cell r="M768" t="str">
            <v>梧村</v>
          </cell>
        </row>
        <row r="769">
          <cell r="B769" t="str">
            <v>科华恒盛股份有限公司 Total</v>
          </cell>
          <cell r="L769">
            <v>100</v>
          </cell>
        </row>
        <row r="770">
          <cell r="A770" t="str">
            <v>020133</v>
          </cell>
          <cell r="B770" t="str">
            <v>况小平</v>
          </cell>
          <cell r="C770" t="str">
            <v>其它</v>
          </cell>
          <cell r="D770" t="str">
            <v>其它</v>
          </cell>
          <cell r="E770" t="str">
            <v>保证贷款</v>
          </cell>
          <cell r="F770">
            <v>37375</v>
          </cell>
          <cell r="G770">
            <v>37740</v>
          </cell>
          <cell r="H770">
            <v>0</v>
          </cell>
          <cell r="I770">
            <v>5</v>
          </cell>
          <cell r="J770">
            <v>0</v>
          </cell>
          <cell r="K770">
            <v>0</v>
          </cell>
          <cell r="L770">
            <v>5</v>
          </cell>
          <cell r="M770" t="str">
            <v>东区</v>
          </cell>
        </row>
        <row r="771">
          <cell r="B771" t="str">
            <v>况小平 Total</v>
          </cell>
          <cell r="L771">
            <v>5</v>
          </cell>
        </row>
        <row r="772">
          <cell r="A772" t="str">
            <v>021307</v>
          </cell>
          <cell r="B772" t="str">
            <v>来明工业有限公司</v>
          </cell>
          <cell r="C772" t="str">
            <v>三资</v>
          </cell>
          <cell r="D772" t="str">
            <v>工业</v>
          </cell>
          <cell r="E772" t="str">
            <v>保证贷款</v>
          </cell>
          <cell r="F772">
            <v>37411</v>
          </cell>
          <cell r="G772">
            <v>37594</v>
          </cell>
          <cell r="H772">
            <v>0</v>
          </cell>
          <cell r="I772">
            <v>30</v>
          </cell>
          <cell r="J772">
            <v>0</v>
          </cell>
          <cell r="K772">
            <v>0</v>
          </cell>
          <cell r="L772">
            <v>248.24099999999999</v>
          </cell>
          <cell r="M772" t="str">
            <v>杏林</v>
          </cell>
        </row>
        <row r="773">
          <cell r="A773" t="str">
            <v>021305</v>
          </cell>
          <cell r="B773" t="str">
            <v>来明工业有限公司</v>
          </cell>
          <cell r="C773" t="str">
            <v>三资</v>
          </cell>
          <cell r="D773" t="str">
            <v>工业</v>
          </cell>
          <cell r="E773" t="str">
            <v>保证贷款</v>
          </cell>
          <cell r="F773">
            <v>37391</v>
          </cell>
          <cell r="G773">
            <v>37575</v>
          </cell>
          <cell r="H773">
            <v>0</v>
          </cell>
          <cell r="I773">
            <v>50</v>
          </cell>
          <cell r="J773">
            <v>0</v>
          </cell>
          <cell r="K773">
            <v>0</v>
          </cell>
          <cell r="L773">
            <v>413.73500000000001</v>
          </cell>
          <cell r="M773" t="str">
            <v>杏林</v>
          </cell>
        </row>
        <row r="774">
          <cell r="A774" t="str">
            <v>021306</v>
          </cell>
          <cell r="B774" t="str">
            <v>来明工业有限公司</v>
          </cell>
          <cell r="C774" t="str">
            <v>三资</v>
          </cell>
          <cell r="D774" t="str">
            <v>工业</v>
          </cell>
          <cell r="E774" t="str">
            <v>保证贷款</v>
          </cell>
          <cell r="F774">
            <v>37397</v>
          </cell>
          <cell r="G774">
            <v>37581</v>
          </cell>
          <cell r="H774">
            <v>0</v>
          </cell>
          <cell r="I774">
            <v>50</v>
          </cell>
          <cell r="J774">
            <v>0</v>
          </cell>
          <cell r="K774">
            <v>0</v>
          </cell>
          <cell r="L774">
            <v>413.73500000000001</v>
          </cell>
          <cell r="M774" t="str">
            <v>杏林</v>
          </cell>
        </row>
        <row r="775">
          <cell r="A775" t="str">
            <v>021313</v>
          </cell>
          <cell r="B775" t="str">
            <v>来明工业有限公司</v>
          </cell>
          <cell r="C775" t="str">
            <v>三资</v>
          </cell>
          <cell r="D775" t="str">
            <v>工业</v>
          </cell>
          <cell r="E775" t="str">
            <v>保证贷款</v>
          </cell>
          <cell r="F775">
            <v>37515</v>
          </cell>
          <cell r="G775">
            <v>37696</v>
          </cell>
          <cell r="H775">
            <v>0</v>
          </cell>
          <cell r="I775">
            <v>50</v>
          </cell>
          <cell r="J775">
            <v>0</v>
          </cell>
          <cell r="K775">
            <v>0</v>
          </cell>
          <cell r="L775">
            <v>413.73500000000001</v>
          </cell>
          <cell r="M775" t="str">
            <v>杏林</v>
          </cell>
        </row>
        <row r="776">
          <cell r="B776" t="str">
            <v>来明工业有限公司 Total</v>
          </cell>
          <cell r="L776">
            <v>1489.4459999999999</v>
          </cell>
        </row>
        <row r="777">
          <cell r="A777" t="str">
            <v>020143</v>
          </cell>
          <cell r="B777" t="str">
            <v>赖呈注</v>
          </cell>
          <cell r="C777" t="str">
            <v>其它</v>
          </cell>
          <cell r="D777" t="str">
            <v>其它</v>
          </cell>
          <cell r="E777" t="str">
            <v>抵押贷款</v>
          </cell>
          <cell r="F777">
            <v>37393</v>
          </cell>
          <cell r="G777">
            <v>37714</v>
          </cell>
          <cell r="H777">
            <v>0</v>
          </cell>
          <cell r="I777">
            <v>20</v>
          </cell>
          <cell r="J777">
            <v>0</v>
          </cell>
          <cell r="K777">
            <v>0</v>
          </cell>
          <cell r="L777">
            <v>20</v>
          </cell>
          <cell r="M777" t="str">
            <v>东区</v>
          </cell>
        </row>
        <row r="778">
          <cell r="B778" t="str">
            <v>赖呈注 Total</v>
          </cell>
          <cell r="L778">
            <v>20</v>
          </cell>
        </row>
        <row r="779">
          <cell r="A779" t="str">
            <v>550662</v>
          </cell>
          <cell r="B779" t="str">
            <v>兰华胜</v>
          </cell>
          <cell r="C779" t="str">
            <v>其它</v>
          </cell>
          <cell r="D779" t="str">
            <v>其它</v>
          </cell>
          <cell r="E779" t="str">
            <v>质押贷款</v>
          </cell>
          <cell r="F779">
            <v>37517</v>
          </cell>
          <cell r="G779">
            <v>37698</v>
          </cell>
          <cell r="H779">
            <v>0</v>
          </cell>
          <cell r="I779">
            <v>0.4</v>
          </cell>
          <cell r="J779">
            <v>0</v>
          </cell>
          <cell r="K779">
            <v>0</v>
          </cell>
          <cell r="L779">
            <v>0.4</v>
          </cell>
          <cell r="M779" t="str">
            <v>湖里</v>
          </cell>
        </row>
        <row r="780">
          <cell r="B780" t="str">
            <v>兰华胜 Total</v>
          </cell>
          <cell r="L780">
            <v>0.4</v>
          </cell>
        </row>
        <row r="781">
          <cell r="A781" t="str">
            <v>020017</v>
          </cell>
          <cell r="B781" t="str">
            <v>蓝朝中</v>
          </cell>
          <cell r="C781" t="str">
            <v>住房</v>
          </cell>
          <cell r="D781" t="str">
            <v>其它</v>
          </cell>
          <cell r="E781" t="str">
            <v>抵押贷款</v>
          </cell>
          <cell r="F781">
            <v>36783</v>
          </cell>
          <cell r="G781">
            <v>44094</v>
          </cell>
          <cell r="H781">
            <v>0</v>
          </cell>
          <cell r="I781">
            <v>28.72</v>
          </cell>
          <cell r="J781">
            <v>0.08</v>
          </cell>
          <cell r="K781">
            <v>0.54</v>
          </cell>
          <cell r="L781">
            <v>28.18</v>
          </cell>
          <cell r="M781" t="str">
            <v>东区</v>
          </cell>
        </row>
        <row r="782">
          <cell r="B782" t="str">
            <v>蓝朝中 Total</v>
          </cell>
          <cell r="L782">
            <v>28.18</v>
          </cell>
        </row>
        <row r="783">
          <cell r="A783" t="str">
            <v>G02/01</v>
          </cell>
          <cell r="B783" t="str">
            <v>黎华杰</v>
          </cell>
          <cell r="C783" t="str">
            <v>其它</v>
          </cell>
          <cell r="D783" t="str">
            <v>其它</v>
          </cell>
          <cell r="E783" t="str">
            <v>保证贷款</v>
          </cell>
          <cell r="F783">
            <v>37291</v>
          </cell>
          <cell r="G783">
            <v>38021</v>
          </cell>
          <cell r="H783">
            <v>0</v>
          </cell>
          <cell r="I783">
            <v>3</v>
          </cell>
          <cell r="J783">
            <v>0.12</v>
          </cell>
          <cell r="K783">
            <v>0.96</v>
          </cell>
          <cell r="L783">
            <v>2.04</v>
          </cell>
          <cell r="M783" t="str">
            <v>营业</v>
          </cell>
        </row>
        <row r="784">
          <cell r="B784" t="str">
            <v>黎华杰 Total</v>
          </cell>
          <cell r="L784">
            <v>2.04</v>
          </cell>
        </row>
        <row r="785">
          <cell r="A785" t="str">
            <v>G02033</v>
          </cell>
          <cell r="B785" t="str">
            <v>黎琴</v>
          </cell>
          <cell r="C785" t="str">
            <v>其它</v>
          </cell>
          <cell r="D785" t="str">
            <v>其它</v>
          </cell>
          <cell r="E785" t="str">
            <v>质押贷款</v>
          </cell>
          <cell r="F785">
            <v>37435</v>
          </cell>
          <cell r="G785">
            <v>37618</v>
          </cell>
          <cell r="H785">
            <v>0</v>
          </cell>
          <cell r="I785">
            <v>4.5999999999999996</v>
          </cell>
          <cell r="J785">
            <v>0</v>
          </cell>
          <cell r="K785">
            <v>0</v>
          </cell>
          <cell r="L785">
            <v>4.5999999999999996</v>
          </cell>
          <cell r="M785" t="str">
            <v>营业</v>
          </cell>
        </row>
        <row r="786">
          <cell r="B786" t="str">
            <v>黎琴 Total</v>
          </cell>
          <cell r="L786">
            <v>4.5999999999999996</v>
          </cell>
        </row>
        <row r="787">
          <cell r="A787" t="str">
            <v>0027</v>
          </cell>
          <cell r="B787" t="str">
            <v>李朝晖</v>
          </cell>
          <cell r="C787" t="str">
            <v>其它</v>
          </cell>
          <cell r="D787" t="str">
            <v>其它</v>
          </cell>
          <cell r="E787" t="str">
            <v>质押贷款</v>
          </cell>
          <cell r="F787">
            <v>37527</v>
          </cell>
          <cell r="G787">
            <v>37708</v>
          </cell>
          <cell r="H787">
            <v>0</v>
          </cell>
          <cell r="I787">
            <v>1.1000000000000001</v>
          </cell>
          <cell r="J787">
            <v>0</v>
          </cell>
          <cell r="K787">
            <v>0</v>
          </cell>
          <cell r="L787">
            <v>1.1000000000000001</v>
          </cell>
          <cell r="M787" t="str">
            <v>莲花</v>
          </cell>
        </row>
        <row r="788">
          <cell r="A788" t="str">
            <v>0022</v>
          </cell>
          <cell r="B788" t="str">
            <v>李朝晖</v>
          </cell>
          <cell r="C788" t="str">
            <v>其它</v>
          </cell>
          <cell r="D788" t="str">
            <v>其它</v>
          </cell>
          <cell r="E788" t="str">
            <v>质押贷款</v>
          </cell>
          <cell r="F788">
            <v>37502</v>
          </cell>
          <cell r="G788">
            <v>37683</v>
          </cell>
          <cell r="H788">
            <v>0</v>
          </cell>
          <cell r="I788">
            <v>1.4</v>
          </cell>
          <cell r="J788">
            <v>0</v>
          </cell>
          <cell r="K788">
            <v>0</v>
          </cell>
          <cell r="L788">
            <v>1.4</v>
          </cell>
          <cell r="M788" t="str">
            <v>莲花</v>
          </cell>
        </row>
        <row r="789">
          <cell r="B789" t="str">
            <v>李朝晖 Total</v>
          </cell>
          <cell r="L789">
            <v>2.5</v>
          </cell>
        </row>
        <row r="790">
          <cell r="A790" t="str">
            <v>000008</v>
          </cell>
          <cell r="B790" t="str">
            <v>李成民</v>
          </cell>
          <cell r="C790" t="str">
            <v>其它</v>
          </cell>
          <cell r="D790" t="str">
            <v>其它</v>
          </cell>
          <cell r="E790" t="str">
            <v>抵押贷款</v>
          </cell>
          <cell r="F790">
            <v>37265</v>
          </cell>
          <cell r="G790">
            <v>37995</v>
          </cell>
          <cell r="H790">
            <v>0</v>
          </cell>
          <cell r="I790">
            <v>91.11</v>
          </cell>
          <cell r="J790">
            <v>7.71</v>
          </cell>
          <cell r="K790">
            <v>30.3</v>
          </cell>
          <cell r="L790">
            <v>60.81</v>
          </cell>
          <cell r="M790" t="str">
            <v>康乐</v>
          </cell>
        </row>
        <row r="791">
          <cell r="B791" t="str">
            <v>李成民 Total</v>
          </cell>
          <cell r="L791">
            <v>60.81</v>
          </cell>
        </row>
        <row r="792">
          <cell r="A792" t="str">
            <v>000049</v>
          </cell>
          <cell r="B792" t="str">
            <v>李德华</v>
          </cell>
          <cell r="C792" t="str">
            <v>其它</v>
          </cell>
          <cell r="D792" t="str">
            <v>其它</v>
          </cell>
          <cell r="E792" t="str">
            <v>质押贷款</v>
          </cell>
          <cell r="F792">
            <v>37539</v>
          </cell>
          <cell r="G792">
            <v>38260</v>
          </cell>
          <cell r="H792">
            <v>7.2</v>
          </cell>
          <cell r="I792">
            <v>7.2</v>
          </cell>
          <cell r="J792">
            <v>0</v>
          </cell>
          <cell r="K792">
            <v>0</v>
          </cell>
          <cell r="L792">
            <v>7.2</v>
          </cell>
          <cell r="M792" t="str">
            <v>康乐</v>
          </cell>
        </row>
        <row r="793">
          <cell r="B793" t="str">
            <v>李德华 Total</v>
          </cell>
          <cell r="L793">
            <v>7.2</v>
          </cell>
        </row>
        <row r="794">
          <cell r="A794" t="str">
            <v>500023</v>
          </cell>
          <cell r="B794" t="str">
            <v>李光辉</v>
          </cell>
          <cell r="C794" t="str">
            <v>其它</v>
          </cell>
          <cell r="D794" t="str">
            <v>其它</v>
          </cell>
          <cell r="E794" t="str">
            <v>抵押贷款</v>
          </cell>
          <cell r="F794">
            <v>37511</v>
          </cell>
          <cell r="G794">
            <v>38241</v>
          </cell>
          <cell r="H794">
            <v>0</v>
          </cell>
          <cell r="I794">
            <v>8.8000000000000007</v>
          </cell>
          <cell r="J794">
            <v>0.35</v>
          </cell>
          <cell r="K794">
            <v>0.35</v>
          </cell>
          <cell r="L794">
            <v>8.4499999999999993</v>
          </cell>
          <cell r="M794" t="str">
            <v>新港</v>
          </cell>
        </row>
        <row r="795">
          <cell r="B795" t="str">
            <v>李光辉 Total</v>
          </cell>
          <cell r="L795">
            <v>8.4499999999999993</v>
          </cell>
        </row>
        <row r="796">
          <cell r="A796" t="str">
            <v>023508</v>
          </cell>
          <cell r="B796" t="str">
            <v>李鸿玲</v>
          </cell>
          <cell r="C796" t="str">
            <v>其它</v>
          </cell>
          <cell r="D796" t="str">
            <v>其它</v>
          </cell>
          <cell r="E796" t="str">
            <v>信用贷款</v>
          </cell>
          <cell r="F796">
            <v>36984</v>
          </cell>
          <cell r="G796">
            <v>37714</v>
          </cell>
          <cell r="H796">
            <v>0</v>
          </cell>
          <cell r="I796">
            <v>1.2</v>
          </cell>
          <cell r="J796">
            <v>0.09</v>
          </cell>
          <cell r="K796">
            <v>0.68</v>
          </cell>
          <cell r="L796">
            <v>0.52</v>
          </cell>
          <cell r="M796" t="str">
            <v>杏林</v>
          </cell>
        </row>
        <row r="797">
          <cell r="B797" t="str">
            <v>李鸿玲 Total</v>
          </cell>
          <cell r="L797">
            <v>0.52</v>
          </cell>
        </row>
        <row r="798">
          <cell r="A798" t="str">
            <v>200090</v>
          </cell>
          <cell r="B798" t="str">
            <v>李积义</v>
          </cell>
          <cell r="C798" t="str">
            <v>其它</v>
          </cell>
          <cell r="D798" t="str">
            <v>其它</v>
          </cell>
          <cell r="E798" t="str">
            <v>质押贷款</v>
          </cell>
          <cell r="F798">
            <v>37421</v>
          </cell>
          <cell r="G798">
            <v>37604</v>
          </cell>
          <cell r="H798">
            <v>0</v>
          </cell>
          <cell r="I798">
            <v>8</v>
          </cell>
          <cell r="J798">
            <v>0</v>
          </cell>
          <cell r="K798">
            <v>0</v>
          </cell>
          <cell r="L798">
            <v>8</v>
          </cell>
          <cell r="M798" t="str">
            <v>鹭江</v>
          </cell>
        </row>
        <row r="799">
          <cell r="B799" t="str">
            <v>李积义 Total</v>
          </cell>
          <cell r="L799">
            <v>8</v>
          </cell>
        </row>
        <row r="800">
          <cell r="A800" t="str">
            <v>000026</v>
          </cell>
          <cell r="B800" t="str">
            <v>李建梅</v>
          </cell>
          <cell r="C800" t="str">
            <v>其它</v>
          </cell>
          <cell r="D800" t="str">
            <v>其它</v>
          </cell>
          <cell r="E800" t="str">
            <v>质押贷款</v>
          </cell>
          <cell r="F800">
            <v>37389</v>
          </cell>
          <cell r="G800">
            <v>37573</v>
          </cell>
          <cell r="H800">
            <v>0</v>
          </cell>
          <cell r="I800">
            <v>11</v>
          </cell>
          <cell r="J800">
            <v>0</v>
          </cell>
          <cell r="K800">
            <v>0</v>
          </cell>
          <cell r="L800">
            <v>11</v>
          </cell>
          <cell r="M800" t="str">
            <v>康乐</v>
          </cell>
        </row>
        <row r="801">
          <cell r="B801" t="str">
            <v>李建梅 Total</v>
          </cell>
          <cell r="L801">
            <v>11</v>
          </cell>
        </row>
        <row r="802">
          <cell r="A802" t="str">
            <v>923z42</v>
          </cell>
          <cell r="B802" t="str">
            <v>李进培</v>
          </cell>
          <cell r="C802" t="str">
            <v>其它</v>
          </cell>
          <cell r="D802" t="str">
            <v>其它</v>
          </cell>
          <cell r="E802" t="str">
            <v>质押贷款</v>
          </cell>
          <cell r="F802">
            <v>37426</v>
          </cell>
          <cell r="G802">
            <v>37579</v>
          </cell>
          <cell r="H802">
            <v>0</v>
          </cell>
          <cell r="I802">
            <v>40</v>
          </cell>
          <cell r="J802">
            <v>0</v>
          </cell>
          <cell r="K802">
            <v>0</v>
          </cell>
          <cell r="L802">
            <v>40</v>
          </cell>
          <cell r="M802" t="str">
            <v>禾祥</v>
          </cell>
        </row>
        <row r="803">
          <cell r="A803" t="str">
            <v>170037</v>
          </cell>
          <cell r="B803" t="str">
            <v>李进培</v>
          </cell>
          <cell r="C803" t="str">
            <v>其它</v>
          </cell>
          <cell r="D803" t="str">
            <v>其它</v>
          </cell>
          <cell r="E803" t="str">
            <v>质押贷款</v>
          </cell>
          <cell r="F803">
            <v>37516</v>
          </cell>
          <cell r="G803">
            <v>37697</v>
          </cell>
          <cell r="H803">
            <v>0</v>
          </cell>
          <cell r="I803">
            <v>200</v>
          </cell>
          <cell r="J803">
            <v>0</v>
          </cell>
          <cell r="K803">
            <v>0</v>
          </cell>
          <cell r="L803">
            <v>200</v>
          </cell>
          <cell r="M803" t="str">
            <v>厦禾</v>
          </cell>
        </row>
        <row r="804">
          <cell r="A804" t="str">
            <v>02gz04</v>
          </cell>
          <cell r="B804" t="str">
            <v>李进培</v>
          </cell>
          <cell r="C804" t="str">
            <v>其它</v>
          </cell>
          <cell r="D804" t="str">
            <v>其它</v>
          </cell>
          <cell r="E804" t="str">
            <v>质押贷款</v>
          </cell>
          <cell r="F804">
            <v>37455</v>
          </cell>
          <cell r="G804">
            <v>37639</v>
          </cell>
          <cell r="H804">
            <v>0</v>
          </cell>
          <cell r="I804">
            <v>320</v>
          </cell>
          <cell r="J804">
            <v>0</v>
          </cell>
          <cell r="K804">
            <v>0</v>
          </cell>
          <cell r="L804">
            <v>320</v>
          </cell>
          <cell r="M804" t="str">
            <v>厦禾</v>
          </cell>
        </row>
        <row r="805">
          <cell r="B805" t="str">
            <v>李进培 Total</v>
          </cell>
          <cell r="L805">
            <v>560</v>
          </cell>
        </row>
        <row r="806">
          <cell r="A806" t="str">
            <v>500020</v>
          </cell>
          <cell r="B806" t="str">
            <v>李丽芸</v>
          </cell>
          <cell r="C806" t="str">
            <v>其它</v>
          </cell>
          <cell r="D806" t="str">
            <v>其它</v>
          </cell>
          <cell r="E806" t="str">
            <v>质押贷款</v>
          </cell>
          <cell r="F806">
            <v>37432</v>
          </cell>
          <cell r="G806">
            <v>37797</v>
          </cell>
          <cell r="H806">
            <v>0</v>
          </cell>
          <cell r="I806">
            <v>7</v>
          </cell>
          <cell r="J806">
            <v>0</v>
          </cell>
          <cell r="K806">
            <v>0</v>
          </cell>
          <cell r="L806">
            <v>7</v>
          </cell>
          <cell r="M806" t="str">
            <v>新港</v>
          </cell>
        </row>
        <row r="807">
          <cell r="B807" t="str">
            <v>李丽芸 Total</v>
          </cell>
          <cell r="L807">
            <v>7</v>
          </cell>
        </row>
        <row r="808">
          <cell r="A808" t="str">
            <v>020023</v>
          </cell>
          <cell r="B808" t="str">
            <v>李联侨</v>
          </cell>
          <cell r="C808" t="str">
            <v>住房</v>
          </cell>
          <cell r="D808" t="str">
            <v>其它</v>
          </cell>
          <cell r="E808" t="str">
            <v>抵押贷款</v>
          </cell>
          <cell r="F808">
            <v>36819</v>
          </cell>
          <cell r="G808">
            <v>42297</v>
          </cell>
          <cell r="H808">
            <v>0</v>
          </cell>
          <cell r="I808">
            <v>29.99</v>
          </cell>
          <cell r="J808">
            <v>0.13</v>
          </cell>
          <cell r="K808">
            <v>0.88</v>
          </cell>
          <cell r="L808">
            <v>29.11</v>
          </cell>
          <cell r="M808" t="str">
            <v>东区</v>
          </cell>
        </row>
        <row r="809">
          <cell r="B809" t="str">
            <v>李联侨 Total</v>
          </cell>
          <cell r="L809">
            <v>29.11</v>
          </cell>
        </row>
        <row r="810">
          <cell r="A810" t="str">
            <v>G02-01</v>
          </cell>
          <cell r="B810" t="str">
            <v>李玲</v>
          </cell>
          <cell r="C810" t="str">
            <v>住房</v>
          </cell>
          <cell r="D810" t="str">
            <v>其它</v>
          </cell>
          <cell r="E810" t="str">
            <v>抵押贷款</v>
          </cell>
          <cell r="F810">
            <v>37293</v>
          </cell>
          <cell r="G810">
            <v>42744</v>
          </cell>
          <cell r="H810">
            <v>0</v>
          </cell>
          <cell r="I810">
            <v>39</v>
          </cell>
          <cell r="J810">
            <v>0.15</v>
          </cell>
          <cell r="K810">
            <v>1.18</v>
          </cell>
          <cell r="L810">
            <v>37.82</v>
          </cell>
          <cell r="M810" t="str">
            <v>营业</v>
          </cell>
        </row>
        <row r="811">
          <cell r="B811" t="str">
            <v>李玲 Total</v>
          </cell>
          <cell r="L811">
            <v>37.82</v>
          </cell>
        </row>
        <row r="812">
          <cell r="A812" t="str">
            <v>020198</v>
          </cell>
          <cell r="B812" t="str">
            <v>李流泉</v>
          </cell>
          <cell r="C812" t="str">
            <v>其它</v>
          </cell>
          <cell r="D812" t="str">
            <v>其它</v>
          </cell>
          <cell r="E812" t="str">
            <v>质押贷款</v>
          </cell>
          <cell r="F812">
            <v>37558</v>
          </cell>
          <cell r="G812">
            <v>37740</v>
          </cell>
          <cell r="H812">
            <v>1.5</v>
          </cell>
          <cell r="I812">
            <v>1.5</v>
          </cell>
          <cell r="J812">
            <v>0</v>
          </cell>
          <cell r="K812">
            <v>0</v>
          </cell>
          <cell r="L812">
            <v>1.5</v>
          </cell>
          <cell r="M812" t="str">
            <v>东区</v>
          </cell>
        </row>
        <row r="813">
          <cell r="A813" t="str">
            <v>020197</v>
          </cell>
          <cell r="B813" t="str">
            <v>李流泉</v>
          </cell>
          <cell r="C813" t="str">
            <v>其它</v>
          </cell>
          <cell r="D813" t="str">
            <v>其它</v>
          </cell>
          <cell r="E813" t="str">
            <v>质押贷款</v>
          </cell>
          <cell r="F813">
            <v>37547</v>
          </cell>
          <cell r="G813">
            <v>37729</v>
          </cell>
          <cell r="H813">
            <v>3.2</v>
          </cell>
          <cell r="I813">
            <v>3.2</v>
          </cell>
          <cell r="J813">
            <v>0</v>
          </cell>
          <cell r="K813">
            <v>0</v>
          </cell>
          <cell r="L813">
            <v>3.2</v>
          </cell>
          <cell r="M813" t="str">
            <v>东区</v>
          </cell>
        </row>
        <row r="814">
          <cell r="A814" t="str">
            <v>020190</v>
          </cell>
          <cell r="B814" t="str">
            <v>李流泉</v>
          </cell>
          <cell r="C814" t="str">
            <v>其它</v>
          </cell>
          <cell r="D814" t="str">
            <v>其它</v>
          </cell>
          <cell r="E814" t="str">
            <v>抵押贷款</v>
          </cell>
          <cell r="F814">
            <v>37545</v>
          </cell>
          <cell r="G814">
            <v>37870</v>
          </cell>
          <cell r="H814">
            <v>12</v>
          </cell>
          <cell r="I814">
            <v>12</v>
          </cell>
          <cell r="J814">
            <v>0</v>
          </cell>
          <cell r="K814">
            <v>0</v>
          </cell>
          <cell r="L814">
            <v>12</v>
          </cell>
          <cell r="M814" t="str">
            <v>东区</v>
          </cell>
        </row>
        <row r="815">
          <cell r="B815" t="str">
            <v>李流泉 Total</v>
          </cell>
          <cell r="L815">
            <v>16.7</v>
          </cell>
        </row>
        <row r="816">
          <cell r="A816" t="str">
            <v>gs0065</v>
          </cell>
          <cell r="B816" t="str">
            <v>李妙勤</v>
          </cell>
          <cell r="C816" t="str">
            <v>其它</v>
          </cell>
          <cell r="D816" t="str">
            <v>其它</v>
          </cell>
          <cell r="E816" t="str">
            <v>抵押贷款</v>
          </cell>
          <cell r="F816">
            <v>37461</v>
          </cell>
          <cell r="G816">
            <v>37817</v>
          </cell>
          <cell r="H816">
            <v>0</v>
          </cell>
          <cell r="I816">
            <v>16</v>
          </cell>
          <cell r="J816">
            <v>0</v>
          </cell>
          <cell r="K816">
            <v>0</v>
          </cell>
          <cell r="L816">
            <v>16</v>
          </cell>
          <cell r="M816" t="str">
            <v>湖里</v>
          </cell>
        </row>
        <row r="817">
          <cell r="B817" t="str">
            <v>李妙勤 Total</v>
          </cell>
          <cell r="L817">
            <v>16</v>
          </cell>
        </row>
        <row r="818">
          <cell r="A818" t="str">
            <v>020080</v>
          </cell>
          <cell r="B818" t="str">
            <v>李芹</v>
          </cell>
          <cell r="C818" t="str">
            <v>住房</v>
          </cell>
          <cell r="D818" t="str">
            <v>其它</v>
          </cell>
          <cell r="E818" t="str">
            <v>抵押贷款</v>
          </cell>
          <cell r="F818">
            <v>36614</v>
          </cell>
          <cell r="G818">
            <v>40266</v>
          </cell>
          <cell r="H818">
            <v>0</v>
          </cell>
          <cell r="I818">
            <v>28.24</v>
          </cell>
          <cell r="J818">
            <v>0.48</v>
          </cell>
          <cell r="K818">
            <v>1.86</v>
          </cell>
          <cell r="L818">
            <v>26.38</v>
          </cell>
          <cell r="M818" t="str">
            <v>东区</v>
          </cell>
        </row>
        <row r="819">
          <cell r="B819" t="str">
            <v>李芹 Total</v>
          </cell>
          <cell r="L819">
            <v>26.38</v>
          </cell>
        </row>
        <row r="820">
          <cell r="A820" t="str">
            <v>40121</v>
          </cell>
          <cell r="B820" t="str">
            <v>李淑娟</v>
          </cell>
          <cell r="C820" t="str">
            <v>其它</v>
          </cell>
          <cell r="D820" t="str">
            <v>其它</v>
          </cell>
          <cell r="E820" t="str">
            <v>抵押贷款</v>
          </cell>
          <cell r="F820">
            <v>37371</v>
          </cell>
          <cell r="G820">
            <v>37736</v>
          </cell>
          <cell r="H820">
            <v>0</v>
          </cell>
          <cell r="I820">
            <v>20</v>
          </cell>
          <cell r="J820">
            <v>0</v>
          </cell>
          <cell r="K820">
            <v>0</v>
          </cell>
          <cell r="L820">
            <v>20</v>
          </cell>
          <cell r="M820" t="str">
            <v>象屿</v>
          </cell>
        </row>
        <row r="821">
          <cell r="B821" t="str">
            <v>李淑娟 Total</v>
          </cell>
          <cell r="L821">
            <v>20</v>
          </cell>
        </row>
        <row r="822">
          <cell r="A822" t="str">
            <v>000003</v>
          </cell>
          <cell r="B822" t="str">
            <v>李淑珍</v>
          </cell>
          <cell r="C822" t="str">
            <v>其它</v>
          </cell>
          <cell r="D822" t="str">
            <v>其它</v>
          </cell>
          <cell r="E822" t="str">
            <v>质押贷款</v>
          </cell>
          <cell r="F822">
            <v>37238</v>
          </cell>
          <cell r="G822">
            <v>37603</v>
          </cell>
          <cell r="H822">
            <v>0</v>
          </cell>
          <cell r="I822">
            <v>9</v>
          </cell>
          <cell r="J822">
            <v>0</v>
          </cell>
          <cell r="K822">
            <v>0</v>
          </cell>
          <cell r="L822">
            <v>9</v>
          </cell>
          <cell r="M822" t="str">
            <v>思明</v>
          </cell>
        </row>
        <row r="823">
          <cell r="B823" t="str">
            <v>李淑珍 Total</v>
          </cell>
          <cell r="L823">
            <v>9</v>
          </cell>
        </row>
        <row r="824">
          <cell r="A824" t="str">
            <v>TGX047</v>
          </cell>
          <cell r="B824" t="str">
            <v>李水返</v>
          </cell>
          <cell r="C824" t="str">
            <v>其它</v>
          </cell>
          <cell r="D824" t="str">
            <v>其它</v>
          </cell>
          <cell r="E824" t="str">
            <v>信用贷款</v>
          </cell>
          <cell r="F824">
            <v>36896</v>
          </cell>
          <cell r="G824">
            <v>37641</v>
          </cell>
          <cell r="H824">
            <v>0</v>
          </cell>
          <cell r="I824">
            <v>0.86</v>
          </cell>
          <cell r="J824">
            <v>0.09</v>
          </cell>
          <cell r="K824">
            <v>0.61</v>
          </cell>
          <cell r="L824">
            <v>0.25</v>
          </cell>
          <cell r="M824" t="str">
            <v>马巷</v>
          </cell>
        </row>
        <row r="825">
          <cell r="B825" t="str">
            <v>李水返 Total</v>
          </cell>
          <cell r="L825">
            <v>0.25</v>
          </cell>
        </row>
        <row r="826">
          <cell r="A826" t="str">
            <v>0005</v>
          </cell>
          <cell r="B826" t="str">
            <v>李铁城</v>
          </cell>
          <cell r="C826" t="str">
            <v>其它</v>
          </cell>
          <cell r="D826" t="str">
            <v>其它</v>
          </cell>
          <cell r="E826" t="str">
            <v>抵押贷款</v>
          </cell>
          <cell r="F826">
            <v>37291</v>
          </cell>
          <cell r="G826">
            <v>37631</v>
          </cell>
          <cell r="H826">
            <v>0</v>
          </cell>
          <cell r="I826">
            <v>15</v>
          </cell>
          <cell r="J826">
            <v>0</v>
          </cell>
          <cell r="K826">
            <v>0</v>
          </cell>
          <cell r="L826">
            <v>15</v>
          </cell>
          <cell r="M826" t="str">
            <v>东芳</v>
          </cell>
        </row>
        <row r="827">
          <cell r="B827" t="str">
            <v>李铁城 Total</v>
          </cell>
          <cell r="L827">
            <v>15</v>
          </cell>
        </row>
        <row r="828">
          <cell r="A828" t="str">
            <v>G02050</v>
          </cell>
          <cell r="B828" t="str">
            <v>李婉如</v>
          </cell>
          <cell r="C828" t="str">
            <v>其它</v>
          </cell>
          <cell r="D828" t="str">
            <v>其它</v>
          </cell>
          <cell r="E828" t="str">
            <v>质押贷款</v>
          </cell>
          <cell r="F828">
            <v>37539</v>
          </cell>
          <cell r="G828">
            <v>37721</v>
          </cell>
          <cell r="H828">
            <v>2.5</v>
          </cell>
          <cell r="I828">
            <v>2.5</v>
          </cell>
          <cell r="J828">
            <v>0</v>
          </cell>
          <cell r="K828">
            <v>0</v>
          </cell>
          <cell r="L828">
            <v>2.5</v>
          </cell>
          <cell r="M828" t="str">
            <v>营业</v>
          </cell>
        </row>
        <row r="829">
          <cell r="B829" t="str">
            <v>李婉如 Total</v>
          </cell>
          <cell r="L829">
            <v>2.5</v>
          </cell>
        </row>
        <row r="830">
          <cell r="A830" t="str">
            <v>023532</v>
          </cell>
          <cell r="B830" t="str">
            <v>李向演</v>
          </cell>
          <cell r="C830" t="str">
            <v>其它</v>
          </cell>
          <cell r="D830" t="str">
            <v>其它</v>
          </cell>
          <cell r="E830" t="str">
            <v>保证贷款</v>
          </cell>
          <cell r="F830">
            <v>37484</v>
          </cell>
          <cell r="G830">
            <v>37848</v>
          </cell>
          <cell r="H830">
            <v>0</v>
          </cell>
          <cell r="I830">
            <v>6</v>
          </cell>
          <cell r="J830">
            <v>0</v>
          </cell>
          <cell r="K830">
            <v>0</v>
          </cell>
          <cell r="L830">
            <v>6</v>
          </cell>
          <cell r="M830" t="str">
            <v>集美</v>
          </cell>
        </row>
        <row r="831">
          <cell r="B831" t="str">
            <v>李向演 Total</v>
          </cell>
          <cell r="L831">
            <v>6</v>
          </cell>
        </row>
        <row r="832">
          <cell r="A832" t="str">
            <v>020153</v>
          </cell>
          <cell r="B832" t="str">
            <v>李毅</v>
          </cell>
          <cell r="C832" t="str">
            <v>其它</v>
          </cell>
          <cell r="D832" t="str">
            <v>其它</v>
          </cell>
          <cell r="E832" t="str">
            <v>抵押贷款</v>
          </cell>
          <cell r="F832">
            <v>37414</v>
          </cell>
          <cell r="G832">
            <v>37761</v>
          </cell>
          <cell r="H832">
            <v>0</v>
          </cell>
          <cell r="I832">
            <v>40</v>
          </cell>
          <cell r="J832">
            <v>0</v>
          </cell>
          <cell r="K832">
            <v>0</v>
          </cell>
          <cell r="L832">
            <v>40</v>
          </cell>
          <cell r="M832" t="str">
            <v>东区</v>
          </cell>
        </row>
        <row r="833">
          <cell r="B833" t="str">
            <v>李毅 Total</v>
          </cell>
          <cell r="L833">
            <v>40</v>
          </cell>
        </row>
        <row r="834">
          <cell r="A834" t="str">
            <v>2021ga</v>
          </cell>
          <cell r="B834" t="str">
            <v>李跃辉</v>
          </cell>
          <cell r="C834" t="str">
            <v>住房</v>
          </cell>
          <cell r="D834" t="str">
            <v>其它</v>
          </cell>
          <cell r="E834" t="str">
            <v>抵押贷款</v>
          </cell>
          <cell r="F834">
            <v>37316</v>
          </cell>
          <cell r="G834">
            <v>37550</v>
          </cell>
          <cell r="H834">
            <v>0.2</v>
          </cell>
          <cell r="I834">
            <v>1.35</v>
          </cell>
          <cell r="J834">
            <v>0</v>
          </cell>
          <cell r="K834">
            <v>0</v>
          </cell>
          <cell r="L834">
            <v>1.35</v>
          </cell>
          <cell r="M834" t="str">
            <v>公园</v>
          </cell>
        </row>
        <row r="835">
          <cell r="B835" t="str">
            <v>李跃辉 Total</v>
          </cell>
          <cell r="L835">
            <v>1.35</v>
          </cell>
        </row>
        <row r="836">
          <cell r="A836" t="str">
            <v>023511</v>
          </cell>
          <cell r="B836" t="str">
            <v>李泽育</v>
          </cell>
          <cell r="C836" t="str">
            <v>其它</v>
          </cell>
          <cell r="D836" t="str">
            <v>其它</v>
          </cell>
          <cell r="E836" t="str">
            <v>保证贷款</v>
          </cell>
          <cell r="F836">
            <v>37343</v>
          </cell>
          <cell r="G836">
            <v>37708</v>
          </cell>
          <cell r="H836">
            <v>0</v>
          </cell>
          <cell r="I836">
            <v>3</v>
          </cell>
          <cell r="J836">
            <v>0</v>
          </cell>
          <cell r="K836">
            <v>0</v>
          </cell>
          <cell r="L836">
            <v>3</v>
          </cell>
          <cell r="M836" t="str">
            <v>集美</v>
          </cell>
        </row>
        <row r="837">
          <cell r="B837" t="str">
            <v>李泽育 Total</v>
          </cell>
          <cell r="L837">
            <v>3</v>
          </cell>
        </row>
        <row r="838">
          <cell r="A838" t="str">
            <v>消0207</v>
          </cell>
          <cell r="B838" t="str">
            <v>李政</v>
          </cell>
          <cell r="C838" t="str">
            <v>其它</v>
          </cell>
          <cell r="D838" t="str">
            <v>其它</v>
          </cell>
          <cell r="E838" t="str">
            <v>保证贷款</v>
          </cell>
          <cell r="F838">
            <v>37523</v>
          </cell>
          <cell r="G838">
            <v>37888</v>
          </cell>
          <cell r="H838">
            <v>0</v>
          </cell>
          <cell r="I838">
            <v>20</v>
          </cell>
          <cell r="J838">
            <v>0</v>
          </cell>
          <cell r="K838">
            <v>0</v>
          </cell>
          <cell r="L838">
            <v>20</v>
          </cell>
          <cell r="M838" t="str">
            <v>文滨</v>
          </cell>
        </row>
        <row r="839">
          <cell r="B839" t="str">
            <v>李政 Total</v>
          </cell>
          <cell r="L839">
            <v>20</v>
          </cell>
        </row>
        <row r="840">
          <cell r="A840" t="str">
            <v>020015</v>
          </cell>
          <cell r="B840" t="str">
            <v>李志明</v>
          </cell>
          <cell r="C840" t="str">
            <v>住房</v>
          </cell>
          <cell r="D840" t="str">
            <v>其它</v>
          </cell>
          <cell r="E840" t="str">
            <v>抵押贷款</v>
          </cell>
          <cell r="F840">
            <v>36767</v>
          </cell>
          <cell r="G840">
            <v>44094</v>
          </cell>
          <cell r="H840">
            <v>0</v>
          </cell>
          <cell r="I840">
            <v>24.89</v>
          </cell>
          <cell r="J840">
            <v>7.0000000000000007E-2</v>
          </cell>
          <cell r="K840">
            <v>0.46</v>
          </cell>
          <cell r="L840">
            <v>24.43</v>
          </cell>
          <cell r="M840" t="str">
            <v>东区</v>
          </cell>
        </row>
        <row r="841">
          <cell r="B841" t="str">
            <v>李志明 Total</v>
          </cell>
          <cell r="L841">
            <v>24.43</v>
          </cell>
        </row>
        <row r="842">
          <cell r="A842" t="str">
            <v>020070</v>
          </cell>
          <cell r="B842" t="str">
            <v>李忠荣</v>
          </cell>
          <cell r="C842" t="str">
            <v>住房</v>
          </cell>
          <cell r="D842" t="str">
            <v>其它</v>
          </cell>
          <cell r="E842" t="str">
            <v>抵押贷款</v>
          </cell>
          <cell r="F842">
            <v>36614</v>
          </cell>
          <cell r="G842">
            <v>42092</v>
          </cell>
          <cell r="H842">
            <v>0</v>
          </cell>
          <cell r="I842">
            <v>32.89</v>
          </cell>
          <cell r="J842">
            <v>0.15</v>
          </cell>
          <cell r="K842">
            <v>1.02</v>
          </cell>
          <cell r="L842">
            <v>31.87</v>
          </cell>
          <cell r="M842" t="str">
            <v>东区</v>
          </cell>
        </row>
        <row r="843">
          <cell r="B843" t="str">
            <v>李忠荣 Total</v>
          </cell>
          <cell r="L843">
            <v>31.87</v>
          </cell>
        </row>
        <row r="844">
          <cell r="A844" t="str">
            <v>217300</v>
          </cell>
          <cell r="B844" t="str">
            <v>立铭石材公司</v>
          </cell>
          <cell r="C844" t="str">
            <v>集体</v>
          </cell>
          <cell r="D844" t="str">
            <v>工业</v>
          </cell>
          <cell r="E844" t="str">
            <v>保证贷款</v>
          </cell>
          <cell r="F844">
            <v>35692</v>
          </cell>
          <cell r="G844">
            <v>35904</v>
          </cell>
          <cell r="H844">
            <v>0</v>
          </cell>
          <cell r="I844">
            <v>0</v>
          </cell>
          <cell r="J844">
            <v>0</v>
          </cell>
          <cell r="K844">
            <v>7.1</v>
          </cell>
          <cell r="L844">
            <v>8.9</v>
          </cell>
          <cell r="M844" t="str">
            <v>同安</v>
          </cell>
        </row>
        <row r="845">
          <cell r="B845" t="str">
            <v>立铭石材公司 Total</v>
          </cell>
          <cell r="L845">
            <v>8.9</v>
          </cell>
        </row>
        <row r="846">
          <cell r="A846" t="str">
            <v>000070</v>
          </cell>
          <cell r="B846" t="str">
            <v>立赛亚</v>
          </cell>
          <cell r="C846" t="str">
            <v>其它</v>
          </cell>
          <cell r="D846" t="str">
            <v>工业</v>
          </cell>
          <cell r="E846" t="str">
            <v>抵押贷款</v>
          </cell>
          <cell r="F846">
            <v>37351</v>
          </cell>
          <cell r="G846">
            <v>37716</v>
          </cell>
          <cell r="H846">
            <v>0</v>
          </cell>
          <cell r="I846">
            <v>2300</v>
          </cell>
          <cell r="J846">
            <v>0</v>
          </cell>
          <cell r="K846">
            <v>0</v>
          </cell>
          <cell r="L846">
            <v>2300</v>
          </cell>
          <cell r="M846" t="str">
            <v>康乐</v>
          </cell>
        </row>
        <row r="847">
          <cell r="B847" t="str">
            <v>立赛亚 Total</v>
          </cell>
          <cell r="L847">
            <v>2300</v>
          </cell>
        </row>
        <row r="848">
          <cell r="A848" t="str">
            <v>01-058</v>
          </cell>
          <cell r="B848" t="str">
            <v>利禾嘉实业有限</v>
          </cell>
          <cell r="C848" t="str">
            <v>集体</v>
          </cell>
          <cell r="D848" t="str">
            <v>其它</v>
          </cell>
          <cell r="E848" t="str">
            <v>抵押贷款</v>
          </cell>
          <cell r="F848">
            <v>37092</v>
          </cell>
          <cell r="G848">
            <v>37631</v>
          </cell>
          <cell r="H848">
            <v>0</v>
          </cell>
          <cell r="I848">
            <v>0</v>
          </cell>
          <cell r="J848">
            <v>0</v>
          </cell>
          <cell r="K848">
            <v>30</v>
          </cell>
          <cell r="L848">
            <v>160</v>
          </cell>
          <cell r="M848" t="str">
            <v>营业</v>
          </cell>
        </row>
        <row r="849">
          <cell r="B849" t="str">
            <v>利禾嘉实业有限 Total</v>
          </cell>
          <cell r="L849">
            <v>160</v>
          </cell>
        </row>
        <row r="850">
          <cell r="A850" t="str">
            <v>Q02-01</v>
          </cell>
          <cell r="B850" t="str">
            <v>连淑莲</v>
          </cell>
          <cell r="C850" t="str">
            <v>其它</v>
          </cell>
          <cell r="D850" t="str">
            <v>其它</v>
          </cell>
          <cell r="E850" t="str">
            <v>抵押贷款</v>
          </cell>
          <cell r="F850">
            <v>37362</v>
          </cell>
          <cell r="G850">
            <v>38093</v>
          </cell>
          <cell r="H850">
            <v>0</v>
          </cell>
          <cell r="I850">
            <v>33.6</v>
          </cell>
          <cell r="J850">
            <v>1.41</v>
          </cell>
          <cell r="K850">
            <v>7.96</v>
          </cell>
          <cell r="L850">
            <v>25.64</v>
          </cell>
          <cell r="M850" t="str">
            <v>营业</v>
          </cell>
        </row>
        <row r="851">
          <cell r="B851" t="str">
            <v>连淑莲 Total</v>
          </cell>
          <cell r="L851">
            <v>25.64</v>
          </cell>
        </row>
        <row r="852">
          <cell r="A852" t="str">
            <v>200213</v>
          </cell>
          <cell r="B852" t="str">
            <v>连育民</v>
          </cell>
          <cell r="C852" t="str">
            <v>其它</v>
          </cell>
          <cell r="D852" t="str">
            <v>其它</v>
          </cell>
          <cell r="E852" t="str">
            <v>保证贷款</v>
          </cell>
          <cell r="F852">
            <v>37320</v>
          </cell>
          <cell r="G852">
            <v>37685</v>
          </cell>
          <cell r="H852">
            <v>0</v>
          </cell>
          <cell r="I852">
            <v>3</v>
          </cell>
          <cell r="J852">
            <v>0</v>
          </cell>
          <cell r="K852">
            <v>0</v>
          </cell>
          <cell r="L852">
            <v>3</v>
          </cell>
          <cell r="M852" t="str">
            <v>海沧</v>
          </cell>
        </row>
        <row r="853">
          <cell r="B853" t="str">
            <v>连育民 Total</v>
          </cell>
          <cell r="L853">
            <v>3</v>
          </cell>
        </row>
        <row r="854">
          <cell r="A854" t="str">
            <v>237155</v>
          </cell>
          <cell r="B854" t="str">
            <v>莲花汽运公司</v>
          </cell>
          <cell r="C854" t="str">
            <v>集体</v>
          </cell>
          <cell r="D854" t="str">
            <v>其它</v>
          </cell>
          <cell r="E854" t="str">
            <v>保证贷款</v>
          </cell>
          <cell r="F854">
            <v>35579</v>
          </cell>
          <cell r="G854">
            <v>35793</v>
          </cell>
          <cell r="H854">
            <v>0</v>
          </cell>
          <cell r="I854">
            <v>0</v>
          </cell>
          <cell r="J854">
            <v>0</v>
          </cell>
          <cell r="K854">
            <v>0</v>
          </cell>
          <cell r="L854">
            <v>20</v>
          </cell>
          <cell r="M854" t="str">
            <v>同安</v>
          </cell>
        </row>
        <row r="855">
          <cell r="B855" t="str">
            <v>莲花汽运公司 Total</v>
          </cell>
          <cell r="L855">
            <v>20</v>
          </cell>
        </row>
        <row r="856">
          <cell r="A856" t="str">
            <v>200012</v>
          </cell>
          <cell r="B856" t="str">
            <v>联合科信</v>
          </cell>
          <cell r="C856" t="str">
            <v>集体</v>
          </cell>
          <cell r="D856" t="str">
            <v>商贸</v>
          </cell>
          <cell r="E856" t="str">
            <v>抵押贷款</v>
          </cell>
          <cell r="F856">
            <v>37254</v>
          </cell>
          <cell r="G856">
            <v>37966</v>
          </cell>
          <cell r="H856">
            <v>0</v>
          </cell>
          <cell r="I856">
            <v>0</v>
          </cell>
          <cell r="J856">
            <v>0</v>
          </cell>
          <cell r="K856">
            <v>6.35</v>
          </cell>
          <cell r="L856">
            <v>11.39</v>
          </cell>
          <cell r="M856" t="str">
            <v>新港</v>
          </cell>
        </row>
        <row r="857">
          <cell r="B857" t="str">
            <v>联合科信 Total</v>
          </cell>
          <cell r="L857">
            <v>11.39</v>
          </cell>
        </row>
        <row r="858">
          <cell r="A858" t="str">
            <v>000061</v>
          </cell>
          <cell r="B858" t="str">
            <v>联康贸易</v>
          </cell>
          <cell r="C858" t="str">
            <v>其它</v>
          </cell>
          <cell r="D858" t="str">
            <v>商贸</v>
          </cell>
          <cell r="E858" t="str">
            <v>抵押贷款</v>
          </cell>
          <cell r="F858">
            <v>37321</v>
          </cell>
          <cell r="G858">
            <v>38039</v>
          </cell>
          <cell r="H858">
            <v>0</v>
          </cell>
          <cell r="I858">
            <v>10.24</v>
          </cell>
          <cell r="J858">
            <v>0.43</v>
          </cell>
          <cell r="K858">
            <v>2.97</v>
          </cell>
          <cell r="L858">
            <v>7.27</v>
          </cell>
          <cell r="M858" t="str">
            <v>康乐</v>
          </cell>
        </row>
        <row r="859">
          <cell r="A859" t="str">
            <v>000117</v>
          </cell>
          <cell r="B859" t="str">
            <v>联康贸易</v>
          </cell>
          <cell r="C859" t="str">
            <v>其它</v>
          </cell>
          <cell r="D859" t="str">
            <v>商贸</v>
          </cell>
          <cell r="E859" t="str">
            <v>保证贷款</v>
          </cell>
          <cell r="F859">
            <v>37540</v>
          </cell>
          <cell r="G859">
            <v>38635</v>
          </cell>
          <cell r="H859">
            <v>23.2</v>
          </cell>
          <cell r="I859">
            <v>23.2</v>
          </cell>
          <cell r="J859">
            <v>0</v>
          </cell>
          <cell r="K859">
            <v>0</v>
          </cell>
          <cell r="L859">
            <v>23.2</v>
          </cell>
          <cell r="M859" t="str">
            <v>康乐</v>
          </cell>
        </row>
        <row r="860">
          <cell r="A860" t="str">
            <v>000071</v>
          </cell>
          <cell r="B860" t="str">
            <v>联康贸易</v>
          </cell>
          <cell r="C860" t="str">
            <v>其它</v>
          </cell>
          <cell r="D860" t="str">
            <v>商贸</v>
          </cell>
          <cell r="E860" t="str">
            <v>保证贷款</v>
          </cell>
          <cell r="F860">
            <v>37373</v>
          </cell>
          <cell r="G860">
            <v>37738</v>
          </cell>
          <cell r="H860">
            <v>0</v>
          </cell>
          <cell r="I860">
            <v>60</v>
          </cell>
          <cell r="J860">
            <v>0</v>
          </cell>
          <cell r="K860">
            <v>0</v>
          </cell>
          <cell r="L860">
            <v>60</v>
          </cell>
          <cell r="M860" t="str">
            <v>康乐</v>
          </cell>
        </row>
        <row r="861">
          <cell r="A861" t="str">
            <v>000004</v>
          </cell>
          <cell r="B861" t="str">
            <v>联康贸易</v>
          </cell>
          <cell r="C861" t="str">
            <v>其它</v>
          </cell>
          <cell r="D861" t="str">
            <v>商贸</v>
          </cell>
          <cell r="E861" t="str">
            <v>抵押贷款</v>
          </cell>
          <cell r="F861">
            <v>37210</v>
          </cell>
          <cell r="G861">
            <v>37933</v>
          </cell>
          <cell r="H861">
            <v>0</v>
          </cell>
          <cell r="I861">
            <v>0</v>
          </cell>
          <cell r="J861">
            <v>0.39</v>
          </cell>
          <cell r="K861">
            <v>3.82</v>
          </cell>
          <cell r="L861">
            <v>5.31</v>
          </cell>
          <cell r="M861" t="str">
            <v>康乐</v>
          </cell>
        </row>
        <row r="862">
          <cell r="B862" t="str">
            <v>联康贸易 Total</v>
          </cell>
          <cell r="L862">
            <v>95.78</v>
          </cell>
        </row>
        <row r="863">
          <cell r="A863" t="str">
            <v>020035</v>
          </cell>
          <cell r="B863" t="str">
            <v>联宇包装工业有限公司</v>
          </cell>
          <cell r="C863" t="str">
            <v>三资</v>
          </cell>
          <cell r="D863" t="str">
            <v>工业</v>
          </cell>
          <cell r="E863" t="str">
            <v>保证贷款</v>
          </cell>
          <cell r="F863">
            <v>37335</v>
          </cell>
          <cell r="G863">
            <v>37700</v>
          </cell>
          <cell r="H863">
            <v>0</v>
          </cell>
          <cell r="I863">
            <v>200</v>
          </cell>
          <cell r="J863">
            <v>0</v>
          </cell>
          <cell r="K863">
            <v>0</v>
          </cell>
          <cell r="L863">
            <v>200</v>
          </cell>
          <cell r="M863" t="str">
            <v>东区</v>
          </cell>
        </row>
        <row r="864">
          <cell r="B864" t="str">
            <v>联宇包装工业有限公司 Total</v>
          </cell>
          <cell r="L864">
            <v>200</v>
          </cell>
        </row>
        <row r="865">
          <cell r="A865" t="str">
            <v>020110</v>
          </cell>
          <cell r="B865" t="str">
            <v>梁峰</v>
          </cell>
          <cell r="C865" t="str">
            <v>其它</v>
          </cell>
          <cell r="D865" t="str">
            <v>其它</v>
          </cell>
          <cell r="E865" t="str">
            <v>保证贷款</v>
          </cell>
          <cell r="F865">
            <v>37204</v>
          </cell>
          <cell r="G865">
            <v>37569</v>
          </cell>
          <cell r="H865">
            <v>0</v>
          </cell>
          <cell r="I865">
            <v>10</v>
          </cell>
          <cell r="J865">
            <v>0</v>
          </cell>
          <cell r="K865">
            <v>0</v>
          </cell>
          <cell r="L865">
            <v>10</v>
          </cell>
          <cell r="M865" t="str">
            <v>东区</v>
          </cell>
        </row>
        <row r="866">
          <cell r="A866" t="str">
            <v>020158</v>
          </cell>
          <cell r="B866" t="str">
            <v>梁峰</v>
          </cell>
          <cell r="C866" t="str">
            <v>其它</v>
          </cell>
          <cell r="D866" t="str">
            <v>其它</v>
          </cell>
          <cell r="E866" t="str">
            <v>保证贷款</v>
          </cell>
          <cell r="F866">
            <v>37467</v>
          </cell>
          <cell r="G866">
            <v>37832</v>
          </cell>
          <cell r="H866">
            <v>0</v>
          </cell>
          <cell r="I866">
            <v>10</v>
          </cell>
          <cell r="J866">
            <v>0</v>
          </cell>
          <cell r="K866">
            <v>0</v>
          </cell>
          <cell r="L866">
            <v>10</v>
          </cell>
          <cell r="M866" t="str">
            <v>东区</v>
          </cell>
        </row>
        <row r="867">
          <cell r="B867" t="str">
            <v>梁峰 Total</v>
          </cell>
          <cell r="L867">
            <v>20</v>
          </cell>
        </row>
        <row r="868">
          <cell r="A868" t="str">
            <v>023520</v>
          </cell>
          <cell r="B868" t="str">
            <v>粱海英</v>
          </cell>
          <cell r="C868" t="str">
            <v>其它</v>
          </cell>
          <cell r="D868" t="str">
            <v>其它</v>
          </cell>
          <cell r="E868" t="str">
            <v>质押贷款</v>
          </cell>
          <cell r="F868">
            <v>37399</v>
          </cell>
          <cell r="G868">
            <v>37583</v>
          </cell>
          <cell r="H868">
            <v>0</v>
          </cell>
          <cell r="I868">
            <v>2.25</v>
          </cell>
          <cell r="J868">
            <v>0</v>
          </cell>
          <cell r="K868">
            <v>0</v>
          </cell>
          <cell r="L868">
            <v>2.25</v>
          </cell>
          <cell r="M868" t="str">
            <v>集美</v>
          </cell>
        </row>
        <row r="869">
          <cell r="B869" t="str">
            <v>粱海英 Total</v>
          </cell>
          <cell r="L869">
            <v>2.25</v>
          </cell>
        </row>
        <row r="870">
          <cell r="A870" t="str">
            <v>020062</v>
          </cell>
          <cell r="B870" t="str">
            <v>林爱民</v>
          </cell>
          <cell r="C870" t="str">
            <v>住房</v>
          </cell>
          <cell r="D870" t="str">
            <v>其它</v>
          </cell>
          <cell r="E870" t="str">
            <v>抵押贷款</v>
          </cell>
          <cell r="F870">
            <v>36614</v>
          </cell>
          <cell r="G870">
            <v>42092</v>
          </cell>
          <cell r="H870">
            <v>0</v>
          </cell>
          <cell r="I870">
            <v>28.78</v>
          </cell>
          <cell r="J870">
            <v>0.13</v>
          </cell>
          <cell r="K870">
            <v>0.9</v>
          </cell>
          <cell r="L870">
            <v>27.88</v>
          </cell>
          <cell r="M870" t="str">
            <v>东区</v>
          </cell>
        </row>
        <row r="871">
          <cell r="B871" t="str">
            <v>林爱民 Total</v>
          </cell>
          <cell r="L871">
            <v>27.88</v>
          </cell>
        </row>
        <row r="872">
          <cell r="A872" t="str">
            <v>020028</v>
          </cell>
          <cell r="B872" t="str">
            <v>林长成</v>
          </cell>
          <cell r="C872" t="str">
            <v>住房</v>
          </cell>
          <cell r="D872" t="str">
            <v>其它</v>
          </cell>
          <cell r="E872" t="str">
            <v>抵押贷款</v>
          </cell>
          <cell r="F872">
            <v>36844</v>
          </cell>
          <cell r="G872">
            <v>42328</v>
          </cell>
          <cell r="H872">
            <v>0</v>
          </cell>
          <cell r="I872">
            <v>18.82</v>
          </cell>
          <cell r="J872">
            <v>0.08</v>
          </cell>
          <cell r="K872">
            <v>0.56000000000000005</v>
          </cell>
          <cell r="L872">
            <v>18.260000000000002</v>
          </cell>
          <cell r="M872" t="str">
            <v>东区</v>
          </cell>
        </row>
        <row r="873">
          <cell r="B873" t="str">
            <v>林长成 Total</v>
          </cell>
          <cell r="L873">
            <v>18.260000000000002</v>
          </cell>
        </row>
        <row r="874">
          <cell r="A874" t="str">
            <v>消0205</v>
          </cell>
          <cell r="B874" t="str">
            <v>林芳城</v>
          </cell>
          <cell r="C874" t="str">
            <v>其它</v>
          </cell>
          <cell r="D874" t="str">
            <v>其它</v>
          </cell>
          <cell r="E874" t="str">
            <v>保证贷款</v>
          </cell>
          <cell r="F874">
            <v>37524</v>
          </cell>
          <cell r="G874">
            <v>37888</v>
          </cell>
          <cell r="H874">
            <v>0</v>
          </cell>
          <cell r="I874">
            <v>10</v>
          </cell>
          <cell r="J874">
            <v>0</v>
          </cell>
          <cell r="K874">
            <v>0</v>
          </cell>
          <cell r="L874">
            <v>10</v>
          </cell>
          <cell r="M874" t="str">
            <v>文滨</v>
          </cell>
        </row>
        <row r="875">
          <cell r="B875" t="str">
            <v>林芳城 Total</v>
          </cell>
          <cell r="L875">
            <v>10</v>
          </cell>
        </row>
        <row r="876">
          <cell r="A876" t="str">
            <v>0015</v>
          </cell>
          <cell r="B876" t="str">
            <v>林根荣</v>
          </cell>
          <cell r="C876" t="str">
            <v>其它</v>
          </cell>
          <cell r="D876" t="str">
            <v>其它</v>
          </cell>
          <cell r="E876" t="str">
            <v>抵押贷款</v>
          </cell>
          <cell r="F876">
            <v>37391</v>
          </cell>
          <cell r="G876">
            <v>37756</v>
          </cell>
          <cell r="H876">
            <v>0</v>
          </cell>
          <cell r="I876">
            <v>50</v>
          </cell>
          <cell r="J876">
            <v>0</v>
          </cell>
          <cell r="K876">
            <v>0</v>
          </cell>
          <cell r="L876">
            <v>50</v>
          </cell>
          <cell r="M876" t="str">
            <v>莲花</v>
          </cell>
        </row>
        <row r="877">
          <cell r="B877" t="str">
            <v>林根荣 Total</v>
          </cell>
          <cell r="L877">
            <v>50</v>
          </cell>
        </row>
        <row r="878">
          <cell r="A878" t="str">
            <v>GX0124</v>
          </cell>
          <cell r="B878" t="str">
            <v>林国量</v>
          </cell>
          <cell r="C878" t="str">
            <v>其它</v>
          </cell>
          <cell r="D878" t="str">
            <v>其它</v>
          </cell>
          <cell r="E878" t="str">
            <v>信用贷款</v>
          </cell>
          <cell r="F878">
            <v>36964</v>
          </cell>
          <cell r="G878">
            <v>37700</v>
          </cell>
          <cell r="H878">
            <v>0</v>
          </cell>
          <cell r="I878">
            <v>1.03</v>
          </cell>
          <cell r="J878">
            <v>0.09</v>
          </cell>
          <cell r="K878">
            <v>0.61</v>
          </cell>
          <cell r="L878">
            <v>0.42</v>
          </cell>
          <cell r="M878" t="str">
            <v>马巷</v>
          </cell>
        </row>
        <row r="879">
          <cell r="B879" t="str">
            <v>林国量 Total</v>
          </cell>
          <cell r="L879">
            <v>0.42</v>
          </cell>
        </row>
        <row r="880">
          <cell r="A880" t="str">
            <v>020150</v>
          </cell>
          <cell r="B880" t="str">
            <v>林海</v>
          </cell>
          <cell r="C880" t="str">
            <v>其它</v>
          </cell>
          <cell r="D880" t="str">
            <v>其它</v>
          </cell>
          <cell r="E880" t="str">
            <v>保证贷款</v>
          </cell>
          <cell r="F880">
            <v>37419</v>
          </cell>
          <cell r="G880">
            <v>37784</v>
          </cell>
          <cell r="H880">
            <v>0</v>
          </cell>
          <cell r="I880">
            <v>15</v>
          </cell>
          <cell r="J880">
            <v>0</v>
          </cell>
          <cell r="K880">
            <v>0</v>
          </cell>
          <cell r="L880">
            <v>15</v>
          </cell>
          <cell r="M880" t="str">
            <v>东区</v>
          </cell>
        </row>
        <row r="881">
          <cell r="B881" t="str">
            <v>林海 Total</v>
          </cell>
          <cell r="L881">
            <v>15</v>
          </cell>
        </row>
        <row r="882">
          <cell r="A882" t="str">
            <v>0019</v>
          </cell>
          <cell r="B882" t="str">
            <v>林和兴</v>
          </cell>
          <cell r="C882" t="str">
            <v>其它</v>
          </cell>
          <cell r="D882" t="str">
            <v>其它</v>
          </cell>
          <cell r="E882" t="str">
            <v>抵押贷款</v>
          </cell>
          <cell r="F882">
            <v>37540</v>
          </cell>
          <cell r="G882">
            <v>37905</v>
          </cell>
          <cell r="H882">
            <v>45</v>
          </cell>
          <cell r="I882">
            <v>45</v>
          </cell>
          <cell r="J882">
            <v>0</v>
          </cell>
          <cell r="K882">
            <v>0</v>
          </cell>
          <cell r="L882">
            <v>45</v>
          </cell>
          <cell r="M882" t="str">
            <v>东芳</v>
          </cell>
        </row>
        <row r="883">
          <cell r="B883" t="str">
            <v>林和兴 Total</v>
          </cell>
          <cell r="L883">
            <v>45</v>
          </cell>
        </row>
        <row r="884">
          <cell r="A884" t="str">
            <v>020038</v>
          </cell>
          <cell r="B884" t="str">
            <v>林宏辉</v>
          </cell>
          <cell r="C884" t="str">
            <v>住房</v>
          </cell>
          <cell r="D884" t="str">
            <v>其它</v>
          </cell>
          <cell r="E884" t="str">
            <v>抵押贷款</v>
          </cell>
          <cell r="F884">
            <v>36872</v>
          </cell>
          <cell r="G884">
            <v>42358</v>
          </cell>
          <cell r="H884">
            <v>0</v>
          </cell>
          <cell r="I884">
            <v>28.34</v>
          </cell>
          <cell r="J884">
            <v>0.12</v>
          </cell>
          <cell r="K884">
            <v>0.83</v>
          </cell>
          <cell r="L884">
            <v>27.51</v>
          </cell>
          <cell r="M884" t="str">
            <v>东区</v>
          </cell>
        </row>
        <row r="885">
          <cell r="B885" t="str">
            <v>林宏辉 Total</v>
          </cell>
          <cell r="L885">
            <v>27.51</v>
          </cell>
        </row>
        <row r="886">
          <cell r="A886" t="str">
            <v>215240</v>
          </cell>
          <cell r="B886" t="str">
            <v>林华塑料厂</v>
          </cell>
          <cell r="C886" t="str">
            <v>集体</v>
          </cell>
          <cell r="D886" t="str">
            <v>工业</v>
          </cell>
          <cell r="E886" t="str">
            <v>保证贷款</v>
          </cell>
          <cell r="F886">
            <v>34786</v>
          </cell>
          <cell r="G886">
            <v>35000</v>
          </cell>
          <cell r="H886">
            <v>0</v>
          </cell>
          <cell r="I886">
            <v>0</v>
          </cell>
          <cell r="J886">
            <v>0</v>
          </cell>
          <cell r="K886">
            <v>0</v>
          </cell>
          <cell r="L886">
            <v>36</v>
          </cell>
          <cell r="M886" t="str">
            <v>同安</v>
          </cell>
        </row>
        <row r="887">
          <cell r="B887" t="str">
            <v>林华塑料厂 Total</v>
          </cell>
          <cell r="L887">
            <v>36</v>
          </cell>
        </row>
        <row r="888">
          <cell r="A888" t="str">
            <v>000015</v>
          </cell>
          <cell r="B888" t="str">
            <v>林煌</v>
          </cell>
          <cell r="C888" t="str">
            <v>其它</v>
          </cell>
          <cell r="D888" t="str">
            <v>其它</v>
          </cell>
          <cell r="E888" t="str">
            <v>抵押贷款</v>
          </cell>
          <cell r="F888">
            <v>37329</v>
          </cell>
          <cell r="G888">
            <v>38054</v>
          </cell>
          <cell r="H888">
            <v>0</v>
          </cell>
          <cell r="I888">
            <v>41.6</v>
          </cell>
          <cell r="J888">
            <v>1.68</v>
          </cell>
          <cell r="K888">
            <v>11.58</v>
          </cell>
          <cell r="L888">
            <v>30.02</v>
          </cell>
          <cell r="M888" t="str">
            <v>康乐</v>
          </cell>
        </row>
        <row r="889">
          <cell r="B889" t="str">
            <v>林煌 Total</v>
          </cell>
          <cell r="L889">
            <v>30.02</v>
          </cell>
        </row>
        <row r="890">
          <cell r="A890" t="str">
            <v>000034</v>
          </cell>
          <cell r="B890" t="str">
            <v>林金贵</v>
          </cell>
          <cell r="C890" t="str">
            <v>其它</v>
          </cell>
          <cell r="D890" t="str">
            <v>其它</v>
          </cell>
          <cell r="E890" t="str">
            <v>抵押贷款</v>
          </cell>
          <cell r="F890">
            <v>37445</v>
          </cell>
          <cell r="G890">
            <v>37785</v>
          </cell>
          <cell r="H890">
            <v>0</v>
          </cell>
          <cell r="I890">
            <v>50</v>
          </cell>
          <cell r="J890">
            <v>0</v>
          </cell>
          <cell r="K890">
            <v>0</v>
          </cell>
          <cell r="L890">
            <v>50</v>
          </cell>
          <cell r="M890" t="str">
            <v>康乐</v>
          </cell>
        </row>
        <row r="891">
          <cell r="B891" t="str">
            <v>林金贵 Total</v>
          </cell>
          <cell r="L891">
            <v>50</v>
          </cell>
        </row>
        <row r="892">
          <cell r="A892" t="str">
            <v>40119</v>
          </cell>
          <cell r="B892" t="str">
            <v>林进和</v>
          </cell>
          <cell r="C892" t="str">
            <v>其它</v>
          </cell>
          <cell r="D892" t="str">
            <v>其它</v>
          </cell>
          <cell r="E892" t="str">
            <v>抵押贷款</v>
          </cell>
          <cell r="F892">
            <v>37273</v>
          </cell>
          <cell r="G892">
            <v>37638</v>
          </cell>
          <cell r="H892">
            <v>0</v>
          </cell>
          <cell r="I892">
            <v>7.5</v>
          </cell>
          <cell r="J892">
            <v>0</v>
          </cell>
          <cell r="K892">
            <v>0</v>
          </cell>
          <cell r="L892">
            <v>7.5</v>
          </cell>
          <cell r="M892" t="str">
            <v>象屿</v>
          </cell>
        </row>
        <row r="893">
          <cell r="B893" t="str">
            <v>林进和 Total</v>
          </cell>
          <cell r="L893">
            <v>7.5</v>
          </cell>
        </row>
        <row r="894">
          <cell r="A894" t="str">
            <v>200209</v>
          </cell>
          <cell r="B894" t="str">
            <v>林靖矜</v>
          </cell>
          <cell r="C894" t="str">
            <v>其它</v>
          </cell>
          <cell r="D894" t="str">
            <v>其它</v>
          </cell>
          <cell r="E894" t="str">
            <v>保证贷款</v>
          </cell>
          <cell r="F894">
            <v>37273</v>
          </cell>
          <cell r="G894">
            <v>37638</v>
          </cell>
          <cell r="H894">
            <v>0</v>
          </cell>
          <cell r="I894">
            <v>3</v>
          </cell>
          <cell r="J894">
            <v>0</v>
          </cell>
          <cell r="K894">
            <v>0</v>
          </cell>
          <cell r="L894">
            <v>3</v>
          </cell>
          <cell r="M894" t="str">
            <v>海沧</v>
          </cell>
        </row>
        <row r="895">
          <cell r="B895" t="str">
            <v>林靖矜 Total</v>
          </cell>
          <cell r="L895">
            <v>3</v>
          </cell>
        </row>
        <row r="896">
          <cell r="A896" t="str">
            <v>020007</v>
          </cell>
          <cell r="B896" t="str">
            <v>林静</v>
          </cell>
          <cell r="C896" t="str">
            <v>住房</v>
          </cell>
          <cell r="D896" t="str">
            <v>其它</v>
          </cell>
          <cell r="E896" t="str">
            <v>抵押贷款</v>
          </cell>
          <cell r="F896">
            <v>36718</v>
          </cell>
          <cell r="G896">
            <v>44023</v>
          </cell>
          <cell r="H896">
            <v>0</v>
          </cell>
          <cell r="I896">
            <v>25.72</v>
          </cell>
          <cell r="J896">
            <v>7.0000000000000007E-2</v>
          </cell>
          <cell r="K896">
            <v>0.49</v>
          </cell>
          <cell r="L896">
            <v>25.23</v>
          </cell>
          <cell r="M896" t="str">
            <v>东区</v>
          </cell>
        </row>
        <row r="897">
          <cell r="B897" t="str">
            <v>林静 Total</v>
          </cell>
          <cell r="L897">
            <v>25.23</v>
          </cell>
        </row>
        <row r="898">
          <cell r="A898" t="str">
            <v>200105</v>
          </cell>
          <cell r="B898" t="str">
            <v>林丽玉</v>
          </cell>
          <cell r="C898" t="str">
            <v>其它</v>
          </cell>
          <cell r="D898" t="str">
            <v>其它</v>
          </cell>
          <cell r="E898" t="str">
            <v>质押贷款</v>
          </cell>
          <cell r="F898">
            <v>37537</v>
          </cell>
          <cell r="G898">
            <v>37719</v>
          </cell>
          <cell r="H898">
            <v>25</v>
          </cell>
          <cell r="I898">
            <v>25</v>
          </cell>
          <cell r="J898">
            <v>0</v>
          </cell>
          <cell r="K898">
            <v>0</v>
          </cell>
          <cell r="L898">
            <v>25</v>
          </cell>
          <cell r="M898" t="str">
            <v>鹭江</v>
          </cell>
        </row>
        <row r="899">
          <cell r="B899" t="str">
            <v>林丽玉 Total</v>
          </cell>
          <cell r="L899">
            <v>25</v>
          </cell>
        </row>
        <row r="900">
          <cell r="A900" t="str">
            <v>020001</v>
          </cell>
          <cell r="B900" t="str">
            <v>林妙燕</v>
          </cell>
          <cell r="C900" t="str">
            <v>住房</v>
          </cell>
          <cell r="D900" t="str">
            <v>其它</v>
          </cell>
          <cell r="E900" t="str">
            <v>抵押贷款</v>
          </cell>
          <cell r="F900">
            <v>36671</v>
          </cell>
          <cell r="G900">
            <v>40323</v>
          </cell>
          <cell r="H900">
            <v>0</v>
          </cell>
          <cell r="I900">
            <v>25.29</v>
          </cell>
          <cell r="J900">
            <v>0.17</v>
          </cell>
          <cell r="K900">
            <v>1.19</v>
          </cell>
          <cell r="L900">
            <v>24.1</v>
          </cell>
          <cell r="M900" t="str">
            <v>东区</v>
          </cell>
        </row>
        <row r="901">
          <cell r="B901" t="str">
            <v>林妙燕 Total</v>
          </cell>
          <cell r="L901">
            <v>24.1</v>
          </cell>
        </row>
        <row r="902">
          <cell r="A902" t="str">
            <v>200207</v>
          </cell>
          <cell r="B902" t="str">
            <v>林敏辉</v>
          </cell>
          <cell r="C902" t="str">
            <v>其它</v>
          </cell>
          <cell r="D902" t="str">
            <v>其它</v>
          </cell>
          <cell r="E902" t="str">
            <v>抵押贷款</v>
          </cell>
          <cell r="F902">
            <v>37251</v>
          </cell>
          <cell r="G902">
            <v>37616</v>
          </cell>
          <cell r="H902">
            <v>0</v>
          </cell>
          <cell r="I902">
            <v>25</v>
          </cell>
          <cell r="J902">
            <v>0</v>
          </cell>
          <cell r="K902">
            <v>0</v>
          </cell>
          <cell r="L902">
            <v>25</v>
          </cell>
          <cell r="M902" t="str">
            <v>海沧</v>
          </cell>
        </row>
        <row r="903">
          <cell r="B903" t="str">
            <v>林敏辉 Total</v>
          </cell>
          <cell r="L903">
            <v>25</v>
          </cell>
        </row>
        <row r="904">
          <cell r="A904" t="str">
            <v>020043</v>
          </cell>
          <cell r="B904" t="str">
            <v>林培苗</v>
          </cell>
          <cell r="C904" t="str">
            <v>住房</v>
          </cell>
          <cell r="D904" t="str">
            <v>其它</v>
          </cell>
          <cell r="E904" t="str">
            <v>抵押贷款</v>
          </cell>
          <cell r="F904">
            <v>36894</v>
          </cell>
          <cell r="G904">
            <v>40563</v>
          </cell>
          <cell r="H904">
            <v>0</v>
          </cell>
          <cell r="I904">
            <v>18.25</v>
          </cell>
          <cell r="J904">
            <v>0.13</v>
          </cell>
          <cell r="K904">
            <v>0.91</v>
          </cell>
          <cell r="L904">
            <v>17.34</v>
          </cell>
          <cell r="M904" t="str">
            <v>东区</v>
          </cell>
        </row>
        <row r="905">
          <cell r="B905" t="str">
            <v>林培苗 Total</v>
          </cell>
          <cell r="L905">
            <v>17.34</v>
          </cell>
        </row>
        <row r="906">
          <cell r="A906" t="str">
            <v>0006</v>
          </cell>
          <cell r="B906" t="str">
            <v>林巧灵</v>
          </cell>
          <cell r="C906" t="str">
            <v>其它</v>
          </cell>
          <cell r="D906" t="str">
            <v>其它</v>
          </cell>
          <cell r="E906" t="str">
            <v>抵押贷款</v>
          </cell>
          <cell r="F906">
            <v>37337</v>
          </cell>
          <cell r="G906">
            <v>37686</v>
          </cell>
          <cell r="H906">
            <v>0</v>
          </cell>
          <cell r="I906">
            <v>17</v>
          </cell>
          <cell r="J906">
            <v>0</v>
          </cell>
          <cell r="K906">
            <v>0</v>
          </cell>
          <cell r="L906">
            <v>17</v>
          </cell>
          <cell r="M906" t="str">
            <v>东芳</v>
          </cell>
        </row>
        <row r="907">
          <cell r="B907" t="str">
            <v>林巧灵 Total</v>
          </cell>
          <cell r="L907">
            <v>17</v>
          </cell>
        </row>
        <row r="908">
          <cell r="A908" t="str">
            <v>070036</v>
          </cell>
          <cell r="B908" t="str">
            <v>林清贺</v>
          </cell>
          <cell r="C908" t="str">
            <v>其它</v>
          </cell>
          <cell r="D908" t="str">
            <v>其它</v>
          </cell>
          <cell r="E908" t="str">
            <v>抵押贷款</v>
          </cell>
          <cell r="F908">
            <v>37355</v>
          </cell>
          <cell r="G908">
            <v>37720</v>
          </cell>
          <cell r="H908">
            <v>0</v>
          </cell>
          <cell r="I908">
            <v>18</v>
          </cell>
          <cell r="J908">
            <v>0</v>
          </cell>
          <cell r="K908">
            <v>0</v>
          </cell>
          <cell r="L908">
            <v>18</v>
          </cell>
          <cell r="M908" t="str">
            <v>公园</v>
          </cell>
        </row>
        <row r="909">
          <cell r="B909" t="str">
            <v>林清贺 Total</v>
          </cell>
          <cell r="L909">
            <v>18</v>
          </cell>
        </row>
        <row r="910">
          <cell r="A910" t="str">
            <v>020059</v>
          </cell>
          <cell r="B910" t="str">
            <v>林如金</v>
          </cell>
          <cell r="C910" t="str">
            <v>住房</v>
          </cell>
          <cell r="D910" t="str">
            <v>其它</v>
          </cell>
          <cell r="E910" t="str">
            <v>抵押贷款</v>
          </cell>
          <cell r="F910">
            <v>37022</v>
          </cell>
          <cell r="G910">
            <v>42501</v>
          </cell>
          <cell r="H910">
            <v>0</v>
          </cell>
          <cell r="I910">
            <v>25.83</v>
          </cell>
          <cell r="J910">
            <v>0.2</v>
          </cell>
          <cell r="K910">
            <v>0.71</v>
          </cell>
          <cell r="L910">
            <v>25.12</v>
          </cell>
          <cell r="M910" t="str">
            <v>东区</v>
          </cell>
        </row>
        <row r="911">
          <cell r="B911" t="str">
            <v>林如金 Total</v>
          </cell>
          <cell r="L911">
            <v>25.12</v>
          </cell>
        </row>
        <row r="912">
          <cell r="A912" t="str">
            <v>G02047</v>
          </cell>
          <cell r="B912" t="str">
            <v>林汝建</v>
          </cell>
          <cell r="C912" t="str">
            <v>其它</v>
          </cell>
          <cell r="D912" t="str">
            <v>其它</v>
          </cell>
          <cell r="E912" t="str">
            <v>质押贷款</v>
          </cell>
          <cell r="F912">
            <v>37518</v>
          </cell>
          <cell r="G912">
            <v>37699</v>
          </cell>
          <cell r="H912">
            <v>0</v>
          </cell>
          <cell r="I912">
            <v>30</v>
          </cell>
          <cell r="J912">
            <v>0</v>
          </cell>
          <cell r="K912">
            <v>0</v>
          </cell>
          <cell r="L912">
            <v>30</v>
          </cell>
          <cell r="M912" t="str">
            <v>营业</v>
          </cell>
        </row>
        <row r="913">
          <cell r="B913" t="str">
            <v>林汝建 Total</v>
          </cell>
          <cell r="L913">
            <v>30</v>
          </cell>
        </row>
        <row r="914">
          <cell r="A914" t="str">
            <v>020200</v>
          </cell>
          <cell r="B914" t="str">
            <v>林瑞德</v>
          </cell>
          <cell r="C914" t="str">
            <v>住房</v>
          </cell>
          <cell r="D914" t="str">
            <v>其它</v>
          </cell>
          <cell r="E914" t="str">
            <v>抵押贷款</v>
          </cell>
          <cell r="F914">
            <v>36902</v>
          </cell>
          <cell r="G914">
            <v>37549</v>
          </cell>
          <cell r="H914">
            <v>0.06</v>
          </cell>
          <cell r="I914">
            <v>0.06</v>
          </cell>
          <cell r="J914">
            <v>0</v>
          </cell>
          <cell r="K914">
            <v>0</v>
          </cell>
          <cell r="L914">
            <v>0.06</v>
          </cell>
          <cell r="M914" t="str">
            <v>东区</v>
          </cell>
        </row>
        <row r="915">
          <cell r="A915" t="str">
            <v>020046</v>
          </cell>
          <cell r="B915" t="str">
            <v>林瑞德</v>
          </cell>
          <cell r="C915" t="str">
            <v>住房</v>
          </cell>
          <cell r="D915" t="str">
            <v>其它</v>
          </cell>
          <cell r="E915" t="str">
            <v>抵押贷款</v>
          </cell>
          <cell r="F915">
            <v>36902</v>
          </cell>
          <cell r="G915">
            <v>40563</v>
          </cell>
          <cell r="H915">
            <v>0</v>
          </cell>
          <cell r="I915">
            <v>20.02</v>
          </cell>
          <cell r="J915">
            <v>0.15</v>
          </cell>
          <cell r="K915">
            <v>0.89</v>
          </cell>
          <cell r="L915">
            <v>19.13</v>
          </cell>
          <cell r="M915" t="str">
            <v>东区</v>
          </cell>
        </row>
        <row r="916">
          <cell r="B916" t="str">
            <v>林瑞德 Total</v>
          </cell>
          <cell r="L916">
            <v>19.189999999999998</v>
          </cell>
        </row>
        <row r="917">
          <cell r="A917" t="str">
            <v>020068</v>
          </cell>
          <cell r="B917" t="str">
            <v>林森</v>
          </cell>
          <cell r="C917" t="str">
            <v>住房</v>
          </cell>
          <cell r="D917" t="str">
            <v>其它</v>
          </cell>
          <cell r="E917" t="str">
            <v>抵押贷款</v>
          </cell>
          <cell r="F917">
            <v>36614</v>
          </cell>
          <cell r="G917">
            <v>43919</v>
          </cell>
          <cell r="H917">
            <v>0</v>
          </cell>
          <cell r="I917">
            <v>33.07</v>
          </cell>
          <cell r="J917">
            <v>0.09</v>
          </cell>
          <cell r="K917">
            <v>0.63</v>
          </cell>
          <cell r="L917">
            <v>32.44</v>
          </cell>
          <cell r="M917" t="str">
            <v>东区</v>
          </cell>
        </row>
        <row r="918">
          <cell r="B918" t="str">
            <v>林森 Total</v>
          </cell>
          <cell r="L918">
            <v>32.44</v>
          </cell>
        </row>
        <row r="919">
          <cell r="A919" t="str">
            <v>500024</v>
          </cell>
          <cell r="B919" t="str">
            <v>林少志</v>
          </cell>
          <cell r="C919" t="str">
            <v>其它</v>
          </cell>
          <cell r="E919" t="str">
            <v>质押贷款</v>
          </cell>
          <cell r="F919">
            <v>37551</v>
          </cell>
          <cell r="G919">
            <v>37916</v>
          </cell>
          <cell r="H919">
            <v>6.5</v>
          </cell>
          <cell r="I919">
            <v>6.5</v>
          </cell>
          <cell r="J919">
            <v>0</v>
          </cell>
          <cell r="K919">
            <v>0</v>
          </cell>
          <cell r="L919">
            <v>6.5</v>
          </cell>
          <cell r="M919" t="str">
            <v>新港</v>
          </cell>
        </row>
        <row r="920">
          <cell r="B920" t="str">
            <v>林少志 Total</v>
          </cell>
          <cell r="L920">
            <v>6.5</v>
          </cell>
        </row>
        <row r="921">
          <cell r="A921" t="str">
            <v>TGX041</v>
          </cell>
          <cell r="B921" t="str">
            <v>林伟哲</v>
          </cell>
          <cell r="C921" t="str">
            <v>其它</v>
          </cell>
          <cell r="D921" t="str">
            <v>其它</v>
          </cell>
          <cell r="E921" t="str">
            <v>信用贷款</v>
          </cell>
          <cell r="F921">
            <v>36868</v>
          </cell>
          <cell r="G921">
            <v>37610</v>
          </cell>
          <cell r="H921">
            <v>0</v>
          </cell>
          <cell r="I921">
            <v>0.57999999999999996</v>
          </cell>
          <cell r="J921">
            <v>7.0000000000000007E-2</v>
          </cell>
          <cell r="K921">
            <v>0.45</v>
          </cell>
          <cell r="L921">
            <v>0.13</v>
          </cell>
          <cell r="M921" t="str">
            <v>同安</v>
          </cell>
        </row>
        <row r="922">
          <cell r="B922" t="str">
            <v>林伟哲 Total</v>
          </cell>
          <cell r="L922">
            <v>0.13</v>
          </cell>
        </row>
        <row r="923">
          <cell r="A923" t="str">
            <v>G02/05</v>
          </cell>
          <cell r="B923" t="str">
            <v>林卫国</v>
          </cell>
          <cell r="C923" t="str">
            <v>其它</v>
          </cell>
          <cell r="D923" t="str">
            <v>其它</v>
          </cell>
          <cell r="E923" t="str">
            <v>抵押贷款</v>
          </cell>
          <cell r="F923">
            <v>37517</v>
          </cell>
          <cell r="G923">
            <v>37882</v>
          </cell>
          <cell r="H923">
            <v>0</v>
          </cell>
          <cell r="I923">
            <v>18</v>
          </cell>
          <cell r="J923">
            <v>0</v>
          </cell>
          <cell r="K923">
            <v>0</v>
          </cell>
          <cell r="L923">
            <v>18</v>
          </cell>
          <cell r="M923" t="str">
            <v>营业</v>
          </cell>
        </row>
        <row r="924">
          <cell r="B924" t="str">
            <v>林卫国 Total</v>
          </cell>
          <cell r="L924">
            <v>18</v>
          </cell>
        </row>
        <row r="925">
          <cell r="A925" t="str">
            <v>G02035</v>
          </cell>
          <cell r="B925" t="str">
            <v>林卫星</v>
          </cell>
          <cell r="C925" t="str">
            <v>其它</v>
          </cell>
          <cell r="D925" t="str">
            <v>其它</v>
          </cell>
          <cell r="E925" t="str">
            <v>质押贷款</v>
          </cell>
          <cell r="F925">
            <v>37466</v>
          </cell>
          <cell r="G925">
            <v>37650</v>
          </cell>
          <cell r="H925">
            <v>0</v>
          </cell>
          <cell r="I925">
            <v>12</v>
          </cell>
          <cell r="J925">
            <v>0</v>
          </cell>
          <cell r="K925">
            <v>0</v>
          </cell>
          <cell r="L925">
            <v>12</v>
          </cell>
          <cell r="M925" t="str">
            <v>营业</v>
          </cell>
        </row>
        <row r="926">
          <cell r="A926" t="str">
            <v>G02034</v>
          </cell>
          <cell r="B926" t="str">
            <v>林卫星</v>
          </cell>
          <cell r="C926" t="str">
            <v>其它</v>
          </cell>
          <cell r="D926" t="str">
            <v>其它</v>
          </cell>
          <cell r="E926" t="str">
            <v>质押贷款</v>
          </cell>
          <cell r="F926">
            <v>37466</v>
          </cell>
          <cell r="G926">
            <v>37650</v>
          </cell>
          <cell r="H926">
            <v>0</v>
          </cell>
          <cell r="I926">
            <v>40</v>
          </cell>
          <cell r="J926">
            <v>0</v>
          </cell>
          <cell r="K926">
            <v>0</v>
          </cell>
          <cell r="L926">
            <v>40</v>
          </cell>
          <cell r="M926" t="str">
            <v>营业</v>
          </cell>
        </row>
        <row r="927">
          <cell r="B927" t="str">
            <v>林卫星 Total</v>
          </cell>
          <cell r="L927">
            <v>52</v>
          </cell>
        </row>
        <row r="928">
          <cell r="A928" t="str">
            <v>200023</v>
          </cell>
          <cell r="B928" t="str">
            <v>林文碧</v>
          </cell>
          <cell r="C928" t="str">
            <v>住房</v>
          </cell>
          <cell r="D928" t="str">
            <v>其它</v>
          </cell>
          <cell r="E928" t="str">
            <v>抵押贷款</v>
          </cell>
          <cell r="F928">
            <v>37123</v>
          </cell>
          <cell r="G928">
            <v>42602</v>
          </cell>
          <cell r="H928">
            <v>0</v>
          </cell>
          <cell r="I928">
            <v>27.29</v>
          </cell>
          <cell r="J928">
            <v>0.11</v>
          </cell>
          <cell r="K928">
            <v>0.73</v>
          </cell>
          <cell r="L928">
            <v>26.56</v>
          </cell>
          <cell r="M928" t="str">
            <v>鹭江</v>
          </cell>
        </row>
        <row r="929">
          <cell r="B929" t="str">
            <v>林文碧 Total</v>
          </cell>
          <cell r="L929">
            <v>26.56</v>
          </cell>
        </row>
        <row r="930">
          <cell r="A930" t="str">
            <v>200005</v>
          </cell>
          <cell r="B930" t="str">
            <v>林文聪</v>
          </cell>
          <cell r="C930" t="str">
            <v>住房</v>
          </cell>
          <cell r="D930" t="str">
            <v>其它</v>
          </cell>
          <cell r="E930" t="str">
            <v>抵押贷款</v>
          </cell>
          <cell r="F930">
            <v>36692</v>
          </cell>
          <cell r="G930">
            <v>38517</v>
          </cell>
          <cell r="H930">
            <v>0</v>
          </cell>
          <cell r="I930">
            <v>12.23</v>
          </cell>
          <cell r="J930">
            <v>0.3</v>
          </cell>
          <cell r="K930">
            <v>2.04</v>
          </cell>
          <cell r="L930">
            <v>10.19</v>
          </cell>
          <cell r="M930" t="str">
            <v>鹭江</v>
          </cell>
        </row>
        <row r="931">
          <cell r="B931" t="str">
            <v>林文聪 Total</v>
          </cell>
          <cell r="L931">
            <v>10.19</v>
          </cell>
        </row>
        <row r="932">
          <cell r="A932" t="str">
            <v>200015</v>
          </cell>
          <cell r="B932" t="str">
            <v>林文辉</v>
          </cell>
          <cell r="C932" t="str">
            <v>住房</v>
          </cell>
          <cell r="D932" t="str">
            <v>其它</v>
          </cell>
          <cell r="E932" t="str">
            <v>抵押贷款</v>
          </cell>
          <cell r="F932">
            <v>36880</v>
          </cell>
          <cell r="G932">
            <v>40532</v>
          </cell>
          <cell r="H932">
            <v>0</v>
          </cell>
          <cell r="I932">
            <v>14.45</v>
          </cell>
          <cell r="J932">
            <v>0.11</v>
          </cell>
          <cell r="K932">
            <v>0.76</v>
          </cell>
          <cell r="L932">
            <v>13.69</v>
          </cell>
          <cell r="M932" t="str">
            <v>鹭江</v>
          </cell>
        </row>
        <row r="933">
          <cell r="B933" t="str">
            <v>林文辉 Total</v>
          </cell>
          <cell r="L933">
            <v>13.69</v>
          </cell>
        </row>
        <row r="934">
          <cell r="A934" t="str">
            <v>200016</v>
          </cell>
          <cell r="B934" t="str">
            <v>林文龙</v>
          </cell>
          <cell r="C934" t="str">
            <v>住房</v>
          </cell>
          <cell r="D934" t="str">
            <v>其它</v>
          </cell>
          <cell r="E934" t="str">
            <v>抵押贷款</v>
          </cell>
          <cell r="F934">
            <v>36902</v>
          </cell>
          <cell r="G934">
            <v>37641</v>
          </cell>
          <cell r="H934">
            <v>0</v>
          </cell>
          <cell r="I934">
            <v>114.2</v>
          </cell>
          <cell r="J934">
            <v>11.45</v>
          </cell>
          <cell r="K934">
            <v>67.84</v>
          </cell>
          <cell r="L934">
            <v>46.36</v>
          </cell>
          <cell r="M934" t="str">
            <v>鹭江</v>
          </cell>
        </row>
        <row r="935">
          <cell r="B935" t="str">
            <v>林文龙 Total</v>
          </cell>
          <cell r="L935">
            <v>46.36</v>
          </cell>
        </row>
        <row r="936">
          <cell r="A936" t="str">
            <v>200092</v>
          </cell>
          <cell r="B936" t="str">
            <v>林武生</v>
          </cell>
          <cell r="C936" t="str">
            <v>其它</v>
          </cell>
          <cell r="D936" t="str">
            <v>其它</v>
          </cell>
          <cell r="E936" t="str">
            <v>质押贷款</v>
          </cell>
          <cell r="F936">
            <v>37448</v>
          </cell>
          <cell r="G936">
            <v>37813</v>
          </cell>
          <cell r="H936">
            <v>0</v>
          </cell>
          <cell r="I936">
            <v>72</v>
          </cell>
          <cell r="J936">
            <v>0</v>
          </cell>
          <cell r="K936">
            <v>0</v>
          </cell>
          <cell r="L936">
            <v>72</v>
          </cell>
          <cell r="M936" t="str">
            <v>鹭江</v>
          </cell>
        </row>
        <row r="937">
          <cell r="B937" t="str">
            <v>林武生 Total</v>
          </cell>
          <cell r="L937">
            <v>72</v>
          </cell>
        </row>
        <row r="938">
          <cell r="A938" t="str">
            <v>020154</v>
          </cell>
          <cell r="B938" t="str">
            <v>林秀成</v>
          </cell>
          <cell r="C938" t="str">
            <v>其它</v>
          </cell>
          <cell r="D938" t="str">
            <v>其它</v>
          </cell>
          <cell r="E938" t="str">
            <v>质押贷款</v>
          </cell>
          <cell r="F938">
            <v>37425</v>
          </cell>
          <cell r="G938">
            <v>37608</v>
          </cell>
          <cell r="H938">
            <v>0</v>
          </cell>
          <cell r="I938">
            <v>1048</v>
          </cell>
          <cell r="J938">
            <v>0</v>
          </cell>
          <cell r="K938">
            <v>0</v>
          </cell>
          <cell r="L938">
            <v>1048</v>
          </cell>
          <cell r="M938" t="str">
            <v>东区</v>
          </cell>
        </row>
        <row r="939">
          <cell r="B939" t="str">
            <v>林秀成 Total</v>
          </cell>
          <cell r="L939">
            <v>1048</v>
          </cell>
        </row>
        <row r="940">
          <cell r="A940" t="str">
            <v>020160</v>
          </cell>
          <cell r="B940" t="str">
            <v>林勇宁</v>
          </cell>
          <cell r="C940" t="str">
            <v>其它</v>
          </cell>
          <cell r="D940" t="str">
            <v>其它</v>
          </cell>
          <cell r="E940" t="str">
            <v>抵押贷款</v>
          </cell>
          <cell r="F940">
            <v>37463</v>
          </cell>
          <cell r="G940">
            <v>37828</v>
          </cell>
          <cell r="H940">
            <v>0</v>
          </cell>
          <cell r="I940">
            <v>35</v>
          </cell>
          <cell r="J940">
            <v>0</v>
          </cell>
          <cell r="K940">
            <v>0</v>
          </cell>
          <cell r="L940">
            <v>35</v>
          </cell>
          <cell r="M940" t="str">
            <v>东区</v>
          </cell>
        </row>
        <row r="941">
          <cell r="B941" t="str">
            <v>林勇宁 Total</v>
          </cell>
          <cell r="L941">
            <v>35</v>
          </cell>
        </row>
        <row r="942">
          <cell r="A942" t="str">
            <v>ZH0209</v>
          </cell>
          <cell r="B942" t="str">
            <v>林友婴</v>
          </cell>
          <cell r="C942" t="str">
            <v>其它</v>
          </cell>
          <cell r="D942" t="str">
            <v>其它</v>
          </cell>
          <cell r="E942" t="str">
            <v>质押贷款</v>
          </cell>
          <cell r="F942">
            <v>37460</v>
          </cell>
          <cell r="G942">
            <v>37644</v>
          </cell>
          <cell r="H942">
            <v>0</v>
          </cell>
          <cell r="I942">
            <v>2.5</v>
          </cell>
          <cell r="J942">
            <v>0</v>
          </cell>
          <cell r="K942">
            <v>0</v>
          </cell>
          <cell r="L942">
            <v>2.5</v>
          </cell>
          <cell r="M942" t="str">
            <v>同安</v>
          </cell>
        </row>
        <row r="943">
          <cell r="B943" t="str">
            <v>林友婴 Total</v>
          </cell>
          <cell r="L943">
            <v>2.5</v>
          </cell>
        </row>
        <row r="944">
          <cell r="A944" t="str">
            <v>40114</v>
          </cell>
          <cell r="B944" t="str">
            <v>林玉容</v>
          </cell>
          <cell r="C944" t="str">
            <v>其它</v>
          </cell>
          <cell r="D944" t="str">
            <v>其它</v>
          </cell>
          <cell r="E944" t="str">
            <v>抵押贷款</v>
          </cell>
          <cell r="F944">
            <v>37316</v>
          </cell>
          <cell r="G944">
            <v>37681</v>
          </cell>
          <cell r="H944">
            <v>0</v>
          </cell>
          <cell r="I944">
            <v>10</v>
          </cell>
          <cell r="J944">
            <v>0</v>
          </cell>
          <cell r="K944">
            <v>0</v>
          </cell>
          <cell r="L944">
            <v>10</v>
          </cell>
          <cell r="M944" t="str">
            <v>象屿</v>
          </cell>
        </row>
        <row r="945">
          <cell r="B945" t="str">
            <v>林玉容 Total</v>
          </cell>
          <cell r="L945">
            <v>10</v>
          </cell>
        </row>
        <row r="946">
          <cell r="A946" t="str">
            <v>0016</v>
          </cell>
          <cell r="B946" t="str">
            <v>林章</v>
          </cell>
          <cell r="C946" t="str">
            <v>其它</v>
          </cell>
          <cell r="D946" t="str">
            <v>其它</v>
          </cell>
          <cell r="E946" t="str">
            <v>抵押贷款</v>
          </cell>
          <cell r="F946">
            <v>37505</v>
          </cell>
          <cell r="G946">
            <v>37870</v>
          </cell>
          <cell r="H946">
            <v>0</v>
          </cell>
          <cell r="I946">
            <v>70</v>
          </cell>
          <cell r="J946">
            <v>0</v>
          </cell>
          <cell r="K946">
            <v>0</v>
          </cell>
          <cell r="L946">
            <v>70</v>
          </cell>
          <cell r="M946" t="str">
            <v>东芳</v>
          </cell>
        </row>
        <row r="947">
          <cell r="B947" t="str">
            <v>林章 Total</v>
          </cell>
          <cell r="L947">
            <v>70</v>
          </cell>
        </row>
        <row r="948">
          <cell r="A948" t="str">
            <v>40122</v>
          </cell>
          <cell r="B948" t="str">
            <v>林贞</v>
          </cell>
          <cell r="C948" t="str">
            <v>其它</v>
          </cell>
          <cell r="D948" t="str">
            <v>其它</v>
          </cell>
          <cell r="E948" t="str">
            <v>质押贷款</v>
          </cell>
          <cell r="F948">
            <v>37391</v>
          </cell>
          <cell r="G948">
            <v>37575</v>
          </cell>
          <cell r="H948">
            <v>0</v>
          </cell>
          <cell r="I948">
            <v>3</v>
          </cell>
          <cell r="J948">
            <v>0</v>
          </cell>
          <cell r="K948">
            <v>0</v>
          </cell>
          <cell r="L948">
            <v>3</v>
          </cell>
          <cell r="M948" t="str">
            <v>象屿</v>
          </cell>
        </row>
        <row r="949">
          <cell r="B949" t="str">
            <v>林贞 Total</v>
          </cell>
          <cell r="L949">
            <v>3</v>
          </cell>
        </row>
        <row r="950">
          <cell r="A950" t="str">
            <v>200009</v>
          </cell>
          <cell r="B950" t="str">
            <v>林中美</v>
          </cell>
          <cell r="C950" t="str">
            <v>住房</v>
          </cell>
          <cell r="D950" t="str">
            <v>其它</v>
          </cell>
          <cell r="E950" t="str">
            <v>抵押贷款</v>
          </cell>
          <cell r="F950">
            <v>36734</v>
          </cell>
          <cell r="G950">
            <v>40385</v>
          </cell>
          <cell r="H950">
            <v>0</v>
          </cell>
          <cell r="I950">
            <v>37.83</v>
          </cell>
          <cell r="J950">
            <v>0.3</v>
          </cell>
          <cell r="K950">
            <v>2.0299999999999998</v>
          </cell>
          <cell r="L950">
            <v>35.799999999999997</v>
          </cell>
          <cell r="M950" t="str">
            <v>鹭江</v>
          </cell>
        </row>
        <row r="951">
          <cell r="B951" t="str">
            <v>林中美 Total</v>
          </cell>
          <cell r="L951">
            <v>35.799999999999997</v>
          </cell>
        </row>
        <row r="952">
          <cell r="A952" t="str">
            <v>020167</v>
          </cell>
          <cell r="B952" t="str">
            <v>刘福田</v>
          </cell>
          <cell r="C952" t="str">
            <v>其它</v>
          </cell>
          <cell r="D952" t="str">
            <v>其它</v>
          </cell>
          <cell r="E952" t="str">
            <v>保证贷款</v>
          </cell>
          <cell r="F952">
            <v>37496</v>
          </cell>
          <cell r="G952">
            <v>37861</v>
          </cell>
          <cell r="H952">
            <v>0</v>
          </cell>
          <cell r="I952">
            <v>30</v>
          </cell>
          <cell r="J952">
            <v>0</v>
          </cell>
          <cell r="K952">
            <v>0</v>
          </cell>
          <cell r="L952">
            <v>30</v>
          </cell>
          <cell r="M952" t="str">
            <v>东区</v>
          </cell>
        </row>
        <row r="953">
          <cell r="B953" t="str">
            <v>刘福田 Total</v>
          </cell>
          <cell r="L953">
            <v>30</v>
          </cell>
        </row>
        <row r="954">
          <cell r="A954" t="str">
            <v>923z45</v>
          </cell>
          <cell r="B954" t="str">
            <v>刘海鹏</v>
          </cell>
          <cell r="C954" t="str">
            <v>其它</v>
          </cell>
          <cell r="D954" t="str">
            <v>其它</v>
          </cell>
          <cell r="E954" t="str">
            <v>质押贷款</v>
          </cell>
          <cell r="F954">
            <v>37435</v>
          </cell>
          <cell r="G954">
            <v>37800</v>
          </cell>
          <cell r="H954">
            <v>0</v>
          </cell>
          <cell r="I954">
            <v>101.6</v>
          </cell>
          <cell r="J954">
            <v>0</v>
          </cell>
          <cell r="K954">
            <v>0</v>
          </cell>
          <cell r="L954">
            <v>101.6</v>
          </cell>
          <cell r="M954" t="str">
            <v>禾祥</v>
          </cell>
        </row>
        <row r="955">
          <cell r="B955" t="str">
            <v>刘海鹏 Total</v>
          </cell>
          <cell r="L955">
            <v>101.6</v>
          </cell>
        </row>
        <row r="956">
          <cell r="A956" t="str">
            <v>200224</v>
          </cell>
          <cell r="B956" t="str">
            <v>刘加金</v>
          </cell>
          <cell r="C956" t="str">
            <v>其它</v>
          </cell>
          <cell r="D956" t="str">
            <v>其它</v>
          </cell>
          <cell r="E956" t="str">
            <v>质押贷款</v>
          </cell>
          <cell r="F956">
            <v>37544</v>
          </cell>
          <cell r="G956">
            <v>37565</v>
          </cell>
          <cell r="H956">
            <v>4</v>
          </cell>
          <cell r="I956">
            <v>4</v>
          </cell>
          <cell r="J956">
            <v>0</v>
          </cell>
          <cell r="K956">
            <v>0</v>
          </cell>
          <cell r="L956">
            <v>4</v>
          </cell>
          <cell r="M956" t="str">
            <v>海沧</v>
          </cell>
        </row>
        <row r="957">
          <cell r="B957" t="str">
            <v>刘加金 Total</v>
          </cell>
          <cell r="L957">
            <v>4</v>
          </cell>
        </row>
        <row r="958">
          <cell r="A958" t="str">
            <v>200100</v>
          </cell>
          <cell r="B958" t="str">
            <v>刘加杉</v>
          </cell>
          <cell r="C958" t="str">
            <v>其它</v>
          </cell>
          <cell r="D958" t="str">
            <v>其它</v>
          </cell>
          <cell r="E958" t="str">
            <v>质押贷款</v>
          </cell>
          <cell r="F958">
            <v>37469</v>
          </cell>
          <cell r="G958">
            <v>37653</v>
          </cell>
          <cell r="H958">
            <v>0</v>
          </cell>
          <cell r="I958">
            <v>2</v>
          </cell>
          <cell r="J958">
            <v>0</v>
          </cell>
          <cell r="K958">
            <v>0</v>
          </cell>
          <cell r="L958">
            <v>2</v>
          </cell>
          <cell r="M958" t="str">
            <v>鹭江</v>
          </cell>
        </row>
        <row r="959">
          <cell r="B959" t="str">
            <v>刘加杉 Total</v>
          </cell>
          <cell r="L959">
            <v>2</v>
          </cell>
        </row>
        <row r="960">
          <cell r="A960" t="str">
            <v>0023</v>
          </cell>
          <cell r="B960" t="str">
            <v>刘丽平</v>
          </cell>
          <cell r="C960" t="str">
            <v>其它</v>
          </cell>
          <cell r="D960" t="str">
            <v>其它</v>
          </cell>
          <cell r="E960" t="str">
            <v>质押贷款</v>
          </cell>
          <cell r="F960">
            <v>37510</v>
          </cell>
          <cell r="G960">
            <v>37691</v>
          </cell>
          <cell r="H960">
            <v>0</v>
          </cell>
          <cell r="I960">
            <v>6.3</v>
          </cell>
          <cell r="J960">
            <v>0</v>
          </cell>
          <cell r="K960">
            <v>0</v>
          </cell>
          <cell r="L960">
            <v>6.3</v>
          </cell>
          <cell r="M960" t="str">
            <v>莲花</v>
          </cell>
        </row>
        <row r="961">
          <cell r="B961" t="str">
            <v>刘丽平 Total</v>
          </cell>
          <cell r="L961">
            <v>6.3</v>
          </cell>
        </row>
        <row r="962">
          <cell r="A962" t="str">
            <v>0072</v>
          </cell>
          <cell r="B962" t="str">
            <v>刘培贵</v>
          </cell>
          <cell r="C962" t="str">
            <v>其它</v>
          </cell>
          <cell r="D962" t="str">
            <v>其它</v>
          </cell>
          <cell r="E962" t="str">
            <v>质押贷款</v>
          </cell>
          <cell r="F962">
            <v>37392</v>
          </cell>
          <cell r="G962">
            <v>37569</v>
          </cell>
          <cell r="H962">
            <v>0</v>
          </cell>
          <cell r="I962">
            <v>8.5</v>
          </cell>
          <cell r="J962">
            <v>0</v>
          </cell>
          <cell r="K962">
            <v>0</v>
          </cell>
          <cell r="L962">
            <v>8.5</v>
          </cell>
          <cell r="M962" t="str">
            <v>东芳</v>
          </cell>
        </row>
        <row r="963">
          <cell r="B963" t="str">
            <v>刘培贵 Total</v>
          </cell>
          <cell r="L963">
            <v>8.5</v>
          </cell>
        </row>
        <row r="964">
          <cell r="A964" t="str">
            <v>消0206</v>
          </cell>
          <cell r="B964" t="str">
            <v>刘诗彬</v>
          </cell>
          <cell r="C964" t="str">
            <v>其它</v>
          </cell>
          <cell r="D964" t="str">
            <v>其它</v>
          </cell>
          <cell r="E964" t="str">
            <v>保证贷款</v>
          </cell>
          <cell r="F964">
            <v>37525</v>
          </cell>
          <cell r="G964">
            <v>37889</v>
          </cell>
          <cell r="H964">
            <v>0</v>
          </cell>
          <cell r="I964">
            <v>20</v>
          </cell>
          <cell r="J964">
            <v>0</v>
          </cell>
          <cell r="K964">
            <v>0</v>
          </cell>
          <cell r="L964">
            <v>20</v>
          </cell>
          <cell r="M964" t="str">
            <v>文滨</v>
          </cell>
        </row>
        <row r="965">
          <cell r="B965" t="str">
            <v>刘诗彬 Total</v>
          </cell>
          <cell r="L965">
            <v>20</v>
          </cell>
        </row>
        <row r="966">
          <cell r="A966" t="str">
            <v>020199</v>
          </cell>
          <cell r="B966" t="str">
            <v>刘松林</v>
          </cell>
          <cell r="C966" t="str">
            <v>住房</v>
          </cell>
          <cell r="D966" t="str">
            <v>其它</v>
          </cell>
          <cell r="E966" t="str">
            <v>抵押贷款</v>
          </cell>
          <cell r="F966">
            <v>36614</v>
          </cell>
          <cell r="G966">
            <v>37549</v>
          </cell>
          <cell r="H966">
            <v>0.09</v>
          </cell>
          <cell r="I966">
            <v>0.09</v>
          </cell>
          <cell r="J966">
            <v>0</v>
          </cell>
          <cell r="K966">
            <v>0</v>
          </cell>
          <cell r="L966">
            <v>0.09</v>
          </cell>
          <cell r="M966" t="str">
            <v>东区</v>
          </cell>
        </row>
        <row r="967">
          <cell r="A967" t="str">
            <v>020069</v>
          </cell>
          <cell r="B967" t="str">
            <v>刘松林</v>
          </cell>
          <cell r="C967" t="str">
            <v>住房</v>
          </cell>
          <cell r="D967" t="str">
            <v>其它</v>
          </cell>
          <cell r="E967" t="str">
            <v>抵押贷款</v>
          </cell>
          <cell r="F967">
            <v>36614</v>
          </cell>
          <cell r="G967">
            <v>43919</v>
          </cell>
          <cell r="H967">
            <v>0</v>
          </cell>
          <cell r="I967">
            <v>33.07</v>
          </cell>
          <cell r="J967">
            <v>0.28000000000000003</v>
          </cell>
          <cell r="K967">
            <v>0.63</v>
          </cell>
          <cell r="L967">
            <v>32.44</v>
          </cell>
          <cell r="M967" t="str">
            <v>东区</v>
          </cell>
        </row>
        <row r="968">
          <cell r="B968" t="str">
            <v>刘松林 Total</v>
          </cell>
          <cell r="L968">
            <v>32.53</v>
          </cell>
        </row>
        <row r="969">
          <cell r="A969" t="str">
            <v>01135c</v>
          </cell>
          <cell r="B969" t="str">
            <v>刘贤亮</v>
          </cell>
          <cell r="C969" t="str">
            <v>其它</v>
          </cell>
          <cell r="D969" t="str">
            <v>其它</v>
          </cell>
          <cell r="E969" t="str">
            <v>质押贷款</v>
          </cell>
          <cell r="F969">
            <v>37200</v>
          </cell>
          <cell r="G969">
            <v>37565</v>
          </cell>
          <cell r="H969">
            <v>0</v>
          </cell>
          <cell r="I969">
            <v>137.6</v>
          </cell>
          <cell r="J969">
            <v>0</v>
          </cell>
          <cell r="K969">
            <v>0</v>
          </cell>
          <cell r="L969">
            <v>137.6</v>
          </cell>
          <cell r="M969" t="str">
            <v>厦禾</v>
          </cell>
        </row>
        <row r="970">
          <cell r="B970" t="str">
            <v>刘贤亮 Total</v>
          </cell>
          <cell r="L970">
            <v>137.6</v>
          </cell>
        </row>
        <row r="971">
          <cell r="A971" t="str">
            <v>000030</v>
          </cell>
          <cell r="B971" t="str">
            <v>刘鑫</v>
          </cell>
          <cell r="C971" t="str">
            <v>其它</v>
          </cell>
          <cell r="D971" t="str">
            <v>其它</v>
          </cell>
          <cell r="E971" t="str">
            <v>抵押贷款</v>
          </cell>
          <cell r="F971">
            <v>37419</v>
          </cell>
          <cell r="G971">
            <v>37771</v>
          </cell>
          <cell r="H971">
            <v>0</v>
          </cell>
          <cell r="I971">
            <v>72</v>
          </cell>
          <cell r="J971">
            <v>0</v>
          </cell>
          <cell r="K971">
            <v>0</v>
          </cell>
          <cell r="L971">
            <v>72</v>
          </cell>
          <cell r="M971" t="str">
            <v>康乐</v>
          </cell>
        </row>
        <row r="972">
          <cell r="B972" t="str">
            <v>刘鑫 Total</v>
          </cell>
          <cell r="L972">
            <v>72</v>
          </cell>
        </row>
        <row r="973">
          <cell r="A973" t="str">
            <v>020191</v>
          </cell>
          <cell r="B973" t="str">
            <v>刘永泉</v>
          </cell>
          <cell r="C973" t="str">
            <v>其它</v>
          </cell>
          <cell r="D973" t="str">
            <v>其它</v>
          </cell>
          <cell r="E973" t="str">
            <v>保证贷款</v>
          </cell>
          <cell r="F973">
            <v>37550</v>
          </cell>
          <cell r="G973">
            <v>37915</v>
          </cell>
          <cell r="H973">
            <v>7</v>
          </cell>
          <cell r="I973">
            <v>7</v>
          </cell>
          <cell r="J973">
            <v>0</v>
          </cell>
          <cell r="K973">
            <v>0</v>
          </cell>
          <cell r="L973">
            <v>7</v>
          </cell>
          <cell r="M973" t="str">
            <v>东区</v>
          </cell>
        </row>
        <row r="974">
          <cell r="B974" t="str">
            <v>刘永泉 Total</v>
          </cell>
          <cell r="L974">
            <v>7</v>
          </cell>
        </row>
        <row r="975">
          <cell r="A975" t="str">
            <v>200031</v>
          </cell>
          <cell r="B975" t="str">
            <v>刘永艺</v>
          </cell>
          <cell r="C975" t="str">
            <v>其它</v>
          </cell>
          <cell r="D975" t="str">
            <v>其它</v>
          </cell>
          <cell r="E975" t="str">
            <v>抵押贷款</v>
          </cell>
          <cell r="F975">
            <v>36770</v>
          </cell>
          <cell r="G975">
            <v>36982</v>
          </cell>
          <cell r="H975">
            <v>0</v>
          </cell>
          <cell r="I975">
            <v>0</v>
          </cell>
          <cell r="J975">
            <v>0</v>
          </cell>
          <cell r="K975">
            <v>0</v>
          </cell>
          <cell r="L975">
            <v>7</v>
          </cell>
          <cell r="M975" t="str">
            <v>同安</v>
          </cell>
        </row>
        <row r="976">
          <cell r="B976" t="str">
            <v>刘永艺 Total</v>
          </cell>
          <cell r="L976">
            <v>7</v>
          </cell>
        </row>
        <row r="977">
          <cell r="A977" t="str">
            <v>023505</v>
          </cell>
          <cell r="B977" t="str">
            <v>刘振美</v>
          </cell>
          <cell r="C977" t="str">
            <v>其它</v>
          </cell>
          <cell r="D977" t="str">
            <v>其它</v>
          </cell>
          <cell r="E977" t="str">
            <v>信用贷款</v>
          </cell>
          <cell r="F977">
            <v>36958</v>
          </cell>
          <cell r="G977">
            <v>37688</v>
          </cell>
          <cell r="H977">
            <v>0</v>
          </cell>
          <cell r="I977">
            <v>1.79</v>
          </cell>
          <cell r="J977">
            <v>0.13</v>
          </cell>
          <cell r="K977">
            <v>1.1399999999999999</v>
          </cell>
          <cell r="L977">
            <v>0.65</v>
          </cell>
          <cell r="M977" t="str">
            <v>杏林</v>
          </cell>
        </row>
        <row r="978">
          <cell r="B978" t="str">
            <v>刘振美 Total</v>
          </cell>
          <cell r="L978">
            <v>0.65</v>
          </cell>
        </row>
        <row r="979">
          <cell r="A979" t="str">
            <v>217122</v>
          </cell>
          <cell r="B979" t="str">
            <v>龙安水泥厂</v>
          </cell>
          <cell r="C979" t="str">
            <v>集体</v>
          </cell>
          <cell r="D979" t="str">
            <v>工业</v>
          </cell>
          <cell r="E979" t="str">
            <v>保证贷款</v>
          </cell>
          <cell r="F979">
            <v>35548</v>
          </cell>
          <cell r="G979">
            <v>35796</v>
          </cell>
          <cell r="H979">
            <v>0</v>
          </cell>
          <cell r="I979">
            <v>0</v>
          </cell>
          <cell r="J979">
            <v>0</v>
          </cell>
          <cell r="K979">
            <v>0</v>
          </cell>
          <cell r="L979">
            <v>50</v>
          </cell>
          <cell r="M979" t="str">
            <v>同安</v>
          </cell>
        </row>
        <row r="980">
          <cell r="B980" t="str">
            <v>龙安水泥厂 Total</v>
          </cell>
          <cell r="L980">
            <v>50</v>
          </cell>
        </row>
        <row r="981">
          <cell r="A981" t="str">
            <v>550659</v>
          </cell>
          <cell r="B981" t="str">
            <v>卢洪桂</v>
          </cell>
          <cell r="C981" t="str">
            <v>其它</v>
          </cell>
          <cell r="D981" t="str">
            <v>其它</v>
          </cell>
          <cell r="E981" t="str">
            <v>质押贷款</v>
          </cell>
          <cell r="F981">
            <v>37483</v>
          </cell>
          <cell r="G981">
            <v>37575</v>
          </cell>
          <cell r="H981">
            <v>0</v>
          </cell>
          <cell r="I981">
            <v>20</v>
          </cell>
          <cell r="J981">
            <v>0</v>
          </cell>
          <cell r="K981">
            <v>0</v>
          </cell>
          <cell r="L981">
            <v>20</v>
          </cell>
          <cell r="M981" t="str">
            <v>湖里</v>
          </cell>
        </row>
        <row r="982">
          <cell r="B982" t="str">
            <v>卢洪桂 Total</v>
          </cell>
          <cell r="L982">
            <v>20</v>
          </cell>
        </row>
        <row r="983">
          <cell r="A983" t="str">
            <v>500018</v>
          </cell>
          <cell r="B983" t="str">
            <v>卢伍加</v>
          </cell>
          <cell r="C983" t="str">
            <v>其它</v>
          </cell>
          <cell r="D983" t="str">
            <v>其它</v>
          </cell>
          <cell r="E983" t="str">
            <v>抵押贷款</v>
          </cell>
          <cell r="F983">
            <v>37397</v>
          </cell>
          <cell r="G983">
            <v>37738</v>
          </cell>
          <cell r="H983">
            <v>0</v>
          </cell>
          <cell r="I983">
            <v>10</v>
          </cell>
          <cell r="J983">
            <v>0</v>
          </cell>
          <cell r="K983">
            <v>0</v>
          </cell>
          <cell r="L983">
            <v>10</v>
          </cell>
          <cell r="M983" t="str">
            <v>新港</v>
          </cell>
        </row>
        <row r="984">
          <cell r="B984" t="str">
            <v>卢伍加 Total</v>
          </cell>
          <cell r="L984">
            <v>10</v>
          </cell>
        </row>
        <row r="985">
          <cell r="A985" t="str">
            <v>200024</v>
          </cell>
          <cell r="B985" t="str">
            <v>陆锋</v>
          </cell>
          <cell r="C985" t="str">
            <v>住房</v>
          </cell>
          <cell r="D985" t="str">
            <v>其它</v>
          </cell>
          <cell r="E985" t="str">
            <v>抵押贷款</v>
          </cell>
          <cell r="F985">
            <v>37307</v>
          </cell>
          <cell r="G985">
            <v>40959</v>
          </cell>
          <cell r="H985">
            <v>0</v>
          </cell>
          <cell r="I985">
            <v>10</v>
          </cell>
          <cell r="J985">
            <v>0</v>
          </cell>
          <cell r="K985">
            <v>0.44</v>
          </cell>
          <cell r="L985">
            <v>9.56</v>
          </cell>
          <cell r="M985" t="str">
            <v>鹭江</v>
          </cell>
        </row>
        <row r="986">
          <cell r="B986" t="str">
            <v>陆锋 Total</v>
          </cell>
          <cell r="L986">
            <v>9.56</v>
          </cell>
        </row>
        <row r="987">
          <cell r="A987" t="str">
            <v>020078</v>
          </cell>
          <cell r="B987" t="str">
            <v>陆翔</v>
          </cell>
          <cell r="C987" t="str">
            <v>住房</v>
          </cell>
          <cell r="D987" t="str">
            <v>其它</v>
          </cell>
          <cell r="E987" t="str">
            <v>抵押贷款</v>
          </cell>
          <cell r="F987">
            <v>36614</v>
          </cell>
          <cell r="G987">
            <v>43919</v>
          </cell>
          <cell r="H987">
            <v>0</v>
          </cell>
          <cell r="I987">
            <v>39.69</v>
          </cell>
          <cell r="J987">
            <v>0.11</v>
          </cell>
          <cell r="K987">
            <v>0.77</v>
          </cell>
          <cell r="L987">
            <v>38.92</v>
          </cell>
          <cell r="M987" t="str">
            <v>东区</v>
          </cell>
        </row>
        <row r="988">
          <cell r="B988" t="str">
            <v>陆翔 Total</v>
          </cell>
          <cell r="L988">
            <v>38.92</v>
          </cell>
        </row>
        <row r="989">
          <cell r="A989" t="str">
            <v>236503</v>
          </cell>
          <cell r="B989" t="str">
            <v>鹭峰汽车运输队</v>
          </cell>
          <cell r="C989" t="str">
            <v>集体</v>
          </cell>
          <cell r="D989" t="str">
            <v>其它</v>
          </cell>
          <cell r="E989" t="str">
            <v>保证贷款</v>
          </cell>
          <cell r="F989">
            <v>35395</v>
          </cell>
          <cell r="G989">
            <v>35607</v>
          </cell>
          <cell r="H989">
            <v>0</v>
          </cell>
          <cell r="I989">
            <v>0</v>
          </cell>
          <cell r="J989">
            <v>0</v>
          </cell>
          <cell r="K989">
            <v>0</v>
          </cell>
          <cell r="L989">
            <v>10</v>
          </cell>
          <cell r="M989" t="str">
            <v>同安</v>
          </cell>
        </row>
        <row r="990">
          <cell r="B990" t="str">
            <v>鹭峰汽车运输队 Total</v>
          </cell>
          <cell r="L990">
            <v>10</v>
          </cell>
        </row>
        <row r="991">
          <cell r="A991" t="str">
            <v>000083</v>
          </cell>
          <cell r="B991" t="str">
            <v>鹭宏鑫</v>
          </cell>
          <cell r="C991" t="str">
            <v>其它</v>
          </cell>
          <cell r="D991" t="str">
            <v>其它</v>
          </cell>
          <cell r="E991" t="str">
            <v>抵押贷款</v>
          </cell>
          <cell r="F991">
            <v>37390</v>
          </cell>
          <cell r="G991">
            <v>38120</v>
          </cell>
          <cell r="H991">
            <v>0</v>
          </cell>
          <cell r="I991">
            <v>11.3</v>
          </cell>
          <cell r="J991">
            <v>0.45</v>
          </cell>
          <cell r="K991">
            <v>2.25</v>
          </cell>
          <cell r="L991">
            <v>9.0500000000000007</v>
          </cell>
          <cell r="M991" t="str">
            <v>康乐</v>
          </cell>
        </row>
        <row r="992">
          <cell r="B992" t="str">
            <v>鹭宏鑫 Total</v>
          </cell>
          <cell r="L992">
            <v>9.0500000000000007</v>
          </cell>
        </row>
        <row r="993">
          <cell r="A993" t="str">
            <v>09821I</v>
          </cell>
          <cell r="B993" t="str">
            <v>鹭江公司</v>
          </cell>
          <cell r="C993" t="str">
            <v>国营</v>
          </cell>
          <cell r="D993" t="str">
            <v>商贸</v>
          </cell>
          <cell r="E993" t="str">
            <v>保证贷款</v>
          </cell>
          <cell r="F993">
            <v>34908</v>
          </cell>
          <cell r="G993">
            <v>35000</v>
          </cell>
          <cell r="H993">
            <v>0</v>
          </cell>
          <cell r="I993">
            <v>0</v>
          </cell>
          <cell r="J993">
            <v>0</v>
          </cell>
          <cell r="K993">
            <v>3.9</v>
          </cell>
          <cell r="L993">
            <v>61.89</v>
          </cell>
          <cell r="M993" t="str">
            <v>营业</v>
          </cell>
        </row>
        <row r="994">
          <cell r="B994" t="str">
            <v>鹭江公司 Total</v>
          </cell>
          <cell r="L994">
            <v>61.89</v>
          </cell>
        </row>
        <row r="995">
          <cell r="A995" t="str">
            <v>070009</v>
          </cell>
          <cell r="B995" t="str">
            <v>鹭江交通公司</v>
          </cell>
          <cell r="C995" t="str">
            <v>其它</v>
          </cell>
          <cell r="D995" t="str">
            <v>其它</v>
          </cell>
          <cell r="E995" t="str">
            <v>抵押贷款</v>
          </cell>
          <cell r="F995">
            <v>37518</v>
          </cell>
          <cell r="G995">
            <v>38248</v>
          </cell>
          <cell r="H995">
            <v>0</v>
          </cell>
          <cell r="I995">
            <v>16.899999999999999</v>
          </cell>
          <cell r="J995">
            <v>0.66</v>
          </cell>
          <cell r="K995">
            <v>0.66</v>
          </cell>
          <cell r="L995">
            <v>16.239999999999998</v>
          </cell>
          <cell r="M995" t="str">
            <v>公园</v>
          </cell>
        </row>
        <row r="996">
          <cell r="B996" t="str">
            <v>鹭江交通公司 Total</v>
          </cell>
          <cell r="L996">
            <v>16.239999999999998</v>
          </cell>
        </row>
        <row r="997">
          <cell r="A997" t="str">
            <v>21788A</v>
          </cell>
          <cell r="B997" t="str">
            <v>鹭霖食品冷冻公司</v>
          </cell>
          <cell r="C997" t="str">
            <v>集体</v>
          </cell>
          <cell r="D997" t="str">
            <v>工业</v>
          </cell>
          <cell r="E997" t="str">
            <v>抵押贷款</v>
          </cell>
          <cell r="F997">
            <v>35692</v>
          </cell>
          <cell r="G997">
            <v>35904</v>
          </cell>
          <cell r="H997">
            <v>0</v>
          </cell>
          <cell r="I997">
            <v>0</v>
          </cell>
          <cell r="J997">
            <v>0</v>
          </cell>
          <cell r="K997">
            <v>0</v>
          </cell>
          <cell r="L997">
            <v>65</v>
          </cell>
          <cell r="M997" t="str">
            <v>同安</v>
          </cell>
        </row>
        <row r="998">
          <cell r="B998" t="str">
            <v>鹭霖食品冷冻公司 Total</v>
          </cell>
          <cell r="L998">
            <v>65</v>
          </cell>
        </row>
        <row r="999">
          <cell r="A999" t="str">
            <v>200034</v>
          </cell>
          <cell r="B999" t="str">
            <v>鹭顺达</v>
          </cell>
          <cell r="C999" t="str">
            <v>集体</v>
          </cell>
          <cell r="D999" t="str">
            <v>商贸</v>
          </cell>
          <cell r="E999" t="str">
            <v>抵押贷款</v>
          </cell>
          <cell r="F999">
            <v>37399</v>
          </cell>
          <cell r="G999">
            <v>38123</v>
          </cell>
          <cell r="H999">
            <v>0</v>
          </cell>
          <cell r="I999">
            <v>31.2</v>
          </cell>
          <cell r="J999">
            <v>1.25</v>
          </cell>
          <cell r="K999">
            <v>6.17</v>
          </cell>
          <cell r="L999">
            <v>25.03</v>
          </cell>
          <cell r="M999" t="str">
            <v>新港</v>
          </cell>
        </row>
        <row r="1000">
          <cell r="B1000" t="str">
            <v>鹭顺达 Total</v>
          </cell>
          <cell r="L1000">
            <v>25.03</v>
          </cell>
        </row>
        <row r="1001">
          <cell r="A1001" t="str">
            <v>gx0075</v>
          </cell>
          <cell r="B1001" t="str">
            <v>吕碧馨</v>
          </cell>
          <cell r="C1001" t="str">
            <v>其它</v>
          </cell>
          <cell r="D1001" t="str">
            <v>其它</v>
          </cell>
          <cell r="E1001" t="str">
            <v>保证贷款</v>
          </cell>
          <cell r="F1001">
            <v>37544</v>
          </cell>
          <cell r="G1001">
            <v>38275</v>
          </cell>
          <cell r="H1001">
            <v>2</v>
          </cell>
          <cell r="I1001">
            <v>2</v>
          </cell>
          <cell r="J1001">
            <v>0</v>
          </cell>
          <cell r="K1001">
            <v>0</v>
          </cell>
          <cell r="L1001">
            <v>2</v>
          </cell>
          <cell r="M1001" t="str">
            <v>公园</v>
          </cell>
        </row>
        <row r="1002">
          <cell r="B1002" t="str">
            <v>吕碧馨 Total</v>
          </cell>
          <cell r="L1002">
            <v>2</v>
          </cell>
        </row>
        <row r="1003">
          <cell r="A1003" t="str">
            <v>52239</v>
          </cell>
          <cell r="B1003" t="str">
            <v>吕根木</v>
          </cell>
          <cell r="C1003" t="str">
            <v>其它</v>
          </cell>
          <cell r="D1003" t="str">
            <v>其它</v>
          </cell>
          <cell r="E1003" t="str">
            <v>质押贷款</v>
          </cell>
          <cell r="F1003">
            <v>35753</v>
          </cell>
          <cell r="G1003">
            <v>35965</v>
          </cell>
          <cell r="H1003">
            <v>0</v>
          </cell>
          <cell r="I1003">
            <v>0</v>
          </cell>
          <cell r="J1003">
            <v>0</v>
          </cell>
          <cell r="K1003">
            <v>0</v>
          </cell>
          <cell r="L1003">
            <v>2.5</v>
          </cell>
          <cell r="M1003" t="str">
            <v>同安</v>
          </cell>
        </row>
        <row r="1004">
          <cell r="B1004" t="str">
            <v>吕根木 Total</v>
          </cell>
          <cell r="L1004">
            <v>2.5</v>
          </cell>
        </row>
        <row r="1005">
          <cell r="A1005" t="str">
            <v>020159</v>
          </cell>
          <cell r="B1005" t="str">
            <v>吕联星</v>
          </cell>
          <cell r="C1005" t="str">
            <v>其它</v>
          </cell>
          <cell r="D1005" t="str">
            <v>其它</v>
          </cell>
          <cell r="E1005" t="str">
            <v>抵押贷款</v>
          </cell>
          <cell r="F1005">
            <v>37467</v>
          </cell>
          <cell r="G1005">
            <v>37799</v>
          </cell>
          <cell r="H1005">
            <v>0</v>
          </cell>
          <cell r="I1005">
            <v>10</v>
          </cell>
          <cell r="J1005">
            <v>0</v>
          </cell>
          <cell r="K1005">
            <v>0</v>
          </cell>
          <cell r="L1005">
            <v>10</v>
          </cell>
          <cell r="M1005" t="str">
            <v>东区</v>
          </cell>
        </row>
        <row r="1006">
          <cell r="B1006" t="str">
            <v>吕联星 Total</v>
          </cell>
          <cell r="L1006">
            <v>10</v>
          </cell>
        </row>
        <row r="1007">
          <cell r="A1007" t="str">
            <v>020135</v>
          </cell>
          <cell r="B1007" t="str">
            <v>吕良培</v>
          </cell>
          <cell r="C1007" t="str">
            <v>其它</v>
          </cell>
          <cell r="D1007" t="str">
            <v>其它</v>
          </cell>
          <cell r="E1007" t="str">
            <v>抵押贷款</v>
          </cell>
          <cell r="F1007">
            <v>37373</v>
          </cell>
          <cell r="G1007">
            <v>37707</v>
          </cell>
          <cell r="H1007">
            <v>0</v>
          </cell>
          <cell r="I1007">
            <v>17</v>
          </cell>
          <cell r="J1007">
            <v>0</v>
          </cell>
          <cell r="K1007">
            <v>0</v>
          </cell>
          <cell r="L1007">
            <v>17</v>
          </cell>
          <cell r="M1007" t="str">
            <v>东区</v>
          </cell>
        </row>
        <row r="1008">
          <cell r="B1008" t="str">
            <v>吕良培 Total</v>
          </cell>
          <cell r="L1008">
            <v>17</v>
          </cell>
        </row>
        <row r="1009">
          <cell r="A1009" t="str">
            <v>023527</v>
          </cell>
          <cell r="B1009" t="str">
            <v>吕萍</v>
          </cell>
          <cell r="C1009" t="str">
            <v>其它</v>
          </cell>
          <cell r="D1009" t="str">
            <v>其它</v>
          </cell>
          <cell r="E1009" t="str">
            <v>质押贷款</v>
          </cell>
          <cell r="F1009">
            <v>37461</v>
          </cell>
          <cell r="G1009">
            <v>37645</v>
          </cell>
          <cell r="H1009">
            <v>0</v>
          </cell>
          <cell r="I1009">
            <v>6.5</v>
          </cell>
          <cell r="J1009">
            <v>0</v>
          </cell>
          <cell r="K1009">
            <v>0</v>
          </cell>
          <cell r="L1009">
            <v>6.5</v>
          </cell>
          <cell r="M1009" t="str">
            <v>集美</v>
          </cell>
        </row>
        <row r="1010">
          <cell r="B1010" t="str">
            <v>吕萍 Total</v>
          </cell>
          <cell r="L1010">
            <v>6.5</v>
          </cell>
        </row>
        <row r="1011">
          <cell r="A1011" t="str">
            <v>020032</v>
          </cell>
          <cell r="B1011" t="str">
            <v>吕人力</v>
          </cell>
          <cell r="C1011" t="str">
            <v>住房</v>
          </cell>
          <cell r="D1011" t="str">
            <v>其它</v>
          </cell>
          <cell r="E1011" t="str">
            <v>抵押贷款</v>
          </cell>
          <cell r="F1011">
            <v>36858</v>
          </cell>
          <cell r="G1011">
            <v>44185</v>
          </cell>
          <cell r="H1011">
            <v>0</v>
          </cell>
          <cell r="I1011">
            <v>24.12</v>
          </cell>
          <cell r="J1011">
            <v>0.06</v>
          </cell>
          <cell r="K1011">
            <v>0.42</v>
          </cell>
          <cell r="L1011">
            <v>23.7</v>
          </cell>
          <cell r="M1011" t="str">
            <v>东区</v>
          </cell>
        </row>
        <row r="1012">
          <cell r="B1012" t="str">
            <v>吕人力 Total</v>
          </cell>
          <cell r="L1012">
            <v>23.7</v>
          </cell>
        </row>
        <row r="1013">
          <cell r="A1013" t="str">
            <v>52201</v>
          </cell>
          <cell r="B1013" t="str">
            <v>吕土墙</v>
          </cell>
          <cell r="C1013" t="str">
            <v>其它</v>
          </cell>
          <cell r="D1013" t="str">
            <v>其它</v>
          </cell>
          <cell r="E1013" t="str">
            <v>质押贷款</v>
          </cell>
          <cell r="F1013">
            <v>35554</v>
          </cell>
          <cell r="G1013">
            <v>35768</v>
          </cell>
          <cell r="H1013">
            <v>0</v>
          </cell>
          <cell r="I1013">
            <v>0</v>
          </cell>
          <cell r="J1013">
            <v>0</v>
          </cell>
          <cell r="K1013">
            <v>0</v>
          </cell>
          <cell r="L1013">
            <v>3</v>
          </cell>
          <cell r="M1013" t="str">
            <v>同安</v>
          </cell>
        </row>
        <row r="1014">
          <cell r="B1014" t="str">
            <v>吕土墙 Total</v>
          </cell>
          <cell r="L1014">
            <v>3</v>
          </cell>
        </row>
        <row r="1015">
          <cell r="A1015" t="str">
            <v>200248</v>
          </cell>
          <cell r="B1015" t="str">
            <v>吕拥加</v>
          </cell>
          <cell r="C1015" t="str">
            <v>其它</v>
          </cell>
          <cell r="D1015" t="str">
            <v>其它</v>
          </cell>
          <cell r="E1015" t="str">
            <v>保证贷款</v>
          </cell>
          <cell r="F1015">
            <v>37435</v>
          </cell>
          <cell r="G1015">
            <v>37649</v>
          </cell>
          <cell r="H1015">
            <v>0</v>
          </cell>
          <cell r="I1015">
            <v>7</v>
          </cell>
          <cell r="J1015">
            <v>0</v>
          </cell>
          <cell r="K1015">
            <v>0</v>
          </cell>
          <cell r="L1015">
            <v>7</v>
          </cell>
          <cell r="M1015" t="str">
            <v>同安</v>
          </cell>
        </row>
        <row r="1016">
          <cell r="B1016" t="str">
            <v>吕拥加 Total</v>
          </cell>
          <cell r="L1016">
            <v>7</v>
          </cell>
        </row>
        <row r="1017">
          <cell r="A1017" t="str">
            <v>gs0015</v>
          </cell>
          <cell r="B1017" t="str">
            <v>吕志伟</v>
          </cell>
          <cell r="C1017" t="str">
            <v>其它</v>
          </cell>
          <cell r="D1017" t="str">
            <v>其它</v>
          </cell>
          <cell r="E1017" t="str">
            <v>抵押贷款</v>
          </cell>
          <cell r="F1017">
            <v>37239</v>
          </cell>
          <cell r="G1017">
            <v>37604</v>
          </cell>
          <cell r="H1017">
            <v>0</v>
          </cell>
          <cell r="I1017">
            <v>10</v>
          </cell>
          <cell r="J1017">
            <v>0</v>
          </cell>
          <cell r="K1017">
            <v>0</v>
          </cell>
          <cell r="L1017">
            <v>10</v>
          </cell>
          <cell r="M1017" t="str">
            <v>公园</v>
          </cell>
        </row>
        <row r="1018">
          <cell r="B1018" t="str">
            <v>吕志伟 Total</v>
          </cell>
          <cell r="L1018">
            <v>10</v>
          </cell>
        </row>
        <row r="1019">
          <cell r="A1019" t="str">
            <v>500021</v>
          </cell>
          <cell r="B1019" t="str">
            <v>罗汉平</v>
          </cell>
          <cell r="C1019" t="str">
            <v>其它</v>
          </cell>
          <cell r="E1019" t="str">
            <v>抵押贷款</v>
          </cell>
          <cell r="F1019">
            <v>37473</v>
          </cell>
          <cell r="G1019">
            <v>37838</v>
          </cell>
          <cell r="H1019">
            <v>0</v>
          </cell>
          <cell r="I1019">
            <v>45</v>
          </cell>
          <cell r="J1019">
            <v>0</v>
          </cell>
          <cell r="K1019">
            <v>0</v>
          </cell>
          <cell r="L1019">
            <v>45</v>
          </cell>
          <cell r="M1019" t="str">
            <v>新港</v>
          </cell>
        </row>
        <row r="1020">
          <cell r="B1020" t="str">
            <v>罗汉平 Total</v>
          </cell>
          <cell r="L1020">
            <v>45</v>
          </cell>
        </row>
        <row r="1021">
          <cell r="A1021" t="str">
            <v>020147</v>
          </cell>
          <cell r="B1021" t="str">
            <v>罗家宽</v>
          </cell>
          <cell r="C1021" t="str">
            <v>其它</v>
          </cell>
          <cell r="D1021" t="str">
            <v>其它</v>
          </cell>
          <cell r="E1021" t="str">
            <v>保证贷款</v>
          </cell>
          <cell r="F1021">
            <v>37413</v>
          </cell>
          <cell r="G1021">
            <v>37778</v>
          </cell>
          <cell r="H1021">
            <v>0</v>
          </cell>
          <cell r="I1021">
            <v>20</v>
          </cell>
          <cell r="J1021">
            <v>0</v>
          </cell>
          <cell r="K1021">
            <v>0</v>
          </cell>
          <cell r="L1021">
            <v>20</v>
          </cell>
          <cell r="M1021" t="str">
            <v>东区</v>
          </cell>
        </row>
        <row r="1022">
          <cell r="B1022" t="str">
            <v>罗家宽 Total</v>
          </cell>
          <cell r="L1022">
            <v>20</v>
          </cell>
        </row>
        <row r="1023">
          <cell r="A1023" t="str">
            <v>200022</v>
          </cell>
          <cell r="B1023" t="str">
            <v>骆秋苗</v>
          </cell>
          <cell r="C1023" t="str">
            <v>住房</v>
          </cell>
          <cell r="D1023" t="str">
            <v>其它</v>
          </cell>
          <cell r="E1023" t="str">
            <v>抵押贷款</v>
          </cell>
          <cell r="F1023">
            <v>37123</v>
          </cell>
          <cell r="G1023">
            <v>42602</v>
          </cell>
          <cell r="H1023">
            <v>0</v>
          </cell>
          <cell r="I1023">
            <v>12.67</v>
          </cell>
          <cell r="J1023">
            <v>0.05</v>
          </cell>
          <cell r="K1023">
            <v>0.34</v>
          </cell>
          <cell r="L1023">
            <v>12.33</v>
          </cell>
          <cell r="M1023" t="str">
            <v>鹭江</v>
          </cell>
        </row>
        <row r="1024">
          <cell r="B1024" t="str">
            <v>骆秋苗 Total</v>
          </cell>
          <cell r="L1024">
            <v>12.33</v>
          </cell>
        </row>
        <row r="1025">
          <cell r="A1025" t="str">
            <v>0015</v>
          </cell>
          <cell r="B1025" t="str">
            <v>马海英</v>
          </cell>
          <cell r="C1025" t="str">
            <v>其它</v>
          </cell>
          <cell r="D1025" t="str">
            <v>其它</v>
          </cell>
          <cell r="E1025" t="str">
            <v>抵押贷款</v>
          </cell>
          <cell r="F1025">
            <v>37425</v>
          </cell>
          <cell r="G1025">
            <v>37790</v>
          </cell>
          <cell r="H1025">
            <v>0</v>
          </cell>
          <cell r="I1025">
            <v>10</v>
          </cell>
          <cell r="J1025">
            <v>0</v>
          </cell>
          <cell r="K1025">
            <v>0</v>
          </cell>
          <cell r="L1025">
            <v>10</v>
          </cell>
          <cell r="M1025" t="str">
            <v>东芳</v>
          </cell>
        </row>
        <row r="1026">
          <cell r="B1026" t="str">
            <v>马海英 Total</v>
          </cell>
          <cell r="L1026">
            <v>10</v>
          </cell>
        </row>
        <row r="1027">
          <cell r="A1027" t="str">
            <v>200231</v>
          </cell>
          <cell r="B1027" t="str">
            <v>马巷和顺面粉厂</v>
          </cell>
          <cell r="C1027" t="str">
            <v>集体</v>
          </cell>
          <cell r="D1027" t="str">
            <v>工业</v>
          </cell>
          <cell r="E1027" t="str">
            <v>保证贷款</v>
          </cell>
          <cell r="F1027">
            <v>37350</v>
          </cell>
          <cell r="G1027">
            <v>37655</v>
          </cell>
          <cell r="H1027">
            <v>0</v>
          </cell>
          <cell r="I1027">
            <v>100</v>
          </cell>
          <cell r="J1027">
            <v>0</v>
          </cell>
          <cell r="K1027">
            <v>0</v>
          </cell>
          <cell r="L1027">
            <v>100</v>
          </cell>
          <cell r="M1027" t="str">
            <v>马巷</v>
          </cell>
        </row>
        <row r="1028">
          <cell r="B1028" t="str">
            <v>马巷和顺面粉厂 Total</v>
          </cell>
          <cell r="L1028">
            <v>100</v>
          </cell>
        </row>
        <row r="1029">
          <cell r="A1029" t="str">
            <v>200221</v>
          </cell>
          <cell r="B1029" t="str">
            <v>马巷华丰面粉厂</v>
          </cell>
          <cell r="C1029" t="str">
            <v>集体</v>
          </cell>
          <cell r="D1029" t="str">
            <v>工业</v>
          </cell>
          <cell r="E1029" t="str">
            <v>保证贷款</v>
          </cell>
          <cell r="F1029">
            <v>37330</v>
          </cell>
          <cell r="G1029">
            <v>37635</v>
          </cell>
          <cell r="H1029">
            <v>0</v>
          </cell>
          <cell r="I1029">
            <v>200</v>
          </cell>
          <cell r="J1029">
            <v>0</v>
          </cell>
          <cell r="K1029">
            <v>0</v>
          </cell>
          <cell r="L1029">
            <v>200</v>
          </cell>
          <cell r="M1029" t="str">
            <v>马巷</v>
          </cell>
        </row>
        <row r="1030">
          <cell r="B1030" t="str">
            <v>马巷华丰面粉厂 Total</v>
          </cell>
          <cell r="L1030">
            <v>200</v>
          </cell>
        </row>
        <row r="1031">
          <cell r="A1031" t="str">
            <v>MX0210</v>
          </cell>
          <cell r="B1031" t="str">
            <v>马巷建设开发公司</v>
          </cell>
          <cell r="C1031" t="str">
            <v>集体</v>
          </cell>
          <cell r="D1031" t="str">
            <v>工业</v>
          </cell>
          <cell r="E1031" t="str">
            <v>保证贷款</v>
          </cell>
          <cell r="F1031">
            <v>37519</v>
          </cell>
          <cell r="G1031">
            <v>37884</v>
          </cell>
          <cell r="H1031">
            <v>0</v>
          </cell>
          <cell r="I1031">
            <v>200</v>
          </cell>
          <cell r="J1031">
            <v>0</v>
          </cell>
          <cell r="K1031">
            <v>0</v>
          </cell>
          <cell r="L1031">
            <v>200</v>
          </cell>
          <cell r="M1031" t="str">
            <v>马巷</v>
          </cell>
        </row>
        <row r="1032">
          <cell r="B1032" t="str">
            <v>马巷建设开发公司 Total</v>
          </cell>
          <cell r="L1032">
            <v>200</v>
          </cell>
        </row>
        <row r="1033">
          <cell r="A1033" t="str">
            <v>237272</v>
          </cell>
          <cell r="B1033" t="str">
            <v>马巷立信汽车运输队</v>
          </cell>
          <cell r="C1033" t="str">
            <v>集体</v>
          </cell>
          <cell r="D1033" t="str">
            <v>其它</v>
          </cell>
          <cell r="E1033" t="str">
            <v>保证贷款</v>
          </cell>
          <cell r="F1033">
            <v>35671</v>
          </cell>
          <cell r="G1033">
            <v>35977</v>
          </cell>
          <cell r="H1033">
            <v>0</v>
          </cell>
          <cell r="I1033">
            <v>0</v>
          </cell>
          <cell r="J1033">
            <v>0</v>
          </cell>
          <cell r="K1033">
            <v>0</v>
          </cell>
          <cell r="L1033">
            <v>5</v>
          </cell>
          <cell r="M1033" t="str">
            <v>马巷</v>
          </cell>
        </row>
        <row r="1034">
          <cell r="B1034" t="str">
            <v>马巷立信汽车运输队 Total</v>
          </cell>
          <cell r="L1034">
            <v>5</v>
          </cell>
        </row>
        <row r="1035">
          <cell r="A1035" t="str">
            <v>217231</v>
          </cell>
          <cell r="B1035" t="str">
            <v>马巷迅达饲料厂</v>
          </cell>
          <cell r="C1035" t="str">
            <v>集体</v>
          </cell>
          <cell r="D1035" t="str">
            <v>工业</v>
          </cell>
          <cell r="E1035" t="str">
            <v>保证贷款</v>
          </cell>
          <cell r="F1035">
            <v>35640</v>
          </cell>
          <cell r="G1035">
            <v>35855</v>
          </cell>
          <cell r="H1035">
            <v>0</v>
          </cell>
          <cell r="I1035">
            <v>0</v>
          </cell>
          <cell r="J1035">
            <v>0</v>
          </cell>
          <cell r="K1035">
            <v>0</v>
          </cell>
          <cell r="L1035">
            <v>15</v>
          </cell>
          <cell r="M1035" t="str">
            <v>马巷</v>
          </cell>
        </row>
        <row r="1036">
          <cell r="B1036" t="str">
            <v>马巷迅达饲料厂 Total</v>
          </cell>
          <cell r="L1036">
            <v>15</v>
          </cell>
        </row>
        <row r="1037">
          <cell r="A1037" t="str">
            <v>020040</v>
          </cell>
          <cell r="B1037" t="str">
            <v>马岩</v>
          </cell>
          <cell r="C1037" t="str">
            <v>住房</v>
          </cell>
          <cell r="D1037" t="str">
            <v>其它</v>
          </cell>
          <cell r="E1037" t="str">
            <v>抵押贷款</v>
          </cell>
          <cell r="F1037">
            <v>36894</v>
          </cell>
          <cell r="G1037">
            <v>44216</v>
          </cell>
          <cell r="H1037">
            <v>0</v>
          </cell>
          <cell r="I1037">
            <v>30.95</v>
          </cell>
          <cell r="J1037">
            <v>0.08</v>
          </cell>
          <cell r="K1037">
            <v>0.56000000000000005</v>
          </cell>
          <cell r="L1037">
            <v>30.39</v>
          </cell>
          <cell r="M1037" t="str">
            <v>东区</v>
          </cell>
        </row>
        <row r="1038">
          <cell r="B1038" t="str">
            <v>马岩 Total</v>
          </cell>
          <cell r="L1038">
            <v>30.39</v>
          </cell>
        </row>
        <row r="1039">
          <cell r="A1039" t="str">
            <v>070046</v>
          </cell>
          <cell r="B1039" t="str">
            <v>迈克生化股份公司</v>
          </cell>
          <cell r="C1039" t="str">
            <v>集体</v>
          </cell>
          <cell r="D1039" t="str">
            <v>商贸</v>
          </cell>
          <cell r="E1039" t="str">
            <v>票据贴现</v>
          </cell>
          <cell r="F1039">
            <v>37391</v>
          </cell>
          <cell r="G1039">
            <v>37574</v>
          </cell>
          <cell r="H1039">
            <v>0</v>
          </cell>
          <cell r="I1039">
            <v>200</v>
          </cell>
          <cell r="J1039">
            <v>0</v>
          </cell>
          <cell r="K1039">
            <v>0</v>
          </cell>
          <cell r="L1039">
            <v>200</v>
          </cell>
          <cell r="M1039" t="str">
            <v>公园</v>
          </cell>
        </row>
        <row r="1040">
          <cell r="A1040" t="str">
            <v>070063</v>
          </cell>
          <cell r="B1040" t="str">
            <v>迈克生化股份公司</v>
          </cell>
          <cell r="C1040" t="str">
            <v>集体</v>
          </cell>
          <cell r="D1040" t="str">
            <v>商贸</v>
          </cell>
          <cell r="E1040" t="str">
            <v>票据贴现</v>
          </cell>
          <cell r="F1040">
            <v>37475</v>
          </cell>
          <cell r="G1040">
            <v>37658</v>
          </cell>
          <cell r="H1040">
            <v>0</v>
          </cell>
          <cell r="I1040">
            <v>450</v>
          </cell>
          <cell r="J1040">
            <v>0</v>
          </cell>
          <cell r="K1040">
            <v>0</v>
          </cell>
          <cell r="L1040">
            <v>450</v>
          </cell>
          <cell r="M1040" t="str">
            <v>公园</v>
          </cell>
        </row>
        <row r="1041">
          <cell r="B1041" t="str">
            <v>迈克生化股份公司 Total</v>
          </cell>
          <cell r="L1041">
            <v>650</v>
          </cell>
        </row>
        <row r="1042">
          <cell r="A1042" t="str">
            <v>200199</v>
          </cell>
          <cell r="B1042" t="str">
            <v>美人山水泥厂</v>
          </cell>
          <cell r="C1042" t="str">
            <v>集体</v>
          </cell>
          <cell r="D1042" t="str">
            <v>工业</v>
          </cell>
          <cell r="E1042" t="str">
            <v>保证贷款</v>
          </cell>
          <cell r="F1042">
            <v>37211</v>
          </cell>
          <cell r="G1042">
            <v>37576</v>
          </cell>
          <cell r="H1042">
            <v>0</v>
          </cell>
          <cell r="I1042">
            <v>0</v>
          </cell>
          <cell r="J1042">
            <v>0</v>
          </cell>
          <cell r="K1042">
            <v>0</v>
          </cell>
          <cell r="L1042">
            <v>280</v>
          </cell>
          <cell r="M1042" t="str">
            <v>同安</v>
          </cell>
        </row>
        <row r="1043">
          <cell r="B1043" t="str">
            <v>美人山水泥厂 Total</v>
          </cell>
          <cell r="L1043">
            <v>280</v>
          </cell>
        </row>
        <row r="1044">
          <cell r="A1044" t="str">
            <v>217291</v>
          </cell>
          <cell r="B1044" t="str">
            <v>美味冷冻调理食品厂</v>
          </cell>
          <cell r="C1044" t="str">
            <v>集体</v>
          </cell>
          <cell r="D1044" t="str">
            <v>工业</v>
          </cell>
          <cell r="E1044" t="str">
            <v>保证贷款</v>
          </cell>
          <cell r="F1044">
            <v>35699</v>
          </cell>
          <cell r="G1044">
            <v>35883</v>
          </cell>
          <cell r="H1044">
            <v>0</v>
          </cell>
          <cell r="I1044">
            <v>0</v>
          </cell>
          <cell r="J1044">
            <v>0</v>
          </cell>
          <cell r="K1044">
            <v>0</v>
          </cell>
          <cell r="L1044">
            <v>11.74</v>
          </cell>
          <cell r="M1044" t="str">
            <v>同安</v>
          </cell>
        </row>
        <row r="1045">
          <cell r="B1045" t="str">
            <v>美味冷冻调理食品厂 Total</v>
          </cell>
          <cell r="L1045">
            <v>11.74</v>
          </cell>
        </row>
        <row r="1046">
          <cell r="A1046" t="str">
            <v>2007ga</v>
          </cell>
          <cell r="B1046" t="str">
            <v>孟姜红</v>
          </cell>
          <cell r="C1046" t="str">
            <v>住房</v>
          </cell>
          <cell r="D1046" t="str">
            <v>其它</v>
          </cell>
          <cell r="E1046" t="str">
            <v>抵押贷款</v>
          </cell>
          <cell r="F1046">
            <v>37316</v>
          </cell>
          <cell r="G1046">
            <v>37550</v>
          </cell>
          <cell r="H1046">
            <v>0.44</v>
          </cell>
          <cell r="I1046">
            <v>3.27</v>
          </cell>
          <cell r="J1046">
            <v>0</v>
          </cell>
          <cell r="K1046">
            <v>2.39</v>
          </cell>
          <cell r="L1046">
            <v>0.88</v>
          </cell>
          <cell r="M1046" t="str">
            <v>公园</v>
          </cell>
        </row>
        <row r="1047">
          <cell r="B1047" t="str">
            <v>孟姜红 Total</v>
          </cell>
          <cell r="L1047">
            <v>0.88</v>
          </cell>
        </row>
        <row r="1048">
          <cell r="A1048" t="str">
            <v>800561</v>
          </cell>
          <cell r="B1048" t="str">
            <v>名仕贸易公司</v>
          </cell>
          <cell r="C1048" t="str">
            <v>集体</v>
          </cell>
          <cell r="D1048" t="str">
            <v>其它</v>
          </cell>
          <cell r="E1048" t="str">
            <v>保证贷款</v>
          </cell>
          <cell r="F1048">
            <v>36889</v>
          </cell>
          <cell r="G1048">
            <v>37160</v>
          </cell>
          <cell r="H1048">
            <v>0</v>
          </cell>
          <cell r="I1048">
            <v>0</v>
          </cell>
          <cell r="J1048">
            <v>0</v>
          </cell>
          <cell r="K1048">
            <v>0</v>
          </cell>
          <cell r="L1048">
            <v>45</v>
          </cell>
          <cell r="M1048" t="str">
            <v>鹭江</v>
          </cell>
        </row>
        <row r="1049">
          <cell r="B1049" t="str">
            <v>名仕贸易公司 Total</v>
          </cell>
          <cell r="L1049">
            <v>45</v>
          </cell>
        </row>
        <row r="1050">
          <cell r="A1050" t="str">
            <v>22321</v>
          </cell>
          <cell r="B1050" t="str">
            <v>明烽经贸有限公司</v>
          </cell>
          <cell r="C1050" t="str">
            <v>外事</v>
          </cell>
          <cell r="D1050" t="str">
            <v>商贸</v>
          </cell>
          <cell r="E1050" t="str">
            <v>保证贷款</v>
          </cell>
          <cell r="F1050">
            <v>37468</v>
          </cell>
          <cell r="G1050">
            <v>37652</v>
          </cell>
          <cell r="H1050">
            <v>0</v>
          </cell>
          <cell r="I1050">
            <v>44</v>
          </cell>
          <cell r="J1050">
            <v>0</v>
          </cell>
          <cell r="K1050">
            <v>0</v>
          </cell>
          <cell r="L1050">
            <v>44</v>
          </cell>
          <cell r="M1050" t="str">
            <v>江头</v>
          </cell>
        </row>
        <row r="1051">
          <cell r="B1051" t="str">
            <v>明烽经贸有限公司 Total</v>
          </cell>
          <cell r="L1051">
            <v>44</v>
          </cell>
        </row>
        <row r="1052">
          <cell r="A1052" t="str">
            <v>217209</v>
          </cell>
          <cell r="B1052" t="str">
            <v>明记粮食加工厂</v>
          </cell>
          <cell r="C1052" t="str">
            <v>集体</v>
          </cell>
          <cell r="D1052" t="str">
            <v>工业</v>
          </cell>
          <cell r="E1052" t="str">
            <v>保证贷款</v>
          </cell>
          <cell r="F1052">
            <v>35622</v>
          </cell>
          <cell r="G1052">
            <v>35837</v>
          </cell>
          <cell r="H1052">
            <v>0</v>
          </cell>
          <cell r="I1052">
            <v>0</v>
          </cell>
          <cell r="J1052">
            <v>0</v>
          </cell>
          <cell r="K1052">
            <v>0</v>
          </cell>
          <cell r="L1052">
            <v>15</v>
          </cell>
          <cell r="M1052" t="str">
            <v>同安</v>
          </cell>
        </row>
        <row r="1053">
          <cell r="B1053" t="str">
            <v>明记粮食加工厂 Total</v>
          </cell>
          <cell r="L1053">
            <v>15</v>
          </cell>
        </row>
        <row r="1054">
          <cell r="A1054" t="str">
            <v>020115</v>
          </cell>
          <cell r="B1054" t="str">
            <v>缪益民</v>
          </cell>
          <cell r="C1054" t="str">
            <v>其它</v>
          </cell>
          <cell r="D1054" t="str">
            <v>其它</v>
          </cell>
          <cell r="E1054" t="str">
            <v>保证贷款</v>
          </cell>
          <cell r="F1054">
            <v>37279</v>
          </cell>
          <cell r="G1054">
            <v>37644</v>
          </cell>
          <cell r="H1054">
            <v>0</v>
          </cell>
          <cell r="I1054">
            <v>18</v>
          </cell>
          <cell r="J1054">
            <v>0</v>
          </cell>
          <cell r="K1054">
            <v>0</v>
          </cell>
          <cell r="L1054">
            <v>18</v>
          </cell>
          <cell r="M1054" t="str">
            <v>东区</v>
          </cell>
        </row>
        <row r="1055">
          <cell r="B1055" t="str">
            <v>缪益民 Total</v>
          </cell>
          <cell r="L1055">
            <v>18</v>
          </cell>
        </row>
        <row r="1056">
          <cell r="A1056" t="str">
            <v>250715</v>
          </cell>
          <cell r="B1056" t="str">
            <v>牧龙办公设备</v>
          </cell>
          <cell r="C1056" t="str">
            <v>集体</v>
          </cell>
          <cell r="D1056" t="str">
            <v>商贸</v>
          </cell>
          <cell r="E1056" t="str">
            <v>抵押贷款</v>
          </cell>
          <cell r="F1056">
            <v>37399</v>
          </cell>
          <cell r="G1056">
            <v>38123</v>
          </cell>
          <cell r="H1056">
            <v>0</v>
          </cell>
          <cell r="I1056">
            <v>12.24</v>
          </cell>
          <cell r="J1056">
            <v>0.5</v>
          </cell>
          <cell r="K1056">
            <v>2.44</v>
          </cell>
          <cell r="L1056">
            <v>9.8000000000000007</v>
          </cell>
          <cell r="M1056" t="str">
            <v>湖里</v>
          </cell>
        </row>
        <row r="1057">
          <cell r="B1057" t="str">
            <v>牧龙办公设备 Total</v>
          </cell>
          <cell r="L1057">
            <v>9.8000000000000007</v>
          </cell>
        </row>
        <row r="1058">
          <cell r="A1058" t="str">
            <v>237274</v>
          </cell>
          <cell r="B1058" t="str">
            <v>内厝汽车修配厂</v>
          </cell>
          <cell r="C1058" t="str">
            <v>集体</v>
          </cell>
          <cell r="D1058" t="str">
            <v>其它</v>
          </cell>
          <cell r="E1058" t="str">
            <v>抵押贷款</v>
          </cell>
          <cell r="F1058">
            <v>35671</v>
          </cell>
          <cell r="G1058">
            <v>35977</v>
          </cell>
          <cell r="H1058">
            <v>0</v>
          </cell>
          <cell r="I1058">
            <v>0</v>
          </cell>
          <cell r="J1058">
            <v>0</v>
          </cell>
          <cell r="K1058">
            <v>0</v>
          </cell>
          <cell r="L1058">
            <v>12</v>
          </cell>
          <cell r="M1058" t="str">
            <v>同安</v>
          </cell>
        </row>
        <row r="1059">
          <cell r="B1059" t="str">
            <v>内厝汽车修配厂 Total</v>
          </cell>
          <cell r="L1059">
            <v>12</v>
          </cell>
        </row>
        <row r="1060">
          <cell r="A1060" t="str">
            <v>0041</v>
          </cell>
          <cell r="B1060" t="str">
            <v>南华电器厂</v>
          </cell>
          <cell r="C1060" t="str">
            <v>集体</v>
          </cell>
          <cell r="D1060" t="str">
            <v>工业</v>
          </cell>
          <cell r="E1060" t="str">
            <v>抵押贷款</v>
          </cell>
          <cell r="F1060">
            <v>37344</v>
          </cell>
          <cell r="G1060">
            <v>37709</v>
          </cell>
          <cell r="H1060">
            <v>0</v>
          </cell>
          <cell r="I1060">
            <v>60</v>
          </cell>
          <cell r="J1060">
            <v>0</v>
          </cell>
          <cell r="K1060">
            <v>0</v>
          </cell>
          <cell r="L1060">
            <v>60</v>
          </cell>
          <cell r="M1060" t="str">
            <v>莲花</v>
          </cell>
        </row>
        <row r="1061">
          <cell r="B1061" t="str">
            <v>南华电器厂 Total</v>
          </cell>
          <cell r="L1061">
            <v>60</v>
          </cell>
        </row>
        <row r="1062">
          <cell r="A1062" t="str">
            <v>23511B</v>
          </cell>
          <cell r="B1062" t="str">
            <v>南门汽车运输公司</v>
          </cell>
          <cell r="C1062" t="str">
            <v>集体</v>
          </cell>
          <cell r="D1062" t="str">
            <v>其它</v>
          </cell>
          <cell r="E1062" t="str">
            <v>保证贷款</v>
          </cell>
          <cell r="F1062">
            <v>34502</v>
          </cell>
          <cell r="G1062">
            <v>34716</v>
          </cell>
          <cell r="H1062">
            <v>0</v>
          </cell>
          <cell r="I1062">
            <v>0</v>
          </cell>
          <cell r="J1062">
            <v>0</v>
          </cell>
          <cell r="K1062">
            <v>0</v>
          </cell>
          <cell r="L1062">
            <v>13</v>
          </cell>
          <cell r="M1062" t="str">
            <v>同安</v>
          </cell>
        </row>
        <row r="1063">
          <cell r="B1063" t="str">
            <v>南门汽车运输公司 Total</v>
          </cell>
          <cell r="L1063">
            <v>13</v>
          </cell>
        </row>
        <row r="1064">
          <cell r="A1064" t="str">
            <v>300157</v>
          </cell>
          <cell r="B1064" t="str">
            <v>南燕进出口有限公司</v>
          </cell>
          <cell r="C1064" t="str">
            <v>国营</v>
          </cell>
          <cell r="D1064" t="str">
            <v>商贸</v>
          </cell>
          <cell r="E1064" t="str">
            <v>保证贷款</v>
          </cell>
          <cell r="F1064">
            <v>37480</v>
          </cell>
          <cell r="G1064">
            <v>37664</v>
          </cell>
          <cell r="H1064">
            <v>0</v>
          </cell>
          <cell r="I1064">
            <v>44.69</v>
          </cell>
          <cell r="J1064">
            <v>0</v>
          </cell>
          <cell r="K1064">
            <v>0</v>
          </cell>
          <cell r="L1064">
            <v>44.69</v>
          </cell>
          <cell r="M1064" t="str">
            <v>鹭江</v>
          </cell>
        </row>
        <row r="1065">
          <cell r="B1065" t="str">
            <v>南燕进出口有限公司 Total</v>
          </cell>
          <cell r="L1065">
            <v>44.69</v>
          </cell>
        </row>
        <row r="1066">
          <cell r="A1066" t="str">
            <v>t02101</v>
          </cell>
          <cell r="B1066" t="str">
            <v>宁波宝达</v>
          </cell>
          <cell r="C1066" t="str">
            <v>三资</v>
          </cell>
          <cell r="D1066" t="str">
            <v>工业</v>
          </cell>
          <cell r="E1066" t="str">
            <v>票据贴现</v>
          </cell>
          <cell r="F1066">
            <v>37515</v>
          </cell>
          <cell r="G1066">
            <v>37688</v>
          </cell>
          <cell r="H1066">
            <v>0</v>
          </cell>
          <cell r="I1066">
            <v>15</v>
          </cell>
          <cell r="J1066">
            <v>0</v>
          </cell>
          <cell r="K1066">
            <v>0</v>
          </cell>
          <cell r="L1066">
            <v>15</v>
          </cell>
          <cell r="M1066" t="str">
            <v>文滨</v>
          </cell>
        </row>
        <row r="1067">
          <cell r="B1067" t="str">
            <v>宁波宝达 Total</v>
          </cell>
          <cell r="L1067">
            <v>15</v>
          </cell>
        </row>
        <row r="1068">
          <cell r="A1068" t="str">
            <v>t02117</v>
          </cell>
          <cell r="B1068" t="str">
            <v>宁波海静</v>
          </cell>
          <cell r="C1068" t="str">
            <v>三资</v>
          </cell>
          <cell r="D1068" t="str">
            <v>工业</v>
          </cell>
          <cell r="E1068" t="str">
            <v>票据贴现</v>
          </cell>
          <cell r="F1068">
            <v>37554</v>
          </cell>
          <cell r="G1068">
            <v>37734</v>
          </cell>
          <cell r="H1068">
            <v>250</v>
          </cell>
          <cell r="I1068">
            <v>250</v>
          </cell>
          <cell r="J1068">
            <v>0</v>
          </cell>
          <cell r="K1068">
            <v>0</v>
          </cell>
          <cell r="L1068">
            <v>250</v>
          </cell>
          <cell r="M1068" t="str">
            <v>文滨</v>
          </cell>
        </row>
        <row r="1069">
          <cell r="B1069" t="str">
            <v>宁波海静 Total</v>
          </cell>
          <cell r="L1069">
            <v>250</v>
          </cell>
        </row>
        <row r="1070">
          <cell r="A1070" t="str">
            <v>020152</v>
          </cell>
          <cell r="B1070" t="str">
            <v>潘敬瑜</v>
          </cell>
          <cell r="C1070" t="str">
            <v>其它</v>
          </cell>
          <cell r="D1070" t="str">
            <v>其它</v>
          </cell>
          <cell r="E1070" t="str">
            <v>抵押贷款</v>
          </cell>
          <cell r="F1070">
            <v>37411</v>
          </cell>
          <cell r="G1070">
            <v>37751</v>
          </cell>
          <cell r="H1070">
            <v>0</v>
          </cell>
          <cell r="I1070">
            <v>60</v>
          </cell>
          <cell r="J1070">
            <v>0</v>
          </cell>
          <cell r="K1070">
            <v>0</v>
          </cell>
          <cell r="L1070">
            <v>60</v>
          </cell>
          <cell r="M1070" t="str">
            <v>东区</v>
          </cell>
        </row>
        <row r="1071">
          <cell r="B1071" t="str">
            <v>潘敬瑜 Total</v>
          </cell>
          <cell r="L1071">
            <v>60</v>
          </cell>
        </row>
        <row r="1072">
          <cell r="A1072" t="str">
            <v>020148</v>
          </cell>
          <cell r="B1072" t="str">
            <v>庞英群</v>
          </cell>
          <cell r="C1072" t="str">
            <v>其它</v>
          </cell>
          <cell r="D1072" t="str">
            <v>其它</v>
          </cell>
          <cell r="E1072" t="str">
            <v>保证贷款</v>
          </cell>
          <cell r="F1072">
            <v>37413</v>
          </cell>
          <cell r="G1072">
            <v>37778</v>
          </cell>
          <cell r="H1072">
            <v>0</v>
          </cell>
          <cell r="I1072">
            <v>7</v>
          </cell>
          <cell r="J1072">
            <v>0</v>
          </cell>
          <cell r="K1072">
            <v>0</v>
          </cell>
          <cell r="L1072">
            <v>7</v>
          </cell>
          <cell r="M1072" t="str">
            <v>东区</v>
          </cell>
        </row>
        <row r="1073">
          <cell r="B1073" t="str">
            <v>庞英群 Total</v>
          </cell>
          <cell r="L1073">
            <v>7</v>
          </cell>
        </row>
        <row r="1074">
          <cell r="A1074" t="str">
            <v>200109</v>
          </cell>
          <cell r="B1074" t="str">
            <v>彭湃</v>
          </cell>
          <cell r="C1074" t="str">
            <v>其它</v>
          </cell>
          <cell r="D1074" t="str">
            <v>其它</v>
          </cell>
          <cell r="E1074" t="str">
            <v>质押贷款</v>
          </cell>
          <cell r="F1074">
            <v>37553</v>
          </cell>
          <cell r="G1074">
            <v>37735</v>
          </cell>
          <cell r="H1074">
            <v>200</v>
          </cell>
          <cell r="I1074">
            <v>200</v>
          </cell>
          <cell r="J1074">
            <v>0</v>
          </cell>
          <cell r="K1074">
            <v>0</v>
          </cell>
          <cell r="L1074">
            <v>200</v>
          </cell>
          <cell r="M1074" t="str">
            <v>鹭江</v>
          </cell>
        </row>
        <row r="1075">
          <cell r="B1075" t="str">
            <v>彭湃 Total</v>
          </cell>
          <cell r="L1075">
            <v>200</v>
          </cell>
        </row>
        <row r="1076">
          <cell r="A1076" t="str">
            <v>217141</v>
          </cell>
          <cell r="B1076" t="str">
            <v>浦江冷冻厂进出口部</v>
          </cell>
          <cell r="C1076" t="str">
            <v>集体</v>
          </cell>
          <cell r="D1076" t="str">
            <v>工业</v>
          </cell>
          <cell r="E1076" t="str">
            <v>保证贷款</v>
          </cell>
          <cell r="F1076">
            <v>35577</v>
          </cell>
          <cell r="G1076">
            <v>35881</v>
          </cell>
          <cell r="H1076">
            <v>0</v>
          </cell>
          <cell r="I1076">
            <v>0</v>
          </cell>
          <cell r="J1076">
            <v>0</v>
          </cell>
          <cell r="K1076">
            <v>0</v>
          </cell>
          <cell r="L1076">
            <v>50</v>
          </cell>
          <cell r="M1076" t="str">
            <v>同安</v>
          </cell>
        </row>
        <row r="1077">
          <cell r="A1077" t="str">
            <v>217090</v>
          </cell>
          <cell r="B1077" t="str">
            <v>浦江冷冻厂进出口部</v>
          </cell>
          <cell r="C1077" t="str">
            <v>集体</v>
          </cell>
          <cell r="D1077" t="str">
            <v>工业</v>
          </cell>
          <cell r="E1077" t="str">
            <v>保证贷款</v>
          </cell>
          <cell r="F1077">
            <v>35522</v>
          </cell>
          <cell r="G1077">
            <v>35797</v>
          </cell>
          <cell r="H1077">
            <v>0</v>
          </cell>
          <cell r="I1077">
            <v>0</v>
          </cell>
          <cell r="J1077">
            <v>0</v>
          </cell>
          <cell r="K1077">
            <v>0</v>
          </cell>
          <cell r="L1077">
            <v>200</v>
          </cell>
          <cell r="M1077" t="str">
            <v>同安</v>
          </cell>
        </row>
        <row r="1078">
          <cell r="A1078" t="str">
            <v>217311</v>
          </cell>
          <cell r="B1078" t="str">
            <v>浦江冷冻厂进出口部</v>
          </cell>
          <cell r="C1078" t="str">
            <v>集体</v>
          </cell>
          <cell r="D1078" t="str">
            <v>工业</v>
          </cell>
          <cell r="E1078" t="str">
            <v>保证贷款</v>
          </cell>
          <cell r="F1078">
            <v>35716</v>
          </cell>
          <cell r="G1078">
            <v>36020</v>
          </cell>
          <cell r="H1078">
            <v>0</v>
          </cell>
          <cell r="I1078">
            <v>0</v>
          </cell>
          <cell r="J1078">
            <v>0</v>
          </cell>
          <cell r="K1078">
            <v>0</v>
          </cell>
          <cell r="L1078">
            <v>250</v>
          </cell>
          <cell r="M1078" t="str">
            <v>同安</v>
          </cell>
        </row>
        <row r="1079">
          <cell r="A1079" t="str">
            <v>217077</v>
          </cell>
          <cell r="B1079" t="str">
            <v>浦江冷冻厂进出口部</v>
          </cell>
          <cell r="C1079" t="str">
            <v>集体</v>
          </cell>
          <cell r="D1079" t="str">
            <v>工业</v>
          </cell>
          <cell r="E1079" t="str">
            <v>保证贷款</v>
          </cell>
          <cell r="F1079">
            <v>35503</v>
          </cell>
          <cell r="G1079">
            <v>35809</v>
          </cell>
          <cell r="H1079">
            <v>0</v>
          </cell>
          <cell r="I1079">
            <v>0</v>
          </cell>
          <cell r="J1079">
            <v>0</v>
          </cell>
          <cell r="K1079">
            <v>0</v>
          </cell>
          <cell r="L1079">
            <v>60</v>
          </cell>
          <cell r="M1079" t="str">
            <v>同安</v>
          </cell>
        </row>
        <row r="1080">
          <cell r="B1080" t="str">
            <v>浦江冷冻厂进出口部 Total</v>
          </cell>
          <cell r="L1080">
            <v>560</v>
          </cell>
        </row>
        <row r="1081">
          <cell r="A1081" t="str">
            <v>000119</v>
          </cell>
          <cell r="B1081" t="str">
            <v>千信和</v>
          </cell>
          <cell r="C1081" t="str">
            <v>其它</v>
          </cell>
          <cell r="D1081" t="str">
            <v>其它</v>
          </cell>
          <cell r="E1081" t="str">
            <v>保证贷款</v>
          </cell>
          <cell r="F1081">
            <v>37553</v>
          </cell>
          <cell r="G1081">
            <v>37735</v>
          </cell>
          <cell r="H1081">
            <v>45</v>
          </cell>
          <cell r="I1081">
            <v>45</v>
          </cell>
          <cell r="J1081">
            <v>0</v>
          </cell>
          <cell r="K1081">
            <v>0</v>
          </cell>
          <cell r="L1081">
            <v>45</v>
          </cell>
          <cell r="M1081" t="str">
            <v>康乐</v>
          </cell>
        </row>
        <row r="1082">
          <cell r="A1082" t="str">
            <v>000101</v>
          </cell>
          <cell r="B1082" t="str">
            <v>千信和</v>
          </cell>
          <cell r="C1082" t="str">
            <v>其它</v>
          </cell>
          <cell r="D1082" t="str">
            <v>其它</v>
          </cell>
          <cell r="E1082" t="str">
            <v>保证贷款</v>
          </cell>
          <cell r="F1082">
            <v>37463</v>
          </cell>
          <cell r="G1082">
            <v>37647</v>
          </cell>
          <cell r="H1082">
            <v>0</v>
          </cell>
          <cell r="I1082">
            <v>195</v>
          </cell>
          <cell r="J1082">
            <v>0</v>
          </cell>
          <cell r="K1082">
            <v>0</v>
          </cell>
          <cell r="L1082">
            <v>195</v>
          </cell>
          <cell r="M1082" t="str">
            <v>康乐</v>
          </cell>
        </row>
        <row r="1083">
          <cell r="A1083" t="str">
            <v>000118</v>
          </cell>
          <cell r="B1083" t="str">
            <v>千信和</v>
          </cell>
          <cell r="C1083" t="str">
            <v>其它</v>
          </cell>
          <cell r="D1083" t="str">
            <v>其它</v>
          </cell>
          <cell r="E1083" t="str">
            <v>保证贷款</v>
          </cell>
          <cell r="F1083">
            <v>37537</v>
          </cell>
          <cell r="G1083">
            <v>37629</v>
          </cell>
          <cell r="H1083">
            <v>300</v>
          </cell>
          <cell r="I1083">
            <v>300</v>
          </cell>
          <cell r="J1083">
            <v>0</v>
          </cell>
          <cell r="K1083">
            <v>0</v>
          </cell>
          <cell r="L1083">
            <v>300</v>
          </cell>
          <cell r="M1083" t="str">
            <v>康乐</v>
          </cell>
        </row>
        <row r="1084">
          <cell r="A1084" t="str">
            <v>000109</v>
          </cell>
          <cell r="B1084" t="str">
            <v>千信和</v>
          </cell>
          <cell r="C1084" t="str">
            <v>其它</v>
          </cell>
          <cell r="D1084" t="str">
            <v>商贸</v>
          </cell>
          <cell r="E1084" t="str">
            <v>保证贷款</v>
          </cell>
          <cell r="F1084">
            <v>37489</v>
          </cell>
          <cell r="G1084">
            <v>37673</v>
          </cell>
          <cell r="H1084">
            <v>0</v>
          </cell>
          <cell r="I1084">
            <v>60</v>
          </cell>
          <cell r="J1084">
            <v>0</v>
          </cell>
          <cell r="K1084">
            <v>0</v>
          </cell>
          <cell r="L1084">
            <v>60</v>
          </cell>
          <cell r="M1084" t="str">
            <v>康乐</v>
          </cell>
        </row>
        <row r="1085">
          <cell r="B1085" t="str">
            <v>千信和 Total</v>
          </cell>
          <cell r="L1085">
            <v>600</v>
          </cell>
        </row>
        <row r="1086">
          <cell r="A1086" t="str">
            <v>000104</v>
          </cell>
          <cell r="B1086" t="str">
            <v>千兴</v>
          </cell>
          <cell r="C1086" t="str">
            <v>其它</v>
          </cell>
          <cell r="D1086" t="str">
            <v>其它</v>
          </cell>
          <cell r="E1086" t="str">
            <v>抵押贷款</v>
          </cell>
          <cell r="F1086">
            <v>37468</v>
          </cell>
          <cell r="G1086">
            <v>38159</v>
          </cell>
          <cell r="H1086">
            <v>0</v>
          </cell>
          <cell r="I1086">
            <v>78.5</v>
          </cell>
          <cell r="J1086">
            <v>3.27</v>
          </cell>
          <cell r="K1086">
            <v>9.77</v>
          </cell>
          <cell r="L1086">
            <v>68.73</v>
          </cell>
          <cell r="M1086" t="str">
            <v>康乐</v>
          </cell>
        </row>
        <row r="1087">
          <cell r="B1087" t="str">
            <v>千兴 Total</v>
          </cell>
          <cell r="L1087">
            <v>68.73</v>
          </cell>
        </row>
        <row r="1088">
          <cell r="A1088" t="str">
            <v>2009ga</v>
          </cell>
          <cell r="B1088" t="str">
            <v>钱祁仁</v>
          </cell>
          <cell r="C1088" t="str">
            <v>住房</v>
          </cell>
          <cell r="D1088" t="str">
            <v>其它</v>
          </cell>
          <cell r="E1088" t="str">
            <v>抵押贷款</v>
          </cell>
          <cell r="F1088">
            <v>37469</v>
          </cell>
          <cell r="G1088">
            <v>37550</v>
          </cell>
          <cell r="H1088">
            <v>0.2</v>
          </cell>
          <cell r="I1088">
            <v>1.51</v>
          </cell>
          <cell r="J1088">
            <v>0</v>
          </cell>
          <cell r="K1088">
            <v>0.75</v>
          </cell>
          <cell r="L1088">
            <v>0.76</v>
          </cell>
          <cell r="M1088" t="str">
            <v>公园</v>
          </cell>
        </row>
        <row r="1089">
          <cell r="B1089" t="str">
            <v>钱祁仁 Total</v>
          </cell>
          <cell r="L1089">
            <v>0.76</v>
          </cell>
        </row>
        <row r="1090">
          <cell r="A1090" t="str">
            <v>000002</v>
          </cell>
          <cell r="B1090" t="str">
            <v>侨谊进出口公司</v>
          </cell>
          <cell r="C1090" t="str">
            <v>国营</v>
          </cell>
          <cell r="D1090" t="str">
            <v>商贸</v>
          </cell>
          <cell r="E1090" t="str">
            <v>保证贷款</v>
          </cell>
          <cell r="F1090">
            <v>35234</v>
          </cell>
          <cell r="G1090">
            <v>35282</v>
          </cell>
          <cell r="H1090">
            <v>0</v>
          </cell>
          <cell r="I1090">
            <v>0</v>
          </cell>
          <cell r="J1090">
            <v>0</v>
          </cell>
          <cell r="K1090">
            <v>0</v>
          </cell>
          <cell r="L1090">
            <v>328.75383099999993</v>
          </cell>
          <cell r="M1090" t="str">
            <v>思明</v>
          </cell>
        </row>
        <row r="1091">
          <cell r="B1091" t="str">
            <v>侨谊进出口公司 Total</v>
          </cell>
          <cell r="L1091">
            <v>328.75383099999993</v>
          </cell>
        </row>
        <row r="1092">
          <cell r="A1092" t="str">
            <v>002072</v>
          </cell>
          <cell r="B1092" t="str">
            <v>青旅</v>
          </cell>
          <cell r="C1092" t="str">
            <v>国营</v>
          </cell>
          <cell r="D1092" t="str">
            <v>其它</v>
          </cell>
          <cell r="E1092" t="str">
            <v>保证贷款</v>
          </cell>
          <cell r="F1092">
            <v>35369</v>
          </cell>
          <cell r="G1092">
            <v>35643</v>
          </cell>
          <cell r="H1092">
            <v>0</v>
          </cell>
          <cell r="I1092">
            <v>0</v>
          </cell>
          <cell r="J1092">
            <v>0</v>
          </cell>
          <cell r="K1092">
            <v>0</v>
          </cell>
          <cell r="L1092">
            <v>200</v>
          </cell>
          <cell r="M1092" t="str">
            <v>文滨</v>
          </cell>
        </row>
        <row r="1093">
          <cell r="B1093" t="str">
            <v>青旅 Total</v>
          </cell>
          <cell r="L1093">
            <v>200</v>
          </cell>
        </row>
        <row r="1094">
          <cell r="A1094" t="str">
            <v>200055</v>
          </cell>
          <cell r="B1094" t="str">
            <v>青旅旅游汽车</v>
          </cell>
          <cell r="C1094" t="str">
            <v>集体</v>
          </cell>
          <cell r="D1094" t="str">
            <v>商贸</v>
          </cell>
          <cell r="E1094" t="str">
            <v>抵押贷款</v>
          </cell>
          <cell r="F1094">
            <v>37470</v>
          </cell>
          <cell r="G1094">
            <v>38200</v>
          </cell>
          <cell r="H1094">
            <v>0</v>
          </cell>
          <cell r="I1094">
            <v>15.33</v>
          </cell>
          <cell r="J1094">
            <v>0.6</v>
          </cell>
          <cell r="K1094">
            <v>1.2</v>
          </cell>
          <cell r="L1094">
            <v>14.13</v>
          </cell>
          <cell r="M1094" t="str">
            <v>新港</v>
          </cell>
        </row>
        <row r="1095">
          <cell r="A1095" t="str">
            <v>200046</v>
          </cell>
          <cell r="B1095" t="str">
            <v>青旅旅游汽车</v>
          </cell>
          <cell r="C1095" t="str">
            <v>集体</v>
          </cell>
          <cell r="D1095" t="str">
            <v>商贸</v>
          </cell>
          <cell r="E1095" t="str">
            <v>抵押贷款</v>
          </cell>
          <cell r="F1095">
            <v>37463</v>
          </cell>
          <cell r="G1095">
            <v>38159</v>
          </cell>
          <cell r="H1095">
            <v>0</v>
          </cell>
          <cell r="I1095">
            <v>17.600000000000001</v>
          </cell>
          <cell r="J1095">
            <v>0.73</v>
          </cell>
          <cell r="K1095">
            <v>2.17</v>
          </cell>
          <cell r="L1095">
            <v>15.43</v>
          </cell>
          <cell r="M1095" t="str">
            <v>新港</v>
          </cell>
        </row>
        <row r="1096">
          <cell r="B1096" t="str">
            <v>青旅旅游汽车 Total</v>
          </cell>
          <cell r="L1096">
            <v>29.560000000000002</v>
          </cell>
        </row>
        <row r="1097">
          <cell r="A1097" t="str">
            <v>G02054</v>
          </cell>
          <cell r="B1097" t="str">
            <v>邱丹芯</v>
          </cell>
          <cell r="C1097" t="str">
            <v>其它</v>
          </cell>
          <cell r="D1097" t="str">
            <v>其它</v>
          </cell>
          <cell r="E1097" t="str">
            <v>质押贷款</v>
          </cell>
          <cell r="F1097">
            <v>37560</v>
          </cell>
          <cell r="G1097">
            <v>37741</v>
          </cell>
          <cell r="H1097">
            <v>26</v>
          </cell>
          <cell r="I1097">
            <v>26</v>
          </cell>
          <cell r="J1097">
            <v>0</v>
          </cell>
          <cell r="K1097">
            <v>0</v>
          </cell>
          <cell r="L1097">
            <v>26</v>
          </cell>
          <cell r="M1097" t="str">
            <v>营业</v>
          </cell>
        </row>
        <row r="1098">
          <cell r="B1098" t="str">
            <v>邱丹芯 Total</v>
          </cell>
          <cell r="L1098">
            <v>26</v>
          </cell>
        </row>
        <row r="1099">
          <cell r="A1099" t="str">
            <v>G02/06</v>
          </cell>
          <cell r="B1099" t="str">
            <v>邱红枚</v>
          </cell>
          <cell r="C1099" t="str">
            <v>其它</v>
          </cell>
          <cell r="D1099" t="str">
            <v>其它</v>
          </cell>
          <cell r="E1099" t="str">
            <v>抵押贷款</v>
          </cell>
          <cell r="F1099">
            <v>37525</v>
          </cell>
          <cell r="G1099">
            <v>37890</v>
          </cell>
          <cell r="H1099">
            <v>0</v>
          </cell>
          <cell r="I1099">
            <v>10</v>
          </cell>
          <cell r="J1099">
            <v>0</v>
          </cell>
          <cell r="K1099">
            <v>0</v>
          </cell>
          <cell r="L1099">
            <v>10</v>
          </cell>
          <cell r="M1099" t="str">
            <v>营业</v>
          </cell>
        </row>
        <row r="1100">
          <cell r="B1100" t="str">
            <v>邱红枚 Total</v>
          </cell>
          <cell r="L1100">
            <v>10</v>
          </cell>
        </row>
        <row r="1101">
          <cell r="A1101" t="str">
            <v>550664</v>
          </cell>
          <cell r="B1101" t="str">
            <v>邱昆和</v>
          </cell>
          <cell r="C1101" t="str">
            <v>其它</v>
          </cell>
          <cell r="D1101" t="str">
            <v>其它</v>
          </cell>
          <cell r="E1101" t="str">
            <v>质押贷款</v>
          </cell>
          <cell r="F1101">
            <v>37527</v>
          </cell>
          <cell r="G1101">
            <v>37708</v>
          </cell>
          <cell r="H1101">
            <v>0</v>
          </cell>
          <cell r="I1101">
            <v>44.4</v>
          </cell>
          <cell r="J1101">
            <v>0</v>
          </cell>
          <cell r="K1101">
            <v>0</v>
          </cell>
          <cell r="L1101">
            <v>44.4</v>
          </cell>
          <cell r="M1101" t="str">
            <v>湖里</v>
          </cell>
        </row>
        <row r="1102">
          <cell r="A1102" t="str">
            <v>550660</v>
          </cell>
          <cell r="B1102" t="str">
            <v>邱昆和</v>
          </cell>
          <cell r="C1102" t="str">
            <v>其它</v>
          </cell>
          <cell r="D1102" t="str">
            <v>其它</v>
          </cell>
          <cell r="E1102" t="str">
            <v>质押贷款</v>
          </cell>
          <cell r="F1102">
            <v>37502</v>
          </cell>
          <cell r="G1102">
            <v>37683</v>
          </cell>
          <cell r="H1102">
            <v>0</v>
          </cell>
          <cell r="I1102">
            <v>479</v>
          </cell>
          <cell r="J1102">
            <v>0</v>
          </cell>
          <cell r="K1102">
            <v>0</v>
          </cell>
          <cell r="L1102">
            <v>479</v>
          </cell>
          <cell r="M1102" t="str">
            <v>湖里</v>
          </cell>
        </row>
        <row r="1103">
          <cell r="A1103" t="str">
            <v>G02052</v>
          </cell>
          <cell r="B1103" t="str">
            <v>邱昆和</v>
          </cell>
          <cell r="C1103" t="str">
            <v>其它</v>
          </cell>
          <cell r="D1103" t="str">
            <v>其它</v>
          </cell>
          <cell r="E1103" t="str">
            <v>质押贷款</v>
          </cell>
          <cell r="F1103">
            <v>37539</v>
          </cell>
          <cell r="G1103">
            <v>37721</v>
          </cell>
          <cell r="H1103">
            <v>14</v>
          </cell>
          <cell r="I1103">
            <v>14</v>
          </cell>
          <cell r="J1103">
            <v>0</v>
          </cell>
          <cell r="K1103">
            <v>0</v>
          </cell>
          <cell r="L1103">
            <v>14</v>
          </cell>
          <cell r="M1103" t="str">
            <v>营业</v>
          </cell>
        </row>
        <row r="1104">
          <cell r="A1104" t="str">
            <v>G02040</v>
          </cell>
          <cell r="B1104" t="str">
            <v>邱昆和</v>
          </cell>
          <cell r="C1104" t="str">
            <v>其它</v>
          </cell>
          <cell r="D1104" t="str">
            <v>其它</v>
          </cell>
          <cell r="E1104" t="str">
            <v>质押贷款</v>
          </cell>
          <cell r="F1104">
            <v>37504</v>
          </cell>
          <cell r="G1104">
            <v>37685</v>
          </cell>
          <cell r="H1104">
            <v>0</v>
          </cell>
          <cell r="I1104">
            <v>57</v>
          </cell>
          <cell r="J1104">
            <v>0</v>
          </cell>
          <cell r="K1104">
            <v>0</v>
          </cell>
          <cell r="L1104">
            <v>57</v>
          </cell>
          <cell r="M1104" t="str">
            <v>营业</v>
          </cell>
        </row>
        <row r="1105">
          <cell r="A1105" t="str">
            <v>G02038</v>
          </cell>
          <cell r="B1105" t="str">
            <v>邱昆和</v>
          </cell>
          <cell r="C1105" t="str">
            <v>其它</v>
          </cell>
          <cell r="D1105" t="str">
            <v>其它</v>
          </cell>
          <cell r="E1105" t="str">
            <v>质押贷款</v>
          </cell>
          <cell r="F1105">
            <v>37494</v>
          </cell>
          <cell r="G1105">
            <v>37678</v>
          </cell>
          <cell r="H1105">
            <v>0</v>
          </cell>
          <cell r="I1105">
            <v>62</v>
          </cell>
          <cell r="J1105">
            <v>0</v>
          </cell>
          <cell r="K1105">
            <v>0</v>
          </cell>
          <cell r="L1105">
            <v>62</v>
          </cell>
          <cell r="M1105" t="str">
            <v>营业</v>
          </cell>
        </row>
        <row r="1106">
          <cell r="A1106" t="str">
            <v>G02048</v>
          </cell>
          <cell r="B1106" t="str">
            <v>邱昆和</v>
          </cell>
          <cell r="C1106" t="str">
            <v>其它</v>
          </cell>
          <cell r="D1106" t="str">
            <v>其它</v>
          </cell>
          <cell r="E1106" t="str">
            <v>质押贷款</v>
          </cell>
          <cell r="F1106">
            <v>37539</v>
          </cell>
          <cell r="G1106">
            <v>37721</v>
          </cell>
          <cell r="H1106">
            <v>64</v>
          </cell>
          <cell r="I1106">
            <v>64</v>
          </cell>
          <cell r="J1106">
            <v>0</v>
          </cell>
          <cell r="K1106">
            <v>0</v>
          </cell>
          <cell r="L1106">
            <v>64</v>
          </cell>
          <cell r="M1106" t="str">
            <v>营业</v>
          </cell>
        </row>
        <row r="1107">
          <cell r="A1107" t="str">
            <v>G02043</v>
          </cell>
          <cell r="B1107" t="str">
            <v>邱昆和</v>
          </cell>
          <cell r="C1107" t="str">
            <v>其它</v>
          </cell>
          <cell r="D1107" t="str">
            <v>其它</v>
          </cell>
          <cell r="E1107" t="str">
            <v>质押贷款</v>
          </cell>
          <cell r="F1107">
            <v>37504</v>
          </cell>
          <cell r="G1107">
            <v>37685</v>
          </cell>
          <cell r="H1107">
            <v>0</v>
          </cell>
          <cell r="I1107">
            <v>100</v>
          </cell>
          <cell r="J1107">
            <v>0</v>
          </cell>
          <cell r="K1107">
            <v>0</v>
          </cell>
          <cell r="L1107">
            <v>100</v>
          </cell>
          <cell r="M1107" t="str">
            <v>营业</v>
          </cell>
        </row>
        <row r="1108">
          <cell r="A1108" t="str">
            <v>G02039</v>
          </cell>
          <cell r="B1108" t="str">
            <v>邱昆和</v>
          </cell>
          <cell r="C1108" t="str">
            <v>其它</v>
          </cell>
          <cell r="D1108" t="str">
            <v>其它</v>
          </cell>
          <cell r="E1108" t="str">
            <v>质押贷款</v>
          </cell>
          <cell r="F1108">
            <v>37502</v>
          </cell>
          <cell r="G1108">
            <v>37683</v>
          </cell>
          <cell r="H1108">
            <v>0</v>
          </cell>
          <cell r="I1108">
            <v>105</v>
          </cell>
          <cell r="J1108">
            <v>0</v>
          </cell>
          <cell r="K1108">
            <v>0</v>
          </cell>
          <cell r="L1108">
            <v>105</v>
          </cell>
          <cell r="M1108" t="str">
            <v>营业</v>
          </cell>
        </row>
        <row r="1109">
          <cell r="A1109" t="str">
            <v>G02049</v>
          </cell>
          <cell r="B1109" t="str">
            <v>邱昆和</v>
          </cell>
          <cell r="C1109" t="str">
            <v>其它</v>
          </cell>
          <cell r="D1109" t="str">
            <v>其它</v>
          </cell>
          <cell r="E1109" t="str">
            <v>质押贷款</v>
          </cell>
          <cell r="F1109">
            <v>37539</v>
          </cell>
          <cell r="G1109">
            <v>37721</v>
          </cell>
          <cell r="H1109">
            <v>120</v>
          </cell>
          <cell r="I1109">
            <v>120</v>
          </cell>
          <cell r="J1109">
            <v>0</v>
          </cell>
          <cell r="K1109">
            <v>0</v>
          </cell>
          <cell r="L1109">
            <v>120</v>
          </cell>
          <cell r="M1109" t="str">
            <v>营业</v>
          </cell>
        </row>
        <row r="1110">
          <cell r="A1110" t="str">
            <v>G02042</v>
          </cell>
          <cell r="B1110" t="str">
            <v>邱昆和</v>
          </cell>
          <cell r="C1110" t="str">
            <v>其它</v>
          </cell>
          <cell r="D1110" t="str">
            <v>其它</v>
          </cell>
          <cell r="E1110" t="str">
            <v>质押贷款</v>
          </cell>
          <cell r="F1110">
            <v>37504</v>
          </cell>
          <cell r="G1110">
            <v>37685</v>
          </cell>
          <cell r="H1110">
            <v>0</v>
          </cell>
          <cell r="I1110">
            <v>307</v>
          </cell>
          <cell r="J1110">
            <v>0</v>
          </cell>
          <cell r="K1110">
            <v>0</v>
          </cell>
          <cell r="L1110">
            <v>307</v>
          </cell>
          <cell r="M1110" t="str">
            <v>营业</v>
          </cell>
        </row>
        <row r="1111">
          <cell r="B1111" t="str">
            <v>邱昆和 Total</v>
          </cell>
          <cell r="L1111">
            <v>1352.4</v>
          </cell>
        </row>
        <row r="1112">
          <cell r="A1112" t="str">
            <v>TGX045</v>
          </cell>
          <cell r="B1112" t="str">
            <v>邱志强</v>
          </cell>
          <cell r="C1112" t="str">
            <v>其它</v>
          </cell>
          <cell r="D1112" t="str">
            <v>其它</v>
          </cell>
          <cell r="E1112" t="str">
            <v>信用贷款</v>
          </cell>
          <cell r="F1112">
            <v>36868</v>
          </cell>
          <cell r="G1112">
            <v>37610</v>
          </cell>
          <cell r="H1112">
            <v>0</v>
          </cell>
          <cell r="I1112">
            <v>0.57999999999999996</v>
          </cell>
          <cell r="J1112">
            <v>7.0000000000000007E-2</v>
          </cell>
          <cell r="K1112">
            <v>0.45</v>
          </cell>
          <cell r="L1112">
            <v>0.13</v>
          </cell>
          <cell r="M1112" t="str">
            <v>同安</v>
          </cell>
        </row>
        <row r="1113">
          <cell r="B1113" t="str">
            <v>邱志强 Total</v>
          </cell>
          <cell r="L1113">
            <v>0.13</v>
          </cell>
        </row>
        <row r="1114">
          <cell r="A1114" t="str">
            <v>000088</v>
          </cell>
          <cell r="B1114" t="str">
            <v>全龙装饰</v>
          </cell>
          <cell r="C1114" t="str">
            <v>其它</v>
          </cell>
          <cell r="D1114" t="str">
            <v>其它</v>
          </cell>
          <cell r="E1114" t="str">
            <v>抵押贷款</v>
          </cell>
          <cell r="F1114">
            <v>37414</v>
          </cell>
          <cell r="G1114">
            <v>38137</v>
          </cell>
          <cell r="H1114">
            <v>0</v>
          </cell>
          <cell r="I1114">
            <v>10.4</v>
          </cell>
          <cell r="J1114">
            <v>0.44</v>
          </cell>
          <cell r="K1114">
            <v>1.73</v>
          </cell>
          <cell r="L1114">
            <v>8.67</v>
          </cell>
          <cell r="M1114" t="str">
            <v>康乐</v>
          </cell>
        </row>
        <row r="1115">
          <cell r="B1115" t="str">
            <v>全龙装饰 Total</v>
          </cell>
          <cell r="L1115">
            <v>8.67</v>
          </cell>
        </row>
        <row r="1116">
          <cell r="A1116" t="str">
            <v>0050</v>
          </cell>
          <cell r="B1116" t="str">
            <v>日新科技</v>
          </cell>
          <cell r="C1116" t="str">
            <v>其它</v>
          </cell>
          <cell r="D1116" t="str">
            <v>工业</v>
          </cell>
          <cell r="E1116" t="str">
            <v>票据贴现</v>
          </cell>
          <cell r="F1116">
            <v>37453</v>
          </cell>
          <cell r="G1116">
            <v>37616</v>
          </cell>
          <cell r="H1116">
            <v>0</v>
          </cell>
          <cell r="I1116">
            <v>3</v>
          </cell>
          <cell r="J1116">
            <v>0</v>
          </cell>
          <cell r="K1116">
            <v>0</v>
          </cell>
          <cell r="L1116">
            <v>3</v>
          </cell>
          <cell r="M1116" t="str">
            <v>莲花</v>
          </cell>
        </row>
        <row r="1117">
          <cell r="B1117" t="str">
            <v>日新科技 Total</v>
          </cell>
          <cell r="L1117">
            <v>3</v>
          </cell>
        </row>
        <row r="1118">
          <cell r="A1118" t="str">
            <v>002008</v>
          </cell>
          <cell r="B1118" t="str">
            <v>荣滨集团</v>
          </cell>
          <cell r="C1118" t="str">
            <v>集体</v>
          </cell>
          <cell r="D1118" t="str">
            <v>商贸</v>
          </cell>
          <cell r="E1118" t="str">
            <v>抵押贷款</v>
          </cell>
          <cell r="F1118">
            <v>35103</v>
          </cell>
          <cell r="G1118">
            <v>35283</v>
          </cell>
          <cell r="H1118">
            <v>0</v>
          </cell>
          <cell r="I1118">
            <v>0</v>
          </cell>
          <cell r="J1118">
            <v>0</v>
          </cell>
          <cell r="K1118">
            <v>0</v>
          </cell>
          <cell r="L1118">
            <v>300</v>
          </cell>
          <cell r="M1118" t="str">
            <v>文滨</v>
          </cell>
        </row>
        <row r="1119">
          <cell r="A1119" t="str">
            <v>950081</v>
          </cell>
          <cell r="B1119" t="str">
            <v>荣滨集团</v>
          </cell>
          <cell r="C1119" t="str">
            <v>集体</v>
          </cell>
          <cell r="D1119" t="str">
            <v>商贸</v>
          </cell>
          <cell r="E1119" t="str">
            <v>抵押贷款</v>
          </cell>
          <cell r="F1119">
            <v>34871</v>
          </cell>
          <cell r="G1119">
            <v>35236</v>
          </cell>
          <cell r="H1119">
            <v>0</v>
          </cell>
          <cell r="I1119">
            <v>0</v>
          </cell>
          <cell r="J1119">
            <v>0</v>
          </cell>
          <cell r="K1119">
            <v>0</v>
          </cell>
          <cell r="L1119">
            <v>750</v>
          </cell>
          <cell r="M1119" t="str">
            <v>文滨</v>
          </cell>
        </row>
        <row r="1120">
          <cell r="B1120" t="str">
            <v>荣滨集团 Total</v>
          </cell>
          <cell r="L1120">
            <v>1050</v>
          </cell>
        </row>
        <row r="1121">
          <cell r="A1121" t="str">
            <v>020003</v>
          </cell>
          <cell r="B1121" t="str">
            <v>阮克勤</v>
          </cell>
          <cell r="C1121" t="str">
            <v>住房</v>
          </cell>
          <cell r="D1121" t="str">
            <v>其它</v>
          </cell>
          <cell r="E1121" t="str">
            <v>抵押贷款</v>
          </cell>
          <cell r="F1121">
            <v>36676</v>
          </cell>
          <cell r="G1121">
            <v>40328</v>
          </cell>
          <cell r="H1121">
            <v>0</v>
          </cell>
          <cell r="I1121">
            <v>25.88</v>
          </cell>
          <cell r="J1121">
            <v>0.21</v>
          </cell>
          <cell r="K1121">
            <v>1.47</v>
          </cell>
          <cell r="L1121">
            <v>24.41</v>
          </cell>
          <cell r="M1121" t="str">
            <v>东区</v>
          </cell>
        </row>
        <row r="1122">
          <cell r="B1122" t="str">
            <v>阮克勤 Total</v>
          </cell>
          <cell r="L1122">
            <v>24.41</v>
          </cell>
        </row>
        <row r="1123">
          <cell r="A1123" t="str">
            <v>300159</v>
          </cell>
          <cell r="B1123" t="str">
            <v>三德盛实业有限公司</v>
          </cell>
          <cell r="C1123" t="str">
            <v>三资</v>
          </cell>
          <cell r="D1123" t="str">
            <v>商贸</v>
          </cell>
          <cell r="E1123" t="str">
            <v>保证贷款</v>
          </cell>
          <cell r="F1123">
            <v>37480</v>
          </cell>
          <cell r="G1123">
            <v>37664</v>
          </cell>
          <cell r="H1123">
            <v>0</v>
          </cell>
          <cell r="I1123">
            <v>150</v>
          </cell>
          <cell r="J1123">
            <v>0</v>
          </cell>
          <cell r="K1123">
            <v>0</v>
          </cell>
          <cell r="L1123">
            <v>150</v>
          </cell>
          <cell r="M1123" t="str">
            <v>鹭江</v>
          </cell>
        </row>
        <row r="1124">
          <cell r="B1124" t="str">
            <v>三德盛实业有限公司 Total</v>
          </cell>
          <cell r="L1124">
            <v>150</v>
          </cell>
        </row>
        <row r="1125">
          <cell r="A1125" t="str">
            <v>070007</v>
          </cell>
          <cell r="B1125" t="str">
            <v>三航混凝土</v>
          </cell>
          <cell r="C1125" t="str">
            <v>其它</v>
          </cell>
          <cell r="D1125" t="str">
            <v>其它</v>
          </cell>
          <cell r="E1125" t="str">
            <v>抵押贷款</v>
          </cell>
          <cell r="F1125">
            <v>37498</v>
          </cell>
          <cell r="G1125">
            <v>38227</v>
          </cell>
          <cell r="H1125">
            <v>0</v>
          </cell>
          <cell r="I1125">
            <v>428.8</v>
          </cell>
          <cell r="J1125">
            <v>16.940000000000001</v>
          </cell>
          <cell r="K1125">
            <v>33.79</v>
          </cell>
          <cell r="L1125">
            <v>395.01</v>
          </cell>
          <cell r="M1125" t="str">
            <v>公园</v>
          </cell>
        </row>
        <row r="1126">
          <cell r="B1126" t="str">
            <v>三航混凝土 Total</v>
          </cell>
          <cell r="L1126">
            <v>395.01</v>
          </cell>
        </row>
        <row r="1127">
          <cell r="A1127" t="str">
            <v>300161</v>
          </cell>
          <cell r="B1127" t="str">
            <v>三裕工贸</v>
          </cell>
          <cell r="C1127" t="str">
            <v>集体</v>
          </cell>
          <cell r="D1127" t="str">
            <v>其它</v>
          </cell>
          <cell r="E1127" t="str">
            <v>票据贴现</v>
          </cell>
          <cell r="F1127">
            <v>37484</v>
          </cell>
          <cell r="G1127">
            <v>37623</v>
          </cell>
          <cell r="H1127">
            <v>0</v>
          </cell>
          <cell r="I1127">
            <v>7.64</v>
          </cell>
          <cell r="J1127">
            <v>0</v>
          </cell>
          <cell r="K1127">
            <v>0</v>
          </cell>
          <cell r="L1127">
            <v>7.64</v>
          </cell>
          <cell r="M1127" t="str">
            <v>鹭江</v>
          </cell>
        </row>
        <row r="1128">
          <cell r="A1128" t="str">
            <v>300160</v>
          </cell>
          <cell r="B1128" t="str">
            <v>三裕工贸</v>
          </cell>
          <cell r="C1128" t="str">
            <v>集体</v>
          </cell>
          <cell r="D1128" t="str">
            <v>其它</v>
          </cell>
          <cell r="E1128" t="str">
            <v>票据贴现</v>
          </cell>
          <cell r="F1128">
            <v>37470</v>
          </cell>
          <cell r="G1128">
            <v>37592</v>
          </cell>
          <cell r="H1128">
            <v>0</v>
          </cell>
          <cell r="I1128">
            <v>9.89</v>
          </cell>
          <cell r="J1128">
            <v>0</v>
          </cell>
          <cell r="K1128">
            <v>0</v>
          </cell>
          <cell r="L1128">
            <v>9.89</v>
          </cell>
          <cell r="M1128" t="str">
            <v>鹭江</v>
          </cell>
        </row>
        <row r="1129">
          <cell r="A1129" t="str">
            <v>300137</v>
          </cell>
          <cell r="B1129" t="str">
            <v>三裕工贸</v>
          </cell>
          <cell r="C1129" t="str">
            <v>集体</v>
          </cell>
          <cell r="D1129" t="str">
            <v>其它</v>
          </cell>
          <cell r="E1129" t="str">
            <v>票据贴现</v>
          </cell>
          <cell r="F1129">
            <v>37434</v>
          </cell>
          <cell r="G1129">
            <v>37562</v>
          </cell>
          <cell r="H1129">
            <v>0</v>
          </cell>
          <cell r="I1129">
            <v>12.98</v>
          </cell>
          <cell r="J1129">
            <v>0</v>
          </cell>
          <cell r="K1129">
            <v>0</v>
          </cell>
          <cell r="L1129">
            <v>12.98</v>
          </cell>
          <cell r="M1129" t="str">
            <v>鹭江</v>
          </cell>
        </row>
        <row r="1130">
          <cell r="A1130" t="str">
            <v>300182</v>
          </cell>
          <cell r="B1130" t="str">
            <v>三裕工贸</v>
          </cell>
          <cell r="C1130" t="str">
            <v>其它</v>
          </cell>
          <cell r="D1130" t="str">
            <v>商贸</v>
          </cell>
          <cell r="E1130" t="str">
            <v>票据贴现</v>
          </cell>
          <cell r="F1130">
            <v>37519</v>
          </cell>
          <cell r="G1130">
            <v>37654</v>
          </cell>
          <cell r="H1130">
            <v>0</v>
          </cell>
          <cell r="I1130">
            <v>11.53</v>
          </cell>
          <cell r="J1130">
            <v>0</v>
          </cell>
          <cell r="K1130">
            <v>0</v>
          </cell>
          <cell r="L1130">
            <v>11.53</v>
          </cell>
          <cell r="M1130" t="str">
            <v>鹭江</v>
          </cell>
        </row>
        <row r="1131">
          <cell r="A1131" t="str">
            <v>300194</v>
          </cell>
          <cell r="B1131" t="str">
            <v>三裕工贸</v>
          </cell>
          <cell r="C1131" t="str">
            <v>其它</v>
          </cell>
          <cell r="D1131" t="str">
            <v>商贸</v>
          </cell>
          <cell r="E1131" t="str">
            <v>票据贴现</v>
          </cell>
          <cell r="F1131">
            <v>37550</v>
          </cell>
          <cell r="G1131">
            <v>37682</v>
          </cell>
          <cell r="H1131">
            <v>10.67</v>
          </cell>
          <cell r="I1131">
            <v>10.67</v>
          </cell>
          <cell r="J1131">
            <v>0</v>
          </cell>
          <cell r="K1131">
            <v>0</v>
          </cell>
          <cell r="L1131">
            <v>10.67</v>
          </cell>
          <cell r="M1131" t="str">
            <v>鹭江</v>
          </cell>
        </row>
        <row r="1132">
          <cell r="B1132" t="str">
            <v>三裕工贸 Total</v>
          </cell>
          <cell r="L1132">
            <v>52.71</v>
          </cell>
        </row>
        <row r="1133">
          <cell r="A1133" t="str">
            <v>020114</v>
          </cell>
          <cell r="B1133" t="str">
            <v>桑富贵</v>
          </cell>
          <cell r="C1133" t="str">
            <v>其它</v>
          </cell>
          <cell r="D1133" t="str">
            <v>其它</v>
          </cell>
          <cell r="E1133" t="str">
            <v>保证贷款</v>
          </cell>
          <cell r="F1133">
            <v>37254</v>
          </cell>
          <cell r="G1133">
            <v>37619</v>
          </cell>
          <cell r="H1133">
            <v>0</v>
          </cell>
          <cell r="I1133">
            <v>10</v>
          </cell>
          <cell r="J1133">
            <v>0</v>
          </cell>
          <cell r="K1133">
            <v>0</v>
          </cell>
          <cell r="L1133">
            <v>10</v>
          </cell>
          <cell r="M1133" t="str">
            <v>东区</v>
          </cell>
        </row>
        <row r="1134">
          <cell r="B1134" t="str">
            <v>桑富贵 Total</v>
          </cell>
          <cell r="L1134">
            <v>10</v>
          </cell>
        </row>
        <row r="1135">
          <cell r="A1135" t="str">
            <v>07427D</v>
          </cell>
          <cell r="B1135" t="str">
            <v>商贸公司</v>
          </cell>
          <cell r="C1135" t="str">
            <v>国营</v>
          </cell>
          <cell r="D1135" t="str">
            <v>商贸</v>
          </cell>
          <cell r="E1135" t="str">
            <v>保证贷款</v>
          </cell>
          <cell r="F1135">
            <v>35362</v>
          </cell>
          <cell r="G1135">
            <v>35393</v>
          </cell>
          <cell r="H1135">
            <v>0</v>
          </cell>
          <cell r="I1135">
            <v>0</v>
          </cell>
          <cell r="J1135">
            <v>0</v>
          </cell>
          <cell r="K1135">
            <v>0</v>
          </cell>
          <cell r="L1135">
            <v>107.240112</v>
          </cell>
          <cell r="M1135" t="str">
            <v>营业</v>
          </cell>
        </row>
        <row r="1136">
          <cell r="A1136" t="str">
            <v>07427B</v>
          </cell>
          <cell r="B1136" t="str">
            <v>商贸公司</v>
          </cell>
          <cell r="C1136" t="str">
            <v>国营</v>
          </cell>
          <cell r="D1136" t="str">
            <v>商贸</v>
          </cell>
          <cell r="E1136" t="str">
            <v>保证贷款</v>
          </cell>
          <cell r="F1136">
            <v>35408</v>
          </cell>
          <cell r="G1136">
            <v>35418</v>
          </cell>
          <cell r="H1136">
            <v>0</v>
          </cell>
          <cell r="I1136">
            <v>0</v>
          </cell>
          <cell r="J1136">
            <v>0</v>
          </cell>
          <cell r="K1136">
            <v>0</v>
          </cell>
          <cell r="L1136">
            <v>185.93250899999998</v>
          </cell>
          <cell r="M1136" t="str">
            <v>营业</v>
          </cell>
        </row>
        <row r="1137">
          <cell r="A1137" t="str">
            <v>07427C</v>
          </cell>
          <cell r="B1137" t="str">
            <v>商贸公司</v>
          </cell>
          <cell r="C1137" t="str">
            <v>国营</v>
          </cell>
          <cell r="D1137" t="str">
            <v>商贸</v>
          </cell>
          <cell r="E1137" t="str">
            <v>保证贷款</v>
          </cell>
          <cell r="F1137">
            <v>35373</v>
          </cell>
          <cell r="G1137">
            <v>35403</v>
          </cell>
          <cell r="H1137">
            <v>0</v>
          </cell>
          <cell r="I1137">
            <v>0</v>
          </cell>
          <cell r="J1137">
            <v>0</v>
          </cell>
          <cell r="K1137">
            <v>0</v>
          </cell>
          <cell r="L1137">
            <v>276.37497999999994</v>
          </cell>
          <cell r="M1137" t="str">
            <v>营业</v>
          </cell>
        </row>
        <row r="1138">
          <cell r="A1138" t="str">
            <v>07427A</v>
          </cell>
          <cell r="B1138" t="str">
            <v>商贸公司</v>
          </cell>
          <cell r="C1138" t="str">
            <v>国营</v>
          </cell>
          <cell r="D1138" t="str">
            <v>商贸</v>
          </cell>
          <cell r="E1138" t="str">
            <v>保证贷款</v>
          </cell>
          <cell r="F1138">
            <v>35296</v>
          </cell>
          <cell r="G1138">
            <v>35306</v>
          </cell>
          <cell r="H1138">
            <v>0</v>
          </cell>
          <cell r="I1138">
            <v>0</v>
          </cell>
          <cell r="J1138">
            <v>0</v>
          </cell>
          <cell r="K1138">
            <v>0</v>
          </cell>
          <cell r="L1138">
            <v>688.20679899999993</v>
          </cell>
          <cell r="M1138" t="str">
            <v>营业</v>
          </cell>
        </row>
        <row r="1139">
          <cell r="B1139" t="str">
            <v>商贸公司 Total</v>
          </cell>
          <cell r="L1139">
            <v>1257.7543999999998</v>
          </cell>
        </row>
        <row r="1140">
          <cell r="A1140" t="str">
            <v>250828</v>
          </cell>
          <cell r="B1140" t="str">
            <v>上海浦东久洲实业</v>
          </cell>
          <cell r="C1140" t="str">
            <v>集体</v>
          </cell>
          <cell r="D1140" t="str">
            <v>工业</v>
          </cell>
          <cell r="E1140" t="str">
            <v>票据贴现</v>
          </cell>
          <cell r="F1140">
            <v>37558</v>
          </cell>
          <cell r="G1140">
            <v>37739</v>
          </cell>
          <cell r="H1140">
            <v>100</v>
          </cell>
          <cell r="I1140">
            <v>100</v>
          </cell>
          <cell r="J1140">
            <v>0</v>
          </cell>
          <cell r="K1140">
            <v>0</v>
          </cell>
          <cell r="L1140">
            <v>100</v>
          </cell>
          <cell r="M1140" t="str">
            <v>湖里</v>
          </cell>
        </row>
        <row r="1141">
          <cell r="B1141" t="str">
            <v>上海浦东久洲实业 Total</v>
          </cell>
          <cell r="L1141">
            <v>100</v>
          </cell>
        </row>
        <row r="1142">
          <cell r="A1142" t="str">
            <v>T02043</v>
          </cell>
          <cell r="B1142" t="str">
            <v>上海晟新实业有</v>
          </cell>
          <cell r="C1142" t="str">
            <v>集体</v>
          </cell>
          <cell r="D1142" t="str">
            <v>商贸</v>
          </cell>
          <cell r="E1142" t="str">
            <v>票据贴现</v>
          </cell>
          <cell r="F1142">
            <v>37435</v>
          </cell>
          <cell r="G1142">
            <v>37618</v>
          </cell>
          <cell r="H1142">
            <v>0</v>
          </cell>
          <cell r="I1142">
            <v>2000</v>
          </cell>
          <cell r="J1142">
            <v>0</v>
          </cell>
          <cell r="K1142">
            <v>0</v>
          </cell>
          <cell r="L1142">
            <v>2000</v>
          </cell>
          <cell r="M1142" t="str">
            <v>营业</v>
          </cell>
        </row>
        <row r="1143">
          <cell r="A1143" t="str">
            <v>T02041</v>
          </cell>
          <cell r="B1143" t="str">
            <v>上海晟新实业有</v>
          </cell>
          <cell r="C1143" t="str">
            <v>集体</v>
          </cell>
          <cell r="D1143" t="str">
            <v>商贸</v>
          </cell>
          <cell r="E1143" t="str">
            <v>票据贴现</v>
          </cell>
          <cell r="F1143">
            <v>37428</v>
          </cell>
          <cell r="G1143">
            <v>37613</v>
          </cell>
          <cell r="H1143">
            <v>0</v>
          </cell>
          <cell r="I1143">
            <v>1000</v>
          </cell>
          <cell r="J1143">
            <v>0</v>
          </cell>
          <cell r="K1143">
            <v>0</v>
          </cell>
          <cell r="L1143">
            <v>1000</v>
          </cell>
          <cell r="M1143" t="str">
            <v>营业</v>
          </cell>
        </row>
        <row r="1144">
          <cell r="A1144" t="str">
            <v>T02040</v>
          </cell>
          <cell r="B1144" t="str">
            <v>上海晟新实业有</v>
          </cell>
          <cell r="C1144" t="str">
            <v>集体</v>
          </cell>
          <cell r="D1144" t="str">
            <v>商贸</v>
          </cell>
          <cell r="E1144" t="str">
            <v>票据贴现</v>
          </cell>
          <cell r="F1144">
            <v>37421</v>
          </cell>
          <cell r="G1144">
            <v>37606</v>
          </cell>
          <cell r="H1144">
            <v>0</v>
          </cell>
          <cell r="I1144">
            <v>1500</v>
          </cell>
          <cell r="J1144">
            <v>0</v>
          </cell>
          <cell r="K1144">
            <v>0</v>
          </cell>
          <cell r="L1144">
            <v>1500</v>
          </cell>
          <cell r="M1144" t="str">
            <v>营业</v>
          </cell>
        </row>
        <row r="1145">
          <cell r="A1145" t="str">
            <v>T02/35</v>
          </cell>
          <cell r="B1145" t="str">
            <v>上海晟新实业有</v>
          </cell>
          <cell r="C1145" t="str">
            <v>集体</v>
          </cell>
          <cell r="D1145" t="str">
            <v>商贸</v>
          </cell>
          <cell r="E1145" t="str">
            <v>票据贴现</v>
          </cell>
          <cell r="F1145">
            <v>37407</v>
          </cell>
          <cell r="G1145">
            <v>37591</v>
          </cell>
          <cell r="H1145">
            <v>0</v>
          </cell>
          <cell r="I1145">
            <v>1800</v>
          </cell>
          <cell r="J1145">
            <v>0</v>
          </cell>
          <cell r="K1145">
            <v>0</v>
          </cell>
          <cell r="L1145">
            <v>1800</v>
          </cell>
          <cell r="M1145" t="str">
            <v>营业</v>
          </cell>
        </row>
        <row r="1146">
          <cell r="A1146" t="str">
            <v>T02046</v>
          </cell>
          <cell r="B1146" t="str">
            <v>上海晟新实业有</v>
          </cell>
          <cell r="C1146" t="str">
            <v>集体</v>
          </cell>
          <cell r="D1146" t="str">
            <v>商贸</v>
          </cell>
          <cell r="E1146" t="str">
            <v>票据贴现</v>
          </cell>
          <cell r="F1146">
            <v>37448</v>
          </cell>
          <cell r="G1146">
            <v>37630</v>
          </cell>
          <cell r="H1146">
            <v>0</v>
          </cell>
          <cell r="I1146">
            <v>2000</v>
          </cell>
          <cell r="J1146">
            <v>0</v>
          </cell>
          <cell r="K1146">
            <v>0</v>
          </cell>
          <cell r="L1146">
            <v>2000</v>
          </cell>
          <cell r="M1146" t="str">
            <v>营业</v>
          </cell>
        </row>
        <row r="1147">
          <cell r="B1147" t="str">
            <v>上海晟新实业有 Total</v>
          </cell>
          <cell r="L1147">
            <v>8300</v>
          </cell>
        </row>
        <row r="1148">
          <cell r="A1148" t="str">
            <v>350867</v>
          </cell>
          <cell r="B1148" t="str">
            <v>上海永新彩色显像管</v>
          </cell>
          <cell r="C1148" t="str">
            <v>三资</v>
          </cell>
          <cell r="D1148" t="str">
            <v>工业</v>
          </cell>
          <cell r="E1148" t="str">
            <v>票据贴现</v>
          </cell>
          <cell r="F1148">
            <v>37505</v>
          </cell>
          <cell r="G1148">
            <v>37592</v>
          </cell>
          <cell r="H1148">
            <v>0</v>
          </cell>
          <cell r="I1148">
            <v>400</v>
          </cell>
          <cell r="J1148">
            <v>0</v>
          </cell>
          <cell r="K1148">
            <v>0</v>
          </cell>
          <cell r="L1148">
            <v>400</v>
          </cell>
          <cell r="M1148" t="str">
            <v>湖里</v>
          </cell>
        </row>
        <row r="1149">
          <cell r="A1149" t="str">
            <v>350863</v>
          </cell>
          <cell r="B1149" t="str">
            <v>上海永新彩色显像管</v>
          </cell>
          <cell r="C1149" t="str">
            <v>三资</v>
          </cell>
          <cell r="D1149" t="str">
            <v>工业</v>
          </cell>
          <cell r="E1149" t="str">
            <v>票据贴现</v>
          </cell>
          <cell r="F1149">
            <v>37505</v>
          </cell>
          <cell r="G1149">
            <v>37592</v>
          </cell>
          <cell r="H1149">
            <v>0</v>
          </cell>
          <cell r="I1149">
            <v>500</v>
          </cell>
          <cell r="J1149">
            <v>0</v>
          </cell>
          <cell r="K1149">
            <v>0</v>
          </cell>
          <cell r="L1149">
            <v>500</v>
          </cell>
          <cell r="M1149" t="str">
            <v>湖里</v>
          </cell>
        </row>
        <row r="1150">
          <cell r="A1150" t="str">
            <v>350864</v>
          </cell>
          <cell r="B1150" t="str">
            <v>上海永新彩色显像管</v>
          </cell>
          <cell r="C1150" t="str">
            <v>三资</v>
          </cell>
          <cell r="D1150" t="str">
            <v>工业</v>
          </cell>
          <cell r="E1150" t="str">
            <v>票据贴现</v>
          </cell>
          <cell r="F1150">
            <v>37505</v>
          </cell>
          <cell r="G1150">
            <v>37592</v>
          </cell>
          <cell r="H1150">
            <v>0</v>
          </cell>
          <cell r="I1150">
            <v>500</v>
          </cell>
          <cell r="J1150">
            <v>0</v>
          </cell>
          <cell r="K1150">
            <v>0</v>
          </cell>
          <cell r="L1150">
            <v>500</v>
          </cell>
          <cell r="M1150" t="str">
            <v>湖里</v>
          </cell>
        </row>
        <row r="1151">
          <cell r="A1151" t="str">
            <v>350865</v>
          </cell>
          <cell r="B1151" t="str">
            <v>上海永新彩色显像管</v>
          </cell>
          <cell r="C1151" t="str">
            <v>三资</v>
          </cell>
          <cell r="D1151" t="str">
            <v>工业</v>
          </cell>
          <cell r="E1151" t="str">
            <v>票据贴现</v>
          </cell>
          <cell r="F1151">
            <v>37505</v>
          </cell>
          <cell r="G1151">
            <v>37592</v>
          </cell>
          <cell r="H1151">
            <v>0</v>
          </cell>
          <cell r="I1151">
            <v>500</v>
          </cell>
          <cell r="J1151">
            <v>0</v>
          </cell>
          <cell r="K1151">
            <v>0</v>
          </cell>
          <cell r="L1151">
            <v>500</v>
          </cell>
          <cell r="M1151" t="str">
            <v>湖里</v>
          </cell>
        </row>
        <row r="1152">
          <cell r="A1152" t="str">
            <v>350866</v>
          </cell>
          <cell r="B1152" t="str">
            <v>上海永新彩色显像管</v>
          </cell>
          <cell r="C1152" t="str">
            <v>三资</v>
          </cell>
          <cell r="D1152" t="str">
            <v>工业</v>
          </cell>
          <cell r="E1152" t="str">
            <v>票据贴现</v>
          </cell>
          <cell r="F1152">
            <v>37505</v>
          </cell>
          <cell r="G1152">
            <v>37592</v>
          </cell>
          <cell r="H1152">
            <v>0</v>
          </cell>
          <cell r="I1152">
            <v>500</v>
          </cell>
          <cell r="J1152">
            <v>0</v>
          </cell>
          <cell r="K1152">
            <v>0</v>
          </cell>
          <cell r="L1152">
            <v>500</v>
          </cell>
          <cell r="M1152" t="str">
            <v>湖里</v>
          </cell>
        </row>
        <row r="1153">
          <cell r="B1153" t="str">
            <v>上海永新彩色显像管 Total</v>
          </cell>
          <cell r="L1153">
            <v>2400</v>
          </cell>
        </row>
        <row r="1154">
          <cell r="A1154" t="str">
            <v>070068</v>
          </cell>
          <cell r="B1154" t="str">
            <v>上豪实业发展公司</v>
          </cell>
          <cell r="C1154" t="str">
            <v>集体</v>
          </cell>
          <cell r="D1154" t="str">
            <v>其它</v>
          </cell>
          <cell r="E1154" t="str">
            <v>抵押贷款</v>
          </cell>
          <cell r="F1154">
            <v>37517</v>
          </cell>
          <cell r="G1154">
            <v>37851</v>
          </cell>
          <cell r="H1154">
            <v>0</v>
          </cell>
          <cell r="I1154">
            <v>80</v>
          </cell>
          <cell r="J1154">
            <v>0</v>
          </cell>
          <cell r="K1154">
            <v>0</v>
          </cell>
          <cell r="L1154">
            <v>80</v>
          </cell>
          <cell r="M1154" t="str">
            <v>公园</v>
          </cell>
        </row>
        <row r="1155">
          <cell r="B1155" t="str">
            <v>上豪实业发展公司 Total</v>
          </cell>
          <cell r="L1155">
            <v>80</v>
          </cell>
        </row>
        <row r="1156">
          <cell r="A1156" t="str">
            <v>TGX052</v>
          </cell>
          <cell r="B1156" t="str">
            <v>邵建烈</v>
          </cell>
          <cell r="C1156" t="str">
            <v>其它</v>
          </cell>
          <cell r="D1156" t="str">
            <v>其它</v>
          </cell>
          <cell r="E1156" t="str">
            <v>信用贷款</v>
          </cell>
          <cell r="F1156">
            <v>36903</v>
          </cell>
          <cell r="G1156">
            <v>37641</v>
          </cell>
          <cell r="H1156">
            <v>0</v>
          </cell>
          <cell r="I1156">
            <v>0.86</v>
          </cell>
          <cell r="J1156">
            <v>0.09</v>
          </cell>
          <cell r="K1156">
            <v>0.62</v>
          </cell>
          <cell r="L1156">
            <v>0.24</v>
          </cell>
          <cell r="M1156" t="str">
            <v>马巷</v>
          </cell>
        </row>
        <row r="1157">
          <cell r="B1157" t="str">
            <v>邵建烈 Total</v>
          </cell>
          <cell r="L1157">
            <v>0.24</v>
          </cell>
        </row>
        <row r="1158">
          <cell r="A1158" t="str">
            <v>942031</v>
          </cell>
          <cell r="B1158" t="str">
            <v>申光旺</v>
          </cell>
          <cell r="C1158" t="str">
            <v>其它</v>
          </cell>
          <cell r="D1158" t="str">
            <v>其它</v>
          </cell>
          <cell r="E1158" t="str">
            <v>抵押贷款</v>
          </cell>
          <cell r="F1158">
            <v>37362</v>
          </cell>
          <cell r="G1158">
            <v>37727</v>
          </cell>
          <cell r="H1158">
            <v>0</v>
          </cell>
          <cell r="I1158">
            <v>22</v>
          </cell>
          <cell r="J1158">
            <v>0</v>
          </cell>
          <cell r="K1158">
            <v>0</v>
          </cell>
          <cell r="L1158">
            <v>22</v>
          </cell>
          <cell r="M1158" t="str">
            <v>莲富</v>
          </cell>
        </row>
        <row r="1159">
          <cell r="B1159" t="str">
            <v>申光旺 Total</v>
          </cell>
          <cell r="L1159">
            <v>22</v>
          </cell>
        </row>
        <row r="1160">
          <cell r="A1160" t="str">
            <v>200222</v>
          </cell>
          <cell r="B1160" t="str">
            <v>沈伟华</v>
          </cell>
          <cell r="C1160" t="str">
            <v>其它</v>
          </cell>
          <cell r="D1160" t="str">
            <v>其它</v>
          </cell>
          <cell r="E1160" t="str">
            <v>抵押贷款</v>
          </cell>
          <cell r="F1160">
            <v>37528</v>
          </cell>
          <cell r="G1160">
            <v>37892</v>
          </cell>
          <cell r="H1160">
            <v>0</v>
          </cell>
          <cell r="I1160">
            <v>40</v>
          </cell>
          <cell r="J1160">
            <v>0</v>
          </cell>
          <cell r="K1160">
            <v>0</v>
          </cell>
          <cell r="L1160">
            <v>40</v>
          </cell>
          <cell r="M1160" t="str">
            <v>海沧</v>
          </cell>
        </row>
        <row r="1161">
          <cell r="B1161" t="str">
            <v>沈伟华 Total</v>
          </cell>
          <cell r="L1161">
            <v>40</v>
          </cell>
        </row>
        <row r="1162">
          <cell r="A1162" t="str">
            <v>0014</v>
          </cell>
          <cell r="B1162" t="str">
            <v>沈有亮</v>
          </cell>
          <cell r="C1162" t="str">
            <v>其它</v>
          </cell>
          <cell r="D1162" t="str">
            <v>其它</v>
          </cell>
          <cell r="E1162" t="str">
            <v>抵押贷款</v>
          </cell>
          <cell r="F1162">
            <v>37413</v>
          </cell>
          <cell r="G1162">
            <v>37777</v>
          </cell>
          <cell r="H1162">
            <v>0</v>
          </cell>
          <cell r="I1162">
            <v>28</v>
          </cell>
          <cell r="J1162">
            <v>0</v>
          </cell>
          <cell r="K1162">
            <v>0</v>
          </cell>
          <cell r="L1162">
            <v>28</v>
          </cell>
          <cell r="M1162" t="str">
            <v>东芳</v>
          </cell>
        </row>
        <row r="1163">
          <cell r="B1163" t="str">
            <v>沈有亮 Total</v>
          </cell>
          <cell r="L1163">
            <v>28</v>
          </cell>
        </row>
        <row r="1164">
          <cell r="A1164" t="str">
            <v>000106</v>
          </cell>
          <cell r="B1164" t="str">
            <v>胜辉</v>
          </cell>
          <cell r="C1164" t="str">
            <v>其它</v>
          </cell>
          <cell r="D1164" t="str">
            <v>其它</v>
          </cell>
          <cell r="E1164" t="str">
            <v>抵押贷款</v>
          </cell>
          <cell r="F1164">
            <v>37455</v>
          </cell>
          <cell r="G1164">
            <v>38543</v>
          </cell>
          <cell r="H1164">
            <v>0</v>
          </cell>
          <cell r="I1164">
            <v>7.92</v>
          </cell>
          <cell r="J1164">
            <v>0.4</v>
          </cell>
          <cell r="K1164">
            <v>0.6</v>
          </cell>
          <cell r="L1164">
            <v>7.32</v>
          </cell>
          <cell r="M1164" t="str">
            <v>康乐</v>
          </cell>
        </row>
        <row r="1165">
          <cell r="B1165" t="str">
            <v>胜辉 Total</v>
          </cell>
          <cell r="L1165">
            <v>7.32</v>
          </cell>
        </row>
        <row r="1166">
          <cell r="A1166" t="str">
            <v>070027</v>
          </cell>
          <cell r="B1166" t="str">
            <v>省五矿厦门公司</v>
          </cell>
          <cell r="C1166" t="str">
            <v>国营</v>
          </cell>
          <cell r="D1166" t="str">
            <v>商贸</v>
          </cell>
          <cell r="E1166" t="str">
            <v>保证贷款</v>
          </cell>
          <cell r="F1166">
            <v>37343</v>
          </cell>
          <cell r="G1166">
            <v>37707</v>
          </cell>
          <cell r="H1166">
            <v>0</v>
          </cell>
          <cell r="I1166">
            <v>500</v>
          </cell>
          <cell r="J1166">
            <v>0</v>
          </cell>
          <cell r="K1166">
            <v>0</v>
          </cell>
          <cell r="L1166">
            <v>500</v>
          </cell>
          <cell r="M1166" t="str">
            <v>公园</v>
          </cell>
        </row>
        <row r="1167">
          <cell r="B1167" t="str">
            <v>省五矿厦门公司 Total</v>
          </cell>
          <cell r="L1167">
            <v>500</v>
          </cell>
        </row>
        <row r="1168">
          <cell r="A1168" t="str">
            <v>070066</v>
          </cell>
          <cell r="B1168" t="str">
            <v>省医保厦门公司</v>
          </cell>
          <cell r="C1168" t="str">
            <v>国营</v>
          </cell>
          <cell r="D1168" t="str">
            <v>商贸</v>
          </cell>
          <cell r="E1168" t="str">
            <v>保证贷款</v>
          </cell>
          <cell r="F1168">
            <v>37489</v>
          </cell>
          <cell r="G1168">
            <v>37673</v>
          </cell>
          <cell r="H1168">
            <v>0</v>
          </cell>
          <cell r="I1168">
            <v>400</v>
          </cell>
          <cell r="J1168">
            <v>0</v>
          </cell>
          <cell r="K1168">
            <v>0</v>
          </cell>
          <cell r="L1168">
            <v>400</v>
          </cell>
          <cell r="M1168" t="str">
            <v>公园</v>
          </cell>
        </row>
        <row r="1169">
          <cell r="B1169" t="str">
            <v>省医保厦门公司 Total</v>
          </cell>
          <cell r="L1169">
            <v>400</v>
          </cell>
        </row>
        <row r="1170">
          <cell r="A1170" t="str">
            <v>000102</v>
          </cell>
          <cell r="B1170" t="str">
            <v>晟亚</v>
          </cell>
          <cell r="C1170" t="str">
            <v>其它</v>
          </cell>
          <cell r="D1170" t="str">
            <v>其它</v>
          </cell>
          <cell r="E1170" t="str">
            <v>保证贷款</v>
          </cell>
          <cell r="F1170">
            <v>37463</v>
          </cell>
          <cell r="G1170">
            <v>37828</v>
          </cell>
          <cell r="H1170">
            <v>0</v>
          </cell>
          <cell r="I1170">
            <v>600</v>
          </cell>
          <cell r="J1170">
            <v>0</v>
          </cell>
          <cell r="K1170">
            <v>0</v>
          </cell>
          <cell r="L1170">
            <v>600</v>
          </cell>
          <cell r="M1170" t="str">
            <v>康乐</v>
          </cell>
        </row>
        <row r="1171">
          <cell r="B1171" t="str">
            <v>晟亚 Total</v>
          </cell>
          <cell r="L1171">
            <v>600</v>
          </cell>
        </row>
        <row r="1172">
          <cell r="A1172" t="str">
            <v>200043</v>
          </cell>
          <cell r="B1172" t="str">
            <v>盛达源</v>
          </cell>
          <cell r="C1172" t="str">
            <v>集体</v>
          </cell>
          <cell r="D1172" t="str">
            <v>商贸</v>
          </cell>
          <cell r="E1172" t="str">
            <v>抵押贷款</v>
          </cell>
          <cell r="F1172">
            <v>37432</v>
          </cell>
          <cell r="G1172">
            <v>38162</v>
          </cell>
          <cell r="H1172">
            <v>0</v>
          </cell>
          <cell r="I1172">
            <v>31.68</v>
          </cell>
          <cell r="J1172">
            <v>1.26</v>
          </cell>
          <cell r="K1172">
            <v>5</v>
          </cell>
          <cell r="L1172">
            <v>26.68</v>
          </cell>
          <cell r="M1172" t="str">
            <v>新港</v>
          </cell>
        </row>
        <row r="1173">
          <cell r="A1173" t="str">
            <v>200014</v>
          </cell>
          <cell r="B1173" t="str">
            <v>盛达源</v>
          </cell>
          <cell r="C1173" t="str">
            <v>集体</v>
          </cell>
          <cell r="D1173" t="str">
            <v>商贸</v>
          </cell>
          <cell r="E1173" t="str">
            <v>抵押贷款</v>
          </cell>
          <cell r="F1173">
            <v>37229</v>
          </cell>
          <cell r="G1173">
            <v>37775</v>
          </cell>
          <cell r="H1173">
            <v>0</v>
          </cell>
          <cell r="I1173">
            <v>0</v>
          </cell>
          <cell r="J1173">
            <v>0.67</v>
          </cell>
          <cell r="K1173">
            <v>6.49</v>
          </cell>
          <cell r="L1173">
            <v>8.31</v>
          </cell>
          <cell r="M1173" t="str">
            <v>新港</v>
          </cell>
        </row>
        <row r="1174">
          <cell r="B1174" t="str">
            <v>盛达源 Total</v>
          </cell>
          <cell r="L1174">
            <v>34.99</v>
          </cell>
        </row>
        <row r="1175">
          <cell r="A1175" t="str">
            <v>160017</v>
          </cell>
          <cell r="B1175" t="str">
            <v>盛华源工程材料公司</v>
          </cell>
          <cell r="C1175" t="str">
            <v>其它</v>
          </cell>
          <cell r="D1175" t="str">
            <v>其它</v>
          </cell>
          <cell r="E1175" t="str">
            <v>抵押贷款</v>
          </cell>
          <cell r="F1175">
            <v>37348</v>
          </cell>
          <cell r="G1175">
            <v>37623</v>
          </cell>
          <cell r="H1175">
            <v>0</v>
          </cell>
          <cell r="I1175">
            <v>300</v>
          </cell>
          <cell r="J1175">
            <v>0</v>
          </cell>
          <cell r="K1175">
            <v>0</v>
          </cell>
          <cell r="L1175">
            <v>300</v>
          </cell>
          <cell r="M1175" t="str">
            <v>梧村</v>
          </cell>
        </row>
        <row r="1176">
          <cell r="B1176" t="str">
            <v>盛华源工程材料公司 Total</v>
          </cell>
          <cell r="L1176">
            <v>300</v>
          </cell>
        </row>
        <row r="1177">
          <cell r="A1177" t="str">
            <v>22322</v>
          </cell>
          <cell r="B1177" t="str">
            <v>盛宇工贸有限公司</v>
          </cell>
          <cell r="C1177" t="str">
            <v>集体</v>
          </cell>
          <cell r="D1177" t="str">
            <v>商贸</v>
          </cell>
          <cell r="E1177" t="str">
            <v>票据贴现</v>
          </cell>
          <cell r="F1177">
            <v>37448</v>
          </cell>
          <cell r="G1177">
            <v>37633</v>
          </cell>
          <cell r="H1177">
            <v>0</v>
          </cell>
          <cell r="I1177">
            <v>27.4</v>
          </cell>
          <cell r="J1177">
            <v>0</v>
          </cell>
          <cell r="K1177">
            <v>0</v>
          </cell>
          <cell r="L1177">
            <v>27.4</v>
          </cell>
          <cell r="M1177" t="str">
            <v>江头</v>
          </cell>
        </row>
        <row r="1178">
          <cell r="B1178" t="str">
            <v>盛宇工贸有限公司 Total</v>
          </cell>
          <cell r="L1178">
            <v>27.4</v>
          </cell>
        </row>
        <row r="1179">
          <cell r="A1179" t="str">
            <v>020178</v>
          </cell>
          <cell r="B1179" t="str">
            <v>施华栋</v>
          </cell>
          <cell r="C1179" t="str">
            <v>其它</v>
          </cell>
          <cell r="D1179" t="str">
            <v>其它</v>
          </cell>
          <cell r="E1179" t="str">
            <v>保证贷款</v>
          </cell>
          <cell r="F1179">
            <v>37529</v>
          </cell>
          <cell r="G1179">
            <v>37894</v>
          </cell>
          <cell r="H1179">
            <v>0</v>
          </cell>
          <cell r="I1179">
            <v>5</v>
          </cell>
          <cell r="J1179">
            <v>0</v>
          </cell>
          <cell r="K1179">
            <v>0</v>
          </cell>
          <cell r="L1179">
            <v>5</v>
          </cell>
          <cell r="M1179" t="str">
            <v>东区</v>
          </cell>
        </row>
        <row r="1180">
          <cell r="B1180" t="str">
            <v>施华栋 Total</v>
          </cell>
          <cell r="L1180">
            <v>5</v>
          </cell>
        </row>
        <row r="1181">
          <cell r="A1181" t="str">
            <v>30016</v>
          </cell>
          <cell r="B1181" t="str">
            <v>狮山岩矿泉水开发公司</v>
          </cell>
          <cell r="C1181" t="str">
            <v>三资</v>
          </cell>
          <cell r="D1181" t="str">
            <v>工业</v>
          </cell>
          <cell r="E1181" t="str">
            <v>保证贷款</v>
          </cell>
          <cell r="F1181">
            <v>34673</v>
          </cell>
          <cell r="G1181">
            <v>34884</v>
          </cell>
          <cell r="H1181">
            <v>0</v>
          </cell>
          <cell r="I1181">
            <v>0</v>
          </cell>
          <cell r="J1181">
            <v>0</v>
          </cell>
          <cell r="K1181">
            <v>0</v>
          </cell>
          <cell r="L1181">
            <v>23</v>
          </cell>
          <cell r="M1181" t="str">
            <v>同安</v>
          </cell>
        </row>
        <row r="1182">
          <cell r="B1182" t="str">
            <v>狮山岩矿泉水开发公司 Total</v>
          </cell>
          <cell r="L1182">
            <v>23</v>
          </cell>
        </row>
        <row r="1183">
          <cell r="A1183" t="str">
            <v>020023</v>
          </cell>
          <cell r="B1183" t="str">
            <v>石化能源</v>
          </cell>
          <cell r="C1183" t="str">
            <v>集体</v>
          </cell>
          <cell r="D1183" t="str">
            <v>商贸</v>
          </cell>
          <cell r="E1183" t="str">
            <v>保证贷款</v>
          </cell>
          <cell r="F1183">
            <v>37328</v>
          </cell>
          <cell r="G1183">
            <v>37603</v>
          </cell>
          <cell r="H1183">
            <v>0</v>
          </cell>
          <cell r="I1183">
            <v>200</v>
          </cell>
          <cell r="J1183">
            <v>0</v>
          </cell>
          <cell r="K1183">
            <v>0</v>
          </cell>
          <cell r="L1183">
            <v>200</v>
          </cell>
          <cell r="M1183" t="str">
            <v>公园</v>
          </cell>
        </row>
        <row r="1184">
          <cell r="B1184" t="str">
            <v>石化能源 Total</v>
          </cell>
          <cell r="L1184">
            <v>200</v>
          </cell>
        </row>
        <row r="1185">
          <cell r="A1185" t="str">
            <v>350918</v>
          </cell>
          <cell r="B1185" t="str">
            <v>石狮通达电器</v>
          </cell>
          <cell r="C1185" t="str">
            <v>三资</v>
          </cell>
          <cell r="D1185" t="str">
            <v>工业</v>
          </cell>
          <cell r="E1185" t="str">
            <v>票据贴现</v>
          </cell>
          <cell r="F1185">
            <v>37558</v>
          </cell>
          <cell r="G1185">
            <v>37739</v>
          </cell>
          <cell r="H1185">
            <v>45</v>
          </cell>
          <cell r="I1185">
            <v>45</v>
          </cell>
          <cell r="J1185">
            <v>0</v>
          </cell>
          <cell r="K1185">
            <v>0</v>
          </cell>
          <cell r="L1185">
            <v>45</v>
          </cell>
          <cell r="M1185" t="str">
            <v>湖里</v>
          </cell>
        </row>
        <row r="1186">
          <cell r="B1186" t="str">
            <v>石狮通达电器 Total</v>
          </cell>
          <cell r="L1186">
            <v>45</v>
          </cell>
        </row>
        <row r="1187">
          <cell r="A1187" t="str">
            <v>350919</v>
          </cell>
          <cell r="B1187" t="str">
            <v>石狮通达电子</v>
          </cell>
          <cell r="C1187" t="str">
            <v>三资</v>
          </cell>
          <cell r="D1187" t="str">
            <v>工业</v>
          </cell>
          <cell r="E1187" t="str">
            <v>票据贴现</v>
          </cell>
          <cell r="F1187">
            <v>37558</v>
          </cell>
          <cell r="G1187">
            <v>37739</v>
          </cell>
          <cell r="H1187">
            <v>65</v>
          </cell>
          <cell r="I1187">
            <v>65</v>
          </cell>
          <cell r="J1187">
            <v>0</v>
          </cell>
          <cell r="K1187">
            <v>0</v>
          </cell>
          <cell r="L1187">
            <v>65</v>
          </cell>
          <cell r="M1187" t="str">
            <v>湖里</v>
          </cell>
        </row>
        <row r="1188">
          <cell r="B1188" t="str">
            <v>石狮通达电子 Total</v>
          </cell>
          <cell r="L1188">
            <v>65</v>
          </cell>
        </row>
        <row r="1189">
          <cell r="A1189" t="str">
            <v>350831</v>
          </cell>
          <cell r="B1189" t="str">
            <v>石狮通达五金有限公司</v>
          </cell>
          <cell r="C1189" t="str">
            <v>三资</v>
          </cell>
          <cell r="D1189" t="str">
            <v>商贸</v>
          </cell>
          <cell r="E1189" t="str">
            <v>票据贴现</v>
          </cell>
          <cell r="F1189">
            <v>37455</v>
          </cell>
          <cell r="G1189">
            <v>37623</v>
          </cell>
          <cell r="H1189">
            <v>0</v>
          </cell>
          <cell r="I1189">
            <v>20</v>
          </cell>
          <cell r="J1189">
            <v>0</v>
          </cell>
          <cell r="K1189">
            <v>0</v>
          </cell>
          <cell r="L1189">
            <v>20</v>
          </cell>
          <cell r="M1189" t="str">
            <v>湖里</v>
          </cell>
        </row>
        <row r="1190">
          <cell r="B1190" t="str">
            <v>石狮通达五金有限公司 Total</v>
          </cell>
          <cell r="L1190">
            <v>20</v>
          </cell>
        </row>
        <row r="1191">
          <cell r="A1191" t="str">
            <v>22284</v>
          </cell>
          <cell r="B1191" t="str">
            <v>双利(厦门)化纤公司</v>
          </cell>
          <cell r="C1191" t="str">
            <v>三资</v>
          </cell>
          <cell r="D1191" t="str">
            <v>工业</v>
          </cell>
          <cell r="E1191" t="str">
            <v>抵押贷款</v>
          </cell>
          <cell r="F1191">
            <v>37285</v>
          </cell>
          <cell r="G1191">
            <v>37644</v>
          </cell>
          <cell r="H1191">
            <v>0</v>
          </cell>
          <cell r="I1191">
            <v>150</v>
          </cell>
          <cell r="J1191">
            <v>0</v>
          </cell>
          <cell r="K1191">
            <v>0</v>
          </cell>
          <cell r="L1191">
            <v>150</v>
          </cell>
          <cell r="M1191" t="str">
            <v>江头</v>
          </cell>
        </row>
        <row r="1192">
          <cell r="B1192" t="str">
            <v>双利(厦门)化纤公司 Total</v>
          </cell>
          <cell r="L1192">
            <v>150</v>
          </cell>
        </row>
        <row r="1193">
          <cell r="A1193" t="str">
            <v>02018</v>
          </cell>
          <cell r="B1193" t="str">
            <v>水产集团</v>
          </cell>
          <cell r="C1193" t="str">
            <v>国营</v>
          </cell>
          <cell r="D1193" t="str">
            <v>商贸</v>
          </cell>
          <cell r="E1193" t="str">
            <v>保证贷款</v>
          </cell>
          <cell r="F1193">
            <v>37529</v>
          </cell>
          <cell r="G1193">
            <v>37894</v>
          </cell>
          <cell r="H1193">
            <v>0</v>
          </cell>
          <cell r="I1193">
            <v>200</v>
          </cell>
          <cell r="J1193">
            <v>0</v>
          </cell>
          <cell r="K1193">
            <v>0</v>
          </cell>
          <cell r="L1193">
            <v>200</v>
          </cell>
          <cell r="M1193" t="str">
            <v>文滨</v>
          </cell>
        </row>
        <row r="1194">
          <cell r="B1194" t="str">
            <v>水产集团 Total</v>
          </cell>
          <cell r="L1194">
            <v>200</v>
          </cell>
        </row>
        <row r="1195">
          <cell r="A1195" t="str">
            <v>200054</v>
          </cell>
          <cell r="B1195" t="str">
            <v>顺利行</v>
          </cell>
          <cell r="C1195" t="str">
            <v>集体</v>
          </cell>
          <cell r="D1195" t="str">
            <v>商贸</v>
          </cell>
          <cell r="E1195" t="str">
            <v>抵押贷款</v>
          </cell>
          <cell r="F1195">
            <v>37497</v>
          </cell>
          <cell r="G1195">
            <v>38227</v>
          </cell>
          <cell r="H1195">
            <v>0</v>
          </cell>
          <cell r="I1195">
            <v>30.08</v>
          </cell>
          <cell r="J1195">
            <v>1.18</v>
          </cell>
          <cell r="K1195">
            <v>2.36</v>
          </cell>
          <cell r="L1195">
            <v>27.72</v>
          </cell>
          <cell r="M1195" t="str">
            <v>新港</v>
          </cell>
        </row>
        <row r="1196">
          <cell r="B1196" t="str">
            <v>顺利行 Total</v>
          </cell>
          <cell r="L1196">
            <v>27.72</v>
          </cell>
        </row>
        <row r="1197">
          <cell r="A1197" t="str">
            <v>000077</v>
          </cell>
          <cell r="B1197" t="str">
            <v>顺贤</v>
          </cell>
          <cell r="C1197" t="str">
            <v>其它</v>
          </cell>
          <cell r="D1197" t="str">
            <v>其它</v>
          </cell>
          <cell r="E1197" t="str">
            <v>抵押贷款</v>
          </cell>
          <cell r="F1197">
            <v>37363</v>
          </cell>
          <cell r="G1197">
            <v>38089</v>
          </cell>
          <cell r="H1197">
            <v>0</v>
          </cell>
          <cell r="I1197">
            <v>16</v>
          </cell>
          <cell r="J1197">
            <v>0.64</v>
          </cell>
          <cell r="K1197">
            <v>3.81</v>
          </cell>
          <cell r="L1197">
            <v>12.19</v>
          </cell>
          <cell r="M1197" t="str">
            <v>康乐</v>
          </cell>
        </row>
        <row r="1198">
          <cell r="A1198" t="str">
            <v>000091</v>
          </cell>
          <cell r="B1198" t="str">
            <v>顺贤</v>
          </cell>
          <cell r="C1198" t="str">
            <v>其它</v>
          </cell>
          <cell r="D1198" t="str">
            <v>其它</v>
          </cell>
          <cell r="E1198" t="str">
            <v>抵押贷款</v>
          </cell>
          <cell r="F1198">
            <v>37434</v>
          </cell>
          <cell r="G1198">
            <v>38158</v>
          </cell>
          <cell r="H1198">
            <v>0</v>
          </cell>
          <cell r="I1198">
            <v>17</v>
          </cell>
          <cell r="J1198">
            <v>0.68</v>
          </cell>
          <cell r="K1198">
            <v>2.69</v>
          </cell>
          <cell r="L1198">
            <v>14.31</v>
          </cell>
          <cell r="M1198" t="str">
            <v>康乐</v>
          </cell>
        </row>
        <row r="1199">
          <cell r="B1199" t="str">
            <v>顺贤 Total</v>
          </cell>
          <cell r="L1199">
            <v>26.5</v>
          </cell>
        </row>
        <row r="1200">
          <cell r="A1200" t="str">
            <v>01-083</v>
          </cell>
          <cell r="B1200" t="str">
            <v>思明制药</v>
          </cell>
          <cell r="C1200" t="str">
            <v>集体</v>
          </cell>
          <cell r="D1200" t="str">
            <v>工业</v>
          </cell>
          <cell r="E1200" t="str">
            <v>保证贷款</v>
          </cell>
          <cell r="F1200">
            <v>37164</v>
          </cell>
          <cell r="G1200">
            <v>37530</v>
          </cell>
          <cell r="H1200">
            <v>0</v>
          </cell>
          <cell r="I1200">
            <v>0</v>
          </cell>
          <cell r="J1200">
            <v>0</v>
          </cell>
          <cell r="K1200">
            <v>0</v>
          </cell>
          <cell r="L1200">
            <v>690</v>
          </cell>
          <cell r="M1200" t="str">
            <v>营业</v>
          </cell>
        </row>
        <row r="1201">
          <cell r="A1201" t="str">
            <v>01-082</v>
          </cell>
          <cell r="B1201" t="str">
            <v>思明制药</v>
          </cell>
          <cell r="C1201" t="str">
            <v>集体</v>
          </cell>
          <cell r="D1201" t="str">
            <v>工业</v>
          </cell>
          <cell r="E1201" t="str">
            <v>保证贷款</v>
          </cell>
          <cell r="F1201">
            <v>37164</v>
          </cell>
          <cell r="G1201">
            <v>37530</v>
          </cell>
          <cell r="H1201">
            <v>0</v>
          </cell>
          <cell r="I1201">
            <v>0</v>
          </cell>
          <cell r="J1201">
            <v>0</v>
          </cell>
          <cell r="K1201">
            <v>0</v>
          </cell>
          <cell r="L1201">
            <v>700</v>
          </cell>
          <cell r="M1201" t="str">
            <v>营业</v>
          </cell>
        </row>
        <row r="1202">
          <cell r="B1202" t="str">
            <v>思明制药 Total</v>
          </cell>
          <cell r="L1202">
            <v>1390</v>
          </cell>
        </row>
        <row r="1203">
          <cell r="A1203" t="str">
            <v>d02008</v>
          </cell>
          <cell r="B1203" t="str">
            <v>松林卫浴</v>
          </cell>
          <cell r="C1203" t="str">
            <v>三资</v>
          </cell>
          <cell r="D1203" t="str">
            <v>商贸</v>
          </cell>
          <cell r="E1203" t="str">
            <v>保证贷款</v>
          </cell>
          <cell r="F1203">
            <v>37439</v>
          </cell>
          <cell r="G1203">
            <v>37774</v>
          </cell>
          <cell r="H1203">
            <v>0</v>
          </cell>
          <cell r="I1203">
            <v>280</v>
          </cell>
          <cell r="J1203">
            <v>0</v>
          </cell>
          <cell r="K1203">
            <v>0</v>
          </cell>
          <cell r="L1203">
            <v>280</v>
          </cell>
          <cell r="M1203" t="str">
            <v>文滨</v>
          </cell>
        </row>
        <row r="1204">
          <cell r="B1204" t="str">
            <v>松林卫浴 Total</v>
          </cell>
          <cell r="L1204">
            <v>280</v>
          </cell>
        </row>
        <row r="1205">
          <cell r="A1205" t="str">
            <v>020165</v>
          </cell>
          <cell r="B1205" t="str">
            <v>宋成仁</v>
          </cell>
          <cell r="C1205" t="str">
            <v>其它</v>
          </cell>
          <cell r="D1205" t="str">
            <v>其它</v>
          </cell>
          <cell r="E1205" t="str">
            <v>保证贷款</v>
          </cell>
          <cell r="F1205">
            <v>37476</v>
          </cell>
          <cell r="G1205">
            <v>37660</v>
          </cell>
          <cell r="H1205">
            <v>0</v>
          </cell>
          <cell r="I1205">
            <v>20</v>
          </cell>
          <cell r="J1205">
            <v>0</v>
          </cell>
          <cell r="K1205">
            <v>0</v>
          </cell>
          <cell r="L1205">
            <v>20</v>
          </cell>
          <cell r="M1205" t="str">
            <v>东区</v>
          </cell>
        </row>
        <row r="1206">
          <cell r="B1206" t="str">
            <v>宋成仁 Total</v>
          </cell>
          <cell r="L1206">
            <v>20</v>
          </cell>
        </row>
        <row r="1207">
          <cell r="A1207" t="str">
            <v>020146</v>
          </cell>
          <cell r="B1207" t="str">
            <v>宋俊杰</v>
          </cell>
          <cell r="C1207" t="str">
            <v>其它</v>
          </cell>
          <cell r="D1207" t="str">
            <v>其它</v>
          </cell>
          <cell r="E1207" t="str">
            <v>保证贷款</v>
          </cell>
          <cell r="F1207">
            <v>37412</v>
          </cell>
          <cell r="G1207">
            <v>37777</v>
          </cell>
          <cell r="H1207">
            <v>0</v>
          </cell>
          <cell r="I1207">
            <v>10</v>
          </cell>
          <cell r="J1207">
            <v>0</v>
          </cell>
          <cell r="K1207">
            <v>0</v>
          </cell>
          <cell r="L1207">
            <v>10</v>
          </cell>
          <cell r="M1207" t="str">
            <v>东区</v>
          </cell>
        </row>
        <row r="1208">
          <cell r="B1208" t="str">
            <v>宋俊杰 Total</v>
          </cell>
          <cell r="L1208">
            <v>10</v>
          </cell>
        </row>
        <row r="1209">
          <cell r="A1209" t="str">
            <v>000047</v>
          </cell>
          <cell r="B1209" t="str">
            <v>苏昌东</v>
          </cell>
          <cell r="C1209" t="str">
            <v>其它</v>
          </cell>
          <cell r="D1209" t="str">
            <v>其它</v>
          </cell>
          <cell r="E1209" t="str">
            <v>抵押贷款</v>
          </cell>
          <cell r="F1209">
            <v>37517</v>
          </cell>
          <cell r="G1209">
            <v>37862</v>
          </cell>
          <cell r="H1209">
            <v>0</v>
          </cell>
          <cell r="I1209">
            <v>15</v>
          </cell>
          <cell r="J1209">
            <v>0</v>
          </cell>
          <cell r="K1209">
            <v>0</v>
          </cell>
          <cell r="L1209">
            <v>15</v>
          </cell>
          <cell r="M1209" t="str">
            <v>康乐</v>
          </cell>
        </row>
        <row r="1210">
          <cell r="B1210" t="str">
            <v>苏昌东 Total</v>
          </cell>
          <cell r="L1210">
            <v>15</v>
          </cell>
        </row>
        <row r="1211">
          <cell r="A1211" t="str">
            <v>x02503</v>
          </cell>
          <cell r="B1211" t="str">
            <v>苏贵青</v>
          </cell>
          <cell r="C1211" t="str">
            <v>其它</v>
          </cell>
          <cell r="D1211" t="str">
            <v>其它</v>
          </cell>
          <cell r="E1211" t="str">
            <v>质押贷款</v>
          </cell>
          <cell r="F1211">
            <v>37391</v>
          </cell>
          <cell r="G1211">
            <v>37575</v>
          </cell>
          <cell r="H1211">
            <v>0</v>
          </cell>
          <cell r="I1211">
            <v>20.28</v>
          </cell>
          <cell r="J1211">
            <v>0</v>
          </cell>
          <cell r="K1211">
            <v>0</v>
          </cell>
          <cell r="L1211">
            <v>20.28</v>
          </cell>
          <cell r="M1211" t="str">
            <v>文滨</v>
          </cell>
        </row>
        <row r="1212">
          <cell r="B1212" t="str">
            <v>苏贵青 Total</v>
          </cell>
          <cell r="L1212">
            <v>20.28</v>
          </cell>
        </row>
        <row r="1213">
          <cell r="A1213" t="str">
            <v>x02195</v>
          </cell>
          <cell r="B1213" t="str">
            <v>苏贵清</v>
          </cell>
          <cell r="C1213" t="str">
            <v>其它</v>
          </cell>
          <cell r="D1213" t="str">
            <v>其它</v>
          </cell>
          <cell r="E1213" t="str">
            <v>质押贷款</v>
          </cell>
          <cell r="F1213">
            <v>37449</v>
          </cell>
          <cell r="G1213">
            <v>37632</v>
          </cell>
          <cell r="H1213">
            <v>0</v>
          </cell>
          <cell r="I1213">
            <v>6.3</v>
          </cell>
          <cell r="J1213">
            <v>0</v>
          </cell>
          <cell r="K1213">
            <v>0</v>
          </cell>
          <cell r="L1213">
            <v>6.3</v>
          </cell>
          <cell r="M1213" t="str">
            <v>文滨</v>
          </cell>
        </row>
        <row r="1214">
          <cell r="A1214" t="str">
            <v>x20182</v>
          </cell>
          <cell r="B1214" t="str">
            <v>苏贵清</v>
          </cell>
          <cell r="C1214" t="str">
            <v>其它</v>
          </cell>
          <cell r="D1214" t="str">
            <v>其它</v>
          </cell>
          <cell r="E1214" t="str">
            <v>质押贷款</v>
          </cell>
          <cell r="F1214">
            <v>37421</v>
          </cell>
          <cell r="G1214">
            <v>37604</v>
          </cell>
          <cell r="H1214">
            <v>0</v>
          </cell>
          <cell r="I1214">
            <v>40.9</v>
          </cell>
          <cell r="J1214">
            <v>0</v>
          </cell>
          <cell r="K1214">
            <v>0</v>
          </cell>
          <cell r="L1214">
            <v>40.9</v>
          </cell>
          <cell r="M1214" t="str">
            <v>文滨</v>
          </cell>
        </row>
        <row r="1215">
          <cell r="B1215" t="str">
            <v>苏贵清 Total</v>
          </cell>
          <cell r="L1215">
            <v>47.199999999999996</v>
          </cell>
        </row>
        <row r="1216">
          <cell r="A1216" t="str">
            <v>923z34</v>
          </cell>
          <cell r="B1216" t="str">
            <v>苏建锋</v>
          </cell>
          <cell r="C1216" t="str">
            <v>其它</v>
          </cell>
          <cell r="D1216" t="str">
            <v>其它</v>
          </cell>
          <cell r="E1216" t="str">
            <v>质押贷款</v>
          </cell>
          <cell r="F1216">
            <v>37343</v>
          </cell>
          <cell r="G1216">
            <v>37708</v>
          </cell>
          <cell r="H1216">
            <v>0</v>
          </cell>
          <cell r="I1216">
            <v>31.36</v>
          </cell>
          <cell r="J1216">
            <v>0</v>
          </cell>
          <cell r="K1216">
            <v>0</v>
          </cell>
          <cell r="L1216">
            <v>31.36</v>
          </cell>
          <cell r="M1216" t="str">
            <v>禾祥</v>
          </cell>
        </row>
        <row r="1217">
          <cell r="B1217" t="str">
            <v>苏建锋 Total</v>
          </cell>
          <cell r="L1217">
            <v>31.36</v>
          </cell>
        </row>
        <row r="1218">
          <cell r="A1218" t="str">
            <v>200018</v>
          </cell>
          <cell r="B1218" t="str">
            <v>苏建强</v>
          </cell>
          <cell r="C1218" t="str">
            <v>住房</v>
          </cell>
          <cell r="D1218" t="str">
            <v>其它</v>
          </cell>
          <cell r="E1218" t="str">
            <v>抵押贷款</v>
          </cell>
          <cell r="F1218">
            <v>37029</v>
          </cell>
          <cell r="G1218">
            <v>42510</v>
          </cell>
          <cell r="H1218">
            <v>0</v>
          </cell>
          <cell r="I1218">
            <v>30.13</v>
          </cell>
          <cell r="J1218">
            <v>0.24</v>
          </cell>
          <cell r="K1218">
            <v>1.08</v>
          </cell>
          <cell r="L1218">
            <v>29.05</v>
          </cell>
          <cell r="M1218" t="str">
            <v>鹭江</v>
          </cell>
        </row>
        <row r="1219">
          <cell r="B1219" t="str">
            <v>苏建强 Total</v>
          </cell>
          <cell r="L1219">
            <v>29.05</v>
          </cell>
        </row>
        <row r="1220">
          <cell r="A1220" t="str">
            <v>TGX051</v>
          </cell>
          <cell r="B1220" t="str">
            <v>苏建省</v>
          </cell>
          <cell r="C1220" t="str">
            <v>其它</v>
          </cell>
          <cell r="D1220" t="str">
            <v>其它</v>
          </cell>
          <cell r="E1220" t="str">
            <v>信用贷款</v>
          </cell>
          <cell r="F1220">
            <v>36903</v>
          </cell>
          <cell r="G1220">
            <v>37641</v>
          </cell>
          <cell r="H1220">
            <v>0</v>
          </cell>
          <cell r="I1220">
            <v>1.08</v>
          </cell>
          <cell r="J1220">
            <v>0.1</v>
          </cell>
          <cell r="K1220">
            <v>0.75</v>
          </cell>
          <cell r="L1220">
            <v>0.33</v>
          </cell>
          <cell r="M1220" t="str">
            <v>同安</v>
          </cell>
        </row>
        <row r="1221">
          <cell r="B1221" t="str">
            <v>苏建省 Total</v>
          </cell>
          <cell r="L1221">
            <v>0.33</v>
          </cell>
        </row>
        <row r="1222">
          <cell r="A1222" t="str">
            <v>52216</v>
          </cell>
          <cell r="B1222" t="str">
            <v>苏丽芳</v>
          </cell>
          <cell r="C1222" t="str">
            <v>其它</v>
          </cell>
          <cell r="D1222" t="str">
            <v>其它</v>
          </cell>
          <cell r="E1222" t="str">
            <v>质押贷款</v>
          </cell>
          <cell r="F1222">
            <v>35626</v>
          </cell>
          <cell r="G1222">
            <v>35841</v>
          </cell>
          <cell r="H1222">
            <v>0</v>
          </cell>
          <cell r="I1222">
            <v>0</v>
          </cell>
          <cell r="J1222">
            <v>0</v>
          </cell>
          <cell r="K1222">
            <v>0</v>
          </cell>
          <cell r="L1222">
            <v>5</v>
          </cell>
          <cell r="M1222" t="str">
            <v>同安</v>
          </cell>
        </row>
        <row r="1223">
          <cell r="A1223" t="str">
            <v>52235</v>
          </cell>
          <cell r="B1223" t="str">
            <v>苏丽芳</v>
          </cell>
          <cell r="C1223" t="str">
            <v>其它</v>
          </cell>
          <cell r="D1223" t="str">
            <v>其它</v>
          </cell>
          <cell r="E1223" t="str">
            <v>质押贷款</v>
          </cell>
          <cell r="F1223">
            <v>35733</v>
          </cell>
          <cell r="G1223">
            <v>35945</v>
          </cell>
          <cell r="H1223">
            <v>0</v>
          </cell>
          <cell r="I1223">
            <v>0</v>
          </cell>
          <cell r="J1223">
            <v>0</v>
          </cell>
          <cell r="K1223">
            <v>0</v>
          </cell>
          <cell r="L1223">
            <v>10</v>
          </cell>
          <cell r="M1223" t="str">
            <v>同安</v>
          </cell>
        </row>
        <row r="1224">
          <cell r="B1224" t="str">
            <v>苏丽芳 Total</v>
          </cell>
          <cell r="L1224">
            <v>15</v>
          </cell>
        </row>
        <row r="1225">
          <cell r="A1225" t="str">
            <v>0020</v>
          </cell>
          <cell r="B1225" t="str">
            <v>孙阳</v>
          </cell>
          <cell r="C1225" t="str">
            <v>其它</v>
          </cell>
          <cell r="D1225" t="str">
            <v>其它</v>
          </cell>
          <cell r="E1225" t="str">
            <v>质押贷款</v>
          </cell>
          <cell r="F1225">
            <v>37494</v>
          </cell>
          <cell r="G1225">
            <v>37678</v>
          </cell>
          <cell r="H1225">
            <v>0</v>
          </cell>
          <cell r="I1225">
            <v>1</v>
          </cell>
          <cell r="J1225">
            <v>0</v>
          </cell>
          <cell r="K1225">
            <v>0</v>
          </cell>
          <cell r="L1225">
            <v>1</v>
          </cell>
          <cell r="M1225" t="str">
            <v>莲花</v>
          </cell>
        </row>
        <row r="1226">
          <cell r="B1226" t="str">
            <v>孙阳 Total</v>
          </cell>
          <cell r="L1226">
            <v>1</v>
          </cell>
        </row>
        <row r="1227">
          <cell r="A1227" t="str">
            <v>0007</v>
          </cell>
          <cell r="B1227" t="str">
            <v>孙玉色</v>
          </cell>
          <cell r="C1227" t="str">
            <v>其它</v>
          </cell>
          <cell r="D1227" t="str">
            <v>其它</v>
          </cell>
          <cell r="E1227" t="str">
            <v>抵押贷款</v>
          </cell>
          <cell r="F1227">
            <v>37209</v>
          </cell>
          <cell r="G1227">
            <v>37574</v>
          </cell>
          <cell r="H1227">
            <v>0</v>
          </cell>
          <cell r="I1227">
            <v>10</v>
          </cell>
          <cell r="J1227">
            <v>0</v>
          </cell>
          <cell r="K1227">
            <v>0</v>
          </cell>
          <cell r="L1227">
            <v>10</v>
          </cell>
          <cell r="M1227" t="str">
            <v>莲花</v>
          </cell>
        </row>
        <row r="1228">
          <cell r="B1228" t="str">
            <v>孙玉色 Total</v>
          </cell>
          <cell r="L1228">
            <v>10</v>
          </cell>
        </row>
        <row r="1229">
          <cell r="A1229" t="str">
            <v>350718</v>
          </cell>
          <cell r="B1229" t="str">
            <v>太子化工</v>
          </cell>
          <cell r="C1229" t="str">
            <v>三资</v>
          </cell>
          <cell r="D1229" t="str">
            <v>工业</v>
          </cell>
          <cell r="E1229" t="str">
            <v>抵押贷款</v>
          </cell>
          <cell r="F1229">
            <v>37349</v>
          </cell>
          <cell r="G1229">
            <v>37683</v>
          </cell>
          <cell r="H1229">
            <v>0</v>
          </cell>
          <cell r="I1229">
            <v>100</v>
          </cell>
          <cell r="J1229">
            <v>0</v>
          </cell>
          <cell r="K1229">
            <v>0</v>
          </cell>
          <cell r="L1229">
            <v>100</v>
          </cell>
          <cell r="M1229" t="str">
            <v>湖里</v>
          </cell>
        </row>
        <row r="1230">
          <cell r="A1230" t="str">
            <v>350771</v>
          </cell>
          <cell r="B1230" t="str">
            <v>太子化工</v>
          </cell>
          <cell r="C1230" t="str">
            <v>三资</v>
          </cell>
          <cell r="D1230" t="str">
            <v>工业</v>
          </cell>
          <cell r="E1230" t="str">
            <v>抵押贷款</v>
          </cell>
          <cell r="F1230">
            <v>37405</v>
          </cell>
          <cell r="G1230">
            <v>37770</v>
          </cell>
          <cell r="H1230">
            <v>0</v>
          </cell>
          <cell r="I1230">
            <v>100</v>
          </cell>
          <cell r="J1230">
            <v>0</v>
          </cell>
          <cell r="K1230">
            <v>0</v>
          </cell>
          <cell r="L1230">
            <v>100</v>
          </cell>
          <cell r="M1230" t="str">
            <v>湖里</v>
          </cell>
        </row>
        <row r="1231">
          <cell r="A1231" t="str">
            <v>350830</v>
          </cell>
          <cell r="B1231" t="str">
            <v>太子化工</v>
          </cell>
          <cell r="C1231" t="str">
            <v>三资</v>
          </cell>
          <cell r="D1231" t="str">
            <v>工业</v>
          </cell>
          <cell r="E1231" t="str">
            <v>抵押贷款</v>
          </cell>
          <cell r="F1231">
            <v>37449</v>
          </cell>
          <cell r="G1231">
            <v>37784</v>
          </cell>
          <cell r="H1231">
            <v>0</v>
          </cell>
          <cell r="I1231">
            <v>150</v>
          </cell>
          <cell r="J1231">
            <v>0</v>
          </cell>
          <cell r="K1231">
            <v>0</v>
          </cell>
          <cell r="L1231">
            <v>150</v>
          </cell>
          <cell r="M1231" t="str">
            <v>湖里</v>
          </cell>
        </row>
        <row r="1232">
          <cell r="A1232" t="str">
            <v>350629</v>
          </cell>
          <cell r="B1232" t="str">
            <v>太子化工</v>
          </cell>
          <cell r="C1232" t="str">
            <v>三资</v>
          </cell>
          <cell r="D1232" t="str">
            <v>工业</v>
          </cell>
          <cell r="E1232" t="str">
            <v>抵押贷款</v>
          </cell>
          <cell r="F1232">
            <v>37252</v>
          </cell>
          <cell r="G1232">
            <v>37587</v>
          </cell>
          <cell r="H1232">
            <v>0</v>
          </cell>
          <cell r="I1232">
            <v>0</v>
          </cell>
          <cell r="J1232">
            <v>0</v>
          </cell>
          <cell r="K1232">
            <v>0</v>
          </cell>
          <cell r="L1232">
            <v>200</v>
          </cell>
          <cell r="M1232" t="str">
            <v>湖里</v>
          </cell>
        </row>
        <row r="1233">
          <cell r="B1233" t="str">
            <v>太子化工 Total</v>
          </cell>
          <cell r="L1233">
            <v>550</v>
          </cell>
        </row>
        <row r="1234">
          <cell r="A1234" t="str">
            <v>22305</v>
          </cell>
          <cell r="B1234" t="str">
            <v>特华商贸有限公司</v>
          </cell>
          <cell r="C1234" t="str">
            <v>外事</v>
          </cell>
          <cell r="D1234" t="str">
            <v>商贸</v>
          </cell>
          <cell r="E1234" t="str">
            <v>保证贷款</v>
          </cell>
          <cell r="F1234">
            <v>37404</v>
          </cell>
          <cell r="G1234">
            <v>37588</v>
          </cell>
          <cell r="H1234">
            <v>0</v>
          </cell>
          <cell r="I1234">
            <v>17</v>
          </cell>
          <cell r="J1234">
            <v>0</v>
          </cell>
          <cell r="K1234">
            <v>0</v>
          </cell>
          <cell r="L1234">
            <v>17</v>
          </cell>
          <cell r="M1234" t="str">
            <v>江头</v>
          </cell>
        </row>
        <row r="1235">
          <cell r="A1235" t="str">
            <v>22320</v>
          </cell>
          <cell r="B1235" t="str">
            <v>特华商贸有限公司</v>
          </cell>
          <cell r="C1235" t="str">
            <v>外事</v>
          </cell>
          <cell r="D1235" t="str">
            <v>商贸</v>
          </cell>
          <cell r="E1235" t="str">
            <v>保证贷款</v>
          </cell>
          <cell r="F1235">
            <v>37459</v>
          </cell>
          <cell r="G1235">
            <v>37643</v>
          </cell>
          <cell r="H1235">
            <v>0</v>
          </cell>
          <cell r="I1235">
            <v>42</v>
          </cell>
          <cell r="J1235">
            <v>0</v>
          </cell>
          <cell r="K1235">
            <v>0</v>
          </cell>
          <cell r="L1235">
            <v>42</v>
          </cell>
          <cell r="M1235" t="str">
            <v>江头</v>
          </cell>
        </row>
        <row r="1236">
          <cell r="B1236" t="str">
            <v>特华商贸有限公司 Total</v>
          </cell>
          <cell r="L1236">
            <v>59</v>
          </cell>
        </row>
        <row r="1237">
          <cell r="A1237" t="str">
            <v>MT0205</v>
          </cell>
          <cell r="B1237" t="str">
            <v>腾飞塑料厂</v>
          </cell>
          <cell r="C1237" t="str">
            <v>集体</v>
          </cell>
          <cell r="D1237" t="str">
            <v>工业</v>
          </cell>
          <cell r="E1237" t="str">
            <v>票据贴现</v>
          </cell>
          <cell r="F1237">
            <v>37544</v>
          </cell>
          <cell r="G1237">
            <v>37679</v>
          </cell>
          <cell r="H1237">
            <v>0</v>
          </cell>
          <cell r="I1237">
            <v>10</v>
          </cell>
          <cell r="J1237">
            <v>0</v>
          </cell>
          <cell r="K1237">
            <v>0</v>
          </cell>
          <cell r="L1237">
            <v>10</v>
          </cell>
          <cell r="M1237" t="str">
            <v>马巷</v>
          </cell>
        </row>
        <row r="1238">
          <cell r="B1238" t="str">
            <v>腾飞塑料厂 Total</v>
          </cell>
          <cell r="L1238">
            <v>10</v>
          </cell>
        </row>
        <row r="1239">
          <cell r="A1239" t="str">
            <v>13040</v>
          </cell>
          <cell r="B1239" t="str">
            <v>腾龙贸易公司</v>
          </cell>
          <cell r="C1239" t="str">
            <v>国营</v>
          </cell>
          <cell r="D1239" t="str">
            <v>商贸</v>
          </cell>
          <cell r="E1239" t="str">
            <v>保证贷款</v>
          </cell>
          <cell r="F1239">
            <v>35062</v>
          </cell>
          <cell r="G1239">
            <v>35306</v>
          </cell>
          <cell r="H1239">
            <v>0</v>
          </cell>
          <cell r="I1239">
            <v>0</v>
          </cell>
          <cell r="J1239">
            <v>0</v>
          </cell>
          <cell r="K1239">
            <v>0</v>
          </cell>
          <cell r="L1239">
            <v>30</v>
          </cell>
          <cell r="M1239" t="str">
            <v>同安</v>
          </cell>
        </row>
        <row r="1240">
          <cell r="B1240" t="str">
            <v>腾龙贸易公司 Total</v>
          </cell>
          <cell r="L1240">
            <v>30</v>
          </cell>
        </row>
        <row r="1241">
          <cell r="A1241" t="str">
            <v>200264</v>
          </cell>
          <cell r="B1241" t="str">
            <v>天福卫生香厂</v>
          </cell>
          <cell r="C1241" t="str">
            <v>集体</v>
          </cell>
          <cell r="D1241" t="str">
            <v>工业</v>
          </cell>
          <cell r="E1241" t="str">
            <v>保证贷款</v>
          </cell>
          <cell r="F1241">
            <v>37560</v>
          </cell>
          <cell r="G1241">
            <v>37864</v>
          </cell>
          <cell r="H1241">
            <v>85</v>
          </cell>
          <cell r="I1241">
            <v>85</v>
          </cell>
          <cell r="J1241">
            <v>0</v>
          </cell>
          <cell r="K1241">
            <v>0</v>
          </cell>
          <cell r="L1241">
            <v>85</v>
          </cell>
          <cell r="M1241" t="str">
            <v>同安</v>
          </cell>
        </row>
        <row r="1242">
          <cell r="B1242" t="str">
            <v>天福卫生香厂 Total</v>
          </cell>
          <cell r="L1242">
            <v>85</v>
          </cell>
        </row>
        <row r="1243">
          <cell r="A1243" t="str">
            <v>237243</v>
          </cell>
          <cell r="B1243" t="str">
            <v>天河企业公司</v>
          </cell>
          <cell r="C1243" t="str">
            <v>集体</v>
          </cell>
          <cell r="D1243" t="str">
            <v>其它</v>
          </cell>
          <cell r="E1243" t="str">
            <v>抵押贷款</v>
          </cell>
          <cell r="F1243">
            <v>35642</v>
          </cell>
          <cell r="G1243">
            <v>35855</v>
          </cell>
          <cell r="H1243">
            <v>0</v>
          </cell>
          <cell r="I1243">
            <v>0</v>
          </cell>
          <cell r="J1243">
            <v>0</v>
          </cell>
          <cell r="K1243">
            <v>0</v>
          </cell>
          <cell r="L1243">
            <v>60</v>
          </cell>
          <cell r="M1243" t="str">
            <v>同安</v>
          </cell>
        </row>
        <row r="1244">
          <cell r="A1244" t="str">
            <v>227127</v>
          </cell>
          <cell r="B1244" t="str">
            <v>天河企业公司</v>
          </cell>
          <cell r="C1244" t="str">
            <v>集体</v>
          </cell>
          <cell r="D1244" t="str">
            <v>商贸</v>
          </cell>
          <cell r="E1244" t="str">
            <v>保证贷款</v>
          </cell>
          <cell r="F1244">
            <v>35554</v>
          </cell>
          <cell r="G1244">
            <v>35768</v>
          </cell>
          <cell r="H1244">
            <v>0</v>
          </cell>
          <cell r="I1244">
            <v>0</v>
          </cell>
          <cell r="J1244">
            <v>0</v>
          </cell>
          <cell r="K1244">
            <v>0</v>
          </cell>
          <cell r="L1244">
            <v>15</v>
          </cell>
          <cell r="M1244" t="str">
            <v>同安</v>
          </cell>
        </row>
        <row r="1245">
          <cell r="B1245" t="str">
            <v>天河企业公司 Total</v>
          </cell>
          <cell r="L1245">
            <v>75</v>
          </cell>
        </row>
        <row r="1246">
          <cell r="A1246" t="str">
            <v>021318</v>
          </cell>
          <cell r="B1246" t="str">
            <v>天津大丰橡胶工业公司</v>
          </cell>
          <cell r="C1246" t="str">
            <v>三资</v>
          </cell>
          <cell r="D1246" t="str">
            <v>工业</v>
          </cell>
          <cell r="E1246" t="str">
            <v>保证贷款</v>
          </cell>
          <cell r="F1246">
            <v>37446</v>
          </cell>
          <cell r="G1246">
            <v>37811</v>
          </cell>
          <cell r="H1246">
            <v>0</v>
          </cell>
          <cell r="I1246">
            <v>600</v>
          </cell>
          <cell r="J1246">
            <v>0</v>
          </cell>
          <cell r="K1246">
            <v>0</v>
          </cell>
          <cell r="L1246">
            <v>600</v>
          </cell>
          <cell r="M1246" t="str">
            <v>杏林</v>
          </cell>
        </row>
        <row r="1247">
          <cell r="A1247" t="str">
            <v>021320</v>
          </cell>
          <cell r="B1247" t="str">
            <v>天津大丰橡胶工业公司</v>
          </cell>
          <cell r="C1247" t="str">
            <v>三资</v>
          </cell>
          <cell r="D1247" t="str">
            <v>工业</v>
          </cell>
          <cell r="E1247" t="str">
            <v>保证贷款</v>
          </cell>
          <cell r="F1247">
            <v>37496</v>
          </cell>
          <cell r="G1247">
            <v>37861</v>
          </cell>
          <cell r="H1247">
            <v>0</v>
          </cell>
          <cell r="I1247">
            <v>900</v>
          </cell>
          <cell r="J1247">
            <v>0</v>
          </cell>
          <cell r="K1247">
            <v>0</v>
          </cell>
          <cell r="L1247">
            <v>900</v>
          </cell>
          <cell r="M1247" t="str">
            <v>杏林</v>
          </cell>
        </row>
        <row r="1248">
          <cell r="A1248" t="str">
            <v>021328</v>
          </cell>
          <cell r="B1248" t="str">
            <v>天津大丰橡胶工业公司</v>
          </cell>
          <cell r="C1248" t="str">
            <v>三资</v>
          </cell>
          <cell r="D1248" t="str">
            <v>工业</v>
          </cell>
          <cell r="E1248" t="str">
            <v>保证贷款</v>
          </cell>
          <cell r="F1248">
            <v>37559</v>
          </cell>
          <cell r="G1248">
            <v>37924</v>
          </cell>
          <cell r="H1248">
            <v>900</v>
          </cell>
          <cell r="I1248">
            <v>900</v>
          </cell>
          <cell r="J1248">
            <v>0</v>
          </cell>
          <cell r="K1248">
            <v>0</v>
          </cell>
          <cell r="L1248">
            <v>900</v>
          </cell>
          <cell r="M1248" t="str">
            <v>杏林</v>
          </cell>
        </row>
        <row r="1249">
          <cell r="B1249" t="str">
            <v>天津大丰橡胶工业公司 Total</v>
          </cell>
          <cell r="L1249">
            <v>2400</v>
          </cell>
        </row>
        <row r="1250">
          <cell r="A1250" t="str">
            <v>000086</v>
          </cell>
          <cell r="B1250" t="str">
            <v>天马工程</v>
          </cell>
          <cell r="C1250" t="str">
            <v>其它</v>
          </cell>
          <cell r="D1250" t="str">
            <v>工业</v>
          </cell>
          <cell r="E1250" t="str">
            <v>抵押贷款</v>
          </cell>
          <cell r="F1250">
            <v>37419</v>
          </cell>
          <cell r="G1250">
            <v>38145</v>
          </cell>
          <cell r="H1250">
            <v>0</v>
          </cell>
          <cell r="I1250">
            <v>6.72</v>
          </cell>
          <cell r="J1250">
            <v>0.27</v>
          </cell>
          <cell r="K1250">
            <v>1.08</v>
          </cell>
          <cell r="L1250">
            <v>5.64</v>
          </cell>
          <cell r="M1250" t="str">
            <v>康乐</v>
          </cell>
        </row>
        <row r="1251">
          <cell r="B1251" t="str">
            <v>天马工程 Total</v>
          </cell>
          <cell r="L1251">
            <v>5.64</v>
          </cell>
        </row>
        <row r="1252">
          <cell r="A1252" t="str">
            <v>127236</v>
          </cell>
          <cell r="B1252" t="str">
            <v>天盛经贸发展公司</v>
          </cell>
          <cell r="C1252" t="str">
            <v>国营</v>
          </cell>
          <cell r="D1252" t="str">
            <v>商贸</v>
          </cell>
          <cell r="E1252" t="str">
            <v>保证贷款</v>
          </cell>
          <cell r="F1252">
            <v>35642</v>
          </cell>
          <cell r="G1252">
            <v>35855</v>
          </cell>
          <cell r="H1252">
            <v>0</v>
          </cell>
          <cell r="I1252">
            <v>0</v>
          </cell>
          <cell r="J1252">
            <v>0</v>
          </cell>
          <cell r="K1252">
            <v>0</v>
          </cell>
          <cell r="L1252">
            <v>200</v>
          </cell>
          <cell r="M1252" t="str">
            <v>同安</v>
          </cell>
        </row>
        <row r="1253">
          <cell r="B1253" t="str">
            <v>天盛经贸发展公司 Total</v>
          </cell>
          <cell r="L1253">
            <v>200</v>
          </cell>
        </row>
        <row r="1254">
          <cell r="A1254" t="str">
            <v>0023</v>
          </cell>
          <cell r="B1254" t="str">
            <v>天盛天贸易有限公司</v>
          </cell>
          <cell r="C1254" t="str">
            <v>集体</v>
          </cell>
          <cell r="D1254" t="str">
            <v>商贸</v>
          </cell>
          <cell r="E1254" t="str">
            <v>保证贷款</v>
          </cell>
          <cell r="F1254">
            <v>36934</v>
          </cell>
          <cell r="G1254">
            <v>37115</v>
          </cell>
          <cell r="H1254">
            <v>0</v>
          </cell>
          <cell r="I1254">
            <v>0</v>
          </cell>
          <cell r="J1254">
            <v>0</v>
          </cell>
          <cell r="K1254">
            <v>0</v>
          </cell>
          <cell r="L1254">
            <v>5</v>
          </cell>
          <cell r="M1254" t="str">
            <v>莲花</v>
          </cell>
        </row>
        <row r="1255">
          <cell r="A1255" t="str">
            <v>0022</v>
          </cell>
          <cell r="B1255" t="str">
            <v>天盛天贸易有限公司</v>
          </cell>
          <cell r="C1255" t="str">
            <v>集体</v>
          </cell>
          <cell r="D1255" t="str">
            <v>商贸</v>
          </cell>
          <cell r="E1255" t="str">
            <v>保证贷款</v>
          </cell>
          <cell r="F1255">
            <v>36934</v>
          </cell>
          <cell r="G1255">
            <v>37115</v>
          </cell>
          <cell r="H1255">
            <v>0</v>
          </cell>
          <cell r="I1255">
            <v>0</v>
          </cell>
          <cell r="J1255">
            <v>0</v>
          </cell>
          <cell r="K1255">
            <v>0</v>
          </cell>
          <cell r="L1255">
            <v>7.5</v>
          </cell>
          <cell r="M1255" t="str">
            <v>莲花</v>
          </cell>
        </row>
        <row r="1256">
          <cell r="A1256" t="str">
            <v>0027</v>
          </cell>
          <cell r="B1256" t="str">
            <v>天盛天贸易有限公司</v>
          </cell>
          <cell r="C1256" t="str">
            <v>集体</v>
          </cell>
          <cell r="D1256" t="str">
            <v>商贸</v>
          </cell>
          <cell r="E1256" t="str">
            <v>保证贷款</v>
          </cell>
          <cell r="F1256">
            <v>37064</v>
          </cell>
          <cell r="G1256">
            <v>37247</v>
          </cell>
          <cell r="H1256">
            <v>0</v>
          </cell>
          <cell r="I1256">
            <v>0</v>
          </cell>
          <cell r="J1256">
            <v>0</v>
          </cell>
          <cell r="K1256">
            <v>0</v>
          </cell>
          <cell r="L1256">
            <v>7.5</v>
          </cell>
          <cell r="M1256" t="str">
            <v>莲花</v>
          </cell>
        </row>
        <row r="1257">
          <cell r="A1257" t="str">
            <v>0021</v>
          </cell>
          <cell r="B1257" t="str">
            <v>天盛天贸易有限公司</v>
          </cell>
          <cell r="C1257" t="str">
            <v>集体</v>
          </cell>
          <cell r="D1257" t="str">
            <v>商贸</v>
          </cell>
          <cell r="E1257" t="str">
            <v>保证贷款</v>
          </cell>
          <cell r="F1257">
            <v>36934</v>
          </cell>
          <cell r="G1257">
            <v>37115</v>
          </cell>
          <cell r="H1257">
            <v>0</v>
          </cell>
          <cell r="I1257">
            <v>0</v>
          </cell>
          <cell r="J1257">
            <v>0</v>
          </cell>
          <cell r="K1257">
            <v>0</v>
          </cell>
          <cell r="L1257">
            <v>10</v>
          </cell>
          <cell r="M1257" t="str">
            <v>莲花</v>
          </cell>
        </row>
        <row r="1258">
          <cell r="A1258" t="str">
            <v>0024</v>
          </cell>
          <cell r="B1258" t="str">
            <v>天盛天贸易有限公司</v>
          </cell>
          <cell r="C1258" t="str">
            <v>集体</v>
          </cell>
          <cell r="D1258" t="str">
            <v>商贸</v>
          </cell>
          <cell r="E1258" t="str">
            <v>保证贷款</v>
          </cell>
          <cell r="F1258">
            <v>36976</v>
          </cell>
          <cell r="G1258">
            <v>37160</v>
          </cell>
          <cell r="H1258">
            <v>0</v>
          </cell>
          <cell r="I1258">
            <v>0</v>
          </cell>
          <cell r="J1258">
            <v>0</v>
          </cell>
          <cell r="K1258">
            <v>0</v>
          </cell>
          <cell r="L1258">
            <v>10</v>
          </cell>
          <cell r="M1258" t="str">
            <v>莲花</v>
          </cell>
        </row>
        <row r="1259">
          <cell r="A1259" t="str">
            <v>0025</v>
          </cell>
          <cell r="B1259" t="str">
            <v>天盛天贸易有限公司</v>
          </cell>
          <cell r="C1259" t="str">
            <v>集体</v>
          </cell>
          <cell r="D1259" t="str">
            <v>商贸</v>
          </cell>
          <cell r="E1259" t="str">
            <v>保证贷款</v>
          </cell>
          <cell r="F1259">
            <v>37007</v>
          </cell>
          <cell r="G1259">
            <v>37190</v>
          </cell>
          <cell r="H1259">
            <v>0</v>
          </cell>
          <cell r="I1259">
            <v>0</v>
          </cell>
          <cell r="J1259">
            <v>0</v>
          </cell>
          <cell r="K1259">
            <v>0</v>
          </cell>
          <cell r="L1259">
            <v>10</v>
          </cell>
          <cell r="M1259" t="str">
            <v>莲花</v>
          </cell>
        </row>
        <row r="1260">
          <cell r="A1260" t="str">
            <v>0026</v>
          </cell>
          <cell r="B1260" t="str">
            <v>天盛天贸易有限公司</v>
          </cell>
          <cell r="C1260" t="str">
            <v>集体</v>
          </cell>
          <cell r="D1260" t="str">
            <v>商贸</v>
          </cell>
          <cell r="E1260" t="str">
            <v>保证贷款</v>
          </cell>
          <cell r="F1260">
            <v>37042</v>
          </cell>
          <cell r="G1260">
            <v>37226</v>
          </cell>
          <cell r="H1260">
            <v>0</v>
          </cell>
          <cell r="I1260">
            <v>0</v>
          </cell>
          <cell r="J1260">
            <v>0</v>
          </cell>
          <cell r="K1260">
            <v>0</v>
          </cell>
          <cell r="L1260">
            <v>30</v>
          </cell>
          <cell r="M1260" t="str">
            <v>莲花</v>
          </cell>
        </row>
        <row r="1261">
          <cell r="B1261" t="str">
            <v>天盛天贸易有限公司 Total</v>
          </cell>
          <cell r="L1261">
            <v>80</v>
          </cell>
        </row>
        <row r="1262">
          <cell r="A1262" t="str">
            <v>150215</v>
          </cell>
          <cell r="B1262" t="str">
            <v>天宇股份</v>
          </cell>
          <cell r="C1262" t="str">
            <v>国营</v>
          </cell>
          <cell r="D1262" t="str">
            <v>其它</v>
          </cell>
          <cell r="E1262" t="str">
            <v>保证贷款</v>
          </cell>
          <cell r="F1262">
            <v>36158</v>
          </cell>
          <cell r="G1262">
            <v>36458</v>
          </cell>
          <cell r="H1262">
            <v>0</v>
          </cell>
          <cell r="I1262">
            <v>0</v>
          </cell>
          <cell r="J1262">
            <v>0</v>
          </cell>
          <cell r="K1262">
            <v>0</v>
          </cell>
          <cell r="L1262">
            <v>5</v>
          </cell>
          <cell r="M1262" t="str">
            <v>湖里</v>
          </cell>
        </row>
        <row r="1263">
          <cell r="A1263" t="str">
            <v>150225</v>
          </cell>
          <cell r="B1263" t="str">
            <v>天宇股份</v>
          </cell>
          <cell r="C1263" t="str">
            <v>国营</v>
          </cell>
          <cell r="D1263" t="str">
            <v>其它</v>
          </cell>
          <cell r="E1263" t="str">
            <v>保证贷款</v>
          </cell>
          <cell r="F1263">
            <v>36466</v>
          </cell>
          <cell r="G1263">
            <v>36679</v>
          </cell>
          <cell r="H1263">
            <v>0</v>
          </cell>
          <cell r="I1263">
            <v>0</v>
          </cell>
          <cell r="J1263">
            <v>0</v>
          </cell>
          <cell r="K1263">
            <v>0</v>
          </cell>
          <cell r="L1263">
            <v>95</v>
          </cell>
          <cell r="M1263" t="str">
            <v>湖里</v>
          </cell>
        </row>
        <row r="1264">
          <cell r="B1264" t="str">
            <v>天宇股份 Total</v>
          </cell>
          <cell r="L1264">
            <v>100</v>
          </cell>
        </row>
        <row r="1265">
          <cell r="A1265" t="str">
            <v>020095</v>
          </cell>
          <cell r="B1265" t="str">
            <v>天子福(国际)药业公司</v>
          </cell>
          <cell r="C1265" t="str">
            <v>外事</v>
          </cell>
          <cell r="D1265" t="str">
            <v>工业</v>
          </cell>
          <cell r="E1265" t="str">
            <v>抵押贷款</v>
          </cell>
          <cell r="F1265">
            <v>37476</v>
          </cell>
          <cell r="G1265">
            <v>37841</v>
          </cell>
          <cell r="H1265">
            <v>0</v>
          </cell>
          <cell r="I1265">
            <v>450</v>
          </cell>
          <cell r="J1265">
            <v>0</v>
          </cell>
          <cell r="K1265">
            <v>0</v>
          </cell>
          <cell r="L1265">
            <v>450</v>
          </cell>
          <cell r="M1265" t="str">
            <v>东区</v>
          </cell>
        </row>
        <row r="1266">
          <cell r="B1266" t="str">
            <v>天子福(国际)药业公司 Total</v>
          </cell>
          <cell r="L1266">
            <v>450</v>
          </cell>
        </row>
        <row r="1267">
          <cell r="A1267" t="str">
            <v>217267</v>
          </cell>
          <cell r="B1267" t="str">
            <v>汀溪千果蜜饯食品厂</v>
          </cell>
          <cell r="C1267" t="str">
            <v>集体</v>
          </cell>
          <cell r="D1267" t="str">
            <v>工业</v>
          </cell>
          <cell r="E1267" t="str">
            <v>保证贷款</v>
          </cell>
          <cell r="F1267">
            <v>35671</v>
          </cell>
          <cell r="G1267">
            <v>35886</v>
          </cell>
          <cell r="H1267">
            <v>0</v>
          </cell>
          <cell r="I1267">
            <v>0</v>
          </cell>
          <cell r="J1267">
            <v>0</v>
          </cell>
          <cell r="K1267">
            <v>0</v>
          </cell>
          <cell r="L1267">
            <v>30</v>
          </cell>
          <cell r="M1267" t="str">
            <v>同安</v>
          </cell>
        </row>
        <row r="1268">
          <cell r="B1268" t="str">
            <v>汀溪千果蜜饯食品厂 Total</v>
          </cell>
          <cell r="L1268">
            <v>30</v>
          </cell>
        </row>
        <row r="1269">
          <cell r="A1269" t="str">
            <v>237229</v>
          </cell>
          <cell r="B1269" t="str">
            <v>汀溪兴达果林场</v>
          </cell>
          <cell r="C1269" t="str">
            <v>集体</v>
          </cell>
          <cell r="D1269" t="str">
            <v>工业</v>
          </cell>
          <cell r="E1269" t="str">
            <v>保证贷款</v>
          </cell>
          <cell r="F1269">
            <v>35640</v>
          </cell>
          <cell r="G1269">
            <v>35855</v>
          </cell>
          <cell r="H1269">
            <v>0</v>
          </cell>
          <cell r="I1269">
            <v>0</v>
          </cell>
          <cell r="J1269">
            <v>0</v>
          </cell>
          <cell r="K1269">
            <v>0</v>
          </cell>
          <cell r="L1269">
            <v>11</v>
          </cell>
          <cell r="M1269" t="str">
            <v>同安</v>
          </cell>
        </row>
        <row r="1270">
          <cell r="B1270" t="str">
            <v>汀溪兴达果林场 Total</v>
          </cell>
          <cell r="L1270">
            <v>11</v>
          </cell>
        </row>
        <row r="1271">
          <cell r="A1271" t="str">
            <v>250824</v>
          </cell>
          <cell r="B1271" t="str">
            <v>通兴达旅游用品</v>
          </cell>
          <cell r="C1271" t="str">
            <v>集体</v>
          </cell>
          <cell r="D1271" t="str">
            <v>工业</v>
          </cell>
          <cell r="E1271" t="str">
            <v>票据贴现</v>
          </cell>
          <cell r="F1271">
            <v>37552</v>
          </cell>
          <cell r="G1271">
            <v>37590</v>
          </cell>
          <cell r="H1271">
            <v>9.61</v>
          </cell>
          <cell r="I1271">
            <v>9.61</v>
          </cell>
          <cell r="J1271">
            <v>0</v>
          </cell>
          <cell r="K1271">
            <v>0</v>
          </cell>
          <cell r="L1271">
            <v>9.61</v>
          </cell>
          <cell r="M1271" t="str">
            <v>湖里</v>
          </cell>
        </row>
        <row r="1272">
          <cell r="B1272" t="str">
            <v>通兴达旅游用品 Total</v>
          </cell>
          <cell r="L1272">
            <v>9.61</v>
          </cell>
        </row>
        <row r="1273">
          <cell r="A1273" t="str">
            <v>201100</v>
          </cell>
          <cell r="B1273" t="str">
            <v>同安宾馆</v>
          </cell>
          <cell r="C1273" t="str">
            <v>集体</v>
          </cell>
          <cell r="D1273" t="str">
            <v>工业</v>
          </cell>
          <cell r="E1273" t="str">
            <v>抵押贷款</v>
          </cell>
          <cell r="F1273">
            <v>37210</v>
          </cell>
          <cell r="G1273">
            <v>37575</v>
          </cell>
          <cell r="H1273">
            <v>0</v>
          </cell>
          <cell r="I1273">
            <v>0</v>
          </cell>
          <cell r="J1273">
            <v>7</v>
          </cell>
          <cell r="K1273">
            <v>20</v>
          </cell>
          <cell r="L1273">
            <v>110</v>
          </cell>
          <cell r="M1273" t="str">
            <v>同安</v>
          </cell>
        </row>
        <row r="1274">
          <cell r="B1274" t="str">
            <v>同安宾馆 Total</v>
          </cell>
          <cell r="L1274">
            <v>110</v>
          </cell>
        </row>
        <row r="1275">
          <cell r="A1275" t="str">
            <v>237326</v>
          </cell>
          <cell r="B1275" t="str">
            <v>同安大溪果场</v>
          </cell>
          <cell r="C1275" t="str">
            <v>集体</v>
          </cell>
          <cell r="D1275" t="str">
            <v>其它</v>
          </cell>
          <cell r="E1275" t="str">
            <v>保证贷款</v>
          </cell>
          <cell r="F1275">
            <v>35733</v>
          </cell>
          <cell r="G1275">
            <v>35945</v>
          </cell>
          <cell r="H1275">
            <v>0</v>
          </cell>
          <cell r="I1275">
            <v>0</v>
          </cell>
          <cell r="J1275">
            <v>0</v>
          </cell>
          <cell r="K1275">
            <v>0</v>
          </cell>
          <cell r="L1275">
            <v>200</v>
          </cell>
          <cell r="M1275" t="str">
            <v>同安</v>
          </cell>
        </row>
        <row r="1276">
          <cell r="B1276" t="str">
            <v>同安大溪果场 Total</v>
          </cell>
          <cell r="L1276">
            <v>200</v>
          </cell>
        </row>
        <row r="1277">
          <cell r="A1277" t="str">
            <v>t02120</v>
          </cell>
          <cell r="B1277" t="str">
            <v>同安丰达茶叶</v>
          </cell>
          <cell r="C1277" t="str">
            <v>集体</v>
          </cell>
          <cell r="D1277" t="str">
            <v>工业</v>
          </cell>
          <cell r="E1277" t="str">
            <v>票据贴现</v>
          </cell>
          <cell r="F1277">
            <v>37559</v>
          </cell>
          <cell r="G1277">
            <v>37645</v>
          </cell>
          <cell r="H1277">
            <v>19.489999999999998</v>
          </cell>
          <cell r="I1277">
            <v>19.489999999999998</v>
          </cell>
          <cell r="J1277">
            <v>0</v>
          </cell>
          <cell r="K1277">
            <v>0</v>
          </cell>
          <cell r="L1277">
            <v>19.489999999999998</v>
          </cell>
          <cell r="M1277" t="str">
            <v>文滨</v>
          </cell>
        </row>
        <row r="1278">
          <cell r="A1278" t="str">
            <v>t02097</v>
          </cell>
          <cell r="B1278" t="str">
            <v>同安丰达茶叶</v>
          </cell>
          <cell r="C1278" t="str">
            <v>集体</v>
          </cell>
          <cell r="D1278" t="str">
            <v>工业</v>
          </cell>
          <cell r="E1278" t="str">
            <v>票据贴现</v>
          </cell>
          <cell r="F1278">
            <v>37501</v>
          </cell>
          <cell r="G1278">
            <v>37590</v>
          </cell>
          <cell r="H1278">
            <v>0</v>
          </cell>
          <cell r="I1278">
            <v>26.94</v>
          </cell>
          <cell r="J1278">
            <v>0</v>
          </cell>
          <cell r="K1278">
            <v>0</v>
          </cell>
          <cell r="L1278">
            <v>26.94</v>
          </cell>
          <cell r="M1278" t="str">
            <v>文滨</v>
          </cell>
        </row>
        <row r="1279">
          <cell r="B1279" t="str">
            <v>同安丰达茶叶 Total</v>
          </cell>
          <cell r="L1279">
            <v>46.43</v>
          </cell>
        </row>
        <row r="1280">
          <cell r="A1280" t="str">
            <v>237224</v>
          </cell>
          <cell r="B1280" t="str">
            <v>同安宏益石油公司</v>
          </cell>
          <cell r="C1280" t="str">
            <v>集体</v>
          </cell>
          <cell r="D1280" t="str">
            <v>其它</v>
          </cell>
          <cell r="E1280" t="str">
            <v>抵押贷款</v>
          </cell>
          <cell r="F1280">
            <v>35639</v>
          </cell>
          <cell r="G1280">
            <v>35855</v>
          </cell>
          <cell r="H1280">
            <v>0</v>
          </cell>
          <cell r="I1280">
            <v>0</v>
          </cell>
          <cell r="J1280">
            <v>0</v>
          </cell>
          <cell r="K1280">
            <v>0</v>
          </cell>
          <cell r="L1280">
            <v>80</v>
          </cell>
          <cell r="M1280" t="str">
            <v>同安</v>
          </cell>
        </row>
        <row r="1281">
          <cell r="B1281" t="str">
            <v>同安宏益石油公司 Total</v>
          </cell>
          <cell r="L1281">
            <v>80</v>
          </cell>
        </row>
        <row r="1282">
          <cell r="A1282" t="str">
            <v>001</v>
          </cell>
          <cell r="B1282" t="str">
            <v>同安华丰面粉有限公司</v>
          </cell>
          <cell r="C1282" t="str">
            <v>集体</v>
          </cell>
          <cell r="D1282" t="str">
            <v>工业</v>
          </cell>
          <cell r="E1282" t="str">
            <v>保证贷款</v>
          </cell>
          <cell r="F1282">
            <v>37406</v>
          </cell>
          <cell r="G1282">
            <v>37710</v>
          </cell>
          <cell r="H1282">
            <v>0</v>
          </cell>
          <cell r="I1282">
            <v>130</v>
          </cell>
          <cell r="J1282">
            <v>0</v>
          </cell>
          <cell r="K1282">
            <v>0</v>
          </cell>
          <cell r="L1282">
            <v>130</v>
          </cell>
          <cell r="M1282" t="str">
            <v>马巷</v>
          </cell>
        </row>
        <row r="1283">
          <cell r="A1283" t="str">
            <v>MX0208</v>
          </cell>
          <cell r="B1283" t="str">
            <v>同安华丰面粉有限公司</v>
          </cell>
          <cell r="C1283" t="str">
            <v>三资</v>
          </cell>
          <cell r="D1283" t="str">
            <v>工业</v>
          </cell>
          <cell r="E1283" t="str">
            <v>抵押贷款</v>
          </cell>
          <cell r="F1283">
            <v>37511</v>
          </cell>
          <cell r="G1283">
            <v>37814</v>
          </cell>
          <cell r="H1283">
            <v>0</v>
          </cell>
          <cell r="I1283">
            <v>130</v>
          </cell>
          <cell r="J1283">
            <v>0</v>
          </cell>
          <cell r="K1283">
            <v>0</v>
          </cell>
          <cell r="L1283">
            <v>130</v>
          </cell>
          <cell r="M1283" t="str">
            <v>马巷</v>
          </cell>
        </row>
        <row r="1284">
          <cell r="B1284" t="str">
            <v>同安华丰面粉有限公司 Total</v>
          </cell>
          <cell r="L1284">
            <v>260</v>
          </cell>
        </row>
        <row r="1285">
          <cell r="A1285" t="str">
            <v>228048</v>
          </cell>
          <cell r="B1285" t="str">
            <v>同安嘉盛贸易有限公司</v>
          </cell>
          <cell r="C1285" t="str">
            <v>集体</v>
          </cell>
          <cell r="D1285" t="str">
            <v>商贸</v>
          </cell>
          <cell r="E1285" t="str">
            <v>保证贷款</v>
          </cell>
          <cell r="F1285">
            <v>35936</v>
          </cell>
          <cell r="G1285">
            <v>36271</v>
          </cell>
          <cell r="H1285">
            <v>0</v>
          </cell>
          <cell r="I1285">
            <v>0</v>
          </cell>
          <cell r="J1285">
            <v>0</v>
          </cell>
          <cell r="K1285">
            <v>0</v>
          </cell>
          <cell r="L1285">
            <v>4.04</v>
          </cell>
          <cell r="M1285" t="str">
            <v>同安</v>
          </cell>
        </row>
        <row r="1286">
          <cell r="B1286" t="str">
            <v>同安嘉盛贸易有限公司 Total</v>
          </cell>
          <cell r="L1286">
            <v>4.04</v>
          </cell>
        </row>
        <row r="1287">
          <cell r="A1287" t="str">
            <v>200202</v>
          </cell>
          <cell r="B1287" t="str">
            <v>同安金安饲料加工厂</v>
          </cell>
          <cell r="C1287" t="str">
            <v>集体</v>
          </cell>
          <cell r="D1287" t="str">
            <v>工业</v>
          </cell>
          <cell r="E1287" t="str">
            <v>保证贷款</v>
          </cell>
          <cell r="F1287">
            <v>37295</v>
          </cell>
          <cell r="G1287">
            <v>37507</v>
          </cell>
          <cell r="H1287">
            <v>0</v>
          </cell>
          <cell r="I1287">
            <v>100</v>
          </cell>
          <cell r="J1287">
            <v>0</v>
          </cell>
          <cell r="K1287">
            <v>0</v>
          </cell>
          <cell r="L1287">
            <v>100</v>
          </cell>
          <cell r="M1287" t="str">
            <v>同安</v>
          </cell>
        </row>
        <row r="1288">
          <cell r="B1288" t="str">
            <v>同安金安饲料加工厂 Total</v>
          </cell>
          <cell r="L1288">
            <v>100</v>
          </cell>
        </row>
        <row r="1289">
          <cell r="A1289" t="str">
            <v>200252</v>
          </cell>
          <cell r="B1289" t="str">
            <v>同安联通对台公司</v>
          </cell>
          <cell r="C1289" t="str">
            <v>国营</v>
          </cell>
          <cell r="D1289" t="str">
            <v>商贸</v>
          </cell>
          <cell r="E1289" t="str">
            <v>保证贷款</v>
          </cell>
          <cell r="F1289">
            <v>37440</v>
          </cell>
          <cell r="G1289">
            <v>37624</v>
          </cell>
          <cell r="H1289">
            <v>0</v>
          </cell>
          <cell r="I1289">
            <v>50</v>
          </cell>
          <cell r="J1289">
            <v>0</v>
          </cell>
          <cell r="K1289">
            <v>0</v>
          </cell>
          <cell r="L1289">
            <v>50</v>
          </cell>
          <cell r="M1289" t="str">
            <v>同安</v>
          </cell>
        </row>
        <row r="1290">
          <cell r="A1290" t="str">
            <v>200273</v>
          </cell>
          <cell r="B1290" t="str">
            <v>同安联通对台公司</v>
          </cell>
          <cell r="C1290" t="str">
            <v>国营</v>
          </cell>
          <cell r="D1290" t="str">
            <v>商贸</v>
          </cell>
          <cell r="E1290" t="str">
            <v>保证贷款</v>
          </cell>
          <cell r="F1290">
            <v>37560</v>
          </cell>
          <cell r="G1290">
            <v>37925</v>
          </cell>
          <cell r="H1290">
            <v>70</v>
          </cell>
          <cell r="I1290">
            <v>70</v>
          </cell>
          <cell r="J1290">
            <v>0</v>
          </cell>
          <cell r="K1290">
            <v>0</v>
          </cell>
          <cell r="L1290">
            <v>70</v>
          </cell>
          <cell r="M1290" t="str">
            <v>同安</v>
          </cell>
        </row>
        <row r="1291">
          <cell r="A1291" t="str">
            <v>200278</v>
          </cell>
          <cell r="B1291" t="str">
            <v>同安联通对台公司</v>
          </cell>
          <cell r="C1291" t="str">
            <v>国营</v>
          </cell>
          <cell r="D1291" t="str">
            <v>商贸</v>
          </cell>
          <cell r="E1291" t="str">
            <v>保证贷款</v>
          </cell>
          <cell r="F1291">
            <v>37560</v>
          </cell>
          <cell r="G1291">
            <v>37741</v>
          </cell>
          <cell r="H1291">
            <v>158</v>
          </cell>
          <cell r="I1291">
            <v>158</v>
          </cell>
          <cell r="J1291">
            <v>0</v>
          </cell>
          <cell r="K1291">
            <v>0</v>
          </cell>
          <cell r="L1291">
            <v>158</v>
          </cell>
          <cell r="M1291" t="str">
            <v>同安</v>
          </cell>
        </row>
        <row r="1292">
          <cell r="B1292" t="str">
            <v>同安联通对台公司 Total</v>
          </cell>
          <cell r="L1292">
            <v>278</v>
          </cell>
        </row>
        <row r="1293">
          <cell r="A1293" t="str">
            <v>200076</v>
          </cell>
          <cell r="B1293" t="str">
            <v>同安龙腾</v>
          </cell>
          <cell r="C1293" t="str">
            <v>集体</v>
          </cell>
          <cell r="D1293" t="str">
            <v>商贸</v>
          </cell>
          <cell r="E1293" t="str">
            <v>抵押贷款</v>
          </cell>
          <cell r="F1293">
            <v>37525</v>
          </cell>
          <cell r="G1293">
            <v>38254</v>
          </cell>
          <cell r="H1293">
            <v>0</v>
          </cell>
          <cell r="I1293">
            <v>43.8</v>
          </cell>
          <cell r="J1293">
            <v>1.71</v>
          </cell>
          <cell r="K1293">
            <v>1.71</v>
          </cell>
          <cell r="L1293">
            <v>42.09</v>
          </cell>
          <cell r="M1293" t="str">
            <v>新港</v>
          </cell>
        </row>
        <row r="1294">
          <cell r="B1294" t="str">
            <v>同安龙腾 Total</v>
          </cell>
          <cell r="L1294">
            <v>42.09</v>
          </cell>
        </row>
        <row r="1295">
          <cell r="A1295" t="str">
            <v>237287</v>
          </cell>
          <cell r="B1295" t="str">
            <v>同安鹭兴宾馆</v>
          </cell>
          <cell r="C1295" t="str">
            <v>集体</v>
          </cell>
          <cell r="D1295" t="str">
            <v>其它</v>
          </cell>
          <cell r="E1295" t="str">
            <v>保证贷款</v>
          </cell>
          <cell r="F1295">
            <v>35692</v>
          </cell>
          <cell r="G1295">
            <v>35904</v>
          </cell>
          <cell r="H1295">
            <v>0</v>
          </cell>
          <cell r="I1295">
            <v>0</v>
          </cell>
          <cell r="J1295">
            <v>0</v>
          </cell>
          <cell r="K1295">
            <v>0</v>
          </cell>
          <cell r="L1295">
            <v>73</v>
          </cell>
          <cell r="M1295" t="str">
            <v>同安</v>
          </cell>
        </row>
        <row r="1296">
          <cell r="B1296" t="str">
            <v>同安鹭兴宾馆 Total</v>
          </cell>
          <cell r="L1296">
            <v>73</v>
          </cell>
        </row>
        <row r="1297">
          <cell r="A1297" t="str">
            <v>GD3714</v>
          </cell>
          <cell r="B1297" t="str">
            <v>同安妙发食品有限公司</v>
          </cell>
          <cell r="C1297" t="str">
            <v>集体</v>
          </cell>
          <cell r="D1297" t="str">
            <v>工业</v>
          </cell>
          <cell r="E1297" t="str">
            <v>保证贷款</v>
          </cell>
          <cell r="F1297">
            <v>35935</v>
          </cell>
          <cell r="G1297">
            <v>36239</v>
          </cell>
          <cell r="H1297">
            <v>0</v>
          </cell>
          <cell r="I1297">
            <v>0</v>
          </cell>
          <cell r="J1297">
            <v>0</v>
          </cell>
          <cell r="K1297">
            <v>0</v>
          </cell>
          <cell r="L1297">
            <v>10</v>
          </cell>
          <cell r="M1297" t="str">
            <v>马巷</v>
          </cell>
        </row>
        <row r="1298">
          <cell r="B1298" t="str">
            <v>同安妙发食品有限公司 Total</v>
          </cell>
          <cell r="L1298">
            <v>10</v>
          </cell>
        </row>
        <row r="1299">
          <cell r="A1299" t="str">
            <v>217172</v>
          </cell>
          <cell r="B1299" t="str">
            <v>同安闽福餐具厂</v>
          </cell>
          <cell r="C1299" t="str">
            <v>集体</v>
          </cell>
          <cell r="D1299" t="str">
            <v>工业</v>
          </cell>
          <cell r="E1299" t="str">
            <v>保证贷款</v>
          </cell>
          <cell r="F1299">
            <v>35587</v>
          </cell>
          <cell r="G1299">
            <v>35801</v>
          </cell>
          <cell r="H1299">
            <v>0</v>
          </cell>
          <cell r="I1299">
            <v>0</v>
          </cell>
          <cell r="J1299">
            <v>0</v>
          </cell>
          <cell r="K1299">
            <v>0</v>
          </cell>
          <cell r="L1299">
            <v>20</v>
          </cell>
          <cell r="M1299" t="str">
            <v>同安</v>
          </cell>
        </row>
        <row r="1300">
          <cell r="B1300" t="str">
            <v>同安闽福餐具厂 Total</v>
          </cell>
          <cell r="L1300">
            <v>20</v>
          </cell>
        </row>
        <row r="1301">
          <cell r="A1301" t="str">
            <v>170023</v>
          </cell>
          <cell r="B1301" t="str">
            <v>同安区公交通有限公司</v>
          </cell>
          <cell r="C1301" t="str">
            <v>国营</v>
          </cell>
          <cell r="D1301" t="str">
            <v>其它</v>
          </cell>
          <cell r="E1301" t="str">
            <v>保证贷款</v>
          </cell>
          <cell r="F1301">
            <v>37376</v>
          </cell>
          <cell r="G1301">
            <v>37741</v>
          </cell>
          <cell r="H1301">
            <v>0</v>
          </cell>
          <cell r="I1301">
            <v>100</v>
          </cell>
          <cell r="J1301">
            <v>0</v>
          </cell>
          <cell r="K1301">
            <v>0</v>
          </cell>
          <cell r="L1301">
            <v>100</v>
          </cell>
          <cell r="M1301" t="str">
            <v>厦禾</v>
          </cell>
        </row>
        <row r="1302">
          <cell r="B1302" t="str">
            <v>同安区公交通有限公司 Total</v>
          </cell>
          <cell r="L1302">
            <v>100</v>
          </cell>
        </row>
        <row r="1303">
          <cell r="A1303" t="str">
            <v>200178</v>
          </cell>
          <cell r="B1303" t="str">
            <v>同安商会物业管理公司</v>
          </cell>
          <cell r="C1303" t="str">
            <v>国营</v>
          </cell>
          <cell r="D1303" t="str">
            <v>商贸</v>
          </cell>
          <cell r="E1303" t="str">
            <v>抵押贷款</v>
          </cell>
          <cell r="F1303">
            <v>37255</v>
          </cell>
          <cell r="G1303">
            <v>37590</v>
          </cell>
          <cell r="H1303">
            <v>0</v>
          </cell>
          <cell r="I1303">
            <v>0</v>
          </cell>
          <cell r="J1303">
            <v>0</v>
          </cell>
          <cell r="K1303">
            <v>0</v>
          </cell>
          <cell r="L1303">
            <v>100</v>
          </cell>
          <cell r="M1303" t="str">
            <v>同安</v>
          </cell>
        </row>
        <row r="1304">
          <cell r="A1304" t="str">
            <v>200179</v>
          </cell>
          <cell r="B1304" t="str">
            <v>同安商会物业管理公司</v>
          </cell>
          <cell r="C1304" t="str">
            <v>国营</v>
          </cell>
          <cell r="D1304" t="str">
            <v>商贸</v>
          </cell>
          <cell r="E1304" t="str">
            <v>抵押贷款</v>
          </cell>
          <cell r="F1304">
            <v>37255</v>
          </cell>
          <cell r="G1304">
            <v>37559</v>
          </cell>
          <cell r="H1304">
            <v>0</v>
          </cell>
          <cell r="I1304">
            <v>0</v>
          </cell>
          <cell r="J1304">
            <v>0</v>
          </cell>
          <cell r="K1304">
            <v>0</v>
          </cell>
          <cell r="L1304">
            <v>100</v>
          </cell>
          <cell r="M1304" t="str">
            <v>同安</v>
          </cell>
        </row>
        <row r="1305">
          <cell r="A1305" t="str">
            <v>200180</v>
          </cell>
          <cell r="B1305" t="str">
            <v>同安商会物业管理公司</v>
          </cell>
          <cell r="C1305" t="str">
            <v>国营</v>
          </cell>
          <cell r="D1305" t="str">
            <v>商贸</v>
          </cell>
          <cell r="E1305" t="str">
            <v>抵押贷款</v>
          </cell>
          <cell r="F1305">
            <v>37255</v>
          </cell>
          <cell r="G1305">
            <v>37529</v>
          </cell>
          <cell r="H1305">
            <v>0</v>
          </cell>
          <cell r="I1305">
            <v>0</v>
          </cell>
          <cell r="J1305">
            <v>15</v>
          </cell>
          <cell r="K1305">
            <v>15</v>
          </cell>
          <cell r="L1305">
            <v>135</v>
          </cell>
          <cell r="M1305" t="str">
            <v>同安</v>
          </cell>
        </row>
        <row r="1306">
          <cell r="B1306" t="str">
            <v>同安商会物业管理公司 Total</v>
          </cell>
          <cell r="L1306">
            <v>335</v>
          </cell>
        </row>
        <row r="1307">
          <cell r="A1307" t="str">
            <v>128033</v>
          </cell>
          <cell r="B1307" t="str">
            <v>同安物资公司</v>
          </cell>
          <cell r="C1307" t="str">
            <v>国营</v>
          </cell>
          <cell r="D1307" t="str">
            <v>商贸</v>
          </cell>
          <cell r="E1307" t="str">
            <v>保证贷款</v>
          </cell>
          <cell r="F1307">
            <v>35886</v>
          </cell>
          <cell r="G1307">
            <v>35947</v>
          </cell>
          <cell r="H1307">
            <v>0</v>
          </cell>
          <cell r="I1307">
            <v>0</v>
          </cell>
          <cell r="J1307">
            <v>0</v>
          </cell>
          <cell r="K1307">
            <v>0</v>
          </cell>
          <cell r="L1307">
            <v>50</v>
          </cell>
          <cell r="M1307" t="str">
            <v>同安</v>
          </cell>
        </row>
        <row r="1308">
          <cell r="B1308" t="str">
            <v>同安物资公司 Total</v>
          </cell>
          <cell r="L1308">
            <v>50</v>
          </cell>
        </row>
        <row r="1309">
          <cell r="A1309" t="str">
            <v>200030</v>
          </cell>
          <cell r="B1309" t="str">
            <v>同安西柯东阳车队</v>
          </cell>
          <cell r="C1309" t="str">
            <v>集体</v>
          </cell>
          <cell r="D1309" t="str">
            <v>工业</v>
          </cell>
          <cell r="E1309" t="str">
            <v>保证贷款</v>
          </cell>
          <cell r="F1309">
            <v>36860</v>
          </cell>
          <cell r="G1309">
            <v>37164</v>
          </cell>
          <cell r="H1309">
            <v>0</v>
          </cell>
          <cell r="I1309">
            <v>0</v>
          </cell>
          <cell r="J1309">
            <v>0.1</v>
          </cell>
          <cell r="K1309">
            <v>2.13</v>
          </cell>
          <cell r="L1309">
            <v>19.87</v>
          </cell>
          <cell r="M1309" t="str">
            <v>同安</v>
          </cell>
        </row>
        <row r="1310">
          <cell r="B1310" t="str">
            <v>同安西柯东阳车队 Total</v>
          </cell>
          <cell r="L1310">
            <v>19.87</v>
          </cell>
        </row>
        <row r="1311">
          <cell r="A1311" t="str">
            <v>200063</v>
          </cell>
          <cell r="B1311" t="str">
            <v>同安兴宏</v>
          </cell>
          <cell r="C1311" t="str">
            <v>集体</v>
          </cell>
          <cell r="D1311" t="str">
            <v>商贸</v>
          </cell>
          <cell r="E1311" t="str">
            <v>抵押贷款</v>
          </cell>
          <cell r="F1311">
            <v>37498</v>
          </cell>
          <cell r="G1311">
            <v>38220</v>
          </cell>
          <cell r="H1311">
            <v>0</v>
          </cell>
          <cell r="I1311">
            <v>13</v>
          </cell>
          <cell r="J1311">
            <v>0.52</v>
          </cell>
          <cell r="K1311">
            <v>1.03</v>
          </cell>
          <cell r="L1311">
            <v>11.97</v>
          </cell>
          <cell r="M1311" t="str">
            <v>新港</v>
          </cell>
        </row>
        <row r="1312">
          <cell r="B1312" t="str">
            <v>同安兴宏 Total</v>
          </cell>
          <cell r="L1312">
            <v>11.97</v>
          </cell>
        </row>
        <row r="1313">
          <cell r="A1313" t="str">
            <v>200258</v>
          </cell>
          <cell r="B1313" t="str">
            <v>同安兴银实业公司</v>
          </cell>
          <cell r="C1313" t="str">
            <v>集体</v>
          </cell>
          <cell r="D1313" t="str">
            <v>商贸</v>
          </cell>
          <cell r="E1313" t="str">
            <v>保证贷款</v>
          </cell>
          <cell r="F1313">
            <v>37490</v>
          </cell>
          <cell r="G1313">
            <v>37855</v>
          </cell>
          <cell r="H1313">
            <v>0</v>
          </cell>
          <cell r="I1313">
            <v>100</v>
          </cell>
          <cell r="J1313">
            <v>0</v>
          </cell>
          <cell r="K1313">
            <v>0</v>
          </cell>
          <cell r="L1313">
            <v>100</v>
          </cell>
          <cell r="M1313" t="str">
            <v>同安</v>
          </cell>
        </row>
        <row r="1314">
          <cell r="B1314" t="str">
            <v>同安兴银实业公司 Total</v>
          </cell>
          <cell r="L1314">
            <v>100</v>
          </cell>
        </row>
        <row r="1315">
          <cell r="A1315" t="str">
            <v>215014</v>
          </cell>
          <cell r="B1315" t="str">
            <v>同安振康轧材厂</v>
          </cell>
          <cell r="C1315" t="str">
            <v>集体</v>
          </cell>
          <cell r="D1315" t="str">
            <v>工业</v>
          </cell>
          <cell r="E1315" t="str">
            <v>抵押贷款</v>
          </cell>
          <cell r="F1315">
            <v>35277</v>
          </cell>
          <cell r="G1315">
            <v>35490</v>
          </cell>
          <cell r="H1315">
            <v>0</v>
          </cell>
          <cell r="I1315">
            <v>0</v>
          </cell>
          <cell r="J1315">
            <v>0</v>
          </cell>
          <cell r="K1315">
            <v>0</v>
          </cell>
          <cell r="L1315">
            <v>90</v>
          </cell>
          <cell r="M1315" t="str">
            <v>马巷</v>
          </cell>
        </row>
        <row r="1316">
          <cell r="B1316" t="str">
            <v>同安振康轧材厂 Total</v>
          </cell>
          <cell r="L1316">
            <v>90</v>
          </cell>
        </row>
        <row r="1317">
          <cell r="A1317" t="str">
            <v>0031</v>
          </cell>
          <cell r="B1317" t="str">
            <v>同方房地产</v>
          </cell>
          <cell r="C1317" t="str">
            <v>其它</v>
          </cell>
          <cell r="D1317" t="str">
            <v>其它</v>
          </cell>
          <cell r="E1317" t="str">
            <v>抵押贷款</v>
          </cell>
          <cell r="F1317">
            <v>37528</v>
          </cell>
          <cell r="G1317">
            <v>37893</v>
          </cell>
          <cell r="H1317">
            <v>0</v>
          </cell>
          <cell r="I1317">
            <v>150</v>
          </cell>
          <cell r="J1317">
            <v>0</v>
          </cell>
          <cell r="K1317">
            <v>0</v>
          </cell>
          <cell r="L1317">
            <v>150</v>
          </cell>
          <cell r="M1317" t="str">
            <v>莲花</v>
          </cell>
        </row>
        <row r="1318">
          <cell r="B1318" t="str">
            <v>同方房地产 Total</v>
          </cell>
          <cell r="L1318">
            <v>150</v>
          </cell>
        </row>
        <row r="1319">
          <cell r="A1319" t="str">
            <v>37126A</v>
          </cell>
          <cell r="B1319" t="str">
            <v>同兴开发有限公司</v>
          </cell>
          <cell r="C1319" t="str">
            <v>三资</v>
          </cell>
          <cell r="D1319" t="str">
            <v>工业</v>
          </cell>
          <cell r="E1319" t="str">
            <v>保证贷款</v>
          </cell>
          <cell r="F1319">
            <v>35600</v>
          </cell>
          <cell r="G1319">
            <v>35845</v>
          </cell>
          <cell r="H1319">
            <v>0</v>
          </cell>
          <cell r="I1319">
            <v>0</v>
          </cell>
          <cell r="J1319">
            <v>0</v>
          </cell>
          <cell r="K1319">
            <v>0</v>
          </cell>
          <cell r="L1319">
            <v>296.81</v>
          </cell>
          <cell r="M1319" t="str">
            <v>同安</v>
          </cell>
        </row>
        <row r="1320">
          <cell r="A1320" t="str">
            <v>38005</v>
          </cell>
          <cell r="B1320" t="str">
            <v>同兴开发有限公司</v>
          </cell>
          <cell r="C1320" t="str">
            <v>三资</v>
          </cell>
          <cell r="D1320" t="str">
            <v>工业</v>
          </cell>
          <cell r="E1320" t="str">
            <v>保证贷款</v>
          </cell>
          <cell r="F1320">
            <v>35821</v>
          </cell>
          <cell r="G1320">
            <v>36064</v>
          </cell>
          <cell r="H1320">
            <v>0</v>
          </cell>
          <cell r="I1320">
            <v>0</v>
          </cell>
          <cell r="J1320">
            <v>0</v>
          </cell>
          <cell r="K1320">
            <v>0</v>
          </cell>
          <cell r="L1320">
            <v>300</v>
          </cell>
          <cell r="M1320" t="str">
            <v>同安</v>
          </cell>
        </row>
        <row r="1321">
          <cell r="A1321" t="str">
            <v>37260</v>
          </cell>
          <cell r="B1321" t="str">
            <v>同兴开发有限公司</v>
          </cell>
          <cell r="C1321" t="str">
            <v>三资</v>
          </cell>
          <cell r="D1321" t="str">
            <v>工业</v>
          </cell>
          <cell r="E1321" t="str">
            <v>保证贷款</v>
          </cell>
          <cell r="F1321">
            <v>35671</v>
          </cell>
          <cell r="G1321">
            <v>35944</v>
          </cell>
          <cell r="H1321">
            <v>0</v>
          </cell>
          <cell r="I1321">
            <v>0</v>
          </cell>
          <cell r="J1321">
            <v>0</v>
          </cell>
          <cell r="K1321">
            <v>0</v>
          </cell>
          <cell r="L1321">
            <v>450</v>
          </cell>
          <cell r="M1321" t="str">
            <v>同安</v>
          </cell>
        </row>
        <row r="1322">
          <cell r="B1322" t="str">
            <v>同兴开发有限公司 Total</v>
          </cell>
          <cell r="L1322">
            <v>1046.81</v>
          </cell>
        </row>
        <row r="1323">
          <cell r="A1323" t="str">
            <v>300003</v>
          </cell>
          <cell r="B1323" t="str">
            <v>涂千章</v>
          </cell>
          <cell r="C1323" t="str">
            <v>其它</v>
          </cell>
          <cell r="D1323" t="str">
            <v>其它</v>
          </cell>
          <cell r="E1323" t="str">
            <v>质押贷款</v>
          </cell>
          <cell r="F1323">
            <v>37269</v>
          </cell>
          <cell r="G1323">
            <v>37450</v>
          </cell>
          <cell r="H1323">
            <v>0</v>
          </cell>
          <cell r="I1323">
            <v>8</v>
          </cell>
          <cell r="J1323">
            <v>0</v>
          </cell>
          <cell r="K1323">
            <v>0</v>
          </cell>
          <cell r="L1323">
            <v>8</v>
          </cell>
          <cell r="M1323" t="str">
            <v>鹭江</v>
          </cell>
        </row>
        <row r="1324">
          <cell r="B1324" t="str">
            <v>涂千章 Total</v>
          </cell>
          <cell r="L1324">
            <v>8</v>
          </cell>
        </row>
        <row r="1325">
          <cell r="A1325" t="str">
            <v>200079</v>
          </cell>
          <cell r="B1325" t="str">
            <v>外代租箱</v>
          </cell>
          <cell r="C1325" t="str">
            <v>集体</v>
          </cell>
          <cell r="D1325" t="str">
            <v>商贸</v>
          </cell>
          <cell r="E1325" t="str">
            <v>保证贷款</v>
          </cell>
          <cell r="F1325">
            <v>37543</v>
          </cell>
          <cell r="G1325">
            <v>37908</v>
          </cell>
          <cell r="H1325">
            <v>50</v>
          </cell>
          <cell r="I1325">
            <v>50</v>
          </cell>
          <cell r="J1325">
            <v>0</v>
          </cell>
          <cell r="K1325">
            <v>0</v>
          </cell>
          <cell r="L1325">
            <v>50</v>
          </cell>
          <cell r="M1325" t="str">
            <v>新港</v>
          </cell>
        </row>
        <row r="1326">
          <cell r="A1326" t="str">
            <v>200080</v>
          </cell>
          <cell r="B1326" t="str">
            <v>外代租箱</v>
          </cell>
          <cell r="C1326" t="str">
            <v>集体</v>
          </cell>
          <cell r="D1326" t="str">
            <v>商贸</v>
          </cell>
          <cell r="E1326" t="str">
            <v>保证贷款</v>
          </cell>
          <cell r="F1326">
            <v>37557</v>
          </cell>
          <cell r="G1326">
            <v>37739</v>
          </cell>
          <cell r="H1326">
            <v>60</v>
          </cell>
          <cell r="I1326">
            <v>60</v>
          </cell>
          <cell r="J1326">
            <v>0</v>
          </cell>
          <cell r="K1326">
            <v>0</v>
          </cell>
          <cell r="L1326">
            <v>60</v>
          </cell>
          <cell r="M1326" t="str">
            <v>新港</v>
          </cell>
        </row>
        <row r="1327">
          <cell r="A1327" t="str">
            <v>200039</v>
          </cell>
          <cell r="B1327" t="str">
            <v>外代租箱</v>
          </cell>
          <cell r="C1327" t="str">
            <v>集体</v>
          </cell>
          <cell r="D1327" t="str">
            <v>商贸</v>
          </cell>
          <cell r="E1327" t="str">
            <v>保证贷款</v>
          </cell>
          <cell r="F1327">
            <v>37403</v>
          </cell>
          <cell r="G1327">
            <v>37587</v>
          </cell>
          <cell r="H1327">
            <v>0</v>
          </cell>
          <cell r="I1327">
            <v>300</v>
          </cell>
          <cell r="J1327">
            <v>0</v>
          </cell>
          <cell r="K1327">
            <v>0</v>
          </cell>
          <cell r="L1327">
            <v>300</v>
          </cell>
          <cell r="M1327" t="str">
            <v>新港</v>
          </cell>
        </row>
        <row r="1328">
          <cell r="A1328" t="str">
            <v>200077</v>
          </cell>
          <cell r="B1328" t="str">
            <v>外代租箱</v>
          </cell>
          <cell r="C1328" t="str">
            <v>集体</v>
          </cell>
          <cell r="D1328" t="str">
            <v>商贸</v>
          </cell>
          <cell r="E1328" t="str">
            <v>保证贷款</v>
          </cell>
          <cell r="F1328">
            <v>37529</v>
          </cell>
          <cell r="G1328">
            <v>37894</v>
          </cell>
          <cell r="H1328">
            <v>0</v>
          </cell>
          <cell r="I1328">
            <v>380</v>
          </cell>
          <cell r="J1328">
            <v>0.1</v>
          </cell>
          <cell r="K1328">
            <v>0.1</v>
          </cell>
          <cell r="L1328">
            <v>379.9</v>
          </cell>
          <cell r="M1328" t="str">
            <v>新港</v>
          </cell>
        </row>
        <row r="1329">
          <cell r="B1329" t="str">
            <v>外代租箱 Total</v>
          </cell>
          <cell r="L1329">
            <v>789.9</v>
          </cell>
        </row>
        <row r="1330">
          <cell r="A1330" t="str">
            <v>250304</v>
          </cell>
          <cell r="B1330" t="str">
            <v>万发达创建</v>
          </cell>
          <cell r="C1330" t="str">
            <v>集体</v>
          </cell>
          <cell r="D1330" t="str">
            <v>工业</v>
          </cell>
          <cell r="E1330" t="str">
            <v>保证贷款</v>
          </cell>
          <cell r="F1330">
            <v>37449</v>
          </cell>
          <cell r="G1330">
            <v>37633</v>
          </cell>
          <cell r="H1330">
            <v>0</v>
          </cell>
          <cell r="I1330">
            <v>0</v>
          </cell>
          <cell r="J1330">
            <v>0</v>
          </cell>
          <cell r="K1330">
            <v>0</v>
          </cell>
          <cell r="L1330">
            <v>500</v>
          </cell>
          <cell r="M1330" t="str">
            <v>湖里</v>
          </cell>
        </row>
        <row r="1331">
          <cell r="B1331" t="str">
            <v>万发达创建 Total</v>
          </cell>
          <cell r="L1331">
            <v>500</v>
          </cell>
        </row>
        <row r="1332">
          <cell r="A1332" t="str">
            <v>02007</v>
          </cell>
          <cell r="B1332" t="str">
            <v>万惠建筑脚手架</v>
          </cell>
          <cell r="C1332" t="str">
            <v>集体</v>
          </cell>
          <cell r="D1332" t="str">
            <v>工业</v>
          </cell>
          <cell r="E1332" t="str">
            <v>保证贷款</v>
          </cell>
          <cell r="F1332">
            <v>37427</v>
          </cell>
          <cell r="G1332">
            <v>37792</v>
          </cell>
          <cell r="H1332">
            <v>0</v>
          </cell>
          <cell r="I1332">
            <v>150</v>
          </cell>
          <cell r="J1332">
            <v>0</v>
          </cell>
          <cell r="K1332">
            <v>0</v>
          </cell>
          <cell r="L1332">
            <v>150</v>
          </cell>
          <cell r="M1332" t="str">
            <v>文滨</v>
          </cell>
        </row>
        <row r="1333">
          <cell r="B1333" t="str">
            <v>万惠建筑脚手架 Total</v>
          </cell>
          <cell r="L1333">
            <v>150</v>
          </cell>
        </row>
        <row r="1334">
          <cell r="A1334" t="str">
            <v>97114</v>
          </cell>
          <cell r="B1334" t="str">
            <v>万家康乐</v>
          </cell>
          <cell r="C1334" t="str">
            <v>三资</v>
          </cell>
          <cell r="D1334" t="str">
            <v>其它</v>
          </cell>
          <cell r="E1334" t="str">
            <v>保证贷款</v>
          </cell>
          <cell r="F1334">
            <v>35634</v>
          </cell>
          <cell r="G1334">
            <v>35849</v>
          </cell>
          <cell r="H1334">
            <v>0</v>
          </cell>
          <cell r="I1334">
            <v>0</v>
          </cell>
          <cell r="J1334">
            <v>0</v>
          </cell>
          <cell r="K1334">
            <v>0</v>
          </cell>
          <cell r="L1334">
            <v>200</v>
          </cell>
          <cell r="M1334" t="str">
            <v>文滨</v>
          </cell>
        </row>
        <row r="1335">
          <cell r="A1335" t="str">
            <v>S0002D</v>
          </cell>
          <cell r="B1335" t="str">
            <v>万家康乐</v>
          </cell>
          <cell r="C1335" t="str">
            <v>三资</v>
          </cell>
          <cell r="D1335" t="str">
            <v>商贸</v>
          </cell>
          <cell r="E1335" t="str">
            <v>保证贷款</v>
          </cell>
          <cell r="F1335">
            <v>35794</v>
          </cell>
          <cell r="G1335">
            <v>35886</v>
          </cell>
          <cell r="H1335">
            <v>0</v>
          </cell>
          <cell r="I1335">
            <v>0</v>
          </cell>
          <cell r="J1335">
            <v>0</v>
          </cell>
          <cell r="K1335">
            <v>0</v>
          </cell>
          <cell r="L1335">
            <v>106.90912399999999</v>
          </cell>
          <cell r="M1335" t="str">
            <v>文滨</v>
          </cell>
        </row>
        <row r="1336">
          <cell r="A1336" t="str">
            <v>S0002F</v>
          </cell>
          <cell r="B1336" t="str">
            <v>万家康乐</v>
          </cell>
          <cell r="C1336" t="str">
            <v>三资</v>
          </cell>
          <cell r="D1336" t="str">
            <v>商贸</v>
          </cell>
          <cell r="E1336" t="str">
            <v>保证贷款</v>
          </cell>
          <cell r="F1336">
            <v>35795</v>
          </cell>
          <cell r="G1336">
            <v>35886</v>
          </cell>
          <cell r="H1336">
            <v>0</v>
          </cell>
          <cell r="I1336">
            <v>0</v>
          </cell>
          <cell r="J1336">
            <v>0</v>
          </cell>
          <cell r="K1336">
            <v>0</v>
          </cell>
          <cell r="L1336">
            <v>106.90912399999999</v>
          </cell>
          <cell r="M1336" t="str">
            <v>文滨</v>
          </cell>
        </row>
        <row r="1337">
          <cell r="B1337" t="str">
            <v>万家康乐 Total</v>
          </cell>
          <cell r="L1337">
            <v>413.81824800000004</v>
          </cell>
        </row>
        <row r="1338">
          <cell r="A1338" t="str">
            <v>37034</v>
          </cell>
          <cell r="B1338" t="str">
            <v>万家香食品有限公司</v>
          </cell>
          <cell r="C1338" t="str">
            <v>三资</v>
          </cell>
          <cell r="D1338" t="str">
            <v>工业</v>
          </cell>
          <cell r="E1338" t="str">
            <v>保证贷款</v>
          </cell>
          <cell r="F1338">
            <v>35461</v>
          </cell>
          <cell r="G1338">
            <v>35797</v>
          </cell>
          <cell r="H1338">
            <v>0</v>
          </cell>
          <cell r="I1338">
            <v>0</v>
          </cell>
          <cell r="J1338">
            <v>0</v>
          </cell>
          <cell r="K1338">
            <v>0</v>
          </cell>
          <cell r="L1338">
            <v>200</v>
          </cell>
          <cell r="M1338" t="str">
            <v>同安</v>
          </cell>
        </row>
        <row r="1339">
          <cell r="B1339" t="str">
            <v>万家香食品有限公司 Total</v>
          </cell>
          <cell r="L1339">
            <v>200</v>
          </cell>
        </row>
        <row r="1340">
          <cell r="A1340" t="str">
            <v>22302</v>
          </cell>
          <cell r="B1340" t="str">
            <v>万里石有限公司</v>
          </cell>
          <cell r="C1340" t="str">
            <v>外事</v>
          </cell>
          <cell r="D1340" t="str">
            <v>商贸</v>
          </cell>
          <cell r="E1340" t="str">
            <v>保证贷款</v>
          </cell>
          <cell r="F1340">
            <v>37369</v>
          </cell>
          <cell r="G1340">
            <v>37734</v>
          </cell>
          <cell r="H1340">
            <v>0</v>
          </cell>
          <cell r="I1340">
            <v>500</v>
          </cell>
          <cell r="J1340">
            <v>0</v>
          </cell>
          <cell r="K1340">
            <v>0</v>
          </cell>
          <cell r="L1340">
            <v>500</v>
          </cell>
          <cell r="M1340" t="str">
            <v>江头</v>
          </cell>
        </row>
        <row r="1341">
          <cell r="B1341" t="str">
            <v>万里石有限公司 Total</v>
          </cell>
          <cell r="L1341">
            <v>500</v>
          </cell>
        </row>
        <row r="1342">
          <cell r="A1342" t="str">
            <v>200071</v>
          </cell>
          <cell r="B1342" t="str">
            <v>万利发</v>
          </cell>
          <cell r="C1342" t="str">
            <v>集体</v>
          </cell>
          <cell r="D1342" t="str">
            <v>商贸</v>
          </cell>
          <cell r="E1342" t="str">
            <v>抵押贷款</v>
          </cell>
          <cell r="F1342">
            <v>37511</v>
          </cell>
          <cell r="G1342">
            <v>37866</v>
          </cell>
          <cell r="H1342">
            <v>0</v>
          </cell>
          <cell r="I1342">
            <v>33.28</v>
          </cell>
          <cell r="J1342">
            <v>2.69</v>
          </cell>
          <cell r="K1342">
            <v>2.69</v>
          </cell>
          <cell r="L1342">
            <v>30.59</v>
          </cell>
          <cell r="M1342" t="str">
            <v>新港</v>
          </cell>
        </row>
        <row r="1343">
          <cell r="A1343" t="str">
            <v>200004</v>
          </cell>
          <cell r="B1343" t="str">
            <v>万利发</v>
          </cell>
          <cell r="C1343" t="str">
            <v>集体</v>
          </cell>
          <cell r="D1343" t="str">
            <v>商贸</v>
          </cell>
          <cell r="E1343" t="str">
            <v>抵押贷款</v>
          </cell>
          <cell r="F1343">
            <v>37146</v>
          </cell>
          <cell r="G1343">
            <v>37869</v>
          </cell>
          <cell r="H1343">
            <v>0</v>
          </cell>
          <cell r="I1343">
            <v>0</v>
          </cell>
          <cell r="J1343">
            <v>3.42</v>
          </cell>
          <cell r="K1343">
            <v>33.340000000000003</v>
          </cell>
          <cell r="L1343">
            <v>39.04</v>
          </cell>
          <cell r="M1343" t="str">
            <v>新港</v>
          </cell>
        </row>
        <row r="1344">
          <cell r="A1344" t="str">
            <v>200003</v>
          </cell>
          <cell r="B1344" t="str">
            <v>万利发</v>
          </cell>
          <cell r="C1344" t="str">
            <v>集体</v>
          </cell>
          <cell r="D1344" t="str">
            <v>商贸</v>
          </cell>
          <cell r="E1344" t="str">
            <v>抵押贷款</v>
          </cell>
          <cell r="F1344">
            <v>37230</v>
          </cell>
          <cell r="G1344">
            <v>37884</v>
          </cell>
          <cell r="H1344">
            <v>0</v>
          </cell>
          <cell r="I1344">
            <v>0</v>
          </cell>
          <cell r="J1344">
            <v>7.02</v>
          </cell>
          <cell r="K1344">
            <v>34.29</v>
          </cell>
          <cell r="L1344">
            <v>47.71</v>
          </cell>
          <cell r="M1344" t="str">
            <v>新港</v>
          </cell>
        </row>
        <row r="1345">
          <cell r="B1345" t="str">
            <v>万利发 Total</v>
          </cell>
          <cell r="L1345">
            <v>117.34</v>
          </cell>
        </row>
        <row r="1346">
          <cell r="A1346" t="str">
            <v>t02106</v>
          </cell>
          <cell r="B1346" t="str">
            <v>万旗科技</v>
          </cell>
          <cell r="C1346" t="str">
            <v>集体</v>
          </cell>
          <cell r="D1346" t="str">
            <v>商贸</v>
          </cell>
          <cell r="E1346" t="str">
            <v>票据贴现</v>
          </cell>
          <cell r="F1346">
            <v>37517</v>
          </cell>
          <cell r="G1346">
            <v>37672</v>
          </cell>
          <cell r="H1346">
            <v>0</v>
          </cell>
          <cell r="I1346">
            <v>100</v>
          </cell>
          <cell r="J1346">
            <v>0</v>
          </cell>
          <cell r="K1346">
            <v>0</v>
          </cell>
          <cell r="L1346">
            <v>100</v>
          </cell>
          <cell r="M1346" t="str">
            <v>文滨</v>
          </cell>
        </row>
        <row r="1347">
          <cell r="B1347" t="str">
            <v>万旗科技 Total</v>
          </cell>
          <cell r="L1347">
            <v>100</v>
          </cell>
        </row>
        <row r="1348">
          <cell r="A1348" t="str">
            <v>gs0030</v>
          </cell>
          <cell r="B1348" t="str">
            <v>汪灵娟</v>
          </cell>
          <cell r="C1348" t="str">
            <v>其它</v>
          </cell>
          <cell r="D1348" t="str">
            <v>其它</v>
          </cell>
          <cell r="E1348" t="str">
            <v>抵押贷款</v>
          </cell>
          <cell r="F1348">
            <v>37403</v>
          </cell>
          <cell r="G1348">
            <v>37768</v>
          </cell>
          <cell r="H1348">
            <v>0</v>
          </cell>
          <cell r="I1348">
            <v>12</v>
          </cell>
          <cell r="J1348">
            <v>0</v>
          </cell>
          <cell r="K1348">
            <v>0</v>
          </cell>
          <cell r="L1348">
            <v>12</v>
          </cell>
          <cell r="M1348" t="str">
            <v>公园</v>
          </cell>
        </row>
        <row r="1349">
          <cell r="B1349" t="str">
            <v>汪灵娟 Total</v>
          </cell>
          <cell r="L1349">
            <v>12</v>
          </cell>
        </row>
        <row r="1350">
          <cell r="A1350" t="str">
            <v>020060</v>
          </cell>
          <cell r="B1350" t="str">
            <v>汪伟交</v>
          </cell>
          <cell r="C1350" t="str">
            <v>住房</v>
          </cell>
          <cell r="D1350" t="str">
            <v>其它</v>
          </cell>
          <cell r="E1350" t="str">
            <v>抵押贷款</v>
          </cell>
          <cell r="F1350">
            <v>37189</v>
          </cell>
          <cell r="G1350">
            <v>40841</v>
          </cell>
          <cell r="H1350">
            <v>0</v>
          </cell>
          <cell r="I1350">
            <v>30.99</v>
          </cell>
          <cell r="J1350">
            <v>0.21</v>
          </cell>
          <cell r="K1350">
            <v>1.46</v>
          </cell>
          <cell r="L1350">
            <v>29.53</v>
          </cell>
          <cell r="M1350" t="str">
            <v>东区</v>
          </cell>
        </row>
        <row r="1351">
          <cell r="B1351" t="str">
            <v>汪伟交 Total</v>
          </cell>
          <cell r="L1351">
            <v>29.53</v>
          </cell>
        </row>
        <row r="1352">
          <cell r="A1352" t="str">
            <v>G02070</v>
          </cell>
          <cell r="B1352" t="str">
            <v>王朝晖</v>
          </cell>
          <cell r="C1352" t="str">
            <v>其它</v>
          </cell>
          <cell r="D1352" t="str">
            <v>其它</v>
          </cell>
          <cell r="E1352" t="str">
            <v>保证贷款</v>
          </cell>
          <cell r="F1352">
            <v>37468</v>
          </cell>
          <cell r="G1352">
            <v>37833</v>
          </cell>
          <cell r="H1352">
            <v>0</v>
          </cell>
          <cell r="I1352">
            <v>50</v>
          </cell>
          <cell r="J1352">
            <v>0</v>
          </cell>
          <cell r="K1352">
            <v>0</v>
          </cell>
          <cell r="L1352">
            <v>50</v>
          </cell>
          <cell r="M1352" t="str">
            <v>营业</v>
          </cell>
        </row>
        <row r="1353">
          <cell r="B1353" t="str">
            <v>王朝晖 Total</v>
          </cell>
          <cell r="L1353">
            <v>50</v>
          </cell>
        </row>
        <row r="1354">
          <cell r="A1354" t="str">
            <v>020074</v>
          </cell>
          <cell r="B1354" t="str">
            <v>王春霞</v>
          </cell>
          <cell r="C1354" t="str">
            <v>住房</v>
          </cell>
          <cell r="D1354" t="str">
            <v>其它</v>
          </cell>
          <cell r="E1354" t="str">
            <v>抵押贷款</v>
          </cell>
          <cell r="F1354">
            <v>36614</v>
          </cell>
          <cell r="G1354">
            <v>43919</v>
          </cell>
          <cell r="H1354">
            <v>0</v>
          </cell>
          <cell r="I1354">
            <v>43.47</v>
          </cell>
          <cell r="J1354">
            <v>0.09</v>
          </cell>
          <cell r="K1354">
            <v>10.75</v>
          </cell>
          <cell r="L1354">
            <v>32.72</v>
          </cell>
          <cell r="M1354" t="str">
            <v>东区</v>
          </cell>
        </row>
        <row r="1355">
          <cell r="B1355" t="str">
            <v>王春霞 Total</v>
          </cell>
          <cell r="L1355">
            <v>32.72</v>
          </cell>
        </row>
        <row r="1356">
          <cell r="A1356" t="str">
            <v>200008</v>
          </cell>
          <cell r="B1356" t="str">
            <v>王辉伟</v>
          </cell>
          <cell r="C1356" t="str">
            <v>住房</v>
          </cell>
          <cell r="D1356" t="str">
            <v>其它</v>
          </cell>
          <cell r="E1356" t="str">
            <v>抵押贷款</v>
          </cell>
          <cell r="F1356">
            <v>36731</v>
          </cell>
          <cell r="G1356">
            <v>42208</v>
          </cell>
          <cell r="H1356">
            <v>0</v>
          </cell>
          <cell r="I1356">
            <v>14.87</v>
          </cell>
          <cell r="J1356">
            <v>0.06</v>
          </cell>
          <cell r="K1356">
            <v>0.44</v>
          </cell>
          <cell r="L1356">
            <v>14.43</v>
          </cell>
          <cell r="M1356" t="str">
            <v>鹭江</v>
          </cell>
        </row>
        <row r="1357">
          <cell r="B1357" t="str">
            <v>王辉伟 Total</v>
          </cell>
          <cell r="L1357">
            <v>14.43</v>
          </cell>
        </row>
        <row r="1358">
          <cell r="A1358" t="str">
            <v>MX0202</v>
          </cell>
          <cell r="B1358" t="str">
            <v>王金狮</v>
          </cell>
          <cell r="C1358" t="str">
            <v>其它</v>
          </cell>
          <cell r="D1358" t="str">
            <v>其它</v>
          </cell>
          <cell r="E1358" t="str">
            <v>质押贷款</v>
          </cell>
          <cell r="F1358">
            <v>37544</v>
          </cell>
          <cell r="G1358">
            <v>37726</v>
          </cell>
          <cell r="H1358">
            <v>0.9</v>
          </cell>
          <cell r="I1358">
            <v>0.9</v>
          </cell>
          <cell r="J1358">
            <v>0</v>
          </cell>
          <cell r="K1358">
            <v>0</v>
          </cell>
          <cell r="L1358">
            <v>0.9</v>
          </cell>
          <cell r="M1358" t="str">
            <v>马巷</v>
          </cell>
        </row>
        <row r="1359">
          <cell r="B1359" t="str">
            <v>王金狮 Total</v>
          </cell>
          <cell r="L1359">
            <v>0.9</v>
          </cell>
        </row>
        <row r="1360">
          <cell r="A1360" t="str">
            <v>020168</v>
          </cell>
          <cell r="B1360" t="str">
            <v>王景民</v>
          </cell>
          <cell r="C1360" t="str">
            <v>其它</v>
          </cell>
          <cell r="D1360" t="str">
            <v>其它</v>
          </cell>
          <cell r="E1360" t="str">
            <v>保证贷款</v>
          </cell>
          <cell r="F1360">
            <v>37496</v>
          </cell>
          <cell r="G1360">
            <v>37861</v>
          </cell>
          <cell r="H1360">
            <v>0</v>
          </cell>
          <cell r="I1360">
            <v>20</v>
          </cell>
          <cell r="J1360">
            <v>0</v>
          </cell>
          <cell r="K1360">
            <v>0</v>
          </cell>
          <cell r="L1360">
            <v>20</v>
          </cell>
          <cell r="M1360" t="str">
            <v>东区</v>
          </cell>
        </row>
        <row r="1361">
          <cell r="B1361" t="str">
            <v>王景民 Total</v>
          </cell>
          <cell r="L1361">
            <v>20</v>
          </cell>
        </row>
        <row r="1362">
          <cell r="A1362" t="str">
            <v>500012</v>
          </cell>
          <cell r="B1362" t="str">
            <v>王君胜</v>
          </cell>
          <cell r="C1362" t="str">
            <v>其它</v>
          </cell>
          <cell r="D1362" t="str">
            <v>其它</v>
          </cell>
          <cell r="E1362" t="str">
            <v>抵押贷款</v>
          </cell>
          <cell r="F1362">
            <v>37278</v>
          </cell>
          <cell r="G1362">
            <v>37643</v>
          </cell>
          <cell r="H1362">
            <v>0</v>
          </cell>
          <cell r="I1362">
            <v>24</v>
          </cell>
          <cell r="J1362">
            <v>0</v>
          </cell>
          <cell r="K1362">
            <v>0</v>
          </cell>
          <cell r="L1362">
            <v>24</v>
          </cell>
          <cell r="M1362" t="str">
            <v>新港</v>
          </cell>
        </row>
        <row r="1363">
          <cell r="B1363" t="str">
            <v>王君胜 Total</v>
          </cell>
          <cell r="L1363">
            <v>24</v>
          </cell>
        </row>
        <row r="1364">
          <cell r="A1364" t="str">
            <v>020195</v>
          </cell>
          <cell r="B1364" t="str">
            <v>王楷</v>
          </cell>
          <cell r="C1364" t="str">
            <v>其它</v>
          </cell>
          <cell r="D1364" t="str">
            <v>其它</v>
          </cell>
          <cell r="E1364" t="str">
            <v>保证贷款</v>
          </cell>
          <cell r="F1364">
            <v>37560</v>
          </cell>
          <cell r="G1364">
            <v>37925</v>
          </cell>
          <cell r="H1364">
            <v>20</v>
          </cell>
          <cell r="I1364">
            <v>20</v>
          </cell>
          <cell r="J1364">
            <v>0</v>
          </cell>
          <cell r="K1364">
            <v>0</v>
          </cell>
          <cell r="L1364">
            <v>20</v>
          </cell>
          <cell r="M1364" t="str">
            <v>东区</v>
          </cell>
        </row>
        <row r="1365">
          <cell r="B1365" t="str">
            <v>王楷 Total</v>
          </cell>
          <cell r="L1365">
            <v>20</v>
          </cell>
        </row>
        <row r="1366">
          <cell r="A1366" t="str">
            <v>GX0122</v>
          </cell>
          <cell r="B1366" t="str">
            <v>王黎明</v>
          </cell>
          <cell r="C1366" t="str">
            <v>其它</v>
          </cell>
          <cell r="D1366" t="str">
            <v>其它</v>
          </cell>
          <cell r="E1366" t="str">
            <v>信用贷款</v>
          </cell>
          <cell r="F1366">
            <v>36956</v>
          </cell>
          <cell r="G1366">
            <v>37700</v>
          </cell>
          <cell r="H1366">
            <v>0</v>
          </cell>
          <cell r="I1366">
            <v>1.54</v>
          </cell>
          <cell r="J1366">
            <v>0.13</v>
          </cell>
          <cell r="K1366">
            <v>0.77</v>
          </cell>
          <cell r="L1366">
            <v>0.77</v>
          </cell>
          <cell r="M1366" t="str">
            <v>马巷</v>
          </cell>
        </row>
        <row r="1367">
          <cell r="B1367" t="str">
            <v>王黎明 Total</v>
          </cell>
          <cell r="L1367">
            <v>0.77</v>
          </cell>
        </row>
        <row r="1368">
          <cell r="A1368" t="str">
            <v>200223</v>
          </cell>
          <cell r="B1368" t="str">
            <v>王丽敏</v>
          </cell>
          <cell r="C1368" t="str">
            <v>其它</v>
          </cell>
          <cell r="D1368" t="str">
            <v>其它</v>
          </cell>
          <cell r="E1368" t="str">
            <v>质押贷款</v>
          </cell>
          <cell r="F1368">
            <v>37559</v>
          </cell>
          <cell r="G1368">
            <v>37740</v>
          </cell>
          <cell r="H1368">
            <v>22</v>
          </cell>
          <cell r="I1368">
            <v>22</v>
          </cell>
          <cell r="J1368">
            <v>0</v>
          </cell>
          <cell r="K1368">
            <v>0</v>
          </cell>
          <cell r="L1368">
            <v>22</v>
          </cell>
          <cell r="M1368" t="str">
            <v>海沧</v>
          </cell>
        </row>
        <row r="1369">
          <cell r="B1369" t="str">
            <v>王丽敏 Total</v>
          </cell>
          <cell r="L1369">
            <v>22</v>
          </cell>
        </row>
        <row r="1370">
          <cell r="A1370" t="str">
            <v>200010</v>
          </cell>
          <cell r="B1370" t="str">
            <v>王清桂</v>
          </cell>
          <cell r="C1370" t="str">
            <v>住房</v>
          </cell>
          <cell r="D1370" t="str">
            <v>其它</v>
          </cell>
          <cell r="E1370" t="str">
            <v>抵押贷款</v>
          </cell>
          <cell r="F1370">
            <v>36734</v>
          </cell>
          <cell r="G1370">
            <v>38559</v>
          </cell>
          <cell r="H1370">
            <v>0</v>
          </cell>
          <cell r="I1370">
            <v>7.88</v>
          </cell>
          <cell r="J1370">
            <v>0.35</v>
          </cell>
          <cell r="K1370">
            <v>1.23</v>
          </cell>
          <cell r="L1370">
            <v>6.65</v>
          </cell>
          <cell r="M1370" t="str">
            <v>鹭江</v>
          </cell>
        </row>
        <row r="1371">
          <cell r="B1371" t="str">
            <v>王清桂 Total</v>
          </cell>
          <cell r="L1371">
            <v>6.65</v>
          </cell>
        </row>
        <row r="1372">
          <cell r="A1372" t="str">
            <v>023504</v>
          </cell>
          <cell r="B1372" t="str">
            <v>王绍凤</v>
          </cell>
          <cell r="C1372" t="str">
            <v>其它</v>
          </cell>
          <cell r="D1372" t="str">
            <v>其它</v>
          </cell>
          <cell r="E1372" t="str">
            <v>信用贷款</v>
          </cell>
          <cell r="F1372">
            <v>36951</v>
          </cell>
          <cell r="G1372">
            <v>37681</v>
          </cell>
          <cell r="H1372">
            <v>0</v>
          </cell>
          <cell r="I1372">
            <v>1.1200000000000001</v>
          </cell>
          <cell r="J1372">
            <v>0.09</v>
          </cell>
          <cell r="K1372">
            <v>0.69</v>
          </cell>
          <cell r="L1372">
            <v>0.43</v>
          </cell>
          <cell r="M1372" t="str">
            <v>杏林</v>
          </cell>
        </row>
        <row r="1373">
          <cell r="B1373" t="str">
            <v>王绍凤 Total</v>
          </cell>
          <cell r="L1373">
            <v>0.43</v>
          </cell>
        </row>
        <row r="1374">
          <cell r="A1374" t="str">
            <v>020048</v>
          </cell>
          <cell r="B1374" t="str">
            <v>王双河</v>
          </cell>
          <cell r="C1374" t="str">
            <v>住房</v>
          </cell>
          <cell r="D1374" t="str">
            <v>其它</v>
          </cell>
          <cell r="E1374" t="str">
            <v>抵押贷款</v>
          </cell>
          <cell r="F1374">
            <v>36902</v>
          </cell>
          <cell r="G1374">
            <v>43850</v>
          </cell>
          <cell r="H1374">
            <v>0</v>
          </cell>
          <cell r="I1374">
            <v>27.08</v>
          </cell>
          <cell r="J1374">
            <v>7.0000000000000007E-2</v>
          </cell>
          <cell r="K1374">
            <v>0.48</v>
          </cell>
          <cell r="L1374">
            <v>26.6</v>
          </cell>
          <cell r="M1374" t="str">
            <v>东区</v>
          </cell>
        </row>
        <row r="1375">
          <cell r="B1375" t="str">
            <v>王双河 Total</v>
          </cell>
          <cell r="L1375">
            <v>26.6</v>
          </cell>
        </row>
        <row r="1376">
          <cell r="A1376" t="str">
            <v>200006</v>
          </cell>
          <cell r="B1376" t="str">
            <v>王文改</v>
          </cell>
          <cell r="C1376" t="str">
            <v>住房</v>
          </cell>
          <cell r="D1376" t="str">
            <v>其它</v>
          </cell>
          <cell r="E1376" t="str">
            <v>抵押贷款</v>
          </cell>
          <cell r="F1376">
            <v>36712</v>
          </cell>
          <cell r="G1376">
            <v>40363</v>
          </cell>
          <cell r="H1376">
            <v>0</v>
          </cell>
          <cell r="I1376">
            <v>10.48</v>
          </cell>
          <cell r="J1376">
            <v>0.08</v>
          </cell>
          <cell r="K1376">
            <v>0.56999999999999995</v>
          </cell>
          <cell r="L1376">
            <v>9.91</v>
          </cell>
          <cell r="M1376" t="str">
            <v>鹭江</v>
          </cell>
        </row>
        <row r="1377">
          <cell r="B1377" t="str">
            <v>王文改 Total</v>
          </cell>
          <cell r="L1377">
            <v>9.91</v>
          </cell>
        </row>
        <row r="1378">
          <cell r="A1378" t="str">
            <v>40115</v>
          </cell>
          <cell r="B1378" t="str">
            <v>王文利</v>
          </cell>
          <cell r="C1378" t="str">
            <v>其它</v>
          </cell>
          <cell r="D1378" t="str">
            <v>其它</v>
          </cell>
          <cell r="E1378" t="str">
            <v>抵押贷款</v>
          </cell>
          <cell r="F1378">
            <v>37280</v>
          </cell>
          <cell r="G1378">
            <v>37645</v>
          </cell>
          <cell r="H1378">
            <v>0</v>
          </cell>
          <cell r="I1378">
            <v>30</v>
          </cell>
          <cell r="J1378">
            <v>0</v>
          </cell>
          <cell r="K1378">
            <v>0</v>
          </cell>
          <cell r="L1378">
            <v>30</v>
          </cell>
          <cell r="M1378" t="str">
            <v>象屿</v>
          </cell>
        </row>
        <row r="1379">
          <cell r="B1379" t="str">
            <v>王文利 Total</v>
          </cell>
          <cell r="L1379">
            <v>30</v>
          </cell>
        </row>
        <row r="1380">
          <cell r="A1380" t="str">
            <v>020051</v>
          </cell>
          <cell r="B1380" t="str">
            <v>王志武</v>
          </cell>
          <cell r="C1380" t="str">
            <v>住房</v>
          </cell>
          <cell r="D1380" t="str">
            <v>其它</v>
          </cell>
          <cell r="E1380" t="str">
            <v>抵押贷款</v>
          </cell>
          <cell r="F1380">
            <v>36943</v>
          </cell>
          <cell r="G1380">
            <v>44247</v>
          </cell>
          <cell r="H1380">
            <v>0</v>
          </cell>
          <cell r="I1380">
            <v>26.18</v>
          </cell>
          <cell r="J1380">
            <v>0.09</v>
          </cell>
          <cell r="K1380">
            <v>0.42</v>
          </cell>
          <cell r="L1380">
            <v>25.76</v>
          </cell>
          <cell r="M1380" t="str">
            <v>东区</v>
          </cell>
        </row>
        <row r="1381">
          <cell r="B1381" t="str">
            <v>王志武 Total</v>
          </cell>
          <cell r="L1381">
            <v>25.76</v>
          </cell>
        </row>
        <row r="1382">
          <cell r="A1382" t="str">
            <v>023526</v>
          </cell>
          <cell r="B1382" t="str">
            <v>王朱川</v>
          </cell>
          <cell r="C1382" t="str">
            <v>其它</v>
          </cell>
          <cell r="D1382" t="str">
            <v>其它</v>
          </cell>
          <cell r="E1382" t="str">
            <v>质押贷款</v>
          </cell>
          <cell r="F1382">
            <v>37466</v>
          </cell>
          <cell r="G1382">
            <v>37649</v>
          </cell>
          <cell r="H1382">
            <v>0</v>
          </cell>
          <cell r="I1382">
            <v>1.6</v>
          </cell>
          <cell r="J1382">
            <v>0</v>
          </cell>
          <cell r="K1382">
            <v>0</v>
          </cell>
          <cell r="L1382">
            <v>1.6</v>
          </cell>
          <cell r="M1382" t="str">
            <v>集美</v>
          </cell>
        </row>
        <row r="1383">
          <cell r="B1383" t="str">
            <v>王朱川 Total</v>
          </cell>
          <cell r="L1383">
            <v>1.6</v>
          </cell>
        </row>
        <row r="1384">
          <cell r="A1384" t="str">
            <v>200034</v>
          </cell>
          <cell r="B1384" t="str">
            <v>味友食品公司</v>
          </cell>
          <cell r="C1384" t="str">
            <v>三资</v>
          </cell>
          <cell r="D1384" t="str">
            <v>工业</v>
          </cell>
          <cell r="E1384" t="str">
            <v>保证贷款</v>
          </cell>
          <cell r="F1384">
            <v>36677</v>
          </cell>
          <cell r="G1384">
            <v>36923</v>
          </cell>
          <cell r="H1384">
            <v>0</v>
          </cell>
          <cell r="I1384">
            <v>0</v>
          </cell>
          <cell r="J1384">
            <v>0</v>
          </cell>
          <cell r="K1384">
            <v>0</v>
          </cell>
          <cell r="L1384">
            <v>300</v>
          </cell>
          <cell r="M1384" t="str">
            <v>同安</v>
          </cell>
        </row>
        <row r="1385">
          <cell r="A1385" t="str">
            <v>200077</v>
          </cell>
          <cell r="B1385" t="str">
            <v>味友食品公司</v>
          </cell>
          <cell r="C1385" t="str">
            <v>三资</v>
          </cell>
          <cell r="D1385" t="str">
            <v>工业</v>
          </cell>
          <cell r="E1385" t="str">
            <v>保证贷款</v>
          </cell>
          <cell r="F1385">
            <v>36889</v>
          </cell>
          <cell r="G1385">
            <v>37101</v>
          </cell>
          <cell r="H1385">
            <v>0</v>
          </cell>
          <cell r="I1385">
            <v>0</v>
          </cell>
          <cell r="J1385">
            <v>0</v>
          </cell>
          <cell r="K1385">
            <v>0</v>
          </cell>
          <cell r="L1385">
            <v>380</v>
          </cell>
          <cell r="M1385" t="str">
            <v>同安</v>
          </cell>
        </row>
        <row r="1386">
          <cell r="B1386" t="str">
            <v>味友食品公司 Total</v>
          </cell>
          <cell r="L1386">
            <v>680</v>
          </cell>
        </row>
        <row r="1387">
          <cell r="A1387" t="str">
            <v>020011</v>
          </cell>
          <cell r="B1387" t="str">
            <v>魏淑贞</v>
          </cell>
          <cell r="C1387" t="str">
            <v>住房</v>
          </cell>
          <cell r="D1387" t="str">
            <v>其它</v>
          </cell>
          <cell r="E1387" t="str">
            <v>抵押贷款</v>
          </cell>
          <cell r="F1387">
            <v>36749</v>
          </cell>
          <cell r="G1387">
            <v>42236</v>
          </cell>
          <cell r="H1387">
            <v>0</v>
          </cell>
          <cell r="I1387">
            <v>29.74</v>
          </cell>
          <cell r="J1387">
            <v>0.13</v>
          </cell>
          <cell r="K1387">
            <v>0.9</v>
          </cell>
          <cell r="L1387">
            <v>28.84</v>
          </cell>
          <cell r="M1387" t="str">
            <v>东区</v>
          </cell>
        </row>
        <row r="1388">
          <cell r="B1388" t="str">
            <v>魏淑贞 Total</v>
          </cell>
          <cell r="L1388">
            <v>28.84</v>
          </cell>
        </row>
        <row r="1389">
          <cell r="A1389" t="str">
            <v>020004</v>
          </cell>
          <cell r="B1389" t="str">
            <v>魏学群</v>
          </cell>
          <cell r="C1389" t="str">
            <v>住房</v>
          </cell>
          <cell r="D1389" t="str">
            <v>其它</v>
          </cell>
          <cell r="E1389" t="str">
            <v>抵押贷款</v>
          </cell>
          <cell r="F1389">
            <v>36679</v>
          </cell>
          <cell r="G1389">
            <v>51289</v>
          </cell>
          <cell r="H1389">
            <v>0</v>
          </cell>
          <cell r="I1389">
            <v>28.47</v>
          </cell>
          <cell r="J1389">
            <v>0.23</v>
          </cell>
          <cell r="K1389">
            <v>1.61</v>
          </cell>
          <cell r="L1389">
            <v>26.86</v>
          </cell>
          <cell r="M1389" t="str">
            <v>东区</v>
          </cell>
        </row>
        <row r="1390">
          <cell r="B1390" t="str">
            <v>魏学群 Total</v>
          </cell>
          <cell r="L1390">
            <v>26.86</v>
          </cell>
        </row>
        <row r="1391">
          <cell r="A1391" t="str">
            <v>020170</v>
          </cell>
          <cell r="B1391" t="str">
            <v>温丽香</v>
          </cell>
          <cell r="C1391" t="str">
            <v>住房</v>
          </cell>
          <cell r="D1391" t="str">
            <v>其它</v>
          </cell>
          <cell r="E1391" t="str">
            <v>抵押贷款</v>
          </cell>
          <cell r="F1391">
            <v>37487</v>
          </cell>
          <cell r="G1391">
            <v>42966</v>
          </cell>
          <cell r="H1391">
            <v>0</v>
          </cell>
          <cell r="I1391">
            <v>21</v>
          </cell>
          <cell r="J1391">
            <v>0.16</v>
          </cell>
          <cell r="K1391">
            <v>0.16</v>
          </cell>
          <cell r="L1391">
            <v>20.84</v>
          </cell>
          <cell r="M1391" t="str">
            <v>东区</v>
          </cell>
        </row>
        <row r="1392">
          <cell r="B1392" t="str">
            <v>温丽香 Total</v>
          </cell>
          <cell r="L1392">
            <v>20.84</v>
          </cell>
        </row>
        <row r="1393">
          <cell r="A1393" t="str">
            <v>G00281</v>
          </cell>
          <cell r="B1393" t="str">
            <v>翁建忠</v>
          </cell>
          <cell r="C1393" t="str">
            <v>其它</v>
          </cell>
          <cell r="D1393" t="str">
            <v>其它</v>
          </cell>
          <cell r="E1393" t="str">
            <v>信用贷款</v>
          </cell>
          <cell r="F1393">
            <v>36832</v>
          </cell>
          <cell r="G1393">
            <v>37580</v>
          </cell>
          <cell r="H1393">
            <v>0</v>
          </cell>
          <cell r="I1393">
            <v>1.04</v>
          </cell>
          <cell r="J1393">
            <v>0.13</v>
          </cell>
          <cell r="K1393">
            <v>0.91</v>
          </cell>
          <cell r="L1393">
            <v>0.13</v>
          </cell>
          <cell r="M1393" t="str">
            <v>营业</v>
          </cell>
        </row>
        <row r="1394">
          <cell r="B1394" t="str">
            <v>翁建忠 Total</v>
          </cell>
          <cell r="L1394">
            <v>0.13</v>
          </cell>
        </row>
        <row r="1395">
          <cell r="A1395" t="str">
            <v>923x42</v>
          </cell>
          <cell r="B1395" t="str">
            <v>翁荔仙</v>
          </cell>
          <cell r="C1395" t="str">
            <v>其它</v>
          </cell>
          <cell r="D1395" t="str">
            <v>其它</v>
          </cell>
          <cell r="E1395" t="str">
            <v>质押贷款</v>
          </cell>
          <cell r="F1395">
            <v>37406</v>
          </cell>
          <cell r="G1395">
            <v>37590</v>
          </cell>
          <cell r="H1395">
            <v>0</v>
          </cell>
          <cell r="I1395">
            <v>5</v>
          </cell>
          <cell r="J1395">
            <v>0</v>
          </cell>
          <cell r="K1395">
            <v>0</v>
          </cell>
          <cell r="L1395">
            <v>5</v>
          </cell>
          <cell r="M1395" t="str">
            <v>禾祥</v>
          </cell>
        </row>
        <row r="1396">
          <cell r="B1396" t="str">
            <v>翁荔仙 Total</v>
          </cell>
          <cell r="L1396">
            <v>5</v>
          </cell>
        </row>
        <row r="1397">
          <cell r="A1397" t="str">
            <v>070010</v>
          </cell>
          <cell r="B1397" t="str">
            <v>吴福露</v>
          </cell>
          <cell r="C1397" t="str">
            <v>其它</v>
          </cell>
          <cell r="D1397" t="str">
            <v>其它</v>
          </cell>
          <cell r="E1397" t="str">
            <v>抵押贷款</v>
          </cell>
          <cell r="F1397">
            <v>37550</v>
          </cell>
          <cell r="G1397">
            <v>37894</v>
          </cell>
          <cell r="H1397">
            <v>15.4</v>
          </cell>
          <cell r="I1397">
            <v>15.4</v>
          </cell>
          <cell r="J1397">
            <v>0</v>
          </cell>
          <cell r="K1397">
            <v>0</v>
          </cell>
          <cell r="L1397">
            <v>15.4</v>
          </cell>
          <cell r="M1397" t="str">
            <v>公园</v>
          </cell>
        </row>
        <row r="1398">
          <cell r="B1398" t="str">
            <v>吴福露 Total</v>
          </cell>
          <cell r="L1398">
            <v>15.4</v>
          </cell>
        </row>
        <row r="1399">
          <cell r="A1399" t="str">
            <v>170027</v>
          </cell>
          <cell r="B1399" t="str">
            <v>吴静芳</v>
          </cell>
          <cell r="C1399" t="str">
            <v>其它</v>
          </cell>
          <cell r="D1399" t="str">
            <v>其它</v>
          </cell>
          <cell r="E1399" t="str">
            <v>质押贷款</v>
          </cell>
          <cell r="F1399">
            <v>37432</v>
          </cell>
          <cell r="G1399">
            <v>37595</v>
          </cell>
          <cell r="H1399">
            <v>0</v>
          </cell>
          <cell r="I1399">
            <v>14</v>
          </cell>
          <cell r="J1399">
            <v>0</v>
          </cell>
          <cell r="K1399">
            <v>1.5</v>
          </cell>
          <cell r="L1399">
            <v>12.5</v>
          </cell>
          <cell r="M1399" t="str">
            <v>厦禾</v>
          </cell>
        </row>
        <row r="1400">
          <cell r="B1400" t="str">
            <v>吴静芳 Total</v>
          </cell>
          <cell r="L1400">
            <v>12.5</v>
          </cell>
        </row>
        <row r="1401">
          <cell r="A1401" t="str">
            <v>020053</v>
          </cell>
          <cell r="B1401" t="str">
            <v>吴凯</v>
          </cell>
          <cell r="C1401" t="str">
            <v>住房</v>
          </cell>
          <cell r="D1401" t="str">
            <v>其它</v>
          </cell>
          <cell r="E1401" t="str">
            <v>抵押贷款</v>
          </cell>
          <cell r="F1401">
            <v>36963</v>
          </cell>
          <cell r="G1401">
            <v>44268</v>
          </cell>
          <cell r="H1401">
            <v>0</v>
          </cell>
          <cell r="I1401">
            <v>40.82</v>
          </cell>
          <cell r="J1401">
            <v>0</v>
          </cell>
          <cell r="K1401">
            <v>0.61</v>
          </cell>
          <cell r="L1401">
            <v>40.21</v>
          </cell>
          <cell r="M1401" t="str">
            <v>东区</v>
          </cell>
        </row>
        <row r="1402">
          <cell r="B1402" t="str">
            <v>吴凯 Total</v>
          </cell>
          <cell r="L1402">
            <v>40.21</v>
          </cell>
        </row>
        <row r="1403">
          <cell r="A1403" t="str">
            <v>020175</v>
          </cell>
          <cell r="B1403" t="str">
            <v>吴梅花</v>
          </cell>
          <cell r="C1403" t="str">
            <v>住房</v>
          </cell>
          <cell r="D1403" t="str">
            <v>其它</v>
          </cell>
          <cell r="E1403" t="str">
            <v>抵押贷款</v>
          </cell>
          <cell r="F1403">
            <v>36663</v>
          </cell>
          <cell r="G1403">
            <v>37488</v>
          </cell>
          <cell r="H1403">
            <v>0.11</v>
          </cell>
          <cell r="I1403">
            <v>0.95</v>
          </cell>
          <cell r="J1403">
            <v>0</v>
          </cell>
          <cell r="K1403">
            <v>0.12</v>
          </cell>
          <cell r="L1403">
            <v>0.83</v>
          </cell>
          <cell r="M1403" t="str">
            <v>东区</v>
          </cell>
        </row>
        <row r="1404">
          <cell r="A1404" t="str">
            <v>020082</v>
          </cell>
          <cell r="B1404" t="str">
            <v>吴梅花</v>
          </cell>
          <cell r="C1404" t="str">
            <v>住房</v>
          </cell>
          <cell r="D1404" t="str">
            <v>其它</v>
          </cell>
          <cell r="E1404" t="str">
            <v>抵押贷款</v>
          </cell>
          <cell r="F1404">
            <v>36663</v>
          </cell>
          <cell r="G1404">
            <v>42141</v>
          </cell>
          <cell r="H1404">
            <v>0</v>
          </cell>
          <cell r="I1404">
            <v>24.88</v>
          </cell>
          <cell r="J1404">
            <v>0.11</v>
          </cell>
          <cell r="K1404">
            <v>0.74</v>
          </cell>
          <cell r="L1404">
            <v>24.14</v>
          </cell>
          <cell r="M1404" t="str">
            <v>东区</v>
          </cell>
        </row>
        <row r="1405">
          <cell r="B1405" t="str">
            <v>吴梅花 Total</v>
          </cell>
          <cell r="L1405">
            <v>24.97</v>
          </cell>
        </row>
        <row r="1406">
          <cell r="A1406" t="str">
            <v>gs0064</v>
          </cell>
          <cell r="B1406" t="str">
            <v>吴美珠</v>
          </cell>
          <cell r="C1406" t="str">
            <v>其它</v>
          </cell>
          <cell r="D1406" t="str">
            <v>其它</v>
          </cell>
          <cell r="E1406" t="str">
            <v>抵押贷款</v>
          </cell>
          <cell r="F1406">
            <v>37291</v>
          </cell>
          <cell r="G1406">
            <v>37656</v>
          </cell>
          <cell r="H1406">
            <v>0</v>
          </cell>
          <cell r="I1406">
            <v>30</v>
          </cell>
          <cell r="J1406">
            <v>0</v>
          </cell>
          <cell r="K1406">
            <v>0</v>
          </cell>
          <cell r="L1406">
            <v>30</v>
          </cell>
          <cell r="M1406" t="str">
            <v>湖里</v>
          </cell>
        </row>
        <row r="1407">
          <cell r="B1407" t="str">
            <v>吴美珠 Total</v>
          </cell>
          <cell r="L1407">
            <v>30</v>
          </cell>
        </row>
        <row r="1408">
          <cell r="A1408" t="str">
            <v>000012</v>
          </cell>
          <cell r="B1408" t="str">
            <v>吴雪红</v>
          </cell>
          <cell r="C1408" t="str">
            <v>其它</v>
          </cell>
          <cell r="D1408" t="str">
            <v>其它</v>
          </cell>
          <cell r="E1408" t="str">
            <v>抵押贷款</v>
          </cell>
          <cell r="F1408">
            <v>37294</v>
          </cell>
          <cell r="G1408">
            <v>37645</v>
          </cell>
          <cell r="H1408">
            <v>0</v>
          </cell>
          <cell r="I1408">
            <v>33</v>
          </cell>
          <cell r="J1408">
            <v>0</v>
          </cell>
          <cell r="K1408">
            <v>0</v>
          </cell>
          <cell r="L1408">
            <v>33</v>
          </cell>
          <cell r="M1408" t="str">
            <v>康乐</v>
          </cell>
        </row>
        <row r="1409">
          <cell r="B1409" t="str">
            <v>吴雪红 Total</v>
          </cell>
          <cell r="L1409">
            <v>33</v>
          </cell>
        </row>
        <row r="1410">
          <cell r="A1410" t="str">
            <v>300156</v>
          </cell>
          <cell r="B1410" t="str">
            <v>吴玉辉</v>
          </cell>
          <cell r="C1410" t="str">
            <v>其它</v>
          </cell>
          <cell r="D1410" t="str">
            <v>其它</v>
          </cell>
          <cell r="E1410" t="str">
            <v>质押贷款</v>
          </cell>
          <cell r="F1410">
            <v>37492</v>
          </cell>
          <cell r="G1410">
            <v>37676</v>
          </cell>
          <cell r="H1410">
            <v>0</v>
          </cell>
          <cell r="I1410">
            <v>26</v>
          </cell>
          <cell r="J1410">
            <v>0</v>
          </cell>
          <cell r="K1410">
            <v>0</v>
          </cell>
          <cell r="L1410">
            <v>26</v>
          </cell>
          <cell r="M1410" t="str">
            <v>鹭江</v>
          </cell>
        </row>
        <row r="1411">
          <cell r="B1411" t="str">
            <v>吴玉辉 Total</v>
          </cell>
          <cell r="L1411">
            <v>26</v>
          </cell>
        </row>
        <row r="1412">
          <cell r="A1412" t="str">
            <v>170033</v>
          </cell>
          <cell r="B1412" t="str">
            <v>吴真宝</v>
          </cell>
          <cell r="C1412" t="str">
            <v>其它</v>
          </cell>
          <cell r="D1412" t="str">
            <v>其它</v>
          </cell>
          <cell r="E1412" t="str">
            <v>质押贷款</v>
          </cell>
          <cell r="F1412">
            <v>37490</v>
          </cell>
          <cell r="G1412">
            <v>37674</v>
          </cell>
          <cell r="H1412">
            <v>0</v>
          </cell>
          <cell r="I1412">
            <v>9</v>
          </cell>
          <cell r="J1412">
            <v>0</v>
          </cell>
          <cell r="K1412">
            <v>4</v>
          </cell>
          <cell r="L1412">
            <v>5</v>
          </cell>
          <cell r="M1412" t="str">
            <v>厦禾</v>
          </cell>
        </row>
        <row r="1413">
          <cell r="B1413" t="str">
            <v>吴真宝 Total</v>
          </cell>
          <cell r="L1413">
            <v>5</v>
          </cell>
        </row>
        <row r="1414">
          <cell r="A1414" t="str">
            <v>170028</v>
          </cell>
          <cell r="B1414" t="str">
            <v>吴植秋</v>
          </cell>
          <cell r="C1414" t="str">
            <v>其它</v>
          </cell>
          <cell r="D1414" t="str">
            <v>其它</v>
          </cell>
          <cell r="E1414" t="str">
            <v>保证贷款</v>
          </cell>
          <cell r="F1414">
            <v>37438</v>
          </cell>
          <cell r="G1414">
            <v>37803</v>
          </cell>
          <cell r="H1414">
            <v>0</v>
          </cell>
          <cell r="I1414">
            <v>5</v>
          </cell>
          <cell r="J1414">
            <v>0</v>
          </cell>
          <cell r="K1414">
            <v>0</v>
          </cell>
          <cell r="L1414">
            <v>5</v>
          </cell>
          <cell r="M1414" t="str">
            <v>厦禾</v>
          </cell>
        </row>
        <row r="1415">
          <cell r="B1415" t="str">
            <v>吴植秋 Total</v>
          </cell>
          <cell r="L1415">
            <v>5</v>
          </cell>
        </row>
        <row r="1416">
          <cell r="A1416" t="str">
            <v>020083</v>
          </cell>
          <cell r="B1416" t="str">
            <v>吴自力</v>
          </cell>
          <cell r="C1416" t="str">
            <v>住房</v>
          </cell>
          <cell r="D1416" t="str">
            <v>其它</v>
          </cell>
          <cell r="E1416" t="str">
            <v>抵押贷款</v>
          </cell>
          <cell r="F1416">
            <v>36663</v>
          </cell>
          <cell r="G1416">
            <v>38489</v>
          </cell>
          <cell r="H1416">
            <v>0</v>
          </cell>
          <cell r="I1416">
            <v>46.46</v>
          </cell>
          <cell r="J1416">
            <v>1.1599999999999999</v>
          </cell>
          <cell r="K1416">
            <v>8</v>
          </cell>
          <cell r="L1416">
            <v>38.46</v>
          </cell>
          <cell r="M1416" t="str">
            <v>东区</v>
          </cell>
        </row>
        <row r="1417">
          <cell r="B1417" t="str">
            <v>吴自力 Total</v>
          </cell>
          <cell r="L1417">
            <v>38.46</v>
          </cell>
        </row>
        <row r="1418">
          <cell r="A1418" t="str">
            <v>020109</v>
          </cell>
          <cell r="B1418" t="str">
            <v>吴宗贤</v>
          </cell>
          <cell r="C1418" t="str">
            <v>其它</v>
          </cell>
          <cell r="D1418" t="str">
            <v>其它</v>
          </cell>
          <cell r="E1418" t="str">
            <v>抵押贷款</v>
          </cell>
          <cell r="F1418">
            <v>37202</v>
          </cell>
          <cell r="G1418">
            <v>37567</v>
          </cell>
          <cell r="H1418">
            <v>0</v>
          </cell>
          <cell r="I1418">
            <v>12</v>
          </cell>
          <cell r="J1418">
            <v>0</v>
          </cell>
          <cell r="K1418">
            <v>0</v>
          </cell>
          <cell r="L1418">
            <v>12</v>
          </cell>
          <cell r="M1418" t="str">
            <v>东区</v>
          </cell>
        </row>
        <row r="1419">
          <cell r="B1419" t="str">
            <v>吴宗贤 Total</v>
          </cell>
          <cell r="L1419">
            <v>12</v>
          </cell>
        </row>
        <row r="1420">
          <cell r="A1420" t="str">
            <v>300001</v>
          </cell>
          <cell r="B1420" t="str">
            <v>五矿报关行</v>
          </cell>
          <cell r="C1420" t="str">
            <v>国营</v>
          </cell>
          <cell r="D1420" t="str">
            <v>商贸</v>
          </cell>
          <cell r="E1420" t="str">
            <v>保证贷款</v>
          </cell>
          <cell r="F1420">
            <v>37277</v>
          </cell>
          <cell r="G1420">
            <v>37642</v>
          </cell>
          <cell r="H1420">
            <v>0</v>
          </cell>
          <cell r="I1420">
            <v>100</v>
          </cell>
          <cell r="J1420">
            <v>0</v>
          </cell>
          <cell r="K1420">
            <v>0</v>
          </cell>
          <cell r="L1420">
            <v>100</v>
          </cell>
          <cell r="M1420" t="str">
            <v>鹭江</v>
          </cell>
        </row>
        <row r="1421">
          <cell r="B1421" t="str">
            <v>五矿报关行 Total</v>
          </cell>
          <cell r="L1421">
            <v>100</v>
          </cell>
        </row>
        <row r="1422">
          <cell r="A1422" t="str">
            <v>070060</v>
          </cell>
          <cell r="B1422" t="str">
            <v>五矿货运</v>
          </cell>
          <cell r="C1422" t="str">
            <v>国营</v>
          </cell>
          <cell r="D1422" t="str">
            <v>商贸</v>
          </cell>
          <cell r="E1422" t="str">
            <v>质押贷款</v>
          </cell>
          <cell r="F1422">
            <v>37462</v>
          </cell>
          <cell r="G1422">
            <v>37643</v>
          </cell>
          <cell r="H1422">
            <v>0</v>
          </cell>
          <cell r="I1422">
            <v>40</v>
          </cell>
          <cell r="J1422">
            <v>0</v>
          </cell>
          <cell r="K1422">
            <v>0</v>
          </cell>
          <cell r="L1422">
            <v>40</v>
          </cell>
          <cell r="M1422" t="str">
            <v>公园</v>
          </cell>
        </row>
        <row r="1423">
          <cell r="B1423" t="str">
            <v>五矿货运 Total</v>
          </cell>
          <cell r="L1423">
            <v>40</v>
          </cell>
        </row>
        <row r="1424">
          <cell r="A1424" t="str">
            <v>070001</v>
          </cell>
          <cell r="B1424" t="str">
            <v>五矿货运福建公司</v>
          </cell>
          <cell r="C1424" t="str">
            <v>其它</v>
          </cell>
          <cell r="D1424" t="str">
            <v>其它</v>
          </cell>
          <cell r="E1424" t="str">
            <v>抵押贷款</v>
          </cell>
          <cell r="F1424">
            <v>37363</v>
          </cell>
          <cell r="G1424">
            <v>38087</v>
          </cell>
          <cell r="H1424">
            <v>0</v>
          </cell>
          <cell r="I1424">
            <v>14</v>
          </cell>
          <cell r="J1424">
            <v>0.56000000000000005</v>
          </cell>
          <cell r="K1424">
            <v>3.33</v>
          </cell>
          <cell r="L1424">
            <v>10.67</v>
          </cell>
          <cell r="M1424" t="str">
            <v>公园</v>
          </cell>
        </row>
        <row r="1425">
          <cell r="A1425" t="str">
            <v>070002</v>
          </cell>
          <cell r="B1425" t="str">
            <v>五矿货运福建公司</v>
          </cell>
          <cell r="C1425" t="str">
            <v>其它</v>
          </cell>
          <cell r="D1425" t="str">
            <v>其它</v>
          </cell>
          <cell r="E1425" t="str">
            <v>抵押贷款</v>
          </cell>
          <cell r="F1425">
            <v>37431</v>
          </cell>
          <cell r="G1425">
            <v>38137</v>
          </cell>
          <cell r="H1425">
            <v>0</v>
          </cell>
          <cell r="I1425">
            <v>17.04</v>
          </cell>
          <cell r="J1425">
            <v>0.71</v>
          </cell>
          <cell r="K1425">
            <v>2.82</v>
          </cell>
          <cell r="L1425">
            <v>14.22</v>
          </cell>
          <cell r="M1425" t="str">
            <v>公园</v>
          </cell>
        </row>
        <row r="1426">
          <cell r="A1426" t="str">
            <v>070003</v>
          </cell>
          <cell r="B1426" t="str">
            <v>五矿货运福建公司</v>
          </cell>
          <cell r="C1426" t="str">
            <v>其它</v>
          </cell>
          <cell r="D1426" t="str">
            <v>其它</v>
          </cell>
          <cell r="E1426" t="str">
            <v>抵押贷款</v>
          </cell>
          <cell r="F1426">
            <v>37431</v>
          </cell>
          <cell r="G1426">
            <v>38137</v>
          </cell>
          <cell r="H1426">
            <v>0</v>
          </cell>
          <cell r="I1426">
            <v>17.04</v>
          </cell>
          <cell r="J1426">
            <v>0.71</v>
          </cell>
          <cell r="K1426">
            <v>2.82</v>
          </cell>
          <cell r="L1426">
            <v>14.22</v>
          </cell>
          <cell r="M1426" t="str">
            <v>公园</v>
          </cell>
        </row>
        <row r="1427">
          <cell r="A1427" t="str">
            <v>070004</v>
          </cell>
          <cell r="B1427" t="str">
            <v>五矿货运福建公司</v>
          </cell>
          <cell r="C1427" t="str">
            <v>其它</v>
          </cell>
          <cell r="D1427" t="str">
            <v>其它</v>
          </cell>
          <cell r="E1427" t="str">
            <v>抵押贷款</v>
          </cell>
          <cell r="F1427">
            <v>37431</v>
          </cell>
          <cell r="G1427">
            <v>38137</v>
          </cell>
          <cell r="H1427">
            <v>0</v>
          </cell>
          <cell r="I1427">
            <v>17.04</v>
          </cell>
          <cell r="J1427">
            <v>0.71</v>
          </cell>
          <cell r="K1427">
            <v>2.82</v>
          </cell>
          <cell r="L1427">
            <v>14.22</v>
          </cell>
          <cell r="M1427" t="str">
            <v>公园</v>
          </cell>
        </row>
        <row r="1428">
          <cell r="A1428" t="str">
            <v>070008</v>
          </cell>
          <cell r="B1428" t="str">
            <v>五矿货运福建公司</v>
          </cell>
          <cell r="C1428" t="str">
            <v>其它</v>
          </cell>
          <cell r="D1428" t="str">
            <v>其它</v>
          </cell>
          <cell r="E1428" t="str">
            <v>抵押贷款</v>
          </cell>
          <cell r="F1428">
            <v>37517</v>
          </cell>
          <cell r="G1428">
            <v>38242</v>
          </cell>
          <cell r="H1428">
            <v>0</v>
          </cell>
          <cell r="I1428">
            <v>14.9</v>
          </cell>
          <cell r="J1428">
            <v>0.59</v>
          </cell>
          <cell r="K1428">
            <v>0.59</v>
          </cell>
          <cell r="L1428">
            <v>14.31</v>
          </cell>
          <cell r="M1428" t="str">
            <v>公园</v>
          </cell>
        </row>
        <row r="1429">
          <cell r="B1429" t="str">
            <v>五矿货运福建公司 Total</v>
          </cell>
          <cell r="L1429">
            <v>67.64</v>
          </cell>
        </row>
        <row r="1430">
          <cell r="A1430" t="str">
            <v>200134</v>
          </cell>
          <cell r="B1430" t="str">
            <v>五显企业公司</v>
          </cell>
          <cell r="C1430" t="str">
            <v>国营</v>
          </cell>
          <cell r="D1430" t="str">
            <v>商贸</v>
          </cell>
          <cell r="E1430" t="str">
            <v>保证贷款</v>
          </cell>
          <cell r="F1430">
            <v>37108</v>
          </cell>
          <cell r="G1430">
            <v>37409</v>
          </cell>
          <cell r="H1430">
            <v>0</v>
          </cell>
          <cell r="I1430">
            <v>0</v>
          </cell>
          <cell r="J1430">
            <v>0</v>
          </cell>
          <cell r="K1430">
            <v>0</v>
          </cell>
          <cell r="L1430">
            <v>180</v>
          </cell>
          <cell r="M1430" t="str">
            <v>同安</v>
          </cell>
        </row>
        <row r="1431">
          <cell r="A1431" t="str">
            <v>200027</v>
          </cell>
          <cell r="B1431" t="str">
            <v>五显企业公司</v>
          </cell>
          <cell r="C1431" t="str">
            <v>集体</v>
          </cell>
          <cell r="D1431" t="str">
            <v>工业</v>
          </cell>
          <cell r="E1431" t="str">
            <v>保证贷款</v>
          </cell>
          <cell r="F1431">
            <v>36675</v>
          </cell>
          <cell r="G1431">
            <v>36951</v>
          </cell>
          <cell r="H1431">
            <v>0</v>
          </cell>
          <cell r="I1431">
            <v>0</v>
          </cell>
          <cell r="J1431">
            <v>0</v>
          </cell>
          <cell r="K1431">
            <v>0</v>
          </cell>
          <cell r="L1431">
            <v>9</v>
          </cell>
          <cell r="M1431" t="str">
            <v>同安</v>
          </cell>
        </row>
        <row r="1432">
          <cell r="B1432" t="str">
            <v>五显企业公司 Total</v>
          </cell>
          <cell r="L1432">
            <v>189</v>
          </cell>
        </row>
        <row r="1433">
          <cell r="A1433" t="str">
            <v>217301</v>
          </cell>
          <cell r="B1433" t="str">
            <v>西湖茶叶公司</v>
          </cell>
          <cell r="C1433" t="str">
            <v>集体</v>
          </cell>
          <cell r="D1433" t="str">
            <v>工业</v>
          </cell>
          <cell r="E1433" t="str">
            <v>保证贷款</v>
          </cell>
          <cell r="F1433">
            <v>35702</v>
          </cell>
          <cell r="G1433">
            <v>35977</v>
          </cell>
          <cell r="H1433">
            <v>0</v>
          </cell>
          <cell r="I1433">
            <v>0</v>
          </cell>
          <cell r="J1433">
            <v>0</v>
          </cell>
          <cell r="K1433">
            <v>0</v>
          </cell>
          <cell r="L1433">
            <v>28</v>
          </cell>
          <cell r="M1433" t="str">
            <v>同安</v>
          </cell>
        </row>
        <row r="1434">
          <cell r="B1434" t="str">
            <v>西湖茶叶公司 Total</v>
          </cell>
          <cell r="L1434">
            <v>28</v>
          </cell>
        </row>
        <row r="1435">
          <cell r="A1435" t="str">
            <v>227035</v>
          </cell>
          <cell r="B1435" t="str">
            <v>西塘果菜经营部</v>
          </cell>
          <cell r="C1435" t="str">
            <v>集体</v>
          </cell>
          <cell r="D1435" t="str">
            <v>商贸</v>
          </cell>
          <cell r="E1435" t="str">
            <v>保证贷款</v>
          </cell>
          <cell r="F1435">
            <v>35461</v>
          </cell>
          <cell r="G1435">
            <v>35675</v>
          </cell>
          <cell r="H1435">
            <v>0</v>
          </cell>
          <cell r="I1435">
            <v>0</v>
          </cell>
          <cell r="J1435">
            <v>0</v>
          </cell>
          <cell r="K1435">
            <v>0</v>
          </cell>
          <cell r="L1435">
            <v>30</v>
          </cell>
          <cell r="M1435" t="str">
            <v>同安</v>
          </cell>
        </row>
        <row r="1436">
          <cell r="B1436" t="str">
            <v>西塘果菜经营部 Total</v>
          </cell>
          <cell r="L1436">
            <v>30</v>
          </cell>
        </row>
        <row r="1437">
          <cell r="A1437" t="str">
            <v>020194</v>
          </cell>
          <cell r="B1437" t="str">
            <v>夏金铎</v>
          </cell>
          <cell r="C1437" t="str">
            <v>其它</v>
          </cell>
          <cell r="D1437" t="str">
            <v>其它</v>
          </cell>
          <cell r="E1437" t="str">
            <v>保证贷款</v>
          </cell>
          <cell r="F1437">
            <v>37558</v>
          </cell>
          <cell r="G1437">
            <v>37923</v>
          </cell>
          <cell r="H1437">
            <v>10</v>
          </cell>
          <cell r="I1437">
            <v>10</v>
          </cell>
          <cell r="J1437">
            <v>0</v>
          </cell>
          <cell r="K1437">
            <v>0</v>
          </cell>
          <cell r="L1437">
            <v>10</v>
          </cell>
          <cell r="M1437" t="str">
            <v>东区</v>
          </cell>
        </row>
        <row r="1438">
          <cell r="B1438" t="str">
            <v>夏金铎 Total</v>
          </cell>
          <cell r="L1438">
            <v>10</v>
          </cell>
        </row>
        <row r="1439">
          <cell r="A1439" t="str">
            <v>gs0063</v>
          </cell>
          <cell r="B1439" t="str">
            <v>夏晓刚</v>
          </cell>
          <cell r="C1439" t="str">
            <v>其它</v>
          </cell>
          <cell r="D1439" t="str">
            <v>其它</v>
          </cell>
          <cell r="E1439" t="str">
            <v>保证贷款</v>
          </cell>
          <cell r="F1439">
            <v>37160</v>
          </cell>
          <cell r="G1439">
            <v>37525</v>
          </cell>
          <cell r="H1439">
            <v>0</v>
          </cell>
          <cell r="I1439">
            <v>100</v>
          </cell>
          <cell r="J1439">
            <v>4</v>
          </cell>
          <cell r="K1439">
            <v>29.5</v>
          </cell>
          <cell r="L1439">
            <v>70.5</v>
          </cell>
          <cell r="M1439" t="str">
            <v>湖里</v>
          </cell>
        </row>
        <row r="1440">
          <cell r="B1440" t="str">
            <v>夏晓刚 Total</v>
          </cell>
          <cell r="L1440">
            <v>70.5</v>
          </cell>
        </row>
        <row r="1441">
          <cell r="A1441" t="str">
            <v>200018</v>
          </cell>
          <cell r="B1441" t="str">
            <v>厦大国际旅行社</v>
          </cell>
          <cell r="C1441" t="str">
            <v>集体</v>
          </cell>
          <cell r="D1441" t="str">
            <v>商贸</v>
          </cell>
          <cell r="E1441" t="str">
            <v>抵押贷款</v>
          </cell>
          <cell r="F1441">
            <v>37280</v>
          </cell>
          <cell r="G1441">
            <v>38010</v>
          </cell>
          <cell r="H1441">
            <v>0</v>
          </cell>
          <cell r="I1441">
            <v>37.44</v>
          </cell>
          <cell r="J1441">
            <v>1.53</v>
          </cell>
          <cell r="K1441">
            <v>13.43</v>
          </cell>
          <cell r="L1441">
            <v>24.01</v>
          </cell>
          <cell r="M1441" t="str">
            <v>新港</v>
          </cell>
        </row>
        <row r="1442">
          <cell r="A1442" t="str">
            <v>200041</v>
          </cell>
          <cell r="B1442" t="str">
            <v>厦大国际旅行社</v>
          </cell>
          <cell r="C1442" t="str">
            <v>集体</v>
          </cell>
          <cell r="D1442" t="str">
            <v>商贸</v>
          </cell>
          <cell r="E1442" t="str">
            <v>抵押贷款</v>
          </cell>
          <cell r="F1442">
            <v>37412</v>
          </cell>
          <cell r="G1442">
            <v>38138</v>
          </cell>
          <cell r="H1442">
            <v>0</v>
          </cell>
          <cell r="I1442">
            <v>17.64</v>
          </cell>
          <cell r="J1442">
            <v>0.73</v>
          </cell>
          <cell r="K1442">
            <v>2.94</v>
          </cell>
          <cell r="L1442">
            <v>14.7</v>
          </cell>
          <cell r="M1442" t="str">
            <v>新港</v>
          </cell>
        </row>
        <row r="1443">
          <cell r="B1443" t="str">
            <v>厦大国际旅行社 Total</v>
          </cell>
          <cell r="L1443">
            <v>38.71</v>
          </cell>
        </row>
        <row r="1444">
          <cell r="A1444" t="str">
            <v>13013</v>
          </cell>
          <cell r="B1444" t="str">
            <v>厦工集团有限公司</v>
          </cell>
          <cell r="C1444" t="str">
            <v>国营</v>
          </cell>
          <cell r="D1444" t="str">
            <v>工业</v>
          </cell>
          <cell r="E1444" t="str">
            <v>信用贷款</v>
          </cell>
          <cell r="F1444">
            <v>37435</v>
          </cell>
          <cell r="G1444">
            <v>37800</v>
          </cell>
          <cell r="H1444">
            <v>0</v>
          </cell>
          <cell r="I1444">
            <v>500</v>
          </cell>
          <cell r="J1444">
            <v>0</v>
          </cell>
          <cell r="K1444">
            <v>0</v>
          </cell>
          <cell r="L1444">
            <v>500</v>
          </cell>
          <cell r="M1444" t="str">
            <v>江头</v>
          </cell>
        </row>
        <row r="1445">
          <cell r="B1445" t="str">
            <v>厦工集团有限公司 Total</v>
          </cell>
          <cell r="L1445">
            <v>500</v>
          </cell>
        </row>
        <row r="1446">
          <cell r="A1446" t="str">
            <v>350892</v>
          </cell>
          <cell r="B1446" t="str">
            <v>厦华股份</v>
          </cell>
          <cell r="C1446" t="str">
            <v>三资</v>
          </cell>
          <cell r="D1446" t="str">
            <v>工业</v>
          </cell>
          <cell r="E1446" t="str">
            <v>票据贴现</v>
          </cell>
          <cell r="F1446">
            <v>37544</v>
          </cell>
          <cell r="G1446">
            <v>37723</v>
          </cell>
          <cell r="H1446">
            <v>30</v>
          </cell>
          <cell r="I1446">
            <v>30</v>
          </cell>
          <cell r="J1446">
            <v>0</v>
          </cell>
          <cell r="K1446">
            <v>0</v>
          </cell>
          <cell r="L1446">
            <v>30</v>
          </cell>
          <cell r="M1446" t="str">
            <v>湖里</v>
          </cell>
        </row>
        <row r="1447">
          <cell r="A1447" t="str">
            <v>350884</v>
          </cell>
          <cell r="B1447" t="str">
            <v>厦华股份</v>
          </cell>
          <cell r="C1447" t="str">
            <v>三资</v>
          </cell>
          <cell r="D1447" t="str">
            <v>工业</v>
          </cell>
          <cell r="E1447" t="str">
            <v>票据贴现</v>
          </cell>
          <cell r="F1447">
            <v>37540</v>
          </cell>
          <cell r="G1447">
            <v>37719</v>
          </cell>
          <cell r="H1447">
            <v>40</v>
          </cell>
          <cell r="I1447">
            <v>40</v>
          </cell>
          <cell r="J1447">
            <v>0</v>
          </cell>
          <cell r="K1447">
            <v>0</v>
          </cell>
          <cell r="L1447">
            <v>40</v>
          </cell>
          <cell r="M1447" t="str">
            <v>湖里</v>
          </cell>
        </row>
        <row r="1448">
          <cell r="A1448" t="str">
            <v>350886</v>
          </cell>
          <cell r="B1448" t="str">
            <v>厦华股份</v>
          </cell>
          <cell r="C1448" t="str">
            <v>三资</v>
          </cell>
          <cell r="D1448" t="str">
            <v>工业</v>
          </cell>
          <cell r="E1448" t="str">
            <v>票据贴现</v>
          </cell>
          <cell r="F1448">
            <v>37540</v>
          </cell>
          <cell r="G1448">
            <v>37695</v>
          </cell>
          <cell r="H1448">
            <v>50</v>
          </cell>
          <cell r="I1448">
            <v>50</v>
          </cell>
          <cell r="J1448">
            <v>0</v>
          </cell>
          <cell r="K1448">
            <v>0</v>
          </cell>
          <cell r="L1448">
            <v>50</v>
          </cell>
          <cell r="M1448" t="str">
            <v>湖里</v>
          </cell>
        </row>
        <row r="1449">
          <cell r="A1449" t="str">
            <v>350890</v>
          </cell>
          <cell r="B1449" t="str">
            <v>厦华股份</v>
          </cell>
          <cell r="C1449" t="str">
            <v>三资</v>
          </cell>
          <cell r="D1449" t="str">
            <v>工业</v>
          </cell>
          <cell r="E1449" t="str">
            <v>票据贴现</v>
          </cell>
          <cell r="F1449">
            <v>37540</v>
          </cell>
          <cell r="G1449">
            <v>37709</v>
          </cell>
          <cell r="H1449">
            <v>50</v>
          </cell>
          <cell r="I1449">
            <v>50</v>
          </cell>
          <cell r="J1449">
            <v>0</v>
          </cell>
          <cell r="K1449">
            <v>0</v>
          </cell>
          <cell r="L1449">
            <v>50</v>
          </cell>
          <cell r="M1449" t="str">
            <v>湖里</v>
          </cell>
        </row>
        <row r="1450">
          <cell r="A1450" t="str">
            <v>350914</v>
          </cell>
          <cell r="B1450" t="str">
            <v>厦华股份</v>
          </cell>
          <cell r="C1450" t="str">
            <v>三资</v>
          </cell>
          <cell r="D1450" t="str">
            <v>工业</v>
          </cell>
          <cell r="E1450" t="str">
            <v>票据贴现</v>
          </cell>
          <cell r="F1450">
            <v>37547</v>
          </cell>
          <cell r="G1450">
            <v>37723</v>
          </cell>
          <cell r="H1450">
            <v>50</v>
          </cell>
          <cell r="I1450">
            <v>50</v>
          </cell>
          <cell r="J1450">
            <v>0</v>
          </cell>
          <cell r="K1450">
            <v>0</v>
          </cell>
          <cell r="L1450">
            <v>50</v>
          </cell>
          <cell r="M1450" t="str">
            <v>湖里</v>
          </cell>
        </row>
        <row r="1451">
          <cell r="A1451" t="str">
            <v>350887</v>
          </cell>
          <cell r="B1451" t="str">
            <v>厦华股份</v>
          </cell>
          <cell r="C1451" t="str">
            <v>三资</v>
          </cell>
          <cell r="D1451" t="str">
            <v>工业</v>
          </cell>
          <cell r="E1451" t="str">
            <v>票据贴现</v>
          </cell>
          <cell r="F1451">
            <v>37540</v>
          </cell>
          <cell r="G1451">
            <v>37708</v>
          </cell>
          <cell r="H1451">
            <v>60</v>
          </cell>
          <cell r="I1451">
            <v>60</v>
          </cell>
          <cell r="J1451">
            <v>0</v>
          </cell>
          <cell r="K1451">
            <v>0</v>
          </cell>
          <cell r="L1451">
            <v>60</v>
          </cell>
          <cell r="M1451" t="str">
            <v>湖里</v>
          </cell>
        </row>
        <row r="1452">
          <cell r="A1452" t="str">
            <v>350889</v>
          </cell>
          <cell r="B1452" t="str">
            <v>厦华股份</v>
          </cell>
          <cell r="C1452" t="str">
            <v>三资</v>
          </cell>
          <cell r="D1452" t="str">
            <v>工业</v>
          </cell>
          <cell r="E1452" t="str">
            <v>票据贴现</v>
          </cell>
          <cell r="F1452">
            <v>37540</v>
          </cell>
          <cell r="G1452">
            <v>37709</v>
          </cell>
          <cell r="H1452">
            <v>60</v>
          </cell>
          <cell r="I1452">
            <v>60</v>
          </cell>
          <cell r="J1452">
            <v>0</v>
          </cell>
          <cell r="K1452">
            <v>0</v>
          </cell>
          <cell r="L1452">
            <v>60</v>
          </cell>
          <cell r="M1452" t="str">
            <v>湖里</v>
          </cell>
        </row>
        <row r="1453">
          <cell r="A1453" t="str">
            <v>350916</v>
          </cell>
          <cell r="B1453" t="str">
            <v>厦华股份</v>
          </cell>
          <cell r="C1453" t="str">
            <v>三资</v>
          </cell>
          <cell r="D1453" t="str">
            <v>工业</v>
          </cell>
          <cell r="E1453" t="str">
            <v>票据贴现</v>
          </cell>
          <cell r="F1453">
            <v>37547</v>
          </cell>
          <cell r="G1453">
            <v>37726</v>
          </cell>
          <cell r="H1453">
            <v>60</v>
          </cell>
          <cell r="I1453">
            <v>60</v>
          </cell>
          <cell r="J1453">
            <v>0</v>
          </cell>
          <cell r="K1453">
            <v>0</v>
          </cell>
          <cell r="L1453">
            <v>60</v>
          </cell>
          <cell r="M1453" t="str">
            <v>湖里</v>
          </cell>
        </row>
        <row r="1454">
          <cell r="A1454" t="str">
            <v>350893</v>
          </cell>
          <cell r="B1454" t="str">
            <v>厦华股份</v>
          </cell>
          <cell r="C1454" t="str">
            <v>三资</v>
          </cell>
          <cell r="D1454" t="str">
            <v>工业</v>
          </cell>
          <cell r="E1454" t="str">
            <v>票据贴现</v>
          </cell>
          <cell r="F1454">
            <v>37544</v>
          </cell>
          <cell r="G1454">
            <v>37710</v>
          </cell>
          <cell r="H1454">
            <v>64</v>
          </cell>
          <cell r="I1454">
            <v>64</v>
          </cell>
          <cell r="J1454">
            <v>0</v>
          </cell>
          <cell r="K1454">
            <v>0</v>
          </cell>
          <cell r="L1454">
            <v>64</v>
          </cell>
          <cell r="M1454" t="str">
            <v>湖里</v>
          </cell>
        </row>
        <row r="1455">
          <cell r="A1455" t="str">
            <v>350912</v>
          </cell>
          <cell r="B1455" t="str">
            <v>厦华股份</v>
          </cell>
          <cell r="C1455" t="str">
            <v>三资</v>
          </cell>
          <cell r="D1455" t="str">
            <v>工业</v>
          </cell>
          <cell r="E1455" t="str">
            <v>票据贴现</v>
          </cell>
          <cell r="F1455">
            <v>37545</v>
          </cell>
          <cell r="G1455">
            <v>37720</v>
          </cell>
          <cell r="H1455">
            <v>75</v>
          </cell>
          <cell r="I1455">
            <v>75</v>
          </cell>
          <cell r="J1455">
            <v>0</v>
          </cell>
          <cell r="K1455">
            <v>0</v>
          </cell>
          <cell r="L1455">
            <v>75</v>
          </cell>
          <cell r="M1455" t="str">
            <v>湖里</v>
          </cell>
        </row>
        <row r="1456">
          <cell r="A1456" t="str">
            <v>350882</v>
          </cell>
          <cell r="B1456" t="str">
            <v>厦华股份</v>
          </cell>
          <cell r="C1456" t="str">
            <v>三资</v>
          </cell>
          <cell r="D1456" t="str">
            <v>工业</v>
          </cell>
          <cell r="E1456" t="str">
            <v>票据贴现</v>
          </cell>
          <cell r="F1456">
            <v>37540</v>
          </cell>
          <cell r="G1456">
            <v>37718</v>
          </cell>
          <cell r="H1456">
            <v>100</v>
          </cell>
          <cell r="I1456">
            <v>100</v>
          </cell>
          <cell r="J1456">
            <v>0</v>
          </cell>
          <cell r="K1456">
            <v>0</v>
          </cell>
          <cell r="L1456">
            <v>100</v>
          </cell>
          <cell r="M1456" t="str">
            <v>湖里</v>
          </cell>
        </row>
        <row r="1457">
          <cell r="A1457" t="str">
            <v>350913</v>
          </cell>
          <cell r="B1457" t="str">
            <v>厦华股份</v>
          </cell>
          <cell r="C1457" t="str">
            <v>三资</v>
          </cell>
          <cell r="D1457" t="str">
            <v>工业</v>
          </cell>
          <cell r="E1457" t="str">
            <v>票据贴现</v>
          </cell>
          <cell r="F1457">
            <v>37547</v>
          </cell>
          <cell r="G1457">
            <v>37700</v>
          </cell>
          <cell r="H1457">
            <v>110</v>
          </cell>
          <cell r="I1457">
            <v>110</v>
          </cell>
          <cell r="J1457">
            <v>0</v>
          </cell>
          <cell r="K1457">
            <v>0</v>
          </cell>
          <cell r="L1457">
            <v>110</v>
          </cell>
          <cell r="M1457" t="str">
            <v>湖里</v>
          </cell>
        </row>
        <row r="1458">
          <cell r="A1458" t="str">
            <v>350915</v>
          </cell>
          <cell r="B1458" t="str">
            <v>厦华股份</v>
          </cell>
          <cell r="C1458" t="str">
            <v>三资</v>
          </cell>
          <cell r="D1458" t="str">
            <v>工业</v>
          </cell>
          <cell r="E1458" t="str">
            <v>票据贴现</v>
          </cell>
          <cell r="F1458">
            <v>37547</v>
          </cell>
          <cell r="G1458">
            <v>37725</v>
          </cell>
          <cell r="H1458">
            <v>150</v>
          </cell>
          <cell r="I1458">
            <v>150</v>
          </cell>
          <cell r="J1458">
            <v>0</v>
          </cell>
          <cell r="K1458">
            <v>0</v>
          </cell>
          <cell r="L1458">
            <v>150</v>
          </cell>
          <cell r="M1458" t="str">
            <v>湖里</v>
          </cell>
        </row>
        <row r="1459">
          <cell r="A1459" t="str">
            <v>350785</v>
          </cell>
          <cell r="B1459" t="str">
            <v>厦华股份</v>
          </cell>
          <cell r="C1459" t="str">
            <v>三资</v>
          </cell>
          <cell r="D1459" t="str">
            <v>工业</v>
          </cell>
          <cell r="E1459" t="str">
            <v>保证贷款</v>
          </cell>
          <cell r="F1459">
            <v>37425</v>
          </cell>
          <cell r="G1459">
            <v>37759</v>
          </cell>
          <cell r="H1459">
            <v>0</v>
          </cell>
          <cell r="I1459">
            <v>200</v>
          </cell>
          <cell r="J1459">
            <v>0</v>
          </cell>
          <cell r="K1459">
            <v>0</v>
          </cell>
          <cell r="L1459">
            <v>200</v>
          </cell>
          <cell r="M1459" t="str">
            <v>湖里</v>
          </cell>
        </row>
        <row r="1460">
          <cell r="A1460" t="str">
            <v>350876</v>
          </cell>
          <cell r="B1460" t="str">
            <v>厦华股份</v>
          </cell>
          <cell r="C1460" t="str">
            <v>三资</v>
          </cell>
          <cell r="D1460" t="str">
            <v>工业</v>
          </cell>
          <cell r="E1460" t="str">
            <v>保证贷款</v>
          </cell>
          <cell r="F1460">
            <v>37540</v>
          </cell>
          <cell r="G1460">
            <v>37905</v>
          </cell>
          <cell r="H1460">
            <v>400</v>
          </cell>
          <cell r="I1460">
            <v>400</v>
          </cell>
          <cell r="J1460">
            <v>0</v>
          </cell>
          <cell r="K1460">
            <v>0</v>
          </cell>
          <cell r="L1460">
            <v>400</v>
          </cell>
          <cell r="M1460" t="str">
            <v>湖里</v>
          </cell>
        </row>
        <row r="1461">
          <cell r="A1461" t="str">
            <v>350673</v>
          </cell>
          <cell r="B1461" t="str">
            <v>厦华股份</v>
          </cell>
          <cell r="C1461" t="str">
            <v>三资</v>
          </cell>
          <cell r="D1461" t="str">
            <v>工业</v>
          </cell>
          <cell r="E1461" t="str">
            <v>质押贷款</v>
          </cell>
          <cell r="F1461">
            <v>37314</v>
          </cell>
          <cell r="G1461">
            <v>37679</v>
          </cell>
          <cell r="H1461">
            <v>0</v>
          </cell>
          <cell r="I1461">
            <v>900</v>
          </cell>
          <cell r="J1461">
            <v>0</v>
          </cell>
          <cell r="K1461">
            <v>0</v>
          </cell>
          <cell r="L1461">
            <v>900</v>
          </cell>
          <cell r="M1461" t="str">
            <v>湖里</v>
          </cell>
        </row>
        <row r="1462">
          <cell r="A1462" t="str">
            <v>350672</v>
          </cell>
          <cell r="B1462" t="str">
            <v>厦华股份</v>
          </cell>
          <cell r="C1462" t="str">
            <v>三资</v>
          </cell>
          <cell r="D1462" t="str">
            <v>工业</v>
          </cell>
          <cell r="E1462" t="str">
            <v>质押贷款</v>
          </cell>
          <cell r="F1462">
            <v>37313</v>
          </cell>
          <cell r="G1462">
            <v>37678</v>
          </cell>
          <cell r="H1462">
            <v>0</v>
          </cell>
          <cell r="I1462">
            <v>944</v>
          </cell>
          <cell r="J1462">
            <v>0</v>
          </cell>
          <cell r="K1462">
            <v>0</v>
          </cell>
          <cell r="L1462">
            <v>944</v>
          </cell>
          <cell r="M1462" t="str">
            <v>湖里</v>
          </cell>
        </row>
        <row r="1463">
          <cell r="A1463" t="str">
            <v>350783</v>
          </cell>
          <cell r="B1463" t="str">
            <v>厦华股份</v>
          </cell>
          <cell r="C1463" t="str">
            <v>三资</v>
          </cell>
          <cell r="D1463" t="str">
            <v>工业</v>
          </cell>
          <cell r="E1463" t="str">
            <v>质押贷款</v>
          </cell>
          <cell r="F1463">
            <v>37425</v>
          </cell>
          <cell r="G1463">
            <v>37698</v>
          </cell>
          <cell r="H1463">
            <v>0</v>
          </cell>
          <cell r="I1463">
            <v>1600</v>
          </cell>
          <cell r="J1463">
            <v>0</v>
          </cell>
          <cell r="K1463">
            <v>0</v>
          </cell>
          <cell r="L1463">
            <v>1600</v>
          </cell>
          <cell r="M1463" t="str">
            <v>湖里</v>
          </cell>
        </row>
        <row r="1464">
          <cell r="A1464" t="str">
            <v>350851</v>
          </cell>
          <cell r="B1464" t="str">
            <v>厦华股份</v>
          </cell>
          <cell r="C1464" t="str">
            <v>三资</v>
          </cell>
          <cell r="D1464" t="str">
            <v>工业</v>
          </cell>
          <cell r="E1464" t="str">
            <v>保证贷款</v>
          </cell>
          <cell r="F1464">
            <v>37488</v>
          </cell>
          <cell r="G1464">
            <v>37853</v>
          </cell>
          <cell r="H1464">
            <v>0</v>
          </cell>
          <cell r="I1464">
            <v>1600</v>
          </cell>
          <cell r="J1464">
            <v>0</v>
          </cell>
          <cell r="K1464">
            <v>0</v>
          </cell>
          <cell r="L1464">
            <v>1600</v>
          </cell>
          <cell r="M1464" t="str">
            <v>湖里</v>
          </cell>
        </row>
        <row r="1465">
          <cell r="A1465" t="str">
            <v>350800</v>
          </cell>
          <cell r="B1465" t="str">
            <v>厦华股份</v>
          </cell>
          <cell r="C1465" t="str">
            <v>三资</v>
          </cell>
          <cell r="D1465" t="str">
            <v>工业</v>
          </cell>
          <cell r="E1465" t="str">
            <v>保证贷款</v>
          </cell>
          <cell r="F1465">
            <v>37433</v>
          </cell>
          <cell r="G1465">
            <v>37768</v>
          </cell>
          <cell r="H1465">
            <v>0</v>
          </cell>
          <cell r="I1465">
            <v>1800</v>
          </cell>
          <cell r="J1465">
            <v>0</v>
          </cell>
          <cell r="K1465">
            <v>0</v>
          </cell>
          <cell r="L1465">
            <v>1800</v>
          </cell>
          <cell r="M1465" t="str">
            <v>湖里</v>
          </cell>
        </row>
        <row r="1466">
          <cell r="A1466" t="str">
            <v>350679</v>
          </cell>
          <cell r="B1466" t="str">
            <v>厦华股份</v>
          </cell>
          <cell r="C1466" t="str">
            <v>三资</v>
          </cell>
          <cell r="D1466" t="str">
            <v>工业</v>
          </cell>
          <cell r="E1466" t="str">
            <v>质押贷款</v>
          </cell>
          <cell r="F1466">
            <v>37321</v>
          </cell>
          <cell r="G1466">
            <v>37627</v>
          </cell>
          <cell r="H1466">
            <v>0</v>
          </cell>
          <cell r="I1466">
            <v>2000</v>
          </cell>
          <cell r="J1466">
            <v>0</v>
          </cell>
          <cell r="K1466">
            <v>0</v>
          </cell>
          <cell r="L1466">
            <v>2000</v>
          </cell>
          <cell r="M1466" t="str">
            <v>湖里</v>
          </cell>
        </row>
        <row r="1467">
          <cell r="A1467" t="str">
            <v>350784</v>
          </cell>
          <cell r="B1467" t="str">
            <v>厦华股份</v>
          </cell>
          <cell r="C1467" t="str">
            <v>三资</v>
          </cell>
          <cell r="D1467" t="str">
            <v>工业</v>
          </cell>
          <cell r="E1467" t="str">
            <v>质押贷款</v>
          </cell>
          <cell r="F1467">
            <v>37425</v>
          </cell>
          <cell r="G1467">
            <v>37729</v>
          </cell>
          <cell r="H1467">
            <v>0</v>
          </cell>
          <cell r="I1467">
            <v>2700</v>
          </cell>
          <cell r="J1467">
            <v>0</v>
          </cell>
          <cell r="K1467">
            <v>0</v>
          </cell>
          <cell r="L1467">
            <v>2700</v>
          </cell>
          <cell r="M1467" t="str">
            <v>湖里</v>
          </cell>
        </row>
        <row r="1468">
          <cell r="A1468" t="str">
            <v>350796</v>
          </cell>
          <cell r="B1468" t="str">
            <v>厦华股份</v>
          </cell>
          <cell r="C1468" t="str">
            <v>三资</v>
          </cell>
          <cell r="D1468" t="str">
            <v>工业</v>
          </cell>
          <cell r="E1468" t="str">
            <v>质押贷款</v>
          </cell>
          <cell r="F1468">
            <v>37433</v>
          </cell>
          <cell r="G1468">
            <v>37706</v>
          </cell>
          <cell r="H1468">
            <v>0</v>
          </cell>
          <cell r="I1468">
            <v>3700</v>
          </cell>
          <cell r="J1468">
            <v>0</v>
          </cell>
          <cell r="K1468">
            <v>0</v>
          </cell>
          <cell r="L1468">
            <v>3700</v>
          </cell>
          <cell r="M1468" t="str">
            <v>湖里</v>
          </cell>
        </row>
        <row r="1469">
          <cell r="A1469" t="str">
            <v>350781</v>
          </cell>
          <cell r="B1469" t="str">
            <v>厦华股份</v>
          </cell>
          <cell r="C1469" t="str">
            <v>三资</v>
          </cell>
          <cell r="D1469" t="str">
            <v>工业</v>
          </cell>
          <cell r="E1469" t="str">
            <v>保证贷款</v>
          </cell>
          <cell r="F1469">
            <v>37420</v>
          </cell>
          <cell r="G1469">
            <v>37603</v>
          </cell>
          <cell r="H1469">
            <v>0</v>
          </cell>
          <cell r="I1469">
            <v>20000</v>
          </cell>
          <cell r="J1469">
            <v>3000</v>
          </cell>
          <cell r="K1469">
            <v>15200.5</v>
          </cell>
          <cell r="L1469">
            <v>4799.5</v>
          </cell>
          <cell r="M1469" t="str">
            <v>湖里</v>
          </cell>
        </row>
        <row r="1470">
          <cell r="A1470" t="str">
            <v>300043</v>
          </cell>
          <cell r="B1470" t="str">
            <v>厦华股份</v>
          </cell>
          <cell r="C1470" t="str">
            <v>三资</v>
          </cell>
          <cell r="D1470" t="str">
            <v>工业</v>
          </cell>
          <cell r="E1470" t="str">
            <v>质押贷款</v>
          </cell>
          <cell r="F1470">
            <v>37313</v>
          </cell>
          <cell r="G1470">
            <v>37678</v>
          </cell>
          <cell r="H1470">
            <v>0</v>
          </cell>
          <cell r="I1470">
            <v>118</v>
          </cell>
          <cell r="J1470">
            <v>0</v>
          </cell>
          <cell r="K1470">
            <v>0</v>
          </cell>
          <cell r="L1470">
            <v>976.41459999999995</v>
          </cell>
          <cell r="M1470" t="str">
            <v>湖里</v>
          </cell>
        </row>
        <row r="1471">
          <cell r="A1471" t="str">
            <v>300044</v>
          </cell>
          <cell r="B1471" t="str">
            <v>厦华股份</v>
          </cell>
          <cell r="C1471" t="str">
            <v>三资</v>
          </cell>
          <cell r="D1471" t="str">
            <v>工业</v>
          </cell>
          <cell r="E1471" t="str">
            <v>质押贷款</v>
          </cell>
          <cell r="F1471">
            <v>37314</v>
          </cell>
          <cell r="G1471">
            <v>37679</v>
          </cell>
          <cell r="H1471">
            <v>0</v>
          </cell>
          <cell r="I1471">
            <v>121</v>
          </cell>
          <cell r="J1471">
            <v>0</v>
          </cell>
          <cell r="K1471">
            <v>0</v>
          </cell>
          <cell r="L1471">
            <v>1001.2386999999999</v>
          </cell>
          <cell r="M1471" t="str">
            <v>湖里</v>
          </cell>
        </row>
        <row r="1472">
          <cell r="B1472" t="str">
            <v>厦华股份 Total</v>
          </cell>
          <cell r="L1472">
            <v>23520.153299999998</v>
          </cell>
        </row>
        <row r="1473">
          <cell r="A1473" t="str">
            <v>40296</v>
          </cell>
          <cell r="B1473" t="str">
            <v>厦门奥盛进出口公司</v>
          </cell>
          <cell r="C1473" t="str">
            <v>集体</v>
          </cell>
          <cell r="D1473" t="str">
            <v>商贸</v>
          </cell>
          <cell r="E1473" t="str">
            <v>抵押贷款</v>
          </cell>
          <cell r="F1473">
            <v>37518</v>
          </cell>
          <cell r="G1473">
            <v>37883</v>
          </cell>
          <cell r="H1473">
            <v>0</v>
          </cell>
          <cell r="I1473">
            <v>55</v>
          </cell>
          <cell r="J1473">
            <v>0</v>
          </cell>
          <cell r="K1473">
            <v>0</v>
          </cell>
          <cell r="L1473">
            <v>55</v>
          </cell>
          <cell r="M1473" t="str">
            <v>象屿</v>
          </cell>
        </row>
        <row r="1474">
          <cell r="B1474" t="str">
            <v>厦门奥盛进出口公司 Total</v>
          </cell>
          <cell r="L1474">
            <v>55</v>
          </cell>
        </row>
        <row r="1475">
          <cell r="A1475" t="str">
            <v>T02037</v>
          </cell>
          <cell r="B1475" t="str">
            <v>厦门邦德润滑油</v>
          </cell>
          <cell r="C1475" t="str">
            <v>集体</v>
          </cell>
          <cell r="D1475" t="str">
            <v>商贸</v>
          </cell>
          <cell r="E1475" t="str">
            <v>票据贴现</v>
          </cell>
          <cell r="F1475">
            <v>37414</v>
          </cell>
          <cell r="G1475">
            <v>37596</v>
          </cell>
          <cell r="H1475">
            <v>0</v>
          </cell>
          <cell r="I1475">
            <v>10</v>
          </cell>
          <cell r="J1475">
            <v>0</v>
          </cell>
          <cell r="K1475">
            <v>0</v>
          </cell>
          <cell r="L1475">
            <v>10</v>
          </cell>
          <cell r="M1475" t="str">
            <v>营业</v>
          </cell>
        </row>
        <row r="1476">
          <cell r="A1476" t="str">
            <v>T02045</v>
          </cell>
          <cell r="B1476" t="str">
            <v>厦门邦德润滑油</v>
          </cell>
          <cell r="C1476" t="str">
            <v>集体</v>
          </cell>
          <cell r="D1476" t="str">
            <v>商贸</v>
          </cell>
          <cell r="E1476" t="str">
            <v>票据贴现</v>
          </cell>
          <cell r="F1476">
            <v>37439</v>
          </cell>
          <cell r="G1476">
            <v>37618</v>
          </cell>
          <cell r="H1476">
            <v>0</v>
          </cell>
          <cell r="I1476">
            <v>10</v>
          </cell>
          <cell r="J1476">
            <v>0</v>
          </cell>
          <cell r="K1476">
            <v>0</v>
          </cell>
          <cell r="L1476">
            <v>10</v>
          </cell>
          <cell r="M1476" t="str">
            <v>营业</v>
          </cell>
        </row>
        <row r="1477">
          <cell r="A1477" t="str">
            <v>T02050</v>
          </cell>
          <cell r="B1477" t="str">
            <v>厦门邦德润滑油</v>
          </cell>
          <cell r="C1477" t="str">
            <v>集体</v>
          </cell>
          <cell r="D1477" t="str">
            <v>商贸</v>
          </cell>
          <cell r="E1477" t="str">
            <v>票据贴现</v>
          </cell>
          <cell r="F1477">
            <v>37462</v>
          </cell>
          <cell r="G1477">
            <v>37644</v>
          </cell>
          <cell r="H1477">
            <v>0</v>
          </cell>
          <cell r="I1477">
            <v>10</v>
          </cell>
          <cell r="J1477">
            <v>0</v>
          </cell>
          <cell r="K1477">
            <v>0</v>
          </cell>
          <cell r="L1477">
            <v>10</v>
          </cell>
          <cell r="M1477" t="str">
            <v>营业</v>
          </cell>
        </row>
        <row r="1478">
          <cell r="A1478" t="str">
            <v>T02054</v>
          </cell>
          <cell r="B1478" t="str">
            <v>厦门邦德润滑油</v>
          </cell>
          <cell r="C1478" t="str">
            <v>集体</v>
          </cell>
          <cell r="D1478" t="str">
            <v>商贸</v>
          </cell>
          <cell r="E1478" t="str">
            <v>票据贴现</v>
          </cell>
          <cell r="F1478">
            <v>37517</v>
          </cell>
          <cell r="G1478">
            <v>37697</v>
          </cell>
          <cell r="H1478">
            <v>0</v>
          </cell>
          <cell r="I1478">
            <v>10</v>
          </cell>
          <cell r="J1478">
            <v>0</v>
          </cell>
          <cell r="K1478">
            <v>0</v>
          </cell>
          <cell r="L1478">
            <v>10</v>
          </cell>
          <cell r="M1478" t="str">
            <v>营业</v>
          </cell>
        </row>
        <row r="1479">
          <cell r="A1479" t="str">
            <v>T02048</v>
          </cell>
          <cell r="B1479" t="str">
            <v>厦门邦德润滑油</v>
          </cell>
          <cell r="C1479" t="str">
            <v>集体</v>
          </cell>
          <cell r="D1479" t="str">
            <v>商贸</v>
          </cell>
          <cell r="E1479" t="str">
            <v>票据贴现</v>
          </cell>
          <cell r="F1479">
            <v>37454</v>
          </cell>
          <cell r="G1479">
            <v>37637</v>
          </cell>
          <cell r="H1479">
            <v>0</v>
          </cell>
          <cell r="I1479">
            <v>22</v>
          </cell>
          <cell r="J1479">
            <v>0</v>
          </cell>
          <cell r="K1479">
            <v>0</v>
          </cell>
          <cell r="L1479">
            <v>22</v>
          </cell>
          <cell r="M1479" t="str">
            <v>营业</v>
          </cell>
        </row>
        <row r="1480">
          <cell r="B1480" t="str">
            <v>厦门邦德润滑油 Total</v>
          </cell>
          <cell r="L1480">
            <v>62</v>
          </cell>
        </row>
        <row r="1481">
          <cell r="A1481" t="str">
            <v>40128</v>
          </cell>
          <cell r="B1481" t="str">
            <v>厦门宝地房地产有限司</v>
          </cell>
          <cell r="C1481" t="str">
            <v>集体</v>
          </cell>
          <cell r="D1481" t="str">
            <v>其它</v>
          </cell>
          <cell r="E1481" t="str">
            <v>保证贷款</v>
          </cell>
          <cell r="F1481">
            <v>37529</v>
          </cell>
          <cell r="G1481">
            <v>37710</v>
          </cell>
          <cell r="H1481">
            <v>450</v>
          </cell>
          <cell r="I1481">
            <v>450</v>
          </cell>
          <cell r="J1481">
            <v>0</v>
          </cell>
          <cell r="K1481">
            <v>0</v>
          </cell>
          <cell r="L1481">
            <v>450</v>
          </cell>
          <cell r="M1481" t="str">
            <v>象屿</v>
          </cell>
        </row>
        <row r="1482">
          <cell r="B1482" t="str">
            <v>厦门宝地房地产有限司 Total</v>
          </cell>
          <cell r="L1482">
            <v>450</v>
          </cell>
        </row>
        <row r="1483">
          <cell r="A1483" t="str">
            <v>021214</v>
          </cell>
          <cell r="B1483" t="str">
            <v>厦门北八道运输公司</v>
          </cell>
          <cell r="C1483" t="str">
            <v>集体</v>
          </cell>
          <cell r="D1483" t="str">
            <v>工业</v>
          </cell>
          <cell r="E1483" t="str">
            <v>抵押贷款</v>
          </cell>
          <cell r="F1483">
            <v>37374</v>
          </cell>
          <cell r="G1483">
            <v>38103</v>
          </cell>
          <cell r="H1483">
            <v>0</v>
          </cell>
          <cell r="I1483">
            <v>52.08</v>
          </cell>
          <cell r="J1483">
            <v>2.1</v>
          </cell>
          <cell r="K1483">
            <v>12.39</v>
          </cell>
          <cell r="L1483">
            <v>39.69</v>
          </cell>
          <cell r="M1483" t="str">
            <v>集美</v>
          </cell>
        </row>
        <row r="1484">
          <cell r="A1484" t="str">
            <v>021216</v>
          </cell>
          <cell r="B1484" t="str">
            <v>厦门北八道运输公司</v>
          </cell>
          <cell r="C1484" t="str">
            <v>集体</v>
          </cell>
          <cell r="D1484" t="str">
            <v>工业</v>
          </cell>
          <cell r="E1484" t="str">
            <v>抵押贷款</v>
          </cell>
          <cell r="F1484">
            <v>37391</v>
          </cell>
          <cell r="G1484">
            <v>38121</v>
          </cell>
          <cell r="H1484">
            <v>0</v>
          </cell>
          <cell r="I1484">
            <v>121.52</v>
          </cell>
          <cell r="J1484">
            <v>4.8600000000000003</v>
          </cell>
          <cell r="K1484">
            <v>24.02</v>
          </cell>
          <cell r="L1484">
            <v>97.5</v>
          </cell>
          <cell r="M1484" t="str">
            <v>集美</v>
          </cell>
        </row>
        <row r="1485">
          <cell r="B1485" t="str">
            <v>厦门北八道运输公司 Total</v>
          </cell>
          <cell r="L1485">
            <v>137.19</v>
          </cell>
        </row>
        <row r="1486">
          <cell r="A1486" t="str">
            <v>40009</v>
          </cell>
          <cell r="B1486" t="str">
            <v>厦门北引供水开发公司</v>
          </cell>
          <cell r="C1486" t="str">
            <v>国营</v>
          </cell>
          <cell r="D1486" t="str">
            <v>工业</v>
          </cell>
          <cell r="E1486" t="str">
            <v>信用贷款</v>
          </cell>
          <cell r="F1486">
            <v>36874</v>
          </cell>
          <cell r="G1486">
            <v>37604</v>
          </cell>
          <cell r="H1486">
            <v>0</v>
          </cell>
          <cell r="I1486">
            <v>0</v>
          </cell>
          <cell r="J1486">
            <v>0</v>
          </cell>
          <cell r="K1486">
            <v>0</v>
          </cell>
          <cell r="L1486">
            <v>1000</v>
          </cell>
          <cell r="M1486" t="str">
            <v>江头</v>
          </cell>
        </row>
        <row r="1487">
          <cell r="A1487" t="str">
            <v>40017</v>
          </cell>
          <cell r="B1487" t="str">
            <v>厦门北引供水开发公司</v>
          </cell>
          <cell r="C1487" t="str">
            <v>国营</v>
          </cell>
          <cell r="D1487" t="str">
            <v>工业</v>
          </cell>
          <cell r="E1487" t="str">
            <v>信用贷款</v>
          </cell>
          <cell r="F1487">
            <v>37470</v>
          </cell>
          <cell r="G1487">
            <v>40392</v>
          </cell>
          <cell r="H1487">
            <v>0</v>
          </cell>
          <cell r="I1487">
            <v>1000</v>
          </cell>
          <cell r="J1487">
            <v>0</v>
          </cell>
          <cell r="K1487">
            <v>0</v>
          </cell>
          <cell r="L1487">
            <v>1000</v>
          </cell>
          <cell r="M1487" t="str">
            <v>江头</v>
          </cell>
        </row>
        <row r="1488">
          <cell r="A1488" t="str">
            <v>40018</v>
          </cell>
          <cell r="B1488" t="str">
            <v>厦门北引供水开发公司</v>
          </cell>
          <cell r="C1488" t="str">
            <v>国营</v>
          </cell>
          <cell r="D1488" t="str">
            <v>工业</v>
          </cell>
          <cell r="E1488" t="str">
            <v>信用贷款</v>
          </cell>
          <cell r="F1488">
            <v>37497</v>
          </cell>
          <cell r="G1488">
            <v>40419</v>
          </cell>
          <cell r="H1488">
            <v>0</v>
          </cell>
          <cell r="I1488">
            <v>1000</v>
          </cell>
          <cell r="J1488">
            <v>0</v>
          </cell>
          <cell r="K1488">
            <v>0</v>
          </cell>
          <cell r="L1488">
            <v>1000</v>
          </cell>
          <cell r="M1488" t="str">
            <v>江头</v>
          </cell>
        </row>
        <row r="1489">
          <cell r="A1489" t="str">
            <v>40016</v>
          </cell>
          <cell r="B1489" t="str">
            <v>厦门北引供水开发公司</v>
          </cell>
          <cell r="C1489" t="str">
            <v>国营</v>
          </cell>
          <cell r="D1489" t="str">
            <v>工业</v>
          </cell>
          <cell r="E1489" t="str">
            <v>信用贷款</v>
          </cell>
          <cell r="F1489">
            <v>37315</v>
          </cell>
          <cell r="G1489">
            <v>40237</v>
          </cell>
          <cell r="H1489">
            <v>0</v>
          </cell>
          <cell r="I1489">
            <v>2000</v>
          </cell>
          <cell r="J1489">
            <v>0</v>
          </cell>
          <cell r="K1489">
            <v>0</v>
          </cell>
          <cell r="L1489">
            <v>2000</v>
          </cell>
          <cell r="M1489" t="str">
            <v>江头</v>
          </cell>
        </row>
        <row r="1490">
          <cell r="A1490" t="str">
            <v>40012</v>
          </cell>
          <cell r="B1490" t="str">
            <v>厦门北引供水开发公司</v>
          </cell>
          <cell r="C1490" t="str">
            <v>集体</v>
          </cell>
          <cell r="D1490" t="str">
            <v>商贸</v>
          </cell>
          <cell r="E1490" t="str">
            <v>信用贷款</v>
          </cell>
          <cell r="F1490">
            <v>36931</v>
          </cell>
          <cell r="G1490">
            <v>38757</v>
          </cell>
          <cell r="H1490">
            <v>0</v>
          </cell>
          <cell r="I1490">
            <v>0</v>
          </cell>
          <cell r="J1490">
            <v>0</v>
          </cell>
          <cell r="K1490">
            <v>0</v>
          </cell>
          <cell r="L1490">
            <v>2000</v>
          </cell>
          <cell r="M1490" t="str">
            <v>江头</v>
          </cell>
        </row>
        <row r="1491">
          <cell r="B1491" t="str">
            <v>厦门北引供水开发公司 Total</v>
          </cell>
          <cell r="L1491">
            <v>7000</v>
          </cell>
        </row>
        <row r="1492">
          <cell r="A1492" t="str">
            <v>40005</v>
          </cell>
          <cell r="B1492" t="str">
            <v>厦门北引供水开发公司</v>
          </cell>
          <cell r="C1492" t="str">
            <v>国营</v>
          </cell>
          <cell r="D1492" t="str">
            <v>工业</v>
          </cell>
          <cell r="E1492" t="str">
            <v>信用贷款</v>
          </cell>
          <cell r="F1492">
            <v>36728</v>
          </cell>
          <cell r="G1492">
            <v>38553</v>
          </cell>
          <cell r="H1492">
            <v>0</v>
          </cell>
          <cell r="I1492">
            <v>0</v>
          </cell>
          <cell r="J1492">
            <v>0</v>
          </cell>
          <cell r="K1492">
            <v>0</v>
          </cell>
          <cell r="L1492">
            <v>2000</v>
          </cell>
          <cell r="M1492" t="str">
            <v>江头</v>
          </cell>
        </row>
        <row r="1493">
          <cell r="A1493" t="str">
            <v>40014</v>
          </cell>
          <cell r="B1493" t="str">
            <v>厦门北引供水开发公司</v>
          </cell>
          <cell r="C1493" t="str">
            <v>集体</v>
          </cell>
          <cell r="D1493" t="str">
            <v>商贸</v>
          </cell>
          <cell r="E1493" t="str">
            <v>信用贷款</v>
          </cell>
          <cell r="F1493">
            <v>37133</v>
          </cell>
          <cell r="G1493">
            <v>40055</v>
          </cell>
          <cell r="H1493">
            <v>0</v>
          </cell>
          <cell r="I1493">
            <v>0</v>
          </cell>
          <cell r="J1493">
            <v>0</v>
          </cell>
          <cell r="K1493">
            <v>0</v>
          </cell>
          <cell r="L1493">
            <v>2000</v>
          </cell>
          <cell r="M1493" t="str">
            <v>江头</v>
          </cell>
        </row>
        <row r="1494">
          <cell r="B1494" t="str">
            <v>厦门北引供水有限公司 Total</v>
          </cell>
          <cell r="L1494">
            <v>4000</v>
          </cell>
        </row>
        <row r="1495">
          <cell r="A1495" t="str">
            <v>025001</v>
          </cell>
          <cell r="B1495" t="str">
            <v>厦门奔马房地产</v>
          </cell>
          <cell r="C1495" t="str">
            <v>国营</v>
          </cell>
          <cell r="D1495" t="str">
            <v>商贸</v>
          </cell>
          <cell r="E1495" t="str">
            <v>保证贷款</v>
          </cell>
          <cell r="F1495">
            <v>37398</v>
          </cell>
          <cell r="G1495">
            <v>37761</v>
          </cell>
          <cell r="H1495">
            <v>0</v>
          </cell>
          <cell r="I1495">
            <v>500</v>
          </cell>
          <cell r="J1495">
            <v>0</v>
          </cell>
          <cell r="K1495">
            <v>0</v>
          </cell>
          <cell r="L1495">
            <v>500</v>
          </cell>
          <cell r="M1495" t="str">
            <v>文滨</v>
          </cell>
        </row>
        <row r="1496">
          <cell r="B1496" t="str">
            <v>厦门奔马房地产 Total</v>
          </cell>
          <cell r="L1496">
            <v>500</v>
          </cell>
        </row>
        <row r="1497">
          <cell r="A1497" t="str">
            <v>s125-2</v>
          </cell>
          <cell r="B1497" t="str">
            <v>厦门奔马实业总公司</v>
          </cell>
          <cell r="C1497" t="str">
            <v>国营</v>
          </cell>
          <cell r="D1497" t="str">
            <v>商贸</v>
          </cell>
          <cell r="E1497" t="str">
            <v>保证贷款</v>
          </cell>
          <cell r="F1497">
            <v>37490</v>
          </cell>
          <cell r="G1497">
            <v>37855</v>
          </cell>
          <cell r="H1497">
            <v>0</v>
          </cell>
          <cell r="I1497">
            <v>500</v>
          </cell>
          <cell r="J1497">
            <v>0</v>
          </cell>
          <cell r="K1497">
            <v>0</v>
          </cell>
          <cell r="L1497">
            <v>500</v>
          </cell>
          <cell r="M1497" t="str">
            <v>文滨</v>
          </cell>
        </row>
        <row r="1498">
          <cell r="A1498" t="str">
            <v>s168-3</v>
          </cell>
          <cell r="B1498" t="str">
            <v>厦门奔马实业总公司</v>
          </cell>
          <cell r="C1498" t="str">
            <v>国营</v>
          </cell>
          <cell r="D1498" t="str">
            <v>商贸</v>
          </cell>
          <cell r="E1498" t="str">
            <v>保证贷款</v>
          </cell>
          <cell r="F1498">
            <v>37508</v>
          </cell>
          <cell r="G1498">
            <v>37873</v>
          </cell>
          <cell r="H1498">
            <v>0</v>
          </cell>
          <cell r="I1498">
            <v>200</v>
          </cell>
          <cell r="J1498">
            <v>150</v>
          </cell>
          <cell r="K1498">
            <v>150</v>
          </cell>
          <cell r="L1498">
            <v>50</v>
          </cell>
          <cell r="M1498" t="str">
            <v>文滨</v>
          </cell>
        </row>
        <row r="1499">
          <cell r="A1499" t="str">
            <v>s168-2</v>
          </cell>
          <cell r="B1499" t="str">
            <v>厦门奔马实业总公司</v>
          </cell>
          <cell r="C1499" t="str">
            <v>国营</v>
          </cell>
          <cell r="D1499" t="str">
            <v>商贸</v>
          </cell>
          <cell r="E1499" t="str">
            <v>保证贷款</v>
          </cell>
          <cell r="F1499">
            <v>37502</v>
          </cell>
          <cell r="G1499">
            <v>37867</v>
          </cell>
          <cell r="H1499">
            <v>0</v>
          </cell>
          <cell r="I1499">
            <v>500</v>
          </cell>
          <cell r="J1499">
            <v>0</v>
          </cell>
          <cell r="K1499">
            <v>0</v>
          </cell>
          <cell r="L1499">
            <v>500</v>
          </cell>
          <cell r="M1499" t="str">
            <v>文滨</v>
          </cell>
        </row>
        <row r="1500">
          <cell r="B1500" t="str">
            <v>厦门奔马实业总公司 Total</v>
          </cell>
          <cell r="L1500">
            <v>1050</v>
          </cell>
        </row>
        <row r="1501">
          <cell r="A1501" t="str">
            <v>s123-1</v>
          </cell>
          <cell r="B1501" t="str">
            <v>厦门茶叶进出口</v>
          </cell>
          <cell r="C1501" t="str">
            <v>国营</v>
          </cell>
          <cell r="D1501" t="str">
            <v>商贸</v>
          </cell>
          <cell r="E1501" t="str">
            <v>信用贷款</v>
          </cell>
          <cell r="F1501">
            <v>37519</v>
          </cell>
          <cell r="G1501">
            <v>37700</v>
          </cell>
          <cell r="H1501">
            <v>0</v>
          </cell>
          <cell r="I1501">
            <v>300</v>
          </cell>
          <cell r="J1501">
            <v>0</v>
          </cell>
          <cell r="K1501">
            <v>0</v>
          </cell>
          <cell r="L1501">
            <v>300</v>
          </cell>
          <cell r="M1501" t="str">
            <v>文滨</v>
          </cell>
        </row>
        <row r="1502">
          <cell r="A1502" t="str">
            <v>sd1232</v>
          </cell>
          <cell r="B1502" t="str">
            <v>厦门茶叶进出口</v>
          </cell>
          <cell r="C1502" t="str">
            <v>国营</v>
          </cell>
          <cell r="D1502" t="str">
            <v>商贸</v>
          </cell>
          <cell r="E1502" t="str">
            <v>信用贷款</v>
          </cell>
          <cell r="F1502">
            <v>37546</v>
          </cell>
          <cell r="G1502">
            <v>37728</v>
          </cell>
          <cell r="H1502">
            <v>200</v>
          </cell>
          <cell r="I1502">
            <v>200</v>
          </cell>
          <cell r="J1502">
            <v>0</v>
          </cell>
          <cell r="K1502">
            <v>0</v>
          </cell>
          <cell r="L1502">
            <v>200</v>
          </cell>
          <cell r="M1502" t="str">
            <v>文滨</v>
          </cell>
        </row>
        <row r="1503">
          <cell r="A1503" t="str">
            <v>sd1233</v>
          </cell>
          <cell r="B1503" t="str">
            <v>厦门茶叶进出口</v>
          </cell>
          <cell r="C1503" t="str">
            <v>国营</v>
          </cell>
          <cell r="D1503" t="str">
            <v>商贸</v>
          </cell>
          <cell r="E1503" t="str">
            <v>信用贷款</v>
          </cell>
          <cell r="F1503">
            <v>37559</v>
          </cell>
          <cell r="G1503">
            <v>37741</v>
          </cell>
          <cell r="H1503">
            <v>300</v>
          </cell>
          <cell r="I1503">
            <v>300</v>
          </cell>
          <cell r="J1503">
            <v>0</v>
          </cell>
          <cell r="K1503">
            <v>0</v>
          </cell>
          <cell r="L1503">
            <v>300</v>
          </cell>
          <cell r="M1503" t="str">
            <v>文滨</v>
          </cell>
        </row>
        <row r="1504">
          <cell r="B1504" t="str">
            <v>厦门茶叶进出口 Total</v>
          </cell>
          <cell r="L1504">
            <v>800</v>
          </cell>
        </row>
        <row r="1505">
          <cell r="A1505" t="str">
            <v>923x21</v>
          </cell>
          <cell r="B1505" t="str">
            <v>厦门潮东塑料工业有限</v>
          </cell>
          <cell r="C1505" t="str">
            <v>其它</v>
          </cell>
          <cell r="D1505" t="str">
            <v>其它</v>
          </cell>
          <cell r="E1505" t="str">
            <v>票据贴现</v>
          </cell>
          <cell r="F1505">
            <v>37431</v>
          </cell>
          <cell r="G1505">
            <v>37610</v>
          </cell>
          <cell r="H1505">
            <v>0</v>
          </cell>
          <cell r="I1505">
            <v>150</v>
          </cell>
          <cell r="J1505">
            <v>0</v>
          </cell>
          <cell r="K1505">
            <v>0</v>
          </cell>
          <cell r="L1505">
            <v>150</v>
          </cell>
          <cell r="M1505" t="str">
            <v>禾祥</v>
          </cell>
        </row>
        <row r="1506">
          <cell r="B1506" t="str">
            <v>厦门潮东塑料工业有限 Total</v>
          </cell>
          <cell r="L1506">
            <v>150</v>
          </cell>
        </row>
        <row r="1507">
          <cell r="A1507" t="str">
            <v>923x22</v>
          </cell>
          <cell r="B1507" t="str">
            <v>厦门潮东塑料有限公司</v>
          </cell>
          <cell r="C1507" t="str">
            <v>其它</v>
          </cell>
          <cell r="D1507" t="str">
            <v>其它</v>
          </cell>
          <cell r="E1507" t="str">
            <v>票据贴现</v>
          </cell>
          <cell r="F1507">
            <v>37432</v>
          </cell>
          <cell r="G1507">
            <v>37612</v>
          </cell>
          <cell r="H1507">
            <v>0</v>
          </cell>
          <cell r="I1507">
            <v>50</v>
          </cell>
          <cell r="J1507">
            <v>0</v>
          </cell>
          <cell r="K1507">
            <v>0</v>
          </cell>
          <cell r="L1507">
            <v>50</v>
          </cell>
          <cell r="M1507" t="str">
            <v>禾祥</v>
          </cell>
        </row>
        <row r="1508">
          <cell r="B1508" t="str">
            <v>厦门潮东塑料有限公司 Total</v>
          </cell>
          <cell r="L1508">
            <v>50</v>
          </cell>
        </row>
        <row r="1509">
          <cell r="A1509" t="str">
            <v>130038</v>
          </cell>
          <cell r="B1509" t="str">
            <v>厦门出口加工区投资工</v>
          </cell>
          <cell r="C1509" t="str">
            <v>国营</v>
          </cell>
          <cell r="D1509" t="str">
            <v>其它</v>
          </cell>
          <cell r="E1509" t="str">
            <v>保证贷款</v>
          </cell>
          <cell r="F1509">
            <v>37256</v>
          </cell>
          <cell r="G1509">
            <v>37621</v>
          </cell>
          <cell r="H1509">
            <v>0</v>
          </cell>
          <cell r="I1509">
            <v>0</v>
          </cell>
          <cell r="J1509">
            <v>0</v>
          </cell>
          <cell r="K1509">
            <v>0</v>
          </cell>
          <cell r="L1509">
            <v>2000</v>
          </cell>
          <cell r="M1509" t="str">
            <v>海沧</v>
          </cell>
        </row>
        <row r="1510">
          <cell r="B1510" t="str">
            <v>厦门出口加工区投资工 Total</v>
          </cell>
          <cell r="L1510">
            <v>2000</v>
          </cell>
        </row>
        <row r="1511">
          <cell r="A1511" t="str">
            <v>021324</v>
          </cell>
          <cell r="B1511" t="str">
            <v>厦门创新科技有限公司</v>
          </cell>
          <cell r="C1511" t="str">
            <v>三资</v>
          </cell>
          <cell r="D1511" t="str">
            <v>工业</v>
          </cell>
          <cell r="E1511" t="str">
            <v>票据贴现</v>
          </cell>
          <cell r="F1511">
            <v>37524</v>
          </cell>
          <cell r="G1511">
            <v>37705</v>
          </cell>
          <cell r="H1511">
            <v>0</v>
          </cell>
          <cell r="I1511">
            <v>15</v>
          </cell>
          <cell r="J1511">
            <v>0</v>
          </cell>
          <cell r="K1511">
            <v>0</v>
          </cell>
          <cell r="L1511">
            <v>15</v>
          </cell>
          <cell r="M1511" t="str">
            <v>杏林</v>
          </cell>
        </row>
        <row r="1512">
          <cell r="A1512" t="str">
            <v>021321</v>
          </cell>
          <cell r="B1512" t="str">
            <v>厦门创新科技有限公司</v>
          </cell>
          <cell r="C1512" t="str">
            <v>三资</v>
          </cell>
          <cell r="D1512" t="str">
            <v>工业</v>
          </cell>
          <cell r="E1512" t="str">
            <v>票据贴现</v>
          </cell>
          <cell r="F1512">
            <v>37503</v>
          </cell>
          <cell r="G1512">
            <v>37682</v>
          </cell>
          <cell r="H1512">
            <v>0</v>
          </cell>
          <cell r="I1512">
            <v>40</v>
          </cell>
          <cell r="J1512">
            <v>0</v>
          </cell>
          <cell r="K1512">
            <v>0</v>
          </cell>
          <cell r="L1512">
            <v>40</v>
          </cell>
          <cell r="M1512" t="str">
            <v>杏林</v>
          </cell>
        </row>
        <row r="1513">
          <cell r="B1513" t="str">
            <v>厦门创新科技有限公司 Total</v>
          </cell>
          <cell r="L1513">
            <v>55</v>
          </cell>
        </row>
        <row r="1514">
          <cell r="A1514" t="str">
            <v>020016</v>
          </cell>
          <cell r="B1514" t="str">
            <v>厦门达辉商贸有限公司</v>
          </cell>
          <cell r="C1514" t="str">
            <v>住房</v>
          </cell>
          <cell r="D1514" t="str">
            <v>其它</v>
          </cell>
          <cell r="E1514" t="str">
            <v>抵押贷款</v>
          </cell>
          <cell r="F1514">
            <v>36770</v>
          </cell>
          <cell r="G1514">
            <v>40441</v>
          </cell>
          <cell r="H1514">
            <v>0</v>
          </cell>
          <cell r="I1514">
            <v>282.79000000000002</v>
          </cell>
          <cell r="J1514">
            <v>2.1800000000000002</v>
          </cell>
          <cell r="K1514">
            <v>15.01</v>
          </cell>
          <cell r="L1514">
            <v>267.77999999999997</v>
          </cell>
          <cell r="M1514" t="str">
            <v>东区</v>
          </cell>
        </row>
        <row r="1515">
          <cell r="B1515" t="str">
            <v>厦门达辉商贸有限公司 Total</v>
          </cell>
          <cell r="L1515">
            <v>267.77999999999997</v>
          </cell>
        </row>
        <row r="1516">
          <cell r="A1516" t="str">
            <v>02-065</v>
          </cell>
          <cell r="B1516" t="str">
            <v>厦门大家福电器</v>
          </cell>
          <cell r="C1516" t="str">
            <v>集体</v>
          </cell>
          <cell r="D1516" t="str">
            <v>其它</v>
          </cell>
          <cell r="E1516" t="str">
            <v>保证贷款</v>
          </cell>
          <cell r="F1516">
            <v>37528</v>
          </cell>
          <cell r="G1516">
            <v>37893</v>
          </cell>
          <cell r="H1516">
            <v>0</v>
          </cell>
          <cell r="I1516">
            <v>1000</v>
          </cell>
          <cell r="J1516">
            <v>0</v>
          </cell>
          <cell r="K1516">
            <v>0</v>
          </cell>
          <cell r="L1516">
            <v>1000</v>
          </cell>
          <cell r="M1516" t="str">
            <v>营业</v>
          </cell>
        </row>
        <row r="1517">
          <cell r="B1517" t="str">
            <v>厦门大家福电器 Total</v>
          </cell>
          <cell r="L1517">
            <v>1000</v>
          </cell>
        </row>
        <row r="1518">
          <cell r="A1518" t="str">
            <v>021228</v>
          </cell>
          <cell r="B1518" t="str">
            <v>厦门大顺物流有限公司</v>
          </cell>
          <cell r="C1518" t="str">
            <v>集体</v>
          </cell>
          <cell r="D1518" t="str">
            <v>工业</v>
          </cell>
          <cell r="E1518" t="str">
            <v>抵押贷款</v>
          </cell>
          <cell r="F1518">
            <v>37515</v>
          </cell>
          <cell r="G1518">
            <v>38242</v>
          </cell>
          <cell r="H1518">
            <v>0</v>
          </cell>
          <cell r="I1518">
            <v>115.2</v>
          </cell>
          <cell r="J1518">
            <v>0</v>
          </cell>
          <cell r="K1518">
            <v>0</v>
          </cell>
          <cell r="L1518">
            <v>115.2</v>
          </cell>
          <cell r="M1518" t="str">
            <v>集美</v>
          </cell>
        </row>
        <row r="1519">
          <cell r="B1519" t="str">
            <v>厦门大顺物流有限公司 Total</v>
          </cell>
          <cell r="L1519">
            <v>115.2</v>
          </cell>
        </row>
        <row r="1520">
          <cell r="A1520" t="str">
            <v>150259</v>
          </cell>
          <cell r="B1520" t="str">
            <v>厦门大洋彩印有限公司</v>
          </cell>
          <cell r="C1520" t="str">
            <v>国营</v>
          </cell>
          <cell r="D1520" t="str">
            <v>工业</v>
          </cell>
          <cell r="E1520" t="str">
            <v>票据贴现</v>
          </cell>
          <cell r="F1520">
            <v>37516</v>
          </cell>
          <cell r="G1520">
            <v>37592</v>
          </cell>
          <cell r="H1520">
            <v>0</v>
          </cell>
          <cell r="I1520">
            <v>24.18</v>
          </cell>
          <cell r="J1520">
            <v>0</v>
          </cell>
          <cell r="K1520">
            <v>0</v>
          </cell>
          <cell r="L1520">
            <v>24.18</v>
          </cell>
          <cell r="M1520" t="str">
            <v>湖里</v>
          </cell>
        </row>
        <row r="1521">
          <cell r="A1521" t="str">
            <v>150260</v>
          </cell>
          <cell r="B1521" t="str">
            <v>厦门大洋彩印有限公司</v>
          </cell>
          <cell r="C1521" t="str">
            <v>国营</v>
          </cell>
          <cell r="D1521" t="str">
            <v>工业</v>
          </cell>
          <cell r="E1521" t="str">
            <v>票据贴现</v>
          </cell>
          <cell r="F1521">
            <v>37516</v>
          </cell>
          <cell r="G1521">
            <v>37623</v>
          </cell>
          <cell r="H1521">
            <v>0</v>
          </cell>
          <cell r="I1521">
            <v>29.14</v>
          </cell>
          <cell r="J1521">
            <v>0</v>
          </cell>
          <cell r="K1521">
            <v>0</v>
          </cell>
          <cell r="L1521">
            <v>29.14</v>
          </cell>
          <cell r="M1521" t="str">
            <v>湖里</v>
          </cell>
        </row>
        <row r="1522">
          <cell r="B1522" t="str">
            <v>厦门大洋彩印有限公司 Total</v>
          </cell>
          <cell r="L1522">
            <v>53.32</v>
          </cell>
        </row>
        <row r="1523">
          <cell r="A1523" t="str">
            <v>020075</v>
          </cell>
          <cell r="B1523" t="str">
            <v>厦门大洲房地产有限公</v>
          </cell>
          <cell r="C1523" t="str">
            <v>三资</v>
          </cell>
          <cell r="D1523" t="str">
            <v>其它</v>
          </cell>
          <cell r="E1523" t="str">
            <v>保证贷款</v>
          </cell>
          <cell r="F1523">
            <v>37418</v>
          </cell>
          <cell r="G1523">
            <v>37783</v>
          </cell>
          <cell r="H1523">
            <v>0</v>
          </cell>
          <cell r="I1523">
            <v>230</v>
          </cell>
          <cell r="J1523">
            <v>0</v>
          </cell>
          <cell r="K1523">
            <v>0</v>
          </cell>
          <cell r="L1523">
            <v>230</v>
          </cell>
          <cell r="M1523" t="str">
            <v>东区</v>
          </cell>
        </row>
        <row r="1524">
          <cell r="B1524" t="str">
            <v>厦门大洲房地产有限公 Total</v>
          </cell>
          <cell r="L1524">
            <v>230</v>
          </cell>
        </row>
        <row r="1525">
          <cell r="A1525" t="str">
            <v>22346</v>
          </cell>
          <cell r="B1525" t="str">
            <v>厦门道亨服饰进出口</v>
          </cell>
          <cell r="C1525" t="str">
            <v>外事</v>
          </cell>
          <cell r="D1525" t="str">
            <v>商贸</v>
          </cell>
          <cell r="E1525" t="str">
            <v>保证贷款</v>
          </cell>
          <cell r="F1525">
            <v>37477</v>
          </cell>
          <cell r="G1525">
            <v>37661</v>
          </cell>
          <cell r="H1525">
            <v>0</v>
          </cell>
          <cell r="I1525">
            <v>75</v>
          </cell>
          <cell r="J1525">
            <v>0</v>
          </cell>
          <cell r="K1525">
            <v>0</v>
          </cell>
          <cell r="L1525">
            <v>75</v>
          </cell>
          <cell r="M1525" t="str">
            <v>江头</v>
          </cell>
        </row>
        <row r="1526">
          <cell r="A1526" t="str">
            <v>20387</v>
          </cell>
          <cell r="B1526" t="str">
            <v>厦门道亨服饰进出口</v>
          </cell>
          <cell r="C1526" t="str">
            <v>外事</v>
          </cell>
          <cell r="D1526" t="str">
            <v>商贸</v>
          </cell>
          <cell r="E1526" t="str">
            <v>保证贷款</v>
          </cell>
          <cell r="F1526">
            <v>37511</v>
          </cell>
          <cell r="G1526">
            <v>37692</v>
          </cell>
          <cell r="H1526">
            <v>0</v>
          </cell>
          <cell r="I1526">
            <v>18</v>
          </cell>
          <cell r="J1526">
            <v>0</v>
          </cell>
          <cell r="K1526">
            <v>0</v>
          </cell>
          <cell r="L1526">
            <v>18</v>
          </cell>
          <cell r="M1526" t="str">
            <v>江头</v>
          </cell>
        </row>
        <row r="1527">
          <cell r="A1527" t="str">
            <v>22312</v>
          </cell>
          <cell r="B1527" t="str">
            <v>厦门道亨服饰进出口</v>
          </cell>
          <cell r="C1527" t="str">
            <v>外事</v>
          </cell>
          <cell r="D1527" t="str">
            <v>商贸</v>
          </cell>
          <cell r="E1527" t="str">
            <v>保证贷款</v>
          </cell>
          <cell r="F1527">
            <v>37431</v>
          </cell>
          <cell r="G1527">
            <v>37614</v>
          </cell>
          <cell r="H1527">
            <v>0</v>
          </cell>
          <cell r="I1527">
            <v>40</v>
          </cell>
          <cell r="J1527">
            <v>0</v>
          </cell>
          <cell r="K1527">
            <v>5</v>
          </cell>
          <cell r="L1527">
            <v>35</v>
          </cell>
          <cell r="M1527" t="str">
            <v>江头</v>
          </cell>
        </row>
        <row r="1528">
          <cell r="B1528" t="str">
            <v>厦门道亨服饰进出口 Total</v>
          </cell>
          <cell r="L1528">
            <v>128</v>
          </cell>
        </row>
        <row r="1529">
          <cell r="A1529" t="str">
            <v>20431</v>
          </cell>
          <cell r="B1529" t="str">
            <v>厦门道亨进出口公司</v>
          </cell>
          <cell r="C1529" t="str">
            <v>集体</v>
          </cell>
          <cell r="D1529" t="str">
            <v>商贸</v>
          </cell>
          <cell r="E1529" t="str">
            <v>保证贷款</v>
          </cell>
          <cell r="F1529">
            <v>37554</v>
          </cell>
          <cell r="G1529">
            <v>37919</v>
          </cell>
          <cell r="H1529">
            <v>18</v>
          </cell>
          <cell r="I1529">
            <v>18</v>
          </cell>
          <cell r="J1529">
            <v>0</v>
          </cell>
          <cell r="K1529">
            <v>0</v>
          </cell>
          <cell r="L1529">
            <v>18</v>
          </cell>
          <cell r="M1529" t="str">
            <v>江头</v>
          </cell>
        </row>
        <row r="1530">
          <cell r="B1530" t="str">
            <v>厦门道亨进出口公司 Total</v>
          </cell>
          <cell r="L1530">
            <v>18</v>
          </cell>
        </row>
        <row r="1531">
          <cell r="A1531" t="str">
            <v>02-046</v>
          </cell>
          <cell r="B1531" t="str">
            <v>厦门德运实业有</v>
          </cell>
          <cell r="C1531" t="str">
            <v>集体</v>
          </cell>
          <cell r="D1531" t="str">
            <v>商贸</v>
          </cell>
          <cell r="E1531" t="str">
            <v>保证贷款</v>
          </cell>
          <cell r="F1531">
            <v>37456</v>
          </cell>
          <cell r="G1531">
            <v>37821</v>
          </cell>
          <cell r="H1531">
            <v>0</v>
          </cell>
          <cell r="I1531">
            <v>100</v>
          </cell>
          <cell r="J1531">
            <v>0</v>
          </cell>
          <cell r="K1531">
            <v>0</v>
          </cell>
          <cell r="L1531">
            <v>100</v>
          </cell>
          <cell r="M1531" t="str">
            <v>营业</v>
          </cell>
        </row>
        <row r="1532">
          <cell r="A1532" t="str">
            <v>02-031</v>
          </cell>
          <cell r="B1532" t="str">
            <v>厦门德运实业有</v>
          </cell>
          <cell r="C1532" t="str">
            <v>集体</v>
          </cell>
          <cell r="D1532" t="str">
            <v>商贸</v>
          </cell>
          <cell r="E1532" t="str">
            <v>保证贷款</v>
          </cell>
          <cell r="F1532">
            <v>37417</v>
          </cell>
          <cell r="G1532">
            <v>37782</v>
          </cell>
          <cell r="H1532">
            <v>0</v>
          </cell>
          <cell r="I1532">
            <v>200</v>
          </cell>
          <cell r="J1532">
            <v>0</v>
          </cell>
          <cell r="K1532">
            <v>0</v>
          </cell>
          <cell r="L1532">
            <v>200</v>
          </cell>
          <cell r="M1532" t="str">
            <v>营业</v>
          </cell>
        </row>
        <row r="1533">
          <cell r="A1533" t="str">
            <v>02-038</v>
          </cell>
          <cell r="B1533" t="str">
            <v>厦门德运实业有</v>
          </cell>
          <cell r="C1533" t="str">
            <v>集体</v>
          </cell>
          <cell r="D1533" t="str">
            <v>商贸</v>
          </cell>
          <cell r="E1533" t="str">
            <v>抵押贷款</v>
          </cell>
          <cell r="F1533">
            <v>37440</v>
          </cell>
          <cell r="G1533">
            <v>37749</v>
          </cell>
          <cell r="H1533">
            <v>0</v>
          </cell>
          <cell r="I1533">
            <v>450</v>
          </cell>
          <cell r="J1533">
            <v>0</v>
          </cell>
          <cell r="K1533">
            <v>0</v>
          </cell>
          <cell r="L1533">
            <v>450</v>
          </cell>
          <cell r="M1533" t="str">
            <v>营业</v>
          </cell>
        </row>
        <row r="1534">
          <cell r="B1534" t="str">
            <v>厦门德运实业有 Total</v>
          </cell>
          <cell r="L1534">
            <v>750</v>
          </cell>
        </row>
        <row r="1535">
          <cell r="A1535" t="str">
            <v>98069</v>
          </cell>
          <cell r="B1535" t="str">
            <v>厦门地方建筑材料公司</v>
          </cell>
          <cell r="C1535" t="str">
            <v>国营</v>
          </cell>
          <cell r="D1535" t="str">
            <v>商贸</v>
          </cell>
          <cell r="E1535" t="str">
            <v>抵押贷款</v>
          </cell>
          <cell r="F1535">
            <v>35976</v>
          </cell>
          <cell r="G1535">
            <v>36249</v>
          </cell>
          <cell r="H1535">
            <v>0</v>
          </cell>
          <cell r="I1535">
            <v>0</v>
          </cell>
          <cell r="J1535">
            <v>0</v>
          </cell>
          <cell r="K1535">
            <v>63</v>
          </cell>
          <cell r="L1535">
            <v>137</v>
          </cell>
          <cell r="M1535" t="str">
            <v>禾祥</v>
          </cell>
        </row>
        <row r="1536">
          <cell r="B1536" t="str">
            <v>厦门地方建筑材料公司 Total</v>
          </cell>
          <cell r="L1536">
            <v>137</v>
          </cell>
        </row>
        <row r="1537">
          <cell r="A1537" t="str">
            <v>923X24</v>
          </cell>
          <cell r="B1537" t="str">
            <v>厦门电控厂</v>
          </cell>
          <cell r="C1537" t="str">
            <v>其它</v>
          </cell>
          <cell r="D1537" t="str">
            <v>其它</v>
          </cell>
          <cell r="E1537" t="str">
            <v>票据贴现</v>
          </cell>
          <cell r="F1537">
            <v>37519</v>
          </cell>
          <cell r="G1537">
            <v>37620</v>
          </cell>
          <cell r="H1537">
            <v>0</v>
          </cell>
          <cell r="I1537">
            <v>28</v>
          </cell>
          <cell r="J1537">
            <v>0</v>
          </cell>
          <cell r="K1537">
            <v>0</v>
          </cell>
          <cell r="L1537">
            <v>28</v>
          </cell>
          <cell r="M1537" t="str">
            <v>禾祥</v>
          </cell>
        </row>
        <row r="1538">
          <cell r="B1538" t="str">
            <v>厦门电控厂 Total</v>
          </cell>
          <cell r="L1538">
            <v>28</v>
          </cell>
        </row>
        <row r="1539">
          <cell r="A1539" t="str">
            <v>923K02</v>
          </cell>
          <cell r="B1539" t="str">
            <v>厦门电控设备厂</v>
          </cell>
          <cell r="C1539" t="str">
            <v>其它</v>
          </cell>
          <cell r="D1539" t="str">
            <v>工业</v>
          </cell>
          <cell r="E1539" t="str">
            <v>保证贷款</v>
          </cell>
          <cell r="F1539">
            <v>37434</v>
          </cell>
          <cell r="G1539">
            <v>37799</v>
          </cell>
          <cell r="H1539">
            <v>0</v>
          </cell>
          <cell r="I1539">
            <v>500</v>
          </cell>
          <cell r="J1539">
            <v>0</v>
          </cell>
          <cell r="K1539">
            <v>0</v>
          </cell>
          <cell r="L1539">
            <v>500</v>
          </cell>
          <cell r="M1539" t="str">
            <v>禾祥</v>
          </cell>
        </row>
        <row r="1540">
          <cell r="B1540" t="str">
            <v>厦门电控设备厂 Total</v>
          </cell>
          <cell r="L1540">
            <v>500</v>
          </cell>
        </row>
        <row r="1541">
          <cell r="A1541" t="str">
            <v>20392</v>
          </cell>
          <cell r="B1541" t="str">
            <v>厦门电视台</v>
          </cell>
          <cell r="C1541" t="str">
            <v>国营</v>
          </cell>
          <cell r="D1541" t="str">
            <v>其它</v>
          </cell>
          <cell r="E1541" t="str">
            <v>保证贷款</v>
          </cell>
          <cell r="F1541">
            <v>37522</v>
          </cell>
          <cell r="G1541">
            <v>37887</v>
          </cell>
          <cell r="H1541">
            <v>0</v>
          </cell>
          <cell r="I1541">
            <v>1300</v>
          </cell>
          <cell r="J1541">
            <v>0</v>
          </cell>
          <cell r="K1541">
            <v>0</v>
          </cell>
          <cell r="L1541">
            <v>1300</v>
          </cell>
          <cell r="M1541" t="str">
            <v>江头</v>
          </cell>
        </row>
        <row r="1542">
          <cell r="B1542" t="str">
            <v>厦门电视台 Total</v>
          </cell>
          <cell r="L1542">
            <v>1300</v>
          </cell>
        </row>
        <row r="1543">
          <cell r="A1543" t="str">
            <v>40298</v>
          </cell>
          <cell r="B1543" t="str">
            <v>厦门东方龙建筑材料司</v>
          </cell>
          <cell r="C1543" t="str">
            <v>集体</v>
          </cell>
          <cell r="D1543" t="str">
            <v>商贸</v>
          </cell>
          <cell r="E1543" t="str">
            <v>抵押贷款</v>
          </cell>
          <cell r="F1543">
            <v>37529</v>
          </cell>
          <cell r="G1543">
            <v>37894</v>
          </cell>
          <cell r="H1543">
            <v>0</v>
          </cell>
          <cell r="I1543">
            <v>90</v>
          </cell>
          <cell r="J1543">
            <v>0</v>
          </cell>
          <cell r="K1543">
            <v>0</v>
          </cell>
          <cell r="L1543">
            <v>90</v>
          </cell>
          <cell r="M1543" t="str">
            <v>象屿</v>
          </cell>
        </row>
        <row r="1544">
          <cell r="B1544" t="str">
            <v>厦门东方龙建筑材料司 Total</v>
          </cell>
          <cell r="L1544">
            <v>90</v>
          </cell>
        </row>
        <row r="1545">
          <cell r="A1545" t="str">
            <v>0088</v>
          </cell>
          <cell r="B1545" t="str">
            <v>厦门东海经贸有限公司</v>
          </cell>
          <cell r="C1545" t="str">
            <v>国营</v>
          </cell>
          <cell r="D1545" t="str">
            <v>商贸</v>
          </cell>
          <cell r="E1545" t="str">
            <v>保证贷款</v>
          </cell>
          <cell r="F1545">
            <v>37487</v>
          </cell>
          <cell r="G1545">
            <v>37670</v>
          </cell>
          <cell r="H1545">
            <v>0</v>
          </cell>
          <cell r="I1545">
            <v>16</v>
          </cell>
          <cell r="J1545">
            <v>0</v>
          </cell>
          <cell r="K1545">
            <v>0</v>
          </cell>
          <cell r="L1545">
            <v>16</v>
          </cell>
          <cell r="M1545" t="str">
            <v>东芳</v>
          </cell>
        </row>
        <row r="1546">
          <cell r="A1546" t="str">
            <v>0075</v>
          </cell>
          <cell r="B1546" t="str">
            <v>厦门东海经贸有限公司</v>
          </cell>
          <cell r="C1546" t="str">
            <v>国营</v>
          </cell>
          <cell r="D1546" t="str">
            <v>商贸</v>
          </cell>
          <cell r="E1546" t="str">
            <v>保证贷款</v>
          </cell>
          <cell r="F1546">
            <v>37413</v>
          </cell>
          <cell r="G1546">
            <v>37595</v>
          </cell>
          <cell r="H1546">
            <v>0</v>
          </cell>
          <cell r="I1546">
            <v>82</v>
          </cell>
          <cell r="J1546">
            <v>0</v>
          </cell>
          <cell r="K1546">
            <v>50.01</v>
          </cell>
          <cell r="L1546">
            <v>31.99</v>
          </cell>
          <cell r="M1546" t="str">
            <v>东芳</v>
          </cell>
        </row>
        <row r="1547">
          <cell r="A1547" t="str">
            <v>0076</v>
          </cell>
          <cell r="B1547" t="str">
            <v>厦门东海经贸有限公司</v>
          </cell>
          <cell r="C1547" t="str">
            <v>国营</v>
          </cell>
          <cell r="D1547" t="str">
            <v>商贸</v>
          </cell>
          <cell r="E1547" t="str">
            <v>保证贷款</v>
          </cell>
          <cell r="F1547">
            <v>37431</v>
          </cell>
          <cell r="G1547">
            <v>37613</v>
          </cell>
          <cell r="H1547">
            <v>0</v>
          </cell>
          <cell r="I1547">
            <v>34</v>
          </cell>
          <cell r="J1547">
            <v>0</v>
          </cell>
          <cell r="K1547">
            <v>0</v>
          </cell>
          <cell r="L1547">
            <v>34</v>
          </cell>
          <cell r="M1547" t="str">
            <v>东芳</v>
          </cell>
        </row>
        <row r="1548">
          <cell r="A1548" t="str">
            <v>0098</v>
          </cell>
          <cell r="B1548" t="str">
            <v>厦门东海经贸有限公司</v>
          </cell>
          <cell r="C1548" t="str">
            <v>国营</v>
          </cell>
          <cell r="D1548" t="str">
            <v>商贸</v>
          </cell>
          <cell r="E1548" t="str">
            <v>保证贷款</v>
          </cell>
          <cell r="F1548">
            <v>37553</v>
          </cell>
          <cell r="G1548">
            <v>37735</v>
          </cell>
          <cell r="H1548">
            <v>84</v>
          </cell>
          <cell r="I1548">
            <v>84</v>
          </cell>
          <cell r="J1548">
            <v>0</v>
          </cell>
          <cell r="K1548">
            <v>0</v>
          </cell>
          <cell r="L1548">
            <v>84</v>
          </cell>
          <cell r="M1548" t="str">
            <v>东芳</v>
          </cell>
        </row>
        <row r="1549">
          <cell r="A1549" t="str">
            <v>0069</v>
          </cell>
          <cell r="B1549" t="str">
            <v>厦门东海经贸有限公司</v>
          </cell>
          <cell r="C1549" t="str">
            <v>其它</v>
          </cell>
          <cell r="D1549" t="str">
            <v>其它</v>
          </cell>
          <cell r="E1549" t="str">
            <v>抵押贷款</v>
          </cell>
          <cell r="F1549">
            <v>37244</v>
          </cell>
          <cell r="G1549">
            <v>37609</v>
          </cell>
          <cell r="H1549">
            <v>0</v>
          </cell>
          <cell r="I1549">
            <v>100</v>
          </cell>
          <cell r="J1549">
            <v>0</v>
          </cell>
          <cell r="K1549">
            <v>0</v>
          </cell>
          <cell r="L1549">
            <v>100</v>
          </cell>
          <cell r="M1549" t="str">
            <v>东芳</v>
          </cell>
        </row>
        <row r="1550">
          <cell r="B1550" t="str">
            <v>厦门东海经贸有限公司 Total</v>
          </cell>
          <cell r="L1550">
            <v>265.99</v>
          </cell>
        </row>
        <row r="1551">
          <cell r="A1551" t="str">
            <v>0054</v>
          </cell>
          <cell r="B1551" t="str">
            <v>厦门东纶织造有限公司</v>
          </cell>
          <cell r="C1551" t="str">
            <v>三资</v>
          </cell>
          <cell r="D1551" t="str">
            <v>工业</v>
          </cell>
          <cell r="E1551" t="str">
            <v>抵押贷款</v>
          </cell>
          <cell r="F1551">
            <v>37476</v>
          </cell>
          <cell r="G1551">
            <v>37841</v>
          </cell>
          <cell r="H1551">
            <v>0</v>
          </cell>
          <cell r="I1551">
            <v>600</v>
          </cell>
          <cell r="J1551">
            <v>0</v>
          </cell>
          <cell r="K1551">
            <v>0</v>
          </cell>
          <cell r="L1551">
            <v>600</v>
          </cell>
          <cell r="M1551" t="str">
            <v>莲花</v>
          </cell>
        </row>
        <row r="1552">
          <cell r="A1552" t="str">
            <v>0053</v>
          </cell>
          <cell r="B1552" t="str">
            <v>厦门东纶织造有限公司</v>
          </cell>
          <cell r="C1552" t="str">
            <v>三资</v>
          </cell>
          <cell r="D1552" t="str">
            <v>工业</v>
          </cell>
          <cell r="E1552" t="str">
            <v>保证贷款</v>
          </cell>
          <cell r="F1552">
            <v>37456</v>
          </cell>
          <cell r="G1552">
            <v>37821</v>
          </cell>
          <cell r="H1552">
            <v>0</v>
          </cell>
          <cell r="I1552">
            <v>3400</v>
          </cell>
          <cell r="J1552">
            <v>0</v>
          </cell>
          <cell r="K1552">
            <v>0</v>
          </cell>
          <cell r="L1552">
            <v>3400</v>
          </cell>
          <cell r="M1552" t="str">
            <v>莲花</v>
          </cell>
        </row>
        <row r="1553">
          <cell r="B1553" t="str">
            <v>厦门东纶织造有限公司 Total</v>
          </cell>
          <cell r="L1553">
            <v>4000</v>
          </cell>
        </row>
        <row r="1554">
          <cell r="A1554" t="str">
            <v>350701</v>
          </cell>
          <cell r="B1554" t="str">
            <v>厦门都会健康俱乐部</v>
          </cell>
          <cell r="C1554" t="str">
            <v>三资</v>
          </cell>
          <cell r="D1554" t="str">
            <v>工业</v>
          </cell>
          <cell r="E1554" t="str">
            <v>抵押贷款</v>
          </cell>
          <cell r="F1554">
            <v>37335</v>
          </cell>
          <cell r="G1554">
            <v>38065</v>
          </cell>
          <cell r="H1554">
            <v>0</v>
          </cell>
          <cell r="I1554">
            <v>15.44</v>
          </cell>
          <cell r="J1554">
            <v>0.63</v>
          </cell>
          <cell r="K1554">
            <v>4.32</v>
          </cell>
          <cell r="L1554">
            <v>11.12</v>
          </cell>
          <cell r="M1554" t="str">
            <v>湖里</v>
          </cell>
        </row>
        <row r="1555">
          <cell r="B1555" t="str">
            <v>厦门都会健康俱乐部 Total</v>
          </cell>
          <cell r="L1555">
            <v>11.12</v>
          </cell>
        </row>
        <row r="1556">
          <cell r="A1556" t="str">
            <v>000005</v>
          </cell>
          <cell r="B1556" t="str">
            <v>厦门飞龙开发有限公司</v>
          </cell>
          <cell r="C1556" t="str">
            <v>集体</v>
          </cell>
          <cell r="D1556" t="str">
            <v>其它</v>
          </cell>
          <cell r="E1556" t="str">
            <v>保证贷款</v>
          </cell>
          <cell r="F1556">
            <v>35461</v>
          </cell>
          <cell r="G1556">
            <v>35519</v>
          </cell>
          <cell r="H1556">
            <v>0</v>
          </cell>
          <cell r="I1556">
            <v>0</v>
          </cell>
          <cell r="J1556">
            <v>0</v>
          </cell>
          <cell r="K1556">
            <v>0</v>
          </cell>
          <cell r="L1556">
            <v>146.84</v>
          </cell>
          <cell r="M1556" t="str">
            <v>思明</v>
          </cell>
        </row>
        <row r="1557">
          <cell r="B1557" t="str">
            <v>厦门飞龙开发有限公司 Total</v>
          </cell>
          <cell r="L1557">
            <v>146.84</v>
          </cell>
        </row>
        <row r="1558">
          <cell r="A1558" t="str">
            <v>0061</v>
          </cell>
          <cell r="B1558" t="str">
            <v>厦门菲斯特工业电器有</v>
          </cell>
          <cell r="C1558" t="str">
            <v>其它</v>
          </cell>
          <cell r="D1558" t="str">
            <v>其它</v>
          </cell>
          <cell r="E1558" t="str">
            <v>抵押贷款</v>
          </cell>
          <cell r="F1558">
            <v>37399</v>
          </cell>
          <cell r="G1558">
            <v>37750</v>
          </cell>
          <cell r="H1558">
            <v>0</v>
          </cell>
          <cell r="I1558">
            <v>100</v>
          </cell>
          <cell r="J1558">
            <v>0</v>
          </cell>
          <cell r="K1558">
            <v>0</v>
          </cell>
          <cell r="L1558">
            <v>100</v>
          </cell>
          <cell r="M1558" t="str">
            <v>东芳</v>
          </cell>
        </row>
        <row r="1559">
          <cell r="B1559" t="str">
            <v>厦门菲斯特工业电器有 Total</v>
          </cell>
          <cell r="L1559">
            <v>100</v>
          </cell>
        </row>
        <row r="1560">
          <cell r="A1560" t="str">
            <v>40286</v>
          </cell>
          <cell r="B1560" t="str">
            <v>厦门福德隆建材有限司</v>
          </cell>
          <cell r="C1560" t="str">
            <v>集体</v>
          </cell>
          <cell r="D1560" t="str">
            <v>商贸</v>
          </cell>
          <cell r="E1560" t="str">
            <v>保证贷款</v>
          </cell>
          <cell r="F1560">
            <v>37340</v>
          </cell>
          <cell r="G1560">
            <v>37704</v>
          </cell>
          <cell r="H1560">
            <v>0</v>
          </cell>
          <cell r="I1560">
            <v>100</v>
          </cell>
          <cell r="J1560">
            <v>0</v>
          </cell>
          <cell r="K1560">
            <v>0</v>
          </cell>
          <cell r="L1560">
            <v>100</v>
          </cell>
          <cell r="M1560" t="str">
            <v>象屿</v>
          </cell>
        </row>
        <row r="1561">
          <cell r="B1561" t="str">
            <v>厦门福德隆建材有限司 Total</v>
          </cell>
          <cell r="L1561">
            <v>100</v>
          </cell>
        </row>
        <row r="1562">
          <cell r="A1562" t="str">
            <v>923F01</v>
          </cell>
          <cell r="B1562" t="str">
            <v>厦门福冶进出口有限公</v>
          </cell>
          <cell r="C1562" t="str">
            <v>国营</v>
          </cell>
          <cell r="D1562" t="str">
            <v>商贸</v>
          </cell>
          <cell r="E1562" t="str">
            <v>保证贷款</v>
          </cell>
          <cell r="F1562">
            <v>37391</v>
          </cell>
          <cell r="G1562">
            <v>37667</v>
          </cell>
          <cell r="H1562">
            <v>0</v>
          </cell>
          <cell r="I1562">
            <v>100</v>
          </cell>
          <cell r="J1562">
            <v>0</v>
          </cell>
          <cell r="K1562">
            <v>0</v>
          </cell>
          <cell r="L1562">
            <v>100</v>
          </cell>
          <cell r="M1562" t="str">
            <v>禾祥</v>
          </cell>
        </row>
        <row r="1563">
          <cell r="B1563" t="str">
            <v>厦门福冶进出口有限公 Total</v>
          </cell>
          <cell r="L1563">
            <v>100</v>
          </cell>
        </row>
        <row r="1564">
          <cell r="A1564" t="str">
            <v>020078</v>
          </cell>
          <cell r="B1564" t="str">
            <v>厦门富华兴印刷包装公</v>
          </cell>
          <cell r="C1564" t="str">
            <v>其它</v>
          </cell>
          <cell r="D1564" t="str">
            <v>工业</v>
          </cell>
          <cell r="E1564" t="str">
            <v>保证贷款</v>
          </cell>
          <cell r="F1564">
            <v>37410</v>
          </cell>
          <cell r="G1564">
            <v>37593</v>
          </cell>
          <cell r="H1564">
            <v>0</v>
          </cell>
          <cell r="I1564">
            <v>190</v>
          </cell>
          <cell r="J1564">
            <v>0</v>
          </cell>
          <cell r="K1564">
            <v>0</v>
          </cell>
          <cell r="L1564">
            <v>190</v>
          </cell>
          <cell r="M1564" t="str">
            <v>东区</v>
          </cell>
        </row>
        <row r="1565">
          <cell r="B1565" t="str">
            <v>厦门富华兴印刷包装公 Total</v>
          </cell>
          <cell r="L1565">
            <v>190</v>
          </cell>
        </row>
        <row r="1566">
          <cell r="A1566" t="str">
            <v>021327</v>
          </cell>
          <cell r="B1566" t="str">
            <v>厦门富全钢铁有限公司</v>
          </cell>
          <cell r="C1566" t="str">
            <v>三资</v>
          </cell>
          <cell r="D1566" t="str">
            <v>工业</v>
          </cell>
          <cell r="E1566" t="str">
            <v>票据贴现</v>
          </cell>
          <cell r="F1566">
            <v>37554</v>
          </cell>
          <cell r="G1566">
            <v>37608</v>
          </cell>
          <cell r="H1566">
            <v>180.68</v>
          </cell>
          <cell r="I1566">
            <v>180.68</v>
          </cell>
          <cell r="J1566">
            <v>0</v>
          </cell>
          <cell r="K1566">
            <v>0</v>
          </cell>
          <cell r="L1566">
            <v>180.68</v>
          </cell>
          <cell r="M1566" t="str">
            <v>杏林</v>
          </cell>
        </row>
        <row r="1567">
          <cell r="A1567" t="str">
            <v>021326</v>
          </cell>
          <cell r="B1567" t="str">
            <v>厦门富全钢铁有限公司</v>
          </cell>
          <cell r="C1567" t="str">
            <v>三资</v>
          </cell>
          <cell r="D1567" t="str">
            <v>工业</v>
          </cell>
          <cell r="E1567" t="str">
            <v>票据贴现</v>
          </cell>
          <cell r="F1567">
            <v>37554</v>
          </cell>
          <cell r="G1567">
            <v>37639</v>
          </cell>
          <cell r="H1567">
            <v>201.48</v>
          </cell>
          <cell r="I1567">
            <v>201.48</v>
          </cell>
          <cell r="J1567">
            <v>0</v>
          </cell>
          <cell r="K1567">
            <v>0</v>
          </cell>
          <cell r="L1567">
            <v>201.48</v>
          </cell>
          <cell r="M1567" t="str">
            <v>杏林</v>
          </cell>
        </row>
        <row r="1568">
          <cell r="B1568" t="str">
            <v>厦门富全钢铁有限公司 Total</v>
          </cell>
          <cell r="L1568">
            <v>382.15999999999997</v>
          </cell>
        </row>
        <row r="1569">
          <cell r="A1569" t="str">
            <v>22065</v>
          </cell>
          <cell r="B1569" t="str">
            <v>厦门富特贸易有限公司</v>
          </cell>
          <cell r="C1569" t="str">
            <v>集体</v>
          </cell>
          <cell r="D1569" t="str">
            <v>商贸</v>
          </cell>
          <cell r="E1569" t="str">
            <v>抵押贷款</v>
          </cell>
          <cell r="F1569">
            <v>35430</v>
          </cell>
          <cell r="G1569">
            <v>35706</v>
          </cell>
          <cell r="H1569">
            <v>0</v>
          </cell>
          <cell r="I1569">
            <v>0</v>
          </cell>
          <cell r="J1569">
            <v>0</v>
          </cell>
          <cell r="K1569">
            <v>0</v>
          </cell>
          <cell r="L1569">
            <v>230</v>
          </cell>
          <cell r="M1569" t="str">
            <v>江头</v>
          </cell>
        </row>
        <row r="1570">
          <cell r="B1570" t="str">
            <v>厦门富特贸易有限公司 Total</v>
          </cell>
          <cell r="L1570">
            <v>230</v>
          </cell>
        </row>
        <row r="1571">
          <cell r="A1571" t="str">
            <v>T02065</v>
          </cell>
          <cell r="B1571" t="str">
            <v>厦门工程机械股</v>
          </cell>
          <cell r="C1571" t="str">
            <v>国营</v>
          </cell>
          <cell r="D1571" t="str">
            <v>工业</v>
          </cell>
          <cell r="E1571" t="str">
            <v>票据贴现</v>
          </cell>
          <cell r="F1571">
            <v>37557</v>
          </cell>
          <cell r="G1571">
            <v>37678</v>
          </cell>
          <cell r="H1571">
            <v>563.4</v>
          </cell>
          <cell r="I1571">
            <v>563.4</v>
          </cell>
          <cell r="J1571">
            <v>0</v>
          </cell>
          <cell r="K1571">
            <v>0</v>
          </cell>
          <cell r="L1571">
            <v>563.4</v>
          </cell>
          <cell r="M1571" t="str">
            <v>营业</v>
          </cell>
        </row>
        <row r="1572">
          <cell r="A1572" t="str">
            <v>T02059</v>
          </cell>
          <cell r="B1572" t="str">
            <v>厦门工程机械股</v>
          </cell>
          <cell r="C1572" t="str">
            <v>国营</v>
          </cell>
          <cell r="D1572" t="str">
            <v>工业</v>
          </cell>
          <cell r="E1572" t="str">
            <v>票据贴现</v>
          </cell>
          <cell r="F1572">
            <v>37527</v>
          </cell>
          <cell r="G1572">
            <v>37683</v>
          </cell>
          <cell r="H1572">
            <v>0</v>
          </cell>
          <cell r="I1572">
            <v>105</v>
          </cell>
          <cell r="J1572">
            <v>0</v>
          </cell>
          <cell r="K1572">
            <v>0</v>
          </cell>
          <cell r="L1572">
            <v>105</v>
          </cell>
          <cell r="M1572" t="str">
            <v>营业</v>
          </cell>
        </row>
        <row r="1573">
          <cell r="A1573" t="str">
            <v>T02052</v>
          </cell>
          <cell r="B1573" t="str">
            <v>厦门工程机械股</v>
          </cell>
          <cell r="C1573" t="str">
            <v>国营</v>
          </cell>
          <cell r="D1573" t="str">
            <v>工业</v>
          </cell>
          <cell r="E1573" t="str">
            <v>票据贴现</v>
          </cell>
          <cell r="F1573">
            <v>37482</v>
          </cell>
          <cell r="G1573">
            <v>37631</v>
          </cell>
          <cell r="H1573">
            <v>0</v>
          </cell>
          <cell r="I1573">
            <v>477.2</v>
          </cell>
          <cell r="J1573">
            <v>137.19999999999999</v>
          </cell>
          <cell r="K1573">
            <v>137.19999999999999</v>
          </cell>
          <cell r="L1573">
            <v>340</v>
          </cell>
          <cell r="M1573" t="str">
            <v>营业</v>
          </cell>
        </row>
        <row r="1574">
          <cell r="A1574" t="str">
            <v>T02058</v>
          </cell>
          <cell r="B1574" t="str">
            <v>厦门工程机械股</v>
          </cell>
          <cell r="C1574" t="str">
            <v>国营</v>
          </cell>
          <cell r="D1574" t="str">
            <v>工业</v>
          </cell>
          <cell r="E1574" t="str">
            <v>票据贴现</v>
          </cell>
          <cell r="F1574">
            <v>37523</v>
          </cell>
          <cell r="G1574">
            <v>37637</v>
          </cell>
          <cell r="H1574">
            <v>0</v>
          </cell>
          <cell r="I1574">
            <v>637.45000000000005</v>
          </cell>
          <cell r="J1574">
            <v>0</v>
          </cell>
          <cell r="K1574">
            <v>0</v>
          </cell>
          <cell r="L1574">
            <v>637.45000000000005</v>
          </cell>
          <cell r="M1574" t="str">
            <v>营业</v>
          </cell>
        </row>
        <row r="1575">
          <cell r="A1575" t="str">
            <v>02-064</v>
          </cell>
          <cell r="B1575" t="str">
            <v>厦门工程机械股</v>
          </cell>
          <cell r="C1575" t="str">
            <v>国营</v>
          </cell>
          <cell r="D1575" t="str">
            <v>工业</v>
          </cell>
          <cell r="E1575" t="str">
            <v>保证贷款</v>
          </cell>
          <cell r="F1575">
            <v>37524</v>
          </cell>
          <cell r="G1575">
            <v>37705</v>
          </cell>
          <cell r="H1575">
            <v>0</v>
          </cell>
          <cell r="I1575">
            <v>1500</v>
          </cell>
          <cell r="J1575">
            <v>0</v>
          </cell>
          <cell r="K1575">
            <v>0</v>
          </cell>
          <cell r="L1575">
            <v>1500</v>
          </cell>
          <cell r="M1575" t="str">
            <v>营业</v>
          </cell>
        </row>
        <row r="1576">
          <cell r="B1576" t="str">
            <v>厦门工程机械股 Total</v>
          </cell>
          <cell r="L1576">
            <v>3145.85</v>
          </cell>
        </row>
        <row r="1577">
          <cell r="A1577" t="str">
            <v>20449</v>
          </cell>
          <cell r="B1577" t="str">
            <v>厦门冠华兴业有限公司</v>
          </cell>
          <cell r="C1577" t="str">
            <v>集体</v>
          </cell>
          <cell r="D1577" t="str">
            <v>商贸</v>
          </cell>
          <cell r="E1577" t="str">
            <v>票据贴现</v>
          </cell>
          <cell r="F1577">
            <v>37546</v>
          </cell>
          <cell r="G1577">
            <v>37654</v>
          </cell>
          <cell r="H1577">
            <v>39.42</v>
          </cell>
          <cell r="I1577">
            <v>39.42</v>
          </cell>
          <cell r="J1577">
            <v>0</v>
          </cell>
          <cell r="K1577">
            <v>0</v>
          </cell>
          <cell r="L1577">
            <v>39.42</v>
          </cell>
          <cell r="M1577" t="str">
            <v>江头</v>
          </cell>
        </row>
        <row r="1578">
          <cell r="A1578" t="str">
            <v>20428</v>
          </cell>
          <cell r="B1578" t="str">
            <v>厦门冠华兴业有限公司</v>
          </cell>
          <cell r="C1578" t="str">
            <v>其它</v>
          </cell>
          <cell r="D1578" t="str">
            <v>商贸</v>
          </cell>
          <cell r="E1578" t="str">
            <v>票据贴现</v>
          </cell>
          <cell r="F1578">
            <v>37512</v>
          </cell>
          <cell r="G1578">
            <v>37623</v>
          </cell>
          <cell r="H1578">
            <v>0</v>
          </cell>
          <cell r="I1578">
            <v>37.96</v>
          </cell>
          <cell r="J1578">
            <v>0</v>
          </cell>
          <cell r="K1578">
            <v>0</v>
          </cell>
          <cell r="L1578">
            <v>37.96</v>
          </cell>
          <cell r="M1578" t="str">
            <v>江头</v>
          </cell>
        </row>
        <row r="1579">
          <cell r="B1579" t="str">
            <v>厦门冠华兴业有限公司 Total</v>
          </cell>
          <cell r="L1579">
            <v>77.38</v>
          </cell>
        </row>
        <row r="1580">
          <cell r="A1580" t="str">
            <v>000001</v>
          </cell>
          <cell r="B1580" t="str">
            <v>厦门广宇实业开发公司</v>
          </cell>
          <cell r="C1580" t="str">
            <v>集体</v>
          </cell>
          <cell r="D1580" t="str">
            <v>其它</v>
          </cell>
          <cell r="E1580" t="str">
            <v>抵押贷款</v>
          </cell>
          <cell r="F1580">
            <v>35310</v>
          </cell>
          <cell r="G1580">
            <v>35491</v>
          </cell>
          <cell r="H1580">
            <v>0</v>
          </cell>
          <cell r="I1580">
            <v>0</v>
          </cell>
          <cell r="J1580">
            <v>0</v>
          </cell>
          <cell r="K1580">
            <v>0</v>
          </cell>
          <cell r="L1580">
            <v>400</v>
          </cell>
          <cell r="M1580" t="str">
            <v>思明</v>
          </cell>
        </row>
        <row r="1581">
          <cell r="B1581" t="str">
            <v>厦门广宇实业开发公司 Total</v>
          </cell>
          <cell r="L1581">
            <v>400</v>
          </cell>
        </row>
        <row r="1582">
          <cell r="A1582" t="str">
            <v>0052</v>
          </cell>
          <cell r="B1582" t="str">
            <v>厦门国际商品拍卖中心</v>
          </cell>
          <cell r="C1582" t="str">
            <v>其它</v>
          </cell>
          <cell r="D1582" t="str">
            <v>商贸</v>
          </cell>
          <cell r="E1582" t="str">
            <v>抵押贷款</v>
          </cell>
          <cell r="F1582">
            <v>37454</v>
          </cell>
          <cell r="G1582">
            <v>37638</v>
          </cell>
          <cell r="H1582">
            <v>0</v>
          </cell>
          <cell r="I1582">
            <v>180</v>
          </cell>
          <cell r="J1582">
            <v>0</v>
          </cell>
          <cell r="K1582">
            <v>0</v>
          </cell>
          <cell r="L1582">
            <v>180</v>
          </cell>
          <cell r="M1582" t="str">
            <v>莲花</v>
          </cell>
        </row>
        <row r="1583">
          <cell r="B1583" t="str">
            <v>厦门国际商品拍卖中心 Total</v>
          </cell>
          <cell r="L1583">
            <v>180</v>
          </cell>
        </row>
        <row r="1584">
          <cell r="A1584" t="str">
            <v>t20515</v>
          </cell>
          <cell r="B1584" t="str">
            <v>厦门国贸</v>
          </cell>
          <cell r="C1584" t="str">
            <v>外事</v>
          </cell>
          <cell r="D1584" t="str">
            <v>商贸</v>
          </cell>
          <cell r="E1584" t="str">
            <v>票据贴现</v>
          </cell>
          <cell r="F1584">
            <v>37475</v>
          </cell>
          <cell r="G1584">
            <v>37575</v>
          </cell>
          <cell r="H1584">
            <v>0</v>
          </cell>
          <cell r="I1584">
            <v>100</v>
          </cell>
          <cell r="J1584">
            <v>0</v>
          </cell>
          <cell r="K1584">
            <v>0</v>
          </cell>
          <cell r="L1584">
            <v>100</v>
          </cell>
          <cell r="M1584" t="str">
            <v>文滨</v>
          </cell>
        </row>
        <row r="1585">
          <cell r="A1585" t="str">
            <v>s215-2</v>
          </cell>
          <cell r="B1585" t="str">
            <v>厦门国贸</v>
          </cell>
          <cell r="C1585" t="str">
            <v>外事</v>
          </cell>
          <cell r="D1585" t="str">
            <v>商贸</v>
          </cell>
          <cell r="E1585" t="str">
            <v>保证贷款</v>
          </cell>
          <cell r="F1585">
            <v>37559</v>
          </cell>
          <cell r="G1585">
            <v>37741</v>
          </cell>
          <cell r="H1585">
            <v>1000</v>
          </cell>
          <cell r="I1585">
            <v>1000</v>
          </cell>
          <cell r="J1585">
            <v>0</v>
          </cell>
          <cell r="K1585">
            <v>0</v>
          </cell>
          <cell r="L1585">
            <v>1000</v>
          </cell>
          <cell r="M1585" t="str">
            <v>文滨</v>
          </cell>
        </row>
        <row r="1586">
          <cell r="A1586" t="str">
            <v>s206-1</v>
          </cell>
          <cell r="B1586" t="str">
            <v>厦门国贸</v>
          </cell>
          <cell r="C1586" t="str">
            <v>外事</v>
          </cell>
          <cell r="D1586" t="str">
            <v>商贸</v>
          </cell>
          <cell r="E1586" t="str">
            <v>保证贷款</v>
          </cell>
          <cell r="F1586">
            <v>37449</v>
          </cell>
          <cell r="G1586">
            <v>37633</v>
          </cell>
          <cell r="H1586">
            <v>0</v>
          </cell>
          <cell r="I1586">
            <v>86</v>
          </cell>
          <cell r="J1586">
            <v>0</v>
          </cell>
          <cell r="K1586">
            <v>0</v>
          </cell>
          <cell r="L1586">
            <v>711.62419999999997</v>
          </cell>
          <cell r="M1586" t="str">
            <v>文滨</v>
          </cell>
        </row>
        <row r="1587">
          <cell r="A1587" t="str">
            <v>s207-1</v>
          </cell>
          <cell r="B1587" t="str">
            <v>厦门国贸</v>
          </cell>
          <cell r="C1587" t="str">
            <v>外事</v>
          </cell>
          <cell r="D1587" t="str">
            <v>商贸</v>
          </cell>
          <cell r="E1587" t="str">
            <v>保证贷款</v>
          </cell>
          <cell r="F1587">
            <v>37462</v>
          </cell>
          <cell r="G1587">
            <v>37646</v>
          </cell>
          <cell r="H1587">
            <v>0</v>
          </cell>
          <cell r="I1587">
            <v>129</v>
          </cell>
          <cell r="J1587">
            <v>0</v>
          </cell>
          <cell r="K1587">
            <v>0</v>
          </cell>
          <cell r="L1587">
            <v>1067.4362999999998</v>
          </cell>
          <cell r="M1587" t="str">
            <v>文滨</v>
          </cell>
        </row>
        <row r="1588">
          <cell r="B1588" t="str">
            <v>厦门国贸 Total</v>
          </cell>
          <cell r="L1588">
            <v>2879.0604999999996</v>
          </cell>
        </row>
        <row r="1589">
          <cell r="A1589" t="str">
            <v>200244</v>
          </cell>
          <cell r="B1589" t="str">
            <v>厦门海沧房地产开发公</v>
          </cell>
          <cell r="C1589" t="str">
            <v>国营</v>
          </cell>
          <cell r="D1589" t="str">
            <v>商贸</v>
          </cell>
          <cell r="E1589" t="str">
            <v>保证贷款</v>
          </cell>
          <cell r="F1589">
            <v>37468</v>
          </cell>
          <cell r="G1589">
            <v>37832</v>
          </cell>
          <cell r="H1589">
            <v>0</v>
          </cell>
          <cell r="I1589">
            <v>2000</v>
          </cell>
          <cell r="J1589">
            <v>0</v>
          </cell>
          <cell r="K1589">
            <v>0</v>
          </cell>
          <cell r="L1589">
            <v>2000</v>
          </cell>
          <cell r="M1589" t="str">
            <v>海沧</v>
          </cell>
        </row>
        <row r="1590">
          <cell r="B1590" t="str">
            <v>厦门海沧房地产开发公 Total</v>
          </cell>
          <cell r="L1590">
            <v>2000</v>
          </cell>
        </row>
        <row r="1591">
          <cell r="A1591" t="str">
            <v>600014</v>
          </cell>
          <cell r="B1591" t="str">
            <v>厦门海沧港务有限公司</v>
          </cell>
          <cell r="C1591" t="str">
            <v>国营</v>
          </cell>
          <cell r="D1591" t="str">
            <v>商贸</v>
          </cell>
          <cell r="E1591" t="str">
            <v>保证贷款</v>
          </cell>
          <cell r="F1591">
            <v>36523</v>
          </cell>
          <cell r="G1591">
            <v>37619</v>
          </cell>
          <cell r="H1591">
            <v>0</v>
          </cell>
          <cell r="I1591">
            <v>0</v>
          </cell>
          <cell r="J1591">
            <v>0</v>
          </cell>
          <cell r="K1591">
            <v>0</v>
          </cell>
          <cell r="L1591">
            <v>1000</v>
          </cell>
          <cell r="M1591" t="str">
            <v>海沧</v>
          </cell>
        </row>
        <row r="1592">
          <cell r="B1592" t="str">
            <v>厦门海沧港务有限公司 Total</v>
          </cell>
          <cell r="L1592">
            <v>1000</v>
          </cell>
        </row>
        <row r="1593">
          <cell r="A1593" t="str">
            <v>200225</v>
          </cell>
          <cell r="B1593" t="str">
            <v>厦门海沧交通服务公司</v>
          </cell>
          <cell r="C1593" t="str">
            <v>集体</v>
          </cell>
          <cell r="D1593" t="str">
            <v>其它</v>
          </cell>
          <cell r="E1593" t="str">
            <v>抵押贷款</v>
          </cell>
          <cell r="F1593">
            <v>37559</v>
          </cell>
          <cell r="G1593">
            <v>38289</v>
          </cell>
          <cell r="H1593">
            <v>19.440000000000001</v>
          </cell>
          <cell r="I1593">
            <v>19.440000000000001</v>
          </cell>
          <cell r="J1593">
            <v>0</v>
          </cell>
          <cell r="K1593">
            <v>0</v>
          </cell>
          <cell r="L1593">
            <v>19.440000000000001</v>
          </cell>
          <cell r="M1593" t="str">
            <v>海沧</v>
          </cell>
        </row>
        <row r="1594">
          <cell r="B1594" t="str">
            <v>厦门海沧交通服务公司 Total</v>
          </cell>
          <cell r="L1594">
            <v>19.440000000000001</v>
          </cell>
        </row>
        <row r="1595">
          <cell r="A1595" t="str">
            <v>200235</v>
          </cell>
          <cell r="B1595" t="str">
            <v>厦门海沧市政管理中心</v>
          </cell>
          <cell r="C1595" t="str">
            <v>国营</v>
          </cell>
          <cell r="D1595" t="str">
            <v>其它</v>
          </cell>
          <cell r="E1595" t="str">
            <v>保证贷款</v>
          </cell>
          <cell r="F1595">
            <v>37414</v>
          </cell>
          <cell r="G1595">
            <v>37778</v>
          </cell>
          <cell r="H1595">
            <v>0</v>
          </cell>
          <cell r="I1595">
            <v>1500</v>
          </cell>
          <cell r="J1595">
            <v>0</v>
          </cell>
          <cell r="K1595">
            <v>0</v>
          </cell>
          <cell r="L1595">
            <v>1500</v>
          </cell>
          <cell r="M1595" t="str">
            <v>海沧</v>
          </cell>
        </row>
        <row r="1596">
          <cell r="B1596" t="str">
            <v>厦门海沧市政管理中心 Total</v>
          </cell>
          <cell r="L1596">
            <v>1500</v>
          </cell>
        </row>
        <row r="1597">
          <cell r="A1597" t="str">
            <v>200249</v>
          </cell>
          <cell r="B1597" t="str">
            <v>厦门海沧土地开发公司</v>
          </cell>
          <cell r="C1597" t="str">
            <v>国营</v>
          </cell>
          <cell r="D1597" t="str">
            <v>其它</v>
          </cell>
          <cell r="E1597" t="str">
            <v>保证贷款</v>
          </cell>
          <cell r="F1597">
            <v>37553</v>
          </cell>
          <cell r="G1597">
            <v>37917</v>
          </cell>
          <cell r="H1597">
            <v>2000</v>
          </cell>
          <cell r="I1597">
            <v>2000</v>
          </cell>
          <cell r="J1597">
            <v>0</v>
          </cell>
          <cell r="K1597">
            <v>0</v>
          </cell>
          <cell r="L1597">
            <v>2000</v>
          </cell>
          <cell r="M1597" t="str">
            <v>海沧</v>
          </cell>
        </row>
        <row r="1598">
          <cell r="B1598" t="str">
            <v>厦门海沧土地开发公司 Total</v>
          </cell>
          <cell r="L1598">
            <v>2000</v>
          </cell>
        </row>
        <row r="1599">
          <cell r="A1599" t="str">
            <v>250789</v>
          </cell>
          <cell r="B1599" t="str">
            <v>厦门海川行进出口公司</v>
          </cell>
          <cell r="C1599" t="str">
            <v>集体</v>
          </cell>
          <cell r="D1599" t="str">
            <v>商贸</v>
          </cell>
          <cell r="E1599" t="str">
            <v>票据贴现</v>
          </cell>
          <cell r="F1599">
            <v>37495</v>
          </cell>
          <cell r="G1599">
            <v>37628</v>
          </cell>
          <cell r="H1599">
            <v>0</v>
          </cell>
          <cell r="I1599">
            <v>2</v>
          </cell>
          <cell r="J1599">
            <v>0</v>
          </cell>
          <cell r="K1599">
            <v>0</v>
          </cell>
          <cell r="L1599">
            <v>2</v>
          </cell>
          <cell r="M1599" t="str">
            <v>湖里</v>
          </cell>
        </row>
        <row r="1600">
          <cell r="A1600" t="str">
            <v>250778</v>
          </cell>
          <cell r="B1600" t="str">
            <v>厦门海川行进出口公司</v>
          </cell>
          <cell r="C1600" t="str">
            <v>集体</v>
          </cell>
          <cell r="D1600" t="str">
            <v>商贸</v>
          </cell>
          <cell r="E1600" t="str">
            <v>票据贴现</v>
          </cell>
          <cell r="F1600">
            <v>37495</v>
          </cell>
          <cell r="G1600">
            <v>37628</v>
          </cell>
          <cell r="H1600">
            <v>0</v>
          </cell>
          <cell r="I1600">
            <v>2</v>
          </cell>
          <cell r="J1600">
            <v>0</v>
          </cell>
          <cell r="K1600">
            <v>0</v>
          </cell>
          <cell r="L1600">
            <v>2</v>
          </cell>
          <cell r="M1600" t="str">
            <v>湖里</v>
          </cell>
        </row>
        <row r="1601">
          <cell r="A1601" t="str">
            <v>250791</v>
          </cell>
          <cell r="B1601" t="str">
            <v>厦门海川行进出口公司</v>
          </cell>
          <cell r="C1601" t="str">
            <v>集体</v>
          </cell>
          <cell r="D1601" t="str">
            <v>商贸</v>
          </cell>
          <cell r="E1601" t="str">
            <v>票据贴现</v>
          </cell>
          <cell r="F1601">
            <v>37495</v>
          </cell>
          <cell r="G1601">
            <v>37583</v>
          </cell>
          <cell r="H1601">
            <v>0</v>
          </cell>
          <cell r="I1601">
            <v>10</v>
          </cell>
          <cell r="J1601">
            <v>0</v>
          </cell>
          <cell r="K1601">
            <v>0</v>
          </cell>
          <cell r="L1601">
            <v>10</v>
          </cell>
          <cell r="M1601" t="str">
            <v>湖里</v>
          </cell>
        </row>
        <row r="1602">
          <cell r="B1602" t="str">
            <v>厦门海川行进出口公司 Total</v>
          </cell>
          <cell r="L1602">
            <v>14</v>
          </cell>
        </row>
        <row r="1603">
          <cell r="A1603" t="str">
            <v>942086</v>
          </cell>
          <cell r="B1603" t="str">
            <v>厦门海富实业发展有限</v>
          </cell>
          <cell r="C1603" t="str">
            <v>其它</v>
          </cell>
          <cell r="D1603" t="str">
            <v>商贸</v>
          </cell>
          <cell r="E1603" t="str">
            <v>抵押贷款</v>
          </cell>
          <cell r="F1603">
            <v>37560</v>
          </cell>
          <cell r="G1603">
            <v>37925</v>
          </cell>
          <cell r="H1603">
            <v>100</v>
          </cell>
          <cell r="I1603">
            <v>100</v>
          </cell>
          <cell r="J1603">
            <v>0</v>
          </cell>
          <cell r="K1603">
            <v>0</v>
          </cell>
          <cell r="L1603">
            <v>100</v>
          </cell>
          <cell r="M1603" t="str">
            <v>莲富</v>
          </cell>
        </row>
        <row r="1604">
          <cell r="B1604" t="str">
            <v>厦门海富实业发展有限 Total</v>
          </cell>
          <cell r="L1604">
            <v>100</v>
          </cell>
        </row>
        <row r="1605">
          <cell r="A1605" t="str">
            <v>s121-3</v>
          </cell>
          <cell r="B1605" t="str">
            <v>厦门海光润滑油厂</v>
          </cell>
          <cell r="C1605" t="str">
            <v>国营</v>
          </cell>
          <cell r="D1605" t="str">
            <v>工业</v>
          </cell>
          <cell r="E1605" t="str">
            <v>保证贷款</v>
          </cell>
          <cell r="F1605">
            <v>37510</v>
          </cell>
          <cell r="G1605">
            <v>37875</v>
          </cell>
          <cell r="H1605">
            <v>0</v>
          </cell>
          <cell r="I1605">
            <v>100</v>
          </cell>
          <cell r="J1605">
            <v>0</v>
          </cell>
          <cell r="K1605">
            <v>0</v>
          </cell>
          <cell r="L1605">
            <v>100</v>
          </cell>
          <cell r="M1605" t="str">
            <v>文滨</v>
          </cell>
        </row>
        <row r="1606">
          <cell r="A1606" t="str">
            <v>s121-4</v>
          </cell>
          <cell r="B1606" t="str">
            <v>厦门海光润滑油厂</v>
          </cell>
          <cell r="C1606" t="str">
            <v>国营</v>
          </cell>
          <cell r="D1606" t="str">
            <v>工业</v>
          </cell>
          <cell r="E1606" t="str">
            <v>保证贷款</v>
          </cell>
          <cell r="F1606">
            <v>37523</v>
          </cell>
          <cell r="G1606">
            <v>37888</v>
          </cell>
          <cell r="H1606">
            <v>0</v>
          </cell>
          <cell r="I1606">
            <v>150</v>
          </cell>
          <cell r="J1606">
            <v>0</v>
          </cell>
          <cell r="K1606">
            <v>0</v>
          </cell>
          <cell r="L1606">
            <v>150</v>
          </cell>
          <cell r="M1606" t="str">
            <v>文滨</v>
          </cell>
        </row>
        <row r="1607">
          <cell r="B1607" t="str">
            <v>厦门海光润滑油厂 Total</v>
          </cell>
          <cell r="L1607">
            <v>250</v>
          </cell>
        </row>
        <row r="1608">
          <cell r="A1608" t="str">
            <v>020001</v>
          </cell>
          <cell r="B1608" t="str">
            <v>厦门航空有限公司</v>
          </cell>
          <cell r="C1608" t="str">
            <v>三资</v>
          </cell>
          <cell r="D1608" t="str">
            <v>商贸</v>
          </cell>
          <cell r="E1608" t="str">
            <v>信用贷款</v>
          </cell>
          <cell r="F1608">
            <v>37350</v>
          </cell>
          <cell r="G1608">
            <v>37715</v>
          </cell>
          <cell r="H1608">
            <v>0</v>
          </cell>
          <cell r="I1608">
            <v>1500</v>
          </cell>
          <cell r="J1608">
            <v>0</v>
          </cell>
          <cell r="K1608">
            <v>450</v>
          </cell>
          <cell r="L1608">
            <v>8688.4349999999995</v>
          </cell>
          <cell r="M1608" t="str">
            <v>东区</v>
          </cell>
        </row>
        <row r="1609">
          <cell r="B1609" t="str">
            <v>厦门航空有限公司 Total</v>
          </cell>
          <cell r="L1609">
            <v>8688.4349999999995</v>
          </cell>
        </row>
        <row r="1610">
          <cell r="A1610" t="str">
            <v>02-049</v>
          </cell>
          <cell r="B1610" t="str">
            <v>厦门豪盛塑料制</v>
          </cell>
          <cell r="C1610" t="str">
            <v>集体</v>
          </cell>
          <cell r="D1610" t="str">
            <v>其它</v>
          </cell>
          <cell r="E1610" t="str">
            <v>保证贷款</v>
          </cell>
          <cell r="F1610">
            <v>37468</v>
          </cell>
          <cell r="G1610">
            <v>37833</v>
          </cell>
          <cell r="H1610">
            <v>0</v>
          </cell>
          <cell r="I1610">
            <v>50</v>
          </cell>
          <cell r="J1610">
            <v>0</v>
          </cell>
          <cell r="K1610">
            <v>0</v>
          </cell>
          <cell r="L1610">
            <v>50</v>
          </cell>
          <cell r="M1610" t="str">
            <v>营业</v>
          </cell>
        </row>
        <row r="1611">
          <cell r="B1611" t="str">
            <v>厦门豪盛塑料制 Total</v>
          </cell>
          <cell r="L1611">
            <v>50</v>
          </cell>
        </row>
        <row r="1612">
          <cell r="A1612" t="str">
            <v>0052</v>
          </cell>
          <cell r="B1612" t="str">
            <v>厦门和运机械有限公司</v>
          </cell>
          <cell r="C1612" t="str">
            <v>其它</v>
          </cell>
          <cell r="D1612" t="str">
            <v>其它</v>
          </cell>
          <cell r="E1612" t="str">
            <v>抵押贷款</v>
          </cell>
          <cell r="F1612">
            <v>37365</v>
          </cell>
          <cell r="G1612">
            <v>38053</v>
          </cell>
          <cell r="H1612">
            <v>0</v>
          </cell>
          <cell r="I1612">
            <v>16.5</v>
          </cell>
          <cell r="J1612">
            <v>0.7</v>
          </cell>
          <cell r="K1612">
            <v>4.12</v>
          </cell>
          <cell r="L1612">
            <v>12.38</v>
          </cell>
          <cell r="M1612" t="str">
            <v>东芳</v>
          </cell>
        </row>
        <row r="1613">
          <cell r="B1613" t="str">
            <v>厦门和运机械有限公司 Total</v>
          </cell>
          <cell r="L1613">
            <v>12.38</v>
          </cell>
        </row>
        <row r="1614">
          <cell r="A1614" t="str">
            <v>020118</v>
          </cell>
          <cell r="B1614" t="str">
            <v>厦门亨德顺商贸有限公</v>
          </cell>
          <cell r="C1614" t="str">
            <v>外事</v>
          </cell>
          <cell r="D1614" t="str">
            <v>商贸</v>
          </cell>
          <cell r="E1614" t="str">
            <v>票据贴现</v>
          </cell>
          <cell r="F1614">
            <v>37540</v>
          </cell>
          <cell r="G1614">
            <v>37590</v>
          </cell>
          <cell r="H1614">
            <v>15</v>
          </cell>
          <cell r="I1614">
            <v>15</v>
          </cell>
          <cell r="J1614">
            <v>0</v>
          </cell>
          <cell r="K1614">
            <v>0</v>
          </cell>
          <cell r="L1614">
            <v>15</v>
          </cell>
          <cell r="M1614" t="str">
            <v>东区</v>
          </cell>
        </row>
        <row r="1615">
          <cell r="B1615" t="str">
            <v>厦门亨德顺商贸有限公 Total</v>
          </cell>
          <cell r="L1615">
            <v>15</v>
          </cell>
        </row>
        <row r="1616">
          <cell r="A1616" t="str">
            <v>02-047</v>
          </cell>
          <cell r="B1616" t="str">
            <v>厦门恒达昌房地</v>
          </cell>
          <cell r="C1616" t="str">
            <v>集体</v>
          </cell>
          <cell r="D1616" t="str">
            <v>其它</v>
          </cell>
          <cell r="E1616" t="str">
            <v>保证贷款</v>
          </cell>
          <cell r="F1616">
            <v>37461</v>
          </cell>
          <cell r="G1616">
            <v>37826</v>
          </cell>
          <cell r="H1616">
            <v>0</v>
          </cell>
          <cell r="I1616">
            <v>80</v>
          </cell>
          <cell r="J1616">
            <v>0</v>
          </cell>
          <cell r="K1616">
            <v>0</v>
          </cell>
          <cell r="L1616">
            <v>80</v>
          </cell>
          <cell r="M1616" t="str">
            <v>营业</v>
          </cell>
        </row>
        <row r="1617">
          <cell r="B1617" t="str">
            <v>厦门恒达昌房地 Total</v>
          </cell>
          <cell r="L1617">
            <v>80</v>
          </cell>
        </row>
        <row r="1618">
          <cell r="A1618" t="str">
            <v>20008h</v>
          </cell>
          <cell r="B1618" t="str">
            <v>厦门恒金珠宝首饰厂</v>
          </cell>
          <cell r="C1618" t="str">
            <v>集体</v>
          </cell>
          <cell r="D1618" t="str">
            <v>工业</v>
          </cell>
          <cell r="E1618" t="str">
            <v>保证贷款</v>
          </cell>
          <cell r="F1618">
            <v>35741</v>
          </cell>
          <cell r="G1618">
            <v>36014</v>
          </cell>
          <cell r="H1618">
            <v>0</v>
          </cell>
          <cell r="I1618">
            <v>0</v>
          </cell>
          <cell r="J1618">
            <v>0</v>
          </cell>
          <cell r="K1618">
            <v>0</v>
          </cell>
          <cell r="L1618">
            <v>50</v>
          </cell>
          <cell r="M1618" t="str">
            <v>公园</v>
          </cell>
        </row>
        <row r="1619">
          <cell r="A1619" t="str">
            <v>20007h</v>
          </cell>
          <cell r="B1619" t="str">
            <v>厦门恒金珠宝首饰厂</v>
          </cell>
          <cell r="C1619" t="str">
            <v>集体</v>
          </cell>
          <cell r="D1619" t="str">
            <v>工业</v>
          </cell>
          <cell r="E1619" t="str">
            <v>保证贷款</v>
          </cell>
          <cell r="F1619">
            <v>35620</v>
          </cell>
          <cell r="G1619">
            <v>35893</v>
          </cell>
          <cell r="H1619">
            <v>0</v>
          </cell>
          <cell r="I1619">
            <v>0</v>
          </cell>
          <cell r="J1619">
            <v>0</v>
          </cell>
          <cell r="K1619">
            <v>0</v>
          </cell>
          <cell r="L1619">
            <v>70</v>
          </cell>
          <cell r="M1619" t="str">
            <v>公园</v>
          </cell>
        </row>
        <row r="1620">
          <cell r="B1620" t="str">
            <v>厦门恒金珠宝首饰厂 Total</v>
          </cell>
          <cell r="L1620">
            <v>120</v>
          </cell>
        </row>
        <row r="1621">
          <cell r="A1621" t="str">
            <v>0036</v>
          </cell>
          <cell r="B1621" t="str">
            <v>厦门恒顺达集装箱运输</v>
          </cell>
          <cell r="C1621" t="str">
            <v>其它</v>
          </cell>
          <cell r="D1621" t="str">
            <v>其它</v>
          </cell>
          <cell r="E1621" t="str">
            <v>抵押贷款</v>
          </cell>
          <cell r="F1621">
            <v>37321</v>
          </cell>
          <cell r="G1621">
            <v>38052</v>
          </cell>
          <cell r="H1621">
            <v>0</v>
          </cell>
          <cell r="I1621">
            <v>17</v>
          </cell>
          <cell r="J1621">
            <v>0.76</v>
          </cell>
          <cell r="K1621">
            <v>5.2</v>
          </cell>
          <cell r="L1621">
            <v>11.8</v>
          </cell>
          <cell r="M1621" t="str">
            <v>东芳</v>
          </cell>
        </row>
        <row r="1622">
          <cell r="B1622" t="str">
            <v>厦门恒顺达集装箱运输 Total</v>
          </cell>
          <cell r="L1622">
            <v>11.8</v>
          </cell>
        </row>
        <row r="1623">
          <cell r="A1623" t="str">
            <v>200002</v>
          </cell>
          <cell r="B1623" t="str">
            <v>厦门恒兴服装公司</v>
          </cell>
          <cell r="C1623" t="str">
            <v>集体</v>
          </cell>
          <cell r="D1623" t="str">
            <v>工业</v>
          </cell>
          <cell r="E1623" t="str">
            <v>保证贷款</v>
          </cell>
          <cell r="F1623">
            <v>36530</v>
          </cell>
          <cell r="G1623">
            <v>36743</v>
          </cell>
          <cell r="H1623">
            <v>0</v>
          </cell>
          <cell r="I1623">
            <v>0</v>
          </cell>
          <cell r="J1623">
            <v>0</v>
          </cell>
          <cell r="K1623">
            <v>0</v>
          </cell>
          <cell r="L1623">
            <v>20</v>
          </cell>
          <cell r="M1623" t="str">
            <v>同安</v>
          </cell>
        </row>
        <row r="1624">
          <cell r="B1624" t="str">
            <v>厦门恒兴服装公司 Total</v>
          </cell>
          <cell r="L1624">
            <v>20</v>
          </cell>
        </row>
        <row r="1625">
          <cell r="A1625" t="str">
            <v>02-059</v>
          </cell>
          <cell r="B1625" t="str">
            <v>厦门恒兴建筑装</v>
          </cell>
          <cell r="C1625" t="str">
            <v>集体</v>
          </cell>
          <cell r="D1625" t="str">
            <v>其它</v>
          </cell>
          <cell r="E1625" t="str">
            <v>保证贷款</v>
          </cell>
          <cell r="F1625">
            <v>37518</v>
          </cell>
          <cell r="G1625">
            <v>37821</v>
          </cell>
          <cell r="H1625">
            <v>0</v>
          </cell>
          <cell r="I1625">
            <v>400</v>
          </cell>
          <cell r="J1625">
            <v>0</v>
          </cell>
          <cell r="K1625">
            <v>0</v>
          </cell>
          <cell r="L1625">
            <v>400</v>
          </cell>
          <cell r="M1625" t="str">
            <v>营业</v>
          </cell>
        </row>
        <row r="1626">
          <cell r="A1626" t="str">
            <v>02-060</v>
          </cell>
          <cell r="B1626" t="str">
            <v>厦门恒兴建筑装</v>
          </cell>
          <cell r="C1626" t="str">
            <v>集体</v>
          </cell>
          <cell r="D1626" t="str">
            <v>其它</v>
          </cell>
          <cell r="E1626" t="str">
            <v>保证贷款</v>
          </cell>
          <cell r="F1626">
            <v>37518</v>
          </cell>
          <cell r="G1626">
            <v>37852</v>
          </cell>
          <cell r="H1626">
            <v>0</v>
          </cell>
          <cell r="I1626">
            <v>400</v>
          </cell>
          <cell r="J1626">
            <v>0</v>
          </cell>
          <cell r="K1626">
            <v>0</v>
          </cell>
          <cell r="L1626">
            <v>400</v>
          </cell>
          <cell r="M1626" t="str">
            <v>营业</v>
          </cell>
        </row>
        <row r="1627">
          <cell r="B1627" t="str">
            <v>厦门恒兴建筑装 Total</v>
          </cell>
          <cell r="L1627">
            <v>800</v>
          </cell>
        </row>
        <row r="1628">
          <cell r="A1628" t="str">
            <v>020098</v>
          </cell>
          <cell r="B1628" t="str">
            <v>厦门恒永业公司</v>
          </cell>
          <cell r="C1628" t="str">
            <v>其它</v>
          </cell>
          <cell r="D1628" t="str">
            <v>商贸</v>
          </cell>
          <cell r="E1628" t="str">
            <v>抵押贷款</v>
          </cell>
          <cell r="F1628">
            <v>37481</v>
          </cell>
          <cell r="G1628">
            <v>37828</v>
          </cell>
          <cell r="H1628">
            <v>0</v>
          </cell>
          <cell r="I1628">
            <v>200</v>
          </cell>
          <cell r="J1628">
            <v>0</v>
          </cell>
          <cell r="K1628">
            <v>0</v>
          </cell>
          <cell r="L1628">
            <v>200</v>
          </cell>
          <cell r="M1628" t="str">
            <v>东区</v>
          </cell>
        </row>
        <row r="1629">
          <cell r="B1629" t="str">
            <v>厦门恒永业公司 Total</v>
          </cell>
          <cell r="L1629">
            <v>200</v>
          </cell>
        </row>
        <row r="1630">
          <cell r="A1630" t="str">
            <v>923H03</v>
          </cell>
          <cell r="B1630" t="str">
            <v>厦门恒中进出口有限公</v>
          </cell>
          <cell r="C1630" t="str">
            <v>集体</v>
          </cell>
          <cell r="D1630" t="str">
            <v>商贸</v>
          </cell>
          <cell r="E1630" t="str">
            <v>质押贷款</v>
          </cell>
          <cell r="F1630">
            <v>37481</v>
          </cell>
          <cell r="G1630">
            <v>37846</v>
          </cell>
          <cell r="H1630">
            <v>0</v>
          </cell>
          <cell r="I1630">
            <v>16</v>
          </cell>
          <cell r="J1630">
            <v>0</v>
          </cell>
          <cell r="K1630">
            <v>0</v>
          </cell>
          <cell r="L1630">
            <v>16</v>
          </cell>
          <cell r="M1630" t="str">
            <v>禾祥</v>
          </cell>
        </row>
        <row r="1631">
          <cell r="A1631" t="str">
            <v>923H02</v>
          </cell>
          <cell r="B1631" t="str">
            <v>厦门恒中进出口有限公</v>
          </cell>
          <cell r="C1631" t="str">
            <v>集体</v>
          </cell>
          <cell r="D1631" t="str">
            <v>商贸</v>
          </cell>
          <cell r="E1631" t="str">
            <v>保证贷款</v>
          </cell>
          <cell r="F1631">
            <v>37476</v>
          </cell>
          <cell r="G1631">
            <v>37841</v>
          </cell>
          <cell r="H1631">
            <v>0</v>
          </cell>
          <cell r="I1631">
            <v>30</v>
          </cell>
          <cell r="J1631">
            <v>0</v>
          </cell>
          <cell r="K1631">
            <v>0</v>
          </cell>
          <cell r="L1631">
            <v>30</v>
          </cell>
          <cell r="M1631" t="str">
            <v>禾祥</v>
          </cell>
        </row>
        <row r="1632">
          <cell r="A1632" t="str">
            <v>923H01</v>
          </cell>
          <cell r="B1632" t="str">
            <v>厦门恒中进出口有限公</v>
          </cell>
          <cell r="C1632" t="str">
            <v>集体</v>
          </cell>
          <cell r="D1632" t="str">
            <v>商贸</v>
          </cell>
          <cell r="E1632" t="str">
            <v>保证贷款</v>
          </cell>
          <cell r="F1632">
            <v>37397</v>
          </cell>
          <cell r="G1632">
            <v>37732</v>
          </cell>
          <cell r="H1632">
            <v>0</v>
          </cell>
          <cell r="I1632">
            <v>40</v>
          </cell>
          <cell r="J1632">
            <v>0</v>
          </cell>
          <cell r="K1632">
            <v>0</v>
          </cell>
          <cell r="L1632">
            <v>40</v>
          </cell>
          <cell r="M1632" t="str">
            <v>禾祥</v>
          </cell>
        </row>
        <row r="1633">
          <cell r="A1633" t="str">
            <v>923T11</v>
          </cell>
          <cell r="B1633" t="str">
            <v>厦门恒中进出口有限公</v>
          </cell>
          <cell r="C1633" t="str">
            <v>集体</v>
          </cell>
          <cell r="D1633" t="str">
            <v>商贸</v>
          </cell>
          <cell r="E1633" t="str">
            <v>保证贷款</v>
          </cell>
          <cell r="F1633">
            <v>37528</v>
          </cell>
          <cell r="G1633">
            <v>37893</v>
          </cell>
          <cell r="H1633">
            <v>0</v>
          </cell>
          <cell r="I1633">
            <v>57</v>
          </cell>
          <cell r="J1633">
            <v>0</v>
          </cell>
          <cell r="K1633">
            <v>0</v>
          </cell>
          <cell r="L1633">
            <v>57</v>
          </cell>
          <cell r="M1633" t="str">
            <v>禾祥</v>
          </cell>
        </row>
        <row r="1634">
          <cell r="A1634" t="str">
            <v>923T08</v>
          </cell>
          <cell r="B1634" t="str">
            <v>厦门恒中进出口有限公</v>
          </cell>
          <cell r="C1634" t="str">
            <v>集体</v>
          </cell>
          <cell r="D1634" t="str">
            <v>商贸</v>
          </cell>
          <cell r="E1634" t="str">
            <v>保证贷款</v>
          </cell>
          <cell r="F1634">
            <v>37502</v>
          </cell>
          <cell r="G1634">
            <v>37683</v>
          </cell>
          <cell r="H1634">
            <v>0</v>
          </cell>
          <cell r="I1634">
            <v>33</v>
          </cell>
          <cell r="J1634">
            <v>0</v>
          </cell>
          <cell r="K1634">
            <v>0</v>
          </cell>
          <cell r="L1634">
            <v>33</v>
          </cell>
          <cell r="M1634" t="str">
            <v>禾祥</v>
          </cell>
        </row>
        <row r="1635">
          <cell r="B1635" t="str">
            <v>厦门恒中进出口有限公 Total</v>
          </cell>
          <cell r="L1635">
            <v>176</v>
          </cell>
        </row>
        <row r="1636">
          <cell r="A1636" t="str">
            <v>021332</v>
          </cell>
          <cell r="B1636" t="str">
            <v>厦门宏发电声有限公司</v>
          </cell>
          <cell r="C1636" t="str">
            <v>三资</v>
          </cell>
          <cell r="D1636" t="str">
            <v>工业</v>
          </cell>
          <cell r="E1636" t="str">
            <v>票据贴现</v>
          </cell>
          <cell r="F1636">
            <v>37518</v>
          </cell>
          <cell r="G1636">
            <v>37650</v>
          </cell>
          <cell r="H1636">
            <v>0</v>
          </cell>
          <cell r="I1636">
            <v>308.14</v>
          </cell>
          <cell r="J1636">
            <v>0</v>
          </cell>
          <cell r="K1636">
            <v>0</v>
          </cell>
          <cell r="L1636">
            <v>308.14</v>
          </cell>
          <cell r="M1636" t="str">
            <v>集美</v>
          </cell>
        </row>
        <row r="1637">
          <cell r="A1637" t="str">
            <v>021330</v>
          </cell>
          <cell r="B1637" t="str">
            <v>厦门宏发电声有限公司</v>
          </cell>
          <cell r="C1637" t="str">
            <v>三资</v>
          </cell>
          <cell r="D1637" t="str">
            <v>工业</v>
          </cell>
          <cell r="E1637" t="str">
            <v>票据贴现</v>
          </cell>
          <cell r="F1637">
            <v>37459</v>
          </cell>
          <cell r="G1637">
            <v>37606</v>
          </cell>
          <cell r="H1637">
            <v>0</v>
          </cell>
          <cell r="I1637">
            <v>233.99</v>
          </cell>
          <cell r="J1637">
            <v>0</v>
          </cell>
          <cell r="K1637">
            <v>0</v>
          </cell>
          <cell r="L1637">
            <v>233.99</v>
          </cell>
          <cell r="M1637" t="str">
            <v>集美</v>
          </cell>
        </row>
        <row r="1638">
          <cell r="A1638" t="str">
            <v>021324</v>
          </cell>
          <cell r="B1638" t="str">
            <v>厦门宏发电声有限公司</v>
          </cell>
          <cell r="C1638" t="str">
            <v>三资</v>
          </cell>
          <cell r="D1638" t="str">
            <v>工业</v>
          </cell>
          <cell r="E1638" t="str">
            <v>票据贴现</v>
          </cell>
          <cell r="F1638">
            <v>37419</v>
          </cell>
          <cell r="G1638">
            <v>37577</v>
          </cell>
          <cell r="H1638">
            <v>0</v>
          </cell>
          <cell r="I1638">
            <v>317.27</v>
          </cell>
          <cell r="J1638">
            <v>0</v>
          </cell>
          <cell r="K1638">
            <v>0</v>
          </cell>
          <cell r="L1638">
            <v>317.27</v>
          </cell>
          <cell r="M1638" t="str">
            <v>集美</v>
          </cell>
        </row>
        <row r="1639">
          <cell r="B1639" t="str">
            <v>厦门宏发电声有限公司 Total</v>
          </cell>
          <cell r="L1639">
            <v>859.4</v>
          </cell>
        </row>
        <row r="1640">
          <cell r="A1640" t="str">
            <v>0026</v>
          </cell>
          <cell r="B1640" t="str">
            <v>厦门宏高货运有限公司</v>
          </cell>
          <cell r="C1640" t="str">
            <v>其它</v>
          </cell>
          <cell r="D1640" t="str">
            <v>其它</v>
          </cell>
          <cell r="E1640" t="str">
            <v>抵押贷款</v>
          </cell>
          <cell r="F1640">
            <v>37287</v>
          </cell>
          <cell r="G1640">
            <v>37980</v>
          </cell>
          <cell r="H1640">
            <v>0</v>
          </cell>
          <cell r="I1640">
            <v>17</v>
          </cell>
          <cell r="J1640">
            <v>0.73</v>
          </cell>
          <cell r="K1640">
            <v>6.59</v>
          </cell>
          <cell r="L1640">
            <v>10.41</v>
          </cell>
          <cell r="M1640" t="str">
            <v>东芳</v>
          </cell>
        </row>
        <row r="1641">
          <cell r="B1641" t="str">
            <v>厦门宏高货运有限公司 Total</v>
          </cell>
          <cell r="L1641">
            <v>10.41</v>
          </cell>
        </row>
        <row r="1642">
          <cell r="A1642" t="str">
            <v>923K01</v>
          </cell>
          <cell r="B1642" t="str">
            <v>厦门宏科有限公司</v>
          </cell>
          <cell r="C1642" t="str">
            <v>其它</v>
          </cell>
          <cell r="D1642" t="str">
            <v>商贸</v>
          </cell>
          <cell r="E1642" t="str">
            <v>抵押贷款</v>
          </cell>
          <cell r="F1642">
            <v>37463</v>
          </cell>
          <cell r="G1642">
            <v>37828</v>
          </cell>
          <cell r="H1642">
            <v>0</v>
          </cell>
          <cell r="I1642">
            <v>1500</v>
          </cell>
          <cell r="J1642">
            <v>0</v>
          </cell>
          <cell r="K1642">
            <v>150</v>
          </cell>
          <cell r="L1642">
            <v>1350</v>
          </cell>
          <cell r="M1642" t="str">
            <v>禾祥</v>
          </cell>
        </row>
        <row r="1643">
          <cell r="B1643" t="str">
            <v>厦门宏科有限公司 Total</v>
          </cell>
          <cell r="L1643">
            <v>1350</v>
          </cell>
        </row>
        <row r="1644">
          <cell r="A1644" t="str">
            <v>22147</v>
          </cell>
          <cell r="B1644" t="str">
            <v>厦门宏润实业有限公司</v>
          </cell>
          <cell r="C1644" t="str">
            <v>集体</v>
          </cell>
          <cell r="D1644" t="str">
            <v>商贸</v>
          </cell>
          <cell r="E1644" t="str">
            <v>抵押贷款</v>
          </cell>
          <cell r="F1644">
            <v>36160</v>
          </cell>
          <cell r="G1644">
            <v>36312</v>
          </cell>
          <cell r="H1644">
            <v>0</v>
          </cell>
          <cell r="I1644">
            <v>0</v>
          </cell>
          <cell r="J1644">
            <v>0</v>
          </cell>
          <cell r="K1644">
            <v>0</v>
          </cell>
          <cell r="L1644">
            <v>250</v>
          </cell>
          <cell r="M1644" t="str">
            <v>江头</v>
          </cell>
        </row>
        <row r="1645">
          <cell r="B1645" t="str">
            <v>厦门宏润实业有限公司 Total</v>
          </cell>
          <cell r="L1645">
            <v>250</v>
          </cell>
        </row>
        <row r="1646">
          <cell r="A1646" t="str">
            <v>021311</v>
          </cell>
          <cell r="B1646" t="str">
            <v>厦门虹鹭钨钼工业公司</v>
          </cell>
          <cell r="C1646" t="str">
            <v>三资</v>
          </cell>
          <cell r="D1646" t="str">
            <v>工业</v>
          </cell>
          <cell r="E1646" t="str">
            <v>保证贷款</v>
          </cell>
          <cell r="F1646">
            <v>37293</v>
          </cell>
          <cell r="G1646">
            <v>37657</v>
          </cell>
          <cell r="H1646">
            <v>0</v>
          </cell>
          <cell r="I1646">
            <v>500</v>
          </cell>
          <cell r="J1646">
            <v>0</v>
          </cell>
          <cell r="K1646">
            <v>0</v>
          </cell>
          <cell r="L1646">
            <v>500</v>
          </cell>
          <cell r="M1646" t="str">
            <v>集美</v>
          </cell>
        </row>
        <row r="1647">
          <cell r="A1647" t="str">
            <v>021312</v>
          </cell>
          <cell r="B1647" t="str">
            <v>厦门虹鹭钨钼工业公司</v>
          </cell>
          <cell r="C1647" t="str">
            <v>三资</v>
          </cell>
          <cell r="D1647" t="str">
            <v>工业</v>
          </cell>
          <cell r="E1647" t="str">
            <v>保证贷款</v>
          </cell>
          <cell r="F1647">
            <v>37340</v>
          </cell>
          <cell r="G1647">
            <v>37705</v>
          </cell>
          <cell r="H1647">
            <v>0</v>
          </cell>
          <cell r="I1647">
            <v>500</v>
          </cell>
          <cell r="J1647">
            <v>0</v>
          </cell>
          <cell r="K1647">
            <v>0</v>
          </cell>
          <cell r="L1647">
            <v>500</v>
          </cell>
          <cell r="M1647" t="str">
            <v>集美</v>
          </cell>
        </row>
        <row r="1648">
          <cell r="B1648" t="str">
            <v>厦门虹鹭钨钼工业公司 Total</v>
          </cell>
          <cell r="L1648">
            <v>1000</v>
          </cell>
        </row>
        <row r="1649">
          <cell r="A1649" t="str">
            <v>20264</v>
          </cell>
          <cell r="B1649" t="str">
            <v>厦门鸿益实业有限公司</v>
          </cell>
          <cell r="C1649" t="str">
            <v>外事</v>
          </cell>
          <cell r="D1649" t="str">
            <v>商贸</v>
          </cell>
          <cell r="E1649" t="str">
            <v>保证贷款</v>
          </cell>
          <cell r="F1649">
            <v>37163</v>
          </cell>
          <cell r="G1649">
            <v>37375</v>
          </cell>
          <cell r="H1649">
            <v>0</v>
          </cell>
          <cell r="I1649">
            <v>0</v>
          </cell>
          <cell r="J1649">
            <v>0</v>
          </cell>
          <cell r="K1649">
            <v>0</v>
          </cell>
          <cell r="L1649">
            <v>150</v>
          </cell>
          <cell r="M1649" t="str">
            <v>江头</v>
          </cell>
        </row>
        <row r="1650">
          <cell r="B1650" t="str">
            <v>厦门鸿益实业有限公司 Total</v>
          </cell>
          <cell r="L1650">
            <v>150</v>
          </cell>
        </row>
        <row r="1651">
          <cell r="A1651" t="str">
            <v>d02009</v>
          </cell>
          <cell r="B1651" t="str">
            <v>厦门华光食品</v>
          </cell>
          <cell r="C1651" t="str">
            <v>三资</v>
          </cell>
          <cell r="D1651" t="str">
            <v>工业</v>
          </cell>
          <cell r="E1651" t="str">
            <v>保证贷款</v>
          </cell>
          <cell r="F1651">
            <v>37463</v>
          </cell>
          <cell r="G1651">
            <v>37828</v>
          </cell>
          <cell r="H1651">
            <v>0</v>
          </cell>
          <cell r="I1651">
            <v>150</v>
          </cell>
          <cell r="J1651">
            <v>0</v>
          </cell>
          <cell r="K1651">
            <v>0</v>
          </cell>
          <cell r="L1651">
            <v>150</v>
          </cell>
          <cell r="M1651" t="str">
            <v>文滨</v>
          </cell>
        </row>
        <row r="1652">
          <cell r="A1652" t="str">
            <v>02019</v>
          </cell>
          <cell r="B1652" t="str">
            <v>厦门华光食品</v>
          </cell>
          <cell r="C1652" t="str">
            <v>三资</v>
          </cell>
          <cell r="D1652" t="str">
            <v>工业</v>
          </cell>
          <cell r="E1652" t="str">
            <v>保证贷款</v>
          </cell>
          <cell r="F1652">
            <v>37554</v>
          </cell>
          <cell r="G1652">
            <v>37918</v>
          </cell>
          <cell r="H1652">
            <v>150</v>
          </cell>
          <cell r="I1652">
            <v>150</v>
          </cell>
          <cell r="J1652">
            <v>0</v>
          </cell>
          <cell r="K1652">
            <v>0</v>
          </cell>
          <cell r="L1652">
            <v>150</v>
          </cell>
          <cell r="M1652" t="str">
            <v>文滨</v>
          </cell>
        </row>
        <row r="1653">
          <cell r="B1653" t="str">
            <v>厦门华光食品 Total</v>
          </cell>
          <cell r="L1653">
            <v>300</v>
          </cell>
        </row>
        <row r="1654">
          <cell r="A1654" t="str">
            <v>300167</v>
          </cell>
          <cell r="B1654" t="str">
            <v>厦门华纶纺织贸易有限</v>
          </cell>
          <cell r="C1654" t="str">
            <v>集体</v>
          </cell>
          <cell r="D1654" t="str">
            <v>商贸</v>
          </cell>
          <cell r="E1654" t="str">
            <v>保证贷款</v>
          </cell>
          <cell r="F1654">
            <v>37505</v>
          </cell>
          <cell r="G1654">
            <v>37870</v>
          </cell>
          <cell r="H1654">
            <v>0</v>
          </cell>
          <cell r="I1654">
            <v>1500</v>
          </cell>
          <cell r="J1654">
            <v>0</v>
          </cell>
          <cell r="K1654">
            <v>0</v>
          </cell>
          <cell r="L1654">
            <v>1500</v>
          </cell>
          <cell r="M1654" t="str">
            <v>鹭江</v>
          </cell>
        </row>
        <row r="1655">
          <cell r="B1655" t="str">
            <v>厦门华纶纺织贸易有限 Total</v>
          </cell>
          <cell r="L1655">
            <v>1500</v>
          </cell>
        </row>
        <row r="1656">
          <cell r="A1656" t="str">
            <v>01-051</v>
          </cell>
          <cell r="B1656" t="str">
            <v>厦门华纳创新发</v>
          </cell>
          <cell r="C1656" t="str">
            <v>集体</v>
          </cell>
          <cell r="D1656" t="str">
            <v>商贸</v>
          </cell>
          <cell r="E1656" t="str">
            <v>抵押贷款</v>
          </cell>
          <cell r="F1656">
            <v>37071</v>
          </cell>
          <cell r="G1656">
            <v>37284</v>
          </cell>
          <cell r="H1656">
            <v>0</v>
          </cell>
          <cell r="I1656">
            <v>0</v>
          </cell>
          <cell r="J1656">
            <v>0</v>
          </cell>
          <cell r="K1656">
            <v>0</v>
          </cell>
          <cell r="L1656">
            <v>730</v>
          </cell>
          <cell r="M1656" t="str">
            <v>营业</v>
          </cell>
        </row>
        <row r="1657">
          <cell r="B1657" t="str">
            <v>厦门华纳创新发 Total</v>
          </cell>
          <cell r="L1657">
            <v>730</v>
          </cell>
        </row>
        <row r="1658">
          <cell r="A1658" t="str">
            <v>021229</v>
          </cell>
          <cell r="B1658" t="str">
            <v>厦门华荣鑫集装箱公司</v>
          </cell>
          <cell r="C1658" t="str">
            <v>集体</v>
          </cell>
          <cell r="D1658" t="str">
            <v>工业</v>
          </cell>
          <cell r="E1658" t="str">
            <v>抵押贷款</v>
          </cell>
          <cell r="F1658">
            <v>37527</v>
          </cell>
          <cell r="G1658">
            <v>38255</v>
          </cell>
          <cell r="H1658">
            <v>0</v>
          </cell>
          <cell r="I1658">
            <v>34.56</v>
          </cell>
          <cell r="J1658">
            <v>0</v>
          </cell>
          <cell r="K1658">
            <v>0</v>
          </cell>
          <cell r="L1658">
            <v>34.56</v>
          </cell>
          <cell r="M1658" t="str">
            <v>集美</v>
          </cell>
        </row>
        <row r="1659">
          <cell r="B1659" t="str">
            <v>厦门华荣鑫集装箱公司 Total</v>
          </cell>
          <cell r="L1659">
            <v>34.56</v>
          </cell>
        </row>
        <row r="1660">
          <cell r="A1660" t="str">
            <v>300138</v>
          </cell>
          <cell r="B1660" t="str">
            <v>厦门华商贸易有限公司</v>
          </cell>
          <cell r="C1660" t="str">
            <v>集体</v>
          </cell>
          <cell r="D1660" t="str">
            <v>商贸</v>
          </cell>
          <cell r="E1660" t="str">
            <v>票据贴现</v>
          </cell>
          <cell r="F1660">
            <v>37434</v>
          </cell>
          <cell r="G1660">
            <v>37594</v>
          </cell>
          <cell r="H1660">
            <v>0</v>
          </cell>
          <cell r="I1660">
            <v>10</v>
          </cell>
          <cell r="J1660">
            <v>0</v>
          </cell>
          <cell r="K1660">
            <v>0</v>
          </cell>
          <cell r="L1660">
            <v>10</v>
          </cell>
          <cell r="M1660" t="str">
            <v>鹭江</v>
          </cell>
        </row>
        <row r="1661">
          <cell r="A1661" t="str">
            <v>300146</v>
          </cell>
          <cell r="B1661" t="str">
            <v>厦门华商贸易有限公司</v>
          </cell>
          <cell r="C1661" t="str">
            <v>集体</v>
          </cell>
          <cell r="D1661" t="str">
            <v>商贸</v>
          </cell>
          <cell r="E1661" t="str">
            <v>票据贴现</v>
          </cell>
          <cell r="F1661">
            <v>37439</v>
          </cell>
          <cell r="G1661">
            <v>37604</v>
          </cell>
          <cell r="H1661">
            <v>0</v>
          </cell>
          <cell r="I1661">
            <v>19.2</v>
          </cell>
          <cell r="J1661">
            <v>0</v>
          </cell>
          <cell r="K1661">
            <v>0</v>
          </cell>
          <cell r="L1661">
            <v>19.2</v>
          </cell>
          <cell r="M1661" t="str">
            <v>鹭江</v>
          </cell>
        </row>
        <row r="1662">
          <cell r="B1662" t="str">
            <v>厦门华商贸易有限公司 Total</v>
          </cell>
          <cell r="L1662">
            <v>29.2</v>
          </cell>
        </row>
        <row r="1663">
          <cell r="A1663" t="str">
            <v>011381</v>
          </cell>
          <cell r="B1663" t="str">
            <v>厦门华旺食品有限公司</v>
          </cell>
          <cell r="C1663" t="str">
            <v>三资</v>
          </cell>
          <cell r="D1663" t="str">
            <v>工业</v>
          </cell>
          <cell r="E1663" t="str">
            <v>保证贷款</v>
          </cell>
          <cell r="F1663">
            <v>37224</v>
          </cell>
          <cell r="G1663">
            <v>37438</v>
          </cell>
          <cell r="H1663">
            <v>0</v>
          </cell>
          <cell r="I1663">
            <v>0</v>
          </cell>
          <cell r="J1663">
            <v>0</v>
          </cell>
          <cell r="K1663">
            <v>0</v>
          </cell>
          <cell r="L1663">
            <v>250</v>
          </cell>
          <cell r="M1663" t="str">
            <v>杏林</v>
          </cell>
        </row>
        <row r="1664">
          <cell r="B1664" t="str">
            <v>厦门华旺食品有限公司 Total</v>
          </cell>
          <cell r="L1664">
            <v>250</v>
          </cell>
        </row>
        <row r="1665">
          <cell r="A1665" t="str">
            <v>300132</v>
          </cell>
          <cell r="B1665" t="str">
            <v>厦门华益工贸有限公司</v>
          </cell>
          <cell r="C1665" t="str">
            <v>国营</v>
          </cell>
          <cell r="D1665" t="str">
            <v>商贸</v>
          </cell>
          <cell r="E1665" t="str">
            <v>保证贷款</v>
          </cell>
          <cell r="F1665">
            <v>37435</v>
          </cell>
          <cell r="G1665">
            <v>37618</v>
          </cell>
          <cell r="H1665">
            <v>0</v>
          </cell>
          <cell r="I1665">
            <v>800</v>
          </cell>
          <cell r="J1665">
            <v>0</v>
          </cell>
          <cell r="K1665">
            <v>0</v>
          </cell>
          <cell r="L1665">
            <v>800</v>
          </cell>
          <cell r="M1665" t="str">
            <v>鹭江</v>
          </cell>
        </row>
        <row r="1666">
          <cell r="B1666" t="str">
            <v>厦门华益工贸有限公司 Total</v>
          </cell>
          <cell r="L1666">
            <v>800</v>
          </cell>
        </row>
        <row r="1667">
          <cell r="A1667" t="str">
            <v>209214</v>
          </cell>
          <cell r="B1667" t="str">
            <v>厦门汇源商业机器公司</v>
          </cell>
          <cell r="C1667" t="str">
            <v>三资</v>
          </cell>
          <cell r="D1667" t="str">
            <v>工业</v>
          </cell>
          <cell r="E1667" t="str">
            <v>保证贷款</v>
          </cell>
          <cell r="F1667">
            <v>37215</v>
          </cell>
          <cell r="G1667">
            <v>37580</v>
          </cell>
          <cell r="H1667">
            <v>0</v>
          </cell>
          <cell r="I1667">
            <v>0</v>
          </cell>
          <cell r="J1667">
            <v>0</v>
          </cell>
          <cell r="K1667">
            <v>0</v>
          </cell>
          <cell r="L1667">
            <v>200</v>
          </cell>
          <cell r="M1667" t="str">
            <v>海沧</v>
          </cell>
        </row>
        <row r="1668">
          <cell r="B1668" t="str">
            <v>厦门汇源商业机器公司 Total</v>
          </cell>
          <cell r="L1668">
            <v>200</v>
          </cell>
        </row>
        <row r="1669">
          <cell r="A1669" t="str">
            <v>801015</v>
          </cell>
          <cell r="B1669" t="str">
            <v>厦门惠龙工贸</v>
          </cell>
          <cell r="C1669" t="str">
            <v>集体</v>
          </cell>
          <cell r="D1669" t="str">
            <v>商贸</v>
          </cell>
          <cell r="E1669" t="str">
            <v>保证贷款</v>
          </cell>
          <cell r="F1669">
            <v>37202</v>
          </cell>
          <cell r="G1669">
            <v>37567</v>
          </cell>
          <cell r="H1669">
            <v>0</v>
          </cell>
          <cell r="I1669">
            <v>0</v>
          </cell>
          <cell r="J1669">
            <v>0</v>
          </cell>
          <cell r="K1669">
            <v>0</v>
          </cell>
          <cell r="L1669">
            <v>2000</v>
          </cell>
          <cell r="M1669" t="str">
            <v>鹭江</v>
          </cell>
        </row>
        <row r="1670">
          <cell r="B1670" t="str">
            <v>厦门惠龙工贸 Total</v>
          </cell>
          <cell r="L1670">
            <v>2000</v>
          </cell>
        </row>
        <row r="1671">
          <cell r="A1671" t="str">
            <v>02-067</v>
          </cell>
          <cell r="B1671" t="str">
            <v>厦门火炬投资开</v>
          </cell>
          <cell r="C1671" t="str">
            <v>国营</v>
          </cell>
          <cell r="D1671" t="str">
            <v>其它</v>
          </cell>
          <cell r="E1671" t="str">
            <v>抵押贷款</v>
          </cell>
          <cell r="F1671">
            <v>37551</v>
          </cell>
          <cell r="G1671">
            <v>37903</v>
          </cell>
          <cell r="H1671">
            <v>900</v>
          </cell>
          <cell r="I1671">
            <v>900</v>
          </cell>
          <cell r="J1671">
            <v>0</v>
          </cell>
          <cell r="K1671">
            <v>0</v>
          </cell>
          <cell r="L1671">
            <v>900</v>
          </cell>
          <cell r="M1671" t="str">
            <v>营业</v>
          </cell>
        </row>
        <row r="1672">
          <cell r="A1672" t="str">
            <v>02-017</v>
          </cell>
          <cell r="B1672" t="str">
            <v>厦门火炬投资开</v>
          </cell>
          <cell r="C1672" t="str">
            <v>国营</v>
          </cell>
          <cell r="D1672" t="str">
            <v>其它</v>
          </cell>
          <cell r="E1672" t="str">
            <v>抵押贷款</v>
          </cell>
          <cell r="F1672">
            <v>37410</v>
          </cell>
          <cell r="G1672">
            <v>37708</v>
          </cell>
          <cell r="H1672">
            <v>0</v>
          </cell>
          <cell r="I1672">
            <v>1300</v>
          </cell>
          <cell r="J1672">
            <v>0</v>
          </cell>
          <cell r="K1672">
            <v>0</v>
          </cell>
          <cell r="L1672">
            <v>1300</v>
          </cell>
          <cell r="M1672" t="str">
            <v>营业</v>
          </cell>
        </row>
        <row r="1673">
          <cell r="B1673" t="str">
            <v>厦门火炬投资开 Total</v>
          </cell>
          <cell r="L1673">
            <v>2200</v>
          </cell>
        </row>
        <row r="1674">
          <cell r="A1674" t="str">
            <v>100002</v>
          </cell>
          <cell r="B1674" t="str">
            <v>厦门机械进出口公司</v>
          </cell>
          <cell r="C1674" t="str">
            <v>国营</v>
          </cell>
          <cell r="D1674" t="str">
            <v>商贸</v>
          </cell>
          <cell r="E1674" t="str">
            <v>抵押贷款</v>
          </cell>
          <cell r="F1674">
            <v>37547</v>
          </cell>
          <cell r="G1674">
            <v>37882</v>
          </cell>
          <cell r="H1674">
            <v>100</v>
          </cell>
          <cell r="I1674">
            <v>100</v>
          </cell>
          <cell r="J1674">
            <v>0</v>
          </cell>
          <cell r="K1674">
            <v>0</v>
          </cell>
          <cell r="L1674">
            <v>100</v>
          </cell>
          <cell r="M1674" t="str">
            <v>松柏</v>
          </cell>
        </row>
        <row r="1675">
          <cell r="B1675" t="str">
            <v>厦门机械进出口公司 Total</v>
          </cell>
          <cell r="L1675">
            <v>100</v>
          </cell>
        </row>
        <row r="1676">
          <cell r="A1676" t="str">
            <v>011226</v>
          </cell>
          <cell r="B1676" t="str">
            <v>厦门集美冷冻厂</v>
          </cell>
          <cell r="C1676" t="str">
            <v>集体</v>
          </cell>
          <cell r="D1676" t="str">
            <v>工业</v>
          </cell>
          <cell r="E1676" t="str">
            <v>保证贷款</v>
          </cell>
          <cell r="F1676">
            <v>37124</v>
          </cell>
          <cell r="G1676">
            <v>37488</v>
          </cell>
          <cell r="H1676">
            <v>0</v>
          </cell>
          <cell r="I1676">
            <v>0</v>
          </cell>
          <cell r="J1676">
            <v>0</v>
          </cell>
          <cell r="K1676">
            <v>0</v>
          </cell>
          <cell r="L1676">
            <v>30</v>
          </cell>
          <cell r="M1676" t="str">
            <v>集美</v>
          </cell>
        </row>
        <row r="1677">
          <cell r="B1677" t="str">
            <v>厦门集美冷冻厂 Total</v>
          </cell>
          <cell r="L1677">
            <v>30</v>
          </cell>
        </row>
        <row r="1678">
          <cell r="A1678" t="str">
            <v>021231</v>
          </cell>
          <cell r="B1678" t="str">
            <v>厦门辑美彩印有限公司</v>
          </cell>
          <cell r="C1678" t="str">
            <v>集体</v>
          </cell>
          <cell r="D1678" t="str">
            <v>工业</v>
          </cell>
          <cell r="E1678" t="str">
            <v>抵押贷款</v>
          </cell>
          <cell r="F1678">
            <v>37553</v>
          </cell>
          <cell r="G1678">
            <v>37734</v>
          </cell>
          <cell r="H1678">
            <v>40</v>
          </cell>
          <cell r="I1678">
            <v>40</v>
          </cell>
          <cell r="J1678">
            <v>0</v>
          </cell>
          <cell r="K1678">
            <v>0</v>
          </cell>
          <cell r="L1678">
            <v>40</v>
          </cell>
          <cell r="M1678" t="str">
            <v>集美</v>
          </cell>
        </row>
        <row r="1679">
          <cell r="A1679" t="str">
            <v>021201</v>
          </cell>
          <cell r="B1679" t="str">
            <v>厦门辑美彩印有限公司</v>
          </cell>
          <cell r="C1679" t="str">
            <v>集体</v>
          </cell>
          <cell r="D1679" t="str">
            <v>工业</v>
          </cell>
          <cell r="E1679" t="str">
            <v>抵押贷款</v>
          </cell>
          <cell r="F1679">
            <v>37286</v>
          </cell>
          <cell r="G1679">
            <v>37650</v>
          </cell>
          <cell r="H1679">
            <v>0</v>
          </cell>
          <cell r="I1679">
            <v>100</v>
          </cell>
          <cell r="J1679">
            <v>0</v>
          </cell>
          <cell r="K1679">
            <v>0</v>
          </cell>
          <cell r="L1679">
            <v>100</v>
          </cell>
          <cell r="M1679" t="str">
            <v>集美</v>
          </cell>
        </row>
        <row r="1680">
          <cell r="A1680" t="str">
            <v>021232</v>
          </cell>
          <cell r="B1680" t="str">
            <v>厦门辑美彩印有限公司</v>
          </cell>
          <cell r="C1680" t="str">
            <v>集体</v>
          </cell>
          <cell r="D1680" t="str">
            <v>工业</v>
          </cell>
          <cell r="E1680" t="str">
            <v>票据贴现</v>
          </cell>
          <cell r="F1680">
            <v>37559</v>
          </cell>
          <cell r="G1680">
            <v>37654</v>
          </cell>
          <cell r="H1680">
            <v>129.72</v>
          </cell>
          <cell r="I1680">
            <v>129.72</v>
          </cell>
          <cell r="J1680">
            <v>0</v>
          </cell>
          <cell r="K1680">
            <v>0</v>
          </cell>
          <cell r="L1680">
            <v>129.72</v>
          </cell>
          <cell r="M1680" t="str">
            <v>集美</v>
          </cell>
        </row>
        <row r="1681">
          <cell r="B1681" t="str">
            <v>厦门辑美彩印有限公司 Total</v>
          </cell>
          <cell r="L1681">
            <v>269.72000000000003</v>
          </cell>
        </row>
        <row r="1682">
          <cell r="A1682" t="str">
            <v>0003</v>
          </cell>
          <cell r="B1682" t="str">
            <v>厦门佳艺隆有限公司</v>
          </cell>
          <cell r="C1682" t="str">
            <v>其它</v>
          </cell>
          <cell r="D1682" t="str">
            <v>工业</v>
          </cell>
          <cell r="E1682" t="str">
            <v>保证贷款</v>
          </cell>
          <cell r="F1682">
            <v>36656</v>
          </cell>
          <cell r="G1682">
            <v>37021</v>
          </cell>
          <cell r="H1682">
            <v>0</v>
          </cell>
          <cell r="I1682">
            <v>0</v>
          </cell>
          <cell r="J1682">
            <v>0</v>
          </cell>
          <cell r="K1682">
            <v>0</v>
          </cell>
          <cell r="L1682">
            <v>100</v>
          </cell>
          <cell r="M1682" t="str">
            <v>东芳</v>
          </cell>
        </row>
        <row r="1683">
          <cell r="B1683" t="str">
            <v>厦门佳艺隆有限公司 Total</v>
          </cell>
          <cell r="L1683">
            <v>100</v>
          </cell>
        </row>
        <row r="1684">
          <cell r="A1684" t="str">
            <v>981201</v>
          </cell>
          <cell r="B1684" t="str">
            <v>厦门嘉达公司</v>
          </cell>
          <cell r="C1684" t="str">
            <v>国营</v>
          </cell>
          <cell r="D1684" t="str">
            <v>商贸</v>
          </cell>
          <cell r="E1684" t="str">
            <v>保证贷款</v>
          </cell>
          <cell r="F1684">
            <v>35088</v>
          </cell>
          <cell r="G1684">
            <v>35088</v>
          </cell>
          <cell r="H1684">
            <v>0</v>
          </cell>
          <cell r="I1684">
            <v>0</v>
          </cell>
          <cell r="J1684">
            <v>0</v>
          </cell>
          <cell r="K1684">
            <v>0</v>
          </cell>
          <cell r="L1684">
            <v>1478.1924079999997</v>
          </cell>
          <cell r="M1684" t="str">
            <v>集美</v>
          </cell>
        </row>
        <row r="1685">
          <cell r="B1685" t="str">
            <v>厦门嘉达公司 Total</v>
          </cell>
          <cell r="L1685">
            <v>1478.1924079999997</v>
          </cell>
        </row>
        <row r="1686">
          <cell r="A1686" t="str">
            <v>s112-4</v>
          </cell>
          <cell r="B1686" t="str">
            <v>厦门嘉华进出口</v>
          </cell>
          <cell r="C1686" t="str">
            <v>外事</v>
          </cell>
          <cell r="D1686" t="str">
            <v>商贸</v>
          </cell>
          <cell r="E1686" t="str">
            <v>保证贷款</v>
          </cell>
          <cell r="F1686">
            <v>37295</v>
          </cell>
          <cell r="G1686">
            <v>37629</v>
          </cell>
          <cell r="H1686">
            <v>0</v>
          </cell>
          <cell r="I1686">
            <v>300</v>
          </cell>
          <cell r="J1686">
            <v>0</v>
          </cell>
          <cell r="K1686">
            <v>0</v>
          </cell>
          <cell r="L1686">
            <v>300</v>
          </cell>
          <cell r="M1686" t="str">
            <v>文滨</v>
          </cell>
        </row>
        <row r="1687">
          <cell r="B1687" t="str">
            <v>厦门嘉华进出口 Total</v>
          </cell>
          <cell r="L1687">
            <v>300</v>
          </cell>
        </row>
        <row r="1688">
          <cell r="A1688" t="str">
            <v>100003</v>
          </cell>
          <cell r="B1688" t="str">
            <v>厦门嘉裕华进出口公司</v>
          </cell>
          <cell r="C1688" t="str">
            <v>集体</v>
          </cell>
          <cell r="D1688" t="str">
            <v>商贸</v>
          </cell>
          <cell r="E1688" t="str">
            <v>保证贷款</v>
          </cell>
          <cell r="F1688">
            <v>37502</v>
          </cell>
          <cell r="G1688">
            <v>37867</v>
          </cell>
          <cell r="H1688">
            <v>70</v>
          </cell>
          <cell r="I1688">
            <v>70</v>
          </cell>
          <cell r="J1688">
            <v>0</v>
          </cell>
          <cell r="K1688">
            <v>0</v>
          </cell>
          <cell r="L1688">
            <v>70</v>
          </cell>
          <cell r="M1688" t="str">
            <v>松柏</v>
          </cell>
        </row>
        <row r="1689">
          <cell r="B1689" t="str">
            <v>厦门嘉裕华进出口公司 Total</v>
          </cell>
          <cell r="L1689">
            <v>70</v>
          </cell>
        </row>
        <row r="1690">
          <cell r="A1690" t="str">
            <v>300127</v>
          </cell>
          <cell r="B1690" t="str">
            <v>厦门建发股份有限公司</v>
          </cell>
          <cell r="C1690" t="str">
            <v>国营</v>
          </cell>
          <cell r="D1690" t="str">
            <v>商贸</v>
          </cell>
          <cell r="E1690" t="str">
            <v>票据贴现</v>
          </cell>
          <cell r="F1690">
            <v>37399</v>
          </cell>
          <cell r="G1690">
            <v>37569</v>
          </cell>
          <cell r="H1690">
            <v>0</v>
          </cell>
          <cell r="I1690">
            <v>10</v>
          </cell>
          <cell r="J1690">
            <v>0</v>
          </cell>
          <cell r="K1690">
            <v>0</v>
          </cell>
          <cell r="L1690">
            <v>10</v>
          </cell>
          <cell r="M1690" t="str">
            <v>鹭江</v>
          </cell>
        </row>
        <row r="1691">
          <cell r="A1691" t="str">
            <v>300183</v>
          </cell>
          <cell r="B1691" t="str">
            <v>厦门建发股份有限公司</v>
          </cell>
          <cell r="C1691" t="str">
            <v>国营</v>
          </cell>
          <cell r="D1691" t="str">
            <v>商贸</v>
          </cell>
          <cell r="E1691" t="str">
            <v>票据贴现</v>
          </cell>
          <cell r="F1691">
            <v>37522</v>
          </cell>
          <cell r="G1691">
            <v>37609</v>
          </cell>
          <cell r="H1691">
            <v>0</v>
          </cell>
          <cell r="I1691">
            <v>245</v>
          </cell>
          <cell r="J1691">
            <v>0</v>
          </cell>
          <cell r="K1691">
            <v>0</v>
          </cell>
          <cell r="L1691">
            <v>245</v>
          </cell>
          <cell r="M1691" t="str">
            <v>鹭江</v>
          </cell>
        </row>
        <row r="1692">
          <cell r="B1692" t="str">
            <v>厦门建发股份有限公司 Total</v>
          </cell>
          <cell r="L1692">
            <v>255</v>
          </cell>
        </row>
        <row r="1693">
          <cell r="A1693" t="str">
            <v>300152</v>
          </cell>
          <cell r="B1693" t="str">
            <v>厦门建发国际旅行社</v>
          </cell>
          <cell r="C1693" t="str">
            <v>国营</v>
          </cell>
          <cell r="D1693" t="str">
            <v>商贸</v>
          </cell>
          <cell r="E1693" t="str">
            <v>保证贷款</v>
          </cell>
          <cell r="F1693">
            <v>37470</v>
          </cell>
          <cell r="G1693">
            <v>37835</v>
          </cell>
          <cell r="H1693">
            <v>0</v>
          </cell>
          <cell r="I1693">
            <v>100</v>
          </cell>
          <cell r="J1693">
            <v>0</v>
          </cell>
          <cell r="K1693">
            <v>0</v>
          </cell>
          <cell r="L1693">
            <v>100</v>
          </cell>
          <cell r="M1693" t="str">
            <v>鹭江</v>
          </cell>
        </row>
        <row r="1694">
          <cell r="A1694" t="str">
            <v>300128</v>
          </cell>
          <cell r="B1694" t="str">
            <v>厦门建发国际旅行社</v>
          </cell>
          <cell r="C1694" t="str">
            <v>国营</v>
          </cell>
          <cell r="D1694" t="str">
            <v>商贸</v>
          </cell>
          <cell r="E1694" t="str">
            <v>保证贷款</v>
          </cell>
          <cell r="F1694">
            <v>37418</v>
          </cell>
          <cell r="G1694">
            <v>37783</v>
          </cell>
          <cell r="H1694">
            <v>0</v>
          </cell>
          <cell r="I1694">
            <v>50</v>
          </cell>
          <cell r="J1694">
            <v>0</v>
          </cell>
          <cell r="K1694">
            <v>0</v>
          </cell>
          <cell r="L1694">
            <v>50</v>
          </cell>
          <cell r="M1694" t="str">
            <v>鹭江</v>
          </cell>
        </row>
        <row r="1695">
          <cell r="B1695" t="str">
            <v>厦门建发国际旅行社 Total</v>
          </cell>
          <cell r="L1695">
            <v>150</v>
          </cell>
        </row>
        <row r="1696">
          <cell r="A1696" t="str">
            <v>300092</v>
          </cell>
          <cell r="B1696" t="str">
            <v>厦门建发集团有限公司</v>
          </cell>
          <cell r="C1696" t="str">
            <v>国营</v>
          </cell>
          <cell r="D1696" t="str">
            <v>商贸</v>
          </cell>
          <cell r="E1696" t="str">
            <v>质押贷款</v>
          </cell>
          <cell r="F1696">
            <v>37363</v>
          </cell>
          <cell r="G1696">
            <v>37728</v>
          </cell>
          <cell r="H1696">
            <v>0</v>
          </cell>
          <cell r="I1696">
            <v>1000</v>
          </cell>
          <cell r="J1696">
            <v>0</v>
          </cell>
          <cell r="K1696">
            <v>0</v>
          </cell>
          <cell r="L1696">
            <v>1000</v>
          </cell>
          <cell r="M1696" t="str">
            <v>鹭江</v>
          </cell>
        </row>
        <row r="1697">
          <cell r="A1697" t="str">
            <v>300093</v>
          </cell>
          <cell r="B1697" t="str">
            <v>厦门建发集团有限公司</v>
          </cell>
          <cell r="C1697" t="str">
            <v>国营</v>
          </cell>
          <cell r="D1697" t="str">
            <v>商贸</v>
          </cell>
          <cell r="E1697" t="str">
            <v>保证贷款</v>
          </cell>
          <cell r="F1697">
            <v>37363</v>
          </cell>
          <cell r="G1697">
            <v>37728</v>
          </cell>
          <cell r="H1697">
            <v>0</v>
          </cell>
          <cell r="I1697">
            <v>1000</v>
          </cell>
          <cell r="J1697">
            <v>0</v>
          </cell>
          <cell r="K1697">
            <v>0</v>
          </cell>
          <cell r="L1697">
            <v>1000</v>
          </cell>
          <cell r="M1697" t="str">
            <v>鹭江</v>
          </cell>
        </row>
        <row r="1698">
          <cell r="A1698" t="str">
            <v>300087</v>
          </cell>
          <cell r="B1698" t="str">
            <v>厦门建发集团有限公司</v>
          </cell>
          <cell r="C1698" t="str">
            <v>国营</v>
          </cell>
          <cell r="D1698" t="str">
            <v>商贸</v>
          </cell>
          <cell r="E1698" t="str">
            <v>保证贷款</v>
          </cell>
          <cell r="F1698">
            <v>37351</v>
          </cell>
          <cell r="G1698">
            <v>37716</v>
          </cell>
          <cell r="H1698">
            <v>0</v>
          </cell>
          <cell r="I1698">
            <v>1500</v>
          </cell>
          <cell r="J1698">
            <v>0</v>
          </cell>
          <cell r="K1698">
            <v>0</v>
          </cell>
          <cell r="L1698">
            <v>1500</v>
          </cell>
          <cell r="M1698" t="str">
            <v>鹭江</v>
          </cell>
        </row>
        <row r="1699">
          <cell r="A1699" t="str">
            <v>300088</v>
          </cell>
          <cell r="B1699" t="str">
            <v>厦门建发集团有限公司</v>
          </cell>
          <cell r="C1699" t="str">
            <v>国营</v>
          </cell>
          <cell r="D1699" t="str">
            <v>商贸</v>
          </cell>
          <cell r="E1699" t="str">
            <v>保证贷款</v>
          </cell>
          <cell r="F1699">
            <v>37354</v>
          </cell>
          <cell r="G1699">
            <v>37719</v>
          </cell>
          <cell r="H1699">
            <v>0</v>
          </cell>
          <cell r="I1699">
            <v>1500</v>
          </cell>
          <cell r="J1699">
            <v>0</v>
          </cell>
          <cell r="K1699">
            <v>0</v>
          </cell>
          <cell r="L1699">
            <v>1500</v>
          </cell>
          <cell r="M1699" t="str">
            <v>鹭江</v>
          </cell>
        </row>
        <row r="1700">
          <cell r="A1700" t="str">
            <v>300089</v>
          </cell>
          <cell r="B1700" t="str">
            <v>厦门建发集团有限公司</v>
          </cell>
          <cell r="C1700" t="str">
            <v>国营</v>
          </cell>
          <cell r="D1700" t="str">
            <v>商贸</v>
          </cell>
          <cell r="E1700" t="str">
            <v>保证贷款</v>
          </cell>
          <cell r="F1700">
            <v>37355</v>
          </cell>
          <cell r="G1700">
            <v>37720</v>
          </cell>
          <cell r="H1700">
            <v>0</v>
          </cell>
          <cell r="I1700">
            <v>2000</v>
          </cell>
          <cell r="J1700">
            <v>0</v>
          </cell>
          <cell r="K1700">
            <v>0</v>
          </cell>
          <cell r="L1700">
            <v>2000</v>
          </cell>
          <cell r="M1700" t="str">
            <v>鹭江</v>
          </cell>
        </row>
        <row r="1701">
          <cell r="A1701" t="str">
            <v>300090</v>
          </cell>
          <cell r="B1701" t="str">
            <v>厦门建发集团有限公司</v>
          </cell>
          <cell r="C1701" t="str">
            <v>国营</v>
          </cell>
          <cell r="D1701" t="str">
            <v>商贸</v>
          </cell>
          <cell r="E1701" t="str">
            <v>保证贷款</v>
          </cell>
          <cell r="F1701">
            <v>37357</v>
          </cell>
          <cell r="G1701">
            <v>37722</v>
          </cell>
          <cell r="H1701">
            <v>0</v>
          </cell>
          <cell r="I1701">
            <v>2000</v>
          </cell>
          <cell r="J1701">
            <v>0</v>
          </cell>
          <cell r="K1701">
            <v>0</v>
          </cell>
          <cell r="L1701">
            <v>2000</v>
          </cell>
          <cell r="M1701" t="str">
            <v>鹭江</v>
          </cell>
        </row>
        <row r="1702">
          <cell r="A1702" t="str">
            <v>300091</v>
          </cell>
          <cell r="B1702" t="str">
            <v>厦门建发集团有限公司</v>
          </cell>
          <cell r="C1702" t="str">
            <v>国营</v>
          </cell>
          <cell r="D1702" t="str">
            <v>商贸</v>
          </cell>
          <cell r="E1702" t="str">
            <v>质押贷款</v>
          </cell>
          <cell r="F1702">
            <v>37361</v>
          </cell>
          <cell r="G1702">
            <v>37726</v>
          </cell>
          <cell r="H1702">
            <v>0</v>
          </cell>
          <cell r="I1702">
            <v>2000</v>
          </cell>
          <cell r="J1702">
            <v>0</v>
          </cell>
          <cell r="K1702">
            <v>0</v>
          </cell>
          <cell r="L1702">
            <v>2000</v>
          </cell>
          <cell r="M1702" t="str">
            <v>鹭江</v>
          </cell>
        </row>
        <row r="1703">
          <cell r="B1703" t="str">
            <v>厦门建发集团有限公司 Total</v>
          </cell>
          <cell r="L1703">
            <v>11000</v>
          </cell>
        </row>
        <row r="1704">
          <cell r="A1704" t="str">
            <v>300115</v>
          </cell>
          <cell r="B1704" t="str">
            <v>厦门建发物流有限公司</v>
          </cell>
          <cell r="C1704" t="str">
            <v>国营</v>
          </cell>
          <cell r="D1704" t="str">
            <v>商贸</v>
          </cell>
          <cell r="E1704" t="str">
            <v>保证贷款</v>
          </cell>
          <cell r="F1704">
            <v>37404</v>
          </cell>
          <cell r="G1704">
            <v>37769</v>
          </cell>
          <cell r="H1704">
            <v>0</v>
          </cell>
          <cell r="I1704">
            <v>500</v>
          </cell>
          <cell r="J1704">
            <v>0</v>
          </cell>
          <cell r="K1704">
            <v>0</v>
          </cell>
          <cell r="L1704">
            <v>500</v>
          </cell>
          <cell r="M1704" t="str">
            <v>鹭江</v>
          </cell>
        </row>
        <row r="1705">
          <cell r="B1705" t="str">
            <v>厦门建发物流有限公司 Total</v>
          </cell>
          <cell r="L1705">
            <v>500</v>
          </cell>
        </row>
        <row r="1706">
          <cell r="A1706" t="str">
            <v>01026</v>
          </cell>
          <cell r="B1706" t="str">
            <v>厦门建工</v>
          </cell>
          <cell r="C1706" t="str">
            <v>国营</v>
          </cell>
          <cell r="D1706" t="str">
            <v>工业</v>
          </cell>
          <cell r="E1706" t="str">
            <v>保证贷款</v>
          </cell>
          <cell r="F1706">
            <v>37246</v>
          </cell>
          <cell r="G1706">
            <v>37580</v>
          </cell>
          <cell r="H1706">
            <v>0</v>
          </cell>
          <cell r="I1706">
            <v>0</v>
          </cell>
          <cell r="J1706">
            <v>0</v>
          </cell>
          <cell r="K1706">
            <v>0</v>
          </cell>
          <cell r="L1706">
            <v>2000</v>
          </cell>
          <cell r="M1706" t="str">
            <v>文滨</v>
          </cell>
        </row>
        <row r="1707">
          <cell r="B1707" t="str">
            <v>厦门建工 Total</v>
          </cell>
          <cell r="L1707">
            <v>2000</v>
          </cell>
        </row>
        <row r="1708">
          <cell r="A1708" t="str">
            <v>02-028</v>
          </cell>
          <cell r="B1708" t="str">
            <v>厦门捷盛达贸易</v>
          </cell>
          <cell r="C1708" t="str">
            <v>集体</v>
          </cell>
          <cell r="D1708" t="str">
            <v>商贸</v>
          </cell>
          <cell r="E1708" t="str">
            <v>保证贷款</v>
          </cell>
          <cell r="F1708">
            <v>37405</v>
          </cell>
          <cell r="G1708">
            <v>37589</v>
          </cell>
          <cell r="H1708">
            <v>0</v>
          </cell>
          <cell r="I1708">
            <v>24.5</v>
          </cell>
          <cell r="J1708">
            <v>0</v>
          </cell>
          <cell r="K1708">
            <v>0</v>
          </cell>
          <cell r="L1708">
            <v>24.5</v>
          </cell>
          <cell r="M1708" t="str">
            <v>营业</v>
          </cell>
        </row>
        <row r="1709">
          <cell r="A1709" t="str">
            <v>02-054</v>
          </cell>
          <cell r="B1709" t="str">
            <v>厦门捷盛达贸易</v>
          </cell>
          <cell r="C1709" t="str">
            <v>集体</v>
          </cell>
          <cell r="D1709" t="str">
            <v>商贸</v>
          </cell>
          <cell r="E1709" t="str">
            <v>保证贷款</v>
          </cell>
          <cell r="F1709">
            <v>37497</v>
          </cell>
          <cell r="G1709">
            <v>37862</v>
          </cell>
          <cell r="H1709">
            <v>0</v>
          </cell>
          <cell r="I1709">
            <v>35.5</v>
          </cell>
          <cell r="J1709">
            <v>0</v>
          </cell>
          <cell r="K1709">
            <v>0</v>
          </cell>
          <cell r="L1709">
            <v>35.5</v>
          </cell>
          <cell r="M1709" t="str">
            <v>营业</v>
          </cell>
        </row>
        <row r="1710">
          <cell r="A1710" t="str">
            <v>02-032</v>
          </cell>
          <cell r="B1710" t="str">
            <v>厦门捷盛达贸易</v>
          </cell>
          <cell r="C1710" t="str">
            <v>集体</v>
          </cell>
          <cell r="D1710" t="str">
            <v>商贸</v>
          </cell>
          <cell r="E1710" t="str">
            <v>抵押贷款</v>
          </cell>
          <cell r="F1710">
            <v>37426</v>
          </cell>
          <cell r="G1710">
            <v>37784</v>
          </cell>
          <cell r="H1710">
            <v>0</v>
          </cell>
          <cell r="I1710">
            <v>80</v>
          </cell>
          <cell r="J1710">
            <v>0</v>
          </cell>
          <cell r="K1710">
            <v>0</v>
          </cell>
          <cell r="L1710">
            <v>80</v>
          </cell>
          <cell r="M1710" t="str">
            <v>营业</v>
          </cell>
        </row>
        <row r="1711">
          <cell r="A1711" t="str">
            <v>02-029</v>
          </cell>
          <cell r="B1711" t="str">
            <v>厦门捷盛达贸易</v>
          </cell>
          <cell r="C1711" t="str">
            <v>集体</v>
          </cell>
          <cell r="D1711" t="str">
            <v>商贸</v>
          </cell>
          <cell r="E1711" t="str">
            <v>抵押贷款</v>
          </cell>
          <cell r="F1711">
            <v>37413</v>
          </cell>
          <cell r="G1711">
            <v>37778</v>
          </cell>
          <cell r="H1711">
            <v>0</v>
          </cell>
          <cell r="I1711">
            <v>150</v>
          </cell>
          <cell r="J1711">
            <v>0</v>
          </cell>
          <cell r="K1711">
            <v>0</v>
          </cell>
          <cell r="L1711">
            <v>150</v>
          </cell>
          <cell r="M1711" t="str">
            <v>营业</v>
          </cell>
        </row>
        <row r="1712">
          <cell r="B1712" t="str">
            <v>厦门捷盛达贸易 Total</v>
          </cell>
          <cell r="L1712">
            <v>290</v>
          </cell>
        </row>
        <row r="1713">
          <cell r="A1713" t="str">
            <v>02-050</v>
          </cell>
          <cell r="B1713" t="str">
            <v>厦门金达威维生</v>
          </cell>
          <cell r="C1713" t="str">
            <v>三资</v>
          </cell>
          <cell r="D1713" t="str">
            <v>其它</v>
          </cell>
          <cell r="E1713" t="str">
            <v>保证贷款</v>
          </cell>
          <cell r="F1713">
            <v>37474</v>
          </cell>
          <cell r="G1713">
            <v>37839</v>
          </cell>
          <cell r="H1713">
            <v>0</v>
          </cell>
          <cell r="I1713">
            <v>300</v>
          </cell>
          <cell r="J1713">
            <v>0</v>
          </cell>
          <cell r="K1713">
            <v>0</v>
          </cell>
          <cell r="L1713">
            <v>300</v>
          </cell>
          <cell r="M1713" t="str">
            <v>营业</v>
          </cell>
        </row>
        <row r="1714">
          <cell r="B1714" t="str">
            <v>厦门金达威维生 Total</v>
          </cell>
          <cell r="L1714">
            <v>300</v>
          </cell>
        </row>
        <row r="1715">
          <cell r="A1715" t="str">
            <v>02-001</v>
          </cell>
          <cell r="B1715" t="str">
            <v>厦门金环置业有司</v>
          </cell>
          <cell r="C1715" t="str">
            <v>集体</v>
          </cell>
          <cell r="D1715" t="str">
            <v>其它</v>
          </cell>
          <cell r="E1715" t="str">
            <v>抵押贷款</v>
          </cell>
          <cell r="F1715">
            <v>37296</v>
          </cell>
          <cell r="G1715">
            <v>37661</v>
          </cell>
          <cell r="H1715">
            <v>0</v>
          </cell>
          <cell r="I1715">
            <v>500</v>
          </cell>
          <cell r="J1715">
            <v>32</v>
          </cell>
          <cell r="K1715">
            <v>153</v>
          </cell>
          <cell r="L1715">
            <v>347</v>
          </cell>
          <cell r="M1715" t="str">
            <v>营业</v>
          </cell>
        </row>
        <row r="1716">
          <cell r="B1716" t="str">
            <v>厦门金环置业有司 Total</v>
          </cell>
          <cell r="L1716">
            <v>347</v>
          </cell>
        </row>
        <row r="1717">
          <cell r="A1717" t="str">
            <v>000004</v>
          </cell>
          <cell r="B1717" t="str">
            <v>厦门金汇缘发展有限公</v>
          </cell>
          <cell r="C1717" t="str">
            <v>其它</v>
          </cell>
          <cell r="D1717" t="str">
            <v>其它</v>
          </cell>
          <cell r="E1717" t="str">
            <v>抵押贷款</v>
          </cell>
          <cell r="F1717">
            <v>35688</v>
          </cell>
          <cell r="G1717">
            <v>35841</v>
          </cell>
          <cell r="H1717">
            <v>0</v>
          </cell>
          <cell r="I1717">
            <v>0</v>
          </cell>
          <cell r="J1717">
            <v>0</v>
          </cell>
          <cell r="K1717">
            <v>0</v>
          </cell>
          <cell r="L1717">
            <v>24.07</v>
          </cell>
          <cell r="M1717" t="str">
            <v>思明</v>
          </cell>
        </row>
        <row r="1718">
          <cell r="B1718" t="str">
            <v>厦门金汇缘发展有限公 Total</v>
          </cell>
          <cell r="L1718">
            <v>24.07</v>
          </cell>
        </row>
        <row r="1719">
          <cell r="A1719" t="str">
            <v>02-052</v>
          </cell>
          <cell r="B1719" t="str">
            <v>厦门金龙联合汽</v>
          </cell>
          <cell r="C1719" t="str">
            <v>集体</v>
          </cell>
          <cell r="D1719" t="str">
            <v>工业</v>
          </cell>
          <cell r="E1719" t="str">
            <v>信用贷款</v>
          </cell>
          <cell r="F1719">
            <v>37496</v>
          </cell>
          <cell r="G1719">
            <v>37830</v>
          </cell>
          <cell r="H1719">
            <v>0</v>
          </cell>
          <cell r="I1719">
            <v>1000</v>
          </cell>
          <cell r="J1719">
            <v>0</v>
          </cell>
          <cell r="K1719">
            <v>0</v>
          </cell>
          <cell r="L1719">
            <v>1000</v>
          </cell>
          <cell r="M1719" t="str">
            <v>营业</v>
          </cell>
        </row>
        <row r="1720">
          <cell r="B1720" t="str">
            <v>厦门金龙联合汽 Total</v>
          </cell>
          <cell r="L1720">
            <v>1000</v>
          </cell>
        </row>
        <row r="1721">
          <cell r="A1721" t="str">
            <v>0082</v>
          </cell>
          <cell r="B1721" t="str">
            <v>厦门金锐发进出口有限</v>
          </cell>
          <cell r="C1721" t="str">
            <v>其它</v>
          </cell>
          <cell r="D1721" t="str">
            <v>商贸</v>
          </cell>
          <cell r="E1721" t="str">
            <v>保证贷款</v>
          </cell>
          <cell r="F1721">
            <v>37449</v>
          </cell>
          <cell r="G1721">
            <v>37633</v>
          </cell>
          <cell r="H1721">
            <v>0</v>
          </cell>
          <cell r="I1721">
            <v>45</v>
          </cell>
          <cell r="J1721">
            <v>0</v>
          </cell>
          <cell r="K1721">
            <v>0</v>
          </cell>
          <cell r="L1721">
            <v>45</v>
          </cell>
          <cell r="M1721" t="str">
            <v>东芳</v>
          </cell>
        </row>
        <row r="1722">
          <cell r="B1722" t="str">
            <v>厦门金锐发进出口有限 Total</v>
          </cell>
          <cell r="L1722">
            <v>45</v>
          </cell>
        </row>
        <row r="1723">
          <cell r="A1723" t="str">
            <v>40290</v>
          </cell>
          <cell r="B1723" t="str">
            <v>厦门金屿发展有限公司</v>
          </cell>
          <cell r="C1723" t="str">
            <v>国营</v>
          </cell>
          <cell r="D1723" t="str">
            <v>商贸</v>
          </cell>
          <cell r="E1723" t="str">
            <v>保证贷款</v>
          </cell>
          <cell r="F1723">
            <v>37442</v>
          </cell>
          <cell r="G1723">
            <v>37807</v>
          </cell>
          <cell r="H1723">
            <v>0</v>
          </cell>
          <cell r="I1723">
            <v>410</v>
          </cell>
          <cell r="J1723">
            <v>0</v>
          </cell>
          <cell r="K1723">
            <v>0</v>
          </cell>
          <cell r="L1723">
            <v>410</v>
          </cell>
          <cell r="M1723" t="str">
            <v>象屿</v>
          </cell>
        </row>
        <row r="1724">
          <cell r="B1724" t="str">
            <v>厦门金屿发展有限公司 Total</v>
          </cell>
          <cell r="L1724">
            <v>410</v>
          </cell>
        </row>
        <row r="1725">
          <cell r="A1725" t="str">
            <v>20425</v>
          </cell>
          <cell r="B1725" t="str">
            <v>厦门锦龙混凝土公司</v>
          </cell>
          <cell r="C1725" t="str">
            <v>三资</v>
          </cell>
          <cell r="D1725" t="str">
            <v>工业</v>
          </cell>
          <cell r="E1725" t="str">
            <v>抵押贷款</v>
          </cell>
          <cell r="F1725">
            <v>37510</v>
          </cell>
          <cell r="G1725">
            <v>37844</v>
          </cell>
          <cell r="H1725">
            <v>0</v>
          </cell>
          <cell r="I1725">
            <v>250</v>
          </cell>
          <cell r="J1725">
            <v>0</v>
          </cell>
          <cell r="K1725">
            <v>0</v>
          </cell>
          <cell r="L1725">
            <v>250</v>
          </cell>
          <cell r="M1725" t="str">
            <v>江头</v>
          </cell>
        </row>
        <row r="1726">
          <cell r="B1726" t="str">
            <v>厦门锦龙混凝土公司 Total</v>
          </cell>
          <cell r="L1726">
            <v>250</v>
          </cell>
        </row>
        <row r="1727">
          <cell r="A1727" t="str">
            <v>001103</v>
          </cell>
          <cell r="B1727" t="str">
            <v>厦门经济特区运</v>
          </cell>
          <cell r="C1727" t="str">
            <v>国营</v>
          </cell>
          <cell r="D1727" t="str">
            <v>其它</v>
          </cell>
          <cell r="E1727" t="str">
            <v>保证贷款</v>
          </cell>
          <cell r="F1727">
            <v>37244</v>
          </cell>
          <cell r="G1727">
            <v>37609</v>
          </cell>
          <cell r="H1727">
            <v>0</v>
          </cell>
          <cell r="I1727">
            <v>0</v>
          </cell>
          <cell r="J1727">
            <v>0</v>
          </cell>
          <cell r="K1727">
            <v>0</v>
          </cell>
          <cell r="L1727">
            <v>800</v>
          </cell>
          <cell r="M1727" t="str">
            <v>营业</v>
          </cell>
        </row>
        <row r="1728">
          <cell r="A1728" t="str">
            <v>02-024</v>
          </cell>
          <cell r="B1728" t="str">
            <v>厦门经济特区运</v>
          </cell>
          <cell r="C1728" t="str">
            <v>国营</v>
          </cell>
          <cell r="D1728" t="str">
            <v>其它</v>
          </cell>
          <cell r="E1728" t="str">
            <v>保证贷款</v>
          </cell>
          <cell r="F1728">
            <v>37364</v>
          </cell>
          <cell r="G1728">
            <v>37729</v>
          </cell>
          <cell r="H1728">
            <v>0</v>
          </cell>
          <cell r="I1728">
            <v>800</v>
          </cell>
          <cell r="J1728">
            <v>0</v>
          </cell>
          <cell r="K1728">
            <v>0</v>
          </cell>
          <cell r="L1728">
            <v>800</v>
          </cell>
          <cell r="M1728" t="str">
            <v>营业</v>
          </cell>
        </row>
        <row r="1729">
          <cell r="B1729" t="str">
            <v>厦门经济特区运 Total</v>
          </cell>
          <cell r="L1729">
            <v>1600</v>
          </cell>
        </row>
        <row r="1730">
          <cell r="A1730" t="str">
            <v>98109</v>
          </cell>
          <cell r="B1730" t="str">
            <v>厦门经贸发展总公司</v>
          </cell>
          <cell r="C1730" t="str">
            <v>国营</v>
          </cell>
          <cell r="D1730" t="str">
            <v>商贸</v>
          </cell>
          <cell r="E1730" t="str">
            <v>抵押贷款</v>
          </cell>
          <cell r="F1730">
            <v>36143</v>
          </cell>
          <cell r="G1730">
            <v>36334</v>
          </cell>
          <cell r="H1730">
            <v>0</v>
          </cell>
          <cell r="I1730">
            <v>0</v>
          </cell>
          <cell r="J1730">
            <v>0</v>
          </cell>
          <cell r="K1730">
            <v>8.23</v>
          </cell>
          <cell r="L1730">
            <v>54.27</v>
          </cell>
          <cell r="M1730" t="str">
            <v>公园</v>
          </cell>
        </row>
        <row r="1731">
          <cell r="B1731" t="str">
            <v>厦门经贸发展总公司 Total</v>
          </cell>
          <cell r="L1731">
            <v>54.27</v>
          </cell>
        </row>
        <row r="1732">
          <cell r="A1732" t="str">
            <v>020117</v>
          </cell>
          <cell r="B1732" t="str">
            <v>厦门精达分色制版公司</v>
          </cell>
          <cell r="C1732" t="str">
            <v>三资</v>
          </cell>
          <cell r="D1732" t="str">
            <v>工业</v>
          </cell>
          <cell r="E1732" t="str">
            <v>票据贴现</v>
          </cell>
          <cell r="F1732">
            <v>37553</v>
          </cell>
          <cell r="G1732">
            <v>37734</v>
          </cell>
          <cell r="H1732">
            <v>15</v>
          </cell>
          <cell r="I1732">
            <v>15</v>
          </cell>
          <cell r="J1732">
            <v>0</v>
          </cell>
          <cell r="K1732">
            <v>0</v>
          </cell>
          <cell r="L1732">
            <v>15</v>
          </cell>
          <cell r="M1732" t="str">
            <v>东区</v>
          </cell>
        </row>
        <row r="1733">
          <cell r="B1733" t="str">
            <v>厦门精达分色制版公司 Total</v>
          </cell>
          <cell r="L1733">
            <v>15</v>
          </cell>
        </row>
        <row r="1734">
          <cell r="A1734" t="str">
            <v>22329</v>
          </cell>
          <cell r="B1734" t="str">
            <v>厦门靖山五金工业公司</v>
          </cell>
          <cell r="C1734" t="str">
            <v>集体</v>
          </cell>
          <cell r="D1734" t="str">
            <v>工业</v>
          </cell>
          <cell r="E1734" t="str">
            <v>票据贴现</v>
          </cell>
          <cell r="F1734">
            <v>37487</v>
          </cell>
          <cell r="G1734">
            <v>37647</v>
          </cell>
          <cell r="H1734">
            <v>0</v>
          </cell>
          <cell r="I1734">
            <v>5</v>
          </cell>
          <cell r="J1734">
            <v>0</v>
          </cell>
          <cell r="K1734">
            <v>0</v>
          </cell>
          <cell r="L1734">
            <v>5</v>
          </cell>
          <cell r="M1734" t="str">
            <v>江头</v>
          </cell>
        </row>
        <row r="1735">
          <cell r="B1735" t="str">
            <v>厦门靖山五金工业公司 Total</v>
          </cell>
          <cell r="L1735">
            <v>5</v>
          </cell>
        </row>
        <row r="1736">
          <cell r="A1736" t="str">
            <v>s211-1</v>
          </cell>
          <cell r="B1736" t="str">
            <v>厦门卷烟厂</v>
          </cell>
          <cell r="C1736" t="str">
            <v>国营</v>
          </cell>
          <cell r="D1736" t="str">
            <v>工业</v>
          </cell>
          <cell r="E1736" t="str">
            <v>信用贷款</v>
          </cell>
          <cell r="F1736">
            <v>37491</v>
          </cell>
          <cell r="G1736">
            <v>37680</v>
          </cell>
          <cell r="H1736">
            <v>0</v>
          </cell>
          <cell r="I1736">
            <v>1000</v>
          </cell>
          <cell r="J1736">
            <v>0</v>
          </cell>
          <cell r="K1736">
            <v>0</v>
          </cell>
          <cell r="L1736">
            <v>1000</v>
          </cell>
          <cell r="M1736" t="str">
            <v>文滨</v>
          </cell>
        </row>
        <row r="1737">
          <cell r="A1737" t="str">
            <v>s211-2</v>
          </cell>
          <cell r="B1737" t="str">
            <v>厦门卷烟厂</v>
          </cell>
          <cell r="C1737" t="str">
            <v>国营</v>
          </cell>
          <cell r="D1737" t="str">
            <v>工业</v>
          </cell>
          <cell r="E1737" t="str">
            <v>信用贷款</v>
          </cell>
          <cell r="F1737">
            <v>37504</v>
          </cell>
          <cell r="G1737">
            <v>37685</v>
          </cell>
          <cell r="H1737">
            <v>0</v>
          </cell>
          <cell r="I1737">
            <v>2000</v>
          </cell>
          <cell r="J1737">
            <v>0</v>
          </cell>
          <cell r="K1737">
            <v>0</v>
          </cell>
          <cell r="L1737">
            <v>2000</v>
          </cell>
          <cell r="M1737" t="str">
            <v>文滨</v>
          </cell>
        </row>
        <row r="1738">
          <cell r="A1738" t="str">
            <v>s211-3</v>
          </cell>
          <cell r="B1738" t="str">
            <v>厦门卷烟厂</v>
          </cell>
          <cell r="C1738" t="str">
            <v>国营</v>
          </cell>
          <cell r="D1738" t="str">
            <v>工业</v>
          </cell>
          <cell r="E1738" t="str">
            <v>信用贷款</v>
          </cell>
          <cell r="F1738">
            <v>37550</v>
          </cell>
          <cell r="G1738">
            <v>37732</v>
          </cell>
          <cell r="H1738">
            <v>6000</v>
          </cell>
          <cell r="I1738">
            <v>6000</v>
          </cell>
          <cell r="J1738">
            <v>0</v>
          </cell>
          <cell r="K1738">
            <v>0</v>
          </cell>
          <cell r="L1738">
            <v>6000</v>
          </cell>
          <cell r="M1738" t="str">
            <v>文滨</v>
          </cell>
        </row>
        <row r="1739">
          <cell r="B1739" t="str">
            <v>厦门卷烟厂 Total</v>
          </cell>
          <cell r="L1739">
            <v>9000</v>
          </cell>
        </row>
        <row r="1740">
          <cell r="A1740" t="str">
            <v>020112</v>
          </cell>
          <cell r="B1740" t="str">
            <v>厦门康先进出口有限公</v>
          </cell>
          <cell r="C1740" t="str">
            <v>外事</v>
          </cell>
          <cell r="D1740" t="str">
            <v>商贸</v>
          </cell>
          <cell r="E1740" t="str">
            <v>保证贷款</v>
          </cell>
          <cell r="F1740">
            <v>37554</v>
          </cell>
          <cell r="G1740">
            <v>37918</v>
          </cell>
          <cell r="H1740">
            <v>100</v>
          </cell>
          <cell r="I1740">
            <v>100</v>
          </cell>
          <cell r="J1740">
            <v>0</v>
          </cell>
          <cell r="K1740">
            <v>0</v>
          </cell>
          <cell r="L1740">
            <v>100</v>
          </cell>
          <cell r="M1740" t="str">
            <v>东区</v>
          </cell>
        </row>
        <row r="1741">
          <cell r="B1741" t="str">
            <v>厦门康先进出口有限公 Total</v>
          </cell>
          <cell r="L1741">
            <v>100</v>
          </cell>
        </row>
        <row r="1742">
          <cell r="A1742" t="str">
            <v>020116</v>
          </cell>
          <cell r="B1742" t="str">
            <v>厦门科恩电子有限公司</v>
          </cell>
          <cell r="C1742" t="str">
            <v>三资</v>
          </cell>
          <cell r="D1742" t="str">
            <v>商贸</v>
          </cell>
          <cell r="E1742" t="str">
            <v>票据贴现</v>
          </cell>
          <cell r="F1742">
            <v>37546</v>
          </cell>
          <cell r="G1742">
            <v>37719</v>
          </cell>
          <cell r="H1742">
            <v>6.85</v>
          </cell>
          <cell r="I1742">
            <v>6.85</v>
          </cell>
          <cell r="J1742">
            <v>0</v>
          </cell>
          <cell r="K1742">
            <v>0</v>
          </cell>
          <cell r="L1742">
            <v>6.85</v>
          </cell>
          <cell r="M1742" t="str">
            <v>东区</v>
          </cell>
        </row>
        <row r="1743">
          <cell r="B1743" t="str">
            <v>厦门科恩电子有限公司 Total</v>
          </cell>
          <cell r="L1743">
            <v>6.85</v>
          </cell>
        </row>
        <row r="1744">
          <cell r="A1744" t="str">
            <v>0060</v>
          </cell>
          <cell r="B1744" t="str">
            <v>厦门来利集装箱货运有</v>
          </cell>
          <cell r="C1744" t="str">
            <v>其它</v>
          </cell>
          <cell r="D1744" t="str">
            <v>其它</v>
          </cell>
          <cell r="E1744" t="str">
            <v>抵押贷款</v>
          </cell>
          <cell r="F1744">
            <v>37406</v>
          </cell>
          <cell r="G1744">
            <v>38070</v>
          </cell>
          <cell r="H1744">
            <v>0</v>
          </cell>
          <cell r="I1744">
            <v>15.7</v>
          </cell>
          <cell r="J1744">
            <v>0</v>
          </cell>
          <cell r="K1744">
            <v>2.73</v>
          </cell>
          <cell r="L1744">
            <v>12.97</v>
          </cell>
          <cell r="M1744" t="str">
            <v>东芳</v>
          </cell>
        </row>
        <row r="1745">
          <cell r="B1745" t="str">
            <v>厦门来利集装箱货运有 Total</v>
          </cell>
          <cell r="L1745">
            <v>12.97</v>
          </cell>
        </row>
        <row r="1746">
          <cell r="A1746" t="str">
            <v>40289</v>
          </cell>
          <cell r="B1746" t="str">
            <v>厦门礼诚进出口公司</v>
          </cell>
          <cell r="C1746" t="str">
            <v>集体</v>
          </cell>
          <cell r="D1746" t="str">
            <v>商贸</v>
          </cell>
          <cell r="E1746" t="str">
            <v>保证贷款</v>
          </cell>
          <cell r="F1746">
            <v>37440</v>
          </cell>
          <cell r="G1746">
            <v>37624</v>
          </cell>
          <cell r="H1746">
            <v>0</v>
          </cell>
          <cell r="I1746">
            <v>100</v>
          </cell>
          <cell r="J1746">
            <v>0</v>
          </cell>
          <cell r="K1746">
            <v>0</v>
          </cell>
          <cell r="L1746">
            <v>100</v>
          </cell>
          <cell r="M1746" t="str">
            <v>象屿</v>
          </cell>
        </row>
        <row r="1747">
          <cell r="B1747" t="str">
            <v>厦门礼诚进出口公司 Total</v>
          </cell>
          <cell r="L1747">
            <v>100</v>
          </cell>
        </row>
        <row r="1748">
          <cell r="A1748" t="str">
            <v>20004h</v>
          </cell>
          <cell r="B1748" t="str">
            <v>厦门丽富工贸有限公司</v>
          </cell>
          <cell r="C1748" t="str">
            <v>外事</v>
          </cell>
          <cell r="D1748" t="str">
            <v>其它</v>
          </cell>
          <cell r="E1748" t="str">
            <v>抵押贷款</v>
          </cell>
          <cell r="F1748">
            <v>35429</v>
          </cell>
          <cell r="G1748">
            <v>35579</v>
          </cell>
          <cell r="H1748">
            <v>0</v>
          </cell>
          <cell r="I1748">
            <v>0</v>
          </cell>
          <cell r="J1748">
            <v>0</v>
          </cell>
          <cell r="K1748">
            <v>0</v>
          </cell>
          <cell r="L1748">
            <v>15</v>
          </cell>
          <cell r="M1748" t="str">
            <v>公园</v>
          </cell>
        </row>
        <row r="1749">
          <cell r="B1749" t="str">
            <v>厦门丽富工贸有限公司 Total</v>
          </cell>
          <cell r="L1749">
            <v>15</v>
          </cell>
        </row>
        <row r="1750">
          <cell r="A1750" t="str">
            <v>02-106</v>
          </cell>
          <cell r="B1750" t="str">
            <v>厦门利禾嘉实业</v>
          </cell>
          <cell r="C1750" t="str">
            <v>集体</v>
          </cell>
          <cell r="D1750" t="str">
            <v>商贸</v>
          </cell>
          <cell r="E1750" t="str">
            <v>保证贷款</v>
          </cell>
          <cell r="F1750">
            <v>37400</v>
          </cell>
          <cell r="G1750">
            <v>37765</v>
          </cell>
          <cell r="H1750">
            <v>0</v>
          </cell>
          <cell r="I1750">
            <v>170</v>
          </cell>
          <cell r="J1750">
            <v>0</v>
          </cell>
          <cell r="K1750">
            <v>0</v>
          </cell>
          <cell r="L1750">
            <v>170</v>
          </cell>
          <cell r="M1750" t="str">
            <v>营业</v>
          </cell>
        </row>
        <row r="1751">
          <cell r="A1751" t="str">
            <v>02-061</v>
          </cell>
          <cell r="B1751" t="str">
            <v>厦门利禾嘉实业</v>
          </cell>
          <cell r="C1751" t="str">
            <v>集体</v>
          </cell>
          <cell r="D1751" t="str">
            <v>商贸</v>
          </cell>
          <cell r="E1751" t="str">
            <v>保证贷款</v>
          </cell>
          <cell r="F1751">
            <v>37522</v>
          </cell>
          <cell r="G1751">
            <v>37887</v>
          </cell>
          <cell r="H1751">
            <v>0</v>
          </cell>
          <cell r="I1751">
            <v>450</v>
          </cell>
          <cell r="J1751">
            <v>0</v>
          </cell>
          <cell r="K1751">
            <v>0</v>
          </cell>
          <cell r="L1751">
            <v>450</v>
          </cell>
          <cell r="M1751" t="str">
            <v>营业</v>
          </cell>
        </row>
        <row r="1752">
          <cell r="B1752" t="str">
            <v>厦门利禾嘉实业 Total</v>
          </cell>
          <cell r="L1752">
            <v>620</v>
          </cell>
        </row>
        <row r="1753">
          <cell r="A1753" t="str">
            <v>001099</v>
          </cell>
          <cell r="B1753" t="str">
            <v>厦门利泰隆进出</v>
          </cell>
          <cell r="C1753" t="str">
            <v>集体</v>
          </cell>
          <cell r="D1753" t="str">
            <v>商贸</v>
          </cell>
          <cell r="E1753" t="str">
            <v>保证贷款</v>
          </cell>
          <cell r="F1753">
            <v>37232</v>
          </cell>
          <cell r="G1753">
            <v>37597</v>
          </cell>
          <cell r="H1753">
            <v>0</v>
          </cell>
          <cell r="I1753">
            <v>0</v>
          </cell>
          <cell r="J1753">
            <v>0</v>
          </cell>
          <cell r="K1753">
            <v>0</v>
          </cell>
          <cell r="L1753">
            <v>200</v>
          </cell>
          <cell r="M1753" t="str">
            <v>营业</v>
          </cell>
        </row>
        <row r="1754">
          <cell r="A1754" t="str">
            <v>02-025</v>
          </cell>
          <cell r="B1754" t="str">
            <v>厦门利泰隆进出</v>
          </cell>
          <cell r="C1754" t="str">
            <v>集体</v>
          </cell>
          <cell r="D1754" t="str">
            <v>商贸</v>
          </cell>
          <cell r="E1754" t="str">
            <v>保证贷款</v>
          </cell>
          <cell r="F1754">
            <v>37370</v>
          </cell>
          <cell r="G1754">
            <v>37735</v>
          </cell>
          <cell r="H1754">
            <v>0</v>
          </cell>
          <cell r="I1754">
            <v>200</v>
          </cell>
          <cell r="J1754">
            <v>0</v>
          </cell>
          <cell r="K1754">
            <v>0</v>
          </cell>
          <cell r="L1754">
            <v>200</v>
          </cell>
          <cell r="M1754" t="str">
            <v>营业</v>
          </cell>
        </row>
        <row r="1755">
          <cell r="A1755" t="str">
            <v>02-070</v>
          </cell>
          <cell r="B1755" t="str">
            <v>厦门利泰隆进出</v>
          </cell>
          <cell r="C1755" t="str">
            <v>集体</v>
          </cell>
          <cell r="D1755" t="str">
            <v>商贸</v>
          </cell>
          <cell r="E1755" t="str">
            <v>保证贷款</v>
          </cell>
          <cell r="F1755">
            <v>37547</v>
          </cell>
          <cell r="G1755">
            <v>37911</v>
          </cell>
          <cell r="H1755">
            <v>200</v>
          </cell>
          <cell r="I1755">
            <v>200</v>
          </cell>
          <cell r="J1755">
            <v>0</v>
          </cell>
          <cell r="K1755">
            <v>0</v>
          </cell>
          <cell r="L1755">
            <v>200</v>
          </cell>
          <cell r="M1755" t="str">
            <v>营业</v>
          </cell>
        </row>
        <row r="1756">
          <cell r="B1756" t="str">
            <v>厦门利泰隆进出 Total</v>
          </cell>
          <cell r="L1756">
            <v>600</v>
          </cell>
        </row>
        <row r="1757">
          <cell r="A1757" t="str">
            <v>0095</v>
          </cell>
          <cell r="B1757" t="str">
            <v>厦门莲东汽车运输有限</v>
          </cell>
          <cell r="C1757" t="str">
            <v>其它</v>
          </cell>
          <cell r="D1757" t="str">
            <v>其它</v>
          </cell>
          <cell r="E1757" t="str">
            <v>抵押贷款</v>
          </cell>
          <cell r="F1757">
            <v>37543</v>
          </cell>
          <cell r="G1757">
            <v>38240</v>
          </cell>
          <cell r="H1757">
            <v>62.3</v>
          </cell>
          <cell r="I1757">
            <v>62.3</v>
          </cell>
          <cell r="J1757">
            <v>0</v>
          </cell>
          <cell r="K1757">
            <v>0</v>
          </cell>
          <cell r="L1757">
            <v>62.3</v>
          </cell>
          <cell r="M1757" t="str">
            <v>东芳</v>
          </cell>
        </row>
        <row r="1758">
          <cell r="B1758" t="str">
            <v>厦门莲东汽车运输有限 Total</v>
          </cell>
          <cell r="L1758">
            <v>62.3</v>
          </cell>
        </row>
        <row r="1759">
          <cell r="A1759" t="str">
            <v>942073</v>
          </cell>
          <cell r="B1759" t="str">
            <v>厦门联合发展(集团)有</v>
          </cell>
          <cell r="C1759" t="str">
            <v>国营</v>
          </cell>
          <cell r="D1759" t="str">
            <v>其它</v>
          </cell>
          <cell r="E1759" t="str">
            <v>保证贷款</v>
          </cell>
          <cell r="F1759">
            <v>37504</v>
          </cell>
          <cell r="G1759">
            <v>37869</v>
          </cell>
          <cell r="H1759">
            <v>0</v>
          </cell>
          <cell r="I1759">
            <v>5000</v>
          </cell>
          <cell r="J1759">
            <v>0</v>
          </cell>
          <cell r="K1759">
            <v>0</v>
          </cell>
          <cell r="L1759">
            <v>5000</v>
          </cell>
          <cell r="M1759" t="str">
            <v>莲富</v>
          </cell>
        </row>
        <row r="1760">
          <cell r="B1760" t="str">
            <v>厦门联合发展(集团)有 Total</v>
          </cell>
          <cell r="L1760">
            <v>5000</v>
          </cell>
        </row>
        <row r="1761">
          <cell r="A1761" t="str">
            <v>020115</v>
          </cell>
          <cell r="B1761" t="str">
            <v>厦门联宇包装工业有限</v>
          </cell>
          <cell r="C1761" t="str">
            <v>三资</v>
          </cell>
          <cell r="D1761" t="str">
            <v>工业</v>
          </cell>
          <cell r="E1761" t="str">
            <v>保证贷款</v>
          </cell>
          <cell r="F1761">
            <v>37557</v>
          </cell>
          <cell r="G1761">
            <v>37892</v>
          </cell>
          <cell r="H1761">
            <v>100</v>
          </cell>
          <cell r="I1761">
            <v>100</v>
          </cell>
          <cell r="J1761">
            <v>0</v>
          </cell>
          <cell r="K1761">
            <v>0</v>
          </cell>
          <cell r="L1761">
            <v>100</v>
          </cell>
          <cell r="M1761" t="str">
            <v>东区</v>
          </cell>
        </row>
        <row r="1762">
          <cell r="B1762" t="str">
            <v>厦门联宇包装工业有限 Total</v>
          </cell>
          <cell r="L1762">
            <v>100</v>
          </cell>
        </row>
        <row r="1763">
          <cell r="A1763" t="str">
            <v>T02064</v>
          </cell>
          <cell r="B1763" t="str">
            <v>厦门岭辉实业</v>
          </cell>
          <cell r="C1763" t="str">
            <v>集体</v>
          </cell>
          <cell r="D1763" t="str">
            <v>商贸</v>
          </cell>
          <cell r="E1763" t="str">
            <v>票据贴现</v>
          </cell>
          <cell r="F1763">
            <v>37553</v>
          </cell>
          <cell r="G1763">
            <v>37587</v>
          </cell>
          <cell r="H1763">
            <v>207.14</v>
          </cell>
          <cell r="I1763">
            <v>207.14</v>
          </cell>
          <cell r="J1763">
            <v>0</v>
          </cell>
          <cell r="K1763">
            <v>0</v>
          </cell>
          <cell r="L1763">
            <v>207.14</v>
          </cell>
          <cell r="M1763" t="str">
            <v>营业</v>
          </cell>
        </row>
        <row r="1764">
          <cell r="B1764" t="str">
            <v>厦门岭辉实业 Total</v>
          </cell>
          <cell r="L1764">
            <v>207.14</v>
          </cell>
        </row>
        <row r="1765">
          <cell r="A1765" t="str">
            <v>02-036</v>
          </cell>
          <cell r="B1765" t="str">
            <v>厦门凌峰万里石</v>
          </cell>
          <cell r="C1765" t="str">
            <v>集体</v>
          </cell>
          <cell r="D1765" t="str">
            <v>其它</v>
          </cell>
          <cell r="E1765" t="str">
            <v>保证贷款</v>
          </cell>
          <cell r="F1765">
            <v>37431</v>
          </cell>
          <cell r="G1765">
            <v>37735</v>
          </cell>
          <cell r="H1765">
            <v>0</v>
          </cell>
          <cell r="I1765">
            <v>150</v>
          </cell>
          <cell r="J1765">
            <v>0</v>
          </cell>
          <cell r="K1765">
            <v>0</v>
          </cell>
          <cell r="L1765">
            <v>150</v>
          </cell>
          <cell r="M1765" t="str">
            <v>营业</v>
          </cell>
        </row>
        <row r="1766">
          <cell r="B1766" t="str">
            <v>厦门凌峰万里石 Total</v>
          </cell>
          <cell r="L1766">
            <v>150</v>
          </cell>
        </row>
        <row r="1767">
          <cell r="A1767" t="str">
            <v>0064</v>
          </cell>
          <cell r="B1767" t="str">
            <v>厦门龙昌达商贸发展有</v>
          </cell>
          <cell r="C1767" t="str">
            <v>其它</v>
          </cell>
          <cell r="D1767" t="str">
            <v>其它</v>
          </cell>
          <cell r="E1767" t="str">
            <v>抵押贷款</v>
          </cell>
          <cell r="F1767">
            <v>37406</v>
          </cell>
          <cell r="G1767">
            <v>38064</v>
          </cell>
          <cell r="H1767">
            <v>0</v>
          </cell>
          <cell r="I1767">
            <v>9.6</v>
          </cell>
          <cell r="J1767">
            <v>0.42</v>
          </cell>
          <cell r="K1767">
            <v>1.67</v>
          </cell>
          <cell r="L1767">
            <v>7.93</v>
          </cell>
          <cell r="M1767" t="str">
            <v>东芳</v>
          </cell>
        </row>
        <row r="1768">
          <cell r="A1768" t="str">
            <v>0023</v>
          </cell>
          <cell r="B1768" t="str">
            <v>厦门龙昌达商贸发展有</v>
          </cell>
          <cell r="C1768" t="str">
            <v>其它</v>
          </cell>
          <cell r="D1768" t="str">
            <v>其它</v>
          </cell>
          <cell r="E1768" t="str">
            <v>抵押贷款</v>
          </cell>
          <cell r="F1768">
            <v>37287</v>
          </cell>
          <cell r="G1768">
            <v>37941</v>
          </cell>
          <cell r="H1768">
            <v>0</v>
          </cell>
          <cell r="I1768">
            <v>14.8</v>
          </cell>
          <cell r="J1768">
            <v>0.66</v>
          </cell>
          <cell r="K1768">
            <v>5.92</v>
          </cell>
          <cell r="L1768">
            <v>8.8800000000000008</v>
          </cell>
          <cell r="M1768" t="str">
            <v>东芳</v>
          </cell>
        </row>
        <row r="1769">
          <cell r="A1769" t="str">
            <v>0090</v>
          </cell>
          <cell r="B1769" t="str">
            <v>厦门龙昌达商贸发展有</v>
          </cell>
          <cell r="C1769" t="str">
            <v>其它</v>
          </cell>
          <cell r="D1769" t="str">
            <v>其它</v>
          </cell>
          <cell r="E1769" t="str">
            <v>抵押贷款</v>
          </cell>
          <cell r="F1769">
            <v>37524</v>
          </cell>
          <cell r="G1769">
            <v>38165</v>
          </cell>
          <cell r="H1769">
            <v>0</v>
          </cell>
          <cell r="I1769">
            <v>10.8</v>
          </cell>
          <cell r="J1769">
            <v>0</v>
          </cell>
          <cell r="K1769">
            <v>0</v>
          </cell>
          <cell r="L1769">
            <v>10.8</v>
          </cell>
          <cell r="M1769" t="str">
            <v>东芳</v>
          </cell>
        </row>
        <row r="1770">
          <cell r="A1770" t="str">
            <v>0053</v>
          </cell>
          <cell r="B1770" t="str">
            <v>厦门龙昌达商贸发展有</v>
          </cell>
          <cell r="C1770" t="str">
            <v>其它</v>
          </cell>
          <cell r="D1770" t="str">
            <v>商贸</v>
          </cell>
          <cell r="E1770" t="str">
            <v>抵押贷款</v>
          </cell>
          <cell r="F1770">
            <v>37370</v>
          </cell>
          <cell r="G1770">
            <v>38068</v>
          </cell>
          <cell r="H1770">
            <v>0</v>
          </cell>
          <cell r="I1770">
            <v>34.56</v>
          </cell>
          <cell r="J1770">
            <v>1.45</v>
          </cell>
          <cell r="K1770">
            <v>7.16</v>
          </cell>
          <cell r="L1770">
            <v>27.4</v>
          </cell>
          <cell r="M1770" t="str">
            <v>东芳</v>
          </cell>
        </row>
        <row r="1771">
          <cell r="B1771" t="str">
            <v>厦门龙昌达商贸发展有 Total</v>
          </cell>
          <cell r="L1771">
            <v>55.010000000000005</v>
          </cell>
        </row>
        <row r="1772">
          <cell r="A1772" t="str">
            <v>02-019</v>
          </cell>
          <cell r="B1772" t="str">
            <v>厦门路桥股份有</v>
          </cell>
          <cell r="C1772" t="str">
            <v>国营</v>
          </cell>
          <cell r="D1772" t="str">
            <v>其它</v>
          </cell>
          <cell r="E1772" t="str">
            <v>质押贷款</v>
          </cell>
          <cell r="F1772">
            <v>37350</v>
          </cell>
          <cell r="G1772">
            <v>37714</v>
          </cell>
          <cell r="H1772">
            <v>0</v>
          </cell>
          <cell r="I1772">
            <v>5000</v>
          </cell>
          <cell r="J1772">
            <v>0</v>
          </cell>
          <cell r="K1772">
            <v>0</v>
          </cell>
          <cell r="L1772">
            <v>5000</v>
          </cell>
          <cell r="M1772" t="str">
            <v>营业</v>
          </cell>
        </row>
        <row r="1773">
          <cell r="B1773" t="str">
            <v>厦门路桥股份有 Total</v>
          </cell>
          <cell r="L1773">
            <v>5000</v>
          </cell>
        </row>
        <row r="1774">
          <cell r="A1774" t="str">
            <v>200102</v>
          </cell>
          <cell r="B1774" t="str">
            <v>厦门路桥建设投资总公</v>
          </cell>
          <cell r="C1774" t="str">
            <v>国营</v>
          </cell>
          <cell r="D1774" t="str">
            <v>其它</v>
          </cell>
          <cell r="E1774" t="str">
            <v>信用贷款</v>
          </cell>
          <cell r="F1774">
            <v>37246</v>
          </cell>
          <cell r="G1774">
            <v>39072</v>
          </cell>
          <cell r="H1774">
            <v>0</v>
          </cell>
          <cell r="I1774">
            <v>0</v>
          </cell>
          <cell r="J1774">
            <v>0</v>
          </cell>
          <cell r="K1774">
            <v>0</v>
          </cell>
          <cell r="L1774">
            <v>4200</v>
          </cell>
          <cell r="M1774" t="str">
            <v>营业</v>
          </cell>
        </row>
        <row r="1775">
          <cell r="A1775" t="str">
            <v>00-002</v>
          </cell>
          <cell r="B1775" t="str">
            <v>厦门路桥建设投资总公</v>
          </cell>
          <cell r="C1775" t="str">
            <v>国营</v>
          </cell>
          <cell r="D1775" t="str">
            <v>其它</v>
          </cell>
          <cell r="E1775" t="str">
            <v>信用贷款</v>
          </cell>
          <cell r="F1775">
            <v>36755</v>
          </cell>
          <cell r="G1775">
            <v>38581</v>
          </cell>
          <cell r="H1775">
            <v>0</v>
          </cell>
          <cell r="I1775">
            <v>0</v>
          </cell>
          <cell r="J1775">
            <v>0</v>
          </cell>
          <cell r="K1775">
            <v>0</v>
          </cell>
          <cell r="L1775">
            <v>3000</v>
          </cell>
          <cell r="M1775" t="str">
            <v>营业</v>
          </cell>
        </row>
        <row r="1776">
          <cell r="A1776" t="str">
            <v>01-001</v>
          </cell>
          <cell r="B1776" t="str">
            <v>厦门路桥建设投资总公</v>
          </cell>
          <cell r="C1776" t="str">
            <v>国营</v>
          </cell>
          <cell r="D1776" t="str">
            <v>其它</v>
          </cell>
          <cell r="E1776" t="str">
            <v>信用贷款</v>
          </cell>
          <cell r="F1776">
            <v>37134</v>
          </cell>
          <cell r="G1776">
            <v>38960</v>
          </cell>
          <cell r="H1776">
            <v>0</v>
          </cell>
          <cell r="I1776">
            <v>0</v>
          </cell>
          <cell r="J1776">
            <v>0</v>
          </cell>
          <cell r="K1776">
            <v>0</v>
          </cell>
          <cell r="L1776">
            <v>5000</v>
          </cell>
          <cell r="M1776" t="str">
            <v>营业</v>
          </cell>
        </row>
        <row r="1777">
          <cell r="A1777" t="str">
            <v>02108a</v>
          </cell>
          <cell r="B1777" t="str">
            <v>厦门路桥建设投资总公</v>
          </cell>
          <cell r="C1777" t="str">
            <v>国营</v>
          </cell>
          <cell r="D1777" t="str">
            <v>其它</v>
          </cell>
          <cell r="E1777" t="str">
            <v>保证贷款</v>
          </cell>
          <cell r="F1777">
            <v>36524</v>
          </cell>
          <cell r="G1777">
            <v>37620</v>
          </cell>
          <cell r="H1777">
            <v>0</v>
          </cell>
          <cell r="I1777">
            <v>0</v>
          </cell>
          <cell r="J1777">
            <v>0</v>
          </cell>
          <cell r="K1777">
            <v>0</v>
          </cell>
          <cell r="L1777">
            <v>4000</v>
          </cell>
          <cell r="M1777" t="str">
            <v>营业</v>
          </cell>
        </row>
        <row r="1778">
          <cell r="B1778" t="str">
            <v>厦门路桥建设投资总公 Total</v>
          </cell>
          <cell r="L1778">
            <v>16200</v>
          </cell>
        </row>
        <row r="1779">
          <cell r="A1779" t="str">
            <v>300196</v>
          </cell>
          <cell r="B1779" t="str">
            <v>厦门鹭燕医药有限公司</v>
          </cell>
          <cell r="C1779" t="str">
            <v>国营</v>
          </cell>
          <cell r="D1779" t="str">
            <v>商贸</v>
          </cell>
          <cell r="E1779" t="str">
            <v>票据贴现</v>
          </cell>
          <cell r="F1779">
            <v>37558</v>
          </cell>
          <cell r="G1779">
            <v>37739</v>
          </cell>
          <cell r="H1779">
            <v>100</v>
          </cell>
          <cell r="I1779">
            <v>100</v>
          </cell>
          <cell r="J1779">
            <v>0</v>
          </cell>
          <cell r="K1779">
            <v>0</v>
          </cell>
          <cell r="L1779">
            <v>100</v>
          </cell>
          <cell r="M1779" t="str">
            <v>鹭江</v>
          </cell>
        </row>
        <row r="1780">
          <cell r="B1780" t="str">
            <v>厦门鹭燕医药有限公司 Total</v>
          </cell>
          <cell r="L1780">
            <v>100</v>
          </cell>
        </row>
        <row r="1781">
          <cell r="A1781" t="str">
            <v>100001</v>
          </cell>
          <cell r="B1781" t="str">
            <v>厦门茂聚益贸易公司</v>
          </cell>
          <cell r="C1781" t="str">
            <v>集体</v>
          </cell>
          <cell r="D1781" t="str">
            <v>商贸</v>
          </cell>
          <cell r="E1781" t="str">
            <v>抵押贷款</v>
          </cell>
          <cell r="F1781">
            <v>37546</v>
          </cell>
          <cell r="G1781">
            <v>37911</v>
          </cell>
          <cell r="H1781">
            <v>260</v>
          </cell>
          <cell r="I1781">
            <v>260</v>
          </cell>
          <cell r="J1781">
            <v>0</v>
          </cell>
          <cell r="K1781">
            <v>0</v>
          </cell>
          <cell r="L1781">
            <v>260</v>
          </cell>
          <cell r="M1781" t="str">
            <v>松柏</v>
          </cell>
        </row>
        <row r="1782">
          <cell r="B1782" t="str">
            <v>厦门茂聚益贸易公司 Total</v>
          </cell>
          <cell r="L1782">
            <v>260</v>
          </cell>
        </row>
        <row r="1783">
          <cell r="A1783" t="str">
            <v>02-063</v>
          </cell>
          <cell r="B1783" t="str">
            <v>厦门湄洲进出口</v>
          </cell>
          <cell r="C1783" t="str">
            <v>国营</v>
          </cell>
          <cell r="D1783" t="str">
            <v>商贸</v>
          </cell>
          <cell r="E1783" t="str">
            <v>保证贷款</v>
          </cell>
          <cell r="F1783">
            <v>37524</v>
          </cell>
          <cell r="G1783">
            <v>37797</v>
          </cell>
          <cell r="H1783">
            <v>0</v>
          </cell>
          <cell r="I1783">
            <v>100</v>
          </cell>
          <cell r="J1783">
            <v>0</v>
          </cell>
          <cell r="K1783">
            <v>0</v>
          </cell>
          <cell r="L1783">
            <v>100</v>
          </cell>
          <cell r="M1783" t="str">
            <v>营业</v>
          </cell>
        </row>
        <row r="1784">
          <cell r="A1784" t="str">
            <v>02-021</v>
          </cell>
          <cell r="B1784" t="str">
            <v>厦门湄洲进出口</v>
          </cell>
          <cell r="C1784" t="str">
            <v>国营</v>
          </cell>
          <cell r="D1784" t="str">
            <v>商贸</v>
          </cell>
          <cell r="E1784" t="str">
            <v>保证贷款</v>
          </cell>
          <cell r="F1784">
            <v>37358</v>
          </cell>
          <cell r="G1784">
            <v>37633</v>
          </cell>
          <cell r="H1784">
            <v>0</v>
          </cell>
          <cell r="I1784">
            <v>150</v>
          </cell>
          <cell r="J1784">
            <v>0</v>
          </cell>
          <cell r="K1784">
            <v>0</v>
          </cell>
          <cell r="L1784">
            <v>150</v>
          </cell>
          <cell r="M1784" t="str">
            <v>营业</v>
          </cell>
        </row>
        <row r="1785">
          <cell r="A1785" t="str">
            <v>02-074</v>
          </cell>
          <cell r="B1785" t="str">
            <v>厦门湄洲进出口</v>
          </cell>
          <cell r="C1785" t="str">
            <v>国营</v>
          </cell>
          <cell r="D1785" t="str">
            <v>商贸</v>
          </cell>
          <cell r="E1785" t="str">
            <v>保证贷款</v>
          </cell>
          <cell r="F1785">
            <v>37558</v>
          </cell>
          <cell r="G1785">
            <v>37893</v>
          </cell>
          <cell r="H1785">
            <v>200</v>
          </cell>
          <cell r="I1785">
            <v>200</v>
          </cell>
          <cell r="J1785">
            <v>0</v>
          </cell>
          <cell r="K1785">
            <v>0</v>
          </cell>
          <cell r="L1785">
            <v>200</v>
          </cell>
          <cell r="M1785" t="str">
            <v>营业</v>
          </cell>
        </row>
        <row r="1786">
          <cell r="A1786" t="str">
            <v>02/012</v>
          </cell>
          <cell r="B1786" t="str">
            <v>厦门湄洲进出口</v>
          </cell>
          <cell r="C1786" t="str">
            <v>国营</v>
          </cell>
          <cell r="D1786" t="str">
            <v>商贸</v>
          </cell>
          <cell r="E1786" t="str">
            <v>保证贷款</v>
          </cell>
          <cell r="F1786">
            <v>37295</v>
          </cell>
          <cell r="G1786">
            <v>37568</v>
          </cell>
          <cell r="H1786">
            <v>0</v>
          </cell>
          <cell r="I1786">
            <v>250</v>
          </cell>
          <cell r="J1786">
            <v>0</v>
          </cell>
          <cell r="K1786">
            <v>0</v>
          </cell>
          <cell r="L1786">
            <v>250</v>
          </cell>
          <cell r="M1786" t="str">
            <v>营业</v>
          </cell>
        </row>
        <row r="1787">
          <cell r="B1787" t="str">
            <v>厦门湄洲进出口 Total</v>
          </cell>
          <cell r="L1787">
            <v>700</v>
          </cell>
        </row>
        <row r="1788">
          <cell r="A1788" t="str">
            <v>T02055</v>
          </cell>
          <cell r="B1788" t="str">
            <v>厦门美捷隆化工公司</v>
          </cell>
          <cell r="C1788" t="str">
            <v>三资</v>
          </cell>
          <cell r="D1788" t="str">
            <v>工业</v>
          </cell>
          <cell r="E1788" t="str">
            <v>票据贴现</v>
          </cell>
          <cell r="F1788">
            <v>37560</v>
          </cell>
          <cell r="G1788">
            <v>37683</v>
          </cell>
          <cell r="H1788">
            <v>100</v>
          </cell>
          <cell r="I1788">
            <v>100</v>
          </cell>
          <cell r="J1788">
            <v>0</v>
          </cell>
          <cell r="K1788">
            <v>0</v>
          </cell>
          <cell r="L1788">
            <v>100</v>
          </cell>
          <cell r="M1788" t="str">
            <v>同安</v>
          </cell>
        </row>
        <row r="1789">
          <cell r="B1789" t="str">
            <v>厦门美捷隆化工公司 Total</v>
          </cell>
          <cell r="L1789">
            <v>100</v>
          </cell>
        </row>
        <row r="1790">
          <cell r="A1790" t="str">
            <v>020063</v>
          </cell>
          <cell r="B1790" t="str">
            <v>厦门蒙发利垫制品有限</v>
          </cell>
          <cell r="C1790" t="str">
            <v>其它</v>
          </cell>
          <cell r="D1790" t="str">
            <v>工业</v>
          </cell>
          <cell r="E1790" t="str">
            <v>保证贷款</v>
          </cell>
          <cell r="F1790">
            <v>37407</v>
          </cell>
          <cell r="G1790">
            <v>37772</v>
          </cell>
          <cell r="H1790">
            <v>0</v>
          </cell>
          <cell r="I1790">
            <v>100</v>
          </cell>
          <cell r="J1790">
            <v>0</v>
          </cell>
          <cell r="K1790">
            <v>0</v>
          </cell>
          <cell r="L1790">
            <v>100</v>
          </cell>
          <cell r="M1790" t="str">
            <v>东区</v>
          </cell>
        </row>
        <row r="1791">
          <cell r="B1791" t="str">
            <v>厦门蒙发利垫制品有限 Total</v>
          </cell>
          <cell r="L1791">
            <v>100</v>
          </cell>
        </row>
        <row r="1792">
          <cell r="A1792" t="str">
            <v>T02060</v>
          </cell>
          <cell r="B1792" t="str">
            <v>厦门闽光实业发</v>
          </cell>
          <cell r="C1792" t="str">
            <v>集体</v>
          </cell>
          <cell r="D1792" t="str">
            <v>商贸</v>
          </cell>
          <cell r="E1792" t="str">
            <v>票据贴现</v>
          </cell>
          <cell r="F1792">
            <v>37529</v>
          </cell>
          <cell r="G1792">
            <v>37710</v>
          </cell>
          <cell r="H1792">
            <v>0</v>
          </cell>
          <cell r="I1792">
            <v>15</v>
          </cell>
          <cell r="J1792">
            <v>0</v>
          </cell>
          <cell r="K1792">
            <v>0</v>
          </cell>
          <cell r="L1792">
            <v>15</v>
          </cell>
          <cell r="M1792" t="str">
            <v>营业</v>
          </cell>
        </row>
        <row r="1793">
          <cell r="A1793" t="str">
            <v>T02056</v>
          </cell>
          <cell r="B1793" t="str">
            <v>厦门闽光实业发</v>
          </cell>
          <cell r="C1793" t="str">
            <v>集体</v>
          </cell>
          <cell r="D1793" t="str">
            <v>商贸</v>
          </cell>
          <cell r="E1793" t="str">
            <v>票据贴现</v>
          </cell>
          <cell r="F1793">
            <v>37518</v>
          </cell>
          <cell r="G1793">
            <v>37644</v>
          </cell>
          <cell r="H1793">
            <v>0</v>
          </cell>
          <cell r="I1793">
            <v>25.81</v>
          </cell>
          <cell r="J1793">
            <v>0</v>
          </cell>
          <cell r="K1793">
            <v>0</v>
          </cell>
          <cell r="L1793">
            <v>25.81</v>
          </cell>
          <cell r="M1793" t="str">
            <v>营业</v>
          </cell>
        </row>
        <row r="1794">
          <cell r="B1794" t="str">
            <v>厦门闽光实业发 Total</v>
          </cell>
          <cell r="L1794">
            <v>40.81</v>
          </cell>
        </row>
        <row r="1795">
          <cell r="A1795" t="str">
            <v>942076</v>
          </cell>
          <cell r="B1795" t="str">
            <v>厦门闽亿源工贸有限公</v>
          </cell>
          <cell r="C1795" t="str">
            <v>其它</v>
          </cell>
          <cell r="D1795" t="str">
            <v>商贸</v>
          </cell>
          <cell r="E1795" t="str">
            <v>保证贷款</v>
          </cell>
          <cell r="F1795">
            <v>37519</v>
          </cell>
          <cell r="G1795">
            <v>37731</v>
          </cell>
          <cell r="H1795">
            <v>0</v>
          </cell>
          <cell r="I1795">
            <v>100</v>
          </cell>
          <cell r="J1795">
            <v>0</v>
          </cell>
          <cell r="K1795">
            <v>0</v>
          </cell>
          <cell r="L1795">
            <v>100</v>
          </cell>
          <cell r="M1795" t="str">
            <v>莲富</v>
          </cell>
        </row>
        <row r="1796">
          <cell r="B1796" t="str">
            <v>厦门闽亿源工贸有限公 Total</v>
          </cell>
          <cell r="L1796">
            <v>100</v>
          </cell>
        </row>
        <row r="1797">
          <cell r="A1797" t="str">
            <v>20433</v>
          </cell>
          <cell r="B1797" t="str">
            <v>厦门明烽经贸发展公司</v>
          </cell>
          <cell r="C1797" t="str">
            <v>集体</v>
          </cell>
          <cell r="D1797" t="str">
            <v>商贸</v>
          </cell>
          <cell r="E1797" t="str">
            <v>保证贷款</v>
          </cell>
          <cell r="F1797">
            <v>37540</v>
          </cell>
          <cell r="G1797">
            <v>37722</v>
          </cell>
          <cell r="H1797">
            <v>69</v>
          </cell>
          <cell r="I1797">
            <v>69</v>
          </cell>
          <cell r="J1797">
            <v>0</v>
          </cell>
          <cell r="K1797">
            <v>0</v>
          </cell>
          <cell r="L1797">
            <v>69</v>
          </cell>
          <cell r="M1797" t="str">
            <v>江头</v>
          </cell>
        </row>
        <row r="1798">
          <cell r="A1798" t="str">
            <v>20388</v>
          </cell>
          <cell r="B1798" t="str">
            <v>厦门明烽经贸发展公司</v>
          </cell>
          <cell r="C1798" t="str">
            <v>外事</v>
          </cell>
          <cell r="D1798" t="str">
            <v>工业</v>
          </cell>
          <cell r="E1798" t="str">
            <v>保证贷款</v>
          </cell>
          <cell r="F1798">
            <v>37514</v>
          </cell>
          <cell r="G1798">
            <v>37695</v>
          </cell>
          <cell r="H1798">
            <v>0</v>
          </cell>
          <cell r="I1798">
            <v>21</v>
          </cell>
          <cell r="J1798">
            <v>0</v>
          </cell>
          <cell r="K1798">
            <v>0</v>
          </cell>
          <cell r="L1798">
            <v>21</v>
          </cell>
          <cell r="M1798" t="str">
            <v>江头</v>
          </cell>
        </row>
        <row r="1799">
          <cell r="B1799" t="str">
            <v>厦门明烽经贸发展公司 Total</v>
          </cell>
          <cell r="L1799">
            <v>90</v>
          </cell>
        </row>
        <row r="1800">
          <cell r="A1800" t="str">
            <v>0087</v>
          </cell>
          <cell r="B1800" t="str">
            <v>厦门明鹭建设发展有限</v>
          </cell>
          <cell r="C1800" t="str">
            <v>其它</v>
          </cell>
          <cell r="D1800" t="str">
            <v>其它</v>
          </cell>
          <cell r="E1800" t="str">
            <v>抵押贷款</v>
          </cell>
          <cell r="F1800">
            <v>37487</v>
          </cell>
          <cell r="G1800">
            <v>37852</v>
          </cell>
          <cell r="H1800">
            <v>0</v>
          </cell>
          <cell r="I1800">
            <v>1000</v>
          </cell>
          <cell r="J1800">
            <v>0</v>
          </cell>
          <cell r="K1800">
            <v>0</v>
          </cell>
          <cell r="L1800">
            <v>1000</v>
          </cell>
          <cell r="M1800" t="str">
            <v>东芳</v>
          </cell>
        </row>
        <row r="1801">
          <cell r="B1801" t="str">
            <v>厦门明鹭建设发展有限 Total</v>
          </cell>
          <cell r="L1801">
            <v>1000</v>
          </cell>
        </row>
        <row r="1802">
          <cell r="A1802" t="str">
            <v>170021</v>
          </cell>
          <cell r="B1802" t="str">
            <v>厦门明视眼镜有限公司</v>
          </cell>
          <cell r="C1802" t="str">
            <v>其它</v>
          </cell>
          <cell r="D1802" t="str">
            <v>其它</v>
          </cell>
          <cell r="E1802" t="str">
            <v>保证贷款</v>
          </cell>
          <cell r="F1802">
            <v>37374</v>
          </cell>
          <cell r="G1802">
            <v>37739</v>
          </cell>
          <cell r="H1802">
            <v>0</v>
          </cell>
          <cell r="I1802">
            <v>80</v>
          </cell>
          <cell r="J1802">
            <v>0</v>
          </cell>
          <cell r="K1802">
            <v>0</v>
          </cell>
          <cell r="L1802">
            <v>80</v>
          </cell>
          <cell r="M1802" t="str">
            <v>厦禾</v>
          </cell>
        </row>
        <row r="1803">
          <cell r="B1803" t="str">
            <v>厦门明视眼镜有限公司 Total</v>
          </cell>
          <cell r="L1803">
            <v>80</v>
          </cell>
        </row>
        <row r="1804">
          <cell r="A1804" t="str">
            <v>02-033</v>
          </cell>
          <cell r="B1804" t="str">
            <v>厦门明舜贸易有</v>
          </cell>
          <cell r="C1804" t="str">
            <v>集体</v>
          </cell>
          <cell r="D1804" t="str">
            <v>商贸</v>
          </cell>
          <cell r="E1804" t="str">
            <v>保证贷款</v>
          </cell>
          <cell r="F1804">
            <v>37420</v>
          </cell>
          <cell r="G1804">
            <v>37665</v>
          </cell>
          <cell r="H1804">
            <v>0</v>
          </cell>
          <cell r="I1804">
            <v>600</v>
          </cell>
          <cell r="J1804">
            <v>0</v>
          </cell>
          <cell r="K1804">
            <v>0</v>
          </cell>
          <cell r="L1804">
            <v>600</v>
          </cell>
          <cell r="M1804" t="str">
            <v>营业</v>
          </cell>
        </row>
        <row r="1805">
          <cell r="B1805" t="str">
            <v>厦门明舜贸易有 Total</v>
          </cell>
          <cell r="L1805">
            <v>600</v>
          </cell>
        </row>
        <row r="1806">
          <cell r="A1806" t="str">
            <v>300166</v>
          </cell>
          <cell r="B1806" t="str">
            <v>厦门南燕进出口有限公</v>
          </cell>
          <cell r="C1806" t="str">
            <v>国营</v>
          </cell>
          <cell r="D1806" t="str">
            <v>商贸</v>
          </cell>
          <cell r="E1806" t="str">
            <v>保证贷款</v>
          </cell>
          <cell r="F1806">
            <v>37503</v>
          </cell>
          <cell r="G1806">
            <v>37684</v>
          </cell>
          <cell r="H1806">
            <v>0</v>
          </cell>
          <cell r="I1806">
            <v>11.4</v>
          </cell>
          <cell r="J1806">
            <v>0</v>
          </cell>
          <cell r="K1806">
            <v>0</v>
          </cell>
          <cell r="L1806">
            <v>11.4</v>
          </cell>
          <cell r="M1806" t="str">
            <v>鹭江</v>
          </cell>
        </row>
        <row r="1807">
          <cell r="A1807" t="str">
            <v>300195</v>
          </cell>
          <cell r="B1807" t="str">
            <v>厦门南燕进出口有限公</v>
          </cell>
          <cell r="C1807" t="str">
            <v>国营</v>
          </cell>
          <cell r="D1807" t="str">
            <v>商贸</v>
          </cell>
          <cell r="E1807" t="str">
            <v>票据贴现</v>
          </cell>
          <cell r="F1807">
            <v>37554</v>
          </cell>
          <cell r="G1807">
            <v>37616</v>
          </cell>
          <cell r="H1807">
            <v>50</v>
          </cell>
          <cell r="I1807">
            <v>50</v>
          </cell>
          <cell r="J1807">
            <v>0</v>
          </cell>
          <cell r="K1807">
            <v>0</v>
          </cell>
          <cell r="L1807">
            <v>50</v>
          </cell>
          <cell r="M1807" t="str">
            <v>鹭江</v>
          </cell>
        </row>
        <row r="1808">
          <cell r="A1808" t="str">
            <v>300130</v>
          </cell>
          <cell r="B1808" t="str">
            <v>厦门南燕进出口有限公</v>
          </cell>
          <cell r="C1808" t="str">
            <v>国营</v>
          </cell>
          <cell r="D1808" t="str">
            <v>商贸</v>
          </cell>
          <cell r="E1808" t="str">
            <v>保证贷款</v>
          </cell>
          <cell r="F1808">
            <v>37411</v>
          </cell>
          <cell r="G1808">
            <v>37594</v>
          </cell>
          <cell r="H1808">
            <v>0</v>
          </cell>
          <cell r="I1808">
            <v>68</v>
          </cell>
          <cell r="J1808">
            <v>0</v>
          </cell>
          <cell r="K1808">
            <v>0</v>
          </cell>
          <cell r="L1808">
            <v>68</v>
          </cell>
          <cell r="M1808" t="str">
            <v>鹭江</v>
          </cell>
        </row>
        <row r="1809">
          <cell r="A1809" t="str">
            <v>300192</v>
          </cell>
          <cell r="B1809" t="str">
            <v>厦门南燕进出口有限公</v>
          </cell>
          <cell r="C1809" t="str">
            <v>国营</v>
          </cell>
          <cell r="D1809" t="str">
            <v>商贸</v>
          </cell>
          <cell r="E1809" t="str">
            <v>保证贷款</v>
          </cell>
          <cell r="F1809">
            <v>37559</v>
          </cell>
          <cell r="G1809">
            <v>37741</v>
          </cell>
          <cell r="H1809">
            <v>71.67</v>
          </cell>
          <cell r="I1809">
            <v>71.67</v>
          </cell>
          <cell r="J1809">
            <v>0</v>
          </cell>
          <cell r="K1809">
            <v>0</v>
          </cell>
          <cell r="L1809">
            <v>71.67</v>
          </cell>
          <cell r="M1809" t="str">
            <v>鹭江</v>
          </cell>
        </row>
        <row r="1810">
          <cell r="B1810" t="str">
            <v>厦门南燕进出口有限公 Total</v>
          </cell>
          <cell r="L1810">
            <v>201.07</v>
          </cell>
        </row>
        <row r="1811">
          <cell r="A1811" t="str">
            <v>942069</v>
          </cell>
          <cell r="B1811" t="str">
            <v>厦门能群房地产开发有</v>
          </cell>
          <cell r="C1811" t="str">
            <v>三资</v>
          </cell>
          <cell r="D1811" t="str">
            <v>其它</v>
          </cell>
          <cell r="E1811" t="str">
            <v>抵押贷款</v>
          </cell>
          <cell r="F1811">
            <v>37498</v>
          </cell>
          <cell r="G1811">
            <v>37863</v>
          </cell>
          <cell r="H1811">
            <v>0</v>
          </cell>
          <cell r="I1811">
            <v>500</v>
          </cell>
          <cell r="J1811">
            <v>0</v>
          </cell>
          <cell r="K1811">
            <v>0</v>
          </cell>
          <cell r="L1811">
            <v>500</v>
          </cell>
          <cell r="M1811" t="str">
            <v>莲富</v>
          </cell>
        </row>
        <row r="1812">
          <cell r="A1812" t="str">
            <v>942090</v>
          </cell>
          <cell r="B1812" t="str">
            <v>厦门能群房地产开发有</v>
          </cell>
          <cell r="C1812" t="str">
            <v>三资</v>
          </cell>
          <cell r="D1812" t="str">
            <v>其它</v>
          </cell>
          <cell r="E1812" t="str">
            <v>抵押贷款</v>
          </cell>
          <cell r="F1812">
            <v>37545</v>
          </cell>
          <cell r="G1812">
            <v>37863</v>
          </cell>
          <cell r="H1812">
            <v>1000</v>
          </cell>
          <cell r="I1812">
            <v>1000</v>
          </cell>
          <cell r="J1812">
            <v>0</v>
          </cell>
          <cell r="K1812">
            <v>0</v>
          </cell>
          <cell r="L1812">
            <v>1000</v>
          </cell>
          <cell r="M1812" t="str">
            <v>莲富</v>
          </cell>
        </row>
        <row r="1813">
          <cell r="B1813" t="str">
            <v>厦门能群房地产开发有 Total</v>
          </cell>
          <cell r="L1813">
            <v>1500</v>
          </cell>
        </row>
        <row r="1814">
          <cell r="A1814" t="str">
            <v>20003h</v>
          </cell>
          <cell r="B1814" t="str">
            <v>厦门鹏达贸易有限公司</v>
          </cell>
          <cell r="C1814" t="str">
            <v>国营</v>
          </cell>
          <cell r="D1814" t="str">
            <v>其它</v>
          </cell>
          <cell r="E1814" t="str">
            <v>保证贷款</v>
          </cell>
          <cell r="F1814">
            <v>34848</v>
          </cell>
          <cell r="G1814">
            <v>35123</v>
          </cell>
          <cell r="H1814">
            <v>0</v>
          </cell>
          <cell r="I1814">
            <v>0</v>
          </cell>
          <cell r="J1814">
            <v>0</v>
          </cell>
          <cell r="K1814">
            <v>0</v>
          </cell>
          <cell r="L1814">
            <v>61.81</v>
          </cell>
          <cell r="M1814" t="str">
            <v>公园</v>
          </cell>
        </row>
        <row r="1815">
          <cell r="B1815" t="str">
            <v>厦门鹏达贸易有限公司 Total</v>
          </cell>
          <cell r="L1815">
            <v>61.81</v>
          </cell>
        </row>
        <row r="1816">
          <cell r="A1816" t="str">
            <v>973301</v>
          </cell>
          <cell r="B1816" t="str">
            <v>厦门普益房地产公司</v>
          </cell>
          <cell r="C1816" t="str">
            <v>三资</v>
          </cell>
          <cell r="D1816" t="str">
            <v>其它</v>
          </cell>
          <cell r="E1816" t="str">
            <v>抵押贷款</v>
          </cell>
          <cell r="F1816">
            <v>35609</v>
          </cell>
          <cell r="G1816">
            <v>35913</v>
          </cell>
          <cell r="H1816">
            <v>0</v>
          </cell>
          <cell r="I1816">
            <v>0</v>
          </cell>
          <cell r="J1816">
            <v>0</v>
          </cell>
          <cell r="K1816">
            <v>0</v>
          </cell>
          <cell r="L1816">
            <v>450</v>
          </cell>
          <cell r="M1816" t="str">
            <v>杏林</v>
          </cell>
        </row>
        <row r="1817">
          <cell r="B1817" t="str">
            <v>厦门普益房地产公司 Total</v>
          </cell>
          <cell r="L1817">
            <v>450</v>
          </cell>
        </row>
        <row r="1818">
          <cell r="A1818" t="str">
            <v>02-040</v>
          </cell>
          <cell r="B1818" t="str">
            <v>厦门仁诚进出口</v>
          </cell>
          <cell r="C1818" t="str">
            <v>国营</v>
          </cell>
          <cell r="D1818" t="str">
            <v>商贸</v>
          </cell>
          <cell r="E1818" t="str">
            <v>保证贷款</v>
          </cell>
          <cell r="F1818">
            <v>37445</v>
          </cell>
          <cell r="G1818">
            <v>37628</v>
          </cell>
          <cell r="H1818">
            <v>0</v>
          </cell>
          <cell r="I1818">
            <v>69</v>
          </cell>
          <cell r="J1818">
            <v>0</v>
          </cell>
          <cell r="K1818">
            <v>57.97</v>
          </cell>
          <cell r="L1818">
            <v>11.03</v>
          </cell>
          <cell r="M1818" t="str">
            <v>营业</v>
          </cell>
        </row>
        <row r="1819">
          <cell r="A1819" t="str">
            <v>02-066</v>
          </cell>
          <cell r="B1819" t="str">
            <v>厦门仁诚进出口</v>
          </cell>
          <cell r="C1819" t="str">
            <v>国营</v>
          </cell>
          <cell r="D1819" t="str">
            <v>商贸</v>
          </cell>
          <cell r="E1819" t="str">
            <v>保证贷款</v>
          </cell>
          <cell r="F1819">
            <v>37529</v>
          </cell>
          <cell r="G1819">
            <v>37894</v>
          </cell>
          <cell r="H1819">
            <v>0</v>
          </cell>
          <cell r="I1819">
            <v>35</v>
          </cell>
          <cell r="J1819">
            <v>0</v>
          </cell>
          <cell r="K1819">
            <v>0</v>
          </cell>
          <cell r="L1819">
            <v>35</v>
          </cell>
          <cell r="M1819" t="str">
            <v>营业</v>
          </cell>
        </row>
        <row r="1820">
          <cell r="A1820" t="str">
            <v>02-072</v>
          </cell>
          <cell r="B1820" t="str">
            <v>厦门仁诚进出口</v>
          </cell>
          <cell r="C1820" t="str">
            <v>国营</v>
          </cell>
          <cell r="D1820" t="str">
            <v>商贸</v>
          </cell>
          <cell r="E1820" t="str">
            <v>保证贷款</v>
          </cell>
          <cell r="F1820">
            <v>37547</v>
          </cell>
          <cell r="G1820">
            <v>37912</v>
          </cell>
          <cell r="H1820">
            <v>46</v>
          </cell>
          <cell r="I1820">
            <v>46</v>
          </cell>
          <cell r="J1820">
            <v>0</v>
          </cell>
          <cell r="K1820">
            <v>0</v>
          </cell>
          <cell r="L1820">
            <v>46</v>
          </cell>
          <cell r="M1820" t="str">
            <v>营业</v>
          </cell>
        </row>
        <row r="1821">
          <cell r="A1821" t="str">
            <v>02-042</v>
          </cell>
          <cell r="B1821" t="str">
            <v>厦门仁诚进出口</v>
          </cell>
          <cell r="C1821" t="str">
            <v>国营</v>
          </cell>
          <cell r="D1821" t="str">
            <v>商贸</v>
          </cell>
          <cell r="E1821" t="str">
            <v>保证贷款</v>
          </cell>
          <cell r="F1821">
            <v>37453</v>
          </cell>
          <cell r="G1821">
            <v>37818</v>
          </cell>
          <cell r="H1821">
            <v>0</v>
          </cell>
          <cell r="I1821">
            <v>61</v>
          </cell>
          <cell r="J1821">
            <v>0</v>
          </cell>
          <cell r="K1821">
            <v>0</v>
          </cell>
          <cell r="L1821">
            <v>61</v>
          </cell>
          <cell r="M1821" t="str">
            <v>营业</v>
          </cell>
        </row>
        <row r="1822">
          <cell r="A1822" t="str">
            <v>02-016</v>
          </cell>
          <cell r="B1822" t="str">
            <v>厦门仁诚进出口</v>
          </cell>
          <cell r="C1822" t="str">
            <v>国营</v>
          </cell>
          <cell r="D1822" t="str">
            <v>商贸</v>
          </cell>
          <cell r="E1822" t="str">
            <v>保证贷款</v>
          </cell>
          <cell r="F1822">
            <v>37337</v>
          </cell>
          <cell r="G1822">
            <v>37582</v>
          </cell>
          <cell r="H1822">
            <v>0</v>
          </cell>
          <cell r="I1822">
            <v>100</v>
          </cell>
          <cell r="J1822">
            <v>0</v>
          </cell>
          <cell r="K1822">
            <v>0</v>
          </cell>
          <cell r="L1822">
            <v>100</v>
          </cell>
          <cell r="M1822" t="str">
            <v>营业</v>
          </cell>
        </row>
        <row r="1823">
          <cell r="A1823" t="str">
            <v>02-018</v>
          </cell>
          <cell r="B1823" t="str">
            <v>厦门仁诚进出口</v>
          </cell>
          <cell r="C1823" t="str">
            <v>国营</v>
          </cell>
          <cell r="D1823" t="str">
            <v>商贸</v>
          </cell>
          <cell r="E1823" t="str">
            <v>保证贷款</v>
          </cell>
          <cell r="F1823">
            <v>37349</v>
          </cell>
          <cell r="G1823">
            <v>37593</v>
          </cell>
          <cell r="H1823">
            <v>0</v>
          </cell>
          <cell r="I1823">
            <v>100</v>
          </cell>
          <cell r="J1823">
            <v>0</v>
          </cell>
          <cell r="K1823">
            <v>0</v>
          </cell>
          <cell r="L1823">
            <v>100</v>
          </cell>
          <cell r="M1823" t="str">
            <v>营业</v>
          </cell>
        </row>
        <row r="1824">
          <cell r="A1824" t="str">
            <v>02-073</v>
          </cell>
          <cell r="B1824" t="str">
            <v>厦门仁诚进出口</v>
          </cell>
          <cell r="C1824" t="str">
            <v>国营</v>
          </cell>
          <cell r="D1824" t="str">
            <v>商贸</v>
          </cell>
          <cell r="E1824" t="str">
            <v>保证贷款</v>
          </cell>
          <cell r="F1824">
            <v>37547</v>
          </cell>
          <cell r="G1824">
            <v>37790</v>
          </cell>
          <cell r="H1824">
            <v>100</v>
          </cell>
          <cell r="I1824">
            <v>100</v>
          </cell>
          <cell r="J1824">
            <v>0</v>
          </cell>
          <cell r="K1824">
            <v>0</v>
          </cell>
          <cell r="L1824">
            <v>100</v>
          </cell>
          <cell r="M1824" t="str">
            <v>营业</v>
          </cell>
        </row>
        <row r="1825">
          <cell r="A1825" t="str">
            <v>02-071</v>
          </cell>
          <cell r="B1825" t="str">
            <v>厦门仁诚进出口</v>
          </cell>
          <cell r="C1825" t="str">
            <v>集体</v>
          </cell>
          <cell r="D1825" t="str">
            <v>商贸</v>
          </cell>
          <cell r="E1825" t="str">
            <v>保证贷款</v>
          </cell>
          <cell r="F1825">
            <v>37543</v>
          </cell>
          <cell r="G1825">
            <v>37908</v>
          </cell>
          <cell r="H1825">
            <v>24</v>
          </cell>
          <cell r="I1825">
            <v>24</v>
          </cell>
          <cell r="J1825">
            <v>0</v>
          </cell>
          <cell r="K1825">
            <v>0</v>
          </cell>
          <cell r="L1825">
            <v>24</v>
          </cell>
          <cell r="M1825" t="str">
            <v>营业</v>
          </cell>
        </row>
        <row r="1826">
          <cell r="B1826" t="str">
            <v>厦门仁诚进出口 Total</v>
          </cell>
          <cell r="L1826">
            <v>477.03</v>
          </cell>
        </row>
        <row r="1827">
          <cell r="A1827" t="str">
            <v>T02066</v>
          </cell>
          <cell r="B1827" t="str">
            <v>厦门仁祥贸易有</v>
          </cell>
          <cell r="C1827" t="str">
            <v>集体</v>
          </cell>
          <cell r="D1827" t="str">
            <v>商贸</v>
          </cell>
          <cell r="E1827" t="str">
            <v>票据贴现</v>
          </cell>
          <cell r="F1827">
            <v>37549</v>
          </cell>
          <cell r="G1827">
            <v>37680</v>
          </cell>
          <cell r="H1827">
            <v>50</v>
          </cell>
          <cell r="I1827">
            <v>50</v>
          </cell>
          <cell r="J1827">
            <v>0</v>
          </cell>
          <cell r="K1827">
            <v>0</v>
          </cell>
          <cell r="L1827">
            <v>50</v>
          </cell>
          <cell r="M1827" t="str">
            <v>营业</v>
          </cell>
        </row>
        <row r="1828">
          <cell r="A1828" t="str">
            <v>02-043</v>
          </cell>
          <cell r="B1828" t="str">
            <v>厦门仁祥贸易有</v>
          </cell>
          <cell r="C1828" t="str">
            <v>集体</v>
          </cell>
          <cell r="D1828" t="str">
            <v>商贸</v>
          </cell>
          <cell r="E1828" t="str">
            <v>保证贷款</v>
          </cell>
          <cell r="F1828">
            <v>37454</v>
          </cell>
          <cell r="G1828">
            <v>37819</v>
          </cell>
          <cell r="H1828">
            <v>0</v>
          </cell>
          <cell r="I1828">
            <v>30</v>
          </cell>
          <cell r="J1828">
            <v>0</v>
          </cell>
          <cell r="K1828">
            <v>0</v>
          </cell>
          <cell r="L1828">
            <v>30</v>
          </cell>
          <cell r="M1828" t="str">
            <v>营业</v>
          </cell>
        </row>
        <row r="1829">
          <cell r="A1829" t="str">
            <v>T02042</v>
          </cell>
          <cell r="B1829" t="str">
            <v>厦门仁祥贸易有</v>
          </cell>
          <cell r="C1829" t="str">
            <v>集体</v>
          </cell>
          <cell r="D1829" t="str">
            <v>商贸</v>
          </cell>
          <cell r="E1829" t="str">
            <v>票据贴现</v>
          </cell>
          <cell r="F1829">
            <v>37434</v>
          </cell>
          <cell r="G1829">
            <v>37617</v>
          </cell>
          <cell r="H1829">
            <v>0</v>
          </cell>
          <cell r="I1829">
            <v>35.29</v>
          </cell>
          <cell r="J1829">
            <v>0</v>
          </cell>
          <cell r="K1829">
            <v>0</v>
          </cell>
          <cell r="L1829">
            <v>35.29</v>
          </cell>
          <cell r="M1829" t="str">
            <v>营业</v>
          </cell>
        </row>
        <row r="1830">
          <cell r="A1830" t="str">
            <v>T02051</v>
          </cell>
          <cell r="B1830" t="str">
            <v>厦门仁祥贸易有</v>
          </cell>
          <cell r="C1830" t="str">
            <v>集体</v>
          </cell>
          <cell r="D1830" t="str">
            <v>商贸</v>
          </cell>
          <cell r="E1830" t="str">
            <v>票据贴现</v>
          </cell>
          <cell r="F1830">
            <v>37464</v>
          </cell>
          <cell r="G1830">
            <v>37578</v>
          </cell>
          <cell r="H1830">
            <v>0</v>
          </cell>
          <cell r="I1830">
            <v>40</v>
          </cell>
          <cell r="J1830">
            <v>0</v>
          </cell>
          <cell r="K1830">
            <v>0</v>
          </cell>
          <cell r="L1830">
            <v>40</v>
          </cell>
          <cell r="M1830" t="str">
            <v>营业</v>
          </cell>
        </row>
        <row r="1831">
          <cell r="A1831" t="str">
            <v>T02036</v>
          </cell>
          <cell r="B1831" t="str">
            <v>厦门仁祥贸易有</v>
          </cell>
          <cell r="C1831" t="str">
            <v>集体</v>
          </cell>
          <cell r="D1831" t="str">
            <v>商贸</v>
          </cell>
          <cell r="E1831" t="str">
            <v>票据贴现</v>
          </cell>
          <cell r="F1831">
            <v>37412</v>
          </cell>
          <cell r="G1831">
            <v>37595</v>
          </cell>
          <cell r="H1831">
            <v>0</v>
          </cell>
          <cell r="I1831">
            <v>41.36</v>
          </cell>
          <cell r="J1831">
            <v>0</v>
          </cell>
          <cell r="K1831">
            <v>0</v>
          </cell>
          <cell r="L1831">
            <v>41.36</v>
          </cell>
          <cell r="M1831" t="str">
            <v>营业</v>
          </cell>
        </row>
        <row r="1832">
          <cell r="A1832" t="str">
            <v>T02055</v>
          </cell>
          <cell r="B1832" t="str">
            <v>厦门仁祥贸易有</v>
          </cell>
          <cell r="C1832" t="str">
            <v>集体</v>
          </cell>
          <cell r="D1832" t="str">
            <v>商贸</v>
          </cell>
          <cell r="E1832" t="str">
            <v>票据贴现</v>
          </cell>
          <cell r="F1832">
            <v>37517</v>
          </cell>
          <cell r="G1832">
            <v>37639</v>
          </cell>
          <cell r="H1832">
            <v>0</v>
          </cell>
          <cell r="I1832">
            <v>50</v>
          </cell>
          <cell r="J1832">
            <v>0</v>
          </cell>
          <cell r="K1832">
            <v>0</v>
          </cell>
          <cell r="L1832">
            <v>50</v>
          </cell>
          <cell r="M1832" t="str">
            <v>营业</v>
          </cell>
        </row>
        <row r="1833">
          <cell r="A1833" t="str">
            <v>T02057</v>
          </cell>
          <cell r="B1833" t="str">
            <v>厦门仁祥贸易有</v>
          </cell>
          <cell r="C1833" t="str">
            <v>集体</v>
          </cell>
          <cell r="D1833" t="str">
            <v>商贸</v>
          </cell>
          <cell r="E1833" t="str">
            <v>票据贴现</v>
          </cell>
          <cell r="F1833">
            <v>37519</v>
          </cell>
          <cell r="G1833">
            <v>37700</v>
          </cell>
          <cell r="H1833">
            <v>0</v>
          </cell>
          <cell r="I1833">
            <v>68.42</v>
          </cell>
          <cell r="J1833">
            <v>0</v>
          </cell>
          <cell r="K1833">
            <v>0</v>
          </cell>
          <cell r="L1833">
            <v>68.42</v>
          </cell>
          <cell r="M1833" t="str">
            <v>营业</v>
          </cell>
        </row>
        <row r="1834">
          <cell r="B1834" t="str">
            <v>厦门仁祥贸易有 Total</v>
          </cell>
          <cell r="L1834">
            <v>315.07</v>
          </cell>
        </row>
        <row r="1835">
          <cell r="A1835" t="str">
            <v>0065</v>
          </cell>
          <cell r="B1835" t="str">
            <v>厦门荣利达商贸发展有</v>
          </cell>
          <cell r="C1835" t="str">
            <v>其它</v>
          </cell>
          <cell r="D1835" t="str">
            <v>其它</v>
          </cell>
          <cell r="E1835" t="str">
            <v>抵押贷款</v>
          </cell>
          <cell r="F1835">
            <v>37406</v>
          </cell>
          <cell r="G1835">
            <v>38070</v>
          </cell>
          <cell r="H1835">
            <v>0</v>
          </cell>
          <cell r="I1835">
            <v>15.2</v>
          </cell>
          <cell r="J1835">
            <v>0.67</v>
          </cell>
          <cell r="K1835">
            <v>3.32</v>
          </cell>
          <cell r="L1835">
            <v>11.88</v>
          </cell>
          <cell r="M1835" t="str">
            <v>东芳</v>
          </cell>
        </row>
        <row r="1836">
          <cell r="A1836" t="str">
            <v>0059</v>
          </cell>
          <cell r="B1836" t="str">
            <v>厦门荣利达商贸发展有</v>
          </cell>
          <cell r="C1836" t="str">
            <v>其它</v>
          </cell>
          <cell r="D1836" t="str">
            <v>其它</v>
          </cell>
          <cell r="E1836" t="str">
            <v>抵押贷款</v>
          </cell>
          <cell r="F1836">
            <v>37406</v>
          </cell>
          <cell r="G1836">
            <v>38070</v>
          </cell>
          <cell r="H1836">
            <v>0</v>
          </cell>
          <cell r="I1836">
            <v>15.6</v>
          </cell>
          <cell r="J1836">
            <v>0.69</v>
          </cell>
          <cell r="K1836">
            <v>3.41</v>
          </cell>
          <cell r="L1836">
            <v>12.19</v>
          </cell>
          <cell r="M1836" t="str">
            <v>东芳</v>
          </cell>
        </row>
        <row r="1837">
          <cell r="A1837" t="str">
            <v>0058</v>
          </cell>
          <cell r="B1837" t="str">
            <v>厦门荣利达商贸发展有</v>
          </cell>
          <cell r="C1837" t="str">
            <v>其它</v>
          </cell>
          <cell r="D1837" t="str">
            <v>其它</v>
          </cell>
          <cell r="E1837" t="str">
            <v>抵押贷款</v>
          </cell>
          <cell r="F1837">
            <v>37406</v>
          </cell>
          <cell r="G1837">
            <v>38070</v>
          </cell>
          <cell r="H1837">
            <v>0</v>
          </cell>
          <cell r="I1837">
            <v>16.5</v>
          </cell>
          <cell r="J1837">
            <v>0.73</v>
          </cell>
          <cell r="K1837">
            <v>3.61</v>
          </cell>
          <cell r="L1837">
            <v>12.89</v>
          </cell>
          <cell r="M1837" t="str">
            <v>东芳</v>
          </cell>
        </row>
        <row r="1838">
          <cell r="A1838" t="str">
            <v>0029</v>
          </cell>
          <cell r="B1838" t="str">
            <v>厦门荣利达商贸发展有</v>
          </cell>
          <cell r="C1838" t="str">
            <v>其它</v>
          </cell>
          <cell r="D1838" t="str">
            <v>其它</v>
          </cell>
          <cell r="E1838" t="str">
            <v>抵押贷款</v>
          </cell>
          <cell r="F1838">
            <v>37291</v>
          </cell>
          <cell r="G1838">
            <v>37573</v>
          </cell>
          <cell r="H1838">
            <v>0</v>
          </cell>
          <cell r="I1838">
            <v>32.32</v>
          </cell>
          <cell r="J1838">
            <v>1.52</v>
          </cell>
          <cell r="K1838">
            <v>11.92</v>
          </cell>
          <cell r="L1838">
            <v>20.399999999999999</v>
          </cell>
          <cell r="M1838" t="str">
            <v>东芳</v>
          </cell>
        </row>
        <row r="1839">
          <cell r="A1839" t="str">
            <v>0022</v>
          </cell>
          <cell r="B1839" t="str">
            <v>厦门荣利达商贸发展有</v>
          </cell>
          <cell r="C1839" t="str">
            <v>其它</v>
          </cell>
          <cell r="D1839" t="str">
            <v>其它</v>
          </cell>
          <cell r="E1839" t="str">
            <v>抵押贷款</v>
          </cell>
          <cell r="F1839">
            <v>37281</v>
          </cell>
          <cell r="G1839">
            <v>37941</v>
          </cell>
          <cell r="H1839">
            <v>0</v>
          </cell>
          <cell r="I1839">
            <v>45.85</v>
          </cell>
          <cell r="J1839">
            <v>1.18</v>
          </cell>
          <cell r="K1839">
            <v>14.25</v>
          </cell>
          <cell r="L1839">
            <v>31.6</v>
          </cell>
          <cell r="M1839" t="str">
            <v>东芳</v>
          </cell>
        </row>
        <row r="1840">
          <cell r="B1840" t="str">
            <v>厦门荣利达商贸发展有 Total</v>
          </cell>
          <cell r="L1840">
            <v>88.960000000000008</v>
          </cell>
        </row>
        <row r="1841">
          <cell r="A1841" t="str">
            <v>020173</v>
          </cell>
          <cell r="B1841" t="str">
            <v>厦门三安电子有限公司</v>
          </cell>
          <cell r="C1841" t="str">
            <v>集体</v>
          </cell>
          <cell r="D1841" t="str">
            <v>工业</v>
          </cell>
          <cell r="E1841" t="str">
            <v>抵押贷款</v>
          </cell>
          <cell r="F1841">
            <v>37498</v>
          </cell>
          <cell r="G1841">
            <v>38895</v>
          </cell>
          <cell r="H1841">
            <v>0</v>
          </cell>
          <cell r="I1841">
            <v>1725</v>
          </cell>
          <cell r="J1841">
            <v>0</v>
          </cell>
          <cell r="K1841">
            <v>0</v>
          </cell>
          <cell r="L1841">
            <v>1725</v>
          </cell>
          <cell r="M1841" t="str">
            <v>东区</v>
          </cell>
        </row>
        <row r="1842">
          <cell r="A1842" t="str">
            <v>020157</v>
          </cell>
          <cell r="B1842" t="str">
            <v>厦门三安电子有限公司</v>
          </cell>
          <cell r="C1842" t="str">
            <v>集体</v>
          </cell>
          <cell r="D1842" t="str">
            <v>工业</v>
          </cell>
          <cell r="E1842" t="str">
            <v>抵押贷款</v>
          </cell>
          <cell r="F1842">
            <v>37442</v>
          </cell>
          <cell r="G1842">
            <v>38896</v>
          </cell>
          <cell r="H1842">
            <v>0</v>
          </cell>
          <cell r="I1842">
            <v>2390</v>
          </cell>
          <cell r="J1842">
            <v>0</v>
          </cell>
          <cell r="K1842">
            <v>0</v>
          </cell>
          <cell r="L1842">
            <v>2390</v>
          </cell>
          <cell r="M1842" t="str">
            <v>东区</v>
          </cell>
        </row>
        <row r="1843">
          <cell r="B1843" t="str">
            <v>厦门三安电子有限公司 Total</v>
          </cell>
          <cell r="L1843">
            <v>4115</v>
          </cell>
        </row>
        <row r="1844">
          <cell r="A1844" t="str">
            <v>02-069</v>
          </cell>
          <cell r="B1844" t="str">
            <v>厦门三超实业有</v>
          </cell>
          <cell r="C1844" t="str">
            <v>集体</v>
          </cell>
          <cell r="D1844" t="str">
            <v>商贸</v>
          </cell>
          <cell r="E1844" t="str">
            <v>质押贷款</v>
          </cell>
          <cell r="F1844">
            <v>37540</v>
          </cell>
          <cell r="G1844">
            <v>37722</v>
          </cell>
          <cell r="H1844">
            <v>80</v>
          </cell>
          <cell r="I1844">
            <v>80</v>
          </cell>
          <cell r="J1844">
            <v>0</v>
          </cell>
          <cell r="K1844">
            <v>0</v>
          </cell>
          <cell r="L1844">
            <v>80</v>
          </cell>
          <cell r="M1844" t="str">
            <v>营业</v>
          </cell>
        </row>
        <row r="1845">
          <cell r="A1845" t="str">
            <v>T02039</v>
          </cell>
          <cell r="B1845" t="str">
            <v>厦门三超实业有</v>
          </cell>
          <cell r="C1845" t="str">
            <v>集体</v>
          </cell>
          <cell r="D1845" t="str">
            <v>商贸</v>
          </cell>
          <cell r="E1845" t="str">
            <v>票据贴现</v>
          </cell>
          <cell r="F1845">
            <v>37421</v>
          </cell>
          <cell r="G1845">
            <v>37578</v>
          </cell>
          <cell r="H1845">
            <v>0</v>
          </cell>
          <cell r="I1845">
            <v>20</v>
          </cell>
          <cell r="J1845">
            <v>0</v>
          </cell>
          <cell r="K1845">
            <v>0</v>
          </cell>
          <cell r="L1845">
            <v>20</v>
          </cell>
          <cell r="M1845" t="str">
            <v>营业</v>
          </cell>
        </row>
        <row r="1846">
          <cell r="B1846" t="str">
            <v>厦门三超实业有 Total</v>
          </cell>
          <cell r="L1846">
            <v>100</v>
          </cell>
        </row>
        <row r="1847">
          <cell r="A1847" t="str">
            <v>300168</v>
          </cell>
          <cell r="B1847" t="str">
            <v>厦门三德盛实业有限公</v>
          </cell>
          <cell r="C1847" t="str">
            <v>三资</v>
          </cell>
          <cell r="D1847" t="str">
            <v>商贸</v>
          </cell>
          <cell r="E1847" t="str">
            <v>保证贷款</v>
          </cell>
          <cell r="F1847">
            <v>37512</v>
          </cell>
          <cell r="G1847">
            <v>37693</v>
          </cell>
          <cell r="H1847">
            <v>0</v>
          </cell>
          <cell r="I1847">
            <v>200</v>
          </cell>
          <cell r="J1847">
            <v>0</v>
          </cell>
          <cell r="K1847">
            <v>0</v>
          </cell>
          <cell r="L1847">
            <v>200</v>
          </cell>
          <cell r="M1847" t="str">
            <v>鹭江</v>
          </cell>
        </row>
        <row r="1848">
          <cell r="B1848" t="str">
            <v>厦门三德盛实业有限公 Total</v>
          </cell>
          <cell r="L1848">
            <v>200</v>
          </cell>
        </row>
        <row r="1849">
          <cell r="A1849" t="str">
            <v>020082</v>
          </cell>
          <cell r="B1849" t="str">
            <v>厦门三九进出口有限公</v>
          </cell>
          <cell r="C1849" t="str">
            <v>外事</v>
          </cell>
          <cell r="D1849" t="str">
            <v>商贸</v>
          </cell>
          <cell r="E1849" t="str">
            <v>抵押贷款</v>
          </cell>
          <cell r="F1849">
            <v>37441</v>
          </cell>
          <cell r="G1849">
            <v>37806</v>
          </cell>
          <cell r="H1849">
            <v>0</v>
          </cell>
          <cell r="I1849">
            <v>70</v>
          </cell>
          <cell r="J1849">
            <v>0</v>
          </cell>
          <cell r="K1849">
            <v>0</v>
          </cell>
          <cell r="L1849">
            <v>70</v>
          </cell>
          <cell r="M1849" t="str">
            <v>东区</v>
          </cell>
        </row>
        <row r="1850">
          <cell r="A1850" t="str">
            <v>020080</v>
          </cell>
          <cell r="B1850" t="str">
            <v>厦门三九进出口有限公</v>
          </cell>
          <cell r="C1850" t="str">
            <v>外事</v>
          </cell>
          <cell r="D1850" t="str">
            <v>商贸</v>
          </cell>
          <cell r="E1850" t="str">
            <v>抵押贷款</v>
          </cell>
          <cell r="F1850">
            <v>37439</v>
          </cell>
          <cell r="G1850">
            <v>37804</v>
          </cell>
          <cell r="H1850">
            <v>0</v>
          </cell>
          <cell r="I1850">
            <v>100</v>
          </cell>
          <cell r="J1850">
            <v>0</v>
          </cell>
          <cell r="K1850">
            <v>0</v>
          </cell>
          <cell r="L1850">
            <v>100</v>
          </cell>
          <cell r="M1850" t="str">
            <v>东区</v>
          </cell>
        </row>
        <row r="1851">
          <cell r="A1851" t="str">
            <v>020081</v>
          </cell>
          <cell r="B1851" t="str">
            <v>厦门三九进出口有限公</v>
          </cell>
          <cell r="C1851" t="str">
            <v>外事</v>
          </cell>
          <cell r="D1851" t="str">
            <v>商贸</v>
          </cell>
          <cell r="E1851" t="str">
            <v>抵押贷款</v>
          </cell>
          <cell r="F1851">
            <v>37440</v>
          </cell>
          <cell r="G1851">
            <v>37805</v>
          </cell>
          <cell r="H1851">
            <v>0</v>
          </cell>
          <cell r="I1851">
            <v>100</v>
          </cell>
          <cell r="J1851">
            <v>0</v>
          </cell>
          <cell r="K1851">
            <v>0</v>
          </cell>
          <cell r="L1851">
            <v>100</v>
          </cell>
          <cell r="M1851" t="str">
            <v>东区</v>
          </cell>
        </row>
        <row r="1852">
          <cell r="A1852" t="str">
            <v>020083</v>
          </cell>
          <cell r="B1852" t="str">
            <v>厦门三九进出口有限公</v>
          </cell>
          <cell r="C1852" t="str">
            <v>外事</v>
          </cell>
          <cell r="D1852" t="str">
            <v>商贸</v>
          </cell>
          <cell r="E1852" t="str">
            <v>抵押贷款</v>
          </cell>
          <cell r="F1852">
            <v>37459</v>
          </cell>
          <cell r="G1852">
            <v>37824</v>
          </cell>
          <cell r="H1852">
            <v>0</v>
          </cell>
          <cell r="I1852">
            <v>80</v>
          </cell>
          <cell r="J1852">
            <v>0</v>
          </cell>
          <cell r="K1852">
            <v>0</v>
          </cell>
          <cell r="L1852">
            <v>80</v>
          </cell>
          <cell r="M1852" t="str">
            <v>东区</v>
          </cell>
        </row>
        <row r="1853">
          <cell r="A1853" t="str">
            <v>020003</v>
          </cell>
          <cell r="B1853" t="str">
            <v>厦门三九进出口有限公</v>
          </cell>
          <cell r="C1853" t="str">
            <v>外事</v>
          </cell>
          <cell r="D1853" t="str">
            <v>商贸</v>
          </cell>
          <cell r="E1853" t="str">
            <v>抵押贷款</v>
          </cell>
          <cell r="F1853">
            <v>37273</v>
          </cell>
          <cell r="G1853">
            <v>37607</v>
          </cell>
          <cell r="H1853">
            <v>0</v>
          </cell>
          <cell r="I1853">
            <v>100</v>
          </cell>
          <cell r="J1853">
            <v>0</v>
          </cell>
          <cell r="K1853">
            <v>0</v>
          </cell>
          <cell r="L1853">
            <v>100</v>
          </cell>
          <cell r="M1853" t="str">
            <v>东区</v>
          </cell>
        </row>
        <row r="1854">
          <cell r="B1854" t="str">
            <v>厦门三九进出口有限公 Total</v>
          </cell>
          <cell r="L1854">
            <v>450</v>
          </cell>
        </row>
        <row r="1855">
          <cell r="A1855" t="str">
            <v>170036</v>
          </cell>
          <cell r="B1855" t="str">
            <v>厦门森晖电子有限公司</v>
          </cell>
          <cell r="C1855" t="str">
            <v>三资</v>
          </cell>
          <cell r="D1855" t="str">
            <v>其它</v>
          </cell>
          <cell r="E1855" t="str">
            <v>质押贷款</v>
          </cell>
          <cell r="F1855">
            <v>37511</v>
          </cell>
          <cell r="G1855">
            <v>37692</v>
          </cell>
          <cell r="H1855">
            <v>0</v>
          </cell>
          <cell r="I1855">
            <v>295</v>
          </cell>
          <cell r="J1855">
            <v>0</v>
          </cell>
          <cell r="K1855">
            <v>0</v>
          </cell>
          <cell r="L1855">
            <v>295</v>
          </cell>
          <cell r="M1855" t="str">
            <v>厦禾</v>
          </cell>
        </row>
        <row r="1856">
          <cell r="B1856" t="str">
            <v>厦门森晖电子有限公司 Total</v>
          </cell>
          <cell r="L1856">
            <v>295</v>
          </cell>
        </row>
        <row r="1857">
          <cell r="A1857" t="str">
            <v>800613</v>
          </cell>
          <cell r="B1857" t="str">
            <v>厦门商报社</v>
          </cell>
          <cell r="C1857" t="str">
            <v>国营</v>
          </cell>
          <cell r="D1857" t="str">
            <v>商贸</v>
          </cell>
          <cell r="E1857" t="str">
            <v>抵押贷款</v>
          </cell>
          <cell r="F1857">
            <v>36924</v>
          </cell>
          <cell r="G1857">
            <v>40594</v>
          </cell>
          <cell r="H1857">
            <v>0</v>
          </cell>
          <cell r="I1857">
            <v>0</v>
          </cell>
          <cell r="J1857">
            <v>3.01</v>
          </cell>
          <cell r="K1857">
            <v>29.45</v>
          </cell>
          <cell r="L1857">
            <v>400.61</v>
          </cell>
          <cell r="M1857" t="str">
            <v>鹭江</v>
          </cell>
        </row>
        <row r="1858">
          <cell r="B1858" t="str">
            <v>厦门商报社 Total</v>
          </cell>
          <cell r="L1858">
            <v>400.61</v>
          </cell>
        </row>
        <row r="1859">
          <cell r="A1859" t="str">
            <v>300055</v>
          </cell>
          <cell r="B1859" t="str">
            <v>厦门升汇纺织工业股份</v>
          </cell>
          <cell r="C1859" t="str">
            <v>集体</v>
          </cell>
          <cell r="D1859" t="str">
            <v>工业</v>
          </cell>
          <cell r="E1859" t="str">
            <v>质押贷款</v>
          </cell>
          <cell r="F1859">
            <v>37344</v>
          </cell>
          <cell r="G1859">
            <v>37709</v>
          </cell>
          <cell r="H1859">
            <v>0</v>
          </cell>
          <cell r="I1859">
            <v>490</v>
          </cell>
          <cell r="J1859">
            <v>0</v>
          </cell>
          <cell r="K1859">
            <v>0</v>
          </cell>
          <cell r="L1859">
            <v>490</v>
          </cell>
          <cell r="M1859" t="str">
            <v>鹭江</v>
          </cell>
        </row>
        <row r="1860">
          <cell r="B1860" t="str">
            <v>厦门升汇纺织工业股份 Total</v>
          </cell>
          <cell r="L1860">
            <v>490</v>
          </cell>
        </row>
        <row r="1861">
          <cell r="A1861" t="str">
            <v>250826</v>
          </cell>
          <cell r="B1861" t="str">
            <v>厦门声星电子</v>
          </cell>
          <cell r="C1861" t="str">
            <v>集体</v>
          </cell>
          <cell r="D1861" t="str">
            <v>工业</v>
          </cell>
          <cell r="E1861" t="str">
            <v>票据贴现</v>
          </cell>
          <cell r="F1861">
            <v>37557</v>
          </cell>
          <cell r="G1861">
            <v>37739</v>
          </cell>
          <cell r="H1861">
            <v>100</v>
          </cell>
          <cell r="I1861">
            <v>100</v>
          </cell>
          <cell r="J1861">
            <v>0</v>
          </cell>
          <cell r="K1861">
            <v>0</v>
          </cell>
          <cell r="L1861">
            <v>100</v>
          </cell>
          <cell r="M1861" t="str">
            <v>湖里</v>
          </cell>
        </row>
        <row r="1862">
          <cell r="B1862" t="str">
            <v>厦门声星电子 Total</v>
          </cell>
          <cell r="L1862">
            <v>100</v>
          </cell>
        </row>
        <row r="1863">
          <cell r="A1863" t="str">
            <v>020021</v>
          </cell>
          <cell r="B1863" t="str">
            <v>厦门盛联包装工业公司</v>
          </cell>
          <cell r="C1863" t="str">
            <v>其它</v>
          </cell>
          <cell r="D1863" t="str">
            <v>工业</v>
          </cell>
          <cell r="E1863" t="str">
            <v>保证贷款</v>
          </cell>
          <cell r="F1863">
            <v>37296</v>
          </cell>
          <cell r="G1863">
            <v>37630</v>
          </cell>
          <cell r="H1863">
            <v>0</v>
          </cell>
          <cell r="I1863">
            <v>200</v>
          </cell>
          <cell r="J1863">
            <v>0</v>
          </cell>
          <cell r="K1863">
            <v>0</v>
          </cell>
          <cell r="L1863">
            <v>200</v>
          </cell>
          <cell r="M1863" t="str">
            <v>东区</v>
          </cell>
        </row>
        <row r="1864">
          <cell r="B1864" t="str">
            <v>厦门盛联包装工业公司 Total</v>
          </cell>
          <cell r="L1864">
            <v>200</v>
          </cell>
        </row>
        <row r="1865">
          <cell r="A1865" t="str">
            <v>20427</v>
          </cell>
          <cell r="B1865" t="str">
            <v>厦门盛宇工贸有限公司</v>
          </cell>
          <cell r="C1865" t="str">
            <v>其它</v>
          </cell>
          <cell r="D1865" t="str">
            <v>商贸</v>
          </cell>
          <cell r="E1865" t="str">
            <v>票据贴现</v>
          </cell>
          <cell r="F1865">
            <v>37505</v>
          </cell>
          <cell r="G1865">
            <v>37683</v>
          </cell>
          <cell r="H1865">
            <v>0</v>
          </cell>
          <cell r="I1865">
            <v>8</v>
          </cell>
          <cell r="J1865">
            <v>0</v>
          </cell>
          <cell r="K1865">
            <v>0</v>
          </cell>
          <cell r="L1865">
            <v>8</v>
          </cell>
          <cell r="M1865" t="str">
            <v>江头</v>
          </cell>
        </row>
        <row r="1866">
          <cell r="A1866" t="str">
            <v>20426</v>
          </cell>
          <cell r="B1866" t="str">
            <v>厦门盛宇工贸有限公司</v>
          </cell>
          <cell r="C1866" t="str">
            <v>其它</v>
          </cell>
          <cell r="D1866" t="str">
            <v>商贸</v>
          </cell>
          <cell r="E1866" t="str">
            <v>票据贴现</v>
          </cell>
          <cell r="F1866">
            <v>37502</v>
          </cell>
          <cell r="G1866">
            <v>37683</v>
          </cell>
          <cell r="H1866">
            <v>0</v>
          </cell>
          <cell r="I1866">
            <v>10</v>
          </cell>
          <cell r="J1866">
            <v>0</v>
          </cell>
          <cell r="K1866">
            <v>0</v>
          </cell>
          <cell r="L1866">
            <v>10</v>
          </cell>
          <cell r="M1866" t="str">
            <v>江头</v>
          </cell>
        </row>
        <row r="1867">
          <cell r="B1867" t="str">
            <v>厦门盛宇工贸有限公司 Total</v>
          </cell>
          <cell r="L1867">
            <v>18</v>
          </cell>
        </row>
        <row r="1868">
          <cell r="A1868" t="str">
            <v>000008</v>
          </cell>
          <cell r="B1868" t="str">
            <v>厦门市大华贸易公司</v>
          </cell>
          <cell r="C1868" t="str">
            <v>集体</v>
          </cell>
          <cell r="D1868" t="str">
            <v>商贸</v>
          </cell>
          <cell r="E1868" t="str">
            <v>保证贷款</v>
          </cell>
          <cell r="F1868">
            <v>35122</v>
          </cell>
          <cell r="G1868">
            <v>35210</v>
          </cell>
          <cell r="H1868">
            <v>0</v>
          </cell>
          <cell r="I1868">
            <v>0</v>
          </cell>
          <cell r="J1868">
            <v>0</v>
          </cell>
          <cell r="K1868">
            <v>0</v>
          </cell>
          <cell r="L1868">
            <v>275.24</v>
          </cell>
          <cell r="M1868" t="str">
            <v>思明</v>
          </cell>
        </row>
        <row r="1869">
          <cell r="B1869" t="str">
            <v>厦门市大华贸易公司 Total</v>
          </cell>
          <cell r="L1869">
            <v>275.24</v>
          </cell>
        </row>
        <row r="1870">
          <cell r="A1870" t="str">
            <v>942009</v>
          </cell>
          <cell r="B1870" t="str">
            <v>厦门市东方龙物流有限</v>
          </cell>
          <cell r="C1870" t="str">
            <v>其它</v>
          </cell>
          <cell r="D1870" t="str">
            <v>商贸</v>
          </cell>
          <cell r="E1870" t="str">
            <v>保证贷款</v>
          </cell>
          <cell r="F1870">
            <v>37341</v>
          </cell>
          <cell r="G1870">
            <v>37706</v>
          </cell>
          <cell r="H1870">
            <v>0</v>
          </cell>
          <cell r="I1870">
            <v>150</v>
          </cell>
          <cell r="J1870">
            <v>0</v>
          </cell>
          <cell r="K1870">
            <v>0</v>
          </cell>
          <cell r="L1870">
            <v>150</v>
          </cell>
          <cell r="M1870" t="str">
            <v>莲富</v>
          </cell>
        </row>
        <row r="1871">
          <cell r="B1871" t="str">
            <v>厦门市东方龙物流有限 Total</v>
          </cell>
          <cell r="L1871">
            <v>150</v>
          </cell>
        </row>
        <row r="1872">
          <cell r="A1872" t="str">
            <v>021203</v>
          </cell>
          <cell r="B1872" t="str">
            <v>厦门市凤山水泥公司</v>
          </cell>
          <cell r="C1872" t="str">
            <v>集体</v>
          </cell>
          <cell r="D1872" t="str">
            <v>工业</v>
          </cell>
          <cell r="E1872" t="str">
            <v>保证贷款</v>
          </cell>
          <cell r="F1872">
            <v>37421</v>
          </cell>
          <cell r="G1872">
            <v>37635</v>
          </cell>
          <cell r="H1872">
            <v>0</v>
          </cell>
          <cell r="I1872">
            <v>100</v>
          </cell>
          <cell r="J1872">
            <v>0</v>
          </cell>
          <cell r="K1872">
            <v>0</v>
          </cell>
          <cell r="L1872">
            <v>100</v>
          </cell>
          <cell r="M1872" t="str">
            <v>杏林</v>
          </cell>
        </row>
        <row r="1873">
          <cell r="B1873" t="str">
            <v>厦门市凤山水泥公司 Total</v>
          </cell>
          <cell r="L1873">
            <v>100</v>
          </cell>
        </row>
        <row r="1874">
          <cell r="A1874" t="str">
            <v>0041</v>
          </cell>
          <cell r="B1874" t="str">
            <v>厦门市湖里鹭林土方工</v>
          </cell>
          <cell r="C1874" t="str">
            <v>其它</v>
          </cell>
          <cell r="D1874" t="str">
            <v>其它</v>
          </cell>
          <cell r="E1874" t="str">
            <v>抵押贷款</v>
          </cell>
          <cell r="F1874">
            <v>37343</v>
          </cell>
          <cell r="G1874">
            <v>37885</v>
          </cell>
          <cell r="H1874">
            <v>0</v>
          </cell>
          <cell r="I1874">
            <v>165</v>
          </cell>
          <cell r="J1874">
            <v>19.03</v>
          </cell>
          <cell r="K1874">
            <v>63.25</v>
          </cell>
          <cell r="L1874">
            <v>101.75</v>
          </cell>
          <cell r="M1874" t="str">
            <v>东芳</v>
          </cell>
        </row>
        <row r="1875">
          <cell r="B1875" t="str">
            <v>厦门市湖里鹭林土方工 Total</v>
          </cell>
          <cell r="L1875">
            <v>101.75</v>
          </cell>
        </row>
        <row r="1876">
          <cell r="A1876" t="str">
            <v>0062</v>
          </cell>
          <cell r="B1876" t="str">
            <v>厦门市湖里鹭林土石方</v>
          </cell>
          <cell r="C1876" t="str">
            <v>其它</v>
          </cell>
          <cell r="D1876" t="str">
            <v>其它</v>
          </cell>
          <cell r="E1876" t="str">
            <v>抵押贷款</v>
          </cell>
          <cell r="F1876">
            <v>37406</v>
          </cell>
          <cell r="G1876">
            <v>38070</v>
          </cell>
          <cell r="H1876">
            <v>0</v>
          </cell>
          <cell r="I1876">
            <v>23.6</v>
          </cell>
          <cell r="J1876">
            <v>1.04</v>
          </cell>
          <cell r="K1876">
            <v>5.13</v>
          </cell>
          <cell r="L1876">
            <v>18.47</v>
          </cell>
          <cell r="M1876" t="str">
            <v>东芳</v>
          </cell>
        </row>
        <row r="1877">
          <cell r="B1877" t="str">
            <v>厦门市湖里鹭林土石方 Total</v>
          </cell>
          <cell r="L1877">
            <v>18.47</v>
          </cell>
        </row>
        <row r="1878">
          <cell r="A1878" t="str">
            <v>021220</v>
          </cell>
          <cell r="B1878" t="str">
            <v>厦门市金大兴工贸公司</v>
          </cell>
          <cell r="C1878" t="str">
            <v>集体</v>
          </cell>
          <cell r="D1878" t="str">
            <v>工业</v>
          </cell>
          <cell r="E1878" t="str">
            <v>抵押贷款</v>
          </cell>
          <cell r="F1878">
            <v>37448</v>
          </cell>
          <cell r="G1878">
            <v>38179</v>
          </cell>
          <cell r="H1878">
            <v>0</v>
          </cell>
          <cell r="I1878">
            <v>20</v>
          </cell>
          <cell r="J1878">
            <v>0</v>
          </cell>
          <cell r="K1878">
            <v>0.78</v>
          </cell>
          <cell r="L1878">
            <v>19.22</v>
          </cell>
          <cell r="M1878" t="str">
            <v>集美</v>
          </cell>
        </row>
        <row r="1879">
          <cell r="B1879" t="str">
            <v>厦门市金大兴工贸公司 Total</v>
          </cell>
          <cell r="L1879">
            <v>19.22</v>
          </cell>
        </row>
        <row r="1880">
          <cell r="A1880" t="str">
            <v>942093</v>
          </cell>
          <cell r="B1880" t="str">
            <v>厦门市金翰华贸易有限</v>
          </cell>
          <cell r="C1880" t="str">
            <v>其它</v>
          </cell>
          <cell r="D1880" t="str">
            <v>商贸</v>
          </cell>
          <cell r="E1880" t="str">
            <v>保证贷款</v>
          </cell>
          <cell r="F1880">
            <v>37552</v>
          </cell>
          <cell r="G1880">
            <v>37734</v>
          </cell>
          <cell r="H1880">
            <v>50</v>
          </cell>
          <cell r="I1880">
            <v>50</v>
          </cell>
          <cell r="J1880">
            <v>0</v>
          </cell>
          <cell r="K1880">
            <v>0</v>
          </cell>
          <cell r="L1880">
            <v>50</v>
          </cell>
          <cell r="M1880" t="str">
            <v>莲富</v>
          </cell>
        </row>
        <row r="1881">
          <cell r="B1881" t="str">
            <v>厦门市金翰华贸易有限 Total</v>
          </cell>
          <cell r="L1881">
            <v>50</v>
          </cell>
        </row>
        <row r="1882">
          <cell r="A1882" t="str">
            <v>942046</v>
          </cell>
          <cell r="B1882" t="str">
            <v>厦门市巨龙软件工程有</v>
          </cell>
          <cell r="C1882" t="str">
            <v>其它</v>
          </cell>
          <cell r="D1882" t="str">
            <v>其它</v>
          </cell>
          <cell r="E1882" t="str">
            <v>质押贷款</v>
          </cell>
          <cell r="F1882">
            <v>37374</v>
          </cell>
          <cell r="G1882">
            <v>37739</v>
          </cell>
          <cell r="H1882">
            <v>0</v>
          </cell>
          <cell r="I1882">
            <v>100</v>
          </cell>
          <cell r="J1882">
            <v>0</v>
          </cell>
          <cell r="K1882">
            <v>0</v>
          </cell>
          <cell r="L1882">
            <v>100</v>
          </cell>
          <cell r="M1882" t="str">
            <v>莲富</v>
          </cell>
        </row>
        <row r="1883">
          <cell r="A1883" t="str">
            <v>942044</v>
          </cell>
          <cell r="B1883" t="str">
            <v>厦门市巨龙软件工程有</v>
          </cell>
          <cell r="C1883" t="str">
            <v>其它</v>
          </cell>
          <cell r="D1883" t="str">
            <v>其它</v>
          </cell>
          <cell r="E1883" t="str">
            <v>保证贷款</v>
          </cell>
          <cell r="F1883">
            <v>37373</v>
          </cell>
          <cell r="G1883">
            <v>37738</v>
          </cell>
          <cell r="H1883">
            <v>0</v>
          </cell>
          <cell r="I1883">
            <v>700</v>
          </cell>
          <cell r="J1883">
            <v>0</v>
          </cell>
          <cell r="K1883">
            <v>0</v>
          </cell>
          <cell r="L1883">
            <v>700</v>
          </cell>
          <cell r="M1883" t="str">
            <v>莲富</v>
          </cell>
        </row>
        <row r="1884">
          <cell r="A1884" t="str">
            <v>942045</v>
          </cell>
          <cell r="B1884" t="str">
            <v>厦门市巨龙软件工程有</v>
          </cell>
          <cell r="C1884" t="str">
            <v>其它</v>
          </cell>
          <cell r="D1884" t="str">
            <v>其它</v>
          </cell>
          <cell r="E1884" t="str">
            <v>质押贷款</v>
          </cell>
          <cell r="F1884">
            <v>37374</v>
          </cell>
          <cell r="G1884">
            <v>37739</v>
          </cell>
          <cell r="H1884">
            <v>0</v>
          </cell>
          <cell r="I1884">
            <v>700</v>
          </cell>
          <cell r="J1884">
            <v>0</v>
          </cell>
          <cell r="K1884">
            <v>0</v>
          </cell>
          <cell r="L1884">
            <v>700</v>
          </cell>
          <cell r="M1884" t="str">
            <v>莲富</v>
          </cell>
        </row>
        <row r="1885">
          <cell r="B1885" t="str">
            <v>厦门市巨龙软件工程有 Total</v>
          </cell>
          <cell r="L1885">
            <v>1500</v>
          </cell>
        </row>
        <row r="1886">
          <cell r="A1886" t="str">
            <v>0024</v>
          </cell>
          <cell r="B1886" t="str">
            <v>厦门市来利集装箱货运</v>
          </cell>
          <cell r="C1886" t="str">
            <v>其它</v>
          </cell>
          <cell r="D1886" t="str">
            <v>其它</v>
          </cell>
          <cell r="E1886" t="str">
            <v>抵押贷款</v>
          </cell>
          <cell r="F1886">
            <v>37287</v>
          </cell>
          <cell r="G1886">
            <v>37980</v>
          </cell>
          <cell r="H1886">
            <v>0</v>
          </cell>
          <cell r="I1886">
            <v>17.100000000000001</v>
          </cell>
          <cell r="J1886">
            <v>0.73</v>
          </cell>
          <cell r="K1886">
            <v>6.58</v>
          </cell>
          <cell r="L1886">
            <v>10.52</v>
          </cell>
          <cell r="M1886" t="str">
            <v>东芳</v>
          </cell>
        </row>
        <row r="1887">
          <cell r="B1887" t="str">
            <v>厦门市来利集装箱货运 Total</v>
          </cell>
          <cell r="L1887">
            <v>10.52</v>
          </cell>
        </row>
        <row r="1888">
          <cell r="A1888" t="str">
            <v>0002</v>
          </cell>
          <cell r="B1888" t="str">
            <v>厦门市鹭亿商贸有限公</v>
          </cell>
          <cell r="C1888" t="str">
            <v>其它</v>
          </cell>
          <cell r="D1888" t="str">
            <v>商贸</v>
          </cell>
          <cell r="E1888" t="str">
            <v>保证贷款</v>
          </cell>
          <cell r="F1888">
            <v>36510</v>
          </cell>
          <cell r="G1888">
            <v>36723</v>
          </cell>
          <cell r="H1888">
            <v>0</v>
          </cell>
          <cell r="I1888">
            <v>0</v>
          </cell>
          <cell r="J1888">
            <v>0</v>
          </cell>
          <cell r="K1888">
            <v>0</v>
          </cell>
          <cell r="L1888">
            <v>80</v>
          </cell>
          <cell r="M1888" t="str">
            <v>东芳</v>
          </cell>
        </row>
        <row r="1889">
          <cell r="B1889" t="str">
            <v>厦门市鹭亿商贸有限公 Total</v>
          </cell>
          <cell r="L1889">
            <v>80</v>
          </cell>
        </row>
        <row r="1890">
          <cell r="A1890" t="str">
            <v>021234</v>
          </cell>
          <cell r="B1890" t="str">
            <v>厦门市茂强工贸公司</v>
          </cell>
          <cell r="C1890" t="str">
            <v>集体</v>
          </cell>
          <cell r="D1890" t="str">
            <v>工业</v>
          </cell>
          <cell r="E1890" t="str">
            <v>票据贴现</v>
          </cell>
          <cell r="F1890">
            <v>37554</v>
          </cell>
          <cell r="G1890">
            <v>37663</v>
          </cell>
          <cell r="H1890">
            <v>13</v>
          </cell>
          <cell r="I1890">
            <v>13</v>
          </cell>
          <cell r="J1890">
            <v>0</v>
          </cell>
          <cell r="K1890">
            <v>0</v>
          </cell>
          <cell r="L1890">
            <v>13</v>
          </cell>
          <cell r="M1890" t="str">
            <v>集美</v>
          </cell>
        </row>
        <row r="1891">
          <cell r="B1891" t="str">
            <v>厦门市茂强工贸公司 Total</v>
          </cell>
          <cell r="L1891">
            <v>13</v>
          </cell>
        </row>
        <row r="1892">
          <cell r="A1892" t="str">
            <v>13008</v>
          </cell>
          <cell r="B1892" t="str">
            <v>厦门市农房公司</v>
          </cell>
          <cell r="C1892" t="str">
            <v>国营</v>
          </cell>
          <cell r="D1892" t="str">
            <v>其它</v>
          </cell>
          <cell r="E1892" t="str">
            <v>抵押贷款</v>
          </cell>
          <cell r="F1892">
            <v>37218</v>
          </cell>
          <cell r="G1892">
            <v>37583</v>
          </cell>
          <cell r="H1892">
            <v>0</v>
          </cell>
          <cell r="I1892">
            <v>0</v>
          </cell>
          <cell r="J1892">
            <v>0</v>
          </cell>
          <cell r="K1892">
            <v>0</v>
          </cell>
          <cell r="L1892">
            <v>250</v>
          </cell>
          <cell r="M1892" t="str">
            <v>江头</v>
          </cell>
        </row>
        <row r="1893">
          <cell r="B1893" t="str">
            <v>厦门市农房公司 Total</v>
          </cell>
          <cell r="L1893">
            <v>250</v>
          </cell>
        </row>
        <row r="1894">
          <cell r="A1894" t="str">
            <v>0054</v>
          </cell>
          <cell r="B1894" t="str">
            <v>厦门市乾坤元集装箱运</v>
          </cell>
          <cell r="C1894" t="str">
            <v>其它</v>
          </cell>
          <cell r="D1894" t="str">
            <v>其它</v>
          </cell>
          <cell r="E1894" t="str">
            <v>抵押贷款</v>
          </cell>
          <cell r="F1894">
            <v>37371</v>
          </cell>
          <cell r="G1894">
            <v>38050</v>
          </cell>
          <cell r="H1894">
            <v>0</v>
          </cell>
          <cell r="I1894">
            <v>43.9</v>
          </cell>
          <cell r="J1894">
            <v>1.85</v>
          </cell>
          <cell r="K1894">
            <v>10.95</v>
          </cell>
          <cell r="L1894">
            <v>32.950000000000003</v>
          </cell>
          <cell r="M1894" t="str">
            <v>东芳</v>
          </cell>
        </row>
        <row r="1895">
          <cell r="A1895" t="str">
            <v>0077</v>
          </cell>
          <cell r="B1895" t="str">
            <v>厦门市乾坤元集装箱运</v>
          </cell>
          <cell r="C1895" t="str">
            <v>其它</v>
          </cell>
          <cell r="D1895" t="str">
            <v>其它</v>
          </cell>
          <cell r="E1895" t="str">
            <v>抵押贷款</v>
          </cell>
          <cell r="F1895">
            <v>37434</v>
          </cell>
          <cell r="G1895">
            <v>38149</v>
          </cell>
          <cell r="H1895">
            <v>0</v>
          </cell>
          <cell r="I1895">
            <v>41.76</v>
          </cell>
          <cell r="J1895">
            <v>1.66</v>
          </cell>
          <cell r="K1895">
            <v>6.58</v>
          </cell>
          <cell r="L1895">
            <v>35.18</v>
          </cell>
          <cell r="M1895" t="str">
            <v>东芳</v>
          </cell>
        </row>
        <row r="1896">
          <cell r="B1896" t="str">
            <v>厦门市乾坤元集装箱运 Total</v>
          </cell>
          <cell r="L1896">
            <v>68.13</v>
          </cell>
        </row>
        <row r="1897">
          <cell r="A1897" t="str">
            <v>0097</v>
          </cell>
          <cell r="B1897" t="str">
            <v>厦门市侨光工贸有限公</v>
          </cell>
          <cell r="C1897" t="str">
            <v>其它</v>
          </cell>
          <cell r="D1897" t="str">
            <v>其它</v>
          </cell>
          <cell r="E1897" t="str">
            <v>票据贴现</v>
          </cell>
          <cell r="F1897">
            <v>37560</v>
          </cell>
          <cell r="G1897">
            <v>37575</v>
          </cell>
          <cell r="H1897">
            <v>315.47000000000003</v>
          </cell>
          <cell r="I1897">
            <v>315.47000000000003</v>
          </cell>
          <cell r="J1897">
            <v>0</v>
          </cell>
          <cell r="K1897">
            <v>0</v>
          </cell>
          <cell r="L1897">
            <v>315.47000000000003</v>
          </cell>
          <cell r="M1897" t="str">
            <v>东芳</v>
          </cell>
        </row>
        <row r="1898">
          <cell r="B1898" t="str">
            <v>厦门市侨光工贸有限公 Total</v>
          </cell>
          <cell r="L1898">
            <v>315.47000000000003</v>
          </cell>
        </row>
        <row r="1899">
          <cell r="A1899" t="str">
            <v>300190</v>
          </cell>
          <cell r="B1899" t="str">
            <v>厦门市食品公司</v>
          </cell>
          <cell r="C1899" t="str">
            <v>国营</v>
          </cell>
          <cell r="D1899" t="str">
            <v>商贸</v>
          </cell>
          <cell r="E1899" t="str">
            <v>保证贷款</v>
          </cell>
          <cell r="F1899">
            <v>37557</v>
          </cell>
          <cell r="G1899">
            <v>37830</v>
          </cell>
          <cell r="H1899">
            <v>300</v>
          </cell>
          <cell r="I1899">
            <v>300</v>
          </cell>
          <cell r="J1899">
            <v>0</v>
          </cell>
          <cell r="K1899">
            <v>0</v>
          </cell>
          <cell r="L1899">
            <v>300</v>
          </cell>
          <cell r="M1899" t="str">
            <v>鹭江</v>
          </cell>
        </row>
        <row r="1900">
          <cell r="A1900" t="str">
            <v>300191</v>
          </cell>
          <cell r="B1900" t="str">
            <v>厦门市食品公司</v>
          </cell>
          <cell r="C1900" t="str">
            <v>国营</v>
          </cell>
          <cell r="D1900" t="str">
            <v>商贸</v>
          </cell>
          <cell r="E1900" t="str">
            <v>保证贷款</v>
          </cell>
          <cell r="F1900">
            <v>37557</v>
          </cell>
          <cell r="G1900">
            <v>37922</v>
          </cell>
          <cell r="H1900">
            <v>300</v>
          </cell>
          <cell r="I1900">
            <v>300</v>
          </cell>
          <cell r="J1900">
            <v>0</v>
          </cell>
          <cell r="K1900">
            <v>0</v>
          </cell>
          <cell r="L1900">
            <v>300</v>
          </cell>
          <cell r="M1900" t="str">
            <v>鹭江</v>
          </cell>
        </row>
        <row r="1901">
          <cell r="A1901" t="str">
            <v>300189</v>
          </cell>
          <cell r="B1901" t="str">
            <v>厦门市食品公司</v>
          </cell>
          <cell r="C1901" t="str">
            <v>国营</v>
          </cell>
          <cell r="D1901" t="str">
            <v>商贸</v>
          </cell>
          <cell r="E1901" t="str">
            <v>保证贷款</v>
          </cell>
          <cell r="F1901">
            <v>37557</v>
          </cell>
          <cell r="G1901">
            <v>37739</v>
          </cell>
          <cell r="H1901">
            <v>400</v>
          </cell>
          <cell r="I1901">
            <v>400</v>
          </cell>
          <cell r="J1901">
            <v>0</v>
          </cell>
          <cell r="K1901">
            <v>0</v>
          </cell>
          <cell r="L1901">
            <v>400</v>
          </cell>
          <cell r="M1901" t="str">
            <v>鹭江</v>
          </cell>
        </row>
        <row r="1902">
          <cell r="B1902" t="str">
            <v>厦门市食品公司 Total</v>
          </cell>
          <cell r="L1902">
            <v>1000</v>
          </cell>
        </row>
        <row r="1903">
          <cell r="A1903" t="str">
            <v>0039</v>
          </cell>
          <cell r="B1903" t="str">
            <v>厦门市双运实业有限公</v>
          </cell>
          <cell r="C1903" t="str">
            <v>其它</v>
          </cell>
          <cell r="D1903" t="str">
            <v>其它</v>
          </cell>
          <cell r="E1903" t="str">
            <v>抵押贷款</v>
          </cell>
          <cell r="F1903">
            <v>37328</v>
          </cell>
          <cell r="G1903">
            <v>37877</v>
          </cell>
          <cell r="H1903">
            <v>0</v>
          </cell>
          <cell r="I1903">
            <v>23.6</v>
          </cell>
          <cell r="J1903">
            <v>1.3</v>
          </cell>
          <cell r="K1903">
            <v>8.92</v>
          </cell>
          <cell r="L1903">
            <v>14.68</v>
          </cell>
          <cell r="M1903" t="str">
            <v>东芳</v>
          </cell>
        </row>
        <row r="1904">
          <cell r="A1904" t="str">
            <v>0025</v>
          </cell>
          <cell r="B1904" t="str">
            <v>厦门市双运实业有限公</v>
          </cell>
          <cell r="C1904" t="str">
            <v>其它</v>
          </cell>
          <cell r="D1904" t="str">
            <v>其它</v>
          </cell>
          <cell r="E1904" t="str">
            <v>抵押贷款</v>
          </cell>
          <cell r="F1904">
            <v>37287</v>
          </cell>
          <cell r="G1904">
            <v>37830</v>
          </cell>
          <cell r="H1904">
            <v>0</v>
          </cell>
          <cell r="I1904">
            <v>47.2</v>
          </cell>
          <cell r="J1904">
            <v>2.62</v>
          </cell>
          <cell r="K1904">
            <v>23.34</v>
          </cell>
          <cell r="L1904">
            <v>23.86</v>
          </cell>
          <cell r="M1904" t="str">
            <v>东芳</v>
          </cell>
        </row>
        <row r="1905">
          <cell r="B1905" t="str">
            <v>厦门市双运实业有限公 Total</v>
          </cell>
          <cell r="L1905">
            <v>38.54</v>
          </cell>
        </row>
        <row r="1906">
          <cell r="A1906" t="str">
            <v>MT0203</v>
          </cell>
          <cell r="B1906" t="str">
            <v>厦门市同安合盛饲料厂</v>
          </cell>
          <cell r="C1906" t="str">
            <v>集体</v>
          </cell>
          <cell r="D1906" t="str">
            <v>工业</v>
          </cell>
          <cell r="E1906" t="str">
            <v>票据贴现</v>
          </cell>
          <cell r="F1906">
            <v>37501</v>
          </cell>
          <cell r="G1906">
            <v>37678</v>
          </cell>
          <cell r="H1906">
            <v>0</v>
          </cell>
          <cell r="I1906">
            <v>6</v>
          </cell>
          <cell r="J1906">
            <v>0</v>
          </cell>
          <cell r="K1906">
            <v>0</v>
          </cell>
          <cell r="L1906">
            <v>6</v>
          </cell>
          <cell r="M1906" t="str">
            <v>马巷</v>
          </cell>
        </row>
        <row r="1907">
          <cell r="A1907" t="str">
            <v>MT0204</v>
          </cell>
          <cell r="B1907" t="str">
            <v>厦门市同安合盛饲料厂</v>
          </cell>
          <cell r="C1907" t="str">
            <v>集体</v>
          </cell>
          <cell r="D1907" t="str">
            <v>工业</v>
          </cell>
          <cell r="E1907" t="str">
            <v>票据贴现</v>
          </cell>
          <cell r="F1907">
            <v>37522</v>
          </cell>
          <cell r="G1907">
            <v>37696</v>
          </cell>
          <cell r="H1907">
            <v>0</v>
          </cell>
          <cell r="I1907">
            <v>10</v>
          </cell>
          <cell r="J1907">
            <v>0</v>
          </cell>
          <cell r="K1907">
            <v>0</v>
          </cell>
          <cell r="L1907">
            <v>10</v>
          </cell>
          <cell r="M1907" t="str">
            <v>马巷</v>
          </cell>
        </row>
        <row r="1908">
          <cell r="B1908" t="str">
            <v>厦门市同安合盛饲料厂 Total</v>
          </cell>
          <cell r="L1908">
            <v>16</v>
          </cell>
        </row>
        <row r="1909">
          <cell r="A1909" t="str">
            <v>0068</v>
          </cell>
          <cell r="B1909" t="str">
            <v>厦门市同安瑞鑫汽车运</v>
          </cell>
          <cell r="C1909" t="str">
            <v>其它</v>
          </cell>
          <cell r="D1909" t="str">
            <v>其它</v>
          </cell>
          <cell r="E1909" t="str">
            <v>抵押贷款</v>
          </cell>
          <cell r="F1909">
            <v>37406</v>
          </cell>
          <cell r="G1909">
            <v>38069</v>
          </cell>
          <cell r="H1909">
            <v>0</v>
          </cell>
          <cell r="I1909">
            <v>15.6</v>
          </cell>
          <cell r="J1909">
            <v>0.68</v>
          </cell>
          <cell r="K1909">
            <v>3.38</v>
          </cell>
          <cell r="L1909">
            <v>12.22</v>
          </cell>
          <cell r="M1909" t="str">
            <v>东芳</v>
          </cell>
        </row>
        <row r="1910">
          <cell r="B1910" t="str">
            <v>厦门市同安瑞鑫汽车运 Total</v>
          </cell>
          <cell r="L1910">
            <v>12.22</v>
          </cell>
        </row>
        <row r="1911">
          <cell r="A1911" t="str">
            <v>0091</v>
          </cell>
          <cell r="B1911" t="str">
            <v>厦门市新鹭发土石方工</v>
          </cell>
          <cell r="C1911" t="str">
            <v>其它</v>
          </cell>
          <cell r="D1911" t="str">
            <v>其它</v>
          </cell>
          <cell r="E1911" t="str">
            <v>抵押贷款</v>
          </cell>
          <cell r="F1911">
            <v>37528</v>
          </cell>
          <cell r="G1911">
            <v>38074</v>
          </cell>
          <cell r="H1911">
            <v>0</v>
          </cell>
          <cell r="I1911">
            <v>69</v>
          </cell>
          <cell r="J1911">
            <v>3.67</v>
          </cell>
          <cell r="K1911">
            <v>3.67</v>
          </cell>
          <cell r="L1911">
            <v>65.33</v>
          </cell>
          <cell r="M1911" t="str">
            <v>东芳</v>
          </cell>
        </row>
        <row r="1912">
          <cell r="B1912" t="str">
            <v>厦门市新鹭发土石方工 Total</v>
          </cell>
          <cell r="L1912">
            <v>65.33</v>
          </cell>
        </row>
        <row r="1913">
          <cell r="A1913" t="str">
            <v>0094</v>
          </cell>
          <cell r="B1913" t="str">
            <v>厦门市信北实业有限公</v>
          </cell>
          <cell r="C1913" t="str">
            <v>其它</v>
          </cell>
          <cell r="D1913" t="str">
            <v>其它</v>
          </cell>
          <cell r="E1913" t="str">
            <v>抵押贷款</v>
          </cell>
          <cell r="F1913">
            <v>37343</v>
          </cell>
          <cell r="G1913">
            <v>37519</v>
          </cell>
          <cell r="H1913">
            <v>0</v>
          </cell>
          <cell r="I1913">
            <v>6.2</v>
          </cell>
          <cell r="J1913">
            <v>0</v>
          </cell>
          <cell r="K1913">
            <v>0</v>
          </cell>
          <cell r="L1913">
            <v>6.2</v>
          </cell>
          <cell r="M1913" t="str">
            <v>东芳</v>
          </cell>
        </row>
        <row r="1914">
          <cell r="A1914" t="str">
            <v>0099</v>
          </cell>
          <cell r="B1914" t="str">
            <v>厦门市信北实业有限公</v>
          </cell>
          <cell r="C1914" t="str">
            <v>其它</v>
          </cell>
          <cell r="D1914" t="str">
            <v>其它</v>
          </cell>
          <cell r="E1914" t="str">
            <v>抵押贷款</v>
          </cell>
          <cell r="F1914">
            <v>37335</v>
          </cell>
          <cell r="G1914">
            <v>37549</v>
          </cell>
          <cell r="H1914">
            <v>6.45</v>
          </cell>
          <cell r="I1914">
            <v>6.45</v>
          </cell>
          <cell r="J1914">
            <v>0</v>
          </cell>
          <cell r="K1914">
            <v>0</v>
          </cell>
          <cell r="L1914">
            <v>6.45</v>
          </cell>
          <cell r="M1914" t="str">
            <v>东芳</v>
          </cell>
        </row>
        <row r="1915">
          <cell r="A1915" t="str">
            <v>0038</v>
          </cell>
          <cell r="B1915" t="str">
            <v>厦门市信北实业有限公</v>
          </cell>
          <cell r="C1915" t="str">
            <v>其它</v>
          </cell>
          <cell r="D1915" t="str">
            <v>其它</v>
          </cell>
          <cell r="E1915" t="str">
            <v>抵押贷款</v>
          </cell>
          <cell r="F1915">
            <v>37343</v>
          </cell>
          <cell r="G1915">
            <v>37877</v>
          </cell>
          <cell r="H1915">
            <v>0</v>
          </cell>
          <cell r="I1915">
            <v>118.4</v>
          </cell>
          <cell r="J1915">
            <v>6.45</v>
          </cell>
          <cell r="K1915">
            <v>38.03</v>
          </cell>
          <cell r="L1915">
            <v>80.37</v>
          </cell>
          <cell r="M1915" t="str">
            <v>东芳</v>
          </cell>
        </row>
        <row r="1916">
          <cell r="B1916" t="str">
            <v>厦门市信北实业有限公 Total</v>
          </cell>
          <cell r="L1916">
            <v>93.02000000000001</v>
          </cell>
        </row>
        <row r="1917">
          <cell r="A1917" t="str">
            <v>0089</v>
          </cell>
          <cell r="B1917" t="str">
            <v>厦门市兴联兴工贸有限</v>
          </cell>
          <cell r="C1917" t="str">
            <v>其它</v>
          </cell>
          <cell r="D1917" t="str">
            <v>其它</v>
          </cell>
          <cell r="E1917" t="str">
            <v>抵押贷款</v>
          </cell>
          <cell r="F1917">
            <v>37525</v>
          </cell>
          <cell r="G1917">
            <v>37890</v>
          </cell>
          <cell r="H1917">
            <v>0</v>
          </cell>
          <cell r="I1917">
            <v>70</v>
          </cell>
          <cell r="J1917">
            <v>0</v>
          </cell>
          <cell r="K1917">
            <v>0</v>
          </cell>
          <cell r="L1917">
            <v>70</v>
          </cell>
          <cell r="M1917" t="str">
            <v>东芳</v>
          </cell>
        </row>
        <row r="1918">
          <cell r="B1918" t="str">
            <v>厦门市兴联兴工贸有限 Total</v>
          </cell>
          <cell r="L1918">
            <v>70</v>
          </cell>
        </row>
        <row r="1919">
          <cell r="A1919" t="str">
            <v>30073</v>
          </cell>
          <cell r="B1919" t="str">
            <v>厦门市依人服饰有限公</v>
          </cell>
          <cell r="C1919" t="str">
            <v>三资</v>
          </cell>
          <cell r="D1919" t="str">
            <v>工业</v>
          </cell>
          <cell r="E1919" t="str">
            <v>保证贷款</v>
          </cell>
          <cell r="F1919">
            <v>36159</v>
          </cell>
          <cell r="G1919">
            <v>36554</v>
          </cell>
          <cell r="H1919">
            <v>0</v>
          </cell>
          <cell r="I1919">
            <v>0</v>
          </cell>
          <cell r="J1919">
            <v>0</v>
          </cell>
          <cell r="K1919">
            <v>0</v>
          </cell>
          <cell r="L1919">
            <v>300</v>
          </cell>
          <cell r="M1919" t="str">
            <v>江头</v>
          </cell>
        </row>
        <row r="1920">
          <cell r="B1920" t="str">
            <v>厦门市依人服饰有限公 Total</v>
          </cell>
          <cell r="L1920">
            <v>300</v>
          </cell>
        </row>
        <row r="1921">
          <cell r="A1921" t="str">
            <v>0081</v>
          </cell>
          <cell r="B1921" t="str">
            <v>厦门市怡捷集装箱货运</v>
          </cell>
          <cell r="C1921" t="str">
            <v>其它</v>
          </cell>
          <cell r="D1921" t="str">
            <v>其它</v>
          </cell>
          <cell r="E1921" t="str">
            <v>抵押贷款</v>
          </cell>
          <cell r="F1921">
            <v>37456</v>
          </cell>
          <cell r="G1921">
            <v>38119</v>
          </cell>
          <cell r="H1921">
            <v>0</v>
          </cell>
          <cell r="I1921">
            <v>29.2</v>
          </cell>
          <cell r="J1921">
            <v>0</v>
          </cell>
          <cell r="K1921">
            <v>2.5099999999999998</v>
          </cell>
          <cell r="L1921">
            <v>26.69</v>
          </cell>
          <cell r="M1921" t="str">
            <v>东芳</v>
          </cell>
        </row>
        <row r="1922">
          <cell r="B1922" t="str">
            <v>厦门市怡捷集装箱货运 Total</v>
          </cell>
          <cell r="L1922">
            <v>26.69</v>
          </cell>
        </row>
        <row r="1923">
          <cell r="A1923" t="str">
            <v>000006</v>
          </cell>
          <cell r="B1923" t="str">
            <v>厦门市银弘贸易有限公</v>
          </cell>
          <cell r="C1923" t="str">
            <v>集体</v>
          </cell>
          <cell r="D1923" t="str">
            <v>商贸</v>
          </cell>
          <cell r="E1923" t="str">
            <v>保证贷款</v>
          </cell>
          <cell r="F1923">
            <v>35718</v>
          </cell>
          <cell r="G1923">
            <v>35928</v>
          </cell>
          <cell r="H1923">
            <v>0</v>
          </cell>
          <cell r="I1923">
            <v>0</v>
          </cell>
          <cell r="J1923">
            <v>0</v>
          </cell>
          <cell r="K1923">
            <v>0</v>
          </cell>
          <cell r="L1923">
            <v>36.36</v>
          </cell>
          <cell r="M1923" t="str">
            <v>思明</v>
          </cell>
        </row>
        <row r="1924">
          <cell r="B1924" t="str">
            <v>厦门市银弘贸易有限公 Total</v>
          </cell>
          <cell r="L1924">
            <v>36.36</v>
          </cell>
        </row>
        <row r="1925">
          <cell r="A1925" t="str">
            <v>923D01</v>
          </cell>
          <cell r="B1925" t="str">
            <v>厦门市永恒贸易公司</v>
          </cell>
          <cell r="C1925" t="str">
            <v>集体</v>
          </cell>
          <cell r="D1925" t="str">
            <v>商贸</v>
          </cell>
          <cell r="E1925" t="str">
            <v>抵押贷款</v>
          </cell>
          <cell r="F1925">
            <v>37372</v>
          </cell>
          <cell r="G1925">
            <v>37706</v>
          </cell>
          <cell r="H1925">
            <v>0</v>
          </cell>
          <cell r="I1925">
            <v>85</v>
          </cell>
          <cell r="J1925">
            <v>0</v>
          </cell>
          <cell r="K1925">
            <v>0</v>
          </cell>
          <cell r="L1925">
            <v>85</v>
          </cell>
          <cell r="M1925" t="str">
            <v>禾祥</v>
          </cell>
        </row>
        <row r="1926">
          <cell r="B1926" t="str">
            <v>厦门市永恒贸易公司 Total</v>
          </cell>
          <cell r="L1926">
            <v>85</v>
          </cell>
        </row>
        <row r="1927">
          <cell r="A1927" t="str">
            <v>40007</v>
          </cell>
          <cell r="B1927" t="str">
            <v>厦门市政建设指挥部</v>
          </cell>
          <cell r="C1927" t="str">
            <v>国营</v>
          </cell>
          <cell r="D1927" t="str">
            <v>其它</v>
          </cell>
          <cell r="E1927" t="str">
            <v>信用贷款</v>
          </cell>
          <cell r="F1927">
            <v>36838</v>
          </cell>
          <cell r="G1927">
            <v>37933</v>
          </cell>
          <cell r="H1927">
            <v>0</v>
          </cell>
          <cell r="I1927">
            <v>0</v>
          </cell>
          <cell r="J1927">
            <v>0</v>
          </cell>
          <cell r="K1927">
            <v>0</v>
          </cell>
          <cell r="L1927">
            <v>1600</v>
          </cell>
          <cell r="M1927" t="str">
            <v>江头</v>
          </cell>
        </row>
        <row r="1928">
          <cell r="A1928" t="str">
            <v>40004</v>
          </cell>
          <cell r="B1928" t="str">
            <v>厦门市政建设指挥部</v>
          </cell>
          <cell r="C1928" t="str">
            <v>国营</v>
          </cell>
          <cell r="D1928" t="str">
            <v>其它</v>
          </cell>
          <cell r="E1928" t="str">
            <v>信用贷款</v>
          </cell>
          <cell r="F1928">
            <v>36705</v>
          </cell>
          <cell r="G1928">
            <v>37800</v>
          </cell>
          <cell r="H1928">
            <v>0</v>
          </cell>
          <cell r="I1928">
            <v>0</v>
          </cell>
          <cell r="J1928">
            <v>0</v>
          </cell>
          <cell r="K1928">
            <v>0</v>
          </cell>
          <cell r="L1928">
            <v>2000</v>
          </cell>
          <cell r="M1928" t="str">
            <v>江头</v>
          </cell>
        </row>
        <row r="1929">
          <cell r="A1929" t="str">
            <v>40006</v>
          </cell>
          <cell r="B1929" t="str">
            <v>厦门市政建设指挥部</v>
          </cell>
          <cell r="C1929" t="str">
            <v>国营</v>
          </cell>
          <cell r="D1929" t="str">
            <v>其它</v>
          </cell>
          <cell r="E1929" t="str">
            <v>信用贷款</v>
          </cell>
          <cell r="F1929">
            <v>36745</v>
          </cell>
          <cell r="G1929">
            <v>37840</v>
          </cell>
          <cell r="H1929">
            <v>0</v>
          </cell>
          <cell r="I1929">
            <v>0</v>
          </cell>
          <cell r="J1929">
            <v>0</v>
          </cell>
          <cell r="K1929">
            <v>0</v>
          </cell>
          <cell r="L1929">
            <v>2000</v>
          </cell>
          <cell r="M1929" t="str">
            <v>江头</v>
          </cell>
        </row>
        <row r="1930">
          <cell r="B1930" t="str">
            <v>厦门市政建设指挥部 Total</v>
          </cell>
          <cell r="L1930">
            <v>5600</v>
          </cell>
        </row>
        <row r="1931">
          <cell r="A1931" t="str">
            <v>942089</v>
          </cell>
          <cell r="B1931" t="str">
            <v>厦门市中兰通电梯有限</v>
          </cell>
          <cell r="C1931" t="str">
            <v>其它</v>
          </cell>
          <cell r="D1931" t="str">
            <v>商贸</v>
          </cell>
          <cell r="E1931" t="str">
            <v>质押贷款</v>
          </cell>
          <cell r="F1931">
            <v>37550</v>
          </cell>
          <cell r="G1931">
            <v>37732</v>
          </cell>
          <cell r="H1931">
            <v>69</v>
          </cell>
          <cell r="I1931">
            <v>69</v>
          </cell>
          <cell r="J1931">
            <v>0</v>
          </cell>
          <cell r="K1931">
            <v>0</v>
          </cell>
          <cell r="L1931">
            <v>69</v>
          </cell>
          <cell r="M1931" t="str">
            <v>莲富</v>
          </cell>
        </row>
        <row r="1932">
          <cell r="B1932" t="str">
            <v>厦门市中兰通电梯有限 Total</v>
          </cell>
          <cell r="L1932">
            <v>69</v>
          </cell>
        </row>
        <row r="1933">
          <cell r="A1933" t="str">
            <v>200118</v>
          </cell>
          <cell r="B1933" t="str">
            <v>厦门市中信房地产公司</v>
          </cell>
          <cell r="C1933" t="str">
            <v>集体</v>
          </cell>
          <cell r="D1933" t="str">
            <v>商贸</v>
          </cell>
          <cell r="E1933" t="str">
            <v>抵押贷款</v>
          </cell>
          <cell r="F1933">
            <v>37253</v>
          </cell>
          <cell r="G1933">
            <v>37618</v>
          </cell>
          <cell r="H1933">
            <v>0</v>
          </cell>
          <cell r="I1933">
            <v>0</v>
          </cell>
          <cell r="J1933">
            <v>0</v>
          </cell>
          <cell r="K1933">
            <v>0</v>
          </cell>
          <cell r="L1933">
            <v>400</v>
          </cell>
          <cell r="M1933" t="str">
            <v>海沧</v>
          </cell>
        </row>
        <row r="1934">
          <cell r="B1934" t="str">
            <v>厦门市中信房地产公司 Total</v>
          </cell>
          <cell r="L1934">
            <v>400</v>
          </cell>
        </row>
        <row r="1935">
          <cell r="A1935" t="str">
            <v>200243</v>
          </cell>
          <cell r="B1935" t="str">
            <v>厦门市中信隆进出口公</v>
          </cell>
          <cell r="C1935" t="str">
            <v>集体</v>
          </cell>
          <cell r="D1935" t="str">
            <v>商贸</v>
          </cell>
          <cell r="E1935" t="str">
            <v>保证贷款</v>
          </cell>
          <cell r="F1935">
            <v>37447</v>
          </cell>
          <cell r="G1935">
            <v>37811</v>
          </cell>
          <cell r="H1935">
            <v>0</v>
          </cell>
          <cell r="I1935">
            <v>200</v>
          </cell>
          <cell r="J1935">
            <v>0</v>
          </cell>
          <cell r="K1935">
            <v>0</v>
          </cell>
          <cell r="L1935">
            <v>200</v>
          </cell>
          <cell r="M1935" t="str">
            <v>海沧</v>
          </cell>
        </row>
        <row r="1936">
          <cell r="A1936" t="str">
            <v>200245</v>
          </cell>
          <cell r="B1936" t="str">
            <v>厦门市中信隆进出口公</v>
          </cell>
          <cell r="C1936" t="str">
            <v>集体</v>
          </cell>
          <cell r="D1936" t="str">
            <v>商贸</v>
          </cell>
          <cell r="E1936" t="str">
            <v>保证贷款</v>
          </cell>
          <cell r="F1936">
            <v>37487</v>
          </cell>
          <cell r="G1936">
            <v>37851</v>
          </cell>
          <cell r="H1936">
            <v>0</v>
          </cell>
          <cell r="I1936">
            <v>200</v>
          </cell>
          <cell r="J1936">
            <v>0</v>
          </cell>
          <cell r="K1936">
            <v>0</v>
          </cell>
          <cell r="L1936">
            <v>200</v>
          </cell>
          <cell r="M1936" t="str">
            <v>海沧</v>
          </cell>
        </row>
        <row r="1937">
          <cell r="B1937" t="str">
            <v>厦门市中信隆进出口公 Total</v>
          </cell>
          <cell r="L1937">
            <v>400</v>
          </cell>
        </row>
        <row r="1938">
          <cell r="A1938" t="str">
            <v>0086</v>
          </cell>
          <cell r="B1938" t="str">
            <v>厦门顺通达集装箱运输</v>
          </cell>
          <cell r="C1938" t="str">
            <v>其它</v>
          </cell>
          <cell r="D1938" t="str">
            <v>其它</v>
          </cell>
          <cell r="E1938" t="str">
            <v>抵押贷款</v>
          </cell>
          <cell r="F1938">
            <v>37475</v>
          </cell>
          <cell r="G1938">
            <v>37800</v>
          </cell>
          <cell r="H1938">
            <v>0</v>
          </cell>
          <cell r="I1938">
            <v>12</v>
          </cell>
          <cell r="J1938">
            <v>1.18</v>
          </cell>
          <cell r="K1938">
            <v>2.35</v>
          </cell>
          <cell r="L1938">
            <v>9.65</v>
          </cell>
          <cell r="M1938" t="str">
            <v>东芳</v>
          </cell>
        </row>
        <row r="1939">
          <cell r="B1939" t="str">
            <v>厦门顺通达集装箱运输 Total</v>
          </cell>
          <cell r="L1939">
            <v>9.65</v>
          </cell>
        </row>
        <row r="1940">
          <cell r="A1940" t="str">
            <v>100671</v>
          </cell>
          <cell r="B1940" t="str">
            <v>厦门顺源开发有限公司</v>
          </cell>
          <cell r="C1940" t="str">
            <v>三资</v>
          </cell>
          <cell r="D1940" t="str">
            <v>商贸</v>
          </cell>
          <cell r="E1940" t="str">
            <v>保证贷款</v>
          </cell>
          <cell r="F1940">
            <v>35699</v>
          </cell>
          <cell r="G1940">
            <v>35911</v>
          </cell>
          <cell r="H1940">
            <v>0</v>
          </cell>
          <cell r="I1940">
            <v>0</v>
          </cell>
          <cell r="J1940">
            <v>0</v>
          </cell>
          <cell r="K1940">
            <v>0</v>
          </cell>
          <cell r="L1940">
            <v>38</v>
          </cell>
          <cell r="M1940" t="str">
            <v>鹭江</v>
          </cell>
        </row>
        <row r="1941">
          <cell r="B1941" t="str">
            <v>厦门顺源开发有限公司 Total</v>
          </cell>
          <cell r="L1941">
            <v>38</v>
          </cell>
        </row>
        <row r="1942">
          <cell r="A1942" t="str">
            <v>020162</v>
          </cell>
          <cell r="B1942" t="str">
            <v>厦门思木公司</v>
          </cell>
          <cell r="C1942" t="str">
            <v>三资</v>
          </cell>
          <cell r="D1942" t="str">
            <v>商贸</v>
          </cell>
          <cell r="E1942" t="str">
            <v>质押贷款</v>
          </cell>
          <cell r="F1942">
            <v>37484</v>
          </cell>
          <cell r="G1942">
            <v>38203</v>
          </cell>
          <cell r="H1942">
            <v>0</v>
          </cell>
          <cell r="I1942">
            <v>8.9600000000000009</v>
          </cell>
          <cell r="J1942">
            <v>0.36</v>
          </cell>
          <cell r="K1942">
            <v>0.71</v>
          </cell>
          <cell r="L1942">
            <v>8.25</v>
          </cell>
          <cell r="M1942" t="str">
            <v>东区</v>
          </cell>
        </row>
        <row r="1943">
          <cell r="B1943" t="str">
            <v>厦门思木公司 Total</v>
          </cell>
          <cell r="L1943">
            <v>8.25</v>
          </cell>
        </row>
        <row r="1944">
          <cell r="A1944" t="str">
            <v>0010</v>
          </cell>
          <cell r="B1944" t="str">
            <v>厦门太川工业有限公司</v>
          </cell>
          <cell r="C1944" t="str">
            <v>三资</v>
          </cell>
          <cell r="D1944" t="str">
            <v>工业</v>
          </cell>
          <cell r="E1944" t="str">
            <v>质押贷款</v>
          </cell>
          <cell r="F1944">
            <v>37211</v>
          </cell>
          <cell r="G1944">
            <v>37576</v>
          </cell>
          <cell r="H1944">
            <v>0</v>
          </cell>
          <cell r="I1944">
            <v>0</v>
          </cell>
          <cell r="J1944">
            <v>0</v>
          </cell>
          <cell r="K1944">
            <v>50</v>
          </cell>
          <cell r="L1944">
            <v>80</v>
          </cell>
          <cell r="M1944" t="str">
            <v>东芳</v>
          </cell>
        </row>
        <row r="1945">
          <cell r="A1945" t="str">
            <v>0021</v>
          </cell>
          <cell r="B1945" t="str">
            <v>厦门太川工业有限公司</v>
          </cell>
          <cell r="C1945" t="str">
            <v>三资</v>
          </cell>
          <cell r="D1945" t="str">
            <v>工业</v>
          </cell>
          <cell r="E1945" t="str">
            <v>质押贷款</v>
          </cell>
          <cell r="F1945">
            <v>37285</v>
          </cell>
          <cell r="G1945">
            <v>37603</v>
          </cell>
          <cell r="H1945">
            <v>0</v>
          </cell>
          <cell r="I1945">
            <v>100</v>
          </cell>
          <cell r="J1945">
            <v>0</v>
          </cell>
          <cell r="K1945">
            <v>0</v>
          </cell>
          <cell r="L1945">
            <v>100</v>
          </cell>
          <cell r="M1945" t="str">
            <v>东芳</v>
          </cell>
        </row>
        <row r="1946">
          <cell r="A1946" t="str">
            <v>0011</v>
          </cell>
          <cell r="B1946" t="str">
            <v>厦门太川工业有限公司</v>
          </cell>
          <cell r="C1946" t="str">
            <v>三资</v>
          </cell>
          <cell r="D1946" t="str">
            <v>工业</v>
          </cell>
          <cell r="E1946" t="str">
            <v>质押贷款</v>
          </cell>
          <cell r="F1946">
            <v>37254</v>
          </cell>
          <cell r="G1946">
            <v>37603</v>
          </cell>
          <cell r="H1946">
            <v>0</v>
          </cell>
          <cell r="I1946">
            <v>0</v>
          </cell>
          <cell r="J1946">
            <v>0</v>
          </cell>
          <cell r="K1946">
            <v>0</v>
          </cell>
          <cell r="L1946">
            <v>150</v>
          </cell>
          <cell r="M1946" t="str">
            <v>东芳</v>
          </cell>
        </row>
        <row r="1947">
          <cell r="A1947" t="str">
            <v>0048</v>
          </cell>
          <cell r="B1947" t="str">
            <v>厦门太川工业有限公司</v>
          </cell>
          <cell r="C1947" t="str">
            <v>三资</v>
          </cell>
          <cell r="D1947" t="str">
            <v>工业</v>
          </cell>
          <cell r="E1947" t="str">
            <v>质押贷款</v>
          </cell>
          <cell r="F1947">
            <v>37329</v>
          </cell>
          <cell r="G1947">
            <v>37603</v>
          </cell>
          <cell r="H1947">
            <v>0</v>
          </cell>
          <cell r="I1947">
            <v>150</v>
          </cell>
          <cell r="J1947">
            <v>0</v>
          </cell>
          <cell r="K1947">
            <v>0</v>
          </cell>
          <cell r="L1947">
            <v>150</v>
          </cell>
          <cell r="M1947" t="str">
            <v>东芳</v>
          </cell>
        </row>
        <row r="1948">
          <cell r="B1948" t="str">
            <v>厦门太川工业有限公司 Total</v>
          </cell>
          <cell r="L1948">
            <v>480</v>
          </cell>
        </row>
        <row r="1949">
          <cell r="A1949" t="str">
            <v>023201</v>
          </cell>
          <cell r="B1949" t="str">
            <v>厦门太亚成货运公司</v>
          </cell>
          <cell r="C1949" t="str">
            <v>集体</v>
          </cell>
          <cell r="D1949" t="str">
            <v>其它</v>
          </cell>
          <cell r="E1949" t="str">
            <v>质押贷款</v>
          </cell>
          <cell r="F1949">
            <v>37509</v>
          </cell>
          <cell r="G1949">
            <v>37873</v>
          </cell>
          <cell r="H1949">
            <v>0</v>
          </cell>
          <cell r="I1949">
            <v>50</v>
          </cell>
          <cell r="J1949">
            <v>0</v>
          </cell>
          <cell r="K1949">
            <v>0</v>
          </cell>
          <cell r="L1949">
            <v>50</v>
          </cell>
          <cell r="M1949" t="str">
            <v>杏林</v>
          </cell>
        </row>
        <row r="1950">
          <cell r="B1950" t="str">
            <v>厦门太亚成货运公司 Total</v>
          </cell>
          <cell r="L1950">
            <v>50</v>
          </cell>
        </row>
        <row r="1951">
          <cell r="A1951" t="str">
            <v>20432</v>
          </cell>
          <cell r="B1951" t="str">
            <v>厦门特华商贸进出口</v>
          </cell>
          <cell r="C1951" t="str">
            <v>集体</v>
          </cell>
          <cell r="D1951" t="str">
            <v>商贸</v>
          </cell>
          <cell r="E1951" t="str">
            <v>保证贷款</v>
          </cell>
          <cell r="F1951">
            <v>37543</v>
          </cell>
          <cell r="G1951">
            <v>37908</v>
          </cell>
          <cell r="H1951">
            <v>19</v>
          </cell>
          <cell r="I1951">
            <v>19</v>
          </cell>
          <cell r="J1951">
            <v>0</v>
          </cell>
          <cell r="K1951">
            <v>0</v>
          </cell>
          <cell r="L1951">
            <v>19</v>
          </cell>
          <cell r="M1951" t="str">
            <v>江头</v>
          </cell>
        </row>
        <row r="1952">
          <cell r="B1952" t="str">
            <v>厦门特华商贸进出口 Total</v>
          </cell>
          <cell r="L1952">
            <v>19</v>
          </cell>
        </row>
        <row r="1953">
          <cell r="A1953" t="str">
            <v>20444</v>
          </cell>
          <cell r="B1953" t="str">
            <v>厦门特华商贸有限公司</v>
          </cell>
          <cell r="C1953" t="str">
            <v>集体</v>
          </cell>
          <cell r="D1953" t="str">
            <v>商贸</v>
          </cell>
          <cell r="E1953" t="str">
            <v>保证贷款</v>
          </cell>
          <cell r="F1953">
            <v>37551</v>
          </cell>
          <cell r="G1953">
            <v>37733</v>
          </cell>
          <cell r="H1953">
            <v>22</v>
          </cell>
          <cell r="I1953">
            <v>22</v>
          </cell>
          <cell r="J1953">
            <v>0</v>
          </cell>
          <cell r="K1953">
            <v>0</v>
          </cell>
          <cell r="L1953">
            <v>22</v>
          </cell>
          <cell r="M1953" t="str">
            <v>江头</v>
          </cell>
        </row>
        <row r="1954">
          <cell r="A1954" t="str">
            <v>20393</v>
          </cell>
          <cell r="B1954" t="str">
            <v>厦门特华商贸有限公司</v>
          </cell>
          <cell r="C1954" t="str">
            <v>其它</v>
          </cell>
          <cell r="D1954" t="str">
            <v>商贸</v>
          </cell>
          <cell r="E1954" t="str">
            <v>保证贷款</v>
          </cell>
          <cell r="F1954">
            <v>37526</v>
          </cell>
          <cell r="G1954">
            <v>37707</v>
          </cell>
          <cell r="H1954">
            <v>0</v>
          </cell>
          <cell r="I1954">
            <v>35</v>
          </cell>
          <cell r="J1954">
            <v>0</v>
          </cell>
          <cell r="K1954">
            <v>0</v>
          </cell>
          <cell r="L1954">
            <v>35</v>
          </cell>
          <cell r="M1954" t="str">
            <v>江头</v>
          </cell>
        </row>
        <row r="1955">
          <cell r="A1955" t="str">
            <v>22347</v>
          </cell>
          <cell r="B1955" t="str">
            <v>厦门特华商贸有限公司</v>
          </cell>
          <cell r="C1955" t="str">
            <v>外事</v>
          </cell>
          <cell r="D1955" t="str">
            <v>商贸</v>
          </cell>
          <cell r="E1955" t="str">
            <v>保证贷款</v>
          </cell>
          <cell r="F1955">
            <v>37482</v>
          </cell>
          <cell r="G1955">
            <v>37666</v>
          </cell>
          <cell r="H1955">
            <v>0</v>
          </cell>
          <cell r="I1955">
            <v>23</v>
          </cell>
          <cell r="J1955">
            <v>0</v>
          </cell>
          <cell r="K1955">
            <v>0</v>
          </cell>
          <cell r="L1955">
            <v>23</v>
          </cell>
          <cell r="M1955" t="str">
            <v>江头</v>
          </cell>
        </row>
        <row r="1956">
          <cell r="A1956" t="str">
            <v>20390</v>
          </cell>
          <cell r="B1956" t="str">
            <v>厦门特华商贸有限公司</v>
          </cell>
          <cell r="C1956" t="str">
            <v>外事</v>
          </cell>
          <cell r="D1956" t="str">
            <v>商贸</v>
          </cell>
          <cell r="E1956" t="str">
            <v>保证贷款</v>
          </cell>
          <cell r="F1956">
            <v>37516</v>
          </cell>
          <cell r="G1956">
            <v>37697</v>
          </cell>
          <cell r="H1956">
            <v>0</v>
          </cell>
          <cell r="I1956">
            <v>23</v>
          </cell>
          <cell r="J1956">
            <v>0</v>
          </cell>
          <cell r="K1956">
            <v>0</v>
          </cell>
          <cell r="L1956">
            <v>23</v>
          </cell>
          <cell r="M1956" t="str">
            <v>江头</v>
          </cell>
        </row>
        <row r="1957">
          <cell r="B1957" t="str">
            <v>厦门特华商贸有限公司 Total</v>
          </cell>
          <cell r="L1957">
            <v>103</v>
          </cell>
        </row>
        <row r="1958">
          <cell r="A1958" t="str">
            <v>00266R</v>
          </cell>
          <cell r="B1958" t="str">
            <v>厦门特贸有限公</v>
          </cell>
          <cell r="C1958" t="str">
            <v>国营</v>
          </cell>
          <cell r="D1958" t="str">
            <v>商贸</v>
          </cell>
          <cell r="E1958" t="str">
            <v>质押贷款</v>
          </cell>
          <cell r="F1958">
            <v>36334</v>
          </cell>
          <cell r="G1958">
            <v>36895</v>
          </cell>
          <cell r="H1958">
            <v>0</v>
          </cell>
          <cell r="I1958">
            <v>0</v>
          </cell>
          <cell r="J1958">
            <v>0</v>
          </cell>
          <cell r="K1958">
            <v>0</v>
          </cell>
          <cell r="L1958">
            <v>1000</v>
          </cell>
          <cell r="M1958" t="str">
            <v>营业</v>
          </cell>
        </row>
        <row r="1959">
          <cell r="A1959" t="str">
            <v>00266Y</v>
          </cell>
          <cell r="B1959" t="str">
            <v>厦门特贸有限公</v>
          </cell>
          <cell r="C1959" t="str">
            <v>国营</v>
          </cell>
          <cell r="D1959" t="str">
            <v>商贸</v>
          </cell>
          <cell r="E1959" t="str">
            <v>保证贷款</v>
          </cell>
          <cell r="F1959">
            <v>36336</v>
          </cell>
          <cell r="G1959">
            <v>36671</v>
          </cell>
          <cell r="H1959">
            <v>0</v>
          </cell>
          <cell r="I1959">
            <v>0</v>
          </cell>
          <cell r="J1959">
            <v>0</v>
          </cell>
          <cell r="K1959">
            <v>0</v>
          </cell>
          <cell r="L1959">
            <v>1000</v>
          </cell>
          <cell r="M1959" t="str">
            <v>营业</v>
          </cell>
        </row>
        <row r="1960">
          <cell r="A1960" t="str">
            <v>00266U</v>
          </cell>
          <cell r="B1960" t="str">
            <v>厦门特贸有限公</v>
          </cell>
          <cell r="C1960" t="str">
            <v>国营</v>
          </cell>
          <cell r="D1960" t="str">
            <v>商贸</v>
          </cell>
          <cell r="E1960" t="str">
            <v>质押贷款</v>
          </cell>
          <cell r="F1960">
            <v>36339</v>
          </cell>
          <cell r="G1960">
            <v>37052</v>
          </cell>
          <cell r="H1960">
            <v>0</v>
          </cell>
          <cell r="I1960">
            <v>0</v>
          </cell>
          <cell r="J1960">
            <v>0</v>
          </cell>
          <cell r="K1960">
            <v>0</v>
          </cell>
          <cell r="L1960">
            <v>5000</v>
          </cell>
          <cell r="M1960" t="str">
            <v>营业</v>
          </cell>
        </row>
        <row r="1961">
          <cell r="A1961" t="str">
            <v>01-042</v>
          </cell>
          <cell r="B1961" t="str">
            <v>厦门特贸有限公</v>
          </cell>
          <cell r="C1961" t="str">
            <v>国营</v>
          </cell>
          <cell r="D1961" t="str">
            <v>商贸</v>
          </cell>
          <cell r="E1961" t="str">
            <v>保证贷款</v>
          </cell>
          <cell r="F1961">
            <v>37047</v>
          </cell>
          <cell r="G1961">
            <v>37226</v>
          </cell>
          <cell r="H1961">
            <v>0</v>
          </cell>
          <cell r="I1961">
            <v>0</v>
          </cell>
          <cell r="J1961">
            <v>0</v>
          </cell>
          <cell r="K1961">
            <v>0</v>
          </cell>
          <cell r="L1961">
            <v>760</v>
          </cell>
          <cell r="M1961" t="str">
            <v>营业</v>
          </cell>
        </row>
        <row r="1962">
          <cell r="A1962" t="str">
            <v>00266I</v>
          </cell>
          <cell r="B1962" t="str">
            <v>厦门特贸有限公</v>
          </cell>
          <cell r="C1962" t="str">
            <v>国营</v>
          </cell>
          <cell r="D1962" t="str">
            <v>商贸</v>
          </cell>
          <cell r="E1962" t="str">
            <v>保证贷款</v>
          </cell>
          <cell r="F1962">
            <v>36346</v>
          </cell>
          <cell r="G1962">
            <v>36709</v>
          </cell>
          <cell r="H1962">
            <v>0</v>
          </cell>
          <cell r="I1962">
            <v>0</v>
          </cell>
          <cell r="J1962">
            <v>0</v>
          </cell>
          <cell r="K1962">
            <v>0</v>
          </cell>
          <cell r="L1962">
            <v>1000</v>
          </cell>
          <cell r="M1962" t="str">
            <v>营业</v>
          </cell>
        </row>
        <row r="1963">
          <cell r="A1963" t="str">
            <v>00266L</v>
          </cell>
          <cell r="B1963" t="str">
            <v>厦门特贸有限公</v>
          </cell>
          <cell r="C1963" t="str">
            <v>国营</v>
          </cell>
          <cell r="D1963" t="str">
            <v>商贸</v>
          </cell>
          <cell r="E1963" t="str">
            <v>保证贷款</v>
          </cell>
          <cell r="F1963">
            <v>36347</v>
          </cell>
          <cell r="G1963">
            <v>36671</v>
          </cell>
          <cell r="H1963">
            <v>0</v>
          </cell>
          <cell r="I1963">
            <v>0</v>
          </cell>
          <cell r="J1963">
            <v>0</v>
          </cell>
          <cell r="K1963">
            <v>0</v>
          </cell>
          <cell r="L1963">
            <v>1000</v>
          </cell>
          <cell r="M1963" t="str">
            <v>营业</v>
          </cell>
        </row>
        <row r="1964">
          <cell r="A1964" t="str">
            <v>00266K</v>
          </cell>
          <cell r="B1964" t="str">
            <v>厦门特贸有限公</v>
          </cell>
          <cell r="C1964" t="str">
            <v>国营</v>
          </cell>
          <cell r="D1964" t="str">
            <v>商贸</v>
          </cell>
          <cell r="E1964" t="str">
            <v>保证贷款</v>
          </cell>
          <cell r="F1964">
            <v>36382</v>
          </cell>
          <cell r="G1964">
            <v>36743</v>
          </cell>
          <cell r="H1964">
            <v>0</v>
          </cell>
          <cell r="I1964">
            <v>0</v>
          </cell>
          <cell r="J1964">
            <v>0</v>
          </cell>
          <cell r="K1964">
            <v>0</v>
          </cell>
          <cell r="L1964">
            <v>1000</v>
          </cell>
          <cell r="M1964" t="str">
            <v>营业</v>
          </cell>
        </row>
        <row r="1965">
          <cell r="A1965" t="str">
            <v>00266M</v>
          </cell>
          <cell r="B1965" t="str">
            <v>厦门特贸有限公</v>
          </cell>
          <cell r="C1965" t="str">
            <v>国营</v>
          </cell>
          <cell r="D1965" t="str">
            <v>商贸</v>
          </cell>
          <cell r="E1965" t="str">
            <v>质押贷款</v>
          </cell>
          <cell r="F1965">
            <v>36385</v>
          </cell>
          <cell r="G1965">
            <v>36911</v>
          </cell>
          <cell r="H1965">
            <v>0</v>
          </cell>
          <cell r="I1965">
            <v>0</v>
          </cell>
          <cell r="J1965">
            <v>0</v>
          </cell>
          <cell r="K1965">
            <v>0</v>
          </cell>
          <cell r="L1965">
            <v>1000</v>
          </cell>
          <cell r="M1965" t="str">
            <v>营业</v>
          </cell>
        </row>
        <row r="1966">
          <cell r="B1966" t="str">
            <v>厦门特贸有限公 Total</v>
          </cell>
          <cell r="L1966">
            <v>11760</v>
          </cell>
        </row>
        <row r="1967">
          <cell r="A1967" t="str">
            <v>30004D</v>
          </cell>
          <cell r="B1967" t="str">
            <v>厦门天第实业有限公司</v>
          </cell>
          <cell r="C1967" t="str">
            <v>三资</v>
          </cell>
          <cell r="D1967" t="str">
            <v>工业</v>
          </cell>
          <cell r="E1967" t="str">
            <v>抵押贷款</v>
          </cell>
          <cell r="F1967">
            <v>35969</v>
          </cell>
          <cell r="G1967">
            <v>35976</v>
          </cell>
          <cell r="H1967">
            <v>0</v>
          </cell>
          <cell r="I1967">
            <v>0</v>
          </cell>
          <cell r="J1967">
            <v>0</v>
          </cell>
          <cell r="K1967">
            <v>0</v>
          </cell>
          <cell r="L1967">
            <v>70.41769699999999</v>
          </cell>
          <cell r="M1967" t="str">
            <v>江头</v>
          </cell>
        </row>
        <row r="1968">
          <cell r="A1968" t="str">
            <v>30002D</v>
          </cell>
          <cell r="B1968" t="str">
            <v>厦门天第实业有限公司</v>
          </cell>
          <cell r="C1968" t="str">
            <v>三资</v>
          </cell>
          <cell r="D1968" t="str">
            <v>工业</v>
          </cell>
          <cell r="E1968" t="str">
            <v>抵押贷款</v>
          </cell>
          <cell r="F1968">
            <v>35905</v>
          </cell>
          <cell r="G1968">
            <v>35912</v>
          </cell>
          <cell r="H1968">
            <v>0</v>
          </cell>
          <cell r="I1968">
            <v>0</v>
          </cell>
          <cell r="J1968">
            <v>0</v>
          </cell>
          <cell r="K1968">
            <v>0</v>
          </cell>
          <cell r="L1968">
            <v>261.14953199999997</v>
          </cell>
          <cell r="M1968" t="str">
            <v>江头</v>
          </cell>
        </row>
        <row r="1969">
          <cell r="A1969" t="str">
            <v>30003D</v>
          </cell>
          <cell r="B1969" t="str">
            <v>厦门天第实业有限公司</v>
          </cell>
          <cell r="C1969" t="str">
            <v>三资</v>
          </cell>
          <cell r="D1969" t="str">
            <v>工业</v>
          </cell>
          <cell r="E1969" t="str">
            <v>抵押贷款</v>
          </cell>
          <cell r="F1969">
            <v>35963</v>
          </cell>
          <cell r="G1969">
            <v>35970</v>
          </cell>
          <cell r="H1969">
            <v>0</v>
          </cell>
          <cell r="I1969">
            <v>0</v>
          </cell>
          <cell r="J1969">
            <v>0</v>
          </cell>
          <cell r="K1969">
            <v>0</v>
          </cell>
          <cell r="L1969">
            <v>262.47348399999998</v>
          </cell>
          <cell r="M1969" t="str">
            <v>江头</v>
          </cell>
        </row>
        <row r="1970">
          <cell r="A1970" t="str">
            <v>30001D</v>
          </cell>
          <cell r="B1970" t="str">
            <v>厦门天第实业有限公司</v>
          </cell>
          <cell r="C1970" t="str">
            <v>三资</v>
          </cell>
          <cell r="D1970" t="str">
            <v>工业</v>
          </cell>
          <cell r="E1970" t="str">
            <v>抵押贷款</v>
          </cell>
          <cell r="F1970">
            <v>35905</v>
          </cell>
          <cell r="G1970">
            <v>35912</v>
          </cell>
          <cell r="H1970">
            <v>0</v>
          </cell>
          <cell r="I1970">
            <v>0</v>
          </cell>
          <cell r="J1970">
            <v>0</v>
          </cell>
          <cell r="K1970">
            <v>0</v>
          </cell>
          <cell r="L1970">
            <v>311.95618999999999</v>
          </cell>
          <cell r="M1970" t="str">
            <v>江头</v>
          </cell>
        </row>
        <row r="1971">
          <cell r="B1971" t="str">
            <v>厦门天第实业有限公司 Total</v>
          </cell>
          <cell r="L1971">
            <v>905.99690299999986</v>
          </cell>
        </row>
        <row r="1972">
          <cell r="A1972" t="str">
            <v>300154</v>
          </cell>
          <cell r="B1972" t="str">
            <v>厦门天同系统集成有限</v>
          </cell>
          <cell r="C1972" t="str">
            <v>其它</v>
          </cell>
          <cell r="D1972" t="str">
            <v>商贸</v>
          </cell>
          <cell r="E1972" t="str">
            <v>抵押贷款</v>
          </cell>
          <cell r="F1972">
            <v>37491</v>
          </cell>
          <cell r="G1972">
            <v>37734</v>
          </cell>
          <cell r="H1972">
            <v>0</v>
          </cell>
          <cell r="I1972">
            <v>55</v>
          </cell>
          <cell r="J1972">
            <v>0</v>
          </cell>
          <cell r="K1972">
            <v>0</v>
          </cell>
          <cell r="L1972">
            <v>55</v>
          </cell>
          <cell r="M1972" t="str">
            <v>鹭江</v>
          </cell>
        </row>
        <row r="1973">
          <cell r="B1973" t="str">
            <v>厦门天同系统集成有限 Total</v>
          </cell>
          <cell r="L1973">
            <v>55</v>
          </cell>
        </row>
        <row r="1974">
          <cell r="A1974" t="str">
            <v>923T09</v>
          </cell>
          <cell r="B1974" t="str">
            <v>厦门通利恒进出口有限</v>
          </cell>
          <cell r="C1974" t="str">
            <v>集体</v>
          </cell>
          <cell r="D1974" t="str">
            <v>商贸</v>
          </cell>
          <cell r="E1974" t="str">
            <v>保证贷款</v>
          </cell>
          <cell r="F1974">
            <v>37516</v>
          </cell>
          <cell r="G1974">
            <v>37881</v>
          </cell>
          <cell r="H1974">
            <v>0</v>
          </cell>
          <cell r="I1974">
            <v>45</v>
          </cell>
          <cell r="J1974">
            <v>0</v>
          </cell>
          <cell r="K1974">
            <v>0</v>
          </cell>
          <cell r="L1974">
            <v>45</v>
          </cell>
          <cell r="M1974" t="str">
            <v>禾祥</v>
          </cell>
        </row>
        <row r="1975">
          <cell r="B1975" t="str">
            <v>厦门通利恒进出口有限 Total</v>
          </cell>
          <cell r="L1975">
            <v>45</v>
          </cell>
        </row>
        <row r="1976">
          <cell r="A1976" t="str">
            <v>923T06</v>
          </cell>
          <cell r="B1976" t="str">
            <v>厦门通利恒经济发展</v>
          </cell>
          <cell r="C1976" t="str">
            <v>集体</v>
          </cell>
          <cell r="D1976" t="str">
            <v>商贸</v>
          </cell>
          <cell r="E1976" t="str">
            <v>保证贷款</v>
          </cell>
          <cell r="F1976">
            <v>37410</v>
          </cell>
          <cell r="G1976">
            <v>37958</v>
          </cell>
          <cell r="H1976">
            <v>0</v>
          </cell>
          <cell r="I1976">
            <v>12</v>
          </cell>
          <cell r="J1976">
            <v>0</v>
          </cell>
          <cell r="K1976">
            <v>0</v>
          </cell>
          <cell r="L1976">
            <v>12</v>
          </cell>
          <cell r="M1976" t="str">
            <v>禾祥</v>
          </cell>
        </row>
        <row r="1977">
          <cell r="A1977" t="str">
            <v>923T07</v>
          </cell>
          <cell r="B1977" t="str">
            <v>厦门通利恒经济发展</v>
          </cell>
          <cell r="C1977" t="str">
            <v>集体</v>
          </cell>
          <cell r="D1977" t="str">
            <v>商贸</v>
          </cell>
          <cell r="E1977" t="str">
            <v>保证贷款</v>
          </cell>
          <cell r="F1977">
            <v>37446</v>
          </cell>
          <cell r="G1977">
            <v>37630</v>
          </cell>
          <cell r="H1977">
            <v>0</v>
          </cell>
          <cell r="I1977">
            <v>25</v>
          </cell>
          <cell r="J1977">
            <v>0</v>
          </cell>
          <cell r="K1977">
            <v>0</v>
          </cell>
          <cell r="L1977">
            <v>25</v>
          </cell>
          <cell r="M1977" t="str">
            <v>禾祥</v>
          </cell>
        </row>
        <row r="1978">
          <cell r="B1978" t="str">
            <v>厦门通利恒经济发展 Total</v>
          </cell>
          <cell r="L1978">
            <v>37</v>
          </cell>
        </row>
        <row r="1979">
          <cell r="A1979" t="str">
            <v>020068</v>
          </cell>
          <cell r="B1979" t="str">
            <v>厦门通迈电梯有限公司</v>
          </cell>
          <cell r="C1979" t="str">
            <v>其它</v>
          </cell>
          <cell r="D1979" t="str">
            <v>商贸</v>
          </cell>
          <cell r="E1979" t="str">
            <v>保证贷款</v>
          </cell>
          <cell r="F1979">
            <v>37393</v>
          </cell>
          <cell r="G1979">
            <v>37758</v>
          </cell>
          <cell r="H1979">
            <v>0</v>
          </cell>
          <cell r="I1979">
            <v>100</v>
          </cell>
          <cell r="J1979">
            <v>0</v>
          </cell>
          <cell r="K1979">
            <v>0</v>
          </cell>
          <cell r="L1979">
            <v>100</v>
          </cell>
          <cell r="M1979" t="str">
            <v>东区</v>
          </cell>
        </row>
        <row r="1980">
          <cell r="A1980" t="str">
            <v>461</v>
          </cell>
          <cell r="B1980" t="str">
            <v>厦门通迈电梯有限公司</v>
          </cell>
          <cell r="C1980" t="str">
            <v>其它</v>
          </cell>
          <cell r="D1980" t="str">
            <v>商贸</v>
          </cell>
          <cell r="E1980" t="str">
            <v>保证贷款</v>
          </cell>
          <cell r="F1980">
            <v>37211</v>
          </cell>
          <cell r="G1980">
            <v>37576</v>
          </cell>
          <cell r="H1980">
            <v>0</v>
          </cell>
          <cell r="I1980">
            <v>0</v>
          </cell>
          <cell r="J1980">
            <v>0</v>
          </cell>
          <cell r="K1980">
            <v>0</v>
          </cell>
          <cell r="L1980">
            <v>200</v>
          </cell>
          <cell r="M1980" t="str">
            <v>东区</v>
          </cell>
        </row>
        <row r="1981">
          <cell r="B1981" t="str">
            <v>厦门通迈电梯有限公司 Total</v>
          </cell>
          <cell r="L1981">
            <v>300</v>
          </cell>
        </row>
        <row r="1982">
          <cell r="A1982" t="str">
            <v>020069</v>
          </cell>
          <cell r="B1982" t="str">
            <v>厦门通迈集团有限公司</v>
          </cell>
          <cell r="C1982" t="str">
            <v>其它</v>
          </cell>
          <cell r="D1982" t="str">
            <v>商贸</v>
          </cell>
          <cell r="E1982" t="str">
            <v>保证贷款</v>
          </cell>
          <cell r="F1982">
            <v>37389</v>
          </cell>
          <cell r="G1982">
            <v>37634</v>
          </cell>
          <cell r="H1982">
            <v>0</v>
          </cell>
          <cell r="I1982">
            <v>100</v>
          </cell>
          <cell r="J1982">
            <v>0</v>
          </cell>
          <cell r="K1982">
            <v>0</v>
          </cell>
          <cell r="L1982">
            <v>100</v>
          </cell>
          <cell r="M1982" t="str">
            <v>东区</v>
          </cell>
        </row>
        <row r="1983">
          <cell r="B1983" t="str">
            <v>厦门通迈集团有限公司 Total</v>
          </cell>
          <cell r="L1983">
            <v>100</v>
          </cell>
        </row>
        <row r="1984">
          <cell r="A1984" t="str">
            <v>021233</v>
          </cell>
          <cell r="B1984" t="str">
            <v>厦门同安顺发运输公司</v>
          </cell>
          <cell r="C1984" t="str">
            <v>集体</v>
          </cell>
          <cell r="D1984" t="str">
            <v>工业</v>
          </cell>
          <cell r="E1984" t="str">
            <v>抵押贷款</v>
          </cell>
          <cell r="F1984">
            <v>37243</v>
          </cell>
          <cell r="G1984">
            <v>37972</v>
          </cell>
          <cell r="H1984">
            <v>67.2</v>
          </cell>
          <cell r="I1984">
            <v>67.2</v>
          </cell>
          <cell r="J1984">
            <v>26.84</v>
          </cell>
          <cell r="K1984">
            <v>26.84</v>
          </cell>
          <cell r="L1984">
            <v>40.36</v>
          </cell>
          <cell r="M1984" t="str">
            <v>集美</v>
          </cell>
        </row>
        <row r="1985">
          <cell r="B1985" t="str">
            <v>厦门同安顺发运输公司 Total</v>
          </cell>
          <cell r="L1985">
            <v>40.36</v>
          </cell>
        </row>
        <row r="1986">
          <cell r="A1986" t="str">
            <v>01-023</v>
          </cell>
          <cell r="B1986" t="str">
            <v>厦门同润工贸有</v>
          </cell>
          <cell r="C1986" t="str">
            <v>集体</v>
          </cell>
          <cell r="D1986" t="str">
            <v>商贸</v>
          </cell>
          <cell r="E1986" t="str">
            <v>抵押贷款</v>
          </cell>
          <cell r="F1986">
            <v>36990</v>
          </cell>
          <cell r="G1986">
            <v>37630</v>
          </cell>
          <cell r="H1986">
            <v>0</v>
          </cell>
          <cell r="I1986">
            <v>0</v>
          </cell>
          <cell r="J1986">
            <v>0</v>
          </cell>
          <cell r="K1986">
            <v>0</v>
          </cell>
          <cell r="L1986">
            <v>200</v>
          </cell>
          <cell r="M1986" t="str">
            <v>营业</v>
          </cell>
        </row>
        <row r="1987">
          <cell r="B1987" t="str">
            <v>厦门同润工贸有 Total</v>
          </cell>
          <cell r="L1987">
            <v>200</v>
          </cell>
        </row>
        <row r="1988">
          <cell r="A1988" t="str">
            <v>070025</v>
          </cell>
          <cell r="B1988" t="str">
            <v>厦门土畜产公司</v>
          </cell>
          <cell r="C1988" t="str">
            <v>国营</v>
          </cell>
          <cell r="D1988" t="str">
            <v>商贸</v>
          </cell>
          <cell r="E1988" t="str">
            <v>保证贷款</v>
          </cell>
          <cell r="F1988">
            <v>37335</v>
          </cell>
          <cell r="G1988">
            <v>37699</v>
          </cell>
          <cell r="H1988">
            <v>0</v>
          </cell>
          <cell r="I1988">
            <v>500</v>
          </cell>
          <cell r="J1988">
            <v>0</v>
          </cell>
          <cell r="K1988">
            <v>0</v>
          </cell>
          <cell r="L1988">
            <v>500</v>
          </cell>
          <cell r="M1988" t="str">
            <v>公园</v>
          </cell>
        </row>
        <row r="1989">
          <cell r="B1989" t="str">
            <v>厦门土畜产公司 Total</v>
          </cell>
          <cell r="L1989">
            <v>500</v>
          </cell>
        </row>
        <row r="1990">
          <cell r="A1990" t="str">
            <v>070067</v>
          </cell>
          <cell r="B1990" t="str">
            <v>厦门外贸医保公司</v>
          </cell>
          <cell r="C1990" t="str">
            <v>国营</v>
          </cell>
          <cell r="D1990" t="str">
            <v>商贸</v>
          </cell>
          <cell r="E1990" t="str">
            <v>保证贷款</v>
          </cell>
          <cell r="F1990">
            <v>37489</v>
          </cell>
          <cell r="G1990">
            <v>37673</v>
          </cell>
          <cell r="H1990">
            <v>0</v>
          </cell>
          <cell r="I1990">
            <v>31</v>
          </cell>
          <cell r="J1990">
            <v>0</v>
          </cell>
          <cell r="K1990">
            <v>0</v>
          </cell>
          <cell r="L1990">
            <v>31</v>
          </cell>
          <cell r="M1990" t="str">
            <v>公园</v>
          </cell>
        </row>
        <row r="1991">
          <cell r="A1991" t="str">
            <v>070072</v>
          </cell>
          <cell r="B1991" t="str">
            <v>厦门外贸医保公司</v>
          </cell>
          <cell r="C1991" t="str">
            <v>国营</v>
          </cell>
          <cell r="D1991" t="str">
            <v>商贸</v>
          </cell>
          <cell r="E1991" t="str">
            <v>保证贷款</v>
          </cell>
          <cell r="F1991">
            <v>37515</v>
          </cell>
          <cell r="G1991">
            <v>37696</v>
          </cell>
          <cell r="H1991">
            <v>0</v>
          </cell>
          <cell r="I1991">
            <v>69</v>
          </cell>
          <cell r="J1991">
            <v>0</v>
          </cell>
          <cell r="K1991">
            <v>0</v>
          </cell>
          <cell r="L1991">
            <v>69</v>
          </cell>
          <cell r="M1991" t="str">
            <v>公园</v>
          </cell>
        </row>
        <row r="1992">
          <cell r="A1992" t="str">
            <v>070026</v>
          </cell>
          <cell r="B1992" t="str">
            <v>厦门外贸医保公司</v>
          </cell>
          <cell r="C1992" t="str">
            <v>国营</v>
          </cell>
          <cell r="D1992" t="str">
            <v>商贸</v>
          </cell>
          <cell r="E1992" t="str">
            <v>保证贷款</v>
          </cell>
          <cell r="F1992">
            <v>37335</v>
          </cell>
          <cell r="G1992">
            <v>37699</v>
          </cell>
          <cell r="H1992">
            <v>0</v>
          </cell>
          <cell r="I1992">
            <v>500</v>
          </cell>
          <cell r="J1992">
            <v>0</v>
          </cell>
          <cell r="K1992">
            <v>0</v>
          </cell>
          <cell r="L1992">
            <v>500</v>
          </cell>
          <cell r="M1992" t="str">
            <v>公园</v>
          </cell>
        </row>
        <row r="1993">
          <cell r="B1993" t="str">
            <v>厦门外贸医保公司 Total</v>
          </cell>
          <cell r="L1993">
            <v>600</v>
          </cell>
        </row>
        <row r="1994">
          <cell r="A1994" t="str">
            <v>00051</v>
          </cell>
          <cell r="B1994" t="str">
            <v>厦门万禾房地产公司</v>
          </cell>
          <cell r="C1994" t="str">
            <v>集体</v>
          </cell>
          <cell r="D1994" t="str">
            <v>其它</v>
          </cell>
          <cell r="E1994" t="str">
            <v>抵押贷款</v>
          </cell>
          <cell r="F1994">
            <v>36889</v>
          </cell>
          <cell r="G1994">
            <v>37425</v>
          </cell>
          <cell r="H1994">
            <v>0</v>
          </cell>
          <cell r="I1994">
            <v>0</v>
          </cell>
          <cell r="J1994">
            <v>200</v>
          </cell>
          <cell r="K1994">
            <v>1500</v>
          </cell>
          <cell r="L1994">
            <v>1000</v>
          </cell>
          <cell r="M1994" t="str">
            <v>文滨</v>
          </cell>
        </row>
        <row r="1995">
          <cell r="B1995" t="str">
            <v>厦门万禾房地产公司 Total</v>
          </cell>
          <cell r="L1995">
            <v>1000</v>
          </cell>
        </row>
        <row r="1996">
          <cell r="A1996" t="str">
            <v>02-022</v>
          </cell>
          <cell r="B1996" t="str">
            <v>厦门万华置业有</v>
          </cell>
          <cell r="C1996" t="str">
            <v>集体</v>
          </cell>
          <cell r="D1996" t="str">
            <v>其它</v>
          </cell>
          <cell r="E1996" t="str">
            <v>保证贷款</v>
          </cell>
          <cell r="F1996">
            <v>37362</v>
          </cell>
          <cell r="G1996">
            <v>37576</v>
          </cell>
          <cell r="H1996">
            <v>0</v>
          </cell>
          <cell r="I1996">
            <v>500</v>
          </cell>
          <cell r="J1996">
            <v>0</v>
          </cell>
          <cell r="K1996">
            <v>0</v>
          </cell>
          <cell r="L1996">
            <v>500</v>
          </cell>
          <cell r="M1996" t="str">
            <v>营业</v>
          </cell>
        </row>
        <row r="1997">
          <cell r="B1997" t="str">
            <v>厦门万华置业有 Total</v>
          </cell>
          <cell r="L1997">
            <v>500</v>
          </cell>
        </row>
        <row r="1998">
          <cell r="A1998" t="str">
            <v>97126</v>
          </cell>
          <cell r="B1998" t="str">
            <v>厦门万家康乐有限公司</v>
          </cell>
          <cell r="C1998" t="str">
            <v>三资</v>
          </cell>
          <cell r="D1998" t="str">
            <v>商贸</v>
          </cell>
          <cell r="E1998" t="str">
            <v>保证贷款</v>
          </cell>
          <cell r="F1998">
            <v>35682</v>
          </cell>
          <cell r="G1998">
            <v>35954</v>
          </cell>
          <cell r="H1998">
            <v>0</v>
          </cell>
          <cell r="I1998">
            <v>0</v>
          </cell>
          <cell r="J1998">
            <v>0</v>
          </cell>
          <cell r="K1998">
            <v>0</v>
          </cell>
          <cell r="L1998">
            <v>100</v>
          </cell>
          <cell r="M1998" t="str">
            <v>文滨</v>
          </cell>
        </row>
        <row r="1999">
          <cell r="B1999" t="str">
            <v>厦门万家康乐有限公司 Total</v>
          </cell>
          <cell r="L1999">
            <v>100</v>
          </cell>
        </row>
        <row r="2000">
          <cell r="A2000" t="str">
            <v>20389</v>
          </cell>
          <cell r="B2000" t="str">
            <v>厦门万里石有限公司</v>
          </cell>
          <cell r="C2000" t="str">
            <v>外事</v>
          </cell>
          <cell r="D2000" t="str">
            <v>商贸</v>
          </cell>
          <cell r="E2000" t="str">
            <v>保证贷款</v>
          </cell>
          <cell r="F2000">
            <v>37516</v>
          </cell>
          <cell r="G2000">
            <v>37697</v>
          </cell>
          <cell r="H2000">
            <v>0</v>
          </cell>
          <cell r="I2000">
            <v>300</v>
          </cell>
          <cell r="J2000">
            <v>0</v>
          </cell>
          <cell r="K2000">
            <v>0</v>
          </cell>
          <cell r="L2000">
            <v>300</v>
          </cell>
          <cell r="M2000" t="str">
            <v>江头</v>
          </cell>
        </row>
        <row r="2001">
          <cell r="B2001" t="str">
            <v>厦门万里石有限公司 Total</v>
          </cell>
          <cell r="L2001">
            <v>300</v>
          </cell>
        </row>
        <row r="2002">
          <cell r="A2002" t="str">
            <v>160054</v>
          </cell>
          <cell r="B2002" t="str">
            <v>厦门威电行电子有限公</v>
          </cell>
          <cell r="C2002" t="str">
            <v>其它</v>
          </cell>
          <cell r="D2002" t="str">
            <v>其它</v>
          </cell>
          <cell r="E2002" t="str">
            <v>票据贴现</v>
          </cell>
          <cell r="F2002">
            <v>37544</v>
          </cell>
          <cell r="G2002">
            <v>37649</v>
          </cell>
          <cell r="H2002">
            <v>10</v>
          </cell>
          <cell r="I2002">
            <v>10</v>
          </cell>
          <cell r="J2002">
            <v>0</v>
          </cell>
          <cell r="K2002">
            <v>0</v>
          </cell>
          <cell r="L2002">
            <v>10</v>
          </cell>
          <cell r="M2002" t="str">
            <v>梧村</v>
          </cell>
        </row>
        <row r="2003">
          <cell r="B2003" t="str">
            <v>厦门威电行电子有限公 Total</v>
          </cell>
          <cell r="L2003">
            <v>10</v>
          </cell>
        </row>
        <row r="2004">
          <cell r="A2004" t="str">
            <v>02-008</v>
          </cell>
          <cell r="B2004" t="str">
            <v>厦门维一实业有</v>
          </cell>
          <cell r="C2004" t="str">
            <v>集体</v>
          </cell>
          <cell r="D2004" t="str">
            <v>商贸</v>
          </cell>
          <cell r="E2004" t="str">
            <v>保证贷款</v>
          </cell>
          <cell r="F2004">
            <v>37295</v>
          </cell>
          <cell r="G2004">
            <v>37653</v>
          </cell>
          <cell r="H2004">
            <v>0</v>
          </cell>
          <cell r="I2004">
            <v>1630</v>
          </cell>
          <cell r="J2004">
            <v>0</v>
          </cell>
          <cell r="K2004">
            <v>0</v>
          </cell>
          <cell r="L2004">
            <v>1630</v>
          </cell>
          <cell r="M2004" t="str">
            <v>营业</v>
          </cell>
        </row>
        <row r="2005">
          <cell r="B2005" t="str">
            <v>厦门维一实业有 Total</v>
          </cell>
          <cell r="L2005">
            <v>1630</v>
          </cell>
        </row>
        <row r="2006">
          <cell r="A2006" t="str">
            <v>200185</v>
          </cell>
          <cell r="B2006" t="str">
            <v>厦门味友食品公司</v>
          </cell>
          <cell r="C2006" t="str">
            <v>三资</v>
          </cell>
          <cell r="D2006" t="str">
            <v>工业</v>
          </cell>
          <cell r="E2006" t="str">
            <v>抵押贷款</v>
          </cell>
          <cell r="F2006">
            <v>37260</v>
          </cell>
          <cell r="G2006">
            <v>37533</v>
          </cell>
          <cell r="H2006">
            <v>0</v>
          </cell>
          <cell r="I2006">
            <v>470</v>
          </cell>
          <cell r="J2006">
            <v>0</v>
          </cell>
          <cell r="K2006">
            <v>0</v>
          </cell>
          <cell r="L2006">
            <v>470</v>
          </cell>
          <cell r="M2006" t="str">
            <v>同安</v>
          </cell>
        </row>
        <row r="2007">
          <cell r="B2007" t="str">
            <v>厦门味友食品公司 Total</v>
          </cell>
          <cell r="L2007">
            <v>470</v>
          </cell>
        </row>
        <row r="2008">
          <cell r="A2008" t="str">
            <v>20395</v>
          </cell>
          <cell r="B2008" t="str">
            <v>厦门厦工集团有限公司</v>
          </cell>
          <cell r="C2008" t="str">
            <v>国营</v>
          </cell>
          <cell r="D2008" t="str">
            <v>工业</v>
          </cell>
          <cell r="E2008" t="str">
            <v>信用贷款</v>
          </cell>
          <cell r="F2008">
            <v>37529</v>
          </cell>
          <cell r="G2008">
            <v>37710</v>
          </cell>
          <cell r="H2008">
            <v>0</v>
          </cell>
          <cell r="I2008">
            <v>500</v>
          </cell>
          <cell r="J2008">
            <v>0</v>
          </cell>
          <cell r="K2008">
            <v>0</v>
          </cell>
          <cell r="L2008">
            <v>500</v>
          </cell>
          <cell r="M2008" t="str">
            <v>江头</v>
          </cell>
        </row>
        <row r="2009">
          <cell r="A2009" t="str">
            <v>20394</v>
          </cell>
          <cell r="B2009" t="str">
            <v>厦门厦工集团有限公司</v>
          </cell>
          <cell r="C2009" t="str">
            <v>国营</v>
          </cell>
          <cell r="D2009" t="str">
            <v>工业</v>
          </cell>
          <cell r="E2009" t="str">
            <v>信用贷款</v>
          </cell>
          <cell r="F2009">
            <v>37529</v>
          </cell>
          <cell r="G2009">
            <v>37894</v>
          </cell>
          <cell r="H2009">
            <v>0</v>
          </cell>
          <cell r="I2009">
            <v>1000</v>
          </cell>
          <cell r="J2009">
            <v>0</v>
          </cell>
          <cell r="K2009">
            <v>0</v>
          </cell>
          <cell r="L2009">
            <v>1000</v>
          </cell>
          <cell r="M2009" t="str">
            <v>江头</v>
          </cell>
        </row>
        <row r="2010">
          <cell r="B2010" t="str">
            <v>厦门厦工集团有限公司 Total</v>
          </cell>
          <cell r="L2010">
            <v>1500</v>
          </cell>
        </row>
        <row r="2011">
          <cell r="A2011" t="str">
            <v>021317</v>
          </cell>
          <cell r="B2011" t="str">
            <v>厦门厦杏摩托公司</v>
          </cell>
          <cell r="C2011" t="str">
            <v>三资</v>
          </cell>
          <cell r="D2011" t="str">
            <v>工业</v>
          </cell>
          <cell r="E2011" t="str">
            <v>保证贷款</v>
          </cell>
          <cell r="F2011">
            <v>37455</v>
          </cell>
          <cell r="G2011">
            <v>37775</v>
          </cell>
          <cell r="H2011">
            <v>0</v>
          </cell>
          <cell r="I2011">
            <v>800</v>
          </cell>
          <cell r="J2011">
            <v>0</v>
          </cell>
          <cell r="K2011">
            <v>0</v>
          </cell>
          <cell r="L2011">
            <v>800</v>
          </cell>
          <cell r="M2011" t="str">
            <v>杏林</v>
          </cell>
        </row>
        <row r="2012">
          <cell r="B2012" t="str">
            <v>厦门厦杏摩托公司 Total</v>
          </cell>
          <cell r="L2012">
            <v>800</v>
          </cell>
        </row>
        <row r="2013">
          <cell r="A2013" t="str">
            <v>20445</v>
          </cell>
          <cell r="B2013" t="str">
            <v>厦门显能光电技术公司</v>
          </cell>
          <cell r="C2013" t="str">
            <v>集体</v>
          </cell>
          <cell r="D2013" t="str">
            <v>商贸</v>
          </cell>
          <cell r="E2013" t="str">
            <v>保证贷款</v>
          </cell>
          <cell r="F2013">
            <v>37547</v>
          </cell>
          <cell r="G2013">
            <v>37912</v>
          </cell>
          <cell r="H2013">
            <v>50</v>
          </cell>
          <cell r="I2013">
            <v>50</v>
          </cell>
          <cell r="J2013">
            <v>0</v>
          </cell>
          <cell r="K2013">
            <v>0</v>
          </cell>
          <cell r="L2013">
            <v>50</v>
          </cell>
          <cell r="M2013" t="str">
            <v>江头</v>
          </cell>
        </row>
        <row r="2014">
          <cell r="B2014" t="str">
            <v>厦门显能光电技术公司 Total</v>
          </cell>
          <cell r="L2014">
            <v>50</v>
          </cell>
        </row>
        <row r="2015">
          <cell r="A2015" t="str">
            <v>0084</v>
          </cell>
          <cell r="B2015" t="str">
            <v>厦门享顺汽车运输有限</v>
          </cell>
          <cell r="C2015" t="str">
            <v>其它</v>
          </cell>
          <cell r="D2015" t="str">
            <v>其它</v>
          </cell>
          <cell r="E2015" t="str">
            <v>抵押贷款</v>
          </cell>
          <cell r="F2015">
            <v>37470</v>
          </cell>
          <cell r="G2015">
            <v>38149</v>
          </cell>
          <cell r="H2015">
            <v>0</v>
          </cell>
          <cell r="I2015">
            <v>51</v>
          </cell>
          <cell r="J2015">
            <v>2.2200000000000002</v>
          </cell>
          <cell r="K2015">
            <v>4.43</v>
          </cell>
          <cell r="L2015">
            <v>46.57</v>
          </cell>
          <cell r="M2015" t="str">
            <v>东芳</v>
          </cell>
        </row>
        <row r="2016">
          <cell r="B2016" t="str">
            <v>厦门享顺汽车运输有限 Total</v>
          </cell>
          <cell r="L2016">
            <v>46.57</v>
          </cell>
        </row>
        <row r="2017">
          <cell r="A2017" t="str">
            <v>000013</v>
          </cell>
          <cell r="B2017" t="str">
            <v>厦门象屿环通国贸</v>
          </cell>
          <cell r="C2017" t="str">
            <v>国营</v>
          </cell>
          <cell r="D2017" t="str">
            <v>商贸</v>
          </cell>
          <cell r="E2017" t="str">
            <v>保证贷款</v>
          </cell>
          <cell r="F2017">
            <v>35381</v>
          </cell>
          <cell r="G2017">
            <v>35441</v>
          </cell>
          <cell r="H2017">
            <v>0</v>
          </cell>
          <cell r="I2017">
            <v>0</v>
          </cell>
          <cell r="J2017">
            <v>0</v>
          </cell>
          <cell r="K2017">
            <v>0</v>
          </cell>
          <cell r="L2017">
            <v>150</v>
          </cell>
          <cell r="M2017" t="str">
            <v>思明</v>
          </cell>
        </row>
        <row r="2018">
          <cell r="B2018" t="str">
            <v>厦门象屿环通国贸 Total</v>
          </cell>
          <cell r="L2018">
            <v>150</v>
          </cell>
        </row>
        <row r="2019">
          <cell r="A2019" t="str">
            <v>40300</v>
          </cell>
          <cell r="B2019" t="str">
            <v>厦门象屿集团有限公司</v>
          </cell>
          <cell r="C2019" t="str">
            <v>国营</v>
          </cell>
          <cell r="D2019" t="str">
            <v>商贸</v>
          </cell>
          <cell r="E2019" t="str">
            <v>票据贴现</v>
          </cell>
          <cell r="F2019">
            <v>37540</v>
          </cell>
          <cell r="G2019">
            <v>37581</v>
          </cell>
          <cell r="H2019">
            <v>21.4</v>
          </cell>
          <cell r="I2019">
            <v>21.4</v>
          </cell>
          <cell r="J2019">
            <v>0</v>
          </cell>
          <cell r="K2019">
            <v>0</v>
          </cell>
          <cell r="L2019">
            <v>21.4</v>
          </cell>
          <cell r="M2019" t="str">
            <v>象屿</v>
          </cell>
        </row>
        <row r="2020">
          <cell r="A2020" t="str">
            <v>40301</v>
          </cell>
          <cell r="B2020" t="str">
            <v>厦门象屿集团有限公司</v>
          </cell>
          <cell r="C2020" t="str">
            <v>国营</v>
          </cell>
          <cell r="D2020" t="str">
            <v>商贸</v>
          </cell>
          <cell r="E2020" t="str">
            <v>票据贴现</v>
          </cell>
          <cell r="F2020">
            <v>37540</v>
          </cell>
          <cell r="G2020">
            <v>37595</v>
          </cell>
          <cell r="H2020">
            <v>22.6</v>
          </cell>
          <cell r="I2020">
            <v>22.6</v>
          </cell>
          <cell r="J2020">
            <v>0</v>
          </cell>
          <cell r="K2020">
            <v>0</v>
          </cell>
          <cell r="L2020">
            <v>22.6</v>
          </cell>
          <cell r="M2020" t="str">
            <v>象屿</v>
          </cell>
        </row>
        <row r="2021">
          <cell r="A2021" t="str">
            <v>40302</v>
          </cell>
          <cell r="B2021" t="str">
            <v>厦门象屿集团有限公司</v>
          </cell>
          <cell r="C2021" t="str">
            <v>国营</v>
          </cell>
          <cell r="D2021" t="str">
            <v>商贸</v>
          </cell>
          <cell r="E2021" t="str">
            <v>票据贴现</v>
          </cell>
          <cell r="F2021">
            <v>37546</v>
          </cell>
          <cell r="G2021">
            <v>37602</v>
          </cell>
          <cell r="H2021">
            <v>50</v>
          </cell>
          <cell r="I2021">
            <v>50</v>
          </cell>
          <cell r="J2021">
            <v>0</v>
          </cell>
          <cell r="K2021">
            <v>0</v>
          </cell>
          <cell r="L2021">
            <v>50</v>
          </cell>
          <cell r="M2021" t="str">
            <v>象屿</v>
          </cell>
        </row>
        <row r="2022">
          <cell r="A2022" t="str">
            <v>40292</v>
          </cell>
          <cell r="B2022" t="str">
            <v>厦门象屿集团有限公司</v>
          </cell>
          <cell r="C2022" t="str">
            <v>国营</v>
          </cell>
          <cell r="D2022" t="str">
            <v>商贸</v>
          </cell>
          <cell r="E2022" t="str">
            <v>票据贴现</v>
          </cell>
          <cell r="F2022">
            <v>37463</v>
          </cell>
          <cell r="G2022">
            <v>37595</v>
          </cell>
          <cell r="H2022">
            <v>0</v>
          </cell>
          <cell r="I2022">
            <v>60</v>
          </cell>
          <cell r="J2022">
            <v>0</v>
          </cell>
          <cell r="K2022">
            <v>0</v>
          </cell>
          <cell r="L2022">
            <v>60</v>
          </cell>
          <cell r="M2022" t="str">
            <v>象屿</v>
          </cell>
        </row>
        <row r="2023">
          <cell r="A2023" t="str">
            <v>40275</v>
          </cell>
          <cell r="B2023" t="str">
            <v>厦门象屿集团有限公司</v>
          </cell>
          <cell r="C2023" t="str">
            <v>国营</v>
          </cell>
          <cell r="D2023" t="str">
            <v>商贸</v>
          </cell>
          <cell r="E2023" t="str">
            <v>质押贷款</v>
          </cell>
          <cell r="F2023">
            <v>37246</v>
          </cell>
          <cell r="G2023">
            <v>37611</v>
          </cell>
          <cell r="H2023">
            <v>0</v>
          </cell>
          <cell r="I2023">
            <v>0</v>
          </cell>
          <cell r="J2023">
            <v>0</v>
          </cell>
          <cell r="K2023">
            <v>500</v>
          </cell>
          <cell r="L2023">
            <v>400</v>
          </cell>
          <cell r="M2023" t="str">
            <v>象屿</v>
          </cell>
        </row>
        <row r="2024">
          <cell r="A2024" t="str">
            <v>40295</v>
          </cell>
          <cell r="B2024" t="str">
            <v>厦门象屿集团有限公司</v>
          </cell>
          <cell r="C2024" t="str">
            <v>国营</v>
          </cell>
          <cell r="D2024" t="str">
            <v>商贸</v>
          </cell>
          <cell r="E2024" t="str">
            <v>质押贷款</v>
          </cell>
          <cell r="F2024">
            <v>37516</v>
          </cell>
          <cell r="G2024">
            <v>37697</v>
          </cell>
          <cell r="H2024">
            <v>0</v>
          </cell>
          <cell r="I2024">
            <v>550</v>
          </cell>
          <cell r="J2024">
            <v>0</v>
          </cell>
          <cell r="K2024">
            <v>0</v>
          </cell>
          <cell r="L2024">
            <v>550</v>
          </cell>
          <cell r="M2024" t="str">
            <v>象屿</v>
          </cell>
        </row>
        <row r="2025">
          <cell r="A2025" t="str">
            <v>40285</v>
          </cell>
          <cell r="B2025" t="str">
            <v>厦门象屿集团有限公司</v>
          </cell>
          <cell r="C2025" t="str">
            <v>国营</v>
          </cell>
          <cell r="D2025" t="str">
            <v>商贸</v>
          </cell>
          <cell r="E2025" t="str">
            <v>质押贷款</v>
          </cell>
          <cell r="F2025">
            <v>37329</v>
          </cell>
          <cell r="G2025">
            <v>37693</v>
          </cell>
          <cell r="H2025">
            <v>0</v>
          </cell>
          <cell r="I2025">
            <v>600</v>
          </cell>
          <cell r="J2025">
            <v>0</v>
          </cell>
          <cell r="K2025">
            <v>0</v>
          </cell>
          <cell r="L2025">
            <v>600</v>
          </cell>
          <cell r="M2025" t="str">
            <v>象屿</v>
          </cell>
        </row>
        <row r="2026">
          <cell r="B2026" t="str">
            <v>厦门象屿集团有限公司 Total</v>
          </cell>
          <cell r="L2026">
            <v>1704</v>
          </cell>
        </row>
        <row r="2027">
          <cell r="A2027" t="str">
            <v>02-044</v>
          </cell>
          <cell r="B2027" t="str">
            <v>厦门象屿瑞尔进</v>
          </cell>
          <cell r="C2027" t="str">
            <v>集体</v>
          </cell>
          <cell r="D2027" t="str">
            <v>商贸</v>
          </cell>
          <cell r="E2027" t="str">
            <v>保证贷款</v>
          </cell>
          <cell r="F2027">
            <v>37461</v>
          </cell>
          <cell r="G2027">
            <v>37826</v>
          </cell>
          <cell r="H2027">
            <v>0</v>
          </cell>
          <cell r="I2027">
            <v>600</v>
          </cell>
          <cell r="J2027">
            <v>0</v>
          </cell>
          <cell r="K2027">
            <v>0</v>
          </cell>
          <cell r="L2027">
            <v>600</v>
          </cell>
          <cell r="M2027" t="str">
            <v>营业</v>
          </cell>
        </row>
        <row r="2028">
          <cell r="A2028" t="str">
            <v>02-108</v>
          </cell>
          <cell r="B2028" t="str">
            <v>厦门象屿瑞尔进</v>
          </cell>
          <cell r="C2028" t="str">
            <v>集体</v>
          </cell>
          <cell r="D2028" t="str">
            <v>商贸</v>
          </cell>
          <cell r="E2028" t="str">
            <v>质押贷款</v>
          </cell>
          <cell r="F2028">
            <v>37421</v>
          </cell>
          <cell r="G2028">
            <v>37786</v>
          </cell>
          <cell r="H2028">
            <v>0</v>
          </cell>
          <cell r="I2028">
            <v>1100</v>
          </cell>
          <cell r="J2028">
            <v>0</v>
          </cell>
          <cell r="K2028">
            <v>0</v>
          </cell>
          <cell r="L2028">
            <v>1100</v>
          </cell>
          <cell r="M2028" t="str">
            <v>营业</v>
          </cell>
        </row>
        <row r="2029">
          <cell r="B2029" t="str">
            <v>厦门象屿瑞尔进 Total</v>
          </cell>
          <cell r="L2029">
            <v>1700</v>
          </cell>
        </row>
        <row r="2030">
          <cell r="A2030" t="str">
            <v>020020</v>
          </cell>
          <cell r="B2030" t="str">
            <v>厦门协发包装用品公司</v>
          </cell>
          <cell r="C2030" t="str">
            <v>三资</v>
          </cell>
          <cell r="D2030" t="str">
            <v>工业</v>
          </cell>
          <cell r="E2030" t="str">
            <v>保证贷款</v>
          </cell>
          <cell r="F2030">
            <v>37295</v>
          </cell>
          <cell r="G2030">
            <v>37660</v>
          </cell>
          <cell r="H2030">
            <v>0</v>
          </cell>
          <cell r="I2030">
            <v>200</v>
          </cell>
          <cell r="J2030">
            <v>0</v>
          </cell>
          <cell r="K2030">
            <v>0</v>
          </cell>
          <cell r="L2030">
            <v>200</v>
          </cell>
          <cell r="M2030" t="str">
            <v>东区</v>
          </cell>
        </row>
        <row r="2031">
          <cell r="B2031" t="str">
            <v>厦门协发包装用品公司 Total</v>
          </cell>
          <cell r="L2031">
            <v>200</v>
          </cell>
        </row>
        <row r="2032">
          <cell r="A2032" t="str">
            <v>021315</v>
          </cell>
          <cell r="B2032" t="str">
            <v>厦门新鸿洲塑胶公司</v>
          </cell>
          <cell r="C2032" t="str">
            <v>三资</v>
          </cell>
          <cell r="D2032" t="str">
            <v>工业</v>
          </cell>
          <cell r="E2032" t="str">
            <v>保证贷款</v>
          </cell>
          <cell r="F2032">
            <v>37461</v>
          </cell>
          <cell r="G2032">
            <v>37826</v>
          </cell>
          <cell r="H2032">
            <v>0</v>
          </cell>
          <cell r="I2032">
            <v>200</v>
          </cell>
          <cell r="J2032">
            <v>0</v>
          </cell>
          <cell r="K2032">
            <v>0</v>
          </cell>
          <cell r="L2032">
            <v>200</v>
          </cell>
          <cell r="M2032" t="str">
            <v>杏林</v>
          </cell>
        </row>
        <row r="2033">
          <cell r="A2033" t="str">
            <v>021302</v>
          </cell>
          <cell r="B2033" t="str">
            <v>厦门新鸿洲塑胶公司</v>
          </cell>
          <cell r="C2033" t="str">
            <v>三资</v>
          </cell>
          <cell r="D2033" t="str">
            <v>工业</v>
          </cell>
          <cell r="E2033" t="str">
            <v>保证贷款</v>
          </cell>
          <cell r="F2033">
            <v>37285</v>
          </cell>
          <cell r="G2033">
            <v>37650</v>
          </cell>
          <cell r="H2033">
            <v>0</v>
          </cell>
          <cell r="I2033">
            <v>400</v>
          </cell>
          <cell r="J2033">
            <v>0</v>
          </cell>
          <cell r="K2033">
            <v>0</v>
          </cell>
          <cell r="L2033">
            <v>400</v>
          </cell>
          <cell r="M2033" t="str">
            <v>杏林</v>
          </cell>
        </row>
        <row r="2034">
          <cell r="B2034" t="str">
            <v>厦门新鸿洲塑胶公司 Total</v>
          </cell>
          <cell r="L2034">
            <v>600</v>
          </cell>
        </row>
        <row r="2035">
          <cell r="A2035" t="str">
            <v>0001</v>
          </cell>
          <cell r="B2035" t="str">
            <v>厦门新华特集团有限公</v>
          </cell>
          <cell r="C2035" t="str">
            <v>其它</v>
          </cell>
          <cell r="D2035" t="str">
            <v>工业</v>
          </cell>
          <cell r="E2035" t="str">
            <v>保证贷款</v>
          </cell>
          <cell r="F2035">
            <v>36152</v>
          </cell>
          <cell r="G2035">
            <v>36363</v>
          </cell>
          <cell r="H2035">
            <v>0</v>
          </cell>
          <cell r="I2035">
            <v>0</v>
          </cell>
          <cell r="J2035">
            <v>0</v>
          </cell>
          <cell r="K2035">
            <v>0</v>
          </cell>
          <cell r="L2035">
            <v>27.89</v>
          </cell>
          <cell r="M2035" t="str">
            <v>东芳</v>
          </cell>
        </row>
        <row r="2036">
          <cell r="B2036" t="str">
            <v>厦门新华特集团有限公 Total</v>
          </cell>
          <cell r="L2036">
            <v>27.89</v>
          </cell>
        </row>
        <row r="2037">
          <cell r="A2037" t="str">
            <v>011304</v>
          </cell>
          <cell r="B2037" t="str">
            <v>厦门新凯复材科技公司</v>
          </cell>
          <cell r="C2037" t="str">
            <v>三资</v>
          </cell>
          <cell r="D2037" t="str">
            <v>工业</v>
          </cell>
          <cell r="E2037" t="str">
            <v>抵押贷款</v>
          </cell>
          <cell r="F2037">
            <v>37216</v>
          </cell>
          <cell r="G2037">
            <v>37581</v>
          </cell>
          <cell r="H2037">
            <v>0</v>
          </cell>
          <cell r="I2037">
            <v>0</v>
          </cell>
          <cell r="J2037">
            <v>0</v>
          </cell>
          <cell r="K2037">
            <v>0</v>
          </cell>
          <cell r="L2037">
            <v>248.24099999999999</v>
          </cell>
          <cell r="M2037" t="str">
            <v>杏林</v>
          </cell>
        </row>
        <row r="2038">
          <cell r="A2038" t="str">
            <v>011307</v>
          </cell>
          <cell r="B2038" t="str">
            <v>厦门新凯复材科技公司</v>
          </cell>
          <cell r="C2038" t="str">
            <v>三资</v>
          </cell>
          <cell r="D2038" t="str">
            <v>工业</v>
          </cell>
          <cell r="E2038" t="str">
            <v>抵押贷款</v>
          </cell>
          <cell r="F2038">
            <v>37224</v>
          </cell>
          <cell r="G2038">
            <v>37589</v>
          </cell>
          <cell r="H2038">
            <v>0</v>
          </cell>
          <cell r="I2038">
            <v>0</v>
          </cell>
          <cell r="J2038">
            <v>0</v>
          </cell>
          <cell r="K2038">
            <v>0</v>
          </cell>
          <cell r="L2038">
            <v>248.24099999999999</v>
          </cell>
          <cell r="M2038" t="str">
            <v>杏林</v>
          </cell>
        </row>
        <row r="2039">
          <cell r="A2039" t="str">
            <v>021314</v>
          </cell>
          <cell r="B2039" t="str">
            <v>厦门新凯复材科技公司</v>
          </cell>
          <cell r="C2039" t="str">
            <v>三资</v>
          </cell>
          <cell r="D2039" t="str">
            <v>工业</v>
          </cell>
          <cell r="E2039" t="str">
            <v>抵押贷款</v>
          </cell>
          <cell r="F2039">
            <v>37526</v>
          </cell>
          <cell r="G2039">
            <v>37707</v>
          </cell>
          <cell r="H2039">
            <v>0</v>
          </cell>
          <cell r="I2039">
            <v>13</v>
          </cell>
          <cell r="J2039">
            <v>0</v>
          </cell>
          <cell r="K2039">
            <v>0</v>
          </cell>
          <cell r="L2039">
            <v>107.57109999999999</v>
          </cell>
          <cell r="M2039" t="str">
            <v>杏林</v>
          </cell>
        </row>
        <row r="2040">
          <cell r="A2040" t="str">
            <v>011308</v>
          </cell>
          <cell r="B2040" t="str">
            <v>厦门新凯复材科技公司</v>
          </cell>
          <cell r="C2040" t="str">
            <v>三资</v>
          </cell>
          <cell r="D2040" t="str">
            <v>工业</v>
          </cell>
          <cell r="E2040" t="str">
            <v>抵押贷款</v>
          </cell>
          <cell r="F2040">
            <v>37231</v>
          </cell>
          <cell r="G2040">
            <v>37596</v>
          </cell>
          <cell r="H2040">
            <v>0</v>
          </cell>
          <cell r="I2040">
            <v>0</v>
          </cell>
          <cell r="J2040">
            <v>0</v>
          </cell>
          <cell r="K2040">
            <v>0</v>
          </cell>
          <cell r="L2040">
            <v>248.24099999999999</v>
          </cell>
          <cell r="M2040" t="str">
            <v>杏林</v>
          </cell>
        </row>
        <row r="2041">
          <cell r="B2041" t="str">
            <v>厦门新凯复材科技公司 Total</v>
          </cell>
          <cell r="L2041">
            <v>852.29409999999996</v>
          </cell>
        </row>
        <row r="2042">
          <cell r="A2042" t="str">
            <v>0066</v>
          </cell>
          <cell r="B2042" t="str">
            <v>厦门新鹭发土石方工程</v>
          </cell>
          <cell r="C2042" t="str">
            <v>其它</v>
          </cell>
          <cell r="D2042" t="str">
            <v>其它</v>
          </cell>
          <cell r="E2042" t="str">
            <v>抵押贷款</v>
          </cell>
          <cell r="F2042">
            <v>37399</v>
          </cell>
          <cell r="G2042">
            <v>38054</v>
          </cell>
          <cell r="H2042">
            <v>0</v>
          </cell>
          <cell r="I2042">
            <v>92.1</v>
          </cell>
          <cell r="J2042">
            <v>4.05</v>
          </cell>
          <cell r="K2042">
            <v>20.05</v>
          </cell>
          <cell r="L2042">
            <v>72.05</v>
          </cell>
          <cell r="M2042" t="str">
            <v>东芳</v>
          </cell>
        </row>
        <row r="2043">
          <cell r="A2043" t="str">
            <v>0085</v>
          </cell>
          <cell r="B2043" t="str">
            <v>厦门新鹭发土石方工程</v>
          </cell>
          <cell r="C2043" t="str">
            <v>其它</v>
          </cell>
          <cell r="D2043" t="str">
            <v>其它</v>
          </cell>
          <cell r="E2043" t="str">
            <v>抵押贷款</v>
          </cell>
          <cell r="F2043">
            <v>37474</v>
          </cell>
          <cell r="G2043">
            <v>38018</v>
          </cell>
          <cell r="H2043">
            <v>0</v>
          </cell>
          <cell r="I2043">
            <v>92</v>
          </cell>
          <cell r="J2043">
            <v>0</v>
          </cell>
          <cell r="K2043">
            <v>4.9000000000000004</v>
          </cell>
          <cell r="L2043">
            <v>87.1</v>
          </cell>
          <cell r="M2043" t="str">
            <v>东芳</v>
          </cell>
        </row>
        <row r="2044">
          <cell r="B2044" t="str">
            <v>厦门新鹭发土石方工程 Total</v>
          </cell>
          <cell r="L2044">
            <v>159.14999999999998</v>
          </cell>
        </row>
        <row r="2045">
          <cell r="A2045" t="str">
            <v>300193</v>
          </cell>
          <cell r="B2045" t="str">
            <v>厦门新世通销售有限公</v>
          </cell>
          <cell r="C2045" t="str">
            <v>其它</v>
          </cell>
          <cell r="D2045" t="str">
            <v>商贸</v>
          </cell>
          <cell r="E2045" t="str">
            <v>票据贴现</v>
          </cell>
          <cell r="F2045">
            <v>37539</v>
          </cell>
          <cell r="G2045">
            <v>37692</v>
          </cell>
          <cell r="H2045">
            <v>20</v>
          </cell>
          <cell r="I2045">
            <v>20</v>
          </cell>
          <cell r="J2045">
            <v>0</v>
          </cell>
          <cell r="K2045">
            <v>0</v>
          </cell>
          <cell r="L2045">
            <v>20</v>
          </cell>
          <cell r="M2045" t="str">
            <v>鹭江</v>
          </cell>
        </row>
        <row r="2046">
          <cell r="B2046" t="str">
            <v>厦门新世通销售有限公 Total</v>
          </cell>
          <cell r="L2046">
            <v>20</v>
          </cell>
        </row>
        <row r="2047">
          <cell r="A2047" t="str">
            <v>02017</v>
          </cell>
          <cell r="B2047" t="str">
            <v>厦门新洋石油化工</v>
          </cell>
          <cell r="C2047" t="str">
            <v>集体</v>
          </cell>
          <cell r="D2047" t="str">
            <v>商贸</v>
          </cell>
          <cell r="E2047" t="str">
            <v>保证贷款</v>
          </cell>
          <cell r="F2047">
            <v>37512</v>
          </cell>
          <cell r="G2047">
            <v>37876</v>
          </cell>
          <cell r="H2047">
            <v>0</v>
          </cell>
          <cell r="I2047">
            <v>280</v>
          </cell>
          <cell r="J2047">
            <v>0</v>
          </cell>
          <cell r="K2047">
            <v>0</v>
          </cell>
          <cell r="L2047">
            <v>280</v>
          </cell>
          <cell r="M2047" t="str">
            <v>文滨</v>
          </cell>
        </row>
        <row r="2048">
          <cell r="B2048" t="str">
            <v>厦门新洋石油化工 Total</v>
          </cell>
          <cell r="L2048">
            <v>280</v>
          </cell>
        </row>
        <row r="2049">
          <cell r="A2049" t="str">
            <v>160048</v>
          </cell>
          <cell r="B2049" t="str">
            <v>厦门新艺建造有限公司</v>
          </cell>
          <cell r="C2049" t="str">
            <v>外事</v>
          </cell>
          <cell r="D2049" t="str">
            <v>其它</v>
          </cell>
          <cell r="E2049" t="str">
            <v>抵押贷款</v>
          </cell>
          <cell r="F2049">
            <v>37460</v>
          </cell>
          <cell r="G2049">
            <v>37825</v>
          </cell>
          <cell r="H2049">
            <v>0</v>
          </cell>
          <cell r="I2049">
            <v>75</v>
          </cell>
          <cell r="J2049">
            <v>0</v>
          </cell>
          <cell r="K2049">
            <v>0</v>
          </cell>
          <cell r="L2049">
            <v>75</v>
          </cell>
          <cell r="M2049" t="str">
            <v>梧村</v>
          </cell>
        </row>
        <row r="2050">
          <cell r="B2050" t="str">
            <v>厦门新艺建造有限公司 Total</v>
          </cell>
          <cell r="L2050">
            <v>75</v>
          </cell>
        </row>
        <row r="2051">
          <cell r="A2051" t="str">
            <v>08476A</v>
          </cell>
          <cell r="B2051" t="str">
            <v>厦门新悦华发展</v>
          </cell>
          <cell r="C2051" t="str">
            <v>国营</v>
          </cell>
          <cell r="D2051" t="str">
            <v>商贸</v>
          </cell>
          <cell r="E2051" t="str">
            <v>抵押贷款</v>
          </cell>
          <cell r="F2051">
            <v>36371</v>
          </cell>
          <cell r="G2051">
            <v>37956</v>
          </cell>
          <cell r="H2051">
            <v>0</v>
          </cell>
          <cell r="I2051">
            <v>0</v>
          </cell>
          <cell r="J2051">
            <v>0</v>
          </cell>
          <cell r="K2051">
            <v>150</v>
          </cell>
          <cell r="L2051">
            <v>1800</v>
          </cell>
          <cell r="M2051" t="str">
            <v>营业</v>
          </cell>
        </row>
        <row r="2052">
          <cell r="B2052" t="str">
            <v>厦门新悦华发展 Total</v>
          </cell>
          <cell r="L2052">
            <v>1800</v>
          </cell>
        </row>
        <row r="2053">
          <cell r="A2053" t="str">
            <v>02-027</v>
          </cell>
          <cell r="B2053" t="str">
            <v>厦门鑫和昌贸易</v>
          </cell>
          <cell r="C2053" t="str">
            <v>集体</v>
          </cell>
          <cell r="D2053" t="str">
            <v>商贸</v>
          </cell>
          <cell r="E2053" t="str">
            <v>保证贷款</v>
          </cell>
          <cell r="F2053">
            <v>37403</v>
          </cell>
          <cell r="G2053">
            <v>37590</v>
          </cell>
          <cell r="H2053">
            <v>0</v>
          </cell>
          <cell r="I2053">
            <v>60</v>
          </cell>
          <cell r="J2053">
            <v>0</v>
          </cell>
          <cell r="K2053">
            <v>0</v>
          </cell>
          <cell r="L2053">
            <v>60</v>
          </cell>
          <cell r="M2053" t="str">
            <v>营业</v>
          </cell>
        </row>
        <row r="2054">
          <cell r="B2054" t="str">
            <v>厦门鑫和昌贸易 Total</v>
          </cell>
          <cell r="L2054">
            <v>60</v>
          </cell>
        </row>
        <row r="2055">
          <cell r="A2055" t="str">
            <v>227221</v>
          </cell>
          <cell r="B2055" t="str">
            <v>厦门鑫联实业有限公司</v>
          </cell>
          <cell r="C2055" t="str">
            <v>集体</v>
          </cell>
          <cell r="D2055" t="str">
            <v>商贸</v>
          </cell>
          <cell r="E2055" t="str">
            <v>保证贷款</v>
          </cell>
          <cell r="F2055">
            <v>35635</v>
          </cell>
          <cell r="G2055">
            <v>35850</v>
          </cell>
          <cell r="H2055">
            <v>0</v>
          </cell>
          <cell r="I2055">
            <v>0</v>
          </cell>
          <cell r="J2055">
            <v>0</v>
          </cell>
          <cell r="K2055">
            <v>0</v>
          </cell>
          <cell r="L2055">
            <v>400</v>
          </cell>
          <cell r="M2055" t="str">
            <v>同安</v>
          </cell>
        </row>
        <row r="2056">
          <cell r="B2056" t="str">
            <v>厦门鑫联实业有限公司 Total</v>
          </cell>
          <cell r="L2056">
            <v>400</v>
          </cell>
        </row>
        <row r="2057">
          <cell r="A2057" t="str">
            <v>020065</v>
          </cell>
          <cell r="B2057" t="str">
            <v>厦门鑫泰达进出口公司</v>
          </cell>
          <cell r="C2057" t="str">
            <v>其它</v>
          </cell>
          <cell r="D2057" t="str">
            <v>商贸</v>
          </cell>
          <cell r="E2057" t="str">
            <v>保证贷款</v>
          </cell>
          <cell r="F2057">
            <v>37406</v>
          </cell>
          <cell r="G2057">
            <v>37590</v>
          </cell>
          <cell r="H2057">
            <v>0</v>
          </cell>
          <cell r="I2057">
            <v>19</v>
          </cell>
          <cell r="J2057">
            <v>0</v>
          </cell>
          <cell r="K2057">
            <v>0</v>
          </cell>
          <cell r="L2057">
            <v>19</v>
          </cell>
          <cell r="M2057" t="str">
            <v>东区</v>
          </cell>
        </row>
        <row r="2058">
          <cell r="A2058" t="str">
            <v>020096</v>
          </cell>
          <cell r="B2058" t="str">
            <v>厦门鑫泰达进出口公司</v>
          </cell>
          <cell r="C2058" t="str">
            <v>其它</v>
          </cell>
          <cell r="D2058" t="str">
            <v>商贸</v>
          </cell>
          <cell r="E2058" t="str">
            <v>保证贷款</v>
          </cell>
          <cell r="F2058">
            <v>37498</v>
          </cell>
          <cell r="G2058">
            <v>37680</v>
          </cell>
          <cell r="H2058">
            <v>0</v>
          </cell>
          <cell r="I2058">
            <v>24</v>
          </cell>
          <cell r="J2058">
            <v>0</v>
          </cell>
          <cell r="K2058">
            <v>0</v>
          </cell>
          <cell r="L2058">
            <v>24</v>
          </cell>
          <cell r="M2058" t="str">
            <v>东区</v>
          </cell>
        </row>
        <row r="2059">
          <cell r="A2059" t="str">
            <v>020100</v>
          </cell>
          <cell r="B2059" t="str">
            <v>厦门鑫泰达进出口公司</v>
          </cell>
          <cell r="C2059" t="str">
            <v>其它</v>
          </cell>
          <cell r="D2059" t="str">
            <v>商贸</v>
          </cell>
          <cell r="E2059" t="str">
            <v>保证贷款</v>
          </cell>
          <cell r="F2059">
            <v>37480</v>
          </cell>
          <cell r="G2059">
            <v>37664</v>
          </cell>
          <cell r="H2059">
            <v>0</v>
          </cell>
          <cell r="I2059">
            <v>31</v>
          </cell>
          <cell r="J2059">
            <v>0</v>
          </cell>
          <cell r="K2059">
            <v>0</v>
          </cell>
          <cell r="L2059">
            <v>31</v>
          </cell>
          <cell r="M2059" t="str">
            <v>东区</v>
          </cell>
        </row>
        <row r="2060">
          <cell r="B2060" t="str">
            <v>厦门鑫泰达进出口公司 Total</v>
          </cell>
          <cell r="L2060">
            <v>74</v>
          </cell>
        </row>
        <row r="2061">
          <cell r="A2061" t="str">
            <v>801077</v>
          </cell>
          <cell r="B2061" t="str">
            <v>厦门鑫兴荣建设发展</v>
          </cell>
          <cell r="C2061" t="str">
            <v>国营</v>
          </cell>
          <cell r="D2061" t="str">
            <v>工业</v>
          </cell>
          <cell r="E2061" t="str">
            <v>抵押贷款</v>
          </cell>
          <cell r="F2061">
            <v>37256</v>
          </cell>
          <cell r="G2061">
            <v>37621</v>
          </cell>
          <cell r="H2061">
            <v>0</v>
          </cell>
          <cell r="I2061">
            <v>0</v>
          </cell>
          <cell r="J2061">
            <v>0</v>
          </cell>
          <cell r="K2061">
            <v>0</v>
          </cell>
          <cell r="L2061">
            <v>300</v>
          </cell>
          <cell r="M2061" t="str">
            <v>鹭江</v>
          </cell>
        </row>
        <row r="2062">
          <cell r="B2062" t="str">
            <v>厦门鑫兴荣建设发展 Total</v>
          </cell>
          <cell r="L2062">
            <v>300</v>
          </cell>
        </row>
        <row r="2063">
          <cell r="A2063" t="str">
            <v>22276</v>
          </cell>
          <cell r="B2063" t="str">
            <v>厦门信裕昌发展有限公</v>
          </cell>
          <cell r="C2063" t="str">
            <v>外事</v>
          </cell>
          <cell r="D2063" t="str">
            <v>商贸</v>
          </cell>
          <cell r="E2063" t="str">
            <v>抵押贷款</v>
          </cell>
          <cell r="F2063">
            <v>37260</v>
          </cell>
          <cell r="G2063">
            <v>37564</v>
          </cell>
          <cell r="H2063">
            <v>0</v>
          </cell>
          <cell r="I2063">
            <v>80</v>
          </cell>
          <cell r="J2063">
            <v>0</v>
          </cell>
          <cell r="K2063">
            <v>0</v>
          </cell>
          <cell r="L2063">
            <v>80</v>
          </cell>
          <cell r="M2063" t="str">
            <v>江头</v>
          </cell>
        </row>
        <row r="2064">
          <cell r="B2064" t="str">
            <v>厦门信裕昌发展有限公 Total</v>
          </cell>
          <cell r="L2064">
            <v>80</v>
          </cell>
        </row>
        <row r="2065">
          <cell r="A2065" t="str">
            <v>300188</v>
          </cell>
          <cell r="B2065" t="str">
            <v>厦门信远商贸有限公司</v>
          </cell>
          <cell r="C2065" t="str">
            <v>其它</v>
          </cell>
          <cell r="D2065" t="str">
            <v>商贸</v>
          </cell>
          <cell r="E2065" t="str">
            <v>抵押贷款</v>
          </cell>
          <cell r="F2065">
            <v>37276</v>
          </cell>
          <cell r="G2065">
            <v>37975</v>
          </cell>
          <cell r="H2065">
            <v>6.26</v>
          </cell>
          <cell r="I2065">
            <v>6.26</v>
          </cell>
          <cell r="J2065">
            <v>0.4</v>
          </cell>
          <cell r="K2065">
            <v>0.4</v>
          </cell>
          <cell r="L2065">
            <v>5.86</v>
          </cell>
          <cell r="M2065" t="str">
            <v>鹭江</v>
          </cell>
        </row>
        <row r="2066">
          <cell r="B2066" t="str">
            <v>厦门信远商贸有限公司 Total</v>
          </cell>
          <cell r="L2066">
            <v>5.86</v>
          </cell>
        </row>
        <row r="2067">
          <cell r="A2067" t="str">
            <v>T02/46</v>
          </cell>
          <cell r="B2067" t="str">
            <v>厦门兴大进出口</v>
          </cell>
          <cell r="C2067" t="str">
            <v>国营</v>
          </cell>
          <cell r="D2067" t="str">
            <v>商贸</v>
          </cell>
          <cell r="E2067" t="str">
            <v>票据贴现</v>
          </cell>
          <cell r="F2067">
            <v>37442</v>
          </cell>
          <cell r="G2067">
            <v>37561</v>
          </cell>
          <cell r="H2067">
            <v>0</v>
          </cell>
          <cell r="I2067">
            <v>100</v>
          </cell>
          <cell r="J2067">
            <v>0</v>
          </cell>
          <cell r="K2067">
            <v>0</v>
          </cell>
          <cell r="L2067">
            <v>100</v>
          </cell>
          <cell r="M2067" t="str">
            <v>营业</v>
          </cell>
        </row>
        <row r="2068">
          <cell r="A2068" t="str">
            <v>02-034</v>
          </cell>
          <cell r="B2068" t="str">
            <v>厦门兴大进出口</v>
          </cell>
          <cell r="C2068" t="str">
            <v>国营</v>
          </cell>
          <cell r="D2068" t="str">
            <v>商贸</v>
          </cell>
          <cell r="E2068" t="str">
            <v>保证贷款</v>
          </cell>
          <cell r="F2068">
            <v>37428</v>
          </cell>
          <cell r="G2068">
            <v>37642</v>
          </cell>
          <cell r="H2068">
            <v>0</v>
          </cell>
          <cell r="I2068">
            <v>500</v>
          </cell>
          <cell r="J2068">
            <v>200</v>
          </cell>
          <cell r="K2068">
            <v>200</v>
          </cell>
          <cell r="L2068">
            <v>300</v>
          </cell>
          <cell r="M2068" t="str">
            <v>营业</v>
          </cell>
        </row>
        <row r="2069">
          <cell r="A2069" t="str">
            <v>02-055</v>
          </cell>
          <cell r="B2069" t="str">
            <v>厦门兴大进出口</v>
          </cell>
          <cell r="C2069" t="str">
            <v>国营</v>
          </cell>
          <cell r="D2069" t="str">
            <v>商贸</v>
          </cell>
          <cell r="E2069" t="str">
            <v>保证贷款</v>
          </cell>
          <cell r="F2069">
            <v>37519</v>
          </cell>
          <cell r="G2069">
            <v>37731</v>
          </cell>
          <cell r="H2069">
            <v>0</v>
          </cell>
          <cell r="I2069">
            <v>400</v>
          </cell>
          <cell r="J2069">
            <v>0</v>
          </cell>
          <cell r="K2069">
            <v>0</v>
          </cell>
          <cell r="L2069">
            <v>400</v>
          </cell>
          <cell r="M2069" t="str">
            <v>营业</v>
          </cell>
        </row>
        <row r="2070">
          <cell r="A2070" t="str">
            <v>02-041</v>
          </cell>
          <cell r="B2070" t="str">
            <v>厦门兴大进出口</v>
          </cell>
          <cell r="C2070" t="str">
            <v>国营</v>
          </cell>
          <cell r="D2070" t="str">
            <v>商贸</v>
          </cell>
          <cell r="E2070" t="str">
            <v>保证贷款</v>
          </cell>
          <cell r="F2070">
            <v>37447</v>
          </cell>
          <cell r="G2070">
            <v>37662</v>
          </cell>
          <cell r="H2070">
            <v>0</v>
          </cell>
          <cell r="I2070">
            <v>500</v>
          </cell>
          <cell r="J2070">
            <v>0</v>
          </cell>
          <cell r="K2070">
            <v>0</v>
          </cell>
          <cell r="L2070">
            <v>500</v>
          </cell>
          <cell r="M2070" t="str">
            <v>营业</v>
          </cell>
        </row>
        <row r="2071">
          <cell r="A2071" t="str">
            <v>02-035</v>
          </cell>
          <cell r="B2071" t="str">
            <v>厦门兴大进出口</v>
          </cell>
          <cell r="C2071" t="str">
            <v>国营</v>
          </cell>
          <cell r="D2071" t="str">
            <v>商贸</v>
          </cell>
          <cell r="E2071" t="str">
            <v>保证贷款</v>
          </cell>
          <cell r="F2071">
            <v>37428</v>
          </cell>
          <cell r="G2071">
            <v>37762</v>
          </cell>
          <cell r="H2071">
            <v>0</v>
          </cell>
          <cell r="I2071">
            <v>600</v>
          </cell>
          <cell r="J2071">
            <v>0</v>
          </cell>
          <cell r="K2071">
            <v>0</v>
          </cell>
          <cell r="L2071">
            <v>600</v>
          </cell>
          <cell r="M2071" t="str">
            <v>营业</v>
          </cell>
        </row>
        <row r="2072">
          <cell r="B2072" t="str">
            <v>厦门兴大进出口 Total</v>
          </cell>
          <cell r="L2072">
            <v>1900</v>
          </cell>
        </row>
        <row r="2073">
          <cell r="A2073" t="str">
            <v>22190</v>
          </cell>
          <cell r="B2073" t="str">
            <v>厦门兴祺商贸有限公司</v>
          </cell>
          <cell r="C2073" t="str">
            <v>集体</v>
          </cell>
          <cell r="D2073" t="str">
            <v>商贸</v>
          </cell>
          <cell r="E2073" t="str">
            <v>保证贷款</v>
          </cell>
          <cell r="F2073">
            <v>36707</v>
          </cell>
          <cell r="G2073">
            <v>36921</v>
          </cell>
          <cell r="H2073">
            <v>0</v>
          </cell>
          <cell r="I2073">
            <v>0</v>
          </cell>
          <cell r="J2073">
            <v>0</v>
          </cell>
          <cell r="K2073">
            <v>0</v>
          </cell>
          <cell r="L2073">
            <v>35</v>
          </cell>
          <cell r="M2073" t="str">
            <v>江头</v>
          </cell>
        </row>
        <row r="2074">
          <cell r="B2074" t="str">
            <v>厦门兴祺商贸有限公司 Total</v>
          </cell>
          <cell r="L2074">
            <v>35</v>
          </cell>
        </row>
        <row r="2075">
          <cell r="A2075" t="str">
            <v>200265</v>
          </cell>
          <cell r="B2075" t="str">
            <v>厦门兴银实业有限公司</v>
          </cell>
          <cell r="C2075" t="str">
            <v>集体</v>
          </cell>
          <cell r="D2075" t="str">
            <v>商贸</v>
          </cell>
          <cell r="E2075" t="str">
            <v>抵押贷款</v>
          </cell>
          <cell r="F2075">
            <v>37545</v>
          </cell>
          <cell r="G2075">
            <v>37894</v>
          </cell>
          <cell r="H2075">
            <v>450</v>
          </cell>
          <cell r="I2075">
            <v>450</v>
          </cell>
          <cell r="J2075">
            <v>0</v>
          </cell>
          <cell r="K2075">
            <v>0</v>
          </cell>
          <cell r="L2075">
            <v>450</v>
          </cell>
          <cell r="M2075" t="str">
            <v>同安</v>
          </cell>
        </row>
        <row r="2076">
          <cell r="B2076" t="str">
            <v>厦门兴银实业有限公司 Total</v>
          </cell>
          <cell r="L2076">
            <v>450</v>
          </cell>
        </row>
        <row r="2077">
          <cell r="A2077" t="str">
            <v>020113</v>
          </cell>
          <cell r="B2077" t="str">
            <v>厦门星星工艺品有限公</v>
          </cell>
          <cell r="C2077" t="str">
            <v>三资</v>
          </cell>
          <cell r="D2077" t="str">
            <v>工业</v>
          </cell>
          <cell r="E2077" t="str">
            <v>保证贷款</v>
          </cell>
          <cell r="F2077">
            <v>37543</v>
          </cell>
          <cell r="G2077">
            <v>37908</v>
          </cell>
          <cell r="H2077">
            <v>45</v>
          </cell>
          <cell r="I2077">
            <v>45</v>
          </cell>
          <cell r="J2077">
            <v>0</v>
          </cell>
          <cell r="K2077">
            <v>0</v>
          </cell>
          <cell r="L2077">
            <v>45</v>
          </cell>
          <cell r="M2077" t="str">
            <v>东区</v>
          </cell>
        </row>
        <row r="2078">
          <cell r="A2078" t="str">
            <v>020005</v>
          </cell>
          <cell r="B2078" t="str">
            <v>厦门星星工艺品有限公</v>
          </cell>
          <cell r="C2078" t="str">
            <v>三资</v>
          </cell>
          <cell r="D2078" t="str">
            <v>工业</v>
          </cell>
          <cell r="E2078" t="str">
            <v>抵押贷款</v>
          </cell>
          <cell r="F2078">
            <v>37287</v>
          </cell>
          <cell r="G2078">
            <v>37652</v>
          </cell>
          <cell r="H2078">
            <v>0</v>
          </cell>
          <cell r="I2078">
            <v>1000</v>
          </cell>
          <cell r="J2078">
            <v>0</v>
          </cell>
          <cell r="K2078">
            <v>0</v>
          </cell>
          <cell r="L2078">
            <v>1000</v>
          </cell>
          <cell r="M2078" t="str">
            <v>东区</v>
          </cell>
        </row>
        <row r="2079">
          <cell r="A2079" t="str">
            <v>020114</v>
          </cell>
          <cell r="B2079" t="str">
            <v>厦门星星工艺品有限公</v>
          </cell>
          <cell r="C2079" t="str">
            <v>三资</v>
          </cell>
          <cell r="D2079" t="str">
            <v>工业</v>
          </cell>
          <cell r="E2079" t="str">
            <v>保证贷款</v>
          </cell>
          <cell r="F2079">
            <v>37543</v>
          </cell>
          <cell r="G2079">
            <v>37908</v>
          </cell>
          <cell r="H2079">
            <v>82</v>
          </cell>
          <cell r="I2079">
            <v>82</v>
          </cell>
          <cell r="J2079">
            <v>0</v>
          </cell>
          <cell r="K2079">
            <v>0</v>
          </cell>
          <cell r="L2079">
            <v>82</v>
          </cell>
          <cell r="M2079" t="str">
            <v>东区</v>
          </cell>
        </row>
        <row r="2080">
          <cell r="A2080" t="str">
            <v>020111</v>
          </cell>
          <cell r="B2080" t="str">
            <v>厦门星星工艺品有限公</v>
          </cell>
          <cell r="C2080" t="str">
            <v>三资</v>
          </cell>
          <cell r="D2080" t="str">
            <v>工业</v>
          </cell>
          <cell r="E2080" t="str">
            <v>抵押贷款</v>
          </cell>
          <cell r="F2080">
            <v>37508</v>
          </cell>
          <cell r="G2080">
            <v>37689</v>
          </cell>
          <cell r="H2080">
            <v>0</v>
          </cell>
          <cell r="I2080">
            <v>168</v>
          </cell>
          <cell r="J2080">
            <v>0</v>
          </cell>
          <cell r="K2080">
            <v>0</v>
          </cell>
          <cell r="L2080">
            <v>168</v>
          </cell>
          <cell r="M2080" t="str">
            <v>东区</v>
          </cell>
        </row>
        <row r="2081">
          <cell r="B2081" t="str">
            <v>厦门星星工艺品有限公 Total</v>
          </cell>
          <cell r="L2081">
            <v>1295</v>
          </cell>
        </row>
        <row r="2082">
          <cell r="A2082" t="str">
            <v>021206</v>
          </cell>
          <cell r="B2082" t="str">
            <v>厦门杏林锦集货运公司</v>
          </cell>
          <cell r="C2082" t="str">
            <v>集体</v>
          </cell>
          <cell r="D2082" t="str">
            <v>工业</v>
          </cell>
          <cell r="E2082" t="str">
            <v>抵押贷款</v>
          </cell>
          <cell r="F2082">
            <v>37286</v>
          </cell>
          <cell r="G2082">
            <v>38010</v>
          </cell>
          <cell r="H2082">
            <v>0</v>
          </cell>
          <cell r="I2082">
            <v>33.6</v>
          </cell>
          <cell r="J2082">
            <v>1.37</v>
          </cell>
          <cell r="K2082">
            <v>12.04</v>
          </cell>
          <cell r="L2082">
            <v>21.56</v>
          </cell>
          <cell r="M2082" t="str">
            <v>集美</v>
          </cell>
        </row>
        <row r="2083">
          <cell r="A2083" t="str">
            <v>021230</v>
          </cell>
          <cell r="B2083" t="str">
            <v>厦门杏林锦集货运公司</v>
          </cell>
          <cell r="C2083" t="str">
            <v>集体</v>
          </cell>
          <cell r="D2083" t="str">
            <v>工业</v>
          </cell>
          <cell r="E2083" t="str">
            <v>抵押贷款</v>
          </cell>
          <cell r="F2083">
            <v>37559</v>
          </cell>
          <cell r="G2083">
            <v>38281</v>
          </cell>
          <cell r="H2083">
            <v>44.8</v>
          </cell>
          <cell r="I2083">
            <v>44.8</v>
          </cell>
          <cell r="J2083">
            <v>0</v>
          </cell>
          <cell r="K2083">
            <v>0</v>
          </cell>
          <cell r="L2083">
            <v>44.8</v>
          </cell>
          <cell r="M2083" t="str">
            <v>集美</v>
          </cell>
        </row>
        <row r="2084">
          <cell r="B2084" t="str">
            <v>厦门杏林锦集货运公司 Total</v>
          </cell>
          <cell r="L2084">
            <v>66.36</v>
          </cell>
        </row>
        <row r="2085">
          <cell r="A2085" t="str">
            <v>300057</v>
          </cell>
          <cell r="B2085" t="str">
            <v>厦门雄震集团股份有限</v>
          </cell>
          <cell r="C2085" t="str">
            <v>国营</v>
          </cell>
          <cell r="D2085" t="str">
            <v>商贸</v>
          </cell>
          <cell r="E2085" t="str">
            <v>保证贷款</v>
          </cell>
          <cell r="F2085">
            <v>37320</v>
          </cell>
          <cell r="G2085">
            <v>37685</v>
          </cell>
          <cell r="H2085">
            <v>0</v>
          </cell>
          <cell r="I2085">
            <v>2000</v>
          </cell>
          <cell r="J2085">
            <v>0</v>
          </cell>
          <cell r="K2085">
            <v>0</v>
          </cell>
          <cell r="L2085">
            <v>2000</v>
          </cell>
          <cell r="M2085" t="str">
            <v>鹭江</v>
          </cell>
        </row>
        <row r="2086">
          <cell r="B2086" t="str">
            <v>厦门雄震集团股份有限 Total</v>
          </cell>
          <cell r="L2086">
            <v>2000</v>
          </cell>
        </row>
        <row r="2087">
          <cell r="A2087" t="str">
            <v>22260</v>
          </cell>
          <cell r="B2087" t="str">
            <v>厦门雅宝电子有限公司</v>
          </cell>
          <cell r="C2087" t="str">
            <v>集体</v>
          </cell>
          <cell r="D2087" t="str">
            <v>工业</v>
          </cell>
          <cell r="E2087" t="str">
            <v>质押贷款</v>
          </cell>
          <cell r="F2087">
            <v>37226</v>
          </cell>
          <cell r="G2087">
            <v>37591</v>
          </cell>
          <cell r="H2087">
            <v>0</v>
          </cell>
          <cell r="I2087">
            <v>0</v>
          </cell>
          <cell r="J2087">
            <v>0</v>
          </cell>
          <cell r="K2087">
            <v>0</v>
          </cell>
          <cell r="L2087">
            <v>30</v>
          </cell>
          <cell r="M2087" t="str">
            <v>江头</v>
          </cell>
        </row>
        <row r="2088">
          <cell r="A2088" t="str">
            <v>20446</v>
          </cell>
          <cell r="B2088" t="str">
            <v>厦门雅宝电子有限公司</v>
          </cell>
          <cell r="C2088" t="str">
            <v>集体</v>
          </cell>
          <cell r="D2088" t="str">
            <v>商贸</v>
          </cell>
          <cell r="E2088" t="str">
            <v>质押贷款</v>
          </cell>
          <cell r="F2088">
            <v>37543</v>
          </cell>
          <cell r="G2088">
            <v>37725</v>
          </cell>
          <cell r="H2088">
            <v>50</v>
          </cell>
          <cell r="I2088">
            <v>50</v>
          </cell>
          <cell r="J2088">
            <v>0</v>
          </cell>
          <cell r="K2088">
            <v>0</v>
          </cell>
          <cell r="L2088">
            <v>50</v>
          </cell>
          <cell r="M2088" t="str">
            <v>江头</v>
          </cell>
        </row>
        <row r="2089">
          <cell r="A2089" t="str">
            <v>20391</v>
          </cell>
          <cell r="B2089" t="str">
            <v>厦门雅宝电子有限公司</v>
          </cell>
          <cell r="C2089" t="str">
            <v>其它</v>
          </cell>
          <cell r="D2089" t="str">
            <v>工业</v>
          </cell>
          <cell r="E2089" t="str">
            <v>质押贷款</v>
          </cell>
          <cell r="F2089">
            <v>37519</v>
          </cell>
          <cell r="G2089">
            <v>37700</v>
          </cell>
          <cell r="H2089">
            <v>0</v>
          </cell>
          <cell r="I2089">
            <v>20</v>
          </cell>
          <cell r="J2089">
            <v>0</v>
          </cell>
          <cell r="K2089">
            <v>0</v>
          </cell>
          <cell r="L2089">
            <v>20</v>
          </cell>
          <cell r="M2089" t="str">
            <v>江头</v>
          </cell>
        </row>
        <row r="2090">
          <cell r="B2090" t="str">
            <v>厦门雅宝电子有限公司 Total</v>
          </cell>
          <cell r="L2090">
            <v>100</v>
          </cell>
        </row>
        <row r="2091">
          <cell r="A2091" t="str">
            <v>40111</v>
          </cell>
          <cell r="B2091" t="str">
            <v>厦门延铭房地产公司</v>
          </cell>
          <cell r="C2091" t="str">
            <v>三资</v>
          </cell>
          <cell r="D2091" t="str">
            <v>其它</v>
          </cell>
          <cell r="E2091" t="str">
            <v>抵押贷款</v>
          </cell>
          <cell r="F2091">
            <v>35795</v>
          </cell>
          <cell r="G2091">
            <v>36523</v>
          </cell>
          <cell r="H2091">
            <v>0</v>
          </cell>
          <cell r="I2091">
            <v>0</v>
          </cell>
          <cell r="J2091">
            <v>0</v>
          </cell>
          <cell r="K2091">
            <v>0</v>
          </cell>
          <cell r="L2091">
            <v>3300</v>
          </cell>
          <cell r="M2091" t="str">
            <v>象屿</v>
          </cell>
        </row>
        <row r="2092">
          <cell r="A2092" t="str">
            <v>26011A</v>
          </cell>
          <cell r="B2092" t="str">
            <v>厦门延铭房地产公司</v>
          </cell>
          <cell r="C2092" t="str">
            <v>三资</v>
          </cell>
          <cell r="D2092" t="str">
            <v>其它</v>
          </cell>
          <cell r="E2092" t="str">
            <v>抵押贷款</v>
          </cell>
          <cell r="F2092">
            <v>35795</v>
          </cell>
          <cell r="G2092">
            <v>36036</v>
          </cell>
          <cell r="H2092">
            <v>0</v>
          </cell>
          <cell r="I2092">
            <v>0</v>
          </cell>
          <cell r="J2092">
            <v>0</v>
          </cell>
          <cell r="K2092">
            <v>0</v>
          </cell>
          <cell r="L2092">
            <v>1654.94</v>
          </cell>
          <cell r="M2092" t="str">
            <v>象屿</v>
          </cell>
        </row>
        <row r="2093">
          <cell r="A2093" t="str">
            <v>26011B</v>
          </cell>
          <cell r="B2093" t="str">
            <v>厦门延铭房地产公司</v>
          </cell>
          <cell r="C2093" t="str">
            <v>三资</v>
          </cell>
          <cell r="D2093" t="str">
            <v>其它</v>
          </cell>
          <cell r="E2093" t="str">
            <v>抵押贷款</v>
          </cell>
          <cell r="F2093">
            <v>35817</v>
          </cell>
          <cell r="G2093">
            <v>36097</v>
          </cell>
          <cell r="H2093">
            <v>0</v>
          </cell>
          <cell r="I2093">
            <v>0</v>
          </cell>
          <cell r="J2093">
            <v>0</v>
          </cell>
          <cell r="K2093">
            <v>0</v>
          </cell>
          <cell r="L2093">
            <v>1654.94</v>
          </cell>
          <cell r="M2093" t="str">
            <v>象屿</v>
          </cell>
        </row>
        <row r="2094">
          <cell r="B2094" t="str">
            <v>厦门延铭房地产公司 Total</v>
          </cell>
          <cell r="L2094">
            <v>6609.880000000001</v>
          </cell>
        </row>
        <row r="2095">
          <cell r="A2095" t="str">
            <v>011239</v>
          </cell>
          <cell r="B2095" t="str">
            <v>厦门严福江运输公司</v>
          </cell>
          <cell r="C2095" t="str">
            <v>集体</v>
          </cell>
          <cell r="D2095" t="str">
            <v>工业</v>
          </cell>
          <cell r="E2095" t="str">
            <v>抵押贷款</v>
          </cell>
          <cell r="F2095">
            <v>37246</v>
          </cell>
          <cell r="G2095">
            <v>37976</v>
          </cell>
          <cell r="H2095">
            <v>0</v>
          </cell>
          <cell r="I2095">
            <v>0</v>
          </cell>
          <cell r="J2095">
            <v>1.1200000000000001</v>
          </cell>
          <cell r="K2095">
            <v>10.87</v>
          </cell>
          <cell r="L2095">
            <v>16.329999999999998</v>
          </cell>
          <cell r="M2095" t="str">
            <v>集美</v>
          </cell>
        </row>
        <row r="2096">
          <cell r="B2096" t="str">
            <v>厦门严福江运输公司 Total</v>
          </cell>
          <cell r="L2096">
            <v>16.329999999999998</v>
          </cell>
        </row>
        <row r="2097">
          <cell r="A2097" t="str">
            <v>98073</v>
          </cell>
          <cell r="B2097" t="str">
            <v>厦门一汽贸易有限公司</v>
          </cell>
          <cell r="C2097" t="str">
            <v>国营</v>
          </cell>
          <cell r="D2097" t="str">
            <v>商贸</v>
          </cell>
          <cell r="E2097" t="str">
            <v>保证贷款</v>
          </cell>
          <cell r="F2097">
            <v>36159</v>
          </cell>
          <cell r="G2097">
            <v>36371</v>
          </cell>
          <cell r="H2097">
            <v>0</v>
          </cell>
          <cell r="I2097">
            <v>0</v>
          </cell>
          <cell r="J2097">
            <v>0</v>
          </cell>
          <cell r="K2097">
            <v>0</v>
          </cell>
          <cell r="L2097">
            <v>150</v>
          </cell>
          <cell r="M2097" t="str">
            <v>文滨</v>
          </cell>
        </row>
        <row r="2098">
          <cell r="B2098" t="str">
            <v>厦门一汽贸易有限公司 Total</v>
          </cell>
          <cell r="L2098">
            <v>150</v>
          </cell>
        </row>
        <row r="2099">
          <cell r="A2099" t="str">
            <v>160018</v>
          </cell>
          <cell r="B2099" t="str">
            <v>厦门依力实业有限公事</v>
          </cell>
          <cell r="C2099" t="str">
            <v>其它</v>
          </cell>
          <cell r="D2099" t="str">
            <v>其它</v>
          </cell>
          <cell r="E2099" t="str">
            <v>抵押贷款</v>
          </cell>
          <cell r="F2099">
            <v>37349</v>
          </cell>
          <cell r="G2099">
            <v>37655</v>
          </cell>
          <cell r="H2099">
            <v>0</v>
          </cell>
          <cell r="I2099">
            <v>100</v>
          </cell>
          <cell r="J2099">
            <v>0</v>
          </cell>
          <cell r="K2099">
            <v>0</v>
          </cell>
          <cell r="L2099">
            <v>100</v>
          </cell>
          <cell r="M2099" t="str">
            <v>梧村</v>
          </cell>
        </row>
        <row r="2100">
          <cell r="B2100" t="str">
            <v>厦门依力实业有限公事 Total</v>
          </cell>
          <cell r="L2100">
            <v>100</v>
          </cell>
        </row>
        <row r="2101">
          <cell r="A2101" t="str">
            <v>02-068</v>
          </cell>
          <cell r="B2101" t="str">
            <v>厦门意玛进出口</v>
          </cell>
          <cell r="C2101" t="str">
            <v>集体</v>
          </cell>
          <cell r="D2101" t="str">
            <v>商贸</v>
          </cell>
          <cell r="E2101" t="str">
            <v>保证贷款</v>
          </cell>
          <cell r="F2101">
            <v>37538</v>
          </cell>
          <cell r="G2101">
            <v>37903</v>
          </cell>
          <cell r="H2101">
            <v>176</v>
          </cell>
          <cell r="I2101">
            <v>176</v>
          </cell>
          <cell r="J2101">
            <v>0</v>
          </cell>
          <cell r="K2101">
            <v>0</v>
          </cell>
          <cell r="L2101">
            <v>176</v>
          </cell>
          <cell r="M2101" t="str">
            <v>营业</v>
          </cell>
        </row>
        <row r="2102">
          <cell r="B2102" t="str">
            <v>厦门意玛进出口 Total</v>
          </cell>
          <cell r="L2102">
            <v>176</v>
          </cell>
        </row>
        <row r="2103">
          <cell r="A2103" t="str">
            <v>000010</v>
          </cell>
          <cell r="B2103" t="str">
            <v>厦门银利建材有限公司</v>
          </cell>
          <cell r="C2103" t="str">
            <v>集体</v>
          </cell>
          <cell r="D2103" t="str">
            <v>其它</v>
          </cell>
          <cell r="E2103" t="str">
            <v>抵押贷款</v>
          </cell>
          <cell r="F2103">
            <v>35580</v>
          </cell>
          <cell r="G2103">
            <v>35624</v>
          </cell>
          <cell r="H2103">
            <v>0</v>
          </cell>
          <cell r="I2103">
            <v>0</v>
          </cell>
          <cell r="J2103">
            <v>0</v>
          </cell>
          <cell r="K2103">
            <v>0</v>
          </cell>
          <cell r="L2103">
            <v>610</v>
          </cell>
          <cell r="M2103" t="str">
            <v>思明</v>
          </cell>
        </row>
        <row r="2104">
          <cell r="B2104" t="str">
            <v>厦门银利建材有限公司 Total</v>
          </cell>
          <cell r="L2104">
            <v>610</v>
          </cell>
        </row>
        <row r="2105">
          <cell r="A2105" t="str">
            <v>200240</v>
          </cell>
          <cell r="B2105" t="str">
            <v>厦门银祥实业有限公司</v>
          </cell>
          <cell r="C2105" t="str">
            <v>集体</v>
          </cell>
          <cell r="D2105" t="str">
            <v>工业</v>
          </cell>
          <cell r="E2105" t="str">
            <v>保证贷款</v>
          </cell>
          <cell r="F2105">
            <v>37434</v>
          </cell>
          <cell r="G2105">
            <v>37707</v>
          </cell>
          <cell r="H2105">
            <v>0</v>
          </cell>
          <cell r="I2105">
            <v>150</v>
          </cell>
          <cell r="J2105">
            <v>0</v>
          </cell>
          <cell r="K2105">
            <v>0</v>
          </cell>
          <cell r="L2105">
            <v>150</v>
          </cell>
          <cell r="M2105" t="str">
            <v>同安</v>
          </cell>
        </row>
        <row r="2106">
          <cell r="B2106" t="str">
            <v>厦门银祥实业有限公司 Total</v>
          </cell>
          <cell r="L2106">
            <v>150</v>
          </cell>
        </row>
        <row r="2107">
          <cell r="A2107" t="str">
            <v>000007</v>
          </cell>
          <cell r="B2107" t="str">
            <v>厦门银鑫实业有限公司</v>
          </cell>
          <cell r="C2107" t="str">
            <v>集体</v>
          </cell>
          <cell r="D2107" t="str">
            <v>商贸</v>
          </cell>
          <cell r="E2107" t="str">
            <v>抵押贷款</v>
          </cell>
          <cell r="F2107">
            <v>35725</v>
          </cell>
          <cell r="G2107">
            <v>35937</v>
          </cell>
          <cell r="H2107">
            <v>0</v>
          </cell>
          <cell r="I2107">
            <v>0</v>
          </cell>
          <cell r="J2107">
            <v>0</v>
          </cell>
          <cell r="K2107">
            <v>0</v>
          </cell>
          <cell r="L2107">
            <v>253.7</v>
          </cell>
          <cell r="M2107" t="str">
            <v>思明</v>
          </cell>
        </row>
        <row r="2108">
          <cell r="B2108" t="str">
            <v>厦门银鑫实业有限公司 Total</v>
          </cell>
          <cell r="L2108">
            <v>253.7</v>
          </cell>
        </row>
        <row r="2109">
          <cell r="A2109" t="str">
            <v>923x23</v>
          </cell>
          <cell r="B2109" t="str">
            <v>厦门永恒贸易 有限公Ë</v>
          </cell>
          <cell r="C2109" t="str">
            <v>其它</v>
          </cell>
          <cell r="D2109" t="str">
            <v>其它</v>
          </cell>
          <cell r="E2109" t="str">
            <v>票据贴现</v>
          </cell>
          <cell r="F2109">
            <v>37474</v>
          </cell>
          <cell r="G2109">
            <v>37595</v>
          </cell>
          <cell r="H2109">
            <v>0</v>
          </cell>
          <cell r="I2109">
            <v>25</v>
          </cell>
          <cell r="J2109">
            <v>0</v>
          </cell>
          <cell r="K2109">
            <v>0</v>
          </cell>
          <cell r="L2109">
            <v>25</v>
          </cell>
          <cell r="M2109" t="str">
            <v>禾祥</v>
          </cell>
        </row>
        <row r="2110">
          <cell r="B2110" t="str">
            <v>厦门永恒贸易 有限公Ë Total</v>
          </cell>
          <cell r="L2110">
            <v>25</v>
          </cell>
        </row>
        <row r="2111">
          <cell r="A2111" t="str">
            <v>300114</v>
          </cell>
          <cell r="B2111" t="str">
            <v>厦门永佳和塑胶有限公</v>
          </cell>
          <cell r="C2111" t="str">
            <v>三资</v>
          </cell>
          <cell r="D2111" t="str">
            <v>其它</v>
          </cell>
          <cell r="E2111" t="str">
            <v>保证贷款</v>
          </cell>
          <cell r="F2111">
            <v>37399</v>
          </cell>
          <cell r="G2111">
            <v>37703</v>
          </cell>
          <cell r="H2111">
            <v>0</v>
          </cell>
          <cell r="I2111">
            <v>150</v>
          </cell>
          <cell r="J2111">
            <v>0</v>
          </cell>
          <cell r="K2111">
            <v>0</v>
          </cell>
          <cell r="L2111">
            <v>150</v>
          </cell>
          <cell r="M2111" t="str">
            <v>鹭江</v>
          </cell>
        </row>
        <row r="2112">
          <cell r="B2112" t="str">
            <v>厦门永佳和塑胶有限公 Total</v>
          </cell>
          <cell r="L2112">
            <v>150</v>
          </cell>
        </row>
        <row r="2113">
          <cell r="A2113" t="str">
            <v>020071</v>
          </cell>
          <cell r="B2113" t="str">
            <v>厦门永鑫辉塑粉有限公</v>
          </cell>
          <cell r="C2113" t="str">
            <v>其它</v>
          </cell>
          <cell r="D2113" t="str">
            <v>工业</v>
          </cell>
          <cell r="E2113" t="str">
            <v>保证贷款</v>
          </cell>
          <cell r="F2113">
            <v>37410</v>
          </cell>
          <cell r="G2113">
            <v>37652</v>
          </cell>
          <cell r="H2113">
            <v>0</v>
          </cell>
          <cell r="I2113">
            <v>150</v>
          </cell>
          <cell r="J2113">
            <v>0</v>
          </cell>
          <cell r="K2113">
            <v>0</v>
          </cell>
          <cell r="L2113">
            <v>150</v>
          </cell>
          <cell r="M2113" t="str">
            <v>东区</v>
          </cell>
        </row>
        <row r="2114">
          <cell r="B2114" t="str">
            <v>厦门永鑫辉塑粉有限公 Total</v>
          </cell>
          <cell r="L2114">
            <v>150</v>
          </cell>
        </row>
        <row r="2115">
          <cell r="A2115" t="str">
            <v>02-007</v>
          </cell>
          <cell r="B2115" t="str">
            <v>厦门涌泉集团有</v>
          </cell>
          <cell r="C2115" t="str">
            <v>集体</v>
          </cell>
          <cell r="D2115" t="str">
            <v>商贸</v>
          </cell>
          <cell r="E2115" t="str">
            <v>保证贷款</v>
          </cell>
          <cell r="F2115">
            <v>37285</v>
          </cell>
          <cell r="G2115">
            <v>37589</v>
          </cell>
          <cell r="H2115">
            <v>0</v>
          </cell>
          <cell r="I2115">
            <v>700</v>
          </cell>
          <cell r="J2115">
            <v>0</v>
          </cell>
          <cell r="K2115">
            <v>0</v>
          </cell>
          <cell r="L2115">
            <v>700</v>
          </cell>
          <cell r="M2115" t="str">
            <v>营业</v>
          </cell>
        </row>
        <row r="2116">
          <cell r="B2116" t="str">
            <v>厦门涌泉集团有 Total</v>
          </cell>
          <cell r="L2116">
            <v>700</v>
          </cell>
        </row>
        <row r="2117">
          <cell r="A2117" t="str">
            <v>02-051</v>
          </cell>
          <cell r="B2117" t="str">
            <v>厦门涌泉科技发</v>
          </cell>
          <cell r="C2117" t="str">
            <v>集体</v>
          </cell>
          <cell r="D2117" t="str">
            <v>商贸</v>
          </cell>
          <cell r="E2117" t="str">
            <v>抵押贷款</v>
          </cell>
          <cell r="F2117">
            <v>37495</v>
          </cell>
          <cell r="G2117">
            <v>37749</v>
          </cell>
          <cell r="H2117">
            <v>0</v>
          </cell>
          <cell r="I2117">
            <v>650</v>
          </cell>
          <cell r="J2117">
            <v>0</v>
          </cell>
          <cell r="K2117">
            <v>0</v>
          </cell>
          <cell r="L2117">
            <v>650</v>
          </cell>
          <cell r="M2117" t="str">
            <v>营业</v>
          </cell>
        </row>
        <row r="2118">
          <cell r="B2118" t="str">
            <v>厦门涌泉科技发 Total</v>
          </cell>
          <cell r="L2118">
            <v>650</v>
          </cell>
        </row>
        <row r="2119">
          <cell r="A2119" t="str">
            <v>00003</v>
          </cell>
          <cell r="B2119" t="str">
            <v>厦门友谊商场有限公司</v>
          </cell>
          <cell r="C2119" t="str">
            <v>国营</v>
          </cell>
          <cell r="D2119" t="str">
            <v>商贸</v>
          </cell>
          <cell r="E2119" t="str">
            <v>保证贷款</v>
          </cell>
          <cell r="F2119">
            <v>36734</v>
          </cell>
          <cell r="G2119">
            <v>37778</v>
          </cell>
          <cell r="H2119">
            <v>0</v>
          </cell>
          <cell r="I2119">
            <v>0</v>
          </cell>
          <cell r="J2119">
            <v>0</v>
          </cell>
          <cell r="K2119">
            <v>0</v>
          </cell>
          <cell r="L2119">
            <v>400</v>
          </cell>
          <cell r="M2119" t="str">
            <v>文滨</v>
          </cell>
        </row>
        <row r="2120">
          <cell r="B2120" t="str">
            <v>厦门友谊商场有限公司 Total</v>
          </cell>
          <cell r="L2120">
            <v>400</v>
          </cell>
        </row>
        <row r="2121">
          <cell r="A2121" t="str">
            <v>170034</v>
          </cell>
          <cell r="B2121" t="str">
            <v>厦门右成房地产公司</v>
          </cell>
          <cell r="C2121" t="str">
            <v>三资</v>
          </cell>
          <cell r="D2121" t="str">
            <v>其它</v>
          </cell>
          <cell r="E2121" t="str">
            <v>抵押贷款</v>
          </cell>
          <cell r="F2121">
            <v>37503</v>
          </cell>
          <cell r="G2121">
            <v>37837</v>
          </cell>
          <cell r="H2121">
            <v>0</v>
          </cell>
          <cell r="I2121">
            <v>250</v>
          </cell>
          <cell r="J2121">
            <v>0</v>
          </cell>
          <cell r="K2121">
            <v>0</v>
          </cell>
          <cell r="L2121">
            <v>250</v>
          </cell>
          <cell r="M2121" t="str">
            <v>厦禾</v>
          </cell>
        </row>
        <row r="2122">
          <cell r="A2122" t="str">
            <v>170040</v>
          </cell>
          <cell r="B2122" t="str">
            <v>厦门右成房地产公司</v>
          </cell>
          <cell r="C2122" t="str">
            <v>三资</v>
          </cell>
          <cell r="D2122" t="str">
            <v>其它</v>
          </cell>
          <cell r="E2122" t="str">
            <v>抵押贷款</v>
          </cell>
          <cell r="F2122">
            <v>37523</v>
          </cell>
          <cell r="G2122">
            <v>37826</v>
          </cell>
          <cell r="H2122">
            <v>0</v>
          </cell>
          <cell r="I2122">
            <v>250</v>
          </cell>
          <cell r="J2122">
            <v>0</v>
          </cell>
          <cell r="K2122">
            <v>0</v>
          </cell>
          <cell r="L2122">
            <v>250</v>
          </cell>
          <cell r="M2122" t="str">
            <v>厦禾</v>
          </cell>
        </row>
        <row r="2123">
          <cell r="B2123" t="str">
            <v>厦门右成房地产公司 Total</v>
          </cell>
          <cell r="L2123">
            <v>500</v>
          </cell>
        </row>
        <row r="2124">
          <cell r="A2124" t="str">
            <v>942007</v>
          </cell>
          <cell r="B2124" t="str">
            <v>厦门玉鹭建设开发有限</v>
          </cell>
          <cell r="C2124" t="str">
            <v>国营</v>
          </cell>
          <cell r="D2124" t="str">
            <v>其它</v>
          </cell>
          <cell r="E2124" t="str">
            <v>保证贷款</v>
          </cell>
          <cell r="F2124">
            <v>37296</v>
          </cell>
          <cell r="G2124">
            <v>37661</v>
          </cell>
          <cell r="H2124">
            <v>0</v>
          </cell>
          <cell r="I2124">
            <v>500</v>
          </cell>
          <cell r="J2124">
            <v>0</v>
          </cell>
          <cell r="K2124">
            <v>0</v>
          </cell>
          <cell r="L2124">
            <v>500</v>
          </cell>
          <cell r="M2124" t="str">
            <v>莲富</v>
          </cell>
        </row>
        <row r="2125">
          <cell r="A2125" t="str">
            <v>942037</v>
          </cell>
          <cell r="B2125" t="str">
            <v>厦门玉鹭建设开发有限</v>
          </cell>
          <cell r="C2125" t="str">
            <v>国营</v>
          </cell>
          <cell r="D2125" t="str">
            <v>其它</v>
          </cell>
          <cell r="E2125" t="str">
            <v>保证贷款</v>
          </cell>
          <cell r="F2125">
            <v>37362</v>
          </cell>
          <cell r="G2125">
            <v>37727</v>
          </cell>
          <cell r="H2125">
            <v>0</v>
          </cell>
          <cell r="I2125">
            <v>500</v>
          </cell>
          <cell r="J2125">
            <v>0</v>
          </cell>
          <cell r="K2125">
            <v>0</v>
          </cell>
          <cell r="L2125">
            <v>500</v>
          </cell>
          <cell r="M2125" t="str">
            <v>莲富</v>
          </cell>
        </row>
        <row r="2126">
          <cell r="B2126" t="str">
            <v>厦门玉鹭建设开发有限 Total</v>
          </cell>
          <cell r="L2126">
            <v>1000</v>
          </cell>
        </row>
        <row r="2127">
          <cell r="A2127" t="str">
            <v>0047</v>
          </cell>
          <cell r="B2127" t="str">
            <v>厦门裕盛达集装箱运输</v>
          </cell>
          <cell r="C2127" t="str">
            <v>三资</v>
          </cell>
          <cell r="D2127" t="str">
            <v>其它</v>
          </cell>
          <cell r="E2127" t="str">
            <v>抵押贷款</v>
          </cell>
          <cell r="F2127">
            <v>37321</v>
          </cell>
          <cell r="G2127">
            <v>37919</v>
          </cell>
          <cell r="H2127">
            <v>0</v>
          </cell>
          <cell r="I2127">
            <v>17.100000000000001</v>
          </cell>
          <cell r="J2127">
            <v>0.89</v>
          </cell>
          <cell r="K2127">
            <v>6.11</v>
          </cell>
          <cell r="L2127">
            <v>10.99</v>
          </cell>
          <cell r="M2127" t="str">
            <v>东芳</v>
          </cell>
        </row>
        <row r="2128">
          <cell r="B2128" t="str">
            <v>厦门裕盛达集装箱运输 Total</v>
          </cell>
          <cell r="L2128">
            <v>10.99</v>
          </cell>
        </row>
        <row r="2129">
          <cell r="A2129" t="str">
            <v>B99036</v>
          </cell>
          <cell r="B2129" t="str">
            <v>厦门裕源拉链有限公司</v>
          </cell>
          <cell r="C2129" t="str">
            <v>三资</v>
          </cell>
          <cell r="D2129" t="str">
            <v>商贸</v>
          </cell>
          <cell r="E2129" t="str">
            <v>保证贷款</v>
          </cell>
          <cell r="F2129">
            <v>36374</v>
          </cell>
          <cell r="G2129">
            <v>36740</v>
          </cell>
          <cell r="H2129">
            <v>0</v>
          </cell>
          <cell r="I2129">
            <v>0</v>
          </cell>
          <cell r="J2129">
            <v>0</v>
          </cell>
          <cell r="K2129">
            <v>0</v>
          </cell>
          <cell r="L2129">
            <v>2200</v>
          </cell>
          <cell r="M2129" t="str">
            <v>同安</v>
          </cell>
        </row>
        <row r="2130">
          <cell r="B2130" t="str">
            <v>厦门裕源拉链有限公司 Total</v>
          </cell>
          <cell r="L2130">
            <v>2200</v>
          </cell>
        </row>
        <row r="2131">
          <cell r="A2131" t="str">
            <v>01-106</v>
          </cell>
          <cell r="B2131" t="str">
            <v>厦门员当新市区</v>
          </cell>
          <cell r="C2131" t="str">
            <v>国营</v>
          </cell>
          <cell r="D2131" t="str">
            <v>其它</v>
          </cell>
          <cell r="E2131" t="str">
            <v>抵押贷款</v>
          </cell>
          <cell r="F2131">
            <v>37277</v>
          </cell>
          <cell r="G2131">
            <v>37610</v>
          </cell>
          <cell r="H2131">
            <v>0</v>
          </cell>
          <cell r="I2131">
            <v>700</v>
          </cell>
          <cell r="J2131">
            <v>0</v>
          </cell>
          <cell r="K2131">
            <v>0</v>
          </cell>
          <cell r="L2131">
            <v>700</v>
          </cell>
          <cell r="M2131" t="str">
            <v>营业</v>
          </cell>
        </row>
        <row r="2132">
          <cell r="B2132" t="str">
            <v>厦门员当新市区 Total</v>
          </cell>
          <cell r="L2132">
            <v>700</v>
          </cell>
        </row>
        <row r="2133">
          <cell r="A2133" t="str">
            <v>600011</v>
          </cell>
          <cell r="B2133" t="str">
            <v>厦门造船厂</v>
          </cell>
          <cell r="C2133" t="str">
            <v>国营</v>
          </cell>
          <cell r="D2133" t="str">
            <v>工业</v>
          </cell>
          <cell r="E2133" t="str">
            <v>抵押贷款</v>
          </cell>
          <cell r="F2133">
            <v>35725</v>
          </cell>
          <cell r="G2133">
            <v>37731</v>
          </cell>
          <cell r="H2133">
            <v>0</v>
          </cell>
          <cell r="I2133">
            <v>0</v>
          </cell>
          <cell r="J2133">
            <v>0</v>
          </cell>
          <cell r="K2133">
            <v>0</v>
          </cell>
          <cell r="L2133">
            <v>1500</v>
          </cell>
          <cell r="M2133" t="str">
            <v>海沧</v>
          </cell>
        </row>
        <row r="2134">
          <cell r="A2134" t="str">
            <v>600012</v>
          </cell>
          <cell r="B2134" t="str">
            <v>厦门造船厂</v>
          </cell>
          <cell r="C2134" t="str">
            <v>国营</v>
          </cell>
          <cell r="D2134" t="str">
            <v>工业</v>
          </cell>
          <cell r="E2134" t="str">
            <v>抵押贷款</v>
          </cell>
          <cell r="F2134">
            <v>35725</v>
          </cell>
          <cell r="G2134">
            <v>37730</v>
          </cell>
          <cell r="H2134">
            <v>0</v>
          </cell>
          <cell r="I2134">
            <v>0</v>
          </cell>
          <cell r="J2134">
            <v>0</v>
          </cell>
          <cell r="K2134">
            <v>0</v>
          </cell>
          <cell r="L2134">
            <v>1500</v>
          </cell>
          <cell r="M2134" t="str">
            <v>海沧</v>
          </cell>
        </row>
        <row r="2135">
          <cell r="B2135" t="str">
            <v>厦门造船厂 Total</v>
          </cell>
          <cell r="L2135">
            <v>3000</v>
          </cell>
        </row>
        <row r="2136">
          <cell r="A2136" t="str">
            <v>021319</v>
          </cell>
          <cell r="B2136" t="str">
            <v>厦门正新橡胶有限公司</v>
          </cell>
          <cell r="C2136" t="str">
            <v>三资</v>
          </cell>
          <cell r="D2136" t="str">
            <v>工业</v>
          </cell>
          <cell r="E2136" t="str">
            <v>信用贷款</v>
          </cell>
          <cell r="F2136">
            <v>37474</v>
          </cell>
          <cell r="G2136">
            <v>37836</v>
          </cell>
          <cell r="H2136">
            <v>0</v>
          </cell>
          <cell r="I2136">
            <v>1500</v>
          </cell>
          <cell r="J2136">
            <v>1000</v>
          </cell>
          <cell r="K2136">
            <v>1000</v>
          </cell>
          <cell r="L2136">
            <v>500</v>
          </cell>
          <cell r="M2136" t="str">
            <v>杏林</v>
          </cell>
        </row>
        <row r="2137">
          <cell r="B2137" t="str">
            <v>厦门正新橡胶有限公司 Total</v>
          </cell>
          <cell r="L2137">
            <v>500</v>
          </cell>
        </row>
        <row r="2138">
          <cell r="A2138" t="str">
            <v>0067</v>
          </cell>
          <cell r="B2138" t="str">
            <v>厦门中航技储运有限公</v>
          </cell>
          <cell r="C2138" t="str">
            <v>其它</v>
          </cell>
          <cell r="D2138" t="str">
            <v>其它</v>
          </cell>
          <cell r="E2138" t="str">
            <v>抵押贷款</v>
          </cell>
          <cell r="F2138">
            <v>37406</v>
          </cell>
          <cell r="G2138">
            <v>38070</v>
          </cell>
          <cell r="H2138">
            <v>0</v>
          </cell>
          <cell r="I2138">
            <v>56.6</v>
          </cell>
          <cell r="J2138">
            <v>2.48</v>
          </cell>
          <cell r="K2138">
            <v>12.27</v>
          </cell>
          <cell r="L2138">
            <v>44.33</v>
          </cell>
          <cell r="M2138" t="str">
            <v>东芳</v>
          </cell>
        </row>
        <row r="2139">
          <cell r="B2139" t="str">
            <v>厦门中航技储运有限公 Total</v>
          </cell>
          <cell r="L2139">
            <v>44.33</v>
          </cell>
        </row>
        <row r="2140">
          <cell r="A2140" t="str">
            <v>01-090</v>
          </cell>
          <cell r="B2140" t="str">
            <v>厦门中寰建设有</v>
          </cell>
          <cell r="C2140" t="str">
            <v>国营</v>
          </cell>
          <cell r="D2140" t="str">
            <v>其它</v>
          </cell>
          <cell r="E2140" t="str">
            <v>保证贷款</v>
          </cell>
          <cell r="F2140">
            <v>37204</v>
          </cell>
          <cell r="G2140">
            <v>37568</v>
          </cell>
          <cell r="H2140">
            <v>0</v>
          </cell>
          <cell r="I2140">
            <v>0</v>
          </cell>
          <cell r="J2140">
            <v>0</v>
          </cell>
          <cell r="K2140">
            <v>0</v>
          </cell>
          <cell r="L2140">
            <v>1800</v>
          </cell>
          <cell r="M2140" t="str">
            <v>营业</v>
          </cell>
        </row>
        <row r="2141">
          <cell r="B2141" t="str">
            <v>厦门中寰建设有 Total</v>
          </cell>
          <cell r="L2141">
            <v>1800</v>
          </cell>
        </row>
        <row r="2142">
          <cell r="A2142" t="str">
            <v>200203</v>
          </cell>
          <cell r="B2142" t="str">
            <v>厦门中盛粮油公司</v>
          </cell>
          <cell r="C2142" t="str">
            <v>集体</v>
          </cell>
          <cell r="D2142" t="str">
            <v>工业</v>
          </cell>
          <cell r="E2142" t="str">
            <v>保证贷款</v>
          </cell>
          <cell r="F2142">
            <v>37284</v>
          </cell>
          <cell r="G2142">
            <v>37649</v>
          </cell>
          <cell r="H2142">
            <v>0</v>
          </cell>
          <cell r="I2142">
            <v>200</v>
          </cell>
          <cell r="J2142">
            <v>0</v>
          </cell>
          <cell r="K2142">
            <v>0</v>
          </cell>
          <cell r="L2142">
            <v>200</v>
          </cell>
          <cell r="M2142" t="str">
            <v>同安</v>
          </cell>
        </row>
        <row r="2143">
          <cell r="A2143" t="str">
            <v>200223</v>
          </cell>
          <cell r="B2143" t="str">
            <v>厦门中盛粮油公司</v>
          </cell>
          <cell r="C2143" t="str">
            <v>集体</v>
          </cell>
          <cell r="D2143" t="str">
            <v>工业</v>
          </cell>
          <cell r="E2143" t="str">
            <v>保证贷款</v>
          </cell>
          <cell r="F2143">
            <v>37340</v>
          </cell>
          <cell r="G2143">
            <v>37705</v>
          </cell>
          <cell r="H2143">
            <v>0</v>
          </cell>
          <cell r="I2143">
            <v>200</v>
          </cell>
          <cell r="J2143">
            <v>0</v>
          </cell>
          <cell r="K2143">
            <v>0</v>
          </cell>
          <cell r="L2143">
            <v>200</v>
          </cell>
          <cell r="M2143" t="str">
            <v>同安</v>
          </cell>
        </row>
        <row r="2144">
          <cell r="A2144" t="str">
            <v>200254</v>
          </cell>
          <cell r="B2144" t="str">
            <v>厦门中盛粮油公司</v>
          </cell>
          <cell r="C2144" t="str">
            <v>集体</v>
          </cell>
          <cell r="D2144" t="str">
            <v>工业</v>
          </cell>
          <cell r="E2144" t="str">
            <v>保证贷款</v>
          </cell>
          <cell r="F2144">
            <v>37447</v>
          </cell>
          <cell r="G2144">
            <v>37539</v>
          </cell>
          <cell r="H2144">
            <v>0</v>
          </cell>
          <cell r="I2144">
            <v>250</v>
          </cell>
          <cell r="J2144">
            <v>0</v>
          </cell>
          <cell r="K2144">
            <v>0</v>
          </cell>
          <cell r="L2144">
            <v>250</v>
          </cell>
          <cell r="M2144" t="str">
            <v>同安</v>
          </cell>
        </row>
        <row r="2145">
          <cell r="A2145" t="str">
            <v>200259</v>
          </cell>
          <cell r="B2145" t="str">
            <v>厦门中盛粮油公司</v>
          </cell>
          <cell r="C2145" t="str">
            <v>集体</v>
          </cell>
          <cell r="D2145" t="str">
            <v>工业</v>
          </cell>
          <cell r="E2145" t="str">
            <v>抵押贷款</v>
          </cell>
          <cell r="F2145">
            <v>37498</v>
          </cell>
          <cell r="G2145">
            <v>37893</v>
          </cell>
          <cell r="H2145">
            <v>0</v>
          </cell>
          <cell r="I2145">
            <v>400</v>
          </cell>
          <cell r="J2145">
            <v>0</v>
          </cell>
          <cell r="K2145">
            <v>0</v>
          </cell>
          <cell r="L2145">
            <v>400</v>
          </cell>
          <cell r="M2145" t="str">
            <v>同安</v>
          </cell>
        </row>
        <row r="2146">
          <cell r="A2146" t="str">
            <v>200260</v>
          </cell>
          <cell r="B2146" t="str">
            <v>厦门中盛粮油公司</v>
          </cell>
          <cell r="C2146" t="str">
            <v>集体</v>
          </cell>
          <cell r="D2146" t="str">
            <v>工业</v>
          </cell>
          <cell r="E2146" t="str">
            <v>抵押贷款</v>
          </cell>
          <cell r="F2146">
            <v>37498</v>
          </cell>
          <cell r="G2146">
            <v>37831</v>
          </cell>
          <cell r="H2146">
            <v>0</v>
          </cell>
          <cell r="I2146">
            <v>400</v>
          </cell>
          <cell r="J2146">
            <v>0</v>
          </cell>
          <cell r="K2146">
            <v>0</v>
          </cell>
          <cell r="L2146">
            <v>400</v>
          </cell>
          <cell r="M2146" t="str">
            <v>同安</v>
          </cell>
        </row>
        <row r="2147">
          <cell r="A2147" t="str">
            <v>200261</v>
          </cell>
          <cell r="B2147" t="str">
            <v>厦门中盛粮油公司</v>
          </cell>
          <cell r="C2147" t="str">
            <v>集体</v>
          </cell>
          <cell r="D2147" t="str">
            <v>工业</v>
          </cell>
          <cell r="E2147" t="str">
            <v>抵押贷款</v>
          </cell>
          <cell r="F2147">
            <v>37498</v>
          </cell>
          <cell r="G2147">
            <v>37862</v>
          </cell>
          <cell r="H2147">
            <v>0</v>
          </cell>
          <cell r="I2147">
            <v>450</v>
          </cell>
          <cell r="J2147">
            <v>0</v>
          </cell>
          <cell r="K2147">
            <v>0</v>
          </cell>
          <cell r="L2147">
            <v>450</v>
          </cell>
          <cell r="M2147" t="str">
            <v>同安</v>
          </cell>
        </row>
        <row r="2148">
          <cell r="B2148" t="str">
            <v>厦门中盛粮油公司 Total</v>
          </cell>
          <cell r="L2148">
            <v>1900</v>
          </cell>
        </row>
        <row r="2149">
          <cell r="A2149" t="str">
            <v>160023</v>
          </cell>
          <cell r="B2149" t="str">
            <v>厦门中土对外贸易公司</v>
          </cell>
          <cell r="C2149" t="str">
            <v>其它</v>
          </cell>
          <cell r="D2149" t="str">
            <v>其它</v>
          </cell>
          <cell r="E2149" t="str">
            <v>质押贷款</v>
          </cell>
          <cell r="F2149">
            <v>37362</v>
          </cell>
          <cell r="G2149">
            <v>37715</v>
          </cell>
          <cell r="H2149">
            <v>0</v>
          </cell>
          <cell r="I2149">
            <v>18</v>
          </cell>
          <cell r="J2149">
            <v>0</v>
          </cell>
          <cell r="K2149">
            <v>0</v>
          </cell>
          <cell r="L2149">
            <v>18</v>
          </cell>
          <cell r="M2149" t="str">
            <v>梧村</v>
          </cell>
        </row>
        <row r="2150">
          <cell r="B2150" t="str">
            <v>厦门中土对外贸易公司 Total</v>
          </cell>
          <cell r="L2150">
            <v>18</v>
          </cell>
        </row>
        <row r="2151">
          <cell r="A2151" t="str">
            <v>021207</v>
          </cell>
          <cell r="B2151" t="str">
            <v>厦门中伟兴集装箱运输</v>
          </cell>
          <cell r="C2151" t="str">
            <v>集体</v>
          </cell>
          <cell r="D2151" t="str">
            <v>工业</v>
          </cell>
          <cell r="E2151" t="str">
            <v>抵押贷款</v>
          </cell>
          <cell r="F2151">
            <v>37293</v>
          </cell>
          <cell r="G2151">
            <v>38017</v>
          </cell>
          <cell r="H2151">
            <v>0</v>
          </cell>
          <cell r="I2151">
            <v>33.6</v>
          </cell>
          <cell r="J2151">
            <v>1.42</v>
          </cell>
          <cell r="K2151">
            <v>9.75</v>
          </cell>
          <cell r="L2151">
            <v>23.85</v>
          </cell>
          <cell r="M2151" t="str">
            <v>集美</v>
          </cell>
        </row>
        <row r="2152">
          <cell r="B2152" t="str">
            <v>厦门中伟兴集装箱运输 Total</v>
          </cell>
          <cell r="L2152">
            <v>23.85</v>
          </cell>
        </row>
        <row r="2153">
          <cell r="A2153" t="str">
            <v>300097</v>
          </cell>
          <cell r="B2153" t="str">
            <v>厦门中信诚进出口公司</v>
          </cell>
          <cell r="C2153" t="str">
            <v>三资</v>
          </cell>
          <cell r="D2153" t="str">
            <v>商贸</v>
          </cell>
          <cell r="E2153" t="str">
            <v>保证贷款</v>
          </cell>
          <cell r="F2153">
            <v>37364</v>
          </cell>
          <cell r="G2153">
            <v>37639</v>
          </cell>
          <cell r="H2153">
            <v>0</v>
          </cell>
          <cell r="I2153">
            <v>200</v>
          </cell>
          <cell r="J2153">
            <v>0</v>
          </cell>
          <cell r="K2153">
            <v>0</v>
          </cell>
          <cell r="L2153">
            <v>200</v>
          </cell>
          <cell r="M2153" t="str">
            <v>鹭江</v>
          </cell>
        </row>
        <row r="2154">
          <cell r="B2154" t="str">
            <v>厦门中信诚进出口公司 Total</v>
          </cell>
          <cell r="L2154">
            <v>200</v>
          </cell>
        </row>
        <row r="2155">
          <cell r="A2155" t="str">
            <v>0096</v>
          </cell>
          <cell r="B2155" t="str">
            <v>厦门钟宅土石方工程有</v>
          </cell>
          <cell r="C2155" t="str">
            <v>其它</v>
          </cell>
          <cell r="D2155" t="str">
            <v>其它</v>
          </cell>
          <cell r="E2155" t="str">
            <v>抵押贷款</v>
          </cell>
          <cell r="F2155">
            <v>37558</v>
          </cell>
          <cell r="G2155">
            <v>38224</v>
          </cell>
          <cell r="H2155">
            <v>46</v>
          </cell>
          <cell r="I2155">
            <v>46</v>
          </cell>
          <cell r="J2155">
            <v>0</v>
          </cell>
          <cell r="K2155">
            <v>0</v>
          </cell>
          <cell r="L2155">
            <v>46</v>
          </cell>
          <cell r="M2155" t="str">
            <v>东芳</v>
          </cell>
        </row>
        <row r="2156">
          <cell r="A2156" t="str">
            <v>0063</v>
          </cell>
          <cell r="B2156" t="str">
            <v>厦门钟宅土石方工程有</v>
          </cell>
          <cell r="C2156" t="str">
            <v>其它</v>
          </cell>
          <cell r="D2156" t="str">
            <v>其它</v>
          </cell>
          <cell r="E2156" t="str">
            <v>抵押贷款</v>
          </cell>
          <cell r="F2156">
            <v>37406</v>
          </cell>
          <cell r="G2156">
            <v>37945</v>
          </cell>
          <cell r="H2156">
            <v>0</v>
          </cell>
          <cell r="I2156">
            <v>46.6</v>
          </cell>
          <cell r="J2156">
            <v>2.5299999999999998</v>
          </cell>
          <cell r="K2156">
            <v>12.49</v>
          </cell>
          <cell r="L2156">
            <v>34.11</v>
          </cell>
          <cell r="M2156" t="str">
            <v>东芳</v>
          </cell>
        </row>
        <row r="2157">
          <cell r="A2157" t="str">
            <v>0051</v>
          </cell>
          <cell r="B2157" t="str">
            <v>厦门钟宅土石方工程有</v>
          </cell>
          <cell r="C2157" t="str">
            <v>其它</v>
          </cell>
          <cell r="D2157" t="str">
            <v>其它</v>
          </cell>
          <cell r="E2157" t="str">
            <v>抵押贷款</v>
          </cell>
          <cell r="F2157">
            <v>37364</v>
          </cell>
          <cell r="G2157">
            <v>38058</v>
          </cell>
          <cell r="H2157">
            <v>0</v>
          </cell>
          <cell r="I2157">
            <v>141</v>
          </cell>
          <cell r="J2157">
            <v>6.93</v>
          </cell>
          <cell r="K2157">
            <v>36.090000000000003</v>
          </cell>
          <cell r="L2157">
            <v>104.91</v>
          </cell>
          <cell r="M2157" t="str">
            <v>东芳</v>
          </cell>
        </row>
        <row r="2158">
          <cell r="B2158" t="str">
            <v>厦门钟宅土石方工程有 Total</v>
          </cell>
          <cell r="L2158">
            <v>185.01999999999998</v>
          </cell>
        </row>
        <row r="2159">
          <cell r="A2159" t="str">
            <v>020085</v>
          </cell>
          <cell r="B2159" t="str">
            <v>厦门住宅建设总公司</v>
          </cell>
          <cell r="C2159" t="str">
            <v>国营</v>
          </cell>
          <cell r="D2159" t="str">
            <v>其它</v>
          </cell>
          <cell r="E2159" t="str">
            <v>保证贷款</v>
          </cell>
          <cell r="F2159">
            <v>37442</v>
          </cell>
          <cell r="G2159">
            <v>37807</v>
          </cell>
          <cell r="H2159">
            <v>0</v>
          </cell>
          <cell r="I2159">
            <v>2500</v>
          </cell>
          <cell r="J2159">
            <v>0</v>
          </cell>
          <cell r="K2159">
            <v>0</v>
          </cell>
          <cell r="L2159">
            <v>2500</v>
          </cell>
          <cell r="M2159" t="str">
            <v>东区</v>
          </cell>
        </row>
        <row r="2160">
          <cell r="B2160" t="str">
            <v>厦门住宅建设总公司 Total</v>
          </cell>
          <cell r="L2160">
            <v>2500</v>
          </cell>
        </row>
        <row r="2161">
          <cell r="A2161" t="str">
            <v>021321</v>
          </cell>
          <cell r="B2161" t="str">
            <v>现代时装(厦门)公司</v>
          </cell>
          <cell r="C2161" t="str">
            <v>三资</v>
          </cell>
          <cell r="D2161" t="str">
            <v>工业</v>
          </cell>
          <cell r="E2161" t="str">
            <v>保证贷款</v>
          </cell>
          <cell r="F2161">
            <v>37399</v>
          </cell>
          <cell r="G2161">
            <v>37572</v>
          </cell>
          <cell r="H2161">
            <v>0</v>
          </cell>
          <cell r="I2161">
            <v>400</v>
          </cell>
          <cell r="J2161">
            <v>0</v>
          </cell>
          <cell r="K2161">
            <v>0</v>
          </cell>
          <cell r="L2161">
            <v>400</v>
          </cell>
          <cell r="M2161" t="str">
            <v>集美</v>
          </cell>
        </row>
        <row r="2162">
          <cell r="A2162" t="str">
            <v>021334</v>
          </cell>
          <cell r="B2162" t="str">
            <v>现代时装(厦门)公司</v>
          </cell>
          <cell r="C2162" t="str">
            <v>三资</v>
          </cell>
          <cell r="D2162" t="str">
            <v>工业</v>
          </cell>
          <cell r="E2162" t="str">
            <v>保证贷款</v>
          </cell>
          <cell r="F2162">
            <v>37552</v>
          </cell>
          <cell r="G2162">
            <v>37733</v>
          </cell>
          <cell r="H2162">
            <v>400</v>
          </cell>
          <cell r="I2162">
            <v>400</v>
          </cell>
          <cell r="J2162">
            <v>0</v>
          </cell>
          <cell r="K2162">
            <v>0</v>
          </cell>
          <cell r="L2162">
            <v>400</v>
          </cell>
          <cell r="M2162" t="str">
            <v>集美</v>
          </cell>
        </row>
        <row r="2163">
          <cell r="A2163" t="str">
            <v>021333</v>
          </cell>
          <cell r="B2163" t="str">
            <v>现代时装(厦门)公司</v>
          </cell>
          <cell r="C2163" t="str">
            <v>三资</v>
          </cell>
          <cell r="D2163" t="str">
            <v>工业</v>
          </cell>
          <cell r="E2163" t="str">
            <v>保证贷款</v>
          </cell>
          <cell r="F2163">
            <v>37547</v>
          </cell>
          <cell r="G2163">
            <v>37728</v>
          </cell>
          <cell r="H2163">
            <v>500</v>
          </cell>
          <cell r="I2163">
            <v>500</v>
          </cell>
          <cell r="J2163">
            <v>0</v>
          </cell>
          <cell r="K2163">
            <v>0</v>
          </cell>
          <cell r="L2163">
            <v>500</v>
          </cell>
          <cell r="M2163" t="str">
            <v>集美</v>
          </cell>
        </row>
        <row r="2164">
          <cell r="A2164" t="str">
            <v>021301</v>
          </cell>
          <cell r="B2164" t="str">
            <v>现代时装(厦门)公司</v>
          </cell>
          <cell r="C2164" t="str">
            <v>三资</v>
          </cell>
          <cell r="D2164" t="str">
            <v>工业</v>
          </cell>
          <cell r="E2164" t="str">
            <v>保证贷款</v>
          </cell>
          <cell r="F2164">
            <v>37559</v>
          </cell>
          <cell r="G2164">
            <v>37740</v>
          </cell>
          <cell r="H2164">
            <v>100</v>
          </cell>
          <cell r="I2164">
            <v>100</v>
          </cell>
          <cell r="J2164">
            <v>0</v>
          </cell>
          <cell r="K2164">
            <v>0</v>
          </cell>
          <cell r="L2164">
            <v>827.47</v>
          </cell>
          <cell r="M2164" t="str">
            <v>集美</v>
          </cell>
        </row>
        <row r="2165">
          <cell r="B2165" t="str">
            <v>现代时装(厦门)公司 Total</v>
          </cell>
          <cell r="L2165">
            <v>2127.4700000000003</v>
          </cell>
        </row>
        <row r="2166">
          <cell r="A2166" t="str">
            <v>000110</v>
          </cell>
          <cell r="B2166" t="str">
            <v>香精香料</v>
          </cell>
          <cell r="C2166" t="str">
            <v>其它</v>
          </cell>
          <cell r="D2166" t="str">
            <v>工业</v>
          </cell>
          <cell r="E2166" t="str">
            <v>保证贷款</v>
          </cell>
          <cell r="F2166">
            <v>37476</v>
          </cell>
          <cell r="G2166">
            <v>37660</v>
          </cell>
          <cell r="H2166">
            <v>0</v>
          </cell>
          <cell r="I2166">
            <v>700</v>
          </cell>
          <cell r="J2166">
            <v>0</v>
          </cell>
          <cell r="K2166">
            <v>0</v>
          </cell>
          <cell r="L2166">
            <v>700</v>
          </cell>
          <cell r="M2166" t="str">
            <v>康乐</v>
          </cell>
        </row>
        <row r="2167">
          <cell r="B2167" t="str">
            <v>香精香料 Total</v>
          </cell>
          <cell r="L2167">
            <v>700</v>
          </cell>
        </row>
        <row r="2168">
          <cell r="A2168" t="str">
            <v>217137</v>
          </cell>
          <cell r="B2168" t="str">
            <v>祥安家庭卫生用品厂</v>
          </cell>
          <cell r="C2168" t="str">
            <v>集体</v>
          </cell>
          <cell r="D2168" t="str">
            <v>工业</v>
          </cell>
          <cell r="E2168" t="str">
            <v>抵押贷款</v>
          </cell>
          <cell r="F2168">
            <v>35570</v>
          </cell>
          <cell r="G2168">
            <v>35874</v>
          </cell>
          <cell r="H2168">
            <v>0</v>
          </cell>
          <cell r="I2168">
            <v>0</v>
          </cell>
          <cell r="J2168">
            <v>0</v>
          </cell>
          <cell r="K2168">
            <v>0</v>
          </cell>
          <cell r="L2168">
            <v>300</v>
          </cell>
          <cell r="M2168" t="str">
            <v>同安</v>
          </cell>
        </row>
        <row r="2169">
          <cell r="A2169" t="str">
            <v>217159</v>
          </cell>
          <cell r="B2169" t="str">
            <v>祥安家庭卫生用品厂</v>
          </cell>
          <cell r="C2169" t="str">
            <v>集体</v>
          </cell>
          <cell r="D2169" t="str">
            <v>工业</v>
          </cell>
          <cell r="E2169" t="str">
            <v>抵押贷款</v>
          </cell>
          <cell r="F2169">
            <v>35579</v>
          </cell>
          <cell r="G2169">
            <v>35793</v>
          </cell>
          <cell r="H2169">
            <v>0</v>
          </cell>
          <cell r="I2169">
            <v>0</v>
          </cell>
          <cell r="J2169">
            <v>0</v>
          </cell>
          <cell r="K2169">
            <v>0</v>
          </cell>
          <cell r="L2169">
            <v>400</v>
          </cell>
          <cell r="M2169" t="str">
            <v>同安</v>
          </cell>
        </row>
        <row r="2170">
          <cell r="B2170" t="str">
            <v>祥安家庭卫生用品厂 Total</v>
          </cell>
          <cell r="L2170">
            <v>700</v>
          </cell>
        </row>
        <row r="2171">
          <cell r="A2171" t="str">
            <v>11977D</v>
          </cell>
          <cell r="B2171" t="str">
            <v>祥业房地产</v>
          </cell>
          <cell r="C2171" t="str">
            <v>三资</v>
          </cell>
          <cell r="D2171" t="str">
            <v>其它</v>
          </cell>
          <cell r="E2171" t="str">
            <v>抵押贷款</v>
          </cell>
          <cell r="F2171">
            <v>35681</v>
          </cell>
          <cell r="G2171">
            <v>35857</v>
          </cell>
          <cell r="H2171">
            <v>0</v>
          </cell>
          <cell r="I2171">
            <v>0</v>
          </cell>
          <cell r="J2171">
            <v>0</v>
          </cell>
          <cell r="K2171">
            <v>0</v>
          </cell>
          <cell r="L2171">
            <v>200</v>
          </cell>
          <cell r="M2171" t="str">
            <v>营业</v>
          </cell>
        </row>
        <row r="2172">
          <cell r="A2172" t="str">
            <v>X0001A</v>
          </cell>
          <cell r="B2172" t="str">
            <v>祥业房地产</v>
          </cell>
          <cell r="C2172" t="str">
            <v>三资</v>
          </cell>
          <cell r="D2172" t="str">
            <v>其它</v>
          </cell>
          <cell r="E2172" t="str">
            <v>抵押贷款</v>
          </cell>
          <cell r="F2172">
            <v>35795</v>
          </cell>
          <cell r="G2172">
            <v>36063</v>
          </cell>
          <cell r="H2172">
            <v>0</v>
          </cell>
          <cell r="I2172">
            <v>0</v>
          </cell>
          <cell r="J2172">
            <v>0</v>
          </cell>
          <cell r="K2172">
            <v>0</v>
          </cell>
          <cell r="L2172">
            <v>1927.3431239999998</v>
          </cell>
          <cell r="M2172" t="str">
            <v>营业</v>
          </cell>
        </row>
        <row r="2173">
          <cell r="B2173" t="str">
            <v>祥业房地产 Total</v>
          </cell>
          <cell r="L2173">
            <v>2127.343124</v>
          </cell>
        </row>
        <row r="2174">
          <cell r="A2174" t="str">
            <v>200217</v>
          </cell>
          <cell r="B2174" t="str">
            <v>翔鹭涤纶纺纤厦门公司</v>
          </cell>
          <cell r="C2174" t="str">
            <v>三资</v>
          </cell>
          <cell r="D2174" t="str">
            <v>工业</v>
          </cell>
          <cell r="E2174" t="str">
            <v>保证贷款</v>
          </cell>
          <cell r="F2174">
            <v>37459</v>
          </cell>
          <cell r="G2174">
            <v>38189</v>
          </cell>
          <cell r="H2174">
            <v>0</v>
          </cell>
          <cell r="I2174">
            <v>3000</v>
          </cell>
          <cell r="J2174">
            <v>0</v>
          </cell>
          <cell r="K2174">
            <v>0</v>
          </cell>
          <cell r="L2174">
            <v>3000</v>
          </cell>
          <cell r="M2174" t="str">
            <v>海沧</v>
          </cell>
        </row>
        <row r="2175">
          <cell r="A2175" t="str">
            <v>200221</v>
          </cell>
          <cell r="B2175" t="str">
            <v>翔鹭涤纶纺纤厦门公司</v>
          </cell>
          <cell r="C2175" t="str">
            <v>三资</v>
          </cell>
          <cell r="D2175" t="str">
            <v>工业</v>
          </cell>
          <cell r="E2175" t="str">
            <v>保证贷款</v>
          </cell>
          <cell r="F2175">
            <v>37487</v>
          </cell>
          <cell r="G2175">
            <v>38217</v>
          </cell>
          <cell r="H2175">
            <v>0</v>
          </cell>
          <cell r="I2175">
            <v>3000</v>
          </cell>
          <cell r="J2175">
            <v>0</v>
          </cell>
          <cell r="K2175">
            <v>0</v>
          </cell>
          <cell r="L2175">
            <v>3000</v>
          </cell>
          <cell r="M2175" t="str">
            <v>海沧</v>
          </cell>
        </row>
        <row r="2176">
          <cell r="A2176" t="str">
            <v>200216</v>
          </cell>
          <cell r="B2176" t="str">
            <v>翔鹭涤纶纺纤厦门公司</v>
          </cell>
          <cell r="C2176" t="str">
            <v>三资</v>
          </cell>
          <cell r="D2176" t="str">
            <v>工业</v>
          </cell>
          <cell r="E2176" t="str">
            <v>保证贷款</v>
          </cell>
          <cell r="F2176">
            <v>37426</v>
          </cell>
          <cell r="G2176">
            <v>38156</v>
          </cell>
          <cell r="H2176">
            <v>0</v>
          </cell>
          <cell r="I2176">
            <v>4000</v>
          </cell>
          <cell r="J2176">
            <v>0</v>
          </cell>
          <cell r="K2176">
            <v>0</v>
          </cell>
          <cell r="L2176">
            <v>4000</v>
          </cell>
          <cell r="M2176" t="str">
            <v>海沧</v>
          </cell>
        </row>
        <row r="2177">
          <cell r="A2177" t="str">
            <v>200204</v>
          </cell>
          <cell r="B2177" t="str">
            <v>翔鹭涤纶纺纤厦门公司</v>
          </cell>
          <cell r="C2177" t="str">
            <v>三资</v>
          </cell>
          <cell r="D2177" t="str">
            <v>工业</v>
          </cell>
          <cell r="E2177" t="str">
            <v>保证贷款</v>
          </cell>
          <cell r="F2177">
            <v>37323</v>
          </cell>
          <cell r="G2177">
            <v>37688</v>
          </cell>
          <cell r="H2177">
            <v>0</v>
          </cell>
          <cell r="I2177">
            <v>59</v>
          </cell>
          <cell r="J2177">
            <v>0</v>
          </cell>
          <cell r="K2177">
            <v>0</v>
          </cell>
          <cell r="L2177">
            <v>488.20729999999998</v>
          </cell>
          <cell r="M2177" t="str">
            <v>海沧</v>
          </cell>
        </row>
        <row r="2178">
          <cell r="A2178" t="str">
            <v>200228</v>
          </cell>
          <cell r="B2178" t="str">
            <v>翔鹭涤纶纺纤厦门公司</v>
          </cell>
          <cell r="C2178" t="str">
            <v>三资</v>
          </cell>
          <cell r="D2178" t="str">
            <v>工业</v>
          </cell>
          <cell r="E2178" t="str">
            <v>保证贷款</v>
          </cell>
          <cell r="F2178">
            <v>37537</v>
          </cell>
          <cell r="G2178">
            <v>37901</v>
          </cell>
          <cell r="H2178">
            <v>85</v>
          </cell>
          <cell r="I2178">
            <v>85</v>
          </cell>
          <cell r="J2178">
            <v>0</v>
          </cell>
          <cell r="K2178">
            <v>0</v>
          </cell>
          <cell r="L2178">
            <v>703.34949999999992</v>
          </cell>
          <cell r="M2178" t="str">
            <v>海沧</v>
          </cell>
        </row>
        <row r="2179">
          <cell r="A2179" t="str">
            <v>200201</v>
          </cell>
          <cell r="B2179" t="str">
            <v>翔鹭涤纶纺纤厦门公司</v>
          </cell>
          <cell r="C2179" t="str">
            <v>三资</v>
          </cell>
          <cell r="D2179" t="str">
            <v>工业</v>
          </cell>
          <cell r="E2179" t="str">
            <v>保证贷款</v>
          </cell>
          <cell r="F2179">
            <v>37265</v>
          </cell>
          <cell r="G2179">
            <v>37630</v>
          </cell>
          <cell r="H2179">
            <v>0</v>
          </cell>
          <cell r="I2179">
            <v>87.5</v>
          </cell>
          <cell r="J2179">
            <v>0</v>
          </cell>
          <cell r="K2179">
            <v>0</v>
          </cell>
          <cell r="L2179">
            <v>724.03624999999988</v>
          </cell>
          <cell r="M2179" t="str">
            <v>海沧</v>
          </cell>
        </row>
        <row r="2180">
          <cell r="A2180" t="str">
            <v>200215</v>
          </cell>
          <cell r="B2180" t="str">
            <v>翔鹭涤纶纺纤厦门公司</v>
          </cell>
          <cell r="C2180" t="str">
            <v>三资</v>
          </cell>
          <cell r="D2180" t="str">
            <v>工业</v>
          </cell>
          <cell r="E2180" t="str">
            <v>保证贷款</v>
          </cell>
          <cell r="F2180">
            <v>37508</v>
          </cell>
          <cell r="G2180">
            <v>37872</v>
          </cell>
          <cell r="H2180">
            <v>0</v>
          </cell>
          <cell r="I2180">
            <v>100</v>
          </cell>
          <cell r="J2180">
            <v>0</v>
          </cell>
          <cell r="K2180">
            <v>0</v>
          </cell>
          <cell r="L2180">
            <v>827.47</v>
          </cell>
          <cell r="M2180" t="str">
            <v>海沧</v>
          </cell>
        </row>
        <row r="2181">
          <cell r="A2181" t="str">
            <v>200217</v>
          </cell>
          <cell r="B2181" t="str">
            <v>翔鹭涤纶纺纤厦门公司</v>
          </cell>
          <cell r="C2181" t="str">
            <v>三资</v>
          </cell>
          <cell r="D2181" t="str">
            <v>工业</v>
          </cell>
          <cell r="E2181" t="str">
            <v>保证贷款</v>
          </cell>
          <cell r="F2181">
            <v>37524</v>
          </cell>
          <cell r="G2181">
            <v>37888</v>
          </cell>
          <cell r="H2181">
            <v>0</v>
          </cell>
          <cell r="I2181">
            <v>100</v>
          </cell>
          <cell r="J2181">
            <v>0</v>
          </cell>
          <cell r="K2181">
            <v>0</v>
          </cell>
          <cell r="L2181">
            <v>827.47</v>
          </cell>
          <cell r="M2181" t="str">
            <v>海沧</v>
          </cell>
        </row>
        <row r="2182">
          <cell r="A2182" t="str">
            <v>200208</v>
          </cell>
          <cell r="B2182" t="str">
            <v>翔鹭涤纶纺纤厦门公司</v>
          </cell>
          <cell r="C2182" t="str">
            <v>三资</v>
          </cell>
          <cell r="D2182" t="str">
            <v>工业</v>
          </cell>
          <cell r="E2182" t="str">
            <v>保证贷款</v>
          </cell>
          <cell r="F2182">
            <v>37349</v>
          </cell>
          <cell r="G2182">
            <v>37713</v>
          </cell>
          <cell r="H2182">
            <v>0</v>
          </cell>
          <cell r="I2182">
            <v>120</v>
          </cell>
          <cell r="J2182">
            <v>0</v>
          </cell>
          <cell r="K2182">
            <v>0</v>
          </cell>
          <cell r="L2182">
            <v>992.96399999999994</v>
          </cell>
          <cell r="M2182" t="str">
            <v>海沧</v>
          </cell>
        </row>
        <row r="2183">
          <cell r="A2183" t="str">
            <v>200213</v>
          </cell>
          <cell r="B2183" t="str">
            <v>翔鹭涤纶纺纤厦门公司</v>
          </cell>
          <cell r="C2183" t="str">
            <v>三资</v>
          </cell>
          <cell r="D2183" t="str">
            <v>工业</v>
          </cell>
          <cell r="E2183" t="str">
            <v>保证贷款</v>
          </cell>
          <cell r="F2183">
            <v>37487</v>
          </cell>
          <cell r="G2183">
            <v>37851</v>
          </cell>
          <cell r="H2183">
            <v>0</v>
          </cell>
          <cell r="I2183">
            <v>120</v>
          </cell>
          <cell r="J2183">
            <v>0</v>
          </cell>
          <cell r="K2183">
            <v>0</v>
          </cell>
          <cell r="L2183">
            <v>992.96399999999994</v>
          </cell>
          <cell r="M2183" t="str">
            <v>海沧</v>
          </cell>
        </row>
        <row r="2184">
          <cell r="A2184" t="str">
            <v>200210</v>
          </cell>
          <cell r="B2184" t="str">
            <v>翔鹭涤纶纺纤厦门公司</v>
          </cell>
          <cell r="C2184" t="str">
            <v>三资</v>
          </cell>
          <cell r="D2184" t="str">
            <v>工业</v>
          </cell>
          <cell r="E2184" t="str">
            <v>保证贷款</v>
          </cell>
          <cell r="F2184">
            <v>37426</v>
          </cell>
          <cell r="G2184">
            <v>37790</v>
          </cell>
          <cell r="H2184">
            <v>0</v>
          </cell>
          <cell r="I2184">
            <v>130</v>
          </cell>
          <cell r="J2184">
            <v>0</v>
          </cell>
          <cell r="K2184">
            <v>0</v>
          </cell>
          <cell r="L2184">
            <v>1075.711</v>
          </cell>
          <cell r="M2184" t="str">
            <v>海沧</v>
          </cell>
        </row>
        <row r="2185">
          <cell r="A2185" t="str">
            <v>200229</v>
          </cell>
          <cell r="B2185" t="str">
            <v>翔鹭涤纶纺纤厦门公司</v>
          </cell>
          <cell r="C2185" t="str">
            <v>三资</v>
          </cell>
          <cell r="D2185" t="str">
            <v>工业</v>
          </cell>
          <cell r="E2185" t="str">
            <v>保证贷款</v>
          </cell>
          <cell r="F2185">
            <v>37546</v>
          </cell>
          <cell r="G2185">
            <v>37910</v>
          </cell>
          <cell r="H2185">
            <v>150</v>
          </cell>
          <cell r="I2185">
            <v>150</v>
          </cell>
          <cell r="J2185">
            <v>0</v>
          </cell>
          <cell r="K2185">
            <v>0</v>
          </cell>
          <cell r="L2185">
            <v>1241.2049999999999</v>
          </cell>
          <cell r="M2185" t="str">
            <v>海沧</v>
          </cell>
        </row>
        <row r="2186">
          <cell r="A2186" t="str">
            <v>200202</v>
          </cell>
          <cell r="B2186" t="str">
            <v>翔鹭涤纶纺纤厦门公司</v>
          </cell>
          <cell r="C2186" t="str">
            <v>三资</v>
          </cell>
          <cell r="D2186" t="str">
            <v>工业</v>
          </cell>
          <cell r="E2186" t="str">
            <v>保证贷款</v>
          </cell>
          <cell r="F2186">
            <v>37271</v>
          </cell>
          <cell r="G2186">
            <v>37636</v>
          </cell>
          <cell r="H2186">
            <v>0</v>
          </cell>
          <cell r="I2186">
            <v>160</v>
          </cell>
          <cell r="J2186">
            <v>0</v>
          </cell>
          <cell r="K2186">
            <v>0</v>
          </cell>
          <cell r="L2186">
            <v>1323.9519999999998</v>
          </cell>
          <cell r="M2186" t="str">
            <v>海沧</v>
          </cell>
        </row>
        <row r="2187">
          <cell r="A2187" t="str">
            <v>200211</v>
          </cell>
          <cell r="B2187" t="str">
            <v>翔鹭涤纶纺纤厦门公司</v>
          </cell>
          <cell r="C2187" t="str">
            <v>三资</v>
          </cell>
          <cell r="D2187" t="str">
            <v>工业</v>
          </cell>
          <cell r="E2187" t="str">
            <v>保证贷款</v>
          </cell>
          <cell r="F2187">
            <v>37452</v>
          </cell>
          <cell r="G2187">
            <v>37816</v>
          </cell>
          <cell r="H2187">
            <v>0</v>
          </cell>
          <cell r="I2187">
            <v>160</v>
          </cell>
          <cell r="J2187">
            <v>0</v>
          </cell>
          <cell r="K2187">
            <v>0</v>
          </cell>
          <cell r="L2187">
            <v>1323.9519999999998</v>
          </cell>
          <cell r="M2187" t="str">
            <v>海沧</v>
          </cell>
        </row>
        <row r="2188">
          <cell r="A2188" t="str">
            <v>200203</v>
          </cell>
          <cell r="B2188" t="str">
            <v>翔鹭涤纶纺纤厦门公司</v>
          </cell>
          <cell r="C2188" t="str">
            <v>三资</v>
          </cell>
          <cell r="D2188" t="str">
            <v>工业</v>
          </cell>
          <cell r="E2188" t="str">
            <v>保证贷款</v>
          </cell>
          <cell r="F2188">
            <v>37296</v>
          </cell>
          <cell r="G2188">
            <v>37661</v>
          </cell>
          <cell r="H2188">
            <v>0</v>
          </cell>
          <cell r="I2188">
            <v>170</v>
          </cell>
          <cell r="J2188">
            <v>0</v>
          </cell>
          <cell r="K2188">
            <v>0</v>
          </cell>
          <cell r="L2188">
            <v>1406.6989999999998</v>
          </cell>
          <cell r="M2188" t="str">
            <v>海沧</v>
          </cell>
        </row>
        <row r="2189">
          <cell r="A2189" t="str">
            <v>200205</v>
          </cell>
          <cell r="B2189" t="str">
            <v>翔鹭涤纶纺纤厦门公司</v>
          </cell>
          <cell r="C2189" t="str">
            <v>三资</v>
          </cell>
          <cell r="D2189" t="str">
            <v>工业</v>
          </cell>
          <cell r="E2189" t="str">
            <v>保证贷款</v>
          </cell>
          <cell r="F2189">
            <v>37335</v>
          </cell>
          <cell r="G2189">
            <v>37700</v>
          </cell>
          <cell r="H2189">
            <v>0</v>
          </cell>
          <cell r="I2189">
            <v>170</v>
          </cell>
          <cell r="J2189">
            <v>0</v>
          </cell>
          <cell r="K2189">
            <v>0</v>
          </cell>
          <cell r="L2189">
            <v>1406.6989999999998</v>
          </cell>
          <cell r="M2189" t="str">
            <v>海沧</v>
          </cell>
        </row>
        <row r="2190">
          <cell r="A2190" t="str">
            <v>200214</v>
          </cell>
          <cell r="B2190" t="str">
            <v>翔鹭涤纶纺纤厦门公司</v>
          </cell>
          <cell r="C2190" t="str">
            <v>三资</v>
          </cell>
          <cell r="D2190" t="str">
            <v>工业</v>
          </cell>
          <cell r="E2190" t="str">
            <v>保证贷款</v>
          </cell>
          <cell r="F2190">
            <v>37481</v>
          </cell>
          <cell r="G2190">
            <v>37845</v>
          </cell>
          <cell r="H2190">
            <v>0</v>
          </cell>
          <cell r="I2190">
            <v>180</v>
          </cell>
          <cell r="J2190">
            <v>0</v>
          </cell>
          <cell r="K2190">
            <v>0</v>
          </cell>
          <cell r="L2190">
            <v>1489.4459999999999</v>
          </cell>
          <cell r="M2190" t="str">
            <v>海沧</v>
          </cell>
        </row>
        <row r="2191">
          <cell r="A2191" t="str">
            <v>200216</v>
          </cell>
          <cell r="B2191" t="str">
            <v>翔鹭涤纶纺纤厦门公司</v>
          </cell>
          <cell r="C2191" t="str">
            <v>三资</v>
          </cell>
          <cell r="D2191" t="str">
            <v>工业</v>
          </cell>
          <cell r="E2191" t="str">
            <v>保证贷款</v>
          </cell>
          <cell r="F2191">
            <v>37519</v>
          </cell>
          <cell r="G2191">
            <v>37883</v>
          </cell>
          <cell r="H2191">
            <v>0</v>
          </cell>
          <cell r="I2191">
            <v>200</v>
          </cell>
          <cell r="J2191">
            <v>0</v>
          </cell>
          <cell r="K2191">
            <v>0</v>
          </cell>
          <cell r="L2191">
            <v>1654.94</v>
          </cell>
          <cell r="M2191" t="str">
            <v>海沧</v>
          </cell>
        </row>
        <row r="2192">
          <cell r="A2192" t="str">
            <v>200212</v>
          </cell>
          <cell r="B2192" t="str">
            <v>翔鹭涤纶纺纤厦门公司</v>
          </cell>
          <cell r="C2192" t="str">
            <v>三资</v>
          </cell>
          <cell r="D2192" t="str">
            <v>工业</v>
          </cell>
          <cell r="E2192" t="str">
            <v>保证贷款</v>
          </cell>
          <cell r="F2192">
            <v>37463</v>
          </cell>
          <cell r="G2192">
            <v>37827</v>
          </cell>
          <cell r="H2192">
            <v>0</v>
          </cell>
          <cell r="I2192">
            <v>250</v>
          </cell>
          <cell r="J2192">
            <v>0</v>
          </cell>
          <cell r="K2192">
            <v>0</v>
          </cell>
          <cell r="L2192">
            <v>2068.6750000000002</v>
          </cell>
          <cell r="M2192" t="str">
            <v>海沧</v>
          </cell>
        </row>
        <row r="2193">
          <cell r="A2193" t="str">
            <v>200209</v>
          </cell>
          <cell r="B2193" t="str">
            <v>翔鹭涤纶纺纤厦门公司</v>
          </cell>
          <cell r="C2193" t="str">
            <v>三资</v>
          </cell>
          <cell r="D2193" t="str">
            <v>工业</v>
          </cell>
          <cell r="E2193" t="str">
            <v>保证贷款</v>
          </cell>
          <cell r="F2193">
            <v>37412</v>
          </cell>
          <cell r="G2193">
            <v>37776</v>
          </cell>
          <cell r="H2193">
            <v>0</v>
          </cell>
          <cell r="I2193">
            <v>300</v>
          </cell>
          <cell r="J2193">
            <v>0</v>
          </cell>
          <cell r="K2193">
            <v>0</v>
          </cell>
          <cell r="L2193">
            <v>2482.41</v>
          </cell>
          <cell r="M2193" t="str">
            <v>海沧</v>
          </cell>
        </row>
        <row r="2194">
          <cell r="B2194" t="str">
            <v>翔鹭涤纶纺纤厦门公司 Total</v>
          </cell>
          <cell r="L2194">
            <v>31030.150049999997</v>
          </cell>
        </row>
        <row r="2195">
          <cell r="A2195" t="str">
            <v>gx0061</v>
          </cell>
          <cell r="B2195" t="str">
            <v>向晓丹</v>
          </cell>
          <cell r="C2195" t="str">
            <v>其它</v>
          </cell>
          <cell r="D2195" t="str">
            <v>其它</v>
          </cell>
          <cell r="E2195" t="str">
            <v>保证贷款</v>
          </cell>
          <cell r="F2195">
            <v>37467</v>
          </cell>
          <cell r="G2195">
            <v>38198</v>
          </cell>
          <cell r="H2195">
            <v>0</v>
          </cell>
          <cell r="I2195">
            <v>2</v>
          </cell>
          <cell r="J2195">
            <v>0</v>
          </cell>
          <cell r="K2195">
            <v>0</v>
          </cell>
          <cell r="L2195">
            <v>2</v>
          </cell>
          <cell r="M2195" t="str">
            <v>公园</v>
          </cell>
        </row>
        <row r="2196">
          <cell r="B2196" t="str">
            <v>向晓丹 Total</v>
          </cell>
          <cell r="L2196">
            <v>2</v>
          </cell>
        </row>
        <row r="2197">
          <cell r="A2197" t="str">
            <v>150264</v>
          </cell>
          <cell r="B2197" t="str">
            <v>向阳华电子</v>
          </cell>
          <cell r="C2197" t="str">
            <v>国营</v>
          </cell>
          <cell r="D2197" t="str">
            <v>工业</v>
          </cell>
          <cell r="E2197" t="str">
            <v>票据贴现</v>
          </cell>
          <cell r="F2197">
            <v>37558</v>
          </cell>
          <cell r="G2197">
            <v>37653</v>
          </cell>
          <cell r="H2197">
            <v>90</v>
          </cell>
          <cell r="I2197">
            <v>90</v>
          </cell>
          <cell r="J2197">
            <v>0</v>
          </cell>
          <cell r="K2197">
            <v>0</v>
          </cell>
          <cell r="L2197">
            <v>90</v>
          </cell>
          <cell r="M2197" t="str">
            <v>湖里</v>
          </cell>
        </row>
        <row r="2198">
          <cell r="A2198" t="str">
            <v>150265</v>
          </cell>
          <cell r="B2198" t="str">
            <v>向阳华电子</v>
          </cell>
          <cell r="C2198" t="str">
            <v>国营</v>
          </cell>
          <cell r="D2198" t="str">
            <v>工业</v>
          </cell>
          <cell r="E2198" t="str">
            <v>票据贴现</v>
          </cell>
          <cell r="F2198">
            <v>37558</v>
          </cell>
          <cell r="G2198">
            <v>37739</v>
          </cell>
          <cell r="H2198">
            <v>100</v>
          </cell>
          <cell r="I2198">
            <v>100</v>
          </cell>
          <cell r="J2198">
            <v>0</v>
          </cell>
          <cell r="K2198">
            <v>0</v>
          </cell>
          <cell r="L2198">
            <v>100</v>
          </cell>
          <cell r="M2198" t="str">
            <v>湖里</v>
          </cell>
        </row>
        <row r="2199">
          <cell r="B2199" t="str">
            <v>向阳华电子 Total</v>
          </cell>
          <cell r="L2199">
            <v>190</v>
          </cell>
        </row>
        <row r="2200">
          <cell r="A2200" t="str">
            <v>99079</v>
          </cell>
          <cell r="B2200" t="str">
            <v>象屿丰乐贸易有限公司</v>
          </cell>
          <cell r="C2200" t="str">
            <v>其它</v>
          </cell>
          <cell r="D2200" t="str">
            <v>商贸</v>
          </cell>
          <cell r="E2200" t="str">
            <v>保证贷款</v>
          </cell>
          <cell r="F2200">
            <v>36425</v>
          </cell>
          <cell r="G2200">
            <v>36760</v>
          </cell>
          <cell r="H2200">
            <v>0</v>
          </cell>
          <cell r="I2200">
            <v>0</v>
          </cell>
          <cell r="J2200">
            <v>0</v>
          </cell>
          <cell r="K2200">
            <v>0</v>
          </cell>
          <cell r="L2200">
            <v>270</v>
          </cell>
          <cell r="M2200" t="str">
            <v>公园</v>
          </cell>
        </row>
        <row r="2201">
          <cell r="A2201" t="str">
            <v>99080</v>
          </cell>
          <cell r="B2201" t="str">
            <v>象屿丰乐贸易有限公司</v>
          </cell>
          <cell r="C2201" t="str">
            <v>其它</v>
          </cell>
          <cell r="D2201" t="str">
            <v>商贸</v>
          </cell>
          <cell r="E2201" t="str">
            <v>保证贷款</v>
          </cell>
          <cell r="F2201">
            <v>36425</v>
          </cell>
          <cell r="G2201">
            <v>36699</v>
          </cell>
          <cell r="H2201">
            <v>0</v>
          </cell>
          <cell r="I2201">
            <v>0</v>
          </cell>
          <cell r="J2201">
            <v>0</v>
          </cell>
          <cell r="K2201">
            <v>0</v>
          </cell>
          <cell r="L2201">
            <v>500</v>
          </cell>
          <cell r="M2201" t="str">
            <v>公园</v>
          </cell>
        </row>
        <row r="2202">
          <cell r="B2202" t="str">
            <v>象屿丰乐贸易有限公司 Total</v>
          </cell>
          <cell r="L2202">
            <v>770</v>
          </cell>
        </row>
        <row r="2203">
          <cell r="A2203" t="str">
            <v>98046</v>
          </cell>
          <cell r="B2203" t="str">
            <v>象屿合泰成</v>
          </cell>
          <cell r="C2203" t="str">
            <v>集体</v>
          </cell>
          <cell r="D2203" t="str">
            <v>商贸</v>
          </cell>
          <cell r="E2203" t="str">
            <v>抵押贷款</v>
          </cell>
          <cell r="F2203">
            <v>35939</v>
          </cell>
          <cell r="G2203">
            <v>36028</v>
          </cell>
          <cell r="H2203">
            <v>0</v>
          </cell>
          <cell r="I2203">
            <v>0</v>
          </cell>
          <cell r="J2203">
            <v>0</v>
          </cell>
          <cell r="K2203">
            <v>0</v>
          </cell>
          <cell r="L2203">
            <v>164</v>
          </cell>
          <cell r="M2203" t="str">
            <v>公园</v>
          </cell>
        </row>
        <row r="2204">
          <cell r="B2204" t="str">
            <v>象屿合泰成 Total</v>
          </cell>
          <cell r="L2204">
            <v>164</v>
          </cell>
        </row>
        <row r="2205">
          <cell r="A2205" t="str">
            <v>26010A</v>
          </cell>
          <cell r="B2205" t="str">
            <v>象屿华鹭进出口公司</v>
          </cell>
          <cell r="C2205" t="str">
            <v>集体</v>
          </cell>
          <cell r="D2205" t="str">
            <v>商贸</v>
          </cell>
          <cell r="E2205" t="str">
            <v>保证贷款</v>
          </cell>
          <cell r="F2205">
            <v>35712</v>
          </cell>
          <cell r="G2205">
            <v>35863</v>
          </cell>
          <cell r="H2205">
            <v>0</v>
          </cell>
          <cell r="I2205">
            <v>0</v>
          </cell>
          <cell r="J2205">
            <v>0</v>
          </cell>
          <cell r="K2205">
            <v>0</v>
          </cell>
          <cell r="L2205">
            <v>231.69159999999999</v>
          </cell>
          <cell r="M2205" t="str">
            <v>象屿</v>
          </cell>
        </row>
        <row r="2206">
          <cell r="B2206" t="str">
            <v>象屿华鹭进出口公司 Total</v>
          </cell>
          <cell r="L2206">
            <v>231.69159999999999</v>
          </cell>
        </row>
        <row r="2207">
          <cell r="A2207" t="str">
            <v>40287</v>
          </cell>
          <cell r="B2207" t="str">
            <v>象屿鸣鹭国际贸易公司</v>
          </cell>
          <cell r="C2207" t="str">
            <v>国营</v>
          </cell>
          <cell r="D2207" t="str">
            <v>商贸</v>
          </cell>
          <cell r="E2207" t="str">
            <v>保证贷款</v>
          </cell>
          <cell r="F2207">
            <v>37355</v>
          </cell>
          <cell r="G2207">
            <v>37720</v>
          </cell>
          <cell r="H2207">
            <v>0</v>
          </cell>
          <cell r="I2207">
            <v>700</v>
          </cell>
          <cell r="J2207">
            <v>0</v>
          </cell>
          <cell r="K2207">
            <v>0</v>
          </cell>
          <cell r="L2207">
            <v>700</v>
          </cell>
          <cell r="M2207" t="str">
            <v>象屿</v>
          </cell>
        </row>
        <row r="2208">
          <cell r="B2208" t="str">
            <v>象屿鸣鹭国际贸易公司 Total</v>
          </cell>
          <cell r="L2208">
            <v>700</v>
          </cell>
        </row>
        <row r="2209">
          <cell r="A2209" t="str">
            <v>001109</v>
          </cell>
          <cell r="B2209" t="str">
            <v>象屿瑞尔进出口</v>
          </cell>
          <cell r="C2209" t="str">
            <v>集体</v>
          </cell>
          <cell r="D2209" t="str">
            <v>商贸</v>
          </cell>
          <cell r="E2209" t="str">
            <v>保证贷款</v>
          </cell>
          <cell r="F2209">
            <v>37255</v>
          </cell>
          <cell r="G2209">
            <v>37620</v>
          </cell>
          <cell r="H2209">
            <v>0</v>
          </cell>
          <cell r="I2209">
            <v>0</v>
          </cell>
          <cell r="J2209">
            <v>0</v>
          </cell>
          <cell r="K2209">
            <v>0</v>
          </cell>
          <cell r="L2209">
            <v>300</v>
          </cell>
          <cell r="M2209" t="str">
            <v>营业</v>
          </cell>
        </row>
        <row r="2210">
          <cell r="A2210" t="str">
            <v>02/013</v>
          </cell>
          <cell r="B2210" t="str">
            <v>象屿瑞尔进出口</v>
          </cell>
          <cell r="C2210" t="str">
            <v>集体</v>
          </cell>
          <cell r="D2210" t="str">
            <v>商贸</v>
          </cell>
          <cell r="E2210" t="str">
            <v>质押贷款</v>
          </cell>
          <cell r="F2210">
            <v>37296</v>
          </cell>
          <cell r="G2210">
            <v>37661</v>
          </cell>
          <cell r="H2210">
            <v>0</v>
          </cell>
          <cell r="I2210">
            <v>3600</v>
          </cell>
          <cell r="J2210">
            <v>0</v>
          </cell>
          <cell r="K2210">
            <v>0</v>
          </cell>
          <cell r="L2210">
            <v>3600</v>
          </cell>
          <cell r="M2210" t="str">
            <v>营业</v>
          </cell>
        </row>
        <row r="2211">
          <cell r="B2211" t="str">
            <v>象屿瑞尔进出口 Total</v>
          </cell>
          <cell r="L2211">
            <v>3900</v>
          </cell>
        </row>
        <row r="2212">
          <cell r="A2212" t="str">
            <v>97561</v>
          </cell>
          <cell r="B2212" t="str">
            <v>象屿胜诺</v>
          </cell>
          <cell r="C2212" t="str">
            <v>三资</v>
          </cell>
          <cell r="D2212" t="str">
            <v>工业</v>
          </cell>
          <cell r="E2212" t="str">
            <v>抵押贷款</v>
          </cell>
          <cell r="F2212">
            <v>35934</v>
          </cell>
          <cell r="G2212">
            <v>35965</v>
          </cell>
          <cell r="H2212">
            <v>0</v>
          </cell>
          <cell r="I2212">
            <v>0</v>
          </cell>
          <cell r="J2212">
            <v>0</v>
          </cell>
          <cell r="K2212">
            <v>0</v>
          </cell>
          <cell r="L2212">
            <v>401.90217899999999</v>
          </cell>
          <cell r="M2212" t="str">
            <v>同安</v>
          </cell>
        </row>
        <row r="2213">
          <cell r="A2213" t="str">
            <v>97193</v>
          </cell>
          <cell r="B2213" t="str">
            <v>象屿胜诺</v>
          </cell>
          <cell r="C2213" t="str">
            <v>三资</v>
          </cell>
          <cell r="D2213" t="str">
            <v>工业</v>
          </cell>
          <cell r="E2213" t="str">
            <v>保证贷款</v>
          </cell>
          <cell r="F2213">
            <v>35737</v>
          </cell>
          <cell r="G2213">
            <v>36497</v>
          </cell>
          <cell r="H2213">
            <v>0</v>
          </cell>
          <cell r="I2213">
            <v>0</v>
          </cell>
          <cell r="J2213">
            <v>0</v>
          </cell>
          <cell r="K2213">
            <v>0</v>
          </cell>
          <cell r="L2213">
            <v>402.97789</v>
          </cell>
          <cell r="M2213" t="str">
            <v>同安</v>
          </cell>
        </row>
        <row r="2214">
          <cell r="A2214" t="str">
            <v>98060</v>
          </cell>
          <cell r="B2214" t="str">
            <v>象屿胜诺</v>
          </cell>
          <cell r="C2214" t="str">
            <v>三资</v>
          </cell>
          <cell r="D2214" t="str">
            <v>工业</v>
          </cell>
          <cell r="E2214" t="str">
            <v>抵押贷款</v>
          </cell>
          <cell r="F2214">
            <v>35963</v>
          </cell>
          <cell r="G2214">
            <v>35993</v>
          </cell>
          <cell r="H2214">
            <v>0</v>
          </cell>
          <cell r="I2214">
            <v>0</v>
          </cell>
          <cell r="J2214">
            <v>0</v>
          </cell>
          <cell r="K2214">
            <v>0</v>
          </cell>
          <cell r="L2214">
            <v>404.46733599999999</v>
          </cell>
          <cell r="M2214" t="str">
            <v>同安</v>
          </cell>
        </row>
        <row r="2215">
          <cell r="A2215" t="str">
            <v>97301</v>
          </cell>
          <cell r="B2215" t="str">
            <v>象屿胜诺</v>
          </cell>
          <cell r="C2215" t="str">
            <v>三资</v>
          </cell>
          <cell r="D2215" t="str">
            <v>工业</v>
          </cell>
          <cell r="E2215" t="str">
            <v>抵押贷款</v>
          </cell>
          <cell r="F2215">
            <v>35737</v>
          </cell>
          <cell r="G2215">
            <v>35767</v>
          </cell>
          <cell r="H2215">
            <v>0</v>
          </cell>
          <cell r="I2215">
            <v>0</v>
          </cell>
          <cell r="J2215">
            <v>0</v>
          </cell>
          <cell r="K2215">
            <v>0</v>
          </cell>
          <cell r="L2215">
            <v>407.44622799999996</v>
          </cell>
          <cell r="M2215" t="str">
            <v>同安</v>
          </cell>
        </row>
        <row r="2216">
          <cell r="A2216" t="str">
            <v>97562</v>
          </cell>
          <cell r="B2216" t="str">
            <v>象屿胜诺</v>
          </cell>
          <cell r="C2216" t="str">
            <v>三资</v>
          </cell>
          <cell r="D2216" t="str">
            <v>工业</v>
          </cell>
          <cell r="E2216" t="str">
            <v>抵押贷款</v>
          </cell>
          <cell r="F2216">
            <v>35748</v>
          </cell>
          <cell r="G2216">
            <v>35778</v>
          </cell>
          <cell r="H2216">
            <v>0</v>
          </cell>
          <cell r="I2216">
            <v>0</v>
          </cell>
          <cell r="J2216">
            <v>0</v>
          </cell>
          <cell r="K2216">
            <v>0</v>
          </cell>
          <cell r="L2216">
            <v>407.52897499999995</v>
          </cell>
          <cell r="M2216" t="str">
            <v>同安</v>
          </cell>
        </row>
        <row r="2217">
          <cell r="A2217" t="str">
            <v>97194</v>
          </cell>
          <cell r="B2217" t="str">
            <v>象屿胜诺</v>
          </cell>
          <cell r="C2217" t="str">
            <v>三资</v>
          </cell>
          <cell r="D2217" t="str">
            <v>工业</v>
          </cell>
          <cell r="E2217" t="str">
            <v>保证贷款</v>
          </cell>
          <cell r="F2217">
            <v>35737</v>
          </cell>
          <cell r="G2217">
            <v>35767</v>
          </cell>
          <cell r="H2217">
            <v>0</v>
          </cell>
          <cell r="I2217">
            <v>0</v>
          </cell>
          <cell r="J2217">
            <v>0</v>
          </cell>
          <cell r="K2217">
            <v>0</v>
          </cell>
          <cell r="L2217">
            <v>413.07302399999998</v>
          </cell>
          <cell r="M2217" t="str">
            <v>同安</v>
          </cell>
        </row>
        <row r="2218">
          <cell r="A2218" t="str">
            <v>98017</v>
          </cell>
          <cell r="B2218" t="str">
            <v>象屿胜诺</v>
          </cell>
          <cell r="C2218" t="str">
            <v>三资</v>
          </cell>
          <cell r="D2218" t="str">
            <v>工业</v>
          </cell>
          <cell r="E2218" t="str">
            <v>抵押贷款</v>
          </cell>
          <cell r="F2218">
            <v>36020</v>
          </cell>
          <cell r="G2218">
            <v>36051</v>
          </cell>
          <cell r="H2218">
            <v>0</v>
          </cell>
          <cell r="I2218">
            <v>0</v>
          </cell>
          <cell r="J2218">
            <v>0</v>
          </cell>
          <cell r="K2218">
            <v>0</v>
          </cell>
          <cell r="L2218">
            <v>422.00969999999995</v>
          </cell>
          <cell r="M2218" t="str">
            <v>同安</v>
          </cell>
        </row>
        <row r="2219">
          <cell r="A2219" t="str">
            <v>98018</v>
          </cell>
          <cell r="B2219" t="str">
            <v>象屿胜诺</v>
          </cell>
          <cell r="C2219" t="str">
            <v>三资</v>
          </cell>
          <cell r="D2219" t="str">
            <v>工业</v>
          </cell>
          <cell r="E2219" t="str">
            <v>抵押贷款</v>
          </cell>
          <cell r="F2219">
            <v>36020</v>
          </cell>
          <cell r="G2219">
            <v>36051</v>
          </cell>
          <cell r="H2219">
            <v>0</v>
          </cell>
          <cell r="I2219">
            <v>0</v>
          </cell>
          <cell r="J2219">
            <v>0</v>
          </cell>
          <cell r="K2219">
            <v>0</v>
          </cell>
          <cell r="L2219">
            <v>430.03615899999994</v>
          </cell>
          <cell r="M2219" t="str">
            <v>同安</v>
          </cell>
        </row>
        <row r="2220">
          <cell r="B2220" t="str">
            <v>象屿胜诺 Total</v>
          </cell>
          <cell r="L2220">
            <v>3289.4414909999996</v>
          </cell>
        </row>
        <row r="2221">
          <cell r="A2221" t="str">
            <v>97425</v>
          </cell>
          <cell r="B2221" t="str">
            <v>象屿双金星</v>
          </cell>
          <cell r="C2221" t="str">
            <v>三资</v>
          </cell>
          <cell r="D2221" t="str">
            <v>工业</v>
          </cell>
          <cell r="E2221" t="str">
            <v>保证贷款</v>
          </cell>
          <cell r="F2221">
            <v>35803</v>
          </cell>
          <cell r="G2221">
            <v>35834</v>
          </cell>
          <cell r="H2221">
            <v>0</v>
          </cell>
          <cell r="I2221">
            <v>0</v>
          </cell>
          <cell r="J2221">
            <v>0</v>
          </cell>
          <cell r="K2221">
            <v>0</v>
          </cell>
          <cell r="L2221">
            <v>397.18559999999997</v>
          </cell>
          <cell r="M2221" t="str">
            <v>同安</v>
          </cell>
        </row>
        <row r="2222">
          <cell r="B2222" t="str">
            <v>象屿双金星 Total</v>
          </cell>
          <cell r="L2222">
            <v>397.18559999999997</v>
          </cell>
        </row>
        <row r="2223">
          <cell r="A2223" t="str">
            <v>350238</v>
          </cell>
          <cell r="B2223" t="str">
            <v>象屿万时红</v>
          </cell>
          <cell r="C2223" t="str">
            <v>三资</v>
          </cell>
          <cell r="D2223" t="str">
            <v>其它</v>
          </cell>
          <cell r="E2223" t="str">
            <v>抵押贷款</v>
          </cell>
          <cell r="F2223">
            <v>36160</v>
          </cell>
          <cell r="G2223">
            <v>36456</v>
          </cell>
          <cell r="H2223">
            <v>0</v>
          </cell>
          <cell r="I2223">
            <v>0</v>
          </cell>
          <cell r="J2223">
            <v>0</v>
          </cell>
          <cell r="K2223">
            <v>0</v>
          </cell>
          <cell r="L2223">
            <v>470</v>
          </cell>
          <cell r="M2223" t="str">
            <v>湖里</v>
          </cell>
        </row>
        <row r="2224">
          <cell r="B2224" t="str">
            <v>象屿万时红 Total</v>
          </cell>
          <cell r="L2224">
            <v>470</v>
          </cell>
        </row>
        <row r="2225">
          <cell r="A2225" t="str">
            <v>450269</v>
          </cell>
          <cell r="B2225" t="str">
            <v>象屿新宏亨</v>
          </cell>
          <cell r="C2225" t="str">
            <v>三资</v>
          </cell>
          <cell r="D2225" t="str">
            <v>工业</v>
          </cell>
          <cell r="E2225" t="str">
            <v>保证贷款</v>
          </cell>
          <cell r="F2225">
            <v>37405</v>
          </cell>
          <cell r="G2225">
            <v>37770</v>
          </cell>
          <cell r="H2225">
            <v>0</v>
          </cell>
          <cell r="I2225">
            <v>1000</v>
          </cell>
          <cell r="J2225">
            <v>0</v>
          </cell>
          <cell r="K2225">
            <v>0</v>
          </cell>
          <cell r="L2225">
            <v>1000</v>
          </cell>
          <cell r="M2225" t="str">
            <v>湖里</v>
          </cell>
        </row>
        <row r="2226">
          <cell r="B2226" t="str">
            <v>象屿新宏亨 Total</v>
          </cell>
          <cell r="L2226">
            <v>1000</v>
          </cell>
        </row>
        <row r="2227">
          <cell r="A2227" t="str">
            <v>1006</v>
          </cell>
          <cell r="B2227" t="str">
            <v>象屿新华进出口公司</v>
          </cell>
          <cell r="C2227" t="str">
            <v>国营</v>
          </cell>
          <cell r="D2227" t="str">
            <v>商贸</v>
          </cell>
          <cell r="E2227" t="str">
            <v>抵押贷款</v>
          </cell>
          <cell r="F2227">
            <v>35530</v>
          </cell>
          <cell r="G2227">
            <v>35560</v>
          </cell>
          <cell r="H2227">
            <v>0</v>
          </cell>
          <cell r="I2227">
            <v>0</v>
          </cell>
          <cell r="J2227">
            <v>0</v>
          </cell>
          <cell r="K2227">
            <v>0</v>
          </cell>
          <cell r="L2227">
            <v>2540.9121289999998</v>
          </cell>
          <cell r="M2227" t="str">
            <v>象屿</v>
          </cell>
        </row>
        <row r="2228">
          <cell r="B2228" t="str">
            <v>象屿新华进出口公司 Total</v>
          </cell>
          <cell r="L2228">
            <v>2540.9121289999998</v>
          </cell>
        </row>
        <row r="2229">
          <cell r="A2229" t="str">
            <v>B99037</v>
          </cell>
          <cell r="B2229" t="str">
            <v>象屿新华域进出口公司</v>
          </cell>
          <cell r="C2229" t="str">
            <v>三资</v>
          </cell>
          <cell r="D2229" t="str">
            <v>商贸</v>
          </cell>
          <cell r="E2229" t="str">
            <v>保证贷款</v>
          </cell>
          <cell r="F2229">
            <v>36374</v>
          </cell>
          <cell r="G2229">
            <v>36558</v>
          </cell>
          <cell r="H2229">
            <v>0</v>
          </cell>
          <cell r="I2229">
            <v>0</v>
          </cell>
          <cell r="J2229">
            <v>0</v>
          </cell>
          <cell r="K2229">
            <v>0</v>
          </cell>
          <cell r="L2229">
            <v>300</v>
          </cell>
          <cell r="M2229" t="str">
            <v>同安</v>
          </cell>
        </row>
        <row r="2230">
          <cell r="B2230" t="str">
            <v>象屿新华域进出口公司 Total</v>
          </cell>
          <cell r="L2230">
            <v>300</v>
          </cell>
        </row>
        <row r="2231">
          <cell r="A2231" t="str">
            <v>450182</v>
          </cell>
          <cell r="B2231" t="str">
            <v>象屿新远东</v>
          </cell>
          <cell r="C2231" t="str">
            <v>外事</v>
          </cell>
          <cell r="D2231" t="str">
            <v>工业</v>
          </cell>
          <cell r="E2231" t="str">
            <v>抵押贷款</v>
          </cell>
          <cell r="F2231">
            <v>35920</v>
          </cell>
          <cell r="G2231">
            <v>36192</v>
          </cell>
          <cell r="H2231">
            <v>0</v>
          </cell>
          <cell r="I2231">
            <v>0</v>
          </cell>
          <cell r="J2231">
            <v>56.43</v>
          </cell>
          <cell r="K2231">
            <v>87.33</v>
          </cell>
          <cell r="L2231">
            <v>92.67</v>
          </cell>
          <cell r="M2231" t="str">
            <v>湖里</v>
          </cell>
        </row>
        <row r="2232">
          <cell r="A2232" t="str">
            <v>450217</v>
          </cell>
          <cell r="B2232" t="str">
            <v>象屿新远东</v>
          </cell>
          <cell r="C2232" t="str">
            <v>外事</v>
          </cell>
          <cell r="D2232" t="str">
            <v>工业</v>
          </cell>
          <cell r="E2232" t="str">
            <v>抵押贷款</v>
          </cell>
          <cell r="F2232">
            <v>36517</v>
          </cell>
          <cell r="G2232">
            <v>36792</v>
          </cell>
          <cell r="H2232">
            <v>0</v>
          </cell>
          <cell r="I2232">
            <v>0</v>
          </cell>
          <cell r="J2232">
            <v>0</v>
          </cell>
          <cell r="K2232">
            <v>0</v>
          </cell>
          <cell r="L2232">
            <v>350</v>
          </cell>
          <cell r="M2232" t="str">
            <v>湖里</v>
          </cell>
        </row>
        <row r="2233">
          <cell r="A2233" t="str">
            <v>450199</v>
          </cell>
          <cell r="B2233" t="str">
            <v>象屿新远东</v>
          </cell>
          <cell r="C2233" t="str">
            <v>外事</v>
          </cell>
          <cell r="D2233" t="str">
            <v>工业</v>
          </cell>
          <cell r="E2233" t="str">
            <v>抵押贷款</v>
          </cell>
          <cell r="F2233">
            <v>36341</v>
          </cell>
          <cell r="G2233">
            <v>36555</v>
          </cell>
          <cell r="H2233">
            <v>0</v>
          </cell>
          <cell r="I2233">
            <v>0</v>
          </cell>
          <cell r="J2233">
            <v>0</v>
          </cell>
          <cell r="K2233">
            <v>0</v>
          </cell>
          <cell r="L2233">
            <v>500</v>
          </cell>
          <cell r="M2233" t="str">
            <v>湖里</v>
          </cell>
        </row>
        <row r="2234">
          <cell r="B2234" t="str">
            <v>象屿新远东 Total</v>
          </cell>
          <cell r="L2234">
            <v>942.67000000000007</v>
          </cell>
        </row>
        <row r="2235">
          <cell r="A2235" t="str">
            <v>98125</v>
          </cell>
          <cell r="B2235" t="str">
            <v>象屿鑫金进出口公司</v>
          </cell>
          <cell r="C2235" t="str">
            <v>外事</v>
          </cell>
          <cell r="D2235" t="str">
            <v>商贸</v>
          </cell>
          <cell r="E2235" t="str">
            <v>保证贷款</v>
          </cell>
          <cell r="F2235">
            <v>36159</v>
          </cell>
          <cell r="G2235">
            <v>36371</v>
          </cell>
          <cell r="H2235">
            <v>0</v>
          </cell>
          <cell r="I2235">
            <v>0</v>
          </cell>
          <cell r="J2235">
            <v>0</v>
          </cell>
          <cell r="K2235">
            <v>0</v>
          </cell>
          <cell r="L2235">
            <v>800</v>
          </cell>
          <cell r="M2235" t="str">
            <v>公园</v>
          </cell>
        </row>
        <row r="2236">
          <cell r="B2236" t="str">
            <v>象屿鑫金进出口公司 Total</v>
          </cell>
          <cell r="L2236">
            <v>800</v>
          </cell>
        </row>
        <row r="2237">
          <cell r="A2237" t="str">
            <v>1007</v>
          </cell>
          <cell r="B2237" t="str">
            <v>象屿永利恒进出口公司</v>
          </cell>
          <cell r="C2237" t="str">
            <v>集体</v>
          </cell>
          <cell r="D2237" t="str">
            <v>商贸</v>
          </cell>
          <cell r="E2237" t="str">
            <v>保证贷款</v>
          </cell>
          <cell r="F2237">
            <v>35843</v>
          </cell>
          <cell r="G2237">
            <v>35843</v>
          </cell>
          <cell r="H2237">
            <v>0</v>
          </cell>
          <cell r="I2237">
            <v>0</v>
          </cell>
          <cell r="J2237">
            <v>0</v>
          </cell>
          <cell r="K2237">
            <v>0</v>
          </cell>
          <cell r="L2237">
            <v>297.88919999999996</v>
          </cell>
          <cell r="M2237" t="str">
            <v>象屿</v>
          </cell>
        </row>
        <row r="2238">
          <cell r="B2238" t="str">
            <v>象屿永利恒进出口公司 Total</v>
          </cell>
          <cell r="L2238">
            <v>297.88919999999996</v>
          </cell>
        </row>
        <row r="2239">
          <cell r="A2239" t="str">
            <v>000001</v>
          </cell>
          <cell r="B2239" t="str">
            <v>象屿中包</v>
          </cell>
          <cell r="C2239" t="str">
            <v>国营</v>
          </cell>
          <cell r="D2239" t="str">
            <v>商贸</v>
          </cell>
          <cell r="E2239" t="str">
            <v>保证贷款</v>
          </cell>
          <cell r="F2239">
            <v>35788</v>
          </cell>
          <cell r="G2239">
            <v>35962</v>
          </cell>
          <cell r="H2239">
            <v>0</v>
          </cell>
          <cell r="I2239">
            <v>0</v>
          </cell>
          <cell r="J2239">
            <v>0</v>
          </cell>
          <cell r="K2239">
            <v>0</v>
          </cell>
          <cell r="L2239">
            <v>272.48587099999997</v>
          </cell>
          <cell r="M2239" t="str">
            <v>思明</v>
          </cell>
        </row>
        <row r="2240">
          <cell r="B2240" t="str">
            <v>象屿中包 Total</v>
          </cell>
          <cell r="L2240">
            <v>272.48587099999997</v>
          </cell>
        </row>
        <row r="2241">
          <cell r="A2241" t="str">
            <v>200002</v>
          </cell>
          <cell r="B2241" t="str">
            <v>小额质押贷</v>
          </cell>
          <cell r="C2241" t="str">
            <v>其它</v>
          </cell>
          <cell r="D2241" t="str">
            <v>其它</v>
          </cell>
          <cell r="E2241" t="str">
            <v>质押贷款</v>
          </cell>
          <cell r="F2241">
            <v>37441</v>
          </cell>
          <cell r="G2241">
            <v>37638</v>
          </cell>
          <cell r="H2241">
            <v>29.8</v>
          </cell>
          <cell r="I2241">
            <v>29.8</v>
          </cell>
          <cell r="J2241">
            <v>0</v>
          </cell>
          <cell r="K2241">
            <v>0</v>
          </cell>
          <cell r="L2241">
            <v>29.8</v>
          </cell>
          <cell r="M2241" t="str">
            <v>松柏</v>
          </cell>
        </row>
        <row r="2242">
          <cell r="B2242" t="str">
            <v>小额质押贷 Total</v>
          </cell>
          <cell r="L2242">
            <v>29.8</v>
          </cell>
        </row>
        <row r="2243">
          <cell r="A2243" t="str">
            <v>B97282</v>
          </cell>
          <cell r="B2243" t="str">
            <v>小精灵儿童用品有限司</v>
          </cell>
          <cell r="C2243" t="str">
            <v>集体</v>
          </cell>
          <cell r="D2243" t="str">
            <v>工业</v>
          </cell>
          <cell r="E2243" t="str">
            <v>保证贷款</v>
          </cell>
          <cell r="F2243">
            <v>35684</v>
          </cell>
          <cell r="G2243">
            <v>35896</v>
          </cell>
          <cell r="H2243">
            <v>0</v>
          </cell>
          <cell r="I2243">
            <v>0</v>
          </cell>
          <cell r="J2243">
            <v>0</v>
          </cell>
          <cell r="K2243">
            <v>0</v>
          </cell>
          <cell r="L2243">
            <v>23.36</v>
          </cell>
          <cell r="M2243" t="str">
            <v>同安</v>
          </cell>
        </row>
        <row r="2244">
          <cell r="B2244" t="str">
            <v>小精灵儿童用品有限司 Total</v>
          </cell>
          <cell r="L2244">
            <v>23.36</v>
          </cell>
        </row>
        <row r="2245">
          <cell r="A2245" t="str">
            <v>000042</v>
          </cell>
          <cell r="B2245" t="str">
            <v>肖川</v>
          </cell>
          <cell r="C2245" t="str">
            <v>其它</v>
          </cell>
          <cell r="D2245" t="str">
            <v>其它</v>
          </cell>
          <cell r="E2245" t="str">
            <v>质押贷款</v>
          </cell>
          <cell r="F2245">
            <v>37484</v>
          </cell>
          <cell r="G2245">
            <v>37668</v>
          </cell>
          <cell r="H2245">
            <v>0</v>
          </cell>
          <cell r="I2245">
            <v>40</v>
          </cell>
          <cell r="J2245">
            <v>0</v>
          </cell>
          <cell r="K2245">
            <v>0</v>
          </cell>
          <cell r="L2245">
            <v>40</v>
          </cell>
          <cell r="M2245" t="str">
            <v>康乐</v>
          </cell>
        </row>
        <row r="2246">
          <cell r="A2246" t="str">
            <v>000039</v>
          </cell>
          <cell r="B2246" t="str">
            <v>肖川</v>
          </cell>
          <cell r="C2246" t="str">
            <v>其它</v>
          </cell>
          <cell r="D2246" t="str">
            <v>其它</v>
          </cell>
          <cell r="E2246" t="str">
            <v>质押贷款</v>
          </cell>
          <cell r="F2246">
            <v>37461</v>
          </cell>
          <cell r="G2246">
            <v>37645</v>
          </cell>
          <cell r="H2246">
            <v>0</v>
          </cell>
          <cell r="I2246">
            <v>70</v>
          </cell>
          <cell r="J2246">
            <v>0</v>
          </cell>
          <cell r="K2246">
            <v>0</v>
          </cell>
          <cell r="L2246">
            <v>70</v>
          </cell>
          <cell r="M2246" t="str">
            <v>康乐</v>
          </cell>
        </row>
        <row r="2247">
          <cell r="B2247" t="str">
            <v>肖川 Total</v>
          </cell>
          <cell r="L2247">
            <v>110</v>
          </cell>
        </row>
        <row r="2248">
          <cell r="A2248" t="str">
            <v>000050</v>
          </cell>
          <cell r="B2248" t="str">
            <v>肖阳</v>
          </cell>
          <cell r="C2248" t="str">
            <v>其它</v>
          </cell>
          <cell r="D2248" t="str">
            <v>其它</v>
          </cell>
          <cell r="E2248" t="str">
            <v>质押贷款</v>
          </cell>
          <cell r="F2248">
            <v>37558</v>
          </cell>
          <cell r="G2248">
            <v>37740</v>
          </cell>
          <cell r="H2248">
            <v>70</v>
          </cell>
          <cell r="I2248">
            <v>70</v>
          </cell>
          <cell r="J2248">
            <v>0</v>
          </cell>
          <cell r="K2248">
            <v>0</v>
          </cell>
          <cell r="L2248">
            <v>70</v>
          </cell>
          <cell r="M2248" t="str">
            <v>康乐</v>
          </cell>
        </row>
        <row r="2249">
          <cell r="B2249" t="str">
            <v>肖阳 Total</v>
          </cell>
          <cell r="L2249">
            <v>70</v>
          </cell>
        </row>
        <row r="2250">
          <cell r="A2250" t="str">
            <v>G01022</v>
          </cell>
          <cell r="B2250" t="str">
            <v>谢宏莹</v>
          </cell>
          <cell r="C2250" t="str">
            <v>其它</v>
          </cell>
          <cell r="D2250" t="str">
            <v>其它</v>
          </cell>
          <cell r="E2250" t="str">
            <v>质押贷款</v>
          </cell>
          <cell r="F2250">
            <v>37243</v>
          </cell>
          <cell r="G2250">
            <v>37583</v>
          </cell>
          <cell r="H2250">
            <v>0</v>
          </cell>
          <cell r="I2250">
            <v>20</v>
          </cell>
          <cell r="J2250">
            <v>0</v>
          </cell>
          <cell r="K2250">
            <v>0</v>
          </cell>
          <cell r="L2250">
            <v>20</v>
          </cell>
          <cell r="M2250" t="str">
            <v>营业</v>
          </cell>
        </row>
        <row r="2251">
          <cell r="B2251" t="str">
            <v>谢宏莹 Total</v>
          </cell>
          <cell r="L2251">
            <v>20</v>
          </cell>
        </row>
        <row r="2252">
          <cell r="A2252" t="str">
            <v>200042</v>
          </cell>
          <cell r="B2252" t="str">
            <v>谢筠</v>
          </cell>
          <cell r="C2252" t="str">
            <v>其它</v>
          </cell>
          <cell r="D2252" t="str">
            <v>其它</v>
          </cell>
          <cell r="E2252" t="str">
            <v>抵押贷款</v>
          </cell>
          <cell r="F2252">
            <v>37140</v>
          </cell>
          <cell r="G2252">
            <v>37505</v>
          </cell>
          <cell r="H2252">
            <v>0</v>
          </cell>
          <cell r="I2252">
            <v>28</v>
          </cell>
          <cell r="J2252">
            <v>20.53</v>
          </cell>
          <cell r="K2252">
            <v>20.53</v>
          </cell>
          <cell r="L2252">
            <v>7.47</v>
          </cell>
          <cell r="M2252" t="str">
            <v>鹭江</v>
          </cell>
        </row>
        <row r="2253">
          <cell r="A2253" t="str">
            <v>020058</v>
          </cell>
          <cell r="B2253" t="str">
            <v>谢筠</v>
          </cell>
          <cell r="C2253" t="str">
            <v>住房</v>
          </cell>
          <cell r="D2253" t="str">
            <v>其它</v>
          </cell>
          <cell r="E2253" t="str">
            <v>抵押贷款</v>
          </cell>
          <cell r="F2253">
            <v>36991</v>
          </cell>
          <cell r="G2253">
            <v>44296</v>
          </cell>
          <cell r="H2253">
            <v>0</v>
          </cell>
          <cell r="I2253">
            <v>31.26</v>
          </cell>
          <cell r="J2253">
            <v>0</v>
          </cell>
          <cell r="K2253">
            <v>0.55000000000000004</v>
          </cell>
          <cell r="L2253">
            <v>30.71</v>
          </cell>
          <cell r="M2253" t="str">
            <v>东区</v>
          </cell>
        </row>
        <row r="2254">
          <cell r="B2254" t="str">
            <v>谢筠 Total</v>
          </cell>
          <cell r="L2254">
            <v>38.18</v>
          </cell>
        </row>
        <row r="2255">
          <cell r="A2255" t="str">
            <v>40126</v>
          </cell>
          <cell r="B2255" t="str">
            <v>谢伟麟</v>
          </cell>
          <cell r="C2255" t="str">
            <v>其它</v>
          </cell>
          <cell r="D2255" t="str">
            <v>其它</v>
          </cell>
          <cell r="E2255" t="str">
            <v>抵押贷款</v>
          </cell>
          <cell r="F2255">
            <v>37498</v>
          </cell>
          <cell r="G2255">
            <v>37863</v>
          </cell>
          <cell r="H2255">
            <v>0</v>
          </cell>
          <cell r="I2255">
            <v>90</v>
          </cell>
          <cell r="J2255">
            <v>0</v>
          </cell>
          <cell r="K2255">
            <v>0</v>
          </cell>
          <cell r="L2255">
            <v>90</v>
          </cell>
          <cell r="M2255" t="str">
            <v>象屿</v>
          </cell>
        </row>
        <row r="2256">
          <cell r="B2256" t="str">
            <v>谢伟麟 Total</v>
          </cell>
          <cell r="L2256">
            <v>90</v>
          </cell>
        </row>
        <row r="2257">
          <cell r="A2257" t="str">
            <v>GX0101</v>
          </cell>
          <cell r="B2257" t="str">
            <v>谢志雄</v>
          </cell>
          <cell r="C2257" t="str">
            <v>其它</v>
          </cell>
          <cell r="D2257" t="str">
            <v>其它</v>
          </cell>
          <cell r="E2257" t="str">
            <v>信用贷款</v>
          </cell>
          <cell r="F2257">
            <v>36900</v>
          </cell>
          <cell r="G2257">
            <v>37641</v>
          </cell>
          <cell r="H2257">
            <v>0</v>
          </cell>
          <cell r="I2257">
            <v>0.86</v>
          </cell>
          <cell r="J2257">
            <v>0.09</v>
          </cell>
          <cell r="K2257">
            <v>0.6</v>
          </cell>
          <cell r="L2257">
            <v>0.26</v>
          </cell>
          <cell r="M2257" t="str">
            <v>同安</v>
          </cell>
        </row>
        <row r="2258">
          <cell r="B2258" t="str">
            <v>谢志雄 Total</v>
          </cell>
          <cell r="L2258">
            <v>0.26</v>
          </cell>
        </row>
        <row r="2259">
          <cell r="A2259" t="str">
            <v>200065</v>
          </cell>
          <cell r="B2259" t="str">
            <v>欣荣佳</v>
          </cell>
          <cell r="C2259" t="str">
            <v>集体</v>
          </cell>
          <cell r="D2259" t="str">
            <v>商贸</v>
          </cell>
          <cell r="E2259" t="str">
            <v>保证贷款</v>
          </cell>
          <cell r="F2259">
            <v>37490</v>
          </cell>
          <cell r="G2259">
            <v>37674</v>
          </cell>
          <cell r="H2259">
            <v>0</v>
          </cell>
          <cell r="I2259">
            <v>55</v>
          </cell>
          <cell r="J2259">
            <v>0</v>
          </cell>
          <cell r="K2259">
            <v>0</v>
          </cell>
          <cell r="L2259">
            <v>55</v>
          </cell>
          <cell r="M2259" t="str">
            <v>新港</v>
          </cell>
        </row>
        <row r="2260">
          <cell r="B2260" t="str">
            <v>欣荣佳 Total</v>
          </cell>
          <cell r="L2260">
            <v>55</v>
          </cell>
        </row>
        <row r="2261">
          <cell r="A2261" t="str">
            <v>B97124</v>
          </cell>
          <cell r="B2261" t="str">
            <v>新安塑料厂</v>
          </cell>
          <cell r="C2261" t="str">
            <v>集体</v>
          </cell>
          <cell r="D2261" t="str">
            <v>工业</v>
          </cell>
          <cell r="E2261" t="str">
            <v>保证贷款</v>
          </cell>
          <cell r="F2261">
            <v>35549</v>
          </cell>
          <cell r="G2261">
            <v>35763</v>
          </cell>
          <cell r="H2261">
            <v>0</v>
          </cell>
          <cell r="I2261">
            <v>0</v>
          </cell>
          <cell r="J2261">
            <v>0</v>
          </cell>
          <cell r="K2261">
            <v>0</v>
          </cell>
          <cell r="L2261">
            <v>15</v>
          </cell>
          <cell r="M2261" t="str">
            <v>马巷</v>
          </cell>
        </row>
        <row r="2262">
          <cell r="B2262" t="str">
            <v>新安塑料厂 Total</v>
          </cell>
          <cell r="L2262">
            <v>15</v>
          </cell>
        </row>
        <row r="2263">
          <cell r="A2263" t="str">
            <v>217232</v>
          </cell>
          <cell r="B2263" t="str">
            <v>新店和盛石材厂</v>
          </cell>
          <cell r="C2263" t="str">
            <v>集体</v>
          </cell>
          <cell r="D2263" t="str">
            <v>工业</v>
          </cell>
          <cell r="E2263" t="str">
            <v>保证贷款</v>
          </cell>
          <cell r="F2263">
            <v>35642</v>
          </cell>
          <cell r="G2263">
            <v>35855</v>
          </cell>
          <cell r="H2263">
            <v>0</v>
          </cell>
          <cell r="I2263">
            <v>0</v>
          </cell>
          <cell r="J2263">
            <v>0</v>
          </cell>
          <cell r="K2263">
            <v>0</v>
          </cell>
          <cell r="L2263">
            <v>19.2</v>
          </cell>
          <cell r="M2263" t="str">
            <v>马巷</v>
          </cell>
        </row>
        <row r="2264">
          <cell r="B2264" t="str">
            <v>新店和盛石材厂 Total</v>
          </cell>
          <cell r="L2264">
            <v>19.2</v>
          </cell>
        </row>
        <row r="2265">
          <cell r="A2265" t="str">
            <v>237125</v>
          </cell>
          <cell r="B2265" t="str">
            <v>新店建设发展公司</v>
          </cell>
          <cell r="C2265" t="str">
            <v>集体</v>
          </cell>
          <cell r="D2265" t="str">
            <v>其它</v>
          </cell>
          <cell r="E2265" t="str">
            <v>保证贷款</v>
          </cell>
          <cell r="F2265">
            <v>35550</v>
          </cell>
          <cell r="G2265">
            <v>35764</v>
          </cell>
          <cell r="H2265">
            <v>0</v>
          </cell>
          <cell r="I2265">
            <v>0</v>
          </cell>
          <cell r="J2265">
            <v>0</v>
          </cell>
          <cell r="K2265">
            <v>0</v>
          </cell>
          <cell r="L2265">
            <v>200</v>
          </cell>
          <cell r="M2265" t="str">
            <v>马巷</v>
          </cell>
        </row>
        <row r="2266">
          <cell r="B2266" t="str">
            <v>新店建设发展公司 Total</v>
          </cell>
          <cell r="L2266">
            <v>200</v>
          </cell>
        </row>
        <row r="2267">
          <cell r="A2267" t="str">
            <v>000028</v>
          </cell>
          <cell r="B2267" t="str">
            <v>新钢金属制品有限公司</v>
          </cell>
          <cell r="C2267" t="str">
            <v>集体</v>
          </cell>
          <cell r="D2267" t="str">
            <v>工业</v>
          </cell>
          <cell r="E2267" t="str">
            <v>保证贷款</v>
          </cell>
          <cell r="F2267">
            <v>37404</v>
          </cell>
          <cell r="G2267">
            <v>37618</v>
          </cell>
          <cell r="H2267">
            <v>0</v>
          </cell>
          <cell r="I2267">
            <v>60</v>
          </cell>
          <cell r="J2267">
            <v>0</v>
          </cell>
          <cell r="K2267">
            <v>0</v>
          </cell>
          <cell r="L2267">
            <v>60</v>
          </cell>
          <cell r="M2267" t="str">
            <v>思明</v>
          </cell>
        </row>
        <row r="2268">
          <cell r="B2268" t="str">
            <v>新钢金属制品有限公司 Total</v>
          </cell>
          <cell r="L2268">
            <v>60</v>
          </cell>
        </row>
        <row r="2269">
          <cell r="A2269" t="str">
            <v>M02005</v>
          </cell>
          <cell r="B2269" t="str">
            <v>新华丰面粉有限公司</v>
          </cell>
          <cell r="C2269" t="str">
            <v>其它</v>
          </cell>
          <cell r="D2269" t="str">
            <v>其它</v>
          </cell>
          <cell r="E2269" t="str">
            <v>保证贷款</v>
          </cell>
          <cell r="F2269">
            <v>37454</v>
          </cell>
          <cell r="G2269">
            <v>37758</v>
          </cell>
          <cell r="H2269">
            <v>0</v>
          </cell>
          <cell r="I2269">
            <v>280</v>
          </cell>
          <cell r="J2269">
            <v>0</v>
          </cell>
          <cell r="K2269">
            <v>0</v>
          </cell>
          <cell r="L2269">
            <v>280</v>
          </cell>
          <cell r="M2269" t="str">
            <v>马巷</v>
          </cell>
        </row>
        <row r="2270">
          <cell r="B2270" t="str">
            <v>新华丰面粉有限公司 Total</v>
          </cell>
          <cell r="L2270">
            <v>280</v>
          </cell>
        </row>
        <row r="2271">
          <cell r="A2271" t="str">
            <v>000207</v>
          </cell>
          <cell r="B2271" t="str">
            <v>新纪元</v>
          </cell>
          <cell r="C2271" t="str">
            <v>国营</v>
          </cell>
          <cell r="D2271" t="str">
            <v>其它</v>
          </cell>
          <cell r="E2271" t="str">
            <v>票据贴现</v>
          </cell>
          <cell r="F2271">
            <v>37554</v>
          </cell>
          <cell r="G2271">
            <v>37638</v>
          </cell>
          <cell r="H2271">
            <v>4</v>
          </cell>
          <cell r="I2271">
            <v>4</v>
          </cell>
          <cell r="J2271">
            <v>0</v>
          </cell>
          <cell r="K2271">
            <v>0</v>
          </cell>
          <cell r="L2271">
            <v>4</v>
          </cell>
          <cell r="M2271" t="str">
            <v>康乐</v>
          </cell>
        </row>
        <row r="2272">
          <cell r="B2272" t="str">
            <v>新纪元 Total</v>
          </cell>
          <cell r="L2272">
            <v>4</v>
          </cell>
        </row>
        <row r="2273">
          <cell r="A2273" t="str">
            <v>30109</v>
          </cell>
          <cell r="B2273" t="str">
            <v>新技术集成有限公司</v>
          </cell>
          <cell r="C2273" t="str">
            <v>三资</v>
          </cell>
          <cell r="D2273" t="str">
            <v>工业</v>
          </cell>
          <cell r="E2273" t="str">
            <v>保证贷款</v>
          </cell>
          <cell r="F2273">
            <v>37435</v>
          </cell>
          <cell r="G2273">
            <v>37618</v>
          </cell>
          <cell r="H2273">
            <v>0</v>
          </cell>
          <cell r="I2273">
            <v>140</v>
          </cell>
          <cell r="J2273">
            <v>0</v>
          </cell>
          <cell r="K2273">
            <v>0</v>
          </cell>
          <cell r="L2273">
            <v>140</v>
          </cell>
          <cell r="M2273" t="str">
            <v>江头</v>
          </cell>
        </row>
        <row r="2274">
          <cell r="A2274" t="str">
            <v>23000</v>
          </cell>
          <cell r="B2274" t="str">
            <v>新技术集成有限公司</v>
          </cell>
          <cell r="C2274" t="str">
            <v>三资</v>
          </cell>
          <cell r="D2274" t="str">
            <v>工业</v>
          </cell>
          <cell r="E2274" t="str">
            <v>抵押贷款</v>
          </cell>
          <cell r="F2274">
            <v>37272</v>
          </cell>
          <cell r="G2274">
            <v>37637</v>
          </cell>
          <cell r="H2274">
            <v>0</v>
          </cell>
          <cell r="I2274">
            <v>150</v>
          </cell>
          <cell r="J2274">
            <v>0</v>
          </cell>
          <cell r="K2274">
            <v>0</v>
          </cell>
          <cell r="L2274">
            <v>150</v>
          </cell>
          <cell r="M2274" t="str">
            <v>江头</v>
          </cell>
        </row>
        <row r="2275">
          <cell r="A2275" t="str">
            <v>30108</v>
          </cell>
          <cell r="B2275" t="str">
            <v>新技术集成有限公司</v>
          </cell>
          <cell r="C2275" t="str">
            <v>三资</v>
          </cell>
          <cell r="D2275" t="str">
            <v>工业</v>
          </cell>
          <cell r="E2275" t="str">
            <v>保证贷款</v>
          </cell>
          <cell r="F2275">
            <v>37435</v>
          </cell>
          <cell r="G2275">
            <v>37618</v>
          </cell>
          <cell r="H2275">
            <v>0</v>
          </cell>
          <cell r="I2275">
            <v>500</v>
          </cell>
          <cell r="J2275">
            <v>0</v>
          </cell>
          <cell r="K2275">
            <v>280</v>
          </cell>
          <cell r="L2275">
            <v>220</v>
          </cell>
          <cell r="M2275" t="str">
            <v>江头</v>
          </cell>
        </row>
        <row r="2276">
          <cell r="B2276" t="str">
            <v>新技术集成有限公司 Total</v>
          </cell>
          <cell r="L2276">
            <v>510</v>
          </cell>
        </row>
        <row r="2277">
          <cell r="A2277" t="str">
            <v>000054</v>
          </cell>
          <cell r="B2277" t="str">
            <v>新佳美</v>
          </cell>
          <cell r="C2277" t="str">
            <v>外事</v>
          </cell>
          <cell r="D2277" t="str">
            <v>商贸</v>
          </cell>
          <cell r="E2277" t="str">
            <v>抵押贷款</v>
          </cell>
          <cell r="F2277">
            <v>37288</v>
          </cell>
          <cell r="G2277">
            <v>38018</v>
          </cell>
          <cell r="H2277">
            <v>0</v>
          </cell>
          <cell r="I2277">
            <v>11.68</v>
          </cell>
          <cell r="J2277">
            <v>0.47</v>
          </cell>
          <cell r="K2277">
            <v>3.71</v>
          </cell>
          <cell r="L2277">
            <v>7.97</v>
          </cell>
          <cell r="M2277" t="str">
            <v>康乐</v>
          </cell>
        </row>
        <row r="2278">
          <cell r="B2278" t="str">
            <v>新佳美 Total</v>
          </cell>
          <cell r="L2278">
            <v>7.97</v>
          </cell>
        </row>
        <row r="2279">
          <cell r="A2279" t="str">
            <v>250427</v>
          </cell>
          <cell r="B2279" t="str">
            <v>新江峰包装</v>
          </cell>
          <cell r="C2279" t="str">
            <v>集体</v>
          </cell>
          <cell r="D2279" t="str">
            <v>商贸</v>
          </cell>
          <cell r="E2279" t="str">
            <v>抵押贷款</v>
          </cell>
          <cell r="F2279">
            <v>37280</v>
          </cell>
          <cell r="G2279">
            <v>38002</v>
          </cell>
          <cell r="H2279">
            <v>0</v>
          </cell>
          <cell r="I2279">
            <v>17.440000000000001</v>
          </cell>
          <cell r="J2279">
            <v>0</v>
          </cell>
          <cell r="K2279">
            <v>5.57</v>
          </cell>
          <cell r="L2279">
            <v>11.87</v>
          </cell>
          <cell r="M2279" t="str">
            <v>湖里</v>
          </cell>
        </row>
        <row r="2280">
          <cell r="B2280" t="str">
            <v>新江峰包装 Total</v>
          </cell>
          <cell r="L2280">
            <v>11.87</v>
          </cell>
        </row>
        <row r="2281">
          <cell r="A2281" t="str">
            <v>T02054</v>
          </cell>
          <cell r="B2281" t="str">
            <v>新银凤纸业公司</v>
          </cell>
          <cell r="C2281" t="str">
            <v>集体</v>
          </cell>
          <cell r="D2281" t="str">
            <v>工业</v>
          </cell>
          <cell r="E2281" t="str">
            <v>票据贴现</v>
          </cell>
          <cell r="F2281">
            <v>37560</v>
          </cell>
          <cell r="G2281">
            <v>37740</v>
          </cell>
          <cell r="H2281">
            <v>12</v>
          </cell>
          <cell r="I2281">
            <v>12</v>
          </cell>
          <cell r="J2281">
            <v>0</v>
          </cell>
          <cell r="K2281">
            <v>0</v>
          </cell>
          <cell r="L2281">
            <v>12</v>
          </cell>
          <cell r="M2281" t="str">
            <v>同安</v>
          </cell>
        </row>
        <row r="2282">
          <cell r="A2282" t="str">
            <v>200269</v>
          </cell>
          <cell r="B2282" t="str">
            <v>新银凤纸业公司</v>
          </cell>
          <cell r="C2282" t="str">
            <v>集体</v>
          </cell>
          <cell r="D2282" t="str">
            <v>工业</v>
          </cell>
          <cell r="E2282" t="str">
            <v>保证贷款</v>
          </cell>
          <cell r="F2282">
            <v>37551</v>
          </cell>
          <cell r="G2282">
            <v>37915</v>
          </cell>
          <cell r="H2282">
            <v>100</v>
          </cell>
          <cell r="I2282">
            <v>100</v>
          </cell>
          <cell r="J2282">
            <v>0</v>
          </cell>
          <cell r="K2282">
            <v>0</v>
          </cell>
          <cell r="L2282">
            <v>100</v>
          </cell>
          <cell r="M2282" t="str">
            <v>同安</v>
          </cell>
        </row>
        <row r="2283">
          <cell r="B2283" t="str">
            <v>新银凤纸业公司 Total</v>
          </cell>
          <cell r="L2283">
            <v>112</v>
          </cell>
        </row>
        <row r="2284">
          <cell r="A2284" t="str">
            <v>000076</v>
          </cell>
          <cell r="B2284" t="str">
            <v>鑫禾源</v>
          </cell>
          <cell r="C2284" t="str">
            <v>其它</v>
          </cell>
          <cell r="D2284" t="str">
            <v>其它</v>
          </cell>
          <cell r="E2284" t="str">
            <v>抵押贷款</v>
          </cell>
          <cell r="F2284">
            <v>37376</v>
          </cell>
          <cell r="G2284">
            <v>38104</v>
          </cell>
          <cell r="H2284">
            <v>0</v>
          </cell>
          <cell r="I2284">
            <v>18</v>
          </cell>
          <cell r="J2284">
            <v>0.72</v>
          </cell>
          <cell r="K2284">
            <v>4.28</v>
          </cell>
          <cell r="L2284">
            <v>13.72</v>
          </cell>
          <cell r="M2284" t="str">
            <v>康乐</v>
          </cell>
        </row>
        <row r="2285">
          <cell r="A2285" t="str">
            <v>000090</v>
          </cell>
          <cell r="B2285" t="str">
            <v>鑫禾源</v>
          </cell>
          <cell r="C2285" t="str">
            <v>其它</v>
          </cell>
          <cell r="D2285" t="str">
            <v>其它</v>
          </cell>
          <cell r="E2285" t="str">
            <v>抵押贷款</v>
          </cell>
          <cell r="F2285">
            <v>37425</v>
          </cell>
          <cell r="G2285">
            <v>38152</v>
          </cell>
          <cell r="H2285">
            <v>0</v>
          </cell>
          <cell r="I2285">
            <v>17.899999999999999</v>
          </cell>
          <cell r="J2285">
            <v>0.71</v>
          </cell>
          <cell r="K2285">
            <v>2.83</v>
          </cell>
          <cell r="L2285">
            <v>15.07</v>
          </cell>
          <cell r="M2285" t="str">
            <v>康乐</v>
          </cell>
        </row>
        <row r="2286">
          <cell r="B2286" t="str">
            <v>鑫禾源 Total</v>
          </cell>
          <cell r="L2286">
            <v>28.79</v>
          </cell>
        </row>
        <row r="2287">
          <cell r="A2287" t="str">
            <v>200267</v>
          </cell>
          <cell r="B2287" t="str">
            <v>鑫银龙包装</v>
          </cell>
          <cell r="C2287" t="str">
            <v>集体</v>
          </cell>
          <cell r="D2287" t="str">
            <v>工业</v>
          </cell>
          <cell r="E2287" t="str">
            <v>抵押贷款</v>
          </cell>
          <cell r="F2287">
            <v>37528</v>
          </cell>
          <cell r="G2287">
            <v>37893</v>
          </cell>
          <cell r="H2287">
            <v>0</v>
          </cell>
          <cell r="I2287">
            <v>100</v>
          </cell>
          <cell r="J2287">
            <v>0</v>
          </cell>
          <cell r="K2287">
            <v>0</v>
          </cell>
          <cell r="L2287">
            <v>100</v>
          </cell>
          <cell r="M2287" t="str">
            <v>同安</v>
          </cell>
        </row>
        <row r="2288">
          <cell r="B2288" t="str">
            <v>鑫银龙包装 Total</v>
          </cell>
          <cell r="L2288">
            <v>100</v>
          </cell>
        </row>
        <row r="2289">
          <cell r="A2289" t="str">
            <v>200251</v>
          </cell>
          <cell r="B2289" t="str">
            <v>鑫银龙包装公司</v>
          </cell>
          <cell r="C2289" t="str">
            <v>集体</v>
          </cell>
          <cell r="D2289" t="str">
            <v>工业</v>
          </cell>
          <cell r="E2289" t="str">
            <v>抵押贷款</v>
          </cell>
          <cell r="F2289">
            <v>37440</v>
          </cell>
          <cell r="G2289">
            <v>37624</v>
          </cell>
          <cell r="H2289">
            <v>0</v>
          </cell>
          <cell r="I2289">
            <v>100</v>
          </cell>
          <cell r="J2289">
            <v>0</v>
          </cell>
          <cell r="K2289">
            <v>0</v>
          </cell>
          <cell r="L2289">
            <v>100</v>
          </cell>
          <cell r="M2289" t="str">
            <v>同安</v>
          </cell>
        </row>
        <row r="2290">
          <cell r="A2290" t="str">
            <v>200263</v>
          </cell>
          <cell r="B2290" t="str">
            <v>鑫银龙包装公司</v>
          </cell>
          <cell r="C2290" t="str">
            <v>集体</v>
          </cell>
          <cell r="D2290" t="str">
            <v>工业</v>
          </cell>
          <cell r="E2290" t="str">
            <v>抵押贷款</v>
          </cell>
          <cell r="F2290">
            <v>37504</v>
          </cell>
          <cell r="G2290">
            <v>37869</v>
          </cell>
          <cell r="H2290">
            <v>0</v>
          </cell>
          <cell r="I2290">
            <v>200</v>
          </cell>
          <cell r="J2290">
            <v>0</v>
          </cell>
          <cell r="K2290">
            <v>0</v>
          </cell>
          <cell r="L2290">
            <v>200</v>
          </cell>
          <cell r="M2290" t="str">
            <v>同安</v>
          </cell>
        </row>
        <row r="2291">
          <cell r="A2291" t="str">
            <v>200277</v>
          </cell>
          <cell r="B2291" t="str">
            <v>鑫银龙包装公司</v>
          </cell>
          <cell r="C2291" t="str">
            <v>集体</v>
          </cell>
          <cell r="D2291" t="str">
            <v>工业</v>
          </cell>
          <cell r="E2291" t="str">
            <v>抵押贷款</v>
          </cell>
          <cell r="F2291">
            <v>37560</v>
          </cell>
          <cell r="G2291">
            <v>37925</v>
          </cell>
          <cell r="H2291">
            <v>200</v>
          </cell>
          <cell r="I2291">
            <v>200</v>
          </cell>
          <cell r="J2291">
            <v>0</v>
          </cell>
          <cell r="K2291">
            <v>0</v>
          </cell>
          <cell r="L2291">
            <v>200</v>
          </cell>
          <cell r="M2291" t="str">
            <v>同安</v>
          </cell>
        </row>
        <row r="2292">
          <cell r="B2292" t="str">
            <v>鑫银龙包装公司 Total</v>
          </cell>
          <cell r="L2292">
            <v>500</v>
          </cell>
        </row>
        <row r="2293">
          <cell r="A2293" t="str">
            <v>450270</v>
          </cell>
          <cell r="B2293" t="str">
            <v>信达股份</v>
          </cell>
          <cell r="C2293" t="str">
            <v>外事</v>
          </cell>
          <cell r="D2293" t="str">
            <v>工业</v>
          </cell>
          <cell r="E2293" t="str">
            <v>保证贷款</v>
          </cell>
          <cell r="F2293">
            <v>37413</v>
          </cell>
          <cell r="G2293">
            <v>37686</v>
          </cell>
          <cell r="H2293">
            <v>0</v>
          </cell>
          <cell r="I2293">
            <v>390</v>
          </cell>
          <cell r="J2293">
            <v>0</v>
          </cell>
          <cell r="K2293">
            <v>0</v>
          </cell>
          <cell r="L2293">
            <v>390</v>
          </cell>
          <cell r="M2293" t="str">
            <v>湖里</v>
          </cell>
        </row>
        <row r="2294">
          <cell r="A2294" t="str">
            <v>450271</v>
          </cell>
          <cell r="B2294" t="str">
            <v>信达股份</v>
          </cell>
          <cell r="C2294" t="str">
            <v>外事</v>
          </cell>
          <cell r="D2294" t="str">
            <v>工业</v>
          </cell>
          <cell r="E2294" t="str">
            <v>保证贷款</v>
          </cell>
          <cell r="F2294">
            <v>37424</v>
          </cell>
          <cell r="G2294">
            <v>37789</v>
          </cell>
          <cell r="H2294">
            <v>0</v>
          </cell>
          <cell r="I2294">
            <v>500</v>
          </cell>
          <cell r="J2294">
            <v>0</v>
          </cell>
          <cell r="K2294">
            <v>0</v>
          </cell>
          <cell r="L2294">
            <v>500</v>
          </cell>
          <cell r="M2294" t="str">
            <v>湖里</v>
          </cell>
        </row>
        <row r="2295">
          <cell r="A2295" t="str">
            <v>450274</v>
          </cell>
          <cell r="B2295" t="str">
            <v>信达股份</v>
          </cell>
          <cell r="C2295" t="str">
            <v>外事</v>
          </cell>
          <cell r="D2295" t="str">
            <v>其它</v>
          </cell>
          <cell r="E2295" t="str">
            <v>票据贴现</v>
          </cell>
          <cell r="F2295">
            <v>37522</v>
          </cell>
          <cell r="G2295">
            <v>37587</v>
          </cell>
          <cell r="H2295">
            <v>0</v>
          </cell>
          <cell r="I2295">
            <v>10</v>
          </cell>
          <cell r="J2295">
            <v>0</v>
          </cell>
          <cell r="K2295">
            <v>0</v>
          </cell>
          <cell r="L2295">
            <v>10</v>
          </cell>
          <cell r="M2295" t="str">
            <v>湖里</v>
          </cell>
        </row>
        <row r="2296">
          <cell r="A2296" t="str">
            <v>450268</v>
          </cell>
          <cell r="B2296" t="str">
            <v>信达股份</v>
          </cell>
          <cell r="C2296" t="str">
            <v>外事</v>
          </cell>
          <cell r="D2296" t="str">
            <v>其它</v>
          </cell>
          <cell r="E2296" t="str">
            <v>保证贷款</v>
          </cell>
          <cell r="F2296">
            <v>37358</v>
          </cell>
          <cell r="G2296">
            <v>37633</v>
          </cell>
          <cell r="H2296">
            <v>0</v>
          </cell>
          <cell r="I2296">
            <v>1000</v>
          </cell>
          <cell r="J2296">
            <v>0</v>
          </cell>
          <cell r="K2296">
            <v>0</v>
          </cell>
          <cell r="L2296">
            <v>1000</v>
          </cell>
          <cell r="M2296" t="str">
            <v>湖里</v>
          </cell>
        </row>
        <row r="2297">
          <cell r="A2297" t="str">
            <v>450272</v>
          </cell>
          <cell r="B2297" t="str">
            <v>信达股份</v>
          </cell>
          <cell r="C2297" t="str">
            <v>外事</v>
          </cell>
          <cell r="D2297" t="str">
            <v>商贸</v>
          </cell>
          <cell r="E2297" t="str">
            <v>保证贷款</v>
          </cell>
          <cell r="F2297">
            <v>37448</v>
          </cell>
          <cell r="G2297">
            <v>37813</v>
          </cell>
          <cell r="H2297">
            <v>0</v>
          </cell>
          <cell r="I2297">
            <v>1000</v>
          </cell>
          <cell r="J2297">
            <v>0</v>
          </cell>
          <cell r="K2297">
            <v>0</v>
          </cell>
          <cell r="L2297">
            <v>1000</v>
          </cell>
          <cell r="M2297" t="str">
            <v>湖里</v>
          </cell>
        </row>
        <row r="2298">
          <cell r="A2298" t="str">
            <v>450273</v>
          </cell>
          <cell r="B2298" t="str">
            <v>信达股份</v>
          </cell>
          <cell r="C2298" t="str">
            <v>外事</v>
          </cell>
          <cell r="D2298" t="str">
            <v>商贸</v>
          </cell>
          <cell r="E2298" t="str">
            <v>抵押贷款</v>
          </cell>
          <cell r="F2298">
            <v>37481</v>
          </cell>
          <cell r="G2298">
            <v>37778</v>
          </cell>
          <cell r="H2298">
            <v>0</v>
          </cell>
          <cell r="I2298">
            <v>1000</v>
          </cell>
          <cell r="J2298">
            <v>0</v>
          </cell>
          <cell r="K2298">
            <v>0</v>
          </cell>
          <cell r="L2298">
            <v>1000</v>
          </cell>
          <cell r="M2298" t="str">
            <v>湖里</v>
          </cell>
        </row>
        <row r="2299">
          <cell r="B2299" t="str">
            <v>信达股份 Total</v>
          </cell>
          <cell r="L2299">
            <v>3900</v>
          </cell>
        </row>
        <row r="2300">
          <cell r="A2300" t="str">
            <v>200045</v>
          </cell>
          <cell r="B2300" t="str">
            <v>信嘉达</v>
          </cell>
          <cell r="C2300" t="str">
            <v>集体</v>
          </cell>
          <cell r="D2300" t="str">
            <v>商贸</v>
          </cell>
          <cell r="E2300" t="str">
            <v>抵押贷款</v>
          </cell>
          <cell r="F2300">
            <v>37456</v>
          </cell>
          <cell r="G2300">
            <v>38186</v>
          </cell>
          <cell r="H2300">
            <v>0</v>
          </cell>
          <cell r="I2300">
            <v>40.32</v>
          </cell>
          <cell r="J2300">
            <v>0</v>
          </cell>
          <cell r="K2300">
            <v>3.03</v>
          </cell>
          <cell r="L2300">
            <v>37.29</v>
          </cell>
          <cell r="M2300" t="str">
            <v>新港</v>
          </cell>
        </row>
        <row r="2301">
          <cell r="B2301" t="str">
            <v>信嘉达 Total</v>
          </cell>
          <cell r="L2301">
            <v>37.29</v>
          </cell>
        </row>
        <row r="2302">
          <cell r="A2302" t="str">
            <v>200010</v>
          </cell>
          <cell r="B2302" t="str">
            <v>信兴伟业</v>
          </cell>
          <cell r="C2302" t="str">
            <v>集体</v>
          </cell>
          <cell r="D2302" t="str">
            <v>商贸</v>
          </cell>
          <cell r="E2302" t="str">
            <v>抵押贷款</v>
          </cell>
          <cell r="F2302">
            <v>37250</v>
          </cell>
          <cell r="G2302">
            <v>37980</v>
          </cell>
          <cell r="H2302">
            <v>0</v>
          </cell>
          <cell r="I2302">
            <v>0</v>
          </cell>
          <cell r="J2302">
            <v>1.29</v>
          </cell>
          <cell r="K2302">
            <v>12.59</v>
          </cell>
          <cell r="L2302">
            <v>18.93</v>
          </cell>
          <cell r="M2302" t="str">
            <v>新港</v>
          </cell>
        </row>
        <row r="2303">
          <cell r="A2303" t="str">
            <v>200026</v>
          </cell>
          <cell r="B2303" t="str">
            <v>信兴伟业</v>
          </cell>
          <cell r="C2303" t="str">
            <v>集体</v>
          </cell>
          <cell r="D2303" t="str">
            <v>商贸</v>
          </cell>
          <cell r="E2303" t="str">
            <v>抵押贷款</v>
          </cell>
          <cell r="F2303">
            <v>37361</v>
          </cell>
          <cell r="G2303">
            <v>38072</v>
          </cell>
          <cell r="H2303">
            <v>0</v>
          </cell>
          <cell r="I2303">
            <v>31.52</v>
          </cell>
          <cell r="J2303">
            <v>1.33</v>
          </cell>
          <cell r="K2303">
            <v>7.85</v>
          </cell>
          <cell r="L2303">
            <v>23.67</v>
          </cell>
          <cell r="M2303" t="str">
            <v>新港</v>
          </cell>
        </row>
        <row r="2304">
          <cell r="B2304" t="str">
            <v>信兴伟业 Total</v>
          </cell>
          <cell r="L2304">
            <v>42.6</v>
          </cell>
        </row>
        <row r="2305">
          <cell r="A2305" t="str">
            <v>961010</v>
          </cell>
          <cell r="B2305" t="str">
            <v>兴丰贸易公司</v>
          </cell>
          <cell r="C2305" t="str">
            <v>集体</v>
          </cell>
          <cell r="D2305" t="str">
            <v>商贸</v>
          </cell>
          <cell r="E2305" t="str">
            <v>抵押贷款</v>
          </cell>
          <cell r="F2305">
            <v>35181</v>
          </cell>
          <cell r="G2305">
            <v>35321</v>
          </cell>
          <cell r="H2305">
            <v>0</v>
          </cell>
          <cell r="I2305">
            <v>0</v>
          </cell>
          <cell r="J2305">
            <v>0</v>
          </cell>
          <cell r="K2305">
            <v>0</v>
          </cell>
          <cell r="L2305">
            <v>30</v>
          </cell>
          <cell r="M2305" t="str">
            <v>集美</v>
          </cell>
        </row>
        <row r="2306">
          <cell r="B2306" t="str">
            <v>兴丰贸易公司 Total</v>
          </cell>
          <cell r="L2306">
            <v>30</v>
          </cell>
        </row>
        <row r="2307">
          <cell r="A2307" t="str">
            <v>202301</v>
          </cell>
          <cell r="B2307" t="str">
            <v>兴峰百货公司</v>
          </cell>
          <cell r="C2307" t="str">
            <v>集体</v>
          </cell>
          <cell r="D2307" t="str">
            <v>商贸</v>
          </cell>
          <cell r="E2307" t="str">
            <v>保证贷款</v>
          </cell>
          <cell r="F2307">
            <v>37349</v>
          </cell>
          <cell r="G2307">
            <v>37714</v>
          </cell>
          <cell r="H2307">
            <v>0</v>
          </cell>
          <cell r="I2307">
            <v>40</v>
          </cell>
          <cell r="J2307">
            <v>0</v>
          </cell>
          <cell r="K2307">
            <v>0</v>
          </cell>
          <cell r="L2307">
            <v>40</v>
          </cell>
          <cell r="M2307" t="str">
            <v>同安</v>
          </cell>
        </row>
        <row r="2308">
          <cell r="B2308" t="str">
            <v>兴峰百货公司 Total</v>
          </cell>
          <cell r="L2308">
            <v>40</v>
          </cell>
        </row>
        <row r="2309">
          <cell r="A2309" t="str">
            <v>070076</v>
          </cell>
          <cell r="B2309" t="str">
            <v>兴辉洋公司</v>
          </cell>
          <cell r="C2309" t="str">
            <v>集体</v>
          </cell>
          <cell r="D2309" t="str">
            <v>商贸</v>
          </cell>
          <cell r="E2309" t="str">
            <v>票据贴现</v>
          </cell>
          <cell r="F2309">
            <v>37545</v>
          </cell>
          <cell r="G2309">
            <v>37611</v>
          </cell>
          <cell r="H2309">
            <v>45.5</v>
          </cell>
          <cell r="I2309">
            <v>45.5</v>
          </cell>
          <cell r="J2309">
            <v>0</v>
          </cell>
          <cell r="K2309">
            <v>0</v>
          </cell>
          <cell r="L2309">
            <v>45.5</v>
          </cell>
          <cell r="M2309" t="str">
            <v>公园</v>
          </cell>
        </row>
        <row r="2310">
          <cell r="B2310" t="str">
            <v>兴辉洋公司 Total</v>
          </cell>
          <cell r="L2310">
            <v>45.5</v>
          </cell>
        </row>
        <row r="2311">
          <cell r="A2311" t="str">
            <v>T02038</v>
          </cell>
          <cell r="B2311" t="str">
            <v>兴浪纸业公司</v>
          </cell>
          <cell r="C2311" t="str">
            <v>集体</v>
          </cell>
          <cell r="D2311" t="str">
            <v>工业</v>
          </cell>
          <cell r="E2311" t="str">
            <v>票据贴现</v>
          </cell>
          <cell r="F2311">
            <v>37497</v>
          </cell>
          <cell r="G2311">
            <v>37651</v>
          </cell>
          <cell r="H2311">
            <v>0</v>
          </cell>
          <cell r="I2311">
            <v>10</v>
          </cell>
          <cell r="J2311">
            <v>0</v>
          </cell>
          <cell r="K2311">
            <v>0</v>
          </cell>
          <cell r="L2311">
            <v>10</v>
          </cell>
          <cell r="M2311" t="str">
            <v>同安</v>
          </cell>
        </row>
        <row r="2312">
          <cell r="A2312" t="str">
            <v>217223</v>
          </cell>
          <cell r="B2312" t="str">
            <v>兴浪纸业公司</v>
          </cell>
          <cell r="C2312" t="str">
            <v>集体</v>
          </cell>
          <cell r="D2312" t="str">
            <v>工业</v>
          </cell>
          <cell r="E2312" t="str">
            <v>抵押贷款</v>
          </cell>
          <cell r="F2312">
            <v>35642</v>
          </cell>
          <cell r="G2312">
            <v>35909</v>
          </cell>
          <cell r="H2312">
            <v>0</v>
          </cell>
          <cell r="I2312">
            <v>0</v>
          </cell>
          <cell r="J2312">
            <v>0</v>
          </cell>
          <cell r="K2312">
            <v>0</v>
          </cell>
          <cell r="L2312">
            <v>200</v>
          </cell>
          <cell r="M2312" t="str">
            <v>同安</v>
          </cell>
        </row>
        <row r="2313">
          <cell r="A2313" t="str">
            <v>217199</v>
          </cell>
          <cell r="B2313" t="str">
            <v>兴浪纸业公司</v>
          </cell>
          <cell r="C2313" t="str">
            <v>集体</v>
          </cell>
          <cell r="D2313" t="str">
            <v>工业</v>
          </cell>
          <cell r="E2313" t="str">
            <v>保证贷款</v>
          </cell>
          <cell r="F2313">
            <v>35609</v>
          </cell>
          <cell r="G2313">
            <v>35913</v>
          </cell>
          <cell r="H2313">
            <v>0</v>
          </cell>
          <cell r="I2313">
            <v>0</v>
          </cell>
          <cell r="J2313">
            <v>0</v>
          </cell>
          <cell r="K2313">
            <v>0</v>
          </cell>
          <cell r="L2313">
            <v>480</v>
          </cell>
          <cell r="M2313" t="str">
            <v>同安</v>
          </cell>
        </row>
        <row r="2314">
          <cell r="A2314" t="str">
            <v>217235</v>
          </cell>
          <cell r="B2314" t="str">
            <v>兴浪纸业公司</v>
          </cell>
          <cell r="C2314" t="str">
            <v>集体</v>
          </cell>
          <cell r="D2314" t="str">
            <v>工业</v>
          </cell>
          <cell r="E2314" t="str">
            <v>保证贷款</v>
          </cell>
          <cell r="F2314">
            <v>35642</v>
          </cell>
          <cell r="G2314">
            <v>35947</v>
          </cell>
          <cell r="H2314">
            <v>0</v>
          </cell>
          <cell r="I2314">
            <v>0</v>
          </cell>
          <cell r="J2314">
            <v>0</v>
          </cell>
          <cell r="K2314">
            <v>0</v>
          </cell>
          <cell r="L2314">
            <v>600</v>
          </cell>
          <cell r="M2314" t="str">
            <v>同安</v>
          </cell>
        </row>
        <row r="2315">
          <cell r="B2315" t="str">
            <v>兴浪纸业公司 Total</v>
          </cell>
          <cell r="L2315">
            <v>1290</v>
          </cell>
        </row>
        <row r="2316">
          <cell r="A2316" t="str">
            <v>22318</v>
          </cell>
          <cell r="B2316" t="str">
            <v>兴联电子有限公司</v>
          </cell>
          <cell r="C2316" t="str">
            <v>三资</v>
          </cell>
          <cell r="D2316" t="str">
            <v>工业</v>
          </cell>
          <cell r="E2316" t="str">
            <v>保证贷款</v>
          </cell>
          <cell r="F2316">
            <v>37452</v>
          </cell>
          <cell r="G2316">
            <v>37636</v>
          </cell>
          <cell r="H2316">
            <v>0</v>
          </cell>
          <cell r="I2316">
            <v>300</v>
          </cell>
          <cell r="J2316">
            <v>0</v>
          </cell>
          <cell r="K2316">
            <v>200</v>
          </cell>
          <cell r="L2316">
            <v>100</v>
          </cell>
          <cell r="M2316" t="str">
            <v>江头</v>
          </cell>
        </row>
        <row r="2317">
          <cell r="B2317" t="str">
            <v>兴联电子有限公司 Total</v>
          </cell>
          <cell r="L2317">
            <v>100</v>
          </cell>
        </row>
        <row r="2318">
          <cell r="A2318" t="str">
            <v>217264</v>
          </cell>
          <cell r="B2318" t="str">
            <v>兴盛石材工艺公司</v>
          </cell>
          <cell r="C2318" t="str">
            <v>集体</v>
          </cell>
          <cell r="D2318" t="str">
            <v>工业</v>
          </cell>
          <cell r="E2318" t="str">
            <v>保证贷款</v>
          </cell>
          <cell r="F2318">
            <v>35671</v>
          </cell>
          <cell r="G2318">
            <v>35886</v>
          </cell>
          <cell r="H2318">
            <v>0</v>
          </cell>
          <cell r="I2318">
            <v>0</v>
          </cell>
          <cell r="J2318">
            <v>0</v>
          </cell>
          <cell r="K2318">
            <v>0</v>
          </cell>
          <cell r="L2318">
            <v>30</v>
          </cell>
          <cell r="M2318" t="str">
            <v>同安</v>
          </cell>
        </row>
        <row r="2319">
          <cell r="B2319" t="str">
            <v>兴盛石材工艺公司 Total</v>
          </cell>
          <cell r="L2319">
            <v>30</v>
          </cell>
        </row>
        <row r="2320">
          <cell r="A2320" t="str">
            <v>217163</v>
          </cell>
          <cell r="B2320" t="str">
            <v>兴顺石材公司</v>
          </cell>
          <cell r="C2320" t="str">
            <v>集体</v>
          </cell>
          <cell r="D2320" t="str">
            <v>工业</v>
          </cell>
          <cell r="E2320" t="str">
            <v>保证贷款</v>
          </cell>
          <cell r="F2320">
            <v>35580</v>
          </cell>
          <cell r="G2320">
            <v>35794</v>
          </cell>
          <cell r="H2320">
            <v>0</v>
          </cell>
          <cell r="I2320">
            <v>0</v>
          </cell>
          <cell r="J2320">
            <v>0</v>
          </cell>
          <cell r="K2320">
            <v>0</v>
          </cell>
          <cell r="L2320">
            <v>18</v>
          </cell>
          <cell r="M2320" t="str">
            <v>马巷</v>
          </cell>
        </row>
        <row r="2321">
          <cell r="B2321" t="str">
            <v>兴顺石材公司 Total</v>
          </cell>
          <cell r="L2321">
            <v>18</v>
          </cell>
        </row>
        <row r="2322">
          <cell r="A2322" t="str">
            <v>200071</v>
          </cell>
          <cell r="B2322" t="str">
            <v>兴霞编织</v>
          </cell>
          <cell r="C2322" t="str">
            <v>集体</v>
          </cell>
          <cell r="D2322" t="str">
            <v>工业</v>
          </cell>
          <cell r="E2322" t="str">
            <v>保证贷款</v>
          </cell>
          <cell r="F2322">
            <v>36887</v>
          </cell>
          <cell r="G2322">
            <v>37099</v>
          </cell>
          <cell r="H2322">
            <v>0</v>
          </cell>
          <cell r="I2322">
            <v>0</v>
          </cell>
          <cell r="J2322">
            <v>0</v>
          </cell>
          <cell r="K2322">
            <v>0</v>
          </cell>
          <cell r="L2322">
            <v>85</v>
          </cell>
          <cell r="M2322" t="str">
            <v>同安</v>
          </cell>
        </row>
        <row r="2323">
          <cell r="B2323" t="str">
            <v>兴霞编织 Total</v>
          </cell>
          <cell r="L2323">
            <v>85</v>
          </cell>
        </row>
        <row r="2324">
          <cell r="A2324" t="str">
            <v>200177</v>
          </cell>
          <cell r="B2324" t="str">
            <v>兴霞编织袋厂</v>
          </cell>
          <cell r="C2324" t="str">
            <v>集体</v>
          </cell>
          <cell r="D2324" t="str">
            <v>工业</v>
          </cell>
          <cell r="E2324" t="str">
            <v>抵押贷款</v>
          </cell>
          <cell r="F2324">
            <v>37260</v>
          </cell>
          <cell r="G2324">
            <v>37466</v>
          </cell>
          <cell r="H2324">
            <v>0</v>
          </cell>
          <cell r="I2324">
            <v>75</v>
          </cell>
          <cell r="J2324">
            <v>0</v>
          </cell>
          <cell r="K2324">
            <v>0</v>
          </cell>
          <cell r="L2324">
            <v>75</v>
          </cell>
          <cell r="M2324" t="str">
            <v>同安</v>
          </cell>
        </row>
        <row r="2325">
          <cell r="B2325" t="str">
            <v>兴霞编织袋厂 Total</v>
          </cell>
          <cell r="L2325">
            <v>75</v>
          </cell>
        </row>
        <row r="2326">
          <cell r="A2326" t="str">
            <v>200236</v>
          </cell>
          <cell r="B2326" t="str">
            <v>兴银实业公司</v>
          </cell>
          <cell r="C2326" t="str">
            <v>集体</v>
          </cell>
          <cell r="D2326" t="str">
            <v>商贸</v>
          </cell>
          <cell r="E2326" t="str">
            <v>保证贷款</v>
          </cell>
          <cell r="F2326">
            <v>37407</v>
          </cell>
          <cell r="G2326">
            <v>37772</v>
          </cell>
          <cell r="H2326">
            <v>0</v>
          </cell>
          <cell r="I2326">
            <v>200</v>
          </cell>
          <cell r="J2326">
            <v>0</v>
          </cell>
          <cell r="K2326">
            <v>0</v>
          </cell>
          <cell r="L2326">
            <v>200</v>
          </cell>
          <cell r="M2326" t="str">
            <v>同安</v>
          </cell>
        </row>
        <row r="2327">
          <cell r="B2327" t="str">
            <v>兴银实业公司 Total</v>
          </cell>
          <cell r="L2327">
            <v>200</v>
          </cell>
        </row>
        <row r="2328">
          <cell r="A2328" t="str">
            <v>000048</v>
          </cell>
          <cell r="B2328" t="str">
            <v>兴源</v>
          </cell>
          <cell r="C2328" t="str">
            <v>其它</v>
          </cell>
          <cell r="D2328" t="str">
            <v>其它</v>
          </cell>
          <cell r="E2328" t="str">
            <v>抵押贷款</v>
          </cell>
          <cell r="F2328">
            <v>37288</v>
          </cell>
          <cell r="G2328">
            <v>38018</v>
          </cell>
          <cell r="H2328">
            <v>0</v>
          </cell>
          <cell r="I2328">
            <v>33.6</v>
          </cell>
          <cell r="J2328">
            <v>1.36</v>
          </cell>
          <cell r="K2328">
            <v>10.67</v>
          </cell>
          <cell r="L2328">
            <v>22.93</v>
          </cell>
          <cell r="M2328" t="str">
            <v>康乐</v>
          </cell>
        </row>
        <row r="2329">
          <cell r="B2329" t="str">
            <v>兴源 Total</v>
          </cell>
          <cell r="L2329">
            <v>22.93</v>
          </cell>
        </row>
        <row r="2330">
          <cell r="A2330" t="str">
            <v>97554</v>
          </cell>
          <cell r="B2330" t="str">
            <v>星鲨公司</v>
          </cell>
          <cell r="C2330" t="str">
            <v>国营</v>
          </cell>
          <cell r="D2330" t="str">
            <v>商贸</v>
          </cell>
          <cell r="E2330" t="str">
            <v>保证贷款</v>
          </cell>
          <cell r="F2330">
            <v>35975</v>
          </cell>
          <cell r="G2330">
            <v>36005</v>
          </cell>
          <cell r="H2330">
            <v>0</v>
          </cell>
          <cell r="I2330">
            <v>0</v>
          </cell>
          <cell r="J2330">
            <v>0</v>
          </cell>
          <cell r="K2330">
            <v>0</v>
          </cell>
          <cell r="L2330">
            <v>654.11503499999992</v>
          </cell>
          <cell r="M2330" t="str">
            <v>营业</v>
          </cell>
        </row>
        <row r="2331">
          <cell r="A2331" t="str">
            <v>97552</v>
          </cell>
          <cell r="B2331" t="str">
            <v>星鲨公司</v>
          </cell>
          <cell r="C2331" t="str">
            <v>国营</v>
          </cell>
          <cell r="D2331" t="str">
            <v>商贸</v>
          </cell>
          <cell r="E2331" t="str">
            <v>保证贷款</v>
          </cell>
          <cell r="F2331">
            <v>35976</v>
          </cell>
          <cell r="G2331">
            <v>36005</v>
          </cell>
          <cell r="H2331">
            <v>0</v>
          </cell>
          <cell r="I2331">
            <v>0</v>
          </cell>
          <cell r="J2331">
            <v>0</v>
          </cell>
          <cell r="K2331">
            <v>0</v>
          </cell>
          <cell r="L2331">
            <v>668.18202499999995</v>
          </cell>
          <cell r="M2331" t="str">
            <v>营业</v>
          </cell>
        </row>
        <row r="2332">
          <cell r="B2332" t="str">
            <v>星鲨公司 Total</v>
          </cell>
          <cell r="L2332">
            <v>1322.2970599999999</v>
          </cell>
        </row>
        <row r="2333">
          <cell r="A2333" t="str">
            <v>023102</v>
          </cell>
          <cell r="B2333" t="str">
            <v>杏林建设开发公司</v>
          </cell>
          <cell r="C2333" t="str">
            <v>国营</v>
          </cell>
          <cell r="D2333" t="str">
            <v>其它</v>
          </cell>
          <cell r="E2333" t="str">
            <v>保证贷款</v>
          </cell>
          <cell r="F2333">
            <v>37356</v>
          </cell>
          <cell r="G2333">
            <v>37721</v>
          </cell>
          <cell r="H2333">
            <v>0</v>
          </cell>
          <cell r="I2333">
            <v>1000</v>
          </cell>
          <cell r="J2333">
            <v>0</v>
          </cell>
          <cell r="K2333">
            <v>0</v>
          </cell>
          <cell r="L2333">
            <v>1000</v>
          </cell>
          <cell r="M2333" t="str">
            <v>杏林</v>
          </cell>
        </row>
        <row r="2334">
          <cell r="A2334" t="str">
            <v>023101</v>
          </cell>
          <cell r="B2334" t="str">
            <v>杏林建设开发公司</v>
          </cell>
          <cell r="C2334" t="str">
            <v>国营</v>
          </cell>
          <cell r="D2334" t="str">
            <v>其它</v>
          </cell>
          <cell r="E2334" t="str">
            <v>保证贷款</v>
          </cell>
          <cell r="F2334">
            <v>37344</v>
          </cell>
          <cell r="G2334">
            <v>37709</v>
          </cell>
          <cell r="H2334">
            <v>0</v>
          </cell>
          <cell r="I2334">
            <v>500</v>
          </cell>
          <cell r="J2334">
            <v>0</v>
          </cell>
          <cell r="K2334">
            <v>0</v>
          </cell>
          <cell r="L2334">
            <v>500</v>
          </cell>
          <cell r="M2334" t="str">
            <v>杏林</v>
          </cell>
        </row>
        <row r="2335">
          <cell r="A2335" t="str">
            <v>023103</v>
          </cell>
          <cell r="B2335" t="str">
            <v>杏林建设开发公司</v>
          </cell>
          <cell r="C2335" t="str">
            <v>国营</v>
          </cell>
          <cell r="D2335" t="str">
            <v>其它</v>
          </cell>
          <cell r="E2335" t="str">
            <v>保证贷款</v>
          </cell>
          <cell r="F2335">
            <v>37466</v>
          </cell>
          <cell r="G2335">
            <v>37831</v>
          </cell>
          <cell r="H2335">
            <v>0</v>
          </cell>
          <cell r="I2335">
            <v>500</v>
          </cell>
          <cell r="J2335">
            <v>0</v>
          </cell>
          <cell r="K2335">
            <v>0</v>
          </cell>
          <cell r="L2335">
            <v>500</v>
          </cell>
          <cell r="M2335" t="str">
            <v>杏林</v>
          </cell>
        </row>
        <row r="2336">
          <cell r="A2336" t="str">
            <v>023104</v>
          </cell>
          <cell r="B2336" t="str">
            <v>杏林建设开发公司</v>
          </cell>
          <cell r="C2336" t="str">
            <v>国营</v>
          </cell>
          <cell r="D2336" t="str">
            <v>其它</v>
          </cell>
          <cell r="E2336" t="str">
            <v>保证贷款</v>
          </cell>
          <cell r="F2336">
            <v>37470</v>
          </cell>
          <cell r="G2336">
            <v>37835</v>
          </cell>
          <cell r="H2336">
            <v>0</v>
          </cell>
          <cell r="I2336">
            <v>1000</v>
          </cell>
          <cell r="J2336">
            <v>0</v>
          </cell>
          <cell r="K2336">
            <v>0</v>
          </cell>
          <cell r="L2336">
            <v>1000</v>
          </cell>
          <cell r="M2336" t="str">
            <v>杏林</v>
          </cell>
        </row>
        <row r="2337">
          <cell r="B2337" t="str">
            <v>杏林建设开发公司 Total</v>
          </cell>
          <cell r="L2337">
            <v>3000</v>
          </cell>
        </row>
        <row r="2338">
          <cell r="A2338" t="str">
            <v>170031</v>
          </cell>
          <cell r="B2338" t="str">
            <v>杏林区东南经济公司</v>
          </cell>
          <cell r="C2338" t="str">
            <v>其它</v>
          </cell>
          <cell r="D2338" t="str">
            <v>其它</v>
          </cell>
          <cell r="E2338" t="str">
            <v>抵押贷款</v>
          </cell>
          <cell r="F2338">
            <v>37456</v>
          </cell>
          <cell r="G2338">
            <v>37821</v>
          </cell>
          <cell r="H2338">
            <v>0</v>
          </cell>
          <cell r="I2338">
            <v>100</v>
          </cell>
          <cell r="J2338">
            <v>0</v>
          </cell>
          <cell r="K2338">
            <v>0</v>
          </cell>
          <cell r="L2338">
            <v>100</v>
          </cell>
          <cell r="M2338" t="str">
            <v>厦禾</v>
          </cell>
        </row>
        <row r="2339">
          <cell r="B2339" t="str">
            <v>杏林区东南经济公司 Total</v>
          </cell>
          <cell r="L2339">
            <v>100</v>
          </cell>
        </row>
        <row r="2340">
          <cell r="A2340" t="str">
            <v>001202</v>
          </cell>
          <cell r="B2340" t="str">
            <v>杏林区霞阳针织公司</v>
          </cell>
          <cell r="C2340" t="str">
            <v>集体</v>
          </cell>
          <cell r="D2340" t="str">
            <v>工业</v>
          </cell>
          <cell r="E2340" t="str">
            <v>抵押贷款</v>
          </cell>
          <cell r="F2340">
            <v>36579</v>
          </cell>
          <cell r="G2340">
            <v>37310</v>
          </cell>
          <cell r="H2340">
            <v>0</v>
          </cell>
          <cell r="I2340">
            <v>0</v>
          </cell>
          <cell r="J2340">
            <v>0</v>
          </cell>
          <cell r="K2340">
            <v>0</v>
          </cell>
          <cell r="L2340">
            <v>120</v>
          </cell>
          <cell r="M2340" t="str">
            <v>杏林</v>
          </cell>
        </row>
        <row r="2341">
          <cell r="B2341" t="str">
            <v>杏林区霞阳针织公司 Total</v>
          </cell>
          <cell r="L2341">
            <v>120</v>
          </cell>
        </row>
        <row r="2342">
          <cell r="A2342" t="str">
            <v>021217</v>
          </cell>
          <cell r="B2342" t="str">
            <v>杏林斯太尔重型汽车</v>
          </cell>
          <cell r="C2342" t="str">
            <v>集体</v>
          </cell>
          <cell r="D2342" t="str">
            <v>工业</v>
          </cell>
          <cell r="E2342" t="str">
            <v>保证贷款</v>
          </cell>
          <cell r="F2342">
            <v>37398</v>
          </cell>
          <cell r="G2342">
            <v>37762</v>
          </cell>
          <cell r="H2342">
            <v>0</v>
          </cell>
          <cell r="I2342">
            <v>100</v>
          </cell>
          <cell r="J2342">
            <v>0</v>
          </cell>
          <cell r="K2342">
            <v>0</v>
          </cell>
          <cell r="L2342">
            <v>100</v>
          </cell>
          <cell r="M2342" t="str">
            <v>集美</v>
          </cell>
        </row>
        <row r="2343">
          <cell r="B2343" t="str">
            <v>杏林斯太尔重型汽车 Total</v>
          </cell>
          <cell r="L2343">
            <v>100</v>
          </cell>
        </row>
        <row r="2344">
          <cell r="A2344" t="str">
            <v>963219</v>
          </cell>
          <cell r="B2344" t="str">
            <v>杏林新埯养殖公司</v>
          </cell>
          <cell r="C2344" t="str">
            <v>集体</v>
          </cell>
          <cell r="D2344" t="str">
            <v>其它</v>
          </cell>
          <cell r="E2344" t="str">
            <v>保证贷款</v>
          </cell>
          <cell r="F2344">
            <v>35430</v>
          </cell>
          <cell r="G2344">
            <v>35550</v>
          </cell>
          <cell r="H2344">
            <v>0</v>
          </cell>
          <cell r="I2344">
            <v>0</v>
          </cell>
          <cell r="J2344">
            <v>0</v>
          </cell>
          <cell r="K2344">
            <v>0</v>
          </cell>
          <cell r="L2344">
            <v>20</v>
          </cell>
          <cell r="M2344" t="str">
            <v>杏林</v>
          </cell>
        </row>
        <row r="2345">
          <cell r="B2345" t="str">
            <v>杏林新埯养殖公司 Total</v>
          </cell>
          <cell r="L2345">
            <v>20</v>
          </cell>
        </row>
        <row r="2346">
          <cell r="A2346" t="str">
            <v>953215</v>
          </cell>
          <cell r="B2346" t="str">
            <v>杏农村经济技术公司</v>
          </cell>
          <cell r="C2346" t="str">
            <v>集体</v>
          </cell>
          <cell r="D2346" t="str">
            <v>其它</v>
          </cell>
          <cell r="E2346" t="str">
            <v>保证贷款</v>
          </cell>
          <cell r="F2346">
            <v>34863</v>
          </cell>
          <cell r="G2346">
            <v>35137</v>
          </cell>
          <cell r="H2346">
            <v>0</v>
          </cell>
          <cell r="I2346">
            <v>0</v>
          </cell>
          <cell r="J2346">
            <v>0</v>
          </cell>
          <cell r="K2346">
            <v>90</v>
          </cell>
          <cell r="L2346">
            <v>110</v>
          </cell>
          <cell r="M2346" t="str">
            <v>杏林</v>
          </cell>
        </row>
        <row r="2347">
          <cell r="B2347" t="str">
            <v>杏农村经济技术公司 Total</v>
          </cell>
          <cell r="L2347">
            <v>110</v>
          </cell>
        </row>
        <row r="2348">
          <cell r="A2348" t="str">
            <v>961215</v>
          </cell>
          <cell r="B2348" t="str">
            <v>杏燕水泥厂</v>
          </cell>
          <cell r="C2348" t="str">
            <v>集体</v>
          </cell>
          <cell r="D2348" t="str">
            <v>工业</v>
          </cell>
          <cell r="E2348" t="str">
            <v>保证贷款</v>
          </cell>
          <cell r="F2348">
            <v>35327</v>
          </cell>
          <cell r="G2348">
            <v>35539</v>
          </cell>
          <cell r="H2348">
            <v>0</v>
          </cell>
          <cell r="I2348">
            <v>0</v>
          </cell>
          <cell r="J2348">
            <v>0</v>
          </cell>
          <cell r="K2348">
            <v>1.9</v>
          </cell>
          <cell r="L2348">
            <v>19.850000000000001</v>
          </cell>
          <cell r="M2348" t="str">
            <v>杏林</v>
          </cell>
        </row>
        <row r="2349">
          <cell r="B2349" t="str">
            <v>杏燕水泥厂 Total</v>
          </cell>
          <cell r="L2349">
            <v>19.850000000000001</v>
          </cell>
        </row>
        <row r="2350">
          <cell r="A2350" t="str">
            <v>200011</v>
          </cell>
          <cell r="B2350" t="str">
            <v>幸丰运输</v>
          </cell>
          <cell r="C2350" t="str">
            <v>集体</v>
          </cell>
          <cell r="D2350" t="str">
            <v>商贸</v>
          </cell>
          <cell r="E2350" t="str">
            <v>抵押贷款</v>
          </cell>
          <cell r="F2350">
            <v>37252</v>
          </cell>
          <cell r="G2350">
            <v>37975</v>
          </cell>
          <cell r="H2350">
            <v>0</v>
          </cell>
          <cell r="I2350">
            <v>0</v>
          </cell>
          <cell r="J2350">
            <v>3.86</v>
          </cell>
          <cell r="K2350">
            <v>33.9</v>
          </cell>
          <cell r="L2350">
            <v>60.66</v>
          </cell>
          <cell r="M2350" t="str">
            <v>新港</v>
          </cell>
        </row>
        <row r="2351">
          <cell r="B2351" t="str">
            <v>幸丰运输 Total</v>
          </cell>
          <cell r="L2351">
            <v>60.66</v>
          </cell>
        </row>
        <row r="2352">
          <cell r="A2352" t="str">
            <v>0018</v>
          </cell>
          <cell r="B2352" t="str">
            <v>熊伯华</v>
          </cell>
          <cell r="C2352" t="str">
            <v>其它</v>
          </cell>
          <cell r="D2352" t="str">
            <v>其它</v>
          </cell>
          <cell r="E2352" t="str">
            <v>抵押贷款</v>
          </cell>
          <cell r="F2352">
            <v>37459</v>
          </cell>
          <cell r="G2352">
            <v>37824</v>
          </cell>
          <cell r="H2352">
            <v>0</v>
          </cell>
          <cell r="I2352">
            <v>27</v>
          </cell>
          <cell r="J2352">
            <v>0</v>
          </cell>
          <cell r="K2352">
            <v>0</v>
          </cell>
          <cell r="L2352">
            <v>27</v>
          </cell>
          <cell r="M2352" t="str">
            <v>莲花</v>
          </cell>
        </row>
        <row r="2353">
          <cell r="B2353" t="str">
            <v>熊伯华 Total</v>
          </cell>
          <cell r="L2353">
            <v>27</v>
          </cell>
        </row>
        <row r="2354">
          <cell r="A2354" t="str">
            <v>GX0131</v>
          </cell>
          <cell r="B2354" t="str">
            <v>徐国权</v>
          </cell>
          <cell r="C2354" t="str">
            <v>其它</v>
          </cell>
          <cell r="D2354" t="str">
            <v>其它</v>
          </cell>
          <cell r="E2354" t="str">
            <v>保证贷款</v>
          </cell>
          <cell r="F2354">
            <v>37182</v>
          </cell>
          <cell r="G2354">
            <v>37912</v>
          </cell>
          <cell r="H2354">
            <v>0</v>
          </cell>
          <cell r="I2354">
            <v>2.4</v>
          </cell>
          <cell r="J2354">
            <v>0.13</v>
          </cell>
          <cell r="K2354">
            <v>0.86</v>
          </cell>
          <cell r="L2354">
            <v>1.54</v>
          </cell>
          <cell r="M2354" t="str">
            <v>同安</v>
          </cell>
        </row>
        <row r="2355">
          <cell r="B2355" t="str">
            <v>徐国权 Total</v>
          </cell>
          <cell r="L2355">
            <v>1.54</v>
          </cell>
        </row>
        <row r="2356">
          <cell r="A2356" t="str">
            <v>020061</v>
          </cell>
          <cell r="B2356" t="str">
            <v>徐里</v>
          </cell>
          <cell r="C2356" t="str">
            <v>住房</v>
          </cell>
          <cell r="D2356" t="str">
            <v>其它</v>
          </cell>
          <cell r="E2356" t="str">
            <v>抵押贷款</v>
          </cell>
          <cell r="F2356">
            <v>36614</v>
          </cell>
          <cell r="G2356">
            <v>42092</v>
          </cell>
          <cell r="H2356">
            <v>0</v>
          </cell>
          <cell r="I2356">
            <v>26.5</v>
          </cell>
          <cell r="J2356">
            <v>0.12</v>
          </cell>
          <cell r="K2356">
            <v>0.83</v>
          </cell>
          <cell r="L2356">
            <v>25.67</v>
          </cell>
          <cell r="M2356" t="str">
            <v>东区</v>
          </cell>
        </row>
        <row r="2357">
          <cell r="B2357" t="str">
            <v>徐里 Total</v>
          </cell>
          <cell r="L2357">
            <v>25.67</v>
          </cell>
        </row>
        <row r="2358">
          <cell r="A2358" t="str">
            <v>000051</v>
          </cell>
          <cell r="B2358" t="str">
            <v>徐立坚真</v>
          </cell>
          <cell r="C2358" t="str">
            <v>其它</v>
          </cell>
          <cell r="D2358" t="str">
            <v>其它</v>
          </cell>
          <cell r="E2358" t="str">
            <v>质押贷款</v>
          </cell>
          <cell r="F2358">
            <v>37551</v>
          </cell>
          <cell r="G2358">
            <v>37733</v>
          </cell>
          <cell r="H2358">
            <v>56</v>
          </cell>
          <cell r="I2358">
            <v>56</v>
          </cell>
          <cell r="J2358">
            <v>0</v>
          </cell>
          <cell r="K2358">
            <v>0</v>
          </cell>
          <cell r="L2358">
            <v>56</v>
          </cell>
          <cell r="M2358" t="str">
            <v>康乐</v>
          </cell>
        </row>
        <row r="2359">
          <cell r="A2359" t="str">
            <v>000043</v>
          </cell>
          <cell r="B2359" t="str">
            <v>徐立坚真</v>
          </cell>
          <cell r="C2359" t="str">
            <v>其它</v>
          </cell>
          <cell r="D2359" t="str">
            <v>其它</v>
          </cell>
          <cell r="E2359" t="str">
            <v>质押贷款</v>
          </cell>
          <cell r="F2359">
            <v>37490</v>
          </cell>
          <cell r="G2359">
            <v>37582</v>
          </cell>
          <cell r="H2359">
            <v>0</v>
          </cell>
          <cell r="I2359">
            <v>381.7</v>
          </cell>
          <cell r="J2359">
            <v>0</v>
          </cell>
          <cell r="K2359">
            <v>0</v>
          </cell>
          <cell r="L2359">
            <v>381.7</v>
          </cell>
          <cell r="M2359" t="str">
            <v>康乐</v>
          </cell>
        </row>
        <row r="2360">
          <cell r="B2360" t="str">
            <v>徐立坚真 Total</v>
          </cell>
          <cell r="L2360">
            <v>437.7</v>
          </cell>
        </row>
        <row r="2361">
          <cell r="A2361" t="str">
            <v>170032</v>
          </cell>
          <cell r="B2361" t="str">
            <v>徐志平</v>
          </cell>
          <cell r="C2361" t="str">
            <v>其它</v>
          </cell>
          <cell r="D2361" t="str">
            <v>其它</v>
          </cell>
          <cell r="E2361" t="str">
            <v>质押贷款</v>
          </cell>
          <cell r="F2361">
            <v>37490</v>
          </cell>
          <cell r="G2361">
            <v>37582</v>
          </cell>
          <cell r="H2361">
            <v>0</v>
          </cell>
          <cell r="I2361">
            <v>15</v>
          </cell>
          <cell r="J2361">
            <v>0</v>
          </cell>
          <cell r="K2361">
            <v>0</v>
          </cell>
          <cell r="L2361">
            <v>15</v>
          </cell>
          <cell r="M2361" t="str">
            <v>厦禾</v>
          </cell>
        </row>
        <row r="2362">
          <cell r="B2362" t="str">
            <v>徐志平 Total</v>
          </cell>
          <cell r="L2362">
            <v>15</v>
          </cell>
        </row>
        <row r="2363">
          <cell r="A2363" t="str">
            <v>TGX053</v>
          </cell>
          <cell r="B2363" t="str">
            <v>许火烟</v>
          </cell>
          <cell r="C2363" t="str">
            <v>其它</v>
          </cell>
          <cell r="D2363" t="str">
            <v>其它</v>
          </cell>
          <cell r="E2363" t="str">
            <v>信用贷款</v>
          </cell>
          <cell r="F2363">
            <v>36903</v>
          </cell>
          <cell r="G2363">
            <v>37641</v>
          </cell>
          <cell r="H2363">
            <v>0</v>
          </cell>
          <cell r="I2363">
            <v>1.29</v>
          </cell>
          <cell r="J2363">
            <v>0</v>
          </cell>
          <cell r="K2363">
            <v>0.77</v>
          </cell>
          <cell r="L2363">
            <v>0.12</v>
          </cell>
          <cell r="M2363" t="str">
            <v>马巷</v>
          </cell>
        </row>
        <row r="2364">
          <cell r="B2364" t="str">
            <v>许火烟 Total</v>
          </cell>
          <cell r="L2364">
            <v>0.12</v>
          </cell>
        </row>
        <row r="2365">
          <cell r="A2365" t="str">
            <v>G02030</v>
          </cell>
          <cell r="B2365" t="str">
            <v>许静泓</v>
          </cell>
          <cell r="C2365" t="str">
            <v>其它</v>
          </cell>
          <cell r="D2365" t="str">
            <v>其它</v>
          </cell>
          <cell r="E2365" t="str">
            <v>质押贷款</v>
          </cell>
          <cell r="F2365">
            <v>37403</v>
          </cell>
          <cell r="G2365">
            <v>37587</v>
          </cell>
          <cell r="H2365">
            <v>0</v>
          </cell>
          <cell r="I2365">
            <v>3</v>
          </cell>
          <cell r="J2365">
            <v>0</v>
          </cell>
          <cell r="K2365">
            <v>0</v>
          </cell>
          <cell r="L2365">
            <v>3</v>
          </cell>
          <cell r="M2365" t="str">
            <v>营业</v>
          </cell>
        </row>
        <row r="2366">
          <cell r="B2366" t="str">
            <v>许静泓 Total</v>
          </cell>
          <cell r="L2366">
            <v>3</v>
          </cell>
        </row>
        <row r="2367">
          <cell r="A2367" t="str">
            <v>GX0119</v>
          </cell>
          <cell r="B2367" t="str">
            <v>许丽端</v>
          </cell>
          <cell r="C2367" t="str">
            <v>其它</v>
          </cell>
          <cell r="D2367" t="str">
            <v>其它</v>
          </cell>
          <cell r="E2367" t="str">
            <v>信用贷款</v>
          </cell>
          <cell r="F2367">
            <v>36941</v>
          </cell>
          <cell r="G2367">
            <v>37672</v>
          </cell>
          <cell r="H2367">
            <v>0</v>
          </cell>
          <cell r="I2367">
            <v>1.42</v>
          </cell>
          <cell r="J2367">
            <v>0.13</v>
          </cell>
          <cell r="K2367">
            <v>0.9</v>
          </cell>
          <cell r="L2367">
            <v>0.52</v>
          </cell>
          <cell r="M2367" t="str">
            <v>马巷</v>
          </cell>
        </row>
        <row r="2368">
          <cell r="B2368" t="str">
            <v>许丽端 Total</v>
          </cell>
          <cell r="L2368">
            <v>0.52</v>
          </cell>
        </row>
        <row r="2369">
          <cell r="A2369" t="str">
            <v>200208</v>
          </cell>
          <cell r="B2369" t="str">
            <v>许连接</v>
          </cell>
          <cell r="C2369" t="str">
            <v>其它</v>
          </cell>
          <cell r="D2369" t="str">
            <v>其它</v>
          </cell>
          <cell r="E2369" t="str">
            <v>保证贷款</v>
          </cell>
          <cell r="F2369">
            <v>37273</v>
          </cell>
          <cell r="G2369">
            <v>38003</v>
          </cell>
          <cell r="H2369">
            <v>0</v>
          </cell>
          <cell r="I2369">
            <v>2.76</v>
          </cell>
          <cell r="J2369">
            <v>0.13</v>
          </cell>
          <cell r="K2369">
            <v>0.84</v>
          </cell>
          <cell r="L2369">
            <v>1.92</v>
          </cell>
          <cell r="M2369" t="str">
            <v>海沧</v>
          </cell>
        </row>
        <row r="2370">
          <cell r="B2370" t="str">
            <v>许连接 Total</v>
          </cell>
          <cell r="L2370">
            <v>1.92</v>
          </cell>
        </row>
        <row r="2371">
          <cell r="A2371" t="str">
            <v>G02029</v>
          </cell>
          <cell r="B2371" t="str">
            <v>许顺从</v>
          </cell>
          <cell r="C2371" t="str">
            <v>其它</v>
          </cell>
          <cell r="D2371" t="str">
            <v>其它</v>
          </cell>
          <cell r="E2371" t="str">
            <v>质押贷款</v>
          </cell>
          <cell r="F2371">
            <v>37398</v>
          </cell>
          <cell r="G2371">
            <v>37582</v>
          </cell>
          <cell r="H2371">
            <v>0</v>
          </cell>
          <cell r="I2371">
            <v>8</v>
          </cell>
          <cell r="J2371">
            <v>0</v>
          </cell>
          <cell r="K2371">
            <v>0</v>
          </cell>
          <cell r="L2371">
            <v>8</v>
          </cell>
          <cell r="M2371" t="str">
            <v>营业</v>
          </cell>
        </row>
        <row r="2372">
          <cell r="B2372" t="str">
            <v>许顺从 Total</v>
          </cell>
          <cell r="L2372">
            <v>8</v>
          </cell>
        </row>
        <row r="2373">
          <cell r="A2373" t="str">
            <v>942064</v>
          </cell>
          <cell r="B2373" t="str">
            <v>许万良</v>
          </cell>
          <cell r="C2373" t="str">
            <v>其它</v>
          </cell>
          <cell r="D2373" t="str">
            <v>其它</v>
          </cell>
          <cell r="E2373" t="str">
            <v>抵押贷款</v>
          </cell>
          <cell r="F2373">
            <v>37459</v>
          </cell>
          <cell r="G2373">
            <v>37824</v>
          </cell>
          <cell r="H2373">
            <v>0</v>
          </cell>
          <cell r="I2373">
            <v>7.5</v>
          </cell>
          <cell r="J2373">
            <v>0</v>
          </cell>
          <cell r="K2373">
            <v>0</v>
          </cell>
          <cell r="L2373">
            <v>7.5</v>
          </cell>
          <cell r="M2373" t="str">
            <v>莲富</v>
          </cell>
        </row>
        <row r="2374">
          <cell r="B2374" t="str">
            <v>许万良 Total</v>
          </cell>
          <cell r="L2374">
            <v>7.5</v>
          </cell>
        </row>
        <row r="2375">
          <cell r="A2375" t="str">
            <v>200101</v>
          </cell>
          <cell r="B2375" t="str">
            <v>许文超</v>
          </cell>
          <cell r="C2375" t="str">
            <v>其它</v>
          </cell>
          <cell r="D2375" t="str">
            <v>其它</v>
          </cell>
          <cell r="E2375" t="str">
            <v>抵押贷款</v>
          </cell>
          <cell r="F2375">
            <v>37519</v>
          </cell>
          <cell r="G2375">
            <v>37884</v>
          </cell>
          <cell r="H2375">
            <v>0</v>
          </cell>
          <cell r="I2375">
            <v>80</v>
          </cell>
          <cell r="J2375">
            <v>0</v>
          </cell>
          <cell r="K2375">
            <v>0</v>
          </cell>
          <cell r="L2375">
            <v>80</v>
          </cell>
          <cell r="M2375" t="str">
            <v>鹭江</v>
          </cell>
        </row>
        <row r="2376">
          <cell r="B2376" t="str">
            <v>许文超 Total</v>
          </cell>
          <cell r="L2376">
            <v>80</v>
          </cell>
        </row>
        <row r="2377">
          <cell r="A2377" t="str">
            <v>200104</v>
          </cell>
          <cell r="B2377" t="str">
            <v>许文平</v>
          </cell>
          <cell r="C2377" t="str">
            <v>其它</v>
          </cell>
          <cell r="D2377" t="str">
            <v>其它</v>
          </cell>
          <cell r="E2377" t="str">
            <v>抵押贷款</v>
          </cell>
          <cell r="F2377">
            <v>37540</v>
          </cell>
          <cell r="G2377">
            <v>37905</v>
          </cell>
          <cell r="H2377">
            <v>95</v>
          </cell>
          <cell r="I2377">
            <v>95</v>
          </cell>
          <cell r="J2377">
            <v>0</v>
          </cell>
          <cell r="K2377">
            <v>0</v>
          </cell>
          <cell r="L2377">
            <v>95</v>
          </cell>
          <cell r="M2377" t="str">
            <v>鹭江</v>
          </cell>
        </row>
        <row r="2378">
          <cell r="B2378" t="str">
            <v>许文平 Total</v>
          </cell>
          <cell r="L2378">
            <v>95</v>
          </cell>
        </row>
        <row r="2379">
          <cell r="A2379" t="str">
            <v>G01044</v>
          </cell>
          <cell r="B2379" t="str">
            <v>许先锋</v>
          </cell>
          <cell r="C2379" t="str">
            <v>其它</v>
          </cell>
          <cell r="D2379" t="str">
            <v>其它</v>
          </cell>
          <cell r="E2379" t="str">
            <v>保证贷款</v>
          </cell>
          <cell r="F2379">
            <v>37187</v>
          </cell>
          <cell r="G2379">
            <v>37917</v>
          </cell>
          <cell r="H2379">
            <v>0</v>
          </cell>
          <cell r="I2379">
            <v>3</v>
          </cell>
          <cell r="J2379">
            <v>0.11</v>
          </cell>
          <cell r="K2379">
            <v>1.39</v>
          </cell>
          <cell r="L2379">
            <v>1.61</v>
          </cell>
          <cell r="M2379" t="str">
            <v>营业</v>
          </cell>
        </row>
        <row r="2380">
          <cell r="B2380" t="str">
            <v>许先锋 Total</v>
          </cell>
          <cell r="L2380">
            <v>1.61</v>
          </cell>
        </row>
        <row r="2381">
          <cell r="A2381" t="str">
            <v>250803</v>
          </cell>
          <cell r="B2381" t="str">
            <v>雅色工贸</v>
          </cell>
          <cell r="C2381" t="str">
            <v>集体</v>
          </cell>
          <cell r="D2381" t="str">
            <v>商贸</v>
          </cell>
          <cell r="E2381" t="str">
            <v>票据贴现</v>
          </cell>
          <cell r="F2381">
            <v>37512</v>
          </cell>
          <cell r="G2381">
            <v>37562</v>
          </cell>
          <cell r="H2381">
            <v>0</v>
          </cell>
          <cell r="I2381">
            <v>61.19</v>
          </cell>
          <cell r="J2381">
            <v>0</v>
          </cell>
          <cell r="K2381">
            <v>0</v>
          </cell>
          <cell r="L2381">
            <v>61.19</v>
          </cell>
          <cell r="M2381" t="str">
            <v>湖里</v>
          </cell>
        </row>
        <row r="2382">
          <cell r="A2382" t="str">
            <v>250820</v>
          </cell>
          <cell r="B2382" t="str">
            <v>雅色工贸</v>
          </cell>
          <cell r="C2382" t="str">
            <v>集体</v>
          </cell>
          <cell r="D2382" t="str">
            <v>商贸</v>
          </cell>
          <cell r="E2382" t="str">
            <v>票据贴现</v>
          </cell>
          <cell r="F2382">
            <v>37547</v>
          </cell>
          <cell r="G2382">
            <v>37592</v>
          </cell>
          <cell r="H2382">
            <v>69.37</v>
          </cell>
          <cell r="I2382">
            <v>69.37</v>
          </cell>
          <cell r="J2382">
            <v>0</v>
          </cell>
          <cell r="K2382">
            <v>0</v>
          </cell>
          <cell r="L2382">
            <v>69.37</v>
          </cell>
          <cell r="M2382" t="str">
            <v>湖里</v>
          </cell>
        </row>
        <row r="2383">
          <cell r="B2383" t="str">
            <v>雅色工贸 Total</v>
          </cell>
          <cell r="L2383">
            <v>130.56</v>
          </cell>
        </row>
        <row r="2384">
          <cell r="A2384" t="str">
            <v>937001</v>
          </cell>
          <cell r="B2384" t="str">
            <v>亚桥(厦门)房地产公司</v>
          </cell>
          <cell r="C2384" t="str">
            <v>三资</v>
          </cell>
          <cell r="D2384" t="str">
            <v>其它</v>
          </cell>
          <cell r="E2384" t="str">
            <v>抵押贷款</v>
          </cell>
          <cell r="F2384">
            <v>37468</v>
          </cell>
          <cell r="G2384">
            <v>37833</v>
          </cell>
          <cell r="H2384">
            <v>0</v>
          </cell>
          <cell r="I2384">
            <v>600</v>
          </cell>
          <cell r="J2384">
            <v>465</v>
          </cell>
          <cell r="K2384">
            <v>465</v>
          </cell>
          <cell r="L2384">
            <v>135</v>
          </cell>
          <cell r="M2384" t="str">
            <v>梧村</v>
          </cell>
        </row>
        <row r="2385">
          <cell r="B2385" t="str">
            <v>亚桥(厦门)房地产公司 Total</v>
          </cell>
          <cell r="L2385">
            <v>135</v>
          </cell>
        </row>
        <row r="2386">
          <cell r="A2386" t="str">
            <v>250813</v>
          </cell>
          <cell r="B2386" t="str">
            <v>亚泰鑫</v>
          </cell>
          <cell r="C2386" t="str">
            <v>集体</v>
          </cell>
          <cell r="D2386" t="str">
            <v>商贸</v>
          </cell>
          <cell r="E2386" t="str">
            <v>保证贷款</v>
          </cell>
          <cell r="F2386">
            <v>37529</v>
          </cell>
          <cell r="G2386">
            <v>37894</v>
          </cell>
          <cell r="H2386">
            <v>0</v>
          </cell>
          <cell r="I2386">
            <v>300</v>
          </cell>
          <cell r="J2386">
            <v>0</v>
          </cell>
          <cell r="K2386">
            <v>0</v>
          </cell>
          <cell r="L2386">
            <v>300</v>
          </cell>
          <cell r="M2386" t="str">
            <v>湖里</v>
          </cell>
        </row>
        <row r="2387">
          <cell r="B2387" t="str">
            <v>亚泰鑫 Total</v>
          </cell>
          <cell r="L2387">
            <v>300</v>
          </cell>
        </row>
        <row r="2388">
          <cell r="A2388" t="str">
            <v>0033</v>
          </cell>
          <cell r="B2388" t="str">
            <v>亚雄联</v>
          </cell>
          <cell r="C2388" t="str">
            <v>其它</v>
          </cell>
          <cell r="D2388" t="str">
            <v>商贸</v>
          </cell>
          <cell r="E2388" t="str">
            <v>抵押贷款</v>
          </cell>
          <cell r="F2388">
            <v>37543</v>
          </cell>
          <cell r="G2388">
            <v>38260</v>
          </cell>
          <cell r="H2388">
            <v>8.9</v>
          </cell>
          <cell r="I2388">
            <v>8.9</v>
          </cell>
          <cell r="J2388">
            <v>0</v>
          </cell>
          <cell r="K2388">
            <v>0</v>
          </cell>
          <cell r="L2388">
            <v>8.9</v>
          </cell>
          <cell r="M2388" t="str">
            <v>莲花</v>
          </cell>
        </row>
        <row r="2389">
          <cell r="B2389" t="str">
            <v>亚雄联 Total</v>
          </cell>
          <cell r="L2389">
            <v>8.9</v>
          </cell>
        </row>
        <row r="2390">
          <cell r="A2390" t="str">
            <v>0070</v>
          </cell>
          <cell r="B2390" t="str">
            <v>严伟光</v>
          </cell>
          <cell r="C2390" t="str">
            <v>其它</v>
          </cell>
          <cell r="D2390" t="str">
            <v>其它</v>
          </cell>
          <cell r="E2390" t="str">
            <v>质押贷款</v>
          </cell>
          <cell r="F2390">
            <v>37385</v>
          </cell>
          <cell r="G2390">
            <v>37548</v>
          </cell>
          <cell r="H2390">
            <v>0</v>
          </cell>
          <cell r="I2390">
            <v>6</v>
          </cell>
          <cell r="J2390">
            <v>0</v>
          </cell>
          <cell r="K2390">
            <v>0</v>
          </cell>
          <cell r="L2390">
            <v>6</v>
          </cell>
          <cell r="M2390" t="str">
            <v>东芳</v>
          </cell>
        </row>
        <row r="2391">
          <cell r="B2391" t="str">
            <v>严伟光 Total</v>
          </cell>
          <cell r="L2391">
            <v>6</v>
          </cell>
        </row>
        <row r="2392">
          <cell r="A2392" t="str">
            <v>217327</v>
          </cell>
          <cell r="B2392" t="str">
            <v>岩建水泥厂</v>
          </cell>
          <cell r="C2392" t="str">
            <v>集体</v>
          </cell>
          <cell r="D2392" t="str">
            <v>工业</v>
          </cell>
          <cell r="E2392" t="str">
            <v>保证贷款</v>
          </cell>
          <cell r="F2392">
            <v>35733</v>
          </cell>
          <cell r="G2392">
            <v>35947</v>
          </cell>
          <cell r="H2392">
            <v>0</v>
          </cell>
          <cell r="I2392">
            <v>0</v>
          </cell>
          <cell r="J2392">
            <v>0</v>
          </cell>
          <cell r="K2392">
            <v>0</v>
          </cell>
          <cell r="L2392">
            <v>15.56</v>
          </cell>
          <cell r="M2392" t="str">
            <v>同安</v>
          </cell>
        </row>
        <row r="2393">
          <cell r="B2393" t="str">
            <v>岩建水泥厂 Total</v>
          </cell>
          <cell r="L2393">
            <v>15.56</v>
          </cell>
        </row>
        <row r="2394">
          <cell r="A2394" t="str">
            <v>200014</v>
          </cell>
          <cell r="B2394" t="str">
            <v>颜茂松</v>
          </cell>
          <cell r="C2394" t="str">
            <v>住房</v>
          </cell>
          <cell r="D2394" t="str">
            <v>其它</v>
          </cell>
          <cell r="E2394" t="str">
            <v>抵押贷款</v>
          </cell>
          <cell r="F2394">
            <v>36850</v>
          </cell>
          <cell r="G2394">
            <v>42328</v>
          </cell>
          <cell r="H2394">
            <v>0</v>
          </cell>
          <cell r="I2394">
            <v>15.81</v>
          </cell>
          <cell r="J2394">
            <v>7.0000000000000007E-2</v>
          </cell>
          <cell r="K2394">
            <v>0.46</v>
          </cell>
          <cell r="L2394">
            <v>15.35</v>
          </cell>
          <cell r="M2394" t="str">
            <v>鹭江</v>
          </cell>
        </row>
        <row r="2395">
          <cell r="B2395" t="str">
            <v>颜茂松 Total</v>
          </cell>
          <cell r="L2395">
            <v>15.35</v>
          </cell>
        </row>
        <row r="2396">
          <cell r="A2396" t="str">
            <v>000046</v>
          </cell>
          <cell r="B2396" t="str">
            <v>颜肇辉</v>
          </cell>
          <cell r="C2396" t="str">
            <v>其它</v>
          </cell>
          <cell r="D2396" t="str">
            <v>其它</v>
          </cell>
          <cell r="E2396" t="str">
            <v>质押贷款</v>
          </cell>
          <cell r="F2396">
            <v>37501</v>
          </cell>
          <cell r="G2396">
            <v>37682</v>
          </cell>
          <cell r="H2396">
            <v>0</v>
          </cell>
          <cell r="I2396">
            <v>2</v>
          </cell>
          <cell r="J2396">
            <v>0</v>
          </cell>
          <cell r="K2396">
            <v>0</v>
          </cell>
          <cell r="L2396">
            <v>2</v>
          </cell>
          <cell r="M2396" t="str">
            <v>康乐</v>
          </cell>
        </row>
        <row r="2397">
          <cell r="B2397" t="str">
            <v>颜肇辉 Total</v>
          </cell>
          <cell r="L2397">
            <v>2</v>
          </cell>
        </row>
        <row r="2398">
          <cell r="A2398" t="str">
            <v>002074</v>
          </cell>
          <cell r="B2398" t="str">
            <v>燕兴</v>
          </cell>
          <cell r="C2398" t="str">
            <v>国营</v>
          </cell>
          <cell r="D2398" t="str">
            <v>商贸</v>
          </cell>
          <cell r="E2398" t="str">
            <v>保证贷款</v>
          </cell>
          <cell r="F2398">
            <v>35362</v>
          </cell>
          <cell r="G2398">
            <v>35565</v>
          </cell>
          <cell r="H2398">
            <v>0</v>
          </cell>
          <cell r="I2398">
            <v>0</v>
          </cell>
          <cell r="J2398">
            <v>0</v>
          </cell>
          <cell r="K2398">
            <v>0</v>
          </cell>
          <cell r="L2398">
            <v>150</v>
          </cell>
          <cell r="M2398" t="str">
            <v>文滨</v>
          </cell>
        </row>
        <row r="2399">
          <cell r="A2399" t="str">
            <v>002114</v>
          </cell>
          <cell r="B2399" t="str">
            <v>燕兴</v>
          </cell>
          <cell r="C2399" t="str">
            <v>国营</v>
          </cell>
          <cell r="D2399" t="str">
            <v>商贸</v>
          </cell>
          <cell r="E2399" t="str">
            <v>抵押贷款</v>
          </cell>
          <cell r="F2399">
            <v>35609</v>
          </cell>
          <cell r="G2399">
            <v>35972</v>
          </cell>
          <cell r="H2399">
            <v>0</v>
          </cell>
          <cell r="I2399">
            <v>0</v>
          </cell>
          <cell r="J2399">
            <v>0</v>
          </cell>
          <cell r="K2399">
            <v>0</v>
          </cell>
          <cell r="L2399">
            <v>170</v>
          </cell>
          <cell r="M2399" t="str">
            <v>文滨</v>
          </cell>
        </row>
        <row r="2400">
          <cell r="B2400" t="str">
            <v>燕兴 Total</v>
          </cell>
          <cell r="L2400">
            <v>320</v>
          </cell>
        </row>
        <row r="2401">
          <cell r="A2401" t="str">
            <v>020181</v>
          </cell>
          <cell r="B2401" t="str">
            <v>杨凡</v>
          </cell>
          <cell r="C2401" t="str">
            <v>其它</v>
          </cell>
          <cell r="D2401" t="str">
            <v>其它</v>
          </cell>
          <cell r="E2401" t="str">
            <v>保证贷款</v>
          </cell>
          <cell r="F2401">
            <v>37528</v>
          </cell>
          <cell r="G2401">
            <v>37893</v>
          </cell>
          <cell r="H2401">
            <v>0</v>
          </cell>
          <cell r="I2401">
            <v>20</v>
          </cell>
          <cell r="J2401">
            <v>0</v>
          </cell>
          <cell r="K2401">
            <v>0</v>
          </cell>
          <cell r="L2401">
            <v>20</v>
          </cell>
          <cell r="M2401" t="str">
            <v>东区</v>
          </cell>
        </row>
        <row r="2402">
          <cell r="B2402" t="str">
            <v>杨凡 Total</v>
          </cell>
          <cell r="L2402">
            <v>20</v>
          </cell>
        </row>
        <row r="2403">
          <cell r="A2403" t="str">
            <v>020002</v>
          </cell>
          <cell r="B2403" t="str">
            <v>杨建国</v>
          </cell>
          <cell r="C2403" t="str">
            <v>住房</v>
          </cell>
          <cell r="D2403" t="str">
            <v>其它</v>
          </cell>
          <cell r="E2403" t="str">
            <v>抵押贷款</v>
          </cell>
          <cell r="F2403">
            <v>36675</v>
          </cell>
          <cell r="G2403">
            <v>43980</v>
          </cell>
          <cell r="H2403">
            <v>0</v>
          </cell>
          <cell r="I2403">
            <v>42.75</v>
          </cell>
          <cell r="J2403">
            <v>0.12</v>
          </cell>
          <cell r="K2403">
            <v>0.81</v>
          </cell>
          <cell r="L2403">
            <v>41.94</v>
          </cell>
          <cell r="M2403" t="str">
            <v>东区</v>
          </cell>
        </row>
        <row r="2404">
          <cell r="B2404" t="str">
            <v>杨建国 Total</v>
          </cell>
          <cell r="L2404">
            <v>41.94</v>
          </cell>
        </row>
        <row r="2405">
          <cell r="A2405" t="str">
            <v>000041</v>
          </cell>
          <cell r="B2405" t="str">
            <v>杨开操</v>
          </cell>
          <cell r="C2405" t="str">
            <v>其它</v>
          </cell>
          <cell r="D2405" t="str">
            <v>其它</v>
          </cell>
          <cell r="E2405" t="str">
            <v>质押贷款</v>
          </cell>
          <cell r="F2405">
            <v>37468</v>
          </cell>
          <cell r="G2405">
            <v>37652</v>
          </cell>
          <cell r="H2405">
            <v>0</v>
          </cell>
          <cell r="I2405">
            <v>5</v>
          </cell>
          <cell r="J2405">
            <v>0</v>
          </cell>
          <cell r="K2405">
            <v>0</v>
          </cell>
          <cell r="L2405">
            <v>5</v>
          </cell>
          <cell r="M2405" t="str">
            <v>康乐</v>
          </cell>
        </row>
        <row r="2406">
          <cell r="B2406" t="str">
            <v>杨开操 Total</v>
          </cell>
          <cell r="L2406">
            <v>5</v>
          </cell>
        </row>
        <row r="2407">
          <cell r="A2407" t="str">
            <v>020029</v>
          </cell>
          <cell r="B2407" t="str">
            <v>杨平</v>
          </cell>
          <cell r="C2407" t="str">
            <v>住房</v>
          </cell>
          <cell r="D2407" t="str">
            <v>其它</v>
          </cell>
          <cell r="E2407" t="str">
            <v>抵押贷款</v>
          </cell>
          <cell r="F2407">
            <v>36844</v>
          </cell>
          <cell r="G2407">
            <v>40502</v>
          </cell>
          <cell r="H2407">
            <v>0</v>
          </cell>
          <cell r="I2407">
            <v>26.9</v>
          </cell>
          <cell r="J2407">
            <v>0.21</v>
          </cell>
          <cell r="K2407">
            <v>1.44</v>
          </cell>
          <cell r="L2407">
            <v>25.46</v>
          </cell>
          <cell r="M2407" t="str">
            <v>东区</v>
          </cell>
        </row>
        <row r="2408">
          <cell r="B2408" t="str">
            <v>杨平 Total</v>
          </cell>
          <cell r="L2408">
            <v>25.46</v>
          </cell>
        </row>
        <row r="2409">
          <cell r="A2409" t="str">
            <v>020066</v>
          </cell>
          <cell r="B2409" t="str">
            <v>杨仁川</v>
          </cell>
          <cell r="C2409" t="str">
            <v>住房</v>
          </cell>
          <cell r="D2409" t="str">
            <v>其它</v>
          </cell>
          <cell r="E2409" t="str">
            <v>抵押贷款</v>
          </cell>
          <cell r="F2409">
            <v>36614</v>
          </cell>
          <cell r="G2409">
            <v>40266</v>
          </cell>
          <cell r="H2409">
            <v>0</v>
          </cell>
          <cell r="I2409">
            <v>29.1</v>
          </cell>
          <cell r="J2409">
            <v>0.24</v>
          </cell>
          <cell r="K2409">
            <v>1.91</v>
          </cell>
          <cell r="L2409">
            <v>27.19</v>
          </cell>
          <cell r="M2409" t="str">
            <v>东区</v>
          </cell>
        </row>
        <row r="2410">
          <cell r="A2410" t="str">
            <v>020064</v>
          </cell>
          <cell r="B2410" t="str">
            <v>杨仁川</v>
          </cell>
          <cell r="C2410" t="str">
            <v>住房</v>
          </cell>
          <cell r="D2410" t="str">
            <v>其它</v>
          </cell>
          <cell r="E2410" t="str">
            <v>抵押贷款</v>
          </cell>
          <cell r="F2410">
            <v>36614</v>
          </cell>
          <cell r="G2410">
            <v>40266</v>
          </cell>
          <cell r="H2410">
            <v>0</v>
          </cell>
          <cell r="I2410">
            <v>32.520000000000003</v>
          </cell>
          <cell r="J2410">
            <v>0.27</v>
          </cell>
          <cell r="K2410">
            <v>2.14</v>
          </cell>
          <cell r="L2410">
            <v>30.38</v>
          </cell>
          <cell r="M2410" t="str">
            <v>东区</v>
          </cell>
        </row>
        <row r="2411">
          <cell r="B2411" t="str">
            <v>杨仁川 Total</v>
          </cell>
          <cell r="L2411">
            <v>57.57</v>
          </cell>
        </row>
        <row r="2412">
          <cell r="A2412" t="str">
            <v>000014</v>
          </cell>
          <cell r="B2412" t="str">
            <v>杨淑慧</v>
          </cell>
          <cell r="C2412" t="str">
            <v>其它</v>
          </cell>
          <cell r="D2412" t="str">
            <v>其它</v>
          </cell>
          <cell r="E2412" t="str">
            <v>质押贷款</v>
          </cell>
          <cell r="F2412">
            <v>37512</v>
          </cell>
          <cell r="G2412">
            <v>37693</v>
          </cell>
          <cell r="H2412">
            <v>0</v>
          </cell>
          <cell r="I2412">
            <v>2</v>
          </cell>
          <cell r="J2412">
            <v>0</v>
          </cell>
          <cell r="K2412">
            <v>0</v>
          </cell>
          <cell r="L2412">
            <v>2</v>
          </cell>
          <cell r="M2412" t="str">
            <v>思明</v>
          </cell>
        </row>
        <row r="2413">
          <cell r="B2413" t="str">
            <v>杨淑慧 Total</v>
          </cell>
          <cell r="L2413">
            <v>2</v>
          </cell>
        </row>
        <row r="2414">
          <cell r="A2414" t="str">
            <v>923z25</v>
          </cell>
          <cell r="B2414" t="str">
            <v>杨苏帆</v>
          </cell>
          <cell r="C2414" t="str">
            <v>其它</v>
          </cell>
          <cell r="D2414" t="str">
            <v>其它</v>
          </cell>
          <cell r="E2414" t="str">
            <v>信用贷款</v>
          </cell>
          <cell r="F2414">
            <v>36837</v>
          </cell>
          <cell r="G2414">
            <v>37580</v>
          </cell>
          <cell r="H2414">
            <v>0</v>
          </cell>
          <cell r="I2414">
            <v>1.04</v>
          </cell>
          <cell r="J2414">
            <v>0.13</v>
          </cell>
          <cell r="K2414">
            <v>0.91</v>
          </cell>
          <cell r="L2414">
            <v>0.13</v>
          </cell>
          <cell r="M2414" t="str">
            <v>禾祥</v>
          </cell>
        </row>
        <row r="2415">
          <cell r="B2415" t="str">
            <v>杨苏帆 Total</v>
          </cell>
          <cell r="L2415">
            <v>0.13</v>
          </cell>
        </row>
        <row r="2416">
          <cell r="A2416" t="str">
            <v>023531</v>
          </cell>
          <cell r="B2416" t="str">
            <v>杨伟群</v>
          </cell>
          <cell r="C2416" t="str">
            <v>其它</v>
          </cell>
          <cell r="D2416" t="str">
            <v>其它</v>
          </cell>
          <cell r="E2416" t="str">
            <v>保证贷款</v>
          </cell>
          <cell r="F2416">
            <v>37484</v>
          </cell>
          <cell r="G2416">
            <v>37848</v>
          </cell>
          <cell r="H2416">
            <v>0</v>
          </cell>
          <cell r="I2416">
            <v>8</v>
          </cell>
          <cell r="J2416">
            <v>0</v>
          </cell>
          <cell r="K2416">
            <v>0</v>
          </cell>
          <cell r="L2416">
            <v>8</v>
          </cell>
          <cell r="M2416" t="str">
            <v>集美</v>
          </cell>
        </row>
        <row r="2417">
          <cell r="B2417" t="str">
            <v>杨伟群 Total</v>
          </cell>
          <cell r="L2417">
            <v>8</v>
          </cell>
        </row>
        <row r="2418">
          <cell r="A2418" t="str">
            <v>G00285</v>
          </cell>
          <cell r="B2418" t="str">
            <v>杨文胜</v>
          </cell>
          <cell r="C2418" t="str">
            <v>其它</v>
          </cell>
          <cell r="D2418" t="str">
            <v>其它</v>
          </cell>
          <cell r="E2418" t="str">
            <v>信用贷款</v>
          </cell>
          <cell r="F2418">
            <v>36832</v>
          </cell>
          <cell r="G2418">
            <v>37580</v>
          </cell>
          <cell r="H2418">
            <v>0</v>
          </cell>
          <cell r="I2418">
            <v>1.04</v>
          </cell>
          <cell r="J2418">
            <v>0.13</v>
          </cell>
          <cell r="K2418">
            <v>0.91</v>
          </cell>
          <cell r="L2418">
            <v>0.13</v>
          </cell>
          <cell r="M2418" t="str">
            <v>营业</v>
          </cell>
        </row>
        <row r="2419">
          <cell r="B2419" t="str">
            <v>杨文胜 Total</v>
          </cell>
          <cell r="L2419">
            <v>0.13</v>
          </cell>
        </row>
        <row r="2420">
          <cell r="A2420" t="str">
            <v>020156</v>
          </cell>
          <cell r="B2420" t="str">
            <v>杨秀英</v>
          </cell>
          <cell r="C2420" t="str">
            <v>其它</v>
          </cell>
          <cell r="D2420" t="str">
            <v>其它</v>
          </cell>
          <cell r="E2420" t="str">
            <v>质押贷款</v>
          </cell>
          <cell r="F2420">
            <v>37434</v>
          </cell>
          <cell r="G2420">
            <v>37617</v>
          </cell>
          <cell r="H2420">
            <v>0</v>
          </cell>
          <cell r="I2420">
            <v>56</v>
          </cell>
          <cell r="J2420">
            <v>0</v>
          </cell>
          <cell r="K2420">
            <v>0</v>
          </cell>
          <cell r="L2420">
            <v>56</v>
          </cell>
          <cell r="M2420" t="str">
            <v>东区</v>
          </cell>
        </row>
        <row r="2421">
          <cell r="A2421" t="str">
            <v>020122</v>
          </cell>
          <cell r="B2421" t="str">
            <v>杨秀英</v>
          </cell>
          <cell r="C2421" t="str">
            <v>其它</v>
          </cell>
          <cell r="D2421" t="str">
            <v>其它</v>
          </cell>
          <cell r="E2421" t="str">
            <v>质押贷款</v>
          </cell>
          <cell r="F2421">
            <v>37498</v>
          </cell>
          <cell r="G2421">
            <v>37680</v>
          </cell>
          <cell r="H2421">
            <v>0</v>
          </cell>
          <cell r="I2421">
            <v>80</v>
          </cell>
          <cell r="J2421">
            <v>0</v>
          </cell>
          <cell r="K2421">
            <v>0</v>
          </cell>
          <cell r="L2421">
            <v>80</v>
          </cell>
          <cell r="M2421" t="str">
            <v>东区</v>
          </cell>
        </row>
        <row r="2422">
          <cell r="B2422" t="str">
            <v>杨秀英 Total</v>
          </cell>
          <cell r="L2422">
            <v>136</v>
          </cell>
        </row>
        <row r="2423">
          <cell r="A2423" t="str">
            <v>020112</v>
          </cell>
          <cell r="B2423" t="str">
            <v>杨玉章</v>
          </cell>
          <cell r="C2423" t="str">
            <v>其它</v>
          </cell>
          <cell r="D2423" t="str">
            <v>其它</v>
          </cell>
          <cell r="E2423" t="str">
            <v>保证贷款</v>
          </cell>
          <cell r="F2423">
            <v>37250</v>
          </cell>
          <cell r="G2423">
            <v>37615</v>
          </cell>
          <cell r="H2423">
            <v>0</v>
          </cell>
          <cell r="I2423">
            <v>15</v>
          </cell>
          <cell r="J2423">
            <v>0</v>
          </cell>
          <cell r="K2423">
            <v>0</v>
          </cell>
          <cell r="L2423">
            <v>15</v>
          </cell>
          <cell r="M2423" t="str">
            <v>东区</v>
          </cell>
        </row>
        <row r="2424">
          <cell r="B2424" t="str">
            <v>杨玉章 Total</v>
          </cell>
          <cell r="L2424">
            <v>15</v>
          </cell>
        </row>
        <row r="2425">
          <cell r="A2425" t="str">
            <v>gs0055</v>
          </cell>
          <cell r="B2425" t="str">
            <v>杨志毅</v>
          </cell>
          <cell r="C2425" t="str">
            <v>其它</v>
          </cell>
          <cell r="D2425" t="str">
            <v>其它</v>
          </cell>
          <cell r="E2425" t="str">
            <v>抵押贷款</v>
          </cell>
          <cell r="F2425">
            <v>36658</v>
          </cell>
          <cell r="G2425">
            <v>37009</v>
          </cell>
          <cell r="H2425">
            <v>0</v>
          </cell>
          <cell r="I2425">
            <v>53.4</v>
          </cell>
          <cell r="J2425">
            <v>0</v>
          </cell>
          <cell r="K2425">
            <v>0</v>
          </cell>
          <cell r="L2425">
            <v>53.4</v>
          </cell>
          <cell r="M2425" t="str">
            <v>湖里</v>
          </cell>
        </row>
        <row r="2426">
          <cell r="B2426" t="str">
            <v>杨志毅 Total</v>
          </cell>
          <cell r="L2426">
            <v>53.4</v>
          </cell>
        </row>
        <row r="2427">
          <cell r="A2427" t="str">
            <v>923x43</v>
          </cell>
          <cell r="B2427" t="str">
            <v>杨忠琪</v>
          </cell>
          <cell r="C2427" t="str">
            <v>其它</v>
          </cell>
          <cell r="D2427" t="str">
            <v>其它</v>
          </cell>
          <cell r="E2427" t="str">
            <v>质押贷款</v>
          </cell>
          <cell r="F2427">
            <v>37406</v>
          </cell>
          <cell r="G2427">
            <v>37590</v>
          </cell>
          <cell r="H2427">
            <v>0</v>
          </cell>
          <cell r="I2427">
            <v>3.18</v>
          </cell>
          <cell r="J2427">
            <v>0</v>
          </cell>
          <cell r="K2427">
            <v>0</v>
          </cell>
          <cell r="L2427">
            <v>3.18</v>
          </cell>
          <cell r="M2427" t="str">
            <v>禾祥</v>
          </cell>
        </row>
        <row r="2428">
          <cell r="B2428" t="str">
            <v>杨忠琪 Total</v>
          </cell>
          <cell r="L2428">
            <v>3.18</v>
          </cell>
        </row>
        <row r="2429">
          <cell r="A2429" t="str">
            <v>ZH0204</v>
          </cell>
          <cell r="B2429" t="str">
            <v>杨子吾</v>
          </cell>
          <cell r="C2429" t="str">
            <v>其它</v>
          </cell>
          <cell r="D2429" t="str">
            <v>其它</v>
          </cell>
          <cell r="E2429" t="str">
            <v>质押贷款</v>
          </cell>
          <cell r="F2429">
            <v>37407</v>
          </cell>
          <cell r="G2429">
            <v>37590</v>
          </cell>
          <cell r="H2429">
            <v>0</v>
          </cell>
          <cell r="I2429">
            <v>12</v>
          </cell>
          <cell r="J2429">
            <v>0</v>
          </cell>
          <cell r="K2429">
            <v>0</v>
          </cell>
          <cell r="L2429">
            <v>12</v>
          </cell>
          <cell r="M2429" t="str">
            <v>同安</v>
          </cell>
        </row>
        <row r="2430">
          <cell r="B2430" t="str">
            <v>杨子吾 Total</v>
          </cell>
          <cell r="L2430">
            <v>12</v>
          </cell>
        </row>
        <row r="2431">
          <cell r="A2431" t="str">
            <v>020192</v>
          </cell>
          <cell r="B2431" t="str">
            <v>姚秀丽</v>
          </cell>
          <cell r="C2431" t="str">
            <v>住房</v>
          </cell>
          <cell r="D2431" t="str">
            <v>其它</v>
          </cell>
          <cell r="E2431" t="str">
            <v>抵押贷款</v>
          </cell>
          <cell r="F2431">
            <v>37553</v>
          </cell>
          <cell r="G2431">
            <v>41206</v>
          </cell>
          <cell r="H2431">
            <v>25</v>
          </cell>
          <cell r="I2431">
            <v>25</v>
          </cell>
          <cell r="J2431">
            <v>0</v>
          </cell>
          <cell r="K2431">
            <v>0</v>
          </cell>
          <cell r="L2431">
            <v>25</v>
          </cell>
          <cell r="M2431" t="str">
            <v>东区</v>
          </cell>
        </row>
        <row r="2432">
          <cell r="B2432" t="str">
            <v>姚秀丽 Total</v>
          </cell>
          <cell r="L2432">
            <v>25</v>
          </cell>
        </row>
        <row r="2433">
          <cell r="A2433" t="str">
            <v>gx0073</v>
          </cell>
          <cell r="B2433" t="str">
            <v>叶剑峰</v>
          </cell>
          <cell r="C2433" t="str">
            <v>其它</v>
          </cell>
          <cell r="D2433" t="str">
            <v>其它</v>
          </cell>
          <cell r="E2433" t="str">
            <v>保证贷款</v>
          </cell>
          <cell r="F2433">
            <v>37518</v>
          </cell>
          <cell r="G2433">
            <v>38249</v>
          </cell>
          <cell r="H2433">
            <v>0</v>
          </cell>
          <cell r="I2433">
            <v>2</v>
          </cell>
          <cell r="J2433">
            <v>0</v>
          </cell>
          <cell r="K2433">
            <v>0</v>
          </cell>
          <cell r="L2433">
            <v>2</v>
          </cell>
          <cell r="M2433" t="str">
            <v>公园</v>
          </cell>
        </row>
        <row r="2434">
          <cell r="B2434" t="str">
            <v>叶剑峰 Total</v>
          </cell>
          <cell r="L2434">
            <v>2</v>
          </cell>
        </row>
        <row r="2435">
          <cell r="A2435" t="str">
            <v>020193</v>
          </cell>
          <cell r="B2435" t="str">
            <v>叶剑青</v>
          </cell>
          <cell r="C2435" t="str">
            <v>住房</v>
          </cell>
          <cell r="D2435" t="str">
            <v>其它</v>
          </cell>
          <cell r="E2435" t="str">
            <v>抵押贷款</v>
          </cell>
          <cell r="F2435">
            <v>37553</v>
          </cell>
          <cell r="G2435">
            <v>41206</v>
          </cell>
          <cell r="H2435">
            <v>33</v>
          </cell>
          <cell r="I2435">
            <v>33</v>
          </cell>
          <cell r="J2435">
            <v>0</v>
          </cell>
          <cell r="K2435">
            <v>0</v>
          </cell>
          <cell r="L2435">
            <v>33</v>
          </cell>
          <cell r="M2435" t="str">
            <v>东区</v>
          </cell>
        </row>
        <row r="2436">
          <cell r="B2436" t="str">
            <v>叶剑青 Total</v>
          </cell>
          <cell r="L2436">
            <v>33</v>
          </cell>
        </row>
        <row r="2437">
          <cell r="A2437" t="str">
            <v>020077</v>
          </cell>
          <cell r="B2437" t="str">
            <v>叶丽娟</v>
          </cell>
          <cell r="C2437" t="str">
            <v>住房</v>
          </cell>
          <cell r="D2437" t="str">
            <v>其它</v>
          </cell>
          <cell r="E2437" t="str">
            <v>抵押贷款</v>
          </cell>
          <cell r="F2437">
            <v>36614</v>
          </cell>
          <cell r="G2437">
            <v>43919</v>
          </cell>
          <cell r="H2437">
            <v>0</v>
          </cell>
          <cell r="I2437">
            <v>21.73</v>
          </cell>
          <cell r="J2437">
            <v>0.06</v>
          </cell>
          <cell r="K2437">
            <v>0.42</v>
          </cell>
          <cell r="L2437">
            <v>21.31</v>
          </cell>
          <cell r="M2437" t="str">
            <v>东区</v>
          </cell>
        </row>
        <row r="2438">
          <cell r="B2438" t="str">
            <v>叶丽娟 Total</v>
          </cell>
          <cell r="L2438">
            <v>21.31</v>
          </cell>
        </row>
        <row r="2439">
          <cell r="A2439" t="str">
            <v>TGX007</v>
          </cell>
          <cell r="B2439" t="str">
            <v>叶乃恭</v>
          </cell>
          <cell r="C2439" t="str">
            <v>其它</v>
          </cell>
          <cell r="D2439" t="str">
            <v>其它</v>
          </cell>
          <cell r="E2439" t="str">
            <v>信用贷款</v>
          </cell>
          <cell r="F2439">
            <v>36784</v>
          </cell>
          <cell r="G2439">
            <v>37519</v>
          </cell>
          <cell r="H2439">
            <v>0</v>
          </cell>
          <cell r="I2439">
            <v>0.91</v>
          </cell>
          <cell r="J2439">
            <v>-0.4</v>
          </cell>
          <cell r="K2439">
            <v>0.38</v>
          </cell>
          <cell r="L2439">
            <v>0.53</v>
          </cell>
          <cell r="M2439" t="str">
            <v>同安</v>
          </cell>
        </row>
        <row r="2440">
          <cell r="B2440" t="str">
            <v>叶乃恭 Total</v>
          </cell>
          <cell r="L2440">
            <v>0.53</v>
          </cell>
        </row>
        <row r="2441">
          <cell r="A2441" t="str">
            <v>GX0135</v>
          </cell>
          <cell r="B2441" t="str">
            <v>叶榕坤</v>
          </cell>
          <cell r="C2441" t="str">
            <v>其它</v>
          </cell>
          <cell r="D2441" t="str">
            <v>其它</v>
          </cell>
          <cell r="E2441" t="str">
            <v>保证贷款</v>
          </cell>
          <cell r="F2441">
            <v>37210</v>
          </cell>
          <cell r="G2441">
            <v>37945</v>
          </cell>
          <cell r="H2441">
            <v>0</v>
          </cell>
          <cell r="I2441">
            <v>2.52</v>
          </cell>
          <cell r="J2441">
            <v>0.12</v>
          </cell>
          <cell r="K2441">
            <v>0.85</v>
          </cell>
          <cell r="L2441">
            <v>1.67</v>
          </cell>
          <cell r="M2441" t="str">
            <v>同安</v>
          </cell>
        </row>
        <row r="2442">
          <cell r="B2442" t="str">
            <v>叶榕坤 Total</v>
          </cell>
          <cell r="L2442">
            <v>1.67</v>
          </cell>
        </row>
        <row r="2443">
          <cell r="A2443" t="str">
            <v>G02068</v>
          </cell>
          <cell r="B2443" t="str">
            <v>叶小虹</v>
          </cell>
          <cell r="C2443" t="str">
            <v>其它</v>
          </cell>
          <cell r="D2443" t="str">
            <v>其它</v>
          </cell>
          <cell r="E2443" t="str">
            <v>保证贷款</v>
          </cell>
          <cell r="F2443">
            <v>37468</v>
          </cell>
          <cell r="G2443">
            <v>37833</v>
          </cell>
          <cell r="H2443">
            <v>0</v>
          </cell>
          <cell r="I2443">
            <v>50</v>
          </cell>
          <cell r="J2443">
            <v>0</v>
          </cell>
          <cell r="K2443">
            <v>0</v>
          </cell>
          <cell r="L2443">
            <v>50</v>
          </cell>
          <cell r="M2443" t="str">
            <v>营业</v>
          </cell>
        </row>
        <row r="2444">
          <cell r="B2444" t="str">
            <v>叶小虹 Total</v>
          </cell>
          <cell r="L2444">
            <v>50</v>
          </cell>
        </row>
        <row r="2445">
          <cell r="A2445" t="str">
            <v>070069</v>
          </cell>
          <cell r="B2445" t="str">
            <v>一民建工程公司</v>
          </cell>
          <cell r="C2445" t="str">
            <v>集体</v>
          </cell>
          <cell r="D2445" t="str">
            <v>其它</v>
          </cell>
          <cell r="E2445" t="str">
            <v>保证贷款</v>
          </cell>
          <cell r="F2445">
            <v>37498</v>
          </cell>
          <cell r="G2445">
            <v>37863</v>
          </cell>
          <cell r="H2445">
            <v>0</v>
          </cell>
          <cell r="I2445">
            <v>400</v>
          </cell>
          <cell r="J2445">
            <v>0</v>
          </cell>
          <cell r="K2445">
            <v>0</v>
          </cell>
          <cell r="L2445">
            <v>400</v>
          </cell>
          <cell r="M2445" t="str">
            <v>公园</v>
          </cell>
        </row>
        <row r="2446">
          <cell r="B2446" t="str">
            <v>一民建工程公司 Total</v>
          </cell>
          <cell r="L2446">
            <v>400</v>
          </cell>
        </row>
        <row r="2447">
          <cell r="A2447" t="str">
            <v>002108</v>
          </cell>
          <cell r="B2447" t="str">
            <v>一汽</v>
          </cell>
          <cell r="C2447" t="str">
            <v>国营</v>
          </cell>
          <cell r="D2447" t="str">
            <v>商贸</v>
          </cell>
          <cell r="E2447" t="str">
            <v>保证贷款</v>
          </cell>
          <cell r="F2447">
            <v>35580</v>
          </cell>
          <cell r="G2447">
            <v>35825</v>
          </cell>
          <cell r="H2447">
            <v>0</v>
          </cell>
          <cell r="I2447">
            <v>0</v>
          </cell>
          <cell r="J2447">
            <v>0</v>
          </cell>
          <cell r="K2447">
            <v>0</v>
          </cell>
          <cell r="L2447">
            <v>120.7</v>
          </cell>
          <cell r="M2447" t="str">
            <v>文滨</v>
          </cell>
        </row>
        <row r="2448">
          <cell r="B2448" t="str">
            <v>一汽 Total</v>
          </cell>
          <cell r="L2448">
            <v>120.7</v>
          </cell>
        </row>
        <row r="2449">
          <cell r="A2449" t="str">
            <v>250750</v>
          </cell>
          <cell r="B2449" t="str">
            <v>宜兴利通电子器件厂</v>
          </cell>
          <cell r="C2449" t="str">
            <v>集体</v>
          </cell>
          <cell r="D2449" t="str">
            <v>工业</v>
          </cell>
          <cell r="E2449" t="str">
            <v>票据贴现</v>
          </cell>
          <cell r="F2449">
            <v>37440</v>
          </cell>
          <cell r="G2449">
            <v>37623</v>
          </cell>
          <cell r="H2449">
            <v>0</v>
          </cell>
          <cell r="I2449">
            <v>45</v>
          </cell>
          <cell r="J2449">
            <v>0</v>
          </cell>
          <cell r="K2449">
            <v>0</v>
          </cell>
          <cell r="L2449">
            <v>45</v>
          </cell>
          <cell r="M2449" t="str">
            <v>湖里</v>
          </cell>
        </row>
        <row r="2450">
          <cell r="B2450" t="str">
            <v>宜兴利通电子器件厂 Total</v>
          </cell>
          <cell r="L2450">
            <v>45</v>
          </cell>
        </row>
        <row r="2451">
          <cell r="A2451" t="str">
            <v>22316</v>
          </cell>
          <cell r="B2451" t="str">
            <v>亿佳基科技有限公司</v>
          </cell>
          <cell r="C2451" t="str">
            <v>集体</v>
          </cell>
          <cell r="D2451" t="str">
            <v>商贸</v>
          </cell>
          <cell r="E2451" t="str">
            <v>票据贴现</v>
          </cell>
          <cell r="F2451">
            <v>37432</v>
          </cell>
          <cell r="G2451">
            <v>37602</v>
          </cell>
          <cell r="H2451">
            <v>0</v>
          </cell>
          <cell r="I2451">
            <v>30</v>
          </cell>
          <cell r="J2451">
            <v>0</v>
          </cell>
          <cell r="K2451">
            <v>0</v>
          </cell>
          <cell r="L2451">
            <v>30</v>
          </cell>
          <cell r="M2451" t="str">
            <v>江头</v>
          </cell>
        </row>
        <row r="2452">
          <cell r="B2452" t="str">
            <v>亿佳基科技有限公司 Total</v>
          </cell>
          <cell r="L2452">
            <v>30</v>
          </cell>
        </row>
        <row r="2453">
          <cell r="A2453" t="str">
            <v>217029</v>
          </cell>
          <cell r="B2453" t="str">
            <v>益业土特产综合加工厂</v>
          </cell>
          <cell r="C2453" t="str">
            <v>集体</v>
          </cell>
          <cell r="D2453" t="str">
            <v>工业</v>
          </cell>
          <cell r="E2453" t="str">
            <v>保证贷款</v>
          </cell>
          <cell r="F2453">
            <v>35459</v>
          </cell>
          <cell r="G2453">
            <v>35763</v>
          </cell>
          <cell r="H2453">
            <v>0</v>
          </cell>
          <cell r="I2453">
            <v>0</v>
          </cell>
          <cell r="J2453">
            <v>0</v>
          </cell>
          <cell r="K2453">
            <v>0</v>
          </cell>
          <cell r="L2453">
            <v>200</v>
          </cell>
          <cell r="M2453" t="str">
            <v>同安</v>
          </cell>
        </row>
        <row r="2454">
          <cell r="B2454" t="str">
            <v>益业土特产综合加工厂 Total</v>
          </cell>
          <cell r="L2454">
            <v>200</v>
          </cell>
        </row>
        <row r="2455">
          <cell r="A2455" t="str">
            <v>020164</v>
          </cell>
          <cell r="B2455" t="str">
            <v>殷玉成</v>
          </cell>
          <cell r="C2455" t="str">
            <v>其它</v>
          </cell>
          <cell r="D2455" t="str">
            <v>其它</v>
          </cell>
          <cell r="E2455" t="str">
            <v>保证贷款</v>
          </cell>
          <cell r="F2455">
            <v>37473</v>
          </cell>
          <cell r="G2455">
            <v>37838</v>
          </cell>
          <cell r="H2455">
            <v>0</v>
          </cell>
          <cell r="I2455">
            <v>10</v>
          </cell>
          <cell r="J2455">
            <v>0</v>
          </cell>
          <cell r="K2455">
            <v>0</v>
          </cell>
          <cell r="L2455">
            <v>10</v>
          </cell>
          <cell r="M2455" t="str">
            <v>东区</v>
          </cell>
        </row>
        <row r="2456">
          <cell r="B2456" t="str">
            <v>殷玉成 Total</v>
          </cell>
          <cell r="L2456">
            <v>10</v>
          </cell>
        </row>
        <row r="2457">
          <cell r="A2457" t="str">
            <v>118066</v>
          </cell>
          <cell r="B2457" t="str">
            <v>银城股份有限公司</v>
          </cell>
          <cell r="C2457" t="str">
            <v>国营</v>
          </cell>
          <cell r="D2457" t="str">
            <v>工业</v>
          </cell>
          <cell r="E2457" t="str">
            <v>保证贷款</v>
          </cell>
          <cell r="F2457">
            <v>36047</v>
          </cell>
          <cell r="G2457">
            <v>36243</v>
          </cell>
          <cell r="H2457">
            <v>0</v>
          </cell>
          <cell r="I2457">
            <v>0</v>
          </cell>
          <cell r="J2457">
            <v>0</v>
          </cell>
          <cell r="K2457">
            <v>159.81</v>
          </cell>
          <cell r="L2457">
            <v>290.19</v>
          </cell>
          <cell r="M2457" t="str">
            <v>同安</v>
          </cell>
        </row>
        <row r="2458">
          <cell r="A2458" t="str">
            <v>118023</v>
          </cell>
          <cell r="B2458" t="str">
            <v>银城股份有限公司</v>
          </cell>
          <cell r="C2458" t="str">
            <v>国营</v>
          </cell>
          <cell r="D2458" t="str">
            <v>工业</v>
          </cell>
          <cell r="E2458" t="str">
            <v>保证贷款</v>
          </cell>
          <cell r="F2458">
            <v>35872</v>
          </cell>
          <cell r="G2458">
            <v>36086</v>
          </cell>
          <cell r="H2458">
            <v>0</v>
          </cell>
          <cell r="I2458">
            <v>0</v>
          </cell>
          <cell r="J2458">
            <v>0</v>
          </cell>
          <cell r="K2458">
            <v>159.81</v>
          </cell>
          <cell r="L2458">
            <v>290.19</v>
          </cell>
          <cell r="M2458" t="str">
            <v>同安</v>
          </cell>
        </row>
        <row r="2459">
          <cell r="B2459" t="str">
            <v>银城股份有限公司 Total</v>
          </cell>
          <cell r="L2459">
            <v>580.38</v>
          </cell>
        </row>
        <row r="2460">
          <cell r="A2460" t="str">
            <v>22313</v>
          </cell>
          <cell r="B2460" t="str">
            <v>银池资产管理有限公司</v>
          </cell>
          <cell r="C2460" t="str">
            <v>集体</v>
          </cell>
          <cell r="D2460" t="str">
            <v>商贸</v>
          </cell>
          <cell r="E2460" t="str">
            <v>保证贷款</v>
          </cell>
          <cell r="F2460">
            <v>37434</v>
          </cell>
          <cell r="G2460">
            <v>37799</v>
          </cell>
          <cell r="H2460">
            <v>0</v>
          </cell>
          <cell r="I2460">
            <v>1500</v>
          </cell>
          <cell r="J2460">
            <v>0</v>
          </cell>
          <cell r="K2460">
            <v>0</v>
          </cell>
          <cell r="L2460">
            <v>1500</v>
          </cell>
          <cell r="M2460" t="str">
            <v>江头</v>
          </cell>
        </row>
        <row r="2461">
          <cell r="A2461" t="str">
            <v>22314</v>
          </cell>
          <cell r="B2461" t="str">
            <v>银池资产管理有限公司</v>
          </cell>
          <cell r="C2461" t="str">
            <v>集体</v>
          </cell>
          <cell r="D2461" t="str">
            <v>商贸</v>
          </cell>
          <cell r="E2461" t="str">
            <v>保证贷款</v>
          </cell>
          <cell r="F2461">
            <v>37435</v>
          </cell>
          <cell r="G2461">
            <v>37800</v>
          </cell>
          <cell r="H2461">
            <v>0</v>
          </cell>
          <cell r="I2461">
            <v>1500</v>
          </cell>
          <cell r="J2461">
            <v>0</v>
          </cell>
          <cell r="K2461">
            <v>0</v>
          </cell>
          <cell r="L2461">
            <v>1500</v>
          </cell>
          <cell r="M2461" t="str">
            <v>江头</v>
          </cell>
        </row>
        <row r="2462">
          <cell r="B2462" t="str">
            <v>银池资产管理有限公司 Total</v>
          </cell>
          <cell r="L2462">
            <v>3000</v>
          </cell>
        </row>
        <row r="2463">
          <cell r="A2463" t="str">
            <v>237161</v>
          </cell>
          <cell r="B2463" t="str">
            <v>银东汽运公司</v>
          </cell>
          <cell r="C2463" t="str">
            <v>集体</v>
          </cell>
          <cell r="D2463" t="str">
            <v>其它</v>
          </cell>
          <cell r="E2463" t="str">
            <v>抵押贷款</v>
          </cell>
          <cell r="F2463">
            <v>35579</v>
          </cell>
          <cell r="G2463">
            <v>35793</v>
          </cell>
          <cell r="H2463">
            <v>0</v>
          </cell>
          <cell r="I2463">
            <v>0</v>
          </cell>
          <cell r="J2463">
            <v>0</v>
          </cell>
          <cell r="K2463">
            <v>0</v>
          </cell>
          <cell r="L2463">
            <v>50</v>
          </cell>
          <cell r="M2463" t="str">
            <v>同安</v>
          </cell>
        </row>
        <row r="2464">
          <cell r="B2464" t="str">
            <v>银东汽运公司 Total</v>
          </cell>
          <cell r="L2464">
            <v>50</v>
          </cell>
        </row>
        <row r="2465">
          <cell r="A2465" t="str">
            <v>235175</v>
          </cell>
          <cell r="B2465" t="str">
            <v>银建建筑经营部</v>
          </cell>
          <cell r="C2465" t="str">
            <v>集体</v>
          </cell>
          <cell r="D2465" t="str">
            <v>其它</v>
          </cell>
          <cell r="E2465" t="str">
            <v>保证贷款</v>
          </cell>
          <cell r="F2465">
            <v>34691</v>
          </cell>
          <cell r="G2465">
            <v>34903</v>
          </cell>
          <cell r="H2465">
            <v>0</v>
          </cell>
          <cell r="I2465">
            <v>0</v>
          </cell>
          <cell r="J2465">
            <v>0</v>
          </cell>
          <cell r="K2465">
            <v>0</v>
          </cell>
          <cell r="L2465">
            <v>20</v>
          </cell>
          <cell r="M2465" t="str">
            <v>同安</v>
          </cell>
        </row>
        <row r="2466">
          <cell r="B2466" t="str">
            <v>银建建筑经营部 Total</v>
          </cell>
          <cell r="L2466">
            <v>20</v>
          </cell>
        </row>
        <row r="2467">
          <cell r="A2467" t="str">
            <v>117158</v>
          </cell>
          <cell r="B2467" t="str">
            <v>银盛海藻联合加工厂</v>
          </cell>
          <cell r="C2467" t="str">
            <v>国营</v>
          </cell>
          <cell r="D2467" t="str">
            <v>商贸</v>
          </cell>
          <cell r="E2467" t="str">
            <v>保证贷款</v>
          </cell>
          <cell r="F2467">
            <v>35580</v>
          </cell>
          <cell r="G2467">
            <v>35855</v>
          </cell>
          <cell r="H2467">
            <v>0</v>
          </cell>
          <cell r="I2467">
            <v>0</v>
          </cell>
          <cell r="J2467">
            <v>0</v>
          </cell>
          <cell r="K2467">
            <v>0</v>
          </cell>
          <cell r="L2467">
            <v>52.8</v>
          </cell>
          <cell r="M2467" t="str">
            <v>同安</v>
          </cell>
        </row>
        <row r="2468">
          <cell r="A2468" t="str">
            <v>117265</v>
          </cell>
          <cell r="B2468" t="str">
            <v>银盛海藻联合加工厂</v>
          </cell>
          <cell r="C2468" t="str">
            <v>国营</v>
          </cell>
          <cell r="D2468" t="str">
            <v>商贸</v>
          </cell>
          <cell r="E2468" t="str">
            <v>保证贷款</v>
          </cell>
          <cell r="F2468">
            <v>35671</v>
          </cell>
          <cell r="G2468">
            <v>35917</v>
          </cell>
          <cell r="H2468">
            <v>0</v>
          </cell>
          <cell r="I2468">
            <v>0</v>
          </cell>
          <cell r="J2468">
            <v>0</v>
          </cell>
          <cell r="K2468">
            <v>0</v>
          </cell>
          <cell r="L2468">
            <v>130</v>
          </cell>
          <cell r="M2468" t="str">
            <v>同安</v>
          </cell>
        </row>
        <row r="2469">
          <cell r="B2469" t="str">
            <v>银盛海藻联合加工厂 Total</v>
          </cell>
          <cell r="L2469">
            <v>182.8</v>
          </cell>
        </row>
        <row r="2470">
          <cell r="A2470" t="str">
            <v>217168</v>
          </cell>
          <cell r="B2470" t="str">
            <v>银塘印刷厂</v>
          </cell>
          <cell r="C2470" t="str">
            <v>集体</v>
          </cell>
          <cell r="D2470" t="str">
            <v>工业</v>
          </cell>
          <cell r="E2470" t="str">
            <v>保证贷款</v>
          </cell>
          <cell r="F2470">
            <v>35587</v>
          </cell>
          <cell r="G2470">
            <v>35891</v>
          </cell>
          <cell r="H2470">
            <v>0</v>
          </cell>
          <cell r="I2470">
            <v>0</v>
          </cell>
          <cell r="J2470">
            <v>0</v>
          </cell>
          <cell r="K2470">
            <v>0</v>
          </cell>
          <cell r="L2470">
            <v>100</v>
          </cell>
          <cell r="M2470" t="str">
            <v>同安</v>
          </cell>
        </row>
        <row r="2471">
          <cell r="A2471" t="str">
            <v>217147</v>
          </cell>
          <cell r="B2471" t="str">
            <v>银塘印刷厂</v>
          </cell>
          <cell r="C2471" t="str">
            <v>集体</v>
          </cell>
          <cell r="D2471" t="str">
            <v>工业</v>
          </cell>
          <cell r="E2471" t="str">
            <v>保证贷款</v>
          </cell>
          <cell r="F2471">
            <v>35558</v>
          </cell>
          <cell r="G2471">
            <v>35834</v>
          </cell>
          <cell r="H2471">
            <v>0</v>
          </cell>
          <cell r="I2471">
            <v>0</v>
          </cell>
          <cell r="J2471">
            <v>0</v>
          </cell>
          <cell r="K2471">
            <v>0</v>
          </cell>
          <cell r="L2471">
            <v>195</v>
          </cell>
          <cell r="M2471" t="str">
            <v>同安</v>
          </cell>
        </row>
        <row r="2472">
          <cell r="B2472" t="str">
            <v>银塘印刷厂 Total</v>
          </cell>
          <cell r="L2472">
            <v>295</v>
          </cell>
        </row>
        <row r="2473">
          <cell r="A2473" t="str">
            <v>B97044</v>
          </cell>
          <cell r="B2473" t="str">
            <v>银朱香厂</v>
          </cell>
          <cell r="C2473" t="str">
            <v>集体</v>
          </cell>
          <cell r="D2473" t="str">
            <v>工业</v>
          </cell>
          <cell r="E2473" t="str">
            <v>保证贷款</v>
          </cell>
          <cell r="F2473">
            <v>35466</v>
          </cell>
          <cell r="G2473">
            <v>35678</v>
          </cell>
          <cell r="H2473">
            <v>0</v>
          </cell>
          <cell r="I2473">
            <v>0</v>
          </cell>
          <cell r="J2473">
            <v>0</v>
          </cell>
          <cell r="K2473">
            <v>0</v>
          </cell>
          <cell r="L2473">
            <v>20</v>
          </cell>
          <cell r="M2473" t="str">
            <v>马巷</v>
          </cell>
        </row>
        <row r="2474">
          <cell r="B2474" t="str">
            <v>银朱香厂 Total</v>
          </cell>
          <cell r="L2474">
            <v>20</v>
          </cell>
        </row>
        <row r="2475">
          <cell r="A2475" t="str">
            <v>t02118</v>
          </cell>
          <cell r="B2475" t="str">
            <v>英特东山</v>
          </cell>
          <cell r="C2475" t="str">
            <v>三资</v>
          </cell>
          <cell r="D2475" t="str">
            <v>工业</v>
          </cell>
          <cell r="E2475" t="str">
            <v>票据贴现</v>
          </cell>
          <cell r="F2475">
            <v>37554</v>
          </cell>
          <cell r="G2475">
            <v>37734</v>
          </cell>
          <cell r="H2475">
            <v>40</v>
          </cell>
          <cell r="I2475">
            <v>40</v>
          </cell>
          <cell r="J2475">
            <v>0</v>
          </cell>
          <cell r="K2475">
            <v>0</v>
          </cell>
          <cell r="L2475">
            <v>40</v>
          </cell>
          <cell r="M2475" t="str">
            <v>文滨</v>
          </cell>
        </row>
        <row r="2476">
          <cell r="B2476" t="str">
            <v>英特东山 Total</v>
          </cell>
          <cell r="L2476">
            <v>40</v>
          </cell>
        </row>
        <row r="2477">
          <cell r="A2477" t="str">
            <v>M02008</v>
          </cell>
          <cell r="B2477" t="str">
            <v>英兴通有限公司</v>
          </cell>
          <cell r="C2477" t="str">
            <v>三资</v>
          </cell>
          <cell r="D2477" t="str">
            <v>工业</v>
          </cell>
          <cell r="E2477" t="str">
            <v>保证贷款</v>
          </cell>
          <cell r="F2477">
            <v>37487</v>
          </cell>
          <cell r="G2477">
            <v>37699</v>
          </cell>
          <cell r="H2477">
            <v>0</v>
          </cell>
          <cell r="I2477">
            <v>260</v>
          </cell>
          <cell r="J2477">
            <v>0</v>
          </cell>
          <cell r="K2477">
            <v>0</v>
          </cell>
          <cell r="L2477">
            <v>260</v>
          </cell>
          <cell r="M2477" t="str">
            <v>马巷</v>
          </cell>
        </row>
        <row r="2478">
          <cell r="B2478" t="str">
            <v>英兴通有限公司 Total</v>
          </cell>
          <cell r="L2478">
            <v>260</v>
          </cell>
        </row>
        <row r="2479">
          <cell r="A2479" t="str">
            <v>000066</v>
          </cell>
          <cell r="B2479" t="str">
            <v>瀛海</v>
          </cell>
          <cell r="C2479" t="str">
            <v>其它</v>
          </cell>
          <cell r="D2479" t="str">
            <v>商贸</v>
          </cell>
          <cell r="E2479" t="str">
            <v>抵押贷款</v>
          </cell>
          <cell r="F2479">
            <v>37342</v>
          </cell>
          <cell r="G2479">
            <v>38071</v>
          </cell>
          <cell r="H2479">
            <v>0</v>
          </cell>
          <cell r="I2479">
            <v>16</v>
          </cell>
          <cell r="J2479">
            <v>0.65</v>
          </cell>
          <cell r="K2479">
            <v>4.45</v>
          </cell>
          <cell r="L2479">
            <v>11.55</v>
          </cell>
          <cell r="M2479" t="str">
            <v>康乐</v>
          </cell>
        </row>
        <row r="2480">
          <cell r="A2480" t="str">
            <v>000073</v>
          </cell>
          <cell r="B2480" t="str">
            <v>瀛海</v>
          </cell>
          <cell r="C2480" t="str">
            <v>其它</v>
          </cell>
          <cell r="D2480" t="str">
            <v>商贸</v>
          </cell>
          <cell r="E2480" t="str">
            <v>抵押贷款</v>
          </cell>
          <cell r="F2480">
            <v>37376</v>
          </cell>
          <cell r="G2480">
            <v>38106</v>
          </cell>
          <cell r="H2480">
            <v>0</v>
          </cell>
          <cell r="I2480">
            <v>15.6</v>
          </cell>
          <cell r="J2480">
            <v>0.63</v>
          </cell>
          <cell r="K2480">
            <v>3.71</v>
          </cell>
          <cell r="L2480">
            <v>11.89</v>
          </cell>
          <cell r="M2480" t="str">
            <v>康乐</v>
          </cell>
        </row>
        <row r="2481">
          <cell r="A2481" t="str">
            <v>000082</v>
          </cell>
          <cell r="B2481" t="str">
            <v>瀛海</v>
          </cell>
          <cell r="C2481" t="str">
            <v>其它</v>
          </cell>
          <cell r="D2481" t="str">
            <v>商贸</v>
          </cell>
          <cell r="E2481" t="str">
            <v>抵押贷款</v>
          </cell>
          <cell r="F2481">
            <v>37393</v>
          </cell>
          <cell r="G2481">
            <v>38107</v>
          </cell>
          <cell r="H2481">
            <v>0</v>
          </cell>
          <cell r="I2481">
            <v>32.799999999999997</v>
          </cell>
          <cell r="J2481">
            <v>1.37</v>
          </cell>
          <cell r="K2481">
            <v>6.78</v>
          </cell>
          <cell r="L2481">
            <v>26.02</v>
          </cell>
          <cell r="M2481" t="str">
            <v>康乐</v>
          </cell>
        </row>
        <row r="2482">
          <cell r="B2482" t="str">
            <v>瀛海 Total</v>
          </cell>
          <cell r="L2482">
            <v>49.46</v>
          </cell>
        </row>
        <row r="2483">
          <cell r="A2483" t="str">
            <v>T02063</v>
          </cell>
          <cell r="B2483" t="str">
            <v>涌泉集团</v>
          </cell>
          <cell r="C2483" t="str">
            <v>集体</v>
          </cell>
          <cell r="D2483" t="str">
            <v>商贸</v>
          </cell>
          <cell r="E2483" t="str">
            <v>票据贴现</v>
          </cell>
          <cell r="F2483">
            <v>37547</v>
          </cell>
          <cell r="G2483">
            <v>37590</v>
          </cell>
          <cell r="H2483">
            <v>10</v>
          </cell>
          <cell r="I2483">
            <v>10</v>
          </cell>
          <cell r="J2483">
            <v>0</v>
          </cell>
          <cell r="K2483">
            <v>0</v>
          </cell>
          <cell r="L2483">
            <v>10</v>
          </cell>
          <cell r="M2483" t="str">
            <v>营业</v>
          </cell>
        </row>
        <row r="2484">
          <cell r="A2484" t="str">
            <v>T02062</v>
          </cell>
          <cell r="B2484" t="str">
            <v>涌泉集团</v>
          </cell>
          <cell r="C2484" t="str">
            <v>集体</v>
          </cell>
          <cell r="D2484" t="str">
            <v>商贸</v>
          </cell>
          <cell r="E2484" t="str">
            <v>票据贴现</v>
          </cell>
          <cell r="F2484">
            <v>37547</v>
          </cell>
          <cell r="G2484">
            <v>37587</v>
          </cell>
          <cell r="H2484">
            <v>20</v>
          </cell>
          <cell r="I2484">
            <v>20</v>
          </cell>
          <cell r="J2484">
            <v>0</v>
          </cell>
          <cell r="K2484">
            <v>0</v>
          </cell>
          <cell r="L2484">
            <v>20</v>
          </cell>
          <cell r="M2484" t="str">
            <v>营业</v>
          </cell>
        </row>
        <row r="2485">
          <cell r="A2485" t="str">
            <v>02-062</v>
          </cell>
          <cell r="B2485" t="str">
            <v>涌泉集团</v>
          </cell>
          <cell r="C2485" t="str">
            <v>集体</v>
          </cell>
          <cell r="D2485" t="str">
            <v>商贸</v>
          </cell>
          <cell r="E2485" t="str">
            <v>保证贷款</v>
          </cell>
          <cell r="F2485">
            <v>37522</v>
          </cell>
          <cell r="G2485">
            <v>37644</v>
          </cell>
          <cell r="H2485">
            <v>0</v>
          </cell>
          <cell r="I2485">
            <v>280</v>
          </cell>
          <cell r="J2485">
            <v>115.39</v>
          </cell>
          <cell r="K2485">
            <v>115.39</v>
          </cell>
          <cell r="L2485">
            <v>164.61</v>
          </cell>
          <cell r="M2485" t="str">
            <v>营业</v>
          </cell>
        </row>
        <row r="2486">
          <cell r="B2486" t="str">
            <v>涌泉集团 Total</v>
          </cell>
          <cell r="L2486">
            <v>194.61</v>
          </cell>
        </row>
        <row r="2487">
          <cell r="A2487" t="str">
            <v>200090</v>
          </cell>
          <cell r="B2487" t="str">
            <v>邮电纵横股份有限公司</v>
          </cell>
          <cell r="C2487" t="str">
            <v>国营</v>
          </cell>
          <cell r="D2487" t="str">
            <v>其它</v>
          </cell>
          <cell r="E2487" t="str">
            <v>抵押贷款</v>
          </cell>
          <cell r="F2487">
            <v>36886</v>
          </cell>
          <cell r="G2487">
            <v>37616</v>
          </cell>
          <cell r="H2487">
            <v>0</v>
          </cell>
          <cell r="I2487">
            <v>0</v>
          </cell>
          <cell r="J2487">
            <v>0</v>
          </cell>
          <cell r="K2487">
            <v>0</v>
          </cell>
          <cell r="L2487">
            <v>2700</v>
          </cell>
          <cell r="M2487" t="str">
            <v>营业</v>
          </cell>
        </row>
        <row r="2488">
          <cell r="B2488" t="str">
            <v>邮电纵横股份有限公司 Total</v>
          </cell>
          <cell r="L2488">
            <v>2700</v>
          </cell>
        </row>
        <row r="2489">
          <cell r="A2489" t="str">
            <v>070031</v>
          </cell>
          <cell r="B2489" t="str">
            <v>邮电纵横集团有限公司</v>
          </cell>
          <cell r="C2489" t="str">
            <v>国营</v>
          </cell>
          <cell r="D2489" t="str">
            <v>商贸</v>
          </cell>
          <cell r="E2489" t="str">
            <v>保证贷款</v>
          </cell>
          <cell r="F2489">
            <v>37344</v>
          </cell>
          <cell r="G2489">
            <v>37709</v>
          </cell>
          <cell r="H2489">
            <v>0</v>
          </cell>
          <cell r="I2489">
            <v>2000</v>
          </cell>
          <cell r="J2489">
            <v>0</v>
          </cell>
          <cell r="K2489">
            <v>0</v>
          </cell>
          <cell r="L2489">
            <v>2000</v>
          </cell>
          <cell r="M2489" t="str">
            <v>公园</v>
          </cell>
        </row>
        <row r="2490">
          <cell r="B2490" t="str">
            <v>邮电纵横集团有限公司 Total</v>
          </cell>
          <cell r="L2490">
            <v>2000</v>
          </cell>
        </row>
        <row r="2491">
          <cell r="A2491" t="str">
            <v>00004</v>
          </cell>
          <cell r="B2491" t="str">
            <v>友谊商场有限公司</v>
          </cell>
          <cell r="C2491" t="str">
            <v>国营</v>
          </cell>
          <cell r="D2491" t="str">
            <v>商贸</v>
          </cell>
          <cell r="E2491" t="str">
            <v>抵押贷款</v>
          </cell>
          <cell r="F2491">
            <v>36747</v>
          </cell>
          <cell r="G2491">
            <v>37778</v>
          </cell>
          <cell r="H2491">
            <v>0</v>
          </cell>
          <cell r="I2491">
            <v>0</v>
          </cell>
          <cell r="J2491">
            <v>0</v>
          </cell>
          <cell r="K2491">
            <v>0</v>
          </cell>
          <cell r="L2491">
            <v>700</v>
          </cell>
          <cell r="M2491" t="str">
            <v>文滨</v>
          </cell>
        </row>
        <row r="2492">
          <cell r="A2492" t="str">
            <v>99中01</v>
          </cell>
          <cell r="B2492" t="str">
            <v>友谊商场有限公司</v>
          </cell>
          <cell r="C2492" t="str">
            <v>国营</v>
          </cell>
          <cell r="D2492" t="str">
            <v>商贸</v>
          </cell>
          <cell r="E2492" t="str">
            <v>保证贷款</v>
          </cell>
          <cell r="F2492">
            <v>36516</v>
          </cell>
          <cell r="G2492">
            <v>37612</v>
          </cell>
          <cell r="H2492">
            <v>0</v>
          </cell>
          <cell r="I2492">
            <v>0</v>
          </cell>
          <cell r="J2492">
            <v>0</v>
          </cell>
          <cell r="K2492">
            <v>0</v>
          </cell>
          <cell r="L2492">
            <v>1800</v>
          </cell>
          <cell r="M2492" t="str">
            <v>文滨</v>
          </cell>
        </row>
        <row r="2493">
          <cell r="B2493" t="str">
            <v>友谊商场有限公司 Total</v>
          </cell>
          <cell r="L2493">
            <v>2500</v>
          </cell>
        </row>
        <row r="2494">
          <cell r="A2494" t="str">
            <v>020006</v>
          </cell>
          <cell r="B2494" t="str">
            <v>于力</v>
          </cell>
          <cell r="C2494" t="str">
            <v>住房</v>
          </cell>
          <cell r="D2494" t="str">
            <v>其它</v>
          </cell>
          <cell r="E2494" t="str">
            <v>抵押贷款</v>
          </cell>
          <cell r="F2494">
            <v>36718</v>
          </cell>
          <cell r="G2494">
            <v>44023</v>
          </cell>
          <cell r="H2494">
            <v>0</v>
          </cell>
          <cell r="I2494">
            <v>41.91</v>
          </cell>
          <cell r="J2494">
            <v>0.11</v>
          </cell>
          <cell r="K2494">
            <v>0.77</v>
          </cell>
          <cell r="L2494">
            <v>41.14</v>
          </cell>
          <cell r="M2494" t="str">
            <v>东区</v>
          </cell>
        </row>
        <row r="2495">
          <cell r="B2495" t="str">
            <v>于力 Total</v>
          </cell>
          <cell r="L2495">
            <v>41.14</v>
          </cell>
        </row>
        <row r="2496">
          <cell r="A2496" t="str">
            <v>9904ga</v>
          </cell>
          <cell r="B2496" t="str">
            <v>于南玲</v>
          </cell>
          <cell r="C2496" t="str">
            <v>住房</v>
          </cell>
          <cell r="D2496" t="str">
            <v>其它</v>
          </cell>
          <cell r="E2496" t="str">
            <v>抵押贷款</v>
          </cell>
          <cell r="F2496">
            <v>37438</v>
          </cell>
          <cell r="G2496">
            <v>37550</v>
          </cell>
          <cell r="H2496">
            <v>0.39</v>
          </cell>
          <cell r="I2496">
            <v>2.35</v>
          </cell>
          <cell r="J2496">
            <v>0</v>
          </cell>
          <cell r="K2496">
            <v>0</v>
          </cell>
          <cell r="L2496">
            <v>2.35</v>
          </cell>
          <cell r="M2496" t="str">
            <v>公园</v>
          </cell>
        </row>
        <row r="2497">
          <cell r="B2497" t="str">
            <v>于南玲 Total</v>
          </cell>
          <cell r="L2497">
            <v>2.35</v>
          </cell>
        </row>
        <row r="2498">
          <cell r="A2498" t="str">
            <v>923z60</v>
          </cell>
          <cell r="B2498" t="str">
            <v>余玮</v>
          </cell>
          <cell r="C2498" t="str">
            <v>其它</v>
          </cell>
          <cell r="D2498" t="str">
            <v>其它</v>
          </cell>
          <cell r="E2498" t="str">
            <v>质押贷款</v>
          </cell>
          <cell r="F2498">
            <v>37527</v>
          </cell>
          <cell r="G2498">
            <v>37708</v>
          </cell>
          <cell r="H2498">
            <v>0</v>
          </cell>
          <cell r="I2498">
            <v>4.3</v>
          </cell>
          <cell r="J2498">
            <v>0</v>
          </cell>
          <cell r="K2498">
            <v>0</v>
          </cell>
          <cell r="L2498">
            <v>4.3</v>
          </cell>
          <cell r="M2498" t="str">
            <v>禾祥</v>
          </cell>
        </row>
        <row r="2499">
          <cell r="A2499" t="str">
            <v>923z44</v>
          </cell>
          <cell r="B2499" t="str">
            <v>余玮</v>
          </cell>
          <cell r="C2499" t="str">
            <v>其它</v>
          </cell>
          <cell r="D2499" t="str">
            <v>其它</v>
          </cell>
          <cell r="E2499" t="str">
            <v>质押贷款</v>
          </cell>
          <cell r="F2499">
            <v>37435</v>
          </cell>
          <cell r="G2499">
            <v>37800</v>
          </cell>
          <cell r="H2499">
            <v>0</v>
          </cell>
          <cell r="I2499">
            <v>8</v>
          </cell>
          <cell r="J2499">
            <v>0</v>
          </cell>
          <cell r="K2499">
            <v>0</v>
          </cell>
          <cell r="L2499">
            <v>8</v>
          </cell>
          <cell r="M2499" t="str">
            <v>禾祥</v>
          </cell>
        </row>
        <row r="2500">
          <cell r="B2500" t="str">
            <v>余玮 Total</v>
          </cell>
          <cell r="L2500">
            <v>12.3</v>
          </cell>
        </row>
        <row r="2501">
          <cell r="A2501" t="str">
            <v>020012</v>
          </cell>
          <cell r="B2501" t="str">
            <v>余贞祺</v>
          </cell>
          <cell r="C2501" t="str">
            <v>住房</v>
          </cell>
          <cell r="D2501" t="str">
            <v>其它</v>
          </cell>
          <cell r="E2501" t="str">
            <v>抵押贷款</v>
          </cell>
          <cell r="F2501">
            <v>36753</v>
          </cell>
          <cell r="G2501">
            <v>44058</v>
          </cell>
          <cell r="H2501">
            <v>0</v>
          </cell>
          <cell r="I2501">
            <v>40.11</v>
          </cell>
          <cell r="J2501">
            <v>0.11</v>
          </cell>
          <cell r="K2501">
            <v>0.76</v>
          </cell>
          <cell r="L2501">
            <v>39.35</v>
          </cell>
          <cell r="M2501" t="str">
            <v>东区</v>
          </cell>
        </row>
        <row r="2502">
          <cell r="B2502" t="str">
            <v>余贞祺 Total</v>
          </cell>
          <cell r="L2502">
            <v>39.35</v>
          </cell>
        </row>
        <row r="2503">
          <cell r="A2503" t="str">
            <v>020131</v>
          </cell>
          <cell r="B2503" t="str">
            <v>虞彪</v>
          </cell>
          <cell r="C2503" t="str">
            <v>其它</v>
          </cell>
          <cell r="D2503" t="str">
            <v>其它</v>
          </cell>
          <cell r="E2503" t="str">
            <v>保证贷款</v>
          </cell>
          <cell r="F2503">
            <v>37365</v>
          </cell>
          <cell r="G2503">
            <v>37730</v>
          </cell>
          <cell r="H2503">
            <v>0</v>
          </cell>
          <cell r="I2503">
            <v>20</v>
          </cell>
          <cell r="J2503">
            <v>0</v>
          </cell>
          <cell r="K2503">
            <v>0</v>
          </cell>
          <cell r="L2503">
            <v>20</v>
          </cell>
          <cell r="M2503" t="str">
            <v>东区</v>
          </cell>
        </row>
        <row r="2504">
          <cell r="B2504" t="str">
            <v>虞彪 Total</v>
          </cell>
          <cell r="L2504">
            <v>20</v>
          </cell>
        </row>
        <row r="2505">
          <cell r="A2505" t="str">
            <v>021205</v>
          </cell>
          <cell r="B2505" t="str">
            <v>宇鹭禾土石方工程公司</v>
          </cell>
          <cell r="C2505" t="str">
            <v>集体</v>
          </cell>
          <cell r="D2505" t="str">
            <v>工业</v>
          </cell>
          <cell r="E2505" t="str">
            <v>抵押贷款</v>
          </cell>
          <cell r="F2505">
            <v>37270</v>
          </cell>
          <cell r="G2505">
            <v>37999</v>
          </cell>
          <cell r="H2505">
            <v>0</v>
          </cell>
          <cell r="I2505">
            <v>81.599999999999994</v>
          </cell>
          <cell r="J2505">
            <v>3.32</v>
          </cell>
          <cell r="K2505">
            <v>29.25</v>
          </cell>
          <cell r="L2505">
            <v>52.35</v>
          </cell>
          <cell r="M2505" t="str">
            <v>集美</v>
          </cell>
        </row>
        <row r="2506">
          <cell r="B2506" t="str">
            <v>宇鹭禾土石方工程公司 Total</v>
          </cell>
          <cell r="L2506">
            <v>52.35</v>
          </cell>
        </row>
        <row r="2507">
          <cell r="A2507" t="str">
            <v>0058</v>
          </cell>
          <cell r="B2507" t="str">
            <v>育明机械</v>
          </cell>
          <cell r="C2507" t="str">
            <v>其它</v>
          </cell>
          <cell r="D2507" t="str">
            <v>工业</v>
          </cell>
          <cell r="E2507" t="str">
            <v>票据贴现</v>
          </cell>
          <cell r="F2507">
            <v>37559</v>
          </cell>
          <cell r="G2507">
            <v>37670</v>
          </cell>
          <cell r="H2507">
            <v>100</v>
          </cell>
          <cell r="I2507">
            <v>100</v>
          </cell>
          <cell r="J2507">
            <v>0</v>
          </cell>
          <cell r="K2507">
            <v>0</v>
          </cell>
          <cell r="L2507">
            <v>100</v>
          </cell>
          <cell r="M2507" t="str">
            <v>莲花</v>
          </cell>
        </row>
        <row r="2508">
          <cell r="B2508" t="str">
            <v>育明机械 Total</v>
          </cell>
          <cell r="L2508">
            <v>100</v>
          </cell>
        </row>
        <row r="2509">
          <cell r="A2509" t="str">
            <v>200047</v>
          </cell>
          <cell r="B2509" t="str">
            <v>裕利集团</v>
          </cell>
          <cell r="C2509" t="str">
            <v>三资</v>
          </cell>
          <cell r="D2509" t="str">
            <v>商贸</v>
          </cell>
          <cell r="E2509" t="str">
            <v>保证贷款</v>
          </cell>
          <cell r="F2509">
            <v>37440</v>
          </cell>
          <cell r="G2509">
            <v>37805</v>
          </cell>
          <cell r="H2509">
            <v>0</v>
          </cell>
          <cell r="I2509">
            <v>300</v>
          </cell>
          <cell r="J2509">
            <v>0</v>
          </cell>
          <cell r="K2509">
            <v>0</v>
          </cell>
          <cell r="L2509">
            <v>300</v>
          </cell>
          <cell r="M2509" t="str">
            <v>新港</v>
          </cell>
        </row>
        <row r="2510">
          <cell r="A2510" t="str">
            <v>200048</v>
          </cell>
          <cell r="B2510" t="str">
            <v>裕利集团</v>
          </cell>
          <cell r="C2510" t="str">
            <v>三资</v>
          </cell>
          <cell r="D2510" t="str">
            <v>商贸</v>
          </cell>
          <cell r="E2510" t="str">
            <v>保证贷款</v>
          </cell>
          <cell r="F2510">
            <v>37448</v>
          </cell>
          <cell r="G2510">
            <v>37813</v>
          </cell>
          <cell r="H2510">
            <v>0</v>
          </cell>
          <cell r="I2510">
            <v>500</v>
          </cell>
          <cell r="J2510">
            <v>0</v>
          </cell>
          <cell r="K2510">
            <v>0</v>
          </cell>
          <cell r="L2510">
            <v>500</v>
          </cell>
          <cell r="M2510" t="str">
            <v>新港</v>
          </cell>
        </row>
        <row r="2511">
          <cell r="A2511" t="str">
            <v>300001</v>
          </cell>
          <cell r="B2511" t="str">
            <v>裕利集团</v>
          </cell>
          <cell r="C2511" t="str">
            <v>三资</v>
          </cell>
          <cell r="D2511" t="str">
            <v>商贸</v>
          </cell>
          <cell r="E2511" t="str">
            <v>抵押贷款</v>
          </cell>
          <cell r="F2511">
            <v>37164</v>
          </cell>
          <cell r="G2511">
            <v>38131</v>
          </cell>
          <cell r="H2511">
            <v>0</v>
          </cell>
          <cell r="I2511">
            <v>0</v>
          </cell>
          <cell r="J2511">
            <v>0</v>
          </cell>
          <cell r="K2511">
            <v>0</v>
          </cell>
          <cell r="L2511">
            <v>1000</v>
          </cell>
          <cell r="M2511" t="str">
            <v>新港</v>
          </cell>
        </row>
        <row r="2512">
          <cell r="A2512" t="str">
            <v>300002</v>
          </cell>
          <cell r="B2512" t="str">
            <v>裕利集团</v>
          </cell>
          <cell r="C2512" t="str">
            <v>三资</v>
          </cell>
          <cell r="D2512" t="str">
            <v>商贸</v>
          </cell>
          <cell r="E2512" t="str">
            <v>抵押贷款</v>
          </cell>
          <cell r="F2512">
            <v>37193</v>
          </cell>
          <cell r="G2512">
            <v>38131</v>
          </cell>
          <cell r="H2512">
            <v>0</v>
          </cell>
          <cell r="I2512">
            <v>0</v>
          </cell>
          <cell r="J2512">
            <v>0</v>
          </cell>
          <cell r="K2512">
            <v>0</v>
          </cell>
          <cell r="L2512">
            <v>1000</v>
          </cell>
          <cell r="M2512" t="str">
            <v>新港</v>
          </cell>
        </row>
        <row r="2513">
          <cell r="B2513" t="str">
            <v>裕利集团 Total</v>
          </cell>
          <cell r="L2513">
            <v>2800</v>
          </cell>
        </row>
        <row r="2514">
          <cell r="A2514" t="str">
            <v>200078</v>
          </cell>
          <cell r="B2514" t="str">
            <v>裕振集装箱</v>
          </cell>
          <cell r="C2514" t="str">
            <v>集体</v>
          </cell>
          <cell r="D2514" t="str">
            <v>商贸</v>
          </cell>
          <cell r="E2514" t="str">
            <v>保证贷款</v>
          </cell>
          <cell r="F2514">
            <v>37543</v>
          </cell>
          <cell r="G2514">
            <v>37908</v>
          </cell>
          <cell r="H2514">
            <v>240</v>
          </cell>
          <cell r="I2514">
            <v>240</v>
          </cell>
          <cell r="J2514">
            <v>0</v>
          </cell>
          <cell r="K2514">
            <v>0</v>
          </cell>
          <cell r="L2514">
            <v>240</v>
          </cell>
          <cell r="M2514" t="str">
            <v>新港</v>
          </cell>
        </row>
        <row r="2515">
          <cell r="A2515" t="str">
            <v>200021</v>
          </cell>
          <cell r="B2515" t="str">
            <v>裕振集装箱</v>
          </cell>
          <cell r="C2515" t="str">
            <v>三资</v>
          </cell>
          <cell r="D2515" t="str">
            <v>商贸</v>
          </cell>
          <cell r="E2515" t="str">
            <v>抵押贷款</v>
          </cell>
          <cell r="F2515">
            <v>37272</v>
          </cell>
          <cell r="G2515">
            <v>37941</v>
          </cell>
          <cell r="H2515">
            <v>0</v>
          </cell>
          <cell r="I2515">
            <v>14.8</v>
          </cell>
          <cell r="J2515">
            <v>0.69</v>
          </cell>
          <cell r="K2515">
            <v>5.42</v>
          </cell>
          <cell r="L2515">
            <v>9.3800000000000008</v>
          </cell>
          <cell r="M2515" t="str">
            <v>新港</v>
          </cell>
        </row>
        <row r="2516">
          <cell r="A2516" t="str">
            <v>200027</v>
          </cell>
          <cell r="B2516" t="str">
            <v>裕振集装箱</v>
          </cell>
          <cell r="C2516" t="str">
            <v>三资</v>
          </cell>
          <cell r="D2516" t="str">
            <v>商贸</v>
          </cell>
          <cell r="E2516" t="str">
            <v>抵押贷款</v>
          </cell>
          <cell r="F2516">
            <v>37356</v>
          </cell>
          <cell r="G2516">
            <v>38080</v>
          </cell>
          <cell r="H2516">
            <v>0</v>
          </cell>
          <cell r="I2516">
            <v>34.56</v>
          </cell>
          <cell r="J2516">
            <v>1.39</v>
          </cell>
          <cell r="K2516">
            <v>8.2200000000000006</v>
          </cell>
          <cell r="L2516">
            <v>26.34</v>
          </cell>
          <cell r="M2516" t="str">
            <v>新港</v>
          </cell>
        </row>
        <row r="2517">
          <cell r="B2517" t="str">
            <v>裕振集装箱 Total</v>
          </cell>
          <cell r="L2517">
            <v>275.71999999999997</v>
          </cell>
        </row>
        <row r="2518">
          <cell r="A2518" t="str">
            <v>011071</v>
          </cell>
          <cell r="B2518" t="str">
            <v>员当新市区开发</v>
          </cell>
          <cell r="C2518" t="str">
            <v>国营</v>
          </cell>
          <cell r="D2518" t="str">
            <v>其它</v>
          </cell>
          <cell r="E2518" t="str">
            <v>抵押贷款</v>
          </cell>
          <cell r="F2518">
            <v>37255</v>
          </cell>
          <cell r="G2518">
            <v>37610</v>
          </cell>
          <cell r="H2518">
            <v>0</v>
          </cell>
          <cell r="I2518">
            <v>0</v>
          </cell>
          <cell r="J2518">
            <v>0</v>
          </cell>
          <cell r="K2518">
            <v>0</v>
          </cell>
          <cell r="L2518">
            <v>1000</v>
          </cell>
          <cell r="M2518" t="str">
            <v>营业</v>
          </cell>
        </row>
        <row r="2519">
          <cell r="B2519" t="str">
            <v>员当新市区开发 Total</v>
          </cell>
          <cell r="L2519">
            <v>1000</v>
          </cell>
        </row>
        <row r="2520">
          <cell r="A2520" t="str">
            <v>gs0060</v>
          </cell>
          <cell r="B2520" t="str">
            <v>袁水明</v>
          </cell>
          <cell r="C2520" t="str">
            <v>其它</v>
          </cell>
          <cell r="D2520" t="str">
            <v>其它</v>
          </cell>
          <cell r="E2520" t="str">
            <v>保证贷款</v>
          </cell>
          <cell r="F2520">
            <v>37160</v>
          </cell>
          <cell r="G2520">
            <v>37525</v>
          </cell>
          <cell r="H2520">
            <v>0</v>
          </cell>
          <cell r="I2520">
            <v>100</v>
          </cell>
          <cell r="J2520">
            <v>0</v>
          </cell>
          <cell r="K2520">
            <v>26</v>
          </cell>
          <cell r="L2520">
            <v>74</v>
          </cell>
          <cell r="M2520" t="str">
            <v>湖里</v>
          </cell>
        </row>
        <row r="2521">
          <cell r="B2521" t="str">
            <v>袁水明 Total</v>
          </cell>
          <cell r="L2521">
            <v>74</v>
          </cell>
        </row>
        <row r="2522">
          <cell r="A2522" t="str">
            <v>97l018</v>
          </cell>
          <cell r="B2522" t="str">
            <v>源隆经济发展公司</v>
          </cell>
          <cell r="C2522" t="str">
            <v>三资</v>
          </cell>
          <cell r="D2522" t="str">
            <v>商贸</v>
          </cell>
          <cell r="E2522" t="str">
            <v>抵押贷款</v>
          </cell>
          <cell r="F2522">
            <v>35670</v>
          </cell>
          <cell r="G2522">
            <v>35874</v>
          </cell>
          <cell r="H2522">
            <v>0</v>
          </cell>
          <cell r="I2522">
            <v>0</v>
          </cell>
          <cell r="J2522">
            <v>0</v>
          </cell>
          <cell r="K2522">
            <v>0</v>
          </cell>
          <cell r="L2522">
            <v>340</v>
          </cell>
          <cell r="M2522" t="str">
            <v>公园</v>
          </cell>
        </row>
        <row r="2523">
          <cell r="B2523" t="str">
            <v>源隆经济发展公司 Total</v>
          </cell>
          <cell r="L2523">
            <v>340</v>
          </cell>
        </row>
        <row r="2524">
          <cell r="A2524" t="str">
            <v>B97192</v>
          </cell>
          <cell r="B2524" t="str">
            <v>源盛土方工程公司</v>
          </cell>
          <cell r="C2524" t="str">
            <v>集体</v>
          </cell>
          <cell r="D2524" t="str">
            <v>工业</v>
          </cell>
          <cell r="E2524" t="str">
            <v>保证贷款</v>
          </cell>
          <cell r="F2524">
            <v>35609</v>
          </cell>
          <cell r="G2524">
            <v>35913</v>
          </cell>
          <cell r="H2524">
            <v>0</v>
          </cell>
          <cell r="I2524">
            <v>0</v>
          </cell>
          <cell r="J2524">
            <v>0</v>
          </cell>
          <cell r="K2524">
            <v>0</v>
          </cell>
          <cell r="L2524">
            <v>56</v>
          </cell>
          <cell r="M2524" t="str">
            <v>同安</v>
          </cell>
        </row>
        <row r="2525">
          <cell r="B2525" t="str">
            <v>源盛土方工程公司 Total</v>
          </cell>
          <cell r="L2525">
            <v>56</v>
          </cell>
        </row>
        <row r="2526">
          <cell r="A2526" t="str">
            <v>980012</v>
          </cell>
          <cell r="B2526" t="str">
            <v>源益电力</v>
          </cell>
          <cell r="C2526" t="str">
            <v>外事</v>
          </cell>
          <cell r="D2526" t="str">
            <v>商贸</v>
          </cell>
          <cell r="E2526" t="str">
            <v>抵押贷款</v>
          </cell>
          <cell r="F2526">
            <v>35830</v>
          </cell>
          <cell r="G2526">
            <v>35837</v>
          </cell>
          <cell r="H2526">
            <v>0</v>
          </cell>
          <cell r="I2526">
            <v>0</v>
          </cell>
          <cell r="J2526">
            <v>0</v>
          </cell>
          <cell r="K2526">
            <v>0</v>
          </cell>
          <cell r="L2526">
            <v>257.839652</v>
          </cell>
          <cell r="M2526" t="str">
            <v>公园</v>
          </cell>
        </row>
        <row r="2527">
          <cell r="B2527" t="str">
            <v>源益电力 Total</v>
          </cell>
          <cell r="L2527">
            <v>257.839652</v>
          </cell>
        </row>
        <row r="2528">
          <cell r="A2528" t="str">
            <v>central7</v>
          </cell>
          <cell r="B2528" t="str">
            <v>源益电子股份有限公司</v>
          </cell>
          <cell r="C2528" t="str">
            <v>国营</v>
          </cell>
          <cell r="D2528" t="str">
            <v>商贸</v>
          </cell>
          <cell r="E2528" t="str">
            <v>抵押贷款</v>
          </cell>
          <cell r="F2528">
            <v>35725</v>
          </cell>
          <cell r="G2528">
            <v>35937</v>
          </cell>
          <cell r="H2528">
            <v>0</v>
          </cell>
          <cell r="I2528">
            <v>0</v>
          </cell>
          <cell r="J2528">
            <v>0</v>
          </cell>
          <cell r="K2528">
            <v>0</v>
          </cell>
          <cell r="L2528">
            <v>250</v>
          </cell>
          <cell r="M2528" t="str">
            <v>公园</v>
          </cell>
        </row>
        <row r="2529">
          <cell r="B2529" t="str">
            <v>源益电子股份有限公司 Total</v>
          </cell>
          <cell r="L2529">
            <v>250</v>
          </cell>
        </row>
        <row r="2530">
          <cell r="A2530" t="str">
            <v>96005</v>
          </cell>
          <cell r="B2530" t="str">
            <v>远东（厦门）</v>
          </cell>
          <cell r="C2530" t="str">
            <v>三资</v>
          </cell>
          <cell r="D2530" t="str">
            <v>工业</v>
          </cell>
          <cell r="E2530" t="str">
            <v>抵押贷款</v>
          </cell>
          <cell r="F2530">
            <v>35214</v>
          </cell>
          <cell r="G2530">
            <v>35760</v>
          </cell>
          <cell r="H2530">
            <v>0</v>
          </cell>
          <cell r="I2530">
            <v>0</v>
          </cell>
          <cell r="J2530">
            <v>0</v>
          </cell>
          <cell r="K2530">
            <v>0</v>
          </cell>
          <cell r="L2530">
            <v>800</v>
          </cell>
          <cell r="M2530" t="str">
            <v>文滨</v>
          </cell>
        </row>
        <row r="2531">
          <cell r="B2531" t="str">
            <v>远东（厦门） Total</v>
          </cell>
          <cell r="L2531">
            <v>800</v>
          </cell>
        </row>
        <row r="2532">
          <cell r="A2532" t="str">
            <v>96009</v>
          </cell>
          <cell r="B2532" t="str">
            <v>远东房地产</v>
          </cell>
          <cell r="C2532" t="str">
            <v>三资</v>
          </cell>
          <cell r="D2532" t="str">
            <v>其它</v>
          </cell>
          <cell r="E2532" t="str">
            <v>抵押贷款</v>
          </cell>
          <cell r="F2532">
            <v>35369</v>
          </cell>
          <cell r="G2532">
            <v>35706</v>
          </cell>
          <cell r="H2532">
            <v>0</v>
          </cell>
          <cell r="I2532">
            <v>0</v>
          </cell>
          <cell r="J2532">
            <v>0</v>
          </cell>
          <cell r="K2532">
            <v>0</v>
          </cell>
          <cell r="L2532">
            <v>1000</v>
          </cell>
          <cell r="M2532" t="str">
            <v>文滨</v>
          </cell>
        </row>
        <row r="2533">
          <cell r="B2533" t="str">
            <v>远东房地产 Total</v>
          </cell>
          <cell r="L2533">
            <v>1000</v>
          </cell>
        </row>
        <row r="2534">
          <cell r="A2534" t="str">
            <v>000075</v>
          </cell>
          <cell r="B2534" t="str">
            <v>远鹏</v>
          </cell>
          <cell r="C2534" t="str">
            <v>其它</v>
          </cell>
          <cell r="D2534" t="str">
            <v>其它</v>
          </cell>
          <cell r="E2534" t="str">
            <v>抵押贷款</v>
          </cell>
          <cell r="F2534">
            <v>37373</v>
          </cell>
          <cell r="G2534">
            <v>38100</v>
          </cell>
          <cell r="H2534">
            <v>0</v>
          </cell>
          <cell r="I2534">
            <v>29.6</v>
          </cell>
          <cell r="J2534">
            <v>1.19</v>
          </cell>
          <cell r="K2534">
            <v>7.04</v>
          </cell>
          <cell r="L2534">
            <v>22.56</v>
          </cell>
          <cell r="M2534" t="str">
            <v>康乐</v>
          </cell>
        </row>
        <row r="2535">
          <cell r="B2535" t="str">
            <v>远鹏 Total</v>
          </cell>
          <cell r="L2535">
            <v>22.56</v>
          </cell>
        </row>
        <row r="2536">
          <cell r="A2536" t="str">
            <v>96021</v>
          </cell>
          <cell r="B2536" t="str">
            <v>月光岛文化娱乐公司</v>
          </cell>
          <cell r="C2536" t="str">
            <v>集体</v>
          </cell>
          <cell r="D2536" t="str">
            <v>商贸</v>
          </cell>
          <cell r="E2536" t="str">
            <v>保证贷款</v>
          </cell>
          <cell r="F2536">
            <v>35188</v>
          </cell>
          <cell r="G2536">
            <v>35310</v>
          </cell>
          <cell r="H2536">
            <v>0</v>
          </cell>
          <cell r="I2536">
            <v>0</v>
          </cell>
          <cell r="J2536">
            <v>0</v>
          </cell>
          <cell r="K2536">
            <v>0</v>
          </cell>
          <cell r="L2536">
            <v>80</v>
          </cell>
          <cell r="M2536" t="str">
            <v>公园</v>
          </cell>
        </row>
        <row r="2537">
          <cell r="B2537" t="str">
            <v>月光岛文化娱乐公司 Total</v>
          </cell>
          <cell r="L2537">
            <v>80</v>
          </cell>
        </row>
        <row r="2538">
          <cell r="A2538" t="str">
            <v>112027</v>
          </cell>
          <cell r="B2538" t="str">
            <v>云峰贸易</v>
          </cell>
          <cell r="C2538" t="str">
            <v>国营</v>
          </cell>
          <cell r="D2538" t="str">
            <v>商贸</v>
          </cell>
          <cell r="E2538" t="str">
            <v>保证贷款</v>
          </cell>
          <cell r="F2538">
            <v>37255</v>
          </cell>
          <cell r="G2538">
            <v>37710</v>
          </cell>
          <cell r="H2538">
            <v>0</v>
          </cell>
          <cell r="I2538">
            <v>0</v>
          </cell>
          <cell r="J2538">
            <v>0</v>
          </cell>
          <cell r="K2538">
            <v>0</v>
          </cell>
          <cell r="L2538">
            <v>100</v>
          </cell>
          <cell r="M2538" t="str">
            <v>文滨</v>
          </cell>
        </row>
        <row r="2539">
          <cell r="B2539" t="str">
            <v>云峰贸易 Total</v>
          </cell>
          <cell r="L2539">
            <v>100</v>
          </cell>
        </row>
        <row r="2540">
          <cell r="A2540" t="str">
            <v>020008</v>
          </cell>
          <cell r="B2540" t="str">
            <v>臧学军</v>
          </cell>
          <cell r="C2540" t="str">
            <v>住房</v>
          </cell>
          <cell r="D2540" t="str">
            <v>其它</v>
          </cell>
          <cell r="E2540" t="str">
            <v>抵押贷款</v>
          </cell>
          <cell r="F2540">
            <v>36718</v>
          </cell>
          <cell r="G2540">
            <v>40370</v>
          </cell>
          <cell r="H2540">
            <v>0</v>
          </cell>
          <cell r="I2540">
            <v>25.21</v>
          </cell>
          <cell r="J2540">
            <v>0.2</v>
          </cell>
          <cell r="K2540">
            <v>1.4</v>
          </cell>
          <cell r="L2540">
            <v>23.81</v>
          </cell>
          <cell r="M2540" t="str">
            <v>东区</v>
          </cell>
        </row>
        <row r="2541">
          <cell r="B2541" t="str">
            <v>臧学军 Total</v>
          </cell>
          <cell r="L2541">
            <v>23.81</v>
          </cell>
        </row>
        <row r="2542">
          <cell r="A2542" t="str">
            <v>923c01</v>
          </cell>
          <cell r="B2542" t="str">
            <v>曾继成</v>
          </cell>
          <cell r="C2542" t="str">
            <v>其它</v>
          </cell>
          <cell r="D2542" t="str">
            <v>其它</v>
          </cell>
          <cell r="E2542" t="str">
            <v>抵押贷款</v>
          </cell>
          <cell r="F2542">
            <v>37518</v>
          </cell>
          <cell r="G2542">
            <v>37883</v>
          </cell>
          <cell r="H2542">
            <v>0</v>
          </cell>
          <cell r="I2542">
            <v>28</v>
          </cell>
          <cell r="J2542">
            <v>0</v>
          </cell>
          <cell r="K2542">
            <v>0</v>
          </cell>
          <cell r="L2542">
            <v>28</v>
          </cell>
          <cell r="M2542" t="str">
            <v>禾祥</v>
          </cell>
        </row>
        <row r="2543">
          <cell r="B2543" t="str">
            <v>曾继成 Total</v>
          </cell>
          <cell r="L2543">
            <v>28</v>
          </cell>
        </row>
        <row r="2544">
          <cell r="A2544" t="str">
            <v>023522</v>
          </cell>
          <cell r="B2544" t="str">
            <v>曾确立</v>
          </cell>
          <cell r="C2544" t="str">
            <v>其它</v>
          </cell>
          <cell r="D2544" t="str">
            <v>其它</v>
          </cell>
          <cell r="E2544" t="str">
            <v>保证贷款</v>
          </cell>
          <cell r="F2544">
            <v>37411</v>
          </cell>
          <cell r="G2544">
            <v>37775</v>
          </cell>
          <cell r="H2544">
            <v>0</v>
          </cell>
          <cell r="I2544">
            <v>3</v>
          </cell>
          <cell r="J2544">
            <v>0</v>
          </cell>
          <cell r="K2544">
            <v>0</v>
          </cell>
          <cell r="L2544">
            <v>3</v>
          </cell>
          <cell r="M2544" t="str">
            <v>集美</v>
          </cell>
        </row>
        <row r="2545">
          <cell r="B2545" t="str">
            <v>曾确立 Total</v>
          </cell>
          <cell r="L2545">
            <v>3</v>
          </cell>
        </row>
        <row r="2546">
          <cell r="A2546" t="str">
            <v>200206</v>
          </cell>
          <cell r="B2546" t="str">
            <v>曾珍珠</v>
          </cell>
          <cell r="C2546" t="str">
            <v>其它</v>
          </cell>
          <cell r="D2546" t="str">
            <v>其它</v>
          </cell>
          <cell r="E2546" t="str">
            <v>质押贷款</v>
          </cell>
          <cell r="F2546">
            <v>37197</v>
          </cell>
          <cell r="G2546">
            <v>37562</v>
          </cell>
          <cell r="H2546">
            <v>0</v>
          </cell>
          <cell r="I2546">
            <v>16</v>
          </cell>
          <cell r="J2546">
            <v>0</v>
          </cell>
          <cell r="K2546">
            <v>0</v>
          </cell>
          <cell r="L2546">
            <v>16</v>
          </cell>
          <cell r="M2546" t="str">
            <v>海沧</v>
          </cell>
        </row>
        <row r="2547">
          <cell r="B2547" t="str">
            <v>曾珍珠 Total</v>
          </cell>
          <cell r="L2547">
            <v>16</v>
          </cell>
        </row>
        <row r="2548">
          <cell r="A2548" t="str">
            <v>22307</v>
          </cell>
          <cell r="B2548" t="str">
            <v>展鹏进出口有限公司</v>
          </cell>
          <cell r="C2548" t="str">
            <v>外事</v>
          </cell>
          <cell r="D2548" t="str">
            <v>商贸</v>
          </cell>
          <cell r="E2548" t="str">
            <v>保证贷款</v>
          </cell>
          <cell r="F2548">
            <v>37399</v>
          </cell>
          <cell r="G2548">
            <v>37583</v>
          </cell>
          <cell r="H2548">
            <v>0</v>
          </cell>
          <cell r="I2548">
            <v>37</v>
          </cell>
          <cell r="J2548">
            <v>0</v>
          </cell>
          <cell r="K2548">
            <v>7.5</v>
          </cell>
          <cell r="L2548">
            <v>29.5</v>
          </cell>
          <cell r="M2548" t="str">
            <v>江头</v>
          </cell>
        </row>
        <row r="2549">
          <cell r="B2549" t="str">
            <v>展鹏进出口有限公司 Total</v>
          </cell>
          <cell r="L2549">
            <v>29.5</v>
          </cell>
        </row>
        <row r="2550">
          <cell r="A2550" t="str">
            <v>2022ga</v>
          </cell>
          <cell r="B2550" t="str">
            <v>张乘勇</v>
          </cell>
          <cell r="C2550" t="str">
            <v>住房</v>
          </cell>
          <cell r="D2550" t="str">
            <v>其它</v>
          </cell>
          <cell r="E2550" t="str">
            <v>抵押贷款</v>
          </cell>
          <cell r="F2550">
            <v>37316</v>
          </cell>
          <cell r="G2550">
            <v>37550</v>
          </cell>
          <cell r="H2550">
            <v>0.27</v>
          </cell>
          <cell r="I2550">
            <v>3.97</v>
          </cell>
          <cell r="J2550">
            <v>0</v>
          </cell>
          <cell r="K2550">
            <v>0</v>
          </cell>
          <cell r="L2550">
            <v>3.97</v>
          </cell>
          <cell r="M2550" t="str">
            <v>公园</v>
          </cell>
        </row>
        <row r="2551">
          <cell r="B2551" t="str">
            <v>张乘勇 Total</v>
          </cell>
          <cell r="L2551">
            <v>3.97</v>
          </cell>
        </row>
        <row r="2552">
          <cell r="A2552" t="str">
            <v>ZH0213</v>
          </cell>
          <cell r="B2552" t="str">
            <v>张德胜</v>
          </cell>
          <cell r="C2552" t="str">
            <v>其它</v>
          </cell>
          <cell r="D2552" t="str">
            <v>其它</v>
          </cell>
          <cell r="E2552" t="str">
            <v>质押贷款</v>
          </cell>
          <cell r="F2552">
            <v>37497</v>
          </cell>
          <cell r="G2552">
            <v>37680</v>
          </cell>
          <cell r="H2552">
            <v>0</v>
          </cell>
          <cell r="I2552">
            <v>48</v>
          </cell>
          <cell r="J2552">
            <v>0</v>
          </cell>
          <cell r="K2552">
            <v>0</v>
          </cell>
          <cell r="L2552">
            <v>48</v>
          </cell>
          <cell r="M2552" t="str">
            <v>同安</v>
          </cell>
        </row>
        <row r="2553">
          <cell r="B2553" t="str">
            <v>张德胜 Total</v>
          </cell>
          <cell r="L2553">
            <v>48</v>
          </cell>
        </row>
        <row r="2554">
          <cell r="A2554" t="str">
            <v>200012</v>
          </cell>
          <cell r="B2554" t="str">
            <v>张健</v>
          </cell>
          <cell r="C2554" t="str">
            <v>住房</v>
          </cell>
          <cell r="D2554" t="str">
            <v>其它</v>
          </cell>
          <cell r="E2554" t="str">
            <v>抵押贷款</v>
          </cell>
          <cell r="F2554">
            <v>36850</v>
          </cell>
          <cell r="G2554">
            <v>42328</v>
          </cell>
          <cell r="H2554">
            <v>0</v>
          </cell>
          <cell r="I2554">
            <v>16</v>
          </cell>
          <cell r="J2554">
            <v>7.0000000000000007E-2</v>
          </cell>
          <cell r="K2554">
            <v>0.47</v>
          </cell>
          <cell r="L2554">
            <v>15.53</v>
          </cell>
          <cell r="M2554" t="str">
            <v>鹭江</v>
          </cell>
        </row>
        <row r="2555">
          <cell r="B2555" t="str">
            <v>张健 Total</v>
          </cell>
          <cell r="L2555">
            <v>15.53</v>
          </cell>
        </row>
        <row r="2556">
          <cell r="A2556" t="str">
            <v>023512</v>
          </cell>
          <cell r="B2556" t="str">
            <v>张金云</v>
          </cell>
          <cell r="C2556" t="str">
            <v>其它</v>
          </cell>
          <cell r="D2556" t="str">
            <v>其它</v>
          </cell>
          <cell r="E2556" t="str">
            <v>保证贷款</v>
          </cell>
          <cell r="F2556">
            <v>37344</v>
          </cell>
          <cell r="G2556">
            <v>37709</v>
          </cell>
          <cell r="H2556">
            <v>0</v>
          </cell>
          <cell r="I2556">
            <v>3</v>
          </cell>
          <cell r="J2556">
            <v>0</v>
          </cell>
          <cell r="K2556">
            <v>0</v>
          </cell>
          <cell r="L2556">
            <v>3</v>
          </cell>
          <cell r="M2556" t="str">
            <v>集美</v>
          </cell>
        </row>
        <row r="2557">
          <cell r="B2557" t="str">
            <v>张金云 Total</v>
          </cell>
          <cell r="L2557">
            <v>3</v>
          </cell>
        </row>
        <row r="2558">
          <cell r="A2558" t="str">
            <v>020071</v>
          </cell>
          <cell r="B2558" t="str">
            <v>张林彬</v>
          </cell>
          <cell r="C2558" t="str">
            <v>住房</v>
          </cell>
          <cell r="D2558" t="str">
            <v>其它</v>
          </cell>
          <cell r="E2558" t="str">
            <v>抵押贷款</v>
          </cell>
          <cell r="F2558">
            <v>36614</v>
          </cell>
          <cell r="G2558">
            <v>42092</v>
          </cell>
          <cell r="H2558">
            <v>0</v>
          </cell>
          <cell r="I2558">
            <v>22.84</v>
          </cell>
          <cell r="J2558">
            <v>0.1</v>
          </cell>
          <cell r="K2558">
            <v>0.7</v>
          </cell>
          <cell r="L2558">
            <v>22.14</v>
          </cell>
          <cell r="M2558" t="str">
            <v>东区</v>
          </cell>
        </row>
        <row r="2559">
          <cell r="B2559" t="str">
            <v>张林彬 Total</v>
          </cell>
          <cell r="L2559">
            <v>22.14</v>
          </cell>
        </row>
        <row r="2560">
          <cell r="A2560" t="str">
            <v>020180</v>
          </cell>
          <cell r="B2560" t="str">
            <v>张明</v>
          </cell>
          <cell r="C2560" t="str">
            <v>其它</v>
          </cell>
          <cell r="D2560" t="str">
            <v>其它</v>
          </cell>
          <cell r="E2560" t="str">
            <v>保证贷款</v>
          </cell>
          <cell r="F2560">
            <v>37518</v>
          </cell>
          <cell r="G2560">
            <v>37883</v>
          </cell>
          <cell r="H2560">
            <v>0</v>
          </cell>
          <cell r="I2560">
            <v>5</v>
          </cell>
          <cell r="J2560">
            <v>0</v>
          </cell>
          <cell r="K2560">
            <v>0</v>
          </cell>
          <cell r="L2560">
            <v>5</v>
          </cell>
          <cell r="M2560" t="str">
            <v>东区</v>
          </cell>
        </row>
        <row r="2561">
          <cell r="B2561" t="str">
            <v>张明 Total</v>
          </cell>
          <cell r="L2561">
            <v>5</v>
          </cell>
        </row>
        <row r="2562">
          <cell r="A2562" t="str">
            <v>020026</v>
          </cell>
          <cell r="B2562" t="str">
            <v>张培鹏</v>
          </cell>
          <cell r="C2562" t="str">
            <v>住房</v>
          </cell>
          <cell r="D2562" t="str">
            <v>其它</v>
          </cell>
          <cell r="E2562" t="str">
            <v>抵押贷款</v>
          </cell>
          <cell r="F2562">
            <v>36822</v>
          </cell>
          <cell r="G2562">
            <v>44155</v>
          </cell>
          <cell r="H2562">
            <v>0</v>
          </cell>
          <cell r="I2562">
            <v>32.72</v>
          </cell>
          <cell r="J2562">
            <v>0.09</v>
          </cell>
          <cell r="K2562">
            <v>0.6</v>
          </cell>
          <cell r="L2562">
            <v>32.119999999999997</v>
          </cell>
          <cell r="M2562" t="str">
            <v>东区</v>
          </cell>
        </row>
        <row r="2563">
          <cell r="B2563" t="str">
            <v>张培鹏 Total</v>
          </cell>
          <cell r="L2563">
            <v>32.119999999999997</v>
          </cell>
        </row>
        <row r="2564">
          <cell r="A2564" t="str">
            <v>020185</v>
          </cell>
          <cell r="B2564" t="str">
            <v>张佩娟</v>
          </cell>
          <cell r="C2564" t="str">
            <v>住房</v>
          </cell>
          <cell r="D2564" t="str">
            <v>其它</v>
          </cell>
          <cell r="E2564" t="str">
            <v>抵押贷款</v>
          </cell>
          <cell r="F2564">
            <v>37525</v>
          </cell>
          <cell r="G2564">
            <v>43004</v>
          </cell>
          <cell r="H2564">
            <v>0</v>
          </cell>
          <cell r="I2564">
            <v>25</v>
          </cell>
          <cell r="J2564">
            <v>0.09</v>
          </cell>
          <cell r="K2564">
            <v>0.09</v>
          </cell>
          <cell r="L2564">
            <v>24.91</v>
          </cell>
          <cell r="M2564" t="str">
            <v>东区</v>
          </cell>
        </row>
        <row r="2565">
          <cell r="B2565" t="str">
            <v>张佩娟 Total</v>
          </cell>
          <cell r="L2565">
            <v>24.91</v>
          </cell>
        </row>
        <row r="2566">
          <cell r="A2566" t="str">
            <v>200041</v>
          </cell>
          <cell r="B2566" t="str">
            <v>张素华</v>
          </cell>
          <cell r="C2566" t="str">
            <v>其它</v>
          </cell>
          <cell r="D2566" t="str">
            <v>其它</v>
          </cell>
          <cell r="E2566" t="str">
            <v>信用贷款</v>
          </cell>
          <cell r="F2566">
            <v>36976</v>
          </cell>
          <cell r="G2566">
            <v>37731</v>
          </cell>
          <cell r="H2566">
            <v>0</v>
          </cell>
          <cell r="I2566">
            <v>1.67</v>
          </cell>
          <cell r="J2566">
            <v>0.13</v>
          </cell>
          <cell r="K2566">
            <v>0.89</v>
          </cell>
          <cell r="L2566">
            <v>0.78</v>
          </cell>
          <cell r="M2566" t="str">
            <v>鹭江</v>
          </cell>
        </row>
        <row r="2567">
          <cell r="B2567" t="str">
            <v>张素华 Total</v>
          </cell>
          <cell r="L2567">
            <v>0.78</v>
          </cell>
        </row>
        <row r="2568">
          <cell r="A2568" t="str">
            <v>020027</v>
          </cell>
          <cell r="B2568" t="str">
            <v>张玮萍</v>
          </cell>
          <cell r="C2568" t="str">
            <v>住房</v>
          </cell>
          <cell r="D2568" t="str">
            <v>其它</v>
          </cell>
          <cell r="E2568" t="str">
            <v>抵押贷款</v>
          </cell>
          <cell r="F2568">
            <v>36837</v>
          </cell>
          <cell r="G2568">
            <v>40502</v>
          </cell>
          <cell r="H2568">
            <v>0</v>
          </cell>
          <cell r="I2568">
            <v>26.9</v>
          </cell>
          <cell r="J2568">
            <v>0.21</v>
          </cell>
          <cell r="K2568">
            <v>1.43</v>
          </cell>
          <cell r="L2568">
            <v>25.47</v>
          </cell>
          <cell r="M2568" t="str">
            <v>东区</v>
          </cell>
        </row>
        <row r="2569">
          <cell r="B2569" t="str">
            <v>张玮萍 Total</v>
          </cell>
          <cell r="L2569">
            <v>25.47</v>
          </cell>
        </row>
        <row r="2570">
          <cell r="A2570" t="str">
            <v>200020</v>
          </cell>
          <cell r="B2570" t="str">
            <v>张文福</v>
          </cell>
          <cell r="C2570" t="str">
            <v>住房</v>
          </cell>
          <cell r="D2570" t="str">
            <v>其它</v>
          </cell>
          <cell r="E2570" t="str">
            <v>抵押贷款</v>
          </cell>
          <cell r="F2570">
            <v>37062</v>
          </cell>
          <cell r="G2570">
            <v>40714</v>
          </cell>
          <cell r="H2570">
            <v>0</v>
          </cell>
          <cell r="I2570">
            <v>17</v>
          </cell>
          <cell r="J2570">
            <v>0.12</v>
          </cell>
          <cell r="K2570">
            <v>0.81</v>
          </cell>
          <cell r="L2570">
            <v>16.190000000000001</v>
          </cell>
          <cell r="M2570" t="str">
            <v>鹭江</v>
          </cell>
        </row>
        <row r="2571">
          <cell r="B2571" t="str">
            <v>张文福 Total</v>
          </cell>
          <cell r="L2571">
            <v>16.190000000000001</v>
          </cell>
        </row>
        <row r="2572">
          <cell r="A2572" t="str">
            <v>0018</v>
          </cell>
          <cell r="B2572" t="str">
            <v>张新刚</v>
          </cell>
          <cell r="C2572" t="str">
            <v>其它</v>
          </cell>
          <cell r="D2572" t="str">
            <v>其它</v>
          </cell>
          <cell r="E2572" t="str">
            <v>抵押贷款</v>
          </cell>
          <cell r="F2572">
            <v>37524</v>
          </cell>
          <cell r="G2572">
            <v>37889</v>
          </cell>
          <cell r="H2572">
            <v>0</v>
          </cell>
          <cell r="I2572">
            <v>10</v>
          </cell>
          <cell r="J2572">
            <v>0</v>
          </cell>
          <cell r="K2572">
            <v>0</v>
          </cell>
          <cell r="L2572">
            <v>10</v>
          </cell>
          <cell r="M2572" t="str">
            <v>东芳</v>
          </cell>
        </row>
        <row r="2573">
          <cell r="B2573" t="str">
            <v>张新刚 Total</v>
          </cell>
          <cell r="L2573">
            <v>10</v>
          </cell>
        </row>
        <row r="2574">
          <cell r="A2574" t="str">
            <v>020079</v>
          </cell>
          <cell r="B2574" t="str">
            <v>张新良</v>
          </cell>
          <cell r="C2574" t="str">
            <v>住房</v>
          </cell>
          <cell r="D2574" t="str">
            <v>其它</v>
          </cell>
          <cell r="E2574" t="str">
            <v>抵押贷款</v>
          </cell>
          <cell r="F2574">
            <v>36614</v>
          </cell>
          <cell r="G2574">
            <v>40266</v>
          </cell>
          <cell r="H2574">
            <v>0</v>
          </cell>
          <cell r="I2574">
            <v>22.07</v>
          </cell>
          <cell r="J2574">
            <v>0.21</v>
          </cell>
          <cell r="K2574">
            <v>1.29</v>
          </cell>
          <cell r="L2574">
            <v>20.78</v>
          </cell>
          <cell r="M2574" t="str">
            <v>东区</v>
          </cell>
        </row>
        <row r="2575">
          <cell r="B2575" t="str">
            <v>张新良 Total</v>
          </cell>
          <cell r="L2575">
            <v>20.78</v>
          </cell>
        </row>
        <row r="2576">
          <cell r="A2576" t="str">
            <v>020151</v>
          </cell>
          <cell r="B2576" t="str">
            <v>张新忠</v>
          </cell>
          <cell r="C2576" t="str">
            <v>其它</v>
          </cell>
          <cell r="D2576" t="str">
            <v>其它</v>
          </cell>
          <cell r="E2576" t="str">
            <v>保证贷款</v>
          </cell>
          <cell r="F2576">
            <v>37428</v>
          </cell>
          <cell r="G2576">
            <v>37793</v>
          </cell>
          <cell r="H2576">
            <v>0</v>
          </cell>
          <cell r="I2576">
            <v>12</v>
          </cell>
          <cell r="J2576">
            <v>0</v>
          </cell>
          <cell r="K2576">
            <v>0</v>
          </cell>
          <cell r="L2576">
            <v>12</v>
          </cell>
          <cell r="M2576" t="str">
            <v>东区</v>
          </cell>
        </row>
        <row r="2577">
          <cell r="B2577" t="str">
            <v>张新忠 Total</v>
          </cell>
          <cell r="L2577">
            <v>12</v>
          </cell>
        </row>
        <row r="2578">
          <cell r="A2578" t="str">
            <v>ZH0212</v>
          </cell>
          <cell r="B2578" t="str">
            <v>张宣瑷</v>
          </cell>
          <cell r="C2578" t="str">
            <v>其它</v>
          </cell>
          <cell r="D2578" t="str">
            <v>其它</v>
          </cell>
          <cell r="E2578" t="str">
            <v>质押贷款</v>
          </cell>
          <cell r="F2578">
            <v>37490</v>
          </cell>
          <cell r="G2578">
            <v>37674</v>
          </cell>
          <cell r="H2578">
            <v>0</v>
          </cell>
          <cell r="I2578">
            <v>48</v>
          </cell>
          <cell r="J2578">
            <v>0</v>
          </cell>
          <cell r="K2578">
            <v>0</v>
          </cell>
          <cell r="L2578">
            <v>48</v>
          </cell>
          <cell r="M2578" t="str">
            <v>同安</v>
          </cell>
        </row>
        <row r="2579">
          <cell r="B2579" t="str">
            <v>张宣瑷 Total</v>
          </cell>
          <cell r="L2579">
            <v>48</v>
          </cell>
        </row>
        <row r="2580">
          <cell r="A2580" t="str">
            <v>020034</v>
          </cell>
          <cell r="B2580" t="str">
            <v>张学聪</v>
          </cell>
          <cell r="C2580" t="str">
            <v>住房</v>
          </cell>
          <cell r="D2580" t="str">
            <v>其它</v>
          </cell>
          <cell r="E2580" t="str">
            <v>抵押贷款</v>
          </cell>
          <cell r="F2580">
            <v>36866</v>
          </cell>
          <cell r="G2580">
            <v>40532</v>
          </cell>
          <cell r="H2580">
            <v>0</v>
          </cell>
          <cell r="I2580">
            <v>26.19</v>
          </cell>
          <cell r="J2580">
            <v>0.2</v>
          </cell>
          <cell r="K2580">
            <v>1.38</v>
          </cell>
          <cell r="L2580">
            <v>24.81</v>
          </cell>
          <cell r="M2580" t="str">
            <v>东区</v>
          </cell>
        </row>
        <row r="2581">
          <cell r="B2581" t="str">
            <v>张学聪 Total</v>
          </cell>
          <cell r="L2581">
            <v>24.81</v>
          </cell>
        </row>
        <row r="2582">
          <cell r="A2582" t="str">
            <v>02gd02</v>
          </cell>
          <cell r="B2582" t="str">
            <v>张志勇</v>
          </cell>
          <cell r="C2582" t="str">
            <v>其它</v>
          </cell>
          <cell r="D2582" t="str">
            <v>其它</v>
          </cell>
          <cell r="E2582" t="str">
            <v>保证贷款</v>
          </cell>
          <cell r="F2582">
            <v>37355</v>
          </cell>
          <cell r="G2582">
            <v>37720</v>
          </cell>
          <cell r="H2582">
            <v>0</v>
          </cell>
          <cell r="I2582">
            <v>3</v>
          </cell>
          <cell r="J2582">
            <v>0</v>
          </cell>
          <cell r="K2582">
            <v>0</v>
          </cell>
          <cell r="L2582">
            <v>3</v>
          </cell>
          <cell r="M2582" t="str">
            <v>厦禾</v>
          </cell>
        </row>
        <row r="2583">
          <cell r="B2583" t="str">
            <v>张志勇 Total</v>
          </cell>
          <cell r="L2583">
            <v>3</v>
          </cell>
        </row>
        <row r="2584">
          <cell r="A2584" t="str">
            <v>500014</v>
          </cell>
          <cell r="B2584" t="str">
            <v>张子艺</v>
          </cell>
          <cell r="C2584" t="str">
            <v>其它</v>
          </cell>
          <cell r="D2584" t="str">
            <v>其它</v>
          </cell>
          <cell r="E2584" t="str">
            <v>抵押贷款</v>
          </cell>
          <cell r="F2584">
            <v>37344</v>
          </cell>
          <cell r="G2584">
            <v>37709</v>
          </cell>
          <cell r="H2584">
            <v>0</v>
          </cell>
          <cell r="I2584">
            <v>12</v>
          </cell>
          <cell r="J2584">
            <v>0</v>
          </cell>
          <cell r="K2584">
            <v>0</v>
          </cell>
          <cell r="L2584">
            <v>12</v>
          </cell>
          <cell r="M2584" t="str">
            <v>新港</v>
          </cell>
        </row>
        <row r="2585">
          <cell r="B2585" t="str">
            <v>张子艺 Total</v>
          </cell>
          <cell r="L2585">
            <v>12</v>
          </cell>
        </row>
        <row r="2586">
          <cell r="A2586" t="str">
            <v>250829</v>
          </cell>
          <cell r="B2586" t="str">
            <v>漳州中隆电子</v>
          </cell>
          <cell r="C2586" t="str">
            <v>集体</v>
          </cell>
          <cell r="D2586" t="str">
            <v>工业</v>
          </cell>
          <cell r="E2586" t="str">
            <v>票据贴现</v>
          </cell>
          <cell r="F2586">
            <v>37558</v>
          </cell>
          <cell r="G2586">
            <v>37739</v>
          </cell>
          <cell r="H2586">
            <v>30</v>
          </cell>
          <cell r="I2586">
            <v>30</v>
          </cell>
          <cell r="J2586">
            <v>0</v>
          </cell>
          <cell r="K2586">
            <v>0</v>
          </cell>
          <cell r="L2586">
            <v>30</v>
          </cell>
          <cell r="M2586" t="str">
            <v>湖里</v>
          </cell>
        </row>
        <row r="2587">
          <cell r="B2587" t="str">
            <v>漳州中隆电子 Total</v>
          </cell>
          <cell r="L2587">
            <v>30</v>
          </cell>
        </row>
        <row r="2588">
          <cell r="A2588" t="str">
            <v>G02-02</v>
          </cell>
          <cell r="B2588" t="str">
            <v>赵红</v>
          </cell>
          <cell r="C2588" t="str">
            <v>其它</v>
          </cell>
          <cell r="D2588" t="str">
            <v>其它</v>
          </cell>
          <cell r="E2588" t="str">
            <v>保证贷款</v>
          </cell>
          <cell r="F2588">
            <v>37357</v>
          </cell>
          <cell r="G2588">
            <v>37722</v>
          </cell>
          <cell r="H2588">
            <v>0</v>
          </cell>
          <cell r="I2588">
            <v>3</v>
          </cell>
          <cell r="J2588">
            <v>0</v>
          </cell>
          <cell r="K2588">
            <v>0</v>
          </cell>
          <cell r="L2588">
            <v>3</v>
          </cell>
          <cell r="M2588" t="str">
            <v>营业</v>
          </cell>
        </row>
        <row r="2589">
          <cell r="A2589" t="str">
            <v>89961A</v>
          </cell>
          <cell r="B2589" t="str">
            <v>赵红</v>
          </cell>
          <cell r="C2589" t="str">
            <v>住房</v>
          </cell>
          <cell r="D2589" t="str">
            <v>其它</v>
          </cell>
          <cell r="E2589" t="str">
            <v>质押贷款</v>
          </cell>
          <cell r="F2589">
            <v>36523</v>
          </cell>
          <cell r="G2589">
            <v>42000</v>
          </cell>
          <cell r="H2589">
            <v>0</v>
          </cell>
          <cell r="I2589">
            <v>9.0500000000000007</v>
          </cell>
          <cell r="J2589">
            <v>0.04</v>
          </cell>
          <cell r="K2589">
            <v>0.33</v>
          </cell>
          <cell r="L2589">
            <v>8.7200000000000006</v>
          </cell>
          <cell r="M2589" t="str">
            <v>营业</v>
          </cell>
        </row>
        <row r="2590">
          <cell r="B2590" t="str">
            <v>赵红 Total</v>
          </cell>
          <cell r="L2590">
            <v>11.72</v>
          </cell>
        </row>
        <row r="2591">
          <cell r="A2591" t="str">
            <v>020073</v>
          </cell>
          <cell r="B2591" t="str">
            <v>赵金城</v>
          </cell>
          <cell r="C2591" t="str">
            <v>住房</v>
          </cell>
          <cell r="D2591" t="str">
            <v>其它</v>
          </cell>
          <cell r="E2591" t="str">
            <v>抵押贷款</v>
          </cell>
          <cell r="F2591">
            <v>36614</v>
          </cell>
          <cell r="G2591">
            <v>43919</v>
          </cell>
          <cell r="H2591">
            <v>0</v>
          </cell>
          <cell r="I2591">
            <v>36.85</v>
          </cell>
          <cell r="J2591">
            <v>0.1</v>
          </cell>
          <cell r="K2591">
            <v>0.7</v>
          </cell>
          <cell r="L2591">
            <v>36.15</v>
          </cell>
          <cell r="M2591" t="str">
            <v>东区</v>
          </cell>
        </row>
        <row r="2592">
          <cell r="B2592" t="str">
            <v>赵金城 Total</v>
          </cell>
          <cell r="L2592">
            <v>36.15</v>
          </cell>
        </row>
        <row r="2593">
          <cell r="A2593" t="str">
            <v>20447</v>
          </cell>
          <cell r="B2593" t="str">
            <v>浙江中油华电能源公司</v>
          </cell>
          <cell r="C2593" t="str">
            <v>国营</v>
          </cell>
          <cell r="D2593" t="str">
            <v>商贸</v>
          </cell>
          <cell r="E2593" t="str">
            <v>票据贴现</v>
          </cell>
          <cell r="F2593">
            <v>37550</v>
          </cell>
          <cell r="G2593">
            <v>37589</v>
          </cell>
          <cell r="H2593">
            <v>500</v>
          </cell>
          <cell r="I2593">
            <v>500</v>
          </cell>
          <cell r="J2593">
            <v>0</v>
          </cell>
          <cell r="K2593">
            <v>0</v>
          </cell>
          <cell r="L2593">
            <v>500</v>
          </cell>
          <cell r="M2593" t="str">
            <v>江头</v>
          </cell>
        </row>
        <row r="2594">
          <cell r="B2594" t="str">
            <v>浙江中油华电能源公司 Total</v>
          </cell>
          <cell r="L2594">
            <v>500</v>
          </cell>
        </row>
        <row r="2595">
          <cell r="A2595" t="str">
            <v>M02003</v>
          </cell>
          <cell r="B2595" t="str">
            <v>珍顺粮油食品工业公司</v>
          </cell>
          <cell r="C2595" t="str">
            <v>集体</v>
          </cell>
          <cell r="D2595" t="str">
            <v>工业</v>
          </cell>
          <cell r="E2595" t="str">
            <v>抵押贷款</v>
          </cell>
          <cell r="F2595">
            <v>37435</v>
          </cell>
          <cell r="G2595">
            <v>37649</v>
          </cell>
          <cell r="H2595">
            <v>0</v>
          </cell>
          <cell r="I2595">
            <v>54</v>
          </cell>
          <cell r="J2595">
            <v>0</v>
          </cell>
          <cell r="K2595">
            <v>0</v>
          </cell>
          <cell r="L2595">
            <v>54</v>
          </cell>
          <cell r="M2595" t="str">
            <v>马巷</v>
          </cell>
        </row>
        <row r="2596">
          <cell r="B2596" t="str">
            <v>珍顺粮油食品工业公司 Total</v>
          </cell>
          <cell r="L2596">
            <v>54</v>
          </cell>
        </row>
        <row r="2597">
          <cell r="A2597" t="str">
            <v>200215</v>
          </cell>
          <cell r="B2597" t="str">
            <v>振裕饲料公司</v>
          </cell>
          <cell r="C2597" t="str">
            <v>集体</v>
          </cell>
          <cell r="D2597" t="str">
            <v>工业</v>
          </cell>
          <cell r="E2597" t="str">
            <v>抵押贷款</v>
          </cell>
          <cell r="F2597">
            <v>37316</v>
          </cell>
          <cell r="G2597">
            <v>37681</v>
          </cell>
          <cell r="H2597">
            <v>0</v>
          </cell>
          <cell r="I2597">
            <v>100</v>
          </cell>
          <cell r="J2597">
            <v>0</v>
          </cell>
          <cell r="K2597">
            <v>0</v>
          </cell>
          <cell r="L2597">
            <v>100</v>
          </cell>
          <cell r="M2597" t="str">
            <v>同安</v>
          </cell>
        </row>
        <row r="2598">
          <cell r="A2598" t="str">
            <v>200262</v>
          </cell>
          <cell r="B2598" t="str">
            <v>振裕饲料公司</v>
          </cell>
          <cell r="C2598" t="str">
            <v>集体</v>
          </cell>
          <cell r="D2598" t="str">
            <v>工业</v>
          </cell>
          <cell r="E2598" t="str">
            <v>抵押贷款</v>
          </cell>
          <cell r="F2598">
            <v>37545</v>
          </cell>
          <cell r="G2598">
            <v>37910</v>
          </cell>
          <cell r="H2598">
            <v>120</v>
          </cell>
          <cell r="I2598">
            <v>120</v>
          </cell>
          <cell r="J2598">
            <v>0</v>
          </cell>
          <cell r="K2598">
            <v>0</v>
          </cell>
          <cell r="L2598">
            <v>120</v>
          </cell>
          <cell r="M2598" t="str">
            <v>同安</v>
          </cell>
        </row>
        <row r="2599">
          <cell r="A2599" t="str">
            <v>200209</v>
          </cell>
          <cell r="B2599" t="str">
            <v>振裕饲料公司</v>
          </cell>
          <cell r="C2599" t="str">
            <v>集体</v>
          </cell>
          <cell r="D2599" t="str">
            <v>工业</v>
          </cell>
          <cell r="E2599" t="str">
            <v>抵押贷款</v>
          </cell>
          <cell r="F2599">
            <v>37297</v>
          </cell>
          <cell r="G2599">
            <v>37662</v>
          </cell>
          <cell r="H2599">
            <v>0</v>
          </cell>
          <cell r="I2599">
            <v>150</v>
          </cell>
          <cell r="J2599">
            <v>0</v>
          </cell>
          <cell r="K2599">
            <v>0</v>
          </cell>
          <cell r="L2599">
            <v>150</v>
          </cell>
          <cell r="M2599" t="str">
            <v>同安</v>
          </cell>
        </row>
        <row r="2600">
          <cell r="A2600" t="str">
            <v>200214</v>
          </cell>
          <cell r="B2600" t="str">
            <v>振裕饲料公司</v>
          </cell>
          <cell r="C2600" t="str">
            <v>集体</v>
          </cell>
          <cell r="D2600" t="str">
            <v>工业</v>
          </cell>
          <cell r="E2600" t="str">
            <v>抵押贷款</v>
          </cell>
          <cell r="F2600">
            <v>37313</v>
          </cell>
          <cell r="G2600">
            <v>37647</v>
          </cell>
          <cell r="H2600">
            <v>0</v>
          </cell>
          <cell r="I2600">
            <v>150</v>
          </cell>
          <cell r="J2600">
            <v>0</v>
          </cell>
          <cell r="K2600">
            <v>0</v>
          </cell>
          <cell r="L2600">
            <v>150</v>
          </cell>
          <cell r="M2600" t="str">
            <v>同安</v>
          </cell>
        </row>
        <row r="2601">
          <cell r="A2601" t="str">
            <v>200270</v>
          </cell>
          <cell r="B2601" t="str">
            <v>振裕饲料公司</v>
          </cell>
          <cell r="C2601" t="str">
            <v>集体</v>
          </cell>
          <cell r="D2601" t="str">
            <v>工业</v>
          </cell>
          <cell r="E2601" t="str">
            <v>抵押贷款</v>
          </cell>
          <cell r="F2601">
            <v>37546</v>
          </cell>
          <cell r="G2601">
            <v>37850</v>
          </cell>
          <cell r="H2601">
            <v>150</v>
          </cell>
          <cell r="I2601">
            <v>150</v>
          </cell>
          <cell r="J2601">
            <v>0</v>
          </cell>
          <cell r="K2601">
            <v>0</v>
          </cell>
          <cell r="L2601">
            <v>150</v>
          </cell>
          <cell r="M2601" t="str">
            <v>同安</v>
          </cell>
        </row>
        <row r="2602">
          <cell r="A2602" t="str">
            <v>200271</v>
          </cell>
          <cell r="B2602" t="str">
            <v>振裕饲料公司</v>
          </cell>
          <cell r="C2602" t="str">
            <v>集体</v>
          </cell>
          <cell r="D2602" t="str">
            <v>工业</v>
          </cell>
          <cell r="E2602" t="str">
            <v>抵押贷款</v>
          </cell>
          <cell r="F2602">
            <v>37551</v>
          </cell>
          <cell r="G2602">
            <v>37886</v>
          </cell>
          <cell r="H2602">
            <v>150</v>
          </cell>
          <cell r="I2602">
            <v>150</v>
          </cell>
          <cell r="J2602">
            <v>0</v>
          </cell>
          <cell r="K2602">
            <v>0</v>
          </cell>
          <cell r="L2602">
            <v>150</v>
          </cell>
          <cell r="M2602" t="str">
            <v>同安</v>
          </cell>
        </row>
        <row r="2603">
          <cell r="A2603" t="str">
            <v>200275</v>
          </cell>
          <cell r="B2603" t="str">
            <v>振裕饲料公司</v>
          </cell>
          <cell r="C2603" t="str">
            <v>集体</v>
          </cell>
          <cell r="D2603" t="str">
            <v>工业</v>
          </cell>
          <cell r="E2603" t="str">
            <v>抵押贷款</v>
          </cell>
          <cell r="F2603">
            <v>37553</v>
          </cell>
          <cell r="G2603">
            <v>37918</v>
          </cell>
          <cell r="H2603">
            <v>150</v>
          </cell>
          <cell r="I2603">
            <v>150</v>
          </cell>
          <cell r="J2603">
            <v>0</v>
          </cell>
          <cell r="K2603">
            <v>0</v>
          </cell>
          <cell r="L2603">
            <v>150</v>
          </cell>
          <cell r="M2603" t="str">
            <v>同安</v>
          </cell>
        </row>
        <row r="2604">
          <cell r="B2604" t="str">
            <v>振裕饲料公司 Total</v>
          </cell>
          <cell r="L2604">
            <v>970</v>
          </cell>
        </row>
        <row r="2605">
          <cell r="A2605" t="str">
            <v>350917</v>
          </cell>
          <cell r="B2605" t="str">
            <v>正鹏塑料</v>
          </cell>
          <cell r="C2605" t="str">
            <v>三资</v>
          </cell>
          <cell r="D2605" t="str">
            <v>工业</v>
          </cell>
          <cell r="E2605" t="str">
            <v>票据贴现</v>
          </cell>
          <cell r="F2605">
            <v>37558</v>
          </cell>
          <cell r="G2605">
            <v>37739</v>
          </cell>
          <cell r="H2605">
            <v>80</v>
          </cell>
          <cell r="I2605">
            <v>80</v>
          </cell>
          <cell r="J2605">
            <v>0</v>
          </cell>
          <cell r="K2605">
            <v>0</v>
          </cell>
          <cell r="L2605">
            <v>80</v>
          </cell>
          <cell r="M2605" t="str">
            <v>湖里</v>
          </cell>
        </row>
        <row r="2606">
          <cell r="B2606" t="str">
            <v>正鹏塑料 Total</v>
          </cell>
          <cell r="L2606">
            <v>80</v>
          </cell>
        </row>
        <row r="2607">
          <cell r="A2607" t="str">
            <v>020054</v>
          </cell>
          <cell r="B2607" t="str">
            <v>正屋(厦门)电子有限公</v>
          </cell>
          <cell r="C2607" t="str">
            <v>三资</v>
          </cell>
          <cell r="D2607" t="str">
            <v>工业</v>
          </cell>
          <cell r="E2607" t="str">
            <v>抵押贷款</v>
          </cell>
          <cell r="F2607">
            <v>37349</v>
          </cell>
          <cell r="G2607">
            <v>37587</v>
          </cell>
          <cell r="H2607">
            <v>0</v>
          </cell>
          <cell r="I2607">
            <v>100</v>
          </cell>
          <cell r="J2607">
            <v>0</v>
          </cell>
          <cell r="K2607">
            <v>30</v>
          </cell>
          <cell r="L2607">
            <v>70</v>
          </cell>
          <cell r="M2607" t="str">
            <v>东区</v>
          </cell>
        </row>
        <row r="2608">
          <cell r="B2608" t="str">
            <v>正屋(厦门)电子有限公 Total</v>
          </cell>
          <cell r="L2608">
            <v>70</v>
          </cell>
        </row>
        <row r="2609">
          <cell r="A2609" t="str">
            <v>200110</v>
          </cell>
          <cell r="B2609" t="str">
            <v>郑安中</v>
          </cell>
          <cell r="C2609" t="str">
            <v>其它</v>
          </cell>
          <cell r="D2609" t="str">
            <v>其它</v>
          </cell>
          <cell r="E2609" t="str">
            <v>质押贷款</v>
          </cell>
          <cell r="F2609">
            <v>37558</v>
          </cell>
          <cell r="G2609">
            <v>37740</v>
          </cell>
          <cell r="H2609">
            <v>4</v>
          </cell>
          <cell r="I2609">
            <v>4</v>
          </cell>
          <cell r="J2609">
            <v>0</v>
          </cell>
          <cell r="K2609">
            <v>0</v>
          </cell>
          <cell r="L2609">
            <v>4</v>
          </cell>
          <cell r="M2609" t="str">
            <v>鹭江</v>
          </cell>
        </row>
        <row r="2610">
          <cell r="A2610" t="str">
            <v>200106</v>
          </cell>
          <cell r="B2610" t="str">
            <v>郑安中</v>
          </cell>
          <cell r="C2610" t="str">
            <v>其它</v>
          </cell>
          <cell r="D2610" t="str">
            <v>其它</v>
          </cell>
          <cell r="E2610" t="str">
            <v>质押贷款</v>
          </cell>
          <cell r="F2610">
            <v>37539</v>
          </cell>
          <cell r="G2610">
            <v>37721</v>
          </cell>
          <cell r="H2610">
            <v>17</v>
          </cell>
          <cell r="I2610">
            <v>17</v>
          </cell>
          <cell r="J2610">
            <v>0</v>
          </cell>
          <cell r="K2610">
            <v>0</v>
          </cell>
          <cell r="L2610">
            <v>17</v>
          </cell>
          <cell r="M2610" t="str">
            <v>鹭江</v>
          </cell>
        </row>
        <row r="2611">
          <cell r="A2611" t="str">
            <v>200102</v>
          </cell>
          <cell r="B2611" t="str">
            <v>郑安中</v>
          </cell>
          <cell r="C2611" t="str">
            <v>其它</v>
          </cell>
          <cell r="D2611" t="str">
            <v>其它</v>
          </cell>
          <cell r="E2611" t="str">
            <v>质押贷款</v>
          </cell>
          <cell r="F2611">
            <v>37518</v>
          </cell>
          <cell r="G2611">
            <v>37699</v>
          </cell>
          <cell r="H2611">
            <v>0</v>
          </cell>
          <cell r="I2611">
            <v>20.9</v>
          </cell>
          <cell r="J2611">
            <v>0</v>
          </cell>
          <cell r="K2611">
            <v>0</v>
          </cell>
          <cell r="L2611">
            <v>20.9</v>
          </cell>
          <cell r="M2611" t="str">
            <v>鹭江</v>
          </cell>
        </row>
        <row r="2612">
          <cell r="B2612" t="str">
            <v>郑安中 Total</v>
          </cell>
          <cell r="L2612">
            <v>41.9</v>
          </cell>
        </row>
        <row r="2613">
          <cell r="A2613" t="str">
            <v>020030</v>
          </cell>
          <cell r="B2613" t="str">
            <v>郑火煊</v>
          </cell>
          <cell r="C2613" t="str">
            <v>住房</v>
          </cell>
          <cell r="D2613" t="str">
            <v>其它</v>
          </cell>
          <cell r="E2613" t="str">
            <v>抵押贷款</v>
          </cell>
          <cell r="F2613">
            <v>36844</v>
          </cell>
          <cell r="G2613">
            <v>42328</v>
          </cell>
          <cell r="H2613">
            <v>0</v>
          </cell>
          <cell r="I2613">
            <v>31.05</v>
          </cell>
          <cell r="J2613">
            <v>0.18</v>
          </cell>
          <cell r="K2613">
            <v>9.2799999999999994</v>
          </cell>
          <cell r="L2613">
            <v>21.77</v>
          </cell>
          <cell r="M2613" t="str">
            <v>东区</v>
          </cell>
        </row>
        <row r="2614">
          <cell r="B2614" t="str">
            <v>郑火煊 Total</v>
          </cell>
          <cell r="L2614">
            <v>21.77</v>
          </cell>
        </row>
        <row r="2615">
          <cell r="A2615" t="str">
            <v>G02/08</v>
          </cell>
          <cell r="B2615" t="str">
            <v>郑丽鹭</v>
          </cell>
          <cell r="C2615" t="str">
            <v>其它</v>
          </cell>
          <cell r="D2615" t="str">
            <v>其它</v>
          </cell>
          <cell r="E2615" t="str">
            <v>抵押贷款</v>
          </cell>
          <cell r="F2615">
            <v>37560</v>
          </cell>
          <cell r="G2615">
            <v>37916</v>
          </cell>
          <cell r="H2615">
            <v>14</v>
          </cell>
          <cell r="I2615">
            <v>14</v>
          </cell>
          <cell r="J2615">
            <v>0</v>
          </cell>
          <cell r="K2615">
            <v>0</v>
          </cell>
          <cell r="L2615">
            <v>14</v>
          </cell>
          <cell r="M2615" t="str">
            <v>营业</v>
          </cell>
        </row>
        <row r="2616">
          <cell r="B2616" t="str">
            <v>郑丽鹭 Total</v>
          </cell>
          <cell r="L2616">
            <v>14</v>
          </cell>
        </row>
        <row r="2617">
          <cell r="A2617" t="str">
            <v>020021</v>
          </cell>
          <cell r="B2617" t="str">
            <v>郑楠</v>
          </cell>
          <cell r="C2617" t="str">
            <v>住房</v>
          </cell>
          <cell r="D2617" t="str">
            <v>其它</v>
          </cell>
          <cell r="E2617" t="str">
            <v>抵押贷款</v>
          </cell>
          <cell r="F2617">
            <v>36794</v>
          </cell>
          <cell r="G2617">
            <v>40471</v>
          </cell>
          <cell r="H2617">
            <v>0</v>
          </cell>
          <cell r="I2617">
            <v>25.81</v>
          </cell>
          <cell r="J2617">
            <v>0.2</v>
          </cell>
          <cell r="K2617">
            <v>1.4</v>
          </cell>
          <cell r="L2617">
            <v>24.41</v>
          </cell>
          <cell r="M2617" t="str">
            <v>东区</v>
          </cell>
        </row>
        <row r="2618">
          <cell r="B2618" t="str">
            <v>郑楠 Total</v>
          </cell>
          <cell r="L2618">
            <v>24.41</v>
          </cell>
        </row>
        <row r="2619">
          <cell r="A2619" t="str">
            <v>02gd01</v>
          </cell>
          <cell r="B2619" t="str">
            <v>郑清辉</v>
          </cell>
          <cell r="C2619" t="str">
            <v>其它</v>
          </cell>
          <cell r="D2619" t="str">
            <v>其它</v>
          </cell>
          <cell r="E2619" t="str">
            <v>保证贷款</v>
          </cell>
          <cell r="F2619">
            <v>37297</v>
          </cell>
          <cell r="G2619">
            <v>37662</v>
          </cell>
          <cell r="H2619">
            <v>0</v>
          </cell>
          <cell r="I2619">
            <v>25</v>
          </cell>
          <cell r="J2619">
            <v>0</v>
          </cell>
          <cell r="K2619">
            <v>0</v>
          </cell>
          <cell r="L2619">
            <v>25</v>
          </cell>
          <cell r="M2619" t="str">
            <v>厦禾</v>
          </cell>
        </row>
        <row r="2620">
          <cell r="B2620" t="str">
            <v>郑清辉 Total</v>
          </cell>
          <cell r="L2620">
            <v>25</v>
          </cell>
        </row>
        <row r="2621">
          <cell r="A2621" t="str">
            <v>200003</v>
          </cell>
          <cell r="B2621" t="str">
            <v>郑清瑞</v>
          </cell>
          <cell r="C2621" t="str">
            <v>住房</v>
          </cell>
          <cell r="D2621" t="str">
            <v>其它</v>
          </cell>
          <cell r="E2621" t="str">
            <v>抵押贷款</v>
          </cell>
          <cell r="F2621">
            <v>37409</v>
          </cell>
          <cell r="G2621">
            <v>38504</v>
          </cell>
          <cell r="H2621">
            <v>0</v>
          </cell>
          <cell r="I2621">
            <v>12.23</v>
          </cell>
          <cell r="J2621">
            <v>0.3</v>
          </cell>
          <cell r="K2621">
            <v>2.04</v>
          </cell>
          <cell r="L2621">
            <v>10.19</v>
          </cell>
          <cell r="M2621" t="str">
            <v>鹭江</v>
          </cell>
        </row>
        <row r="2622">
          <cell r="B2622" t="str">
            <v>郑清瑞 Total</v>
          </cell>
          <cell r="L2622">
            <v>10.19</v>
          </cell>
        </row>
        <row r="2623">
          <cell r="A2623" t="str">
            <v>200031</v>
          </cell>
          <cell r="B2623" t="str">
            <v>郑素勤</v>
          </cell>
          <cell r="C2623" t="str">
            <v>其它</v>
          </cell>
          <cell r="D2623" t="str">
            <v>其它</v>
          </cell>
          <cell r="E2623" t="str">
            <v>抵押贷款</v>
          </cell>
          <cell r="F2623">
            <v>37196</v>
          </cell>
          <cell r="G2623">
            <v>37561</v>
          </cell>
          <cell r="H2623">
            <v>0</v>
          </cell>
          <cell r="I2623">
            <v>70</v>
          </cell>
          <cell r="J2623">
            <v>0</v>
          </cell>
          <cell r="K2623">
            <v>0</v>
          </cell>
          <cell r="L2623">
            <v>70</v>
          </cell>
          <cell r="M2623" t="str">
            <v>鹭江</v>
          </cell>
        </row>
        <row r="2624">
          <cell r="B2624" t="str">
            <v>郑素勤 Total</v>
          </cell>
          <cell r="L2624">
            <v>70</v>
          </cell>
        </row>
        <row r="2625">
          <cell r="A2625" t="str">
            <v>550661</v>
          </cell>
          <cell r="B2625" t="str">
            <v>郑文达</v>
          </cell>
          <cell r="C2625" t="str">
            <v>其它</v>
          </cell>
          <cell r="D2625" t="str">
            <v>其它</v>
          </cell>
          <cell r="E2625" t="str">
            <v>质押贷款</v>
          </cell>
          <cell r="F2625">
            <v>37502</v>
          </cell>
          <cell r="G2625">
            <v>37683</v>
          </cell>
          <cell r="H2625">
            <v>0</v>
          </cell>
          <cell r="I2625">
            <v>3</v>
          </cell>
          <cell r="J2625">
            <v>0</v>
          </cell>
          <cell r="K2625">
            <v>0</v>
          </cell>
          <cell r="L2625">
            <v>3</v>
          </cell>
          <cell r="M2625" t="str">
            <v>湖里</v>
          </cell>
        </row>
        <row r="2626">
          <cell r="B2626" t="str">
            <v>郑文达 Total</v>
          </cell>
          <cell r="L2626">
            <v>3</v>
          </cell>
        </row>
        <row r="2627">
          <cell r="A2627" t="str">
            <v>020020</v>
          </cell>
          <cell r="B2627" t="str">
            <v>郑晓群</v>
          </cell>
          <cell r="C2627" t="str">
            <v>住房</v>
          </cell>
          <cell r="D2627" t="str">
            <v>其它</v>
          </cell>
          <cell r="E2627" t="str">
            <v>抵押贷款</v>
          </cell>
          <cell r="F2627">
            <v>36794</v>
          </cell>
          <cell r="G2627">
            <v>40471</v>
          </cell>
          <cell r="H2627">
            <v>0</v>
          </cell>
          <cell r="I2627">
            <v>28.47</v>
          </cell>
          <cell r="J2627">
            <v>0.22</v>
          </cell>
          <cell r="K2627">
            <v>1.54</v>
          </cell>
          <cell r="L2627">
            <v>26.93</v>
          </cell>
          <cell r="M2627" t="str">
            <v>东区</v>
          </cell>
        </row>
        <row r="2628">
          <cell r="B2628" t="str">
            <v>郑晓群 Total</v>
          </cell>
          <cell r="L2628">
            <v>26.93</v>
          </cell>
        </row>
        <row r="2629">
          <cell r="A2629" t="str">
            <v>020037</v>
          </cell>
          <cell r="B2629" t="str">
            <v>郑学明\韦青</v>
          </cell>
          <cell r="C2629" t="str">
            <v>住房</v>
          </cell>
          <cell r="D2629" t="str">
            <v>其它</v>
          </cell>
          <cell r="E2629" t="str">
            <v>抵押贷款</v>
          </cell>
          <cell r="F2629">
            <v>36866</v>
          </cell>
          <cell r="G2629">
            <v>44185</v>
          </cell>
          <cell r="H2629">
            <v>0</v>
          </cell>
          <cell r="I2629">
            <v>28.94</v>
          </cell>
          <cell r="J2629">
            <v>0.08</v>
          </cell>
          <cell r="K2629">
            <v>0.52</v>
          </cell>
          <cell r="L2629">
            <v>28.42</v>
          </cell>
          <cell r="M2629" t="str">
            <v>东区</v>
          </cell>
        </row>
        <row r="2630">
          <cell r="B2630" t="str">
            <v>郑学明\韦青 Total</v>
          </cell>
          <cell r="L2630">
            <v>28.42</v>
          </cell>
        </row>
        <row r="2631">
          <cell r="A2631" t="str">
            <v>G02069</v>
          </cell>
          <cell r="B2631" t="str">
            <v>郑以德</v>
          </cell>
          <cell r="C2631" t="str">
            <v>其它</v>
          </cell>
          <cell r="D2631" t="str">
            <v>其它</v>
          </cell>
          <cell r="E2631" t="str">
            <v>保证贷款</v>
          </cell>
          <cell r="F2631">
            <v>37468</v>
          </cell>
          <cell r="G2631">
            <v>37833</v>
          </cell>
          <cell r="H2631">
            <v>0</v>
          </cell>
          <cell r="I2631">
            <v>50</v>
          </cell>
          <cell r="J2631">
            <v>0</v>
          </cell>
          <cell r="K2631">
            <v>0</v>
          </cell>
          <cell r="L2631">
            <v>50</v>
          </cell>
          <cell r="M2631" t="str">
            <v>营业</v>
          </cell>
        </row>
        <row r="2632">
          <cell r="B2632" t="str">
            <v>郑以德 Total</v>
          </cell>
          <cell r="L2632">
            <v>50</v>
          </cell>
        </row>
        <row r="2633">
          <cell r="A2633" t="str">
            <v>020031</v>
          </cell>
          <cell r="B2633" t="str">
            <v>郑幼利</v>
          </cell>
          <cell r="C2633" t="str">
            <v>住房</v>
          </cell>
          <cell r="D2633" t="str">
            <v>其它</v>
          </cell>
          <cell r="E2633" t="str">
            <v>抵押贷款</v>
          </cell>
          <cell r="F2633">
            <v>36858</v>
          </cell>
          <cell r="G2633">
            <v>40502</v>
          </cell>
          <cell r="H2633">
            <v>0</v>
          </cell>
          <cell r="I2633">
            <v>28.9</v>
          </cell>
          <cell r="J2633">
            <v>0.22</v>
          </cell>
          <cell r="K2633">
            <v>1.53</v>
          </cell>
          <cell r="L2633">
            <v>27.37</v>
          </cell>
          <cell r="M2633" t="str">
            <v>东区</v>
          </cell>
        </row>
        <row r="2634">
          <cell r="B2634" t="str">
            <v>郑幼利 Total</v>
          </cell>
          <cell r="L2634">
            <v>27.37</v>
          </cell>
        </row>
        <row r="2635">
          <cell r="A2635" t="str">
            <v>x24003</v>
          </cell>
          <cell r="B2635" t="str">
            <v>郑再生</v>
          </cell>
          <cell r="C2635" t="str">
            <v>其它</v>
          </cell>
          <cell r="D2635" t="str">
            <v>其它</v>
          </cell>
          <cell r="E2635" t="str">
            <v>抵押贷款</v>
          </cell>
          <cell r="F2635">
            <v>37351</v>
          </cell>
          <cell r="G2635">
            <v>37716</v>
          </cell>
          <cell r="H2635">
            <v>0</v>
          </cell>
          <cell r="I2635">
            <v>13</v>
          </cell>
          <cell r="J2635">
            <v>0</v>
          </cell>
          <cell r="K2635">
            <v>0</v>
          </cell>
          <cell r="L2635">
            <v>13</v>
          </cell>
          <cell r="M2635" t="str">
            <v>文滨</v>
          </cell>
        </row>
        <row r="2636">
          <cell r="B2636" t="str">
            <v>郑再生 Total</v>
          </cell>
          <cell r="L2636">
            <v>13</v>
          </cell>
        </row>
        <row r="2637">
          <cell r="A2637" t="str">
            <v>942004</v>
          </cell>
          <cell r="B2637" t="str">
            <v>中国武夷实业厦门公司</v>
          </cell>
          <cell r="C2637" t="str">
            <v>国营</v>
          </cell>
          <cell r="D2637" t="str">
            <v>其它</v>
          </cell>
          <cell r="E2637" t="str">
            <v>保证贷款</v>
          </cell>
          <cell r="F2637">
            <v>37270</v>
          </cell>
          <cell r="G2637">
            <v>37635</v>
          </cell>
          <cell r="H2637">
            <v>0</v>
          </cell>
          <cell r="I2637">
            <v>600</v>
          </cell>
          <cell r="J2637">
            <v>0</v>
          </cell>
          <cell r="K2637">
            <v>0</v>
          </cell>
          <cell r="L2637">
            <v>600</v>
          </cell>
          <cell r="M2637" t="str">
            <v>莲富</v>
          </cell>
        </row>
        <row r="2638">
          <cell r="B2638" t="str">
            <v>中国武夷实业厦门公司 Total</v>
          </cell>
          <cell r="L2638">
            <v>600</v>
          </cell>
        </row>
        <row r="2639">
          <cell r="A2639" t="str">
            <v>12083</v>
          </cell>
          <cell r="B2639" t="str">
            <v>中国乡镇企业投资开发</v>
          </cell>
          <cell r="C2639" t="str">
            <v>国营</v>
          </cell>
          <cell r="D2639" t="str">
            <v>商贸</v>
          </cell>
          <cell r="E2639" t="str">
            <v>抵押贷款</v>
          </cell>
          <cell r="F2639">
            <v>37027</v>
          </cell>
          <cell r="G2639">
            <v>37298</v>
          </cell>
          <cell r="H2639">
            <v>0</v>
          </cell>
          <cell r="I2639">
            <v>0</v>
          </cell>
          <cell r="J2639">
            <v>0</v>
          </cell>
          <cell r="K2639">
            <v>0</v>
          </cell>
          <cell r="L2639">
            <v>405</v>
          </cell>
          <cell r="M2639" t="str">
            <v>江头</v>
          </cell>
        </row>
        <row r="2640">
          <cell r="B2640" t="str">
            <v>中国乡镇企业投资开发 Total</v>
          </cell>
          <cell r="L2640">
            <v>405</v>
          </cell>
        </row>
        <row r="2641">
          <cell r="A2641" t="str">
            <v>02-037</v>
          </cell>
          <cell r="B2641" t="str">
            <v>中国新兴厦门进出口</v>
          </cell>
          <cell r="C2641" t="str">
            <v>国营</v>
          </cell>
          <cell r="D2641" t="str">
            <v>商贸</v>
          </cell>
          <cell r="E2641" t="str">
            <v>保证贷款</v>
          </cell>
          <cell r="F2641">
            <v>37438</v>
          </cell>
          <cell r="G2641">
            <v>37803</v>
          </cell>
          <cell r="H2641">
            <v>0</v>
          </cell>
          <cell r="I2641">
            <v>200</v>
          </cell>
          <cell r="J2641">
            <v>0</v>
          </cell>
          <cell r="K2641">
            <v>70</v>
          </cell>
          <cell r="L2641">
            <v>130</v>
          </cell>
          <cell r="M2641" t="str">
            <v>营业</v>
          </cell>
        </row>
        <row r="2642">
          <cell r="A2642" t="str">
            <v>02-001</v>
          </cell>
          <cell r="B2642" t="str">
            <v>中国新兴厦门进出口</v>
          </cell>
          <cell r="C2642" t="str">
            <v>国营</v>
          </cell>
          <cell r="D2642" t="str">
            <v>商贸</v>
          </cell>
          <cell r="E2642" t="str">
            <v>保证贷款</v>
          </cell>
          <cell r="F2642">
            <v>37454</v>
          </cell>
          <cell r="G2642">
            <v>37638</v>
          </cell>
          <cell r="H2642">
            <v>0</v>
          </cell>
          <cell r="I2642">
            <v>24</v>
          </cell>
          <cell r="J2642">
            <v>0</v>
          </cell>
          <cell r="K2642">
            <v>0</v>
          </cell>
          <cell r="L2642">
            <v>198.59279999999998</v>
          </cell>
          <cell r="M2642" t="str">
            <v>营业</v>
          </cell>
        </row>
        <row r="2643">
          <cell r="B2643" t="str">
            <v>中国新兴厦门进出口 Total</v>
          </cell>
          <cell r="L2643">
            <v>328.59280000000001</v>
          </cell>
        </row>
        <row r="2644">
          <cell r="A2644" t="str">
            <v>07917A</v>
          </cell>
          <cell r="B2644" t="str">
            <v>中海公司</v>
          </cell>
          <cell r="C2644" t="str">
            <v>国营</v>
          </cell>
          <cell r="D2644" t="str">
            <v>商贸</v>
          </cell>
          <cell r="E2644" t="str">
            <v>保证贷款</v>
          </cell>
          <cell r="F2644">
            <v>35149</v>
          </cell>
          <cell r="G2644">
            <v>35160</v>
          </cell>
          <cell r="H2644">
            <v>0</v>
          </cell>
          <cell r="I2644">
            <v>0</v>
          </cell>
          <cell r="J2644">
            <v>0</v>
          </cell>
          <cell r="K2644">
            <v>0</v>
          </cell>
          <cell r="L2644">
            <v>316.67276900000002</v>
          </cell>
          <cell r="M2644" t="str">
            <v>营业</v>
          </cell>
        </row>
        <row r="2645">
          <cell r="B2645" t="str">
            <v>中海公司 Total</v>
          </cell>
          <cell r="L2645">
            <v>316.67276900000002</v>
          </cell>
        </row>
        <row r="2646">
          <cell r="A2646" t="str">
            <v>600020</v>
          </cell>
          <cell r="B2646" t="str">
            <v>中航港南方工程局</v>
          </cell>
          <cell r="C2646" t="str">
            <v>国营</v>
          </cell>
          <cell r="D2646" t="str">
            <v>工业</v>
          </cell>
          <cell r="E2646" t="str">
            <v>保证贷款</v>
          </cell>
          <cell r="F2646">
            <v>37146</v>
          </cell>
          <cell r="G2646">
            <v>38242</v>
          </cell>
          <cell r="H2646">
            <v>0</v>
          </cell>
          <cell r="I2646">
            <v>0</v>
          </cell>
          <cell r="J2646">
            <v>0</v>
          </cell>
          <cell r="K2646">
            <v>0</v>
          </cell>
          <cell r="L2646">
            <v>150</v>
          </cell>
          <cell r="M2646" t="str">
            <v>海沧</v>
          </cell>
        </row>
        <row r="2647">
          <cell r="A2647" t="str">
            <v>600021</v>
          </cell>
          <cell r="B2647" t="str">
            <v>中航港南方工程局</v>
          </cell>
          <cell r="C2647" t="str">
            <v>国营</v>
          </cell>
          <cell r="D2647" t="str">
            <v>工业</v>
          </cell>
          <cell r="E2647" t="str">
            <v>保证贷款</v>
          </cell>
          <cell r="F2647">
            <v>37231</v>
          </cell>
          <cell r="G2647">
            <v>38327</v>
          </cell>
          <cell r="H2647">
            <v>0</v>
          </cell>
          <cell r="I2647">
            <v>0</v>
          </cell>
          <cell r="J2647">
            <v>0</v>
          </cell>
          <cell r="K2647">
            <v>0</v>
          </cell>
          <cell r="L2647">
            <v>220</v>
          </cell>
          <cell r="M2647" t="str">
            <v>海沧</v>
          </cell>
        </row>
        <row r="2648">
          <cell r="B2648" t="str">
            <v>中航港南方工程局 Total</v>
          </cell>
          <cell r="L2648">
            <v>370</v>
          </cell>
        </row>
        <row r="2649">
          <cell r="A2649" t="str">
            <v>200218</v>
          </cell>
          <cell r="B2649" t="str">
            <v>中航港厦门南方工程局</v>
          </cell>
          <cell r="C2649" t="str">
            <v>国营</v>
          </cell>
          <cell r="D2649" t="str">
            <v>工业</v>
          </cell>
          <cell r="E2649" t="str">
            <v>保证贷款</v>
          </cell>
          <cell r="F2649">
            <v>37439</v>
          </cell>
          <cell r="G2649">
            <v>37988</v>
          </cell>
          <cell r="H2649">
            <v>0</v>
          </cell>
          <cell r="I2649">
            <v>360</v>
          </cell>
          <cell r="J2649">
            <v>0</v>
          </cell>
          <cell r="K2649">
            <v>0</v>
          </cell>
          <cell r="L2649">
            <v>360</v>
          </cell>
          <cell r="M2649" t="str">
            <v>海沧</v>
          </cell>
        </row>
        <row r="2650">
          <cell r="A2650" t="str">
            <v>200242</v>
          </cell>
          <cell r="B2650" t="str">
            <v>中航港厦门南方工程局</v>
          </cell>
          <cell r="C2650" t="str">
            <v>国营</v>
          </cell>
          <cell r="D2650" t="str">
            <v>工业</v>
          </cell>
          <cell r="E2650" t="str">
            <v>保证贷款</v>
          </cell>
          <cell r="F2650">
            <v>37439</v>
          </cell>
          <cell r="G2650">
            <v>37654</v>
          </cell>
          <cell r="H2650">
            <v>0</v>
          </cell>
          <cell r="I2650">
            <v>470</v>
          </cell>
          <cell r="J2650">
            <v>0</v>
          </cell>
          <cell r="K2650">
            <v>0</v>
          </cell>
          <cell r="L2650">
            <v>470</v>
          </cell>
          <cell r="M2650" t="str">
            <v>海沧</v>
          </cell>
        </row>
        <row r="2651">
          <cell r="A2651" t="str">
            <v>200234</v>
          </cell>
          <cell r="B2651" t="str">
            <v>中航港厦门南方工程局</v>
          </cell>
          <cell r="C2651" t="str">
            <v>国营</v>
          </cell>
          <cell r="D2651" t="str">
            <v>工业</v>
          </cell>
          <cell r="E2651" t="str">
            <v>保证贷款</v>
          </cell>
          <cell r="F2651">
            <v>37406</v>
          </cell>
          <cell r="G2651">
            <v>37770</v>
          </cell>
          <cell r="H2651">
            <v>0</v>
          </cell>
          <cell r="I2651">
            <v>500</v>
          </cell>
          <cell r="J2651">
            <v>0</v>
          </cell>
          <cell r="K2651">
            <v>0</v>
          </cell>
          <cell r="L2651">
            <v>500</v>
          </cell>
          <cell r="M2651" t="str">
            <v>海沧</v>
          </cell>
        </row>
        <row r="2652">
          <cell r="B2652" t="str">
            <v>中航港厦门南方工程局 Total</v>
          </cell>
          <cell r="L2652">
            <v>1330</v>
          </cell>
        </row>
        <row r="2653">
          <cell r="A2653" t="str">
            <v>070041</v>
          </cell>
          <cell r="B2653" t="str">
            <v>中际进出口公司</v>
          </cell>
          <cell r="C2653" t="str">
            <v>国营</v>
          </cell>
          <cell r="D2653" t="str">
            <v>商贸</v>
          </cell>
          <cell r="E2653" t="str">
            <v>保证贷款</v>
          </cell>
          <cell r="F2653">
            <v>37365</v>
          </cell>
          <cell r="G2653">
            <v>37579</v>
          </cell>
          <cell r="H2653">
            <v>0</v>
          </cell>
          <cell r="I2653">
            <v>100</v>
          </cell>
          <cell r="J2653">
            <v>0</v>
          </cell>
          <cell r="K2653">
            <v>0</v>
          </cell>
          <cell r="L2653">
            <v>100</v>
          </cell>
          <cell r="M2653" t="str">
            <v>公园</v>
          </cell>
        </row>
        <row r="2654">
          <cell r="B2654" t="str">
            <v>中际进出口公司 Total</v>
          </cell>
          <cell r="L2654">
            <v>100</v>
          </cell>
        </row>
        <row r="2655">
          <cell r="A2655" t="str">
            <v>150257</v>
          </cell>
          <cell r="B2655" t="str">
            <v>中建</v>
          </cell>
          <cell r="C2655" t="str">
            <v>国营</v>
          </cell>
          <cell r="D2655" t="str">
            <v>其它</v>
          </cell>
          <cell r="E2655" t="str">
            <v>保证贷款</v>
          </cell>
          <cell r="F2655">
            <v>37511</v>
          </cell>
          <cell r="G2655">
            <v>37692</v>
          </cell>
          <cell r="H2655">
            <v>0</v>
          </cell>
          <cell r="I2655">
            <v>94</v>
          </cell>
          <cell r="J2655">
            <v>0</v>
          </cell>
          <cell r="K2655">
            <v>0</v>
          </cell>
          <cell r="L2655">
            <v>94</v>
          </cell>
          <cell r="M2655" t="str">
            <v>湖里</v>
          </cell>
        </row>
        <row r="2656">
          <cell r="A2656" t="str">
            <v>150258</v>
          </cell>
          <cell r="B2656" t="str">
            <v>中建</v>
          </cell>
          <cell r="C2656" t="str">
            <v>国营</v>
          </cell>
          <cell r="D2656" t="str">
            <v>其它</v>
          </cell>
          <cell r="E2656" t="str">
            <v>保证贷款</v>
          </cell>
          <cell r="F2656">
            <v>37512</v>
          </cell>
          <cell r="G2656">
            <v>37877</v>
          </cell>
          <cell r="H2656">
            <v>0</v>
          </cell>
          <cell r="I2656">
            <v>200</v>
          </cell>
          <cell r="J2656">
            <v>0</v>
          </cell>
          <cell r="K2656">
            <v>0</v>
          </cell>
          <cell r="L2656">
            <v>200</v>
          </cell>
          <cell r="M2656" t="str">
            <v>湖里</v>
          </cell>
        </row>
        <row r="2657">
          <cell r="B2657" t="str">
            <v>中建 Total</v>
          </cell>
          <cell r="L2657">
            <v>294</v>
          </cell>
        </row>
        <row r="2658">
          <cell r="A2658" t="str">
            <v>250830</v>
          </cell>
          <cell r="B2658" t="str">
            <v>中建实业</v>
          </cell>
          <cell r="C2658" t="str">
            <v>集体</v>
          </cell>
          <cell r="D2658" t="str">
            <v>商贸</v>
          </cell>
          <cell r="E2658" t="str">
            <v>保证贷款</v>
          </cell>
          <cell r="F2658">
            <v>37550</v>
          </cell>
          <cell r="G2658">
            <v>37732</v>
          </cell>
          <cell r="H2658">
            <v>100</v>
          </cell>
          <cell r="I2658">
            <v>100</v>
          </cell>
          <cell r="J2658">
            <v>0</v>
          </cell>
          <cell r="K2658">
            <v>0</v>
          </cell>
          <cell r="L2658">
            <v>100</v>
          </cell>
          <cell r="M2658" t="str">
            <v>湖里</v>
          </cell>
        </row>
        <row r="2659">
          <cell r="A2659" t="str">
            <v>250443</v>
          </cell>
          <cell r="B2659" t="str">
            <v>中建实业</v>
          </cell>
          <cell r="C2659" t="str">
            <v>集体</v>
          </cell>
          <cell r="D2659" t="str">
            <v>商贸</v>
          </cell>
          <cell r="E2659" t="str">
            <v>保证贷款</v>
          </cell>
          <cell r="F2659">
            <v>37313</v>
          </cell>
          <cell r="G2659">
            <v>37678</v>
          </cell>
          <cell r="H2659">
            <v>0</v>
          </cell>
          <cell r="I2659">
            <v>300</v>
          </cell>
          <cell r="J2659">
            <v>0</v>
          </cell>
          <cell r="K2659">
            <v>0</v>
          </cell>
          <cell r="L2659">
            <v>300</v>
          </cell>
          <cell r="M2659" t="str">
            <v>湖里</v>
          </cell>
        </row>
        <row r="2660">
          <cell r="B2660" t="str">
            <v>中建实业 Total</v>
          </cell>
          <cell r="L2660">
            <v>400</v>
          </cell>
        </row>
        <row r="2661">
          <cell r="A2661" t="str">
            <v>070037</v>
          </cell>
          <cell r="B2661" t="str">
            <v>中坤化学公司</v>
          </cell>
          <cell r="C2661" t="str">
            <v>其它</v>
          </cell>
          <cell r="D2661" t="str">
            <v>商贸</v>
          </cell>
          <cell r="E2661" t="str">
            <v>保证贷款</v>
          </cell>
          <cell r="F2661">
            <v>37365</v>
          </cell>
          <cell r="G2661">
            <v>37729</v>
          </cell>
          <cell r="H2661">
            <v>0</v>
          </cell>
          <cell r="I2661">
            <v>500</v>
          </cell>
          <cell r="J2661">
            <v>0</v>
          </cell>
          <cell r="K2661">
            <v>0</v>
          </cell>
          <cell r="L2661">
            <v>500</v>
          </cell>
          <cell r="M2661" t="str">
            <v>公园</v>
          </cell>
        </row>
        <row r="2662">
          <cell r="A2662" t="str">
            <v>070036</v>
          </cell>
          <cell r="B2662" t="str">
            <v>中坤化学公司</v>
          </cell>
          <cell r="C2662" t="str">
            <v>其它</v>
          </cell>
          <cell r="D2662" t="str">
            <v>商贸</v>
          </cell>
          <cell r="E2662" t="str">
            <v>保证贷款</v>
          </cell>
          <cell r="F2662">
            <v>37365</v>
          </cell>
          <cell r="G2662">
            <v>37729</v>
          </cell>
          <cell r="H2662">
            <v>0</v>
          </cell>
          <cell r="I2662">
            <v>500</v>
          </cell>
          <cell r="J2662">
            <v>0</v>
          </cell>
          <cell r="K2662">
            <v>0</v>
          </cell>
          <cell r="L2662">
            <v>500</v>
          </cell>
          <cell r="M2662" t="str">
            <v>公园</v>
          </cell>
        </row>
        <row r="2663">
          <cell r="B2663" t="str">
            <v>中坤化学公司 Total</v>
          </cell>
          <cell r="L2663">
            <v>1000</v>
          </cell>
        </row>
        <row r="2664">
          <cell r="A2664" t="str">
            <v>97116</v>
          </cell>
          <cell r="B2664" t="str">
            <v>中贸</v>
          </cell>
          <cell r="C2664" t="str">
            <v>外事</v>
          </cell>
          <cell r="D2664" t="str">
            <v>商贸</v>
          </cell>
          <cell r="E2664" t="str">
            <v>保证贷款</v>
          </cell>
          <cell r="F2664">
            <v>35642</v>
          </cell>
          <cell r="G2664">
            <v>35855</v>
          </cell>
          <cell r="H2664">
            <v>0</v>
          </cell>
          <cell r="I2664">
            <v>0</v>
          </cell>
          <cell r="J2664">
            <v>0</v>
          </cell>
          <cell r="K2664">
            <v>0</v>
          </cell>
          <cell r="L2664">
            <v>400</v>
          </cell>
          <cell r="M2664" t="str">
            <v>文滨</v>
          </cell>
        </row>
        <row r="2665">
          <cell r="A2665" t="str">
            <v>97125</v>
          </cell>
          <cell r="B2665" t="str">
            <v>中贸</v>
          </cell>
          <cell r="C2665" t="str">
            <v>外事</v>
          </cell>
          <cell r="D2665" t="str">
            <v>商贸</v>
          </cell>
          <cell r="E2665" t="str">
            <v>保证贷款</v>
          </cell>
          <cell r="F2665">
            <v>35671</v>
          </cell>
          <cell r="G2665">
            <v>35883</v>
          </cell>
          <cell r="H2665">
            <v>0</v>
          </cell>
          <cell r="I2665">
            <v>0</v>
          </cell>
          <cell r="J2665">
            <v>0</v>
          </cell>
          <cell r="K2665">
            <v>0</v>
          </cell>
          <cell r="L2665">
            <v>400</v>
          </cell>
          <cell r="M2665" t="str">
            <v>文滨</v>
          </cell>
        </row>
        <row r="2666">
          <cell r="B2666" t="str">
            <v>中贸 Total</v>
          </cell>
          <cell r="L2666">
            <v>800</v>
          </cell>
        </row>
        <row r="2667">
          <cell r="A2667" t="str">
            <v>070034</v>
          </cell>
          <cell r="B2667" t="str">
            <v>中南房地产公司</v>
          </cell>
          <cell r="C2667" t="str">
            <v>其它</v>
          </cell>
          <cell r="D2667" t="str">
            <v>其它</v>
          </cell>
          <cell r="E2667" t="str">
            <v>保证贷款</v>
          </cell>
          <cell r="F2667">
            <v>37363</v>
          </cell>
          <cell r="G2667">
            <v>37721</v>
          </cell>
          <cell r="H2667">
            <v>0</v>
          </cell>
          <cell r="I2667">
            <v>1500</v>
          </cell>
          <cell r="J2667">
            <v>0</v>
          </cell>
          <cell r="K2667">
            <v>0</v>
          </cell>
          <cell r="L2667">
            <v>1500</v>
          </cell>
          <cell r="M2667" t="str">
            <v>公园</v>
          </cell>
        </row>
        <row r="2668">
          <cell r="B2668" t="str">
            <v>中南房地产公司 Total</v>
          </cell>
          <cell r="L2668">
            <v>1500</v>
          </cell>
        </row>
        <row r="2669">
          <cell r="A2669" t="str">
            <v>98003</v>
          </cell>
          <cell r="B2669" t="str">
            <v>中汽销售</v>
          </cell>
          <cell r="C2669" t="str">
            <v>国营</v>
          </cell>
          <cell r="D2669" t="str">
            <v>商贸</v>
          </cell>
          <cell r="E2669" t="str">
            <v>保证贷款</v>
          </cell>
          <cell r="F2669">
            <v>36027</v>
          </cell>
          <cell r="G2669">
            <v>36042</v>
          </cell>
          <cell r="H2669">
            <v>0</v>
          </cell>
          <cell r="I2669">
            <v>0</v>
          </cell>
          <cell r="J2669">
            <v>0</v>
          </cell>
          <cell r="K2669">
            <v>0</v>
          </cell>
          <cell r="L2669">
            <v>21.845208</v>
          </cell>
          <cell r="M2669" t="str">
            <v>文滨</v>
          </cell>
        </row>
        <row r="2670">
          <cell r="A2670" t="str">
            <v>98004</v>
          </cell>
          <cell r="B2670" t="str">
            <v>中汽销售</v>
          </cell>
          <cell r="C2670" t="str">
            <v>国营</v>
          </cell>
          <cell r="D2670" t="str">
            <v>商贸</v>
          </cell>
          <cell r="E2670" t="str">
            <v>保证贷款</v>
          </cell>
          <cell r="F2670">
            <v>36034</v>
          </cell>
          <cell r="G2670">
            <v>36049</v>
          </cell>
          <cell r="H2670">
            <v>0</v>
          </cell>
          <cell r="I2670">
            <v>0</v>
          </cell>
          <cell r="J2670">
            <v>0</v>
          </cell>
          <cell r="K2670">
            <v>0</v>
          </cell>
          <cell r="L2670">
            <v>21.845208</v>
          </cell>
          <cell r="M2670" t="str">
            <v>文滨</v>
          </cell>
        </row>
        <row r="2671">
          <cell r="A2671" t="str">
            <v>98002</v>
          </cell>
          <cell r="B2671" t="str">
            <v>中汽销售</v>
          </cell>
          <cell r="C2671" t="str">
            <v>国营</v>
          </cell>
          <cell r="D2671" t="str">
            <v>商贸</v>
          </cell>
          <cell r="E2671" t="str">
            <v>保证贷款</v>
          </cell>
          <cell r="F2671">
            <v>36025</v>
          </cell>
          <cell r="G2671">
            <v>36040</v>
          </cell>
          <cell r="H2671">
            <v>0</v>
          </cell>
          <cell r="I2671">
            <v>0</v>
          </cell>
          <cell r="J2671">
            <v>0</v>
          </cell>
          <cell r="K2671">
            <v>0</v>
          </cell>
          <cell r="L2671">
            <v>52.958079999999995</v>
          </cell>
          <cell r="M2671" t="str">
            <v>文滨</v>
          </cell>
        </row>
        <row r="2672">
          <cell r="A2672" t="str">
            <v>98006</v>
          </cell>
          <cell r="B2672" t="str">
            <v>中汽销售</v>
          </cell>
          <cell r="C2672" t="str">
            <v>国营</v>
          </cell>
          <cell r="D2672" t="str">
            <v>商贸</v>
          </cell>
          <cell r="E2672" t="str">
            <v>保证贷款</v>
          </cell>
          <cell r="F2672">
            <v>36083</v>
          </cell>
          <cell r="G2672">
            <v>36098</v>
          </cell>
          <cell r="H2672">
            <v>0</v>
          </cell>
          <cell r="I2672">
            <v>0</v>
          </cell>
          <cell r="J2672">
            <v>0</v>
          </cell>
          <cell r="K2672">
            <v>0</v>
          </cell>
          <cell r="L2672">
            <v>270.913678</v>
          </cell>
          <cell r="M2672" t="str">
            <v>文滨</v>
          </cell>
        </row>
        <row r="2673">
          <cell r="B2673" t="str">
            <v>中汽销售 Total</v>
          </cell>
          <cell r="L2673">
            <v>367.56217400000003</v>
          </cell>
        </row>
        <row r="2674">
          <cell r="A2674" t="str">
            <v>10002D</v>
          </cell>
          <cell r="B2674" t="str">
            <v>中侨联厦门开发公司</v>
          </cell>
          <cell r="C2674" t="str">
            <v>国营</v>
          </cell>
          <cell r="D2674" t="str">
            <v>商贸</v>
          </cell>
          <cell r="E2674" t="str">
            <v>保证贷款</v>
          </cell>
          <cell r="F2674">
            <v>35870</v>
          </cell>
          <cell r="G2674">
            <v>35877</v>
          </cell>
          <cell r="H2674">
            <v>0</v>
          </cell>
          <cell r="I2674">
            <v>0</v>
          </cell>
          <cell r="J2674">
            <v>0</v>
          </cell>
          <cell r="K2674">
            <v>0</v>
          </cell>
          <cell r="L2674">
            <v>101.19958099999999</v>
          </cell>
          <cell r="M2674" t="str">
            <v>江头</v>
          </cell>
        </row>
        <row r="2675">
          <cell r="B2675" t="str">
            <v>中侨联厦门开发公司 Total</v>
          </cell>
          <cell r="L2675">
            <v>101.19958099999999</v>
          </cell>
        </row>
        <row r="2676">
          <cell r="A2676" t="str">
            <v>200072</v>
          </cell>
          <cell r="B2676" t="str">
            <v>中侨旅游</v>
          </cell>
          <cell r="C2676" t="str">
            <v>集体</v>
          </cell>
          <cell r="D2676" t="str">
            <v>商贸</v>
          </cell>
          <cell r="E2676" t="str">
            <v>抵押贷款</v>
          </cell>
          <cell r="F2676">
            <v>37516</v>
          </cell>
          <cell r="G2676">
            <v>38241</v>
          </cell>
          <cell r="H2676">
            <v>0</v>
          </cell>
          <cell r="I2676">
            <v>10.8</v>
          </cell>
          <cell r="J2676">
            <v>0.42</v>
          </cell>
          <cell r="K2676">
            <v>0.42</v>
          </cell>
          <cell r="L2676">
            <v>10.38</v>
          </cell>
          <cell r="M2676" t="str">
            <v>新港</v>
          </cell>
        </row>
        <row r="2677">
          <cell r="A2677" t="str">
            <v>200032</v>
          </cell>
          <cell r="B2677" t="str">
            <v>中侨旅游</v>
          </cell>
          <cell r="C2677" t="str">
            <v>集体</v>
          </cell>
          <cell r="D2677" t="str">
            <v>商贸</v>
          </cell>
          <cell r="E2677" t="str">
            <v>抵押贷款</v>
          </cell>
          <cell r="F2677">
            <v>37386</v>
          </cell>
          <cell r="G2677">
            <v>38117</v>
          </cell>
          <cell r="H2677">
            <v>0</v>
          </cell>
          <cell r="I2677">
            <v>18</v>
          </cell>
          <cell r="J2677">
            <v>1.5</v>
          </cell>
          <cell r="K2677">
            <v>3.72</v>
          </cell>
          <cell r="L2677">
            <v>14.28</v>
          </cell>
          <cell r="M2677" t="str">
            <v>新港</v>
          </cell>
        </row>
        <row r="2678">
          <cell r="A2678" t="str">
            <v>200033</v>
          </cell>
          <cell r="B2678" t="str">
            <v>中侨旅游</v>
          </cell>
          <cell r="C2678" t="str">
            <v>集体</v>
          </cell>
          <cell r="D2678" t="str">
            <v>商贸</v>
          </cell>
          <cell r="E2678" t="str">
            <v>抵押贷款</v>
          </cell>
          <cell r="F2678">
            <v>37391</v>
          </cell>
          <cell r="G2678">
            <v>38122</v>
          </cell>
          <cell r="H2678">
            <v>0</v>
          </cell>
          <cell r="I2678">
            <v>18</v>
          </cell>
          <cell r="J2678">
            <v>1.43</v>
          </cell>
          <cell r="K2678">
            <v>3.55</v>
          </cell>
          <cell r="L2678">
            <v>14.45</v>
          </cell>
          <cell r="M2678" t="str">
            <v>新港</v>
          </cell>
        </row>
        <row r="2679">
          <cell r="A2679" t="str">
            <v>200056</v>
          </cell>
          <cell r="B2679" t="str">
            <v>中侨旅游</v>
          </cell>
          <cell r="C2679" t="str">
            <v>集体</v>
          </cell>
          <cell r="D2679" t="str">
            <v>商贸</v>
          </cell>
          <cell r="E2679" t="str">
            <v>抵押贷款</v>
          </cell>
          <cell r="F2679">
            <v>37477</v>
          </cell>
          <cell r="G2679">
            <v>38207</v>
          </cell>
          <cell r="H2679">
            <v>0</v>
          </cell>
          <cell r="I2679">
            <v>17.52</v>
          </cell>
          <cell r="J2679">
            <v>1.37</v>
          </cell>
          <cell r="K2679">
            <v>1.37</v>
          </cell>
          <cell r="L2679">
            <v>16.149999999999999</v>
          </cell>
          <cell r="M2679" t="str">
            <v>新港</v>
          </cell>
        </row>
        <row r="2680">
          <cell r="B2680" t="str">
            <v>中侨旅游 Total</v>
          </cell>
          <cell r="L2680">
            <v>55.26</v>
          </cell>
        </row>
        <row r="2681">
          <cell r="A2681" t="str">
            <v>02-107</v>
          </cell>
          <cell r="B2681" t="str">
            <v>中润吉粮</v>
          </cell>
          <cell r="C2681" t="str">
            <v>集体</v>
          </cell>
          <cell r="D2681" t="str">
            <v>其它</v>
          </cell>
          <cell r="E2681" t="str">
            <v>保证贷款</v>
          </cell>
          <cell r="F2681">
            <v>37405</v>
          </cell>
          <cell r="G2681">
            <v>37650</v>
          </cell>
          <cell r="H2681">
            <v>0</v>
          </cell>
          <cell r="I2681">
            <v>700</v>
          </cell>
          <cell r="J2681">
            <v>0</v>
          </cell>
          <cell r="K2681">
            <v>0</v>
          </cell>
          <cell r="L2681">
            <v>700</v>
          </cell>
          <cell r="M2681" t="str">
            <v>营业</v>
          </cell>
        </row>
        <row r="2682">
          <cell r="B2682" t="str">
            <v>中润吉粮 Total</v>
          </cell>
          <cell r="L2682">
            <v>700</v>
          </cell>
        </row>
        <row r="2683">
          <cell r="A2683" t="str">
            <v>200276</v>
          </cell>
          <cell r="B2683" t="str">
            <v>中盛粮油企业公司</v>
          </cell>
          <cell r="C2683" t="str">
            <v>集体</v>
          </cell>
          <cell r="D2683" t="str">
            <v>工业</v>
          </cell>
          <cell r="E2683" t="str">
            <v>抵押贷款</v>
          </cell>
          <cell r="F2683">
            <v>37560</v>
          </cell>
          <cell r="G2683">
            <v>37864</v>
          </cell>
          <cell r="H2683">
            <v>150</v>
          </cell>
          <cell r="I2683">
            <v>150</v>
          </cell>
          <cell r="J2683">
            <v>0</v>
          </cell>
          <cell r="K2683">
            <v>0</v>
          </cell>
          <cell r="L2683">
            <v>150</v>
          </cell>
          <cell r="M2683" t="str">
            <v>同安</v>
          </cell>
        </row>
        <row r="2684">
          <cell r="B2684" t="str">
            <v>中盛粮油企业公司 Total</v>
          </cell>
          <cell r="L2684">
            <v>150</v>
          </cell>
        </row>
        <row r="2685">
          <cell r="A2685" t="str">
            <v>070052</v>
          </cell>
          <cell r="B2685" t="str">
            <v>中厦国际经济公司</v>
          </cell>
          <cell r="C2685" t="str">
            <v>国营</v>
          </cell>
          <cell r="D2685" t="str">
            <v>商贸</v>
          </cell>
          <cell r="E2685" t="str">
            <v>质押贷款</v>
          </cell>
          <cell r="F2685">
            <v>37431</v>
          </cell>
          <cell r="G2685">
            <v>37614</v>
          </cell>
          <cell r="H2685">
            <v>0</v>
          </cell>
          <cell r="I2685">
            <v>1000</v>
          </cell>
          <cell r="J2685">
            <v>0</v>
          </cell>
          <cell r="K2685">
            <v>0</v>
          </cell>
          <cell r="L2685">
            <v>1000</v>
          </cell>
          <cell r="M2685" t="str">
            <v>公园</v>
          </cell>
        </row>
        <row r="2686">
          <cell r="B2686" t="str">
            <v>中厦国际经济公司 Total</v>
          </cell>
          <cell r="L2686">
            <v>1000</v>
          </cell>
        </row>
        <row r="2687">
          <cell r="A2687" t="str">
            <v>200044</v>
          </cell>
          <cell r="B2687" t="str">
            <v>中信行集装箱</v>
          </cell>
          <cell r="C2687" t="str">
            <v>集体</v>
          </cell>
          <cell r="D2687" t="str">
            <v>商贸</v>
          </cell>
          <cell r="E2687" t="str">
            <v>抵押贷款</v>
          </cell>
          <cell r="F2687">
            <v>37435</v>
          </cell>
          <cell r="G2687">
            <v>38162</v>
          </cell>
          <cell r="H2687">
            <v>0</v>
          </cell>
          <cell r="I2687">
            <v>11</v>
          </cell>
          <cell r="J2687">
            <v>0.44</v>
          </cell>
          <cell r="K2687">
            <v>1.74</v>
          </cell>
          <cell r="L2687">
            <v>9.26</v>
          </cell>
          <cell r="M2687" t="str">
            <v>新港</v>
          </cell>
        </row>
        <row r="2688">
          <cell r="A2688" t="str">
            <v>200040</v>
          </cell>
          <cell r="B2688" t="str">
            <v>中信行集装箱</v>
          </cell>
          <cell r="C2688" t="str">
            <v>集体</v>
          </cell>
          <cell r="D2688" t="str">
            <v>商贸</v>
          </cell>
          <cell r="E2688" t="str">
            <v>抵押贷款</v>
          </cell>
          <cell r="F2688">
            <v>37404</v>
          </cell>
          <cell r="G2688">
            <v>38050</v>
          </cell>
          <cell r="H2688">
            <v>0</v>
          </cell>
          <cell r="I2688">
            <v>16.2</v>
          </cell>
          <cell r="J2688">
            <v>0.71</v>
          </cell>
          <cell r="K2688">
            <v>2.81</v>
          </cell>
          <cell r="L2688">
            <v>13.39</v>
          </cell>
          <cell r="M2688" t="str">
            <v>新港</v>
          </cell>
        </row>
        <row r="2689">
          <cell r="A2689" t="str">
            <v>200006</v>
          </cell>
          <cell r="B2689" t="str">
            <v>中信行集装箱</v>
          </cell>
          <cell r="C2689" t="str">
            <v>集体</v>
          </cell>
          <cell r="D2689" t="str">
            <v>商贸</v>
          </cell>
          <cell r="E2689" t="str">
            <v>抵押贷款</v>
          </cell>
          <cell r="F2689">
            <v>37175</v>
          </cell>
          <cell r="G2689">
            <v>37889</v>
          </cell>
          <cell r="H2689">
            <v>0</v>
          </cell>
          <cell r="I2689">
            <v>0</v>
          </cell>
          <cell r="J2689">
            <v>1.47</v>
          </cell>
          <cell r="K2689">
            <v>12.94</v>
          </cell>
          <cell r="L2689">
            <v>18.36</v>
          </cell>
          <cell r="M2689" t="str">
            <v>新港</v>
          </cell>
        </row>
        <row r="2690">
          <cell r="B2690" t="str">
            <v>中信行集装箱 Total</v>
          </cell>
          <cell r="L2690">
            <v>41.01</v>
          </cell>
        </row>
        <row r="2691">
          <cell r="A2691" t="str">
            <v>200051</v>
          </cell>
          <cell r="B2691" t="str">
            <v>中远集装箱</v>
          </cell>
          <cell r="C2691" t="str">
            <v>集体</v>
          </cell>
          <cell r="D2691" t="str">
            <v>商贸</v>
          </cell>
          <cell r="E2691" t="str">
            <v>抵押贷款</v>
          </cell>
          <cell r="F2691">
            <v>37462</v>
          </cell>
          <cell r="G2691">
            <v>37827</v>
          </cell>
          <cell r="H2691">
            <v>0</v>
          </cell>
          <cell r="I2691">
            <v>200</v>
          </cell>
          <cell r="J2691">
            <v>0</v>
          </cell>
          <cell r="K2691">
            <v>0</v>
          </cell>
          <cell r="L2691">
            <v>200</v>
          </cell>
          <cell r="M2691" t="str">
            <v>新港</v>
          </cell>
        </row>
        <row r="2692">
          <cell r="B2692" t="str">
            <v>中远集装箱 Total</v>
          </cell>
          <cell r="L2692">
            <v>200</v>
          </cell>
        </row>
        <row r="2693">
          <cell r="A2693" t="str">
            <v>200007</v>
          </cell>
          <cell r="B2693" t="str">
            <v>钟炳金</v>
          </cell>
          <cell r="C2693" t="str">
            <v>住房</v>
          </cell>
          <cell r="D2693" t="str">
            <v>其它</v>
          </cell>
          <cell r="E2693" t="str">
            <v>抵押贷款</v>
          </cell>
          <cell r="F2693">
            <v>36721</v>
          </cell>
          <cell r="G2693">
            <v>40372</v>
          </cell>
          <cell r="H2693">
            <v>0</v>
          </cell>
          <cell r="I2693">
            <v>13.91</v>
          </cell>
          <cell r="J2693">
            <v>0.12</v>
          </cell>
          <cell r="K2693">
            <v>0.78</v>
          </cell>
          <cell r="L2693">
            <v>13.13</v>
          </cell>
          <cell r="M2693" t="str">
            <v>鹭江</v>
          </cell>
        </row>
        <row r="2694">
          <cell r="B2694" t="str">
            <v>钟炳金 Total</v>
          </cell>
          <cell r="L2694">
            <v>13.13</v>
          </cell>
        </row>
        <row r="2695">
          <cell r="A2695" t="str">
            <v>500005</v>
          </cell>
          <cell r="B2695" t="str">
            <v>钟佳珍</v>
          </cell>
          <cell r="C2695" t="str">
            <v>其它</v>
          </cell>
          <cell r="D2695" t="str">
            <v>其它</v>
          </cell>
          <cell r="E2695" t="str">
            <v>抵押贷款</v>
          </cell>
          <cell r="F2695">
            <v>37230</v>
          </cell>
          <cell r="G2695">
            <v>37595</v>
          </cell>
          <cell r="H2695">
            <v>0</v>
          </cell>
          <cell r="I2695">
            <v>13</v>
          </cell>
          <cell r="J2695">
            <v>0</v>
          </cell>
          <cell r="K2695">
            <v>0</v>
          </cell>
          <cell r="L2695">
            <v>13</v>
          </cell>
          <cell r="M2695" t="str">
            <v>新港</v>
          </cell>
        </row>
        <row r="2696">
          <cell r="B2696" t="str">
            <v>钟佳珍 Total</v>
          </cell>
          <cell r="L2696">
            <v>13</v>
          </cell>
        </row>
        <row r="2697">
          <cell r="A2697" t="str">
            <v>000021</v>
          </cell>
          <cell r="B2697" t="str">
            <v>钟天德</v>
          </cell>
          <cell r="C2697" t="str">
            <v>其它</v>
          </cell>
          <cell r="D2697" t="str">
            <v>其它</v>
          </cell>
          <cell r="E2697" t="str">
            <v>抵押贷款</v>
          </cell>
          <cell r="F2697">
            <v>37356</v>
          </cell>
          <cell r="G2697">
            <v>38085</v>
          </cell>
          <cell r="H2697">
            <v>0</v>
          </cell>
          <cell r="I2697">
            <v>10</v>
          </cell>
          <cell r="J2697">
            <v>0.4</v>
          </cell>
          <cell r="K2697">
            <v>2.39</v>
          </cell>
          <cell r="L2697">
            <v>7.61</v>
          </cell>
          <cell r="M2697" t="str">
            <v>康乐</v>
          </cell>
        </row>
        <row r="2698">
          <cell r="B2698" t="str">
            <v>钟天德 Total</v>
          </cell>
          <cell r="L2698">
            <v>7.61</v>
          </cell>
        </row>
        <row r="2699">
          <cell r="A2699" t="str">
            <v>G02045</v>
          </cell>
          <cell r="B2699" t="str">
            <v>周淑妹</v>
          </cell>
          <cell r="C2699" t="str">
            <v>其它</v>
          </cell>
          <cell r="D2699" t="str">
            <v>其它</v>
          </cell>
          <cell r="E2699" t="str">
            <v>质押贷款</v>
          </cell>
          <cell r="F2699">
            <v>37512</v>
          </cell>
          <cell r="G2699">
            <v>37693</v>
          </cell>
          <cell r="H2699">
            <v>0</v>
          </cell>
          <cell r="I2699">
            <v>55</v>
          </cell>
          <cell r="J2699">
            <v>0</v>
          </cell>
          <cell r="K2699">
            <v>0</v>
          </cell>
          <cell r="L2699">
            <v>55</v>
          </cell>
          <cell r="M2699" t="str">
            <v>营业</v>
          </cell>
        </row>
        <row r="2700">
          <cell r="A2700" t="str">
            <v>G02036</v>
          </cell>
          <cell r="B2700" t="str">
            <v>周淑妹</v>
          </cell>
          <cell r="C2700" t="str">
            <v>其它</v>
          </cell>
          <cell r="D2700" t="str">
            <v>其它</v>
          </cell>
          <cell r="E2700" t="str">
            <v>质押贷款</v>
          </cell>
          <cell r="F2700">
            <v>37484</v>
          </cell>
          <cell r="G2700">
            <v>37668</v>
          </cell>
          <cell r="H2700">
            <v>0</v>
          </cell>
          <cell r="I2700">
            <v>65</v>
          </cell>
          <cell r="J2700">
            <v>0</v>
          </cell>
          <cell r="K2700">
            <v>0</v>
          </cell>
          <cell r="L2700">
            <v>65</v>
          </cell>
          <cell r="M2700" t="str">
            <v>营业</v>
          </cell>
        </row>
        <row r="2701">
          <cell r="A2701" t="str">
            <v>G02037</v>
          </cell>
          <cell r="B2701" t="str">
            <v>周淑妹</v>
          </cell>
          <cell r="C2701" t="str">
            <v>其它</v>
          </cell>
          <cell r="D2701" t="str">
            <v>其它</v>
          </cell>
          <cell r="E2701" t="str">
            <v>质押贷款</v>
          </cell>
          <cell r="F2701">
            <v>37484</v>
          </cell>
          <cell r="G2701">
            <v>37668</v>
          </cell>
          <cell r="H2701">
            <v>0</v>
          </cell>
          <cell r="I2701">
            <v>65</v>
          </cell>
          <cell r="J2701">
            <v>0</v>
          </cell>
          <cell r="K2701">
            <v>0</v>
          </cell>
          <cell r="L2701">
            <v>65</v>
          </cell>
          <cell r="M2701" t="str">
            <v>营业</v>
          </cell>
        </row>
        <row r="2702">
          <cell r="B2702" t="str">
            <v>周淑妹 Total</v>
          </cell>
          <cell r="L2702">
            <v>185</v>
          </cell>
        </row>
        <row r="2703">
          <cell r="A2703" t="str">
            <v>0004</v>
          </cell>
          <cell r="B2703" t="str">
            <v>周文峰</v>
          </cell>
          <cell r="C2703" t="str">
            <v>其它</v>
          </cell>
          <cell r="D2703" t="str">
            <v>其它</v>
          </cell>
          <cell r="E2703" t="str">
            <v>抵押贷款</v>
          </cell>
          <cell r="F2703">
            <v>37273</v>
          </cell>
          <cell r="G2703">
            <v>37638</v>
          </cell>
          <cell r="H2703">
            <v>0</v>
          </cell>
          <cell r="I2703">
            <v>6.5</v>
          </cell>
          <cell r="J2703">
            <v>0</v>
          </cell>
          <cell r="K2703">
            <v>0</v>
          </cell>
          <cell r="L2703">
            <v>6.5</v>
          </cell>
          <cell r="M2703" t="str">
            <v>东芳</v>
          </cell>
        </row>
        <row r="2704">
          <cell r="B2704" t="str">
            <v>周文峰 Total</v>
          </cell>
          <cell r="L2704">
            <v>6.5</v>
          </cell>
        </row>
        <row r="2705">
          <cell r="A2705" t="str">
            <v>020054</v>
          </cell>
          <cell r="B2705" t="str">
            <v>周肖</v>
          </cell>
          <cell r="C2705" t="str">
            <v>住房</v>
          </cell>
          <cell r="D2705" t="str">
            <v>其它</v>
          </cell>
          <cell r="E2705" t="str">
            <v>抵押贷款</v>
          </cell>
          <cell r="F2705">
            <v>36963</v>
          </cell>
          <cell r="G2705">
            <v>40615</v>
          </cell>
          <cell r="H2705">
            <v>0</v>
          </cell>
          <cell r="I2705">
            <v>28.62</v>
          </cell>
          <cell r="J2705">
            <v>0.21</v>
          </cell>
          <cell r="K2705">
            <v>1.46</v>
          </cell>
          <cell r="L2705">
            <v>27.16</v>
          </cell>
          <cell r="M2705" t="str">
            <v>东区</v>
          </cell>
        </row>
        <row r="2706">
          <cell r="B2706" t="str">
            <v>周肖 Total</v>
          </cell>
          <cell r="L2706">
            <v>27.16</v>
          </cell>
        </row>
        <row r="2707">
          <cell r="A2707" t="str">
            <v>200219</v>
          </cell>
          <cell r="B2707" t="str">
            <v>周秀英</v>
          </cell>
          <cell r="C2707" t="str">
            <v>其它</v>
          </cell>
          <cell r="D2707" t="str">
            <v>其它</v>
          </cell>
          <cell r="E2707" t="str">
            <v>质押贷款</v>
          </cell>
          <cell r="F2707">
            <v>37466</v>
          </cell>
          <cell r="G2707">
            <v>37830</v>
          </cell>
          <cell r="H2707">
            <v>0</v>
          </cell>
          <cell r="I2707">
            <v>4</v>
          </cell>
          <cell r="J2707">
            <v>0</v>
          </cell>
          <cell r="K2707">
            <v>0</v>
          </cell>
          <cell r="L2707">
            <v>4</v>
          </cell>
          <cell r="M2707" t="str">
            <v>海沧</v>
          </cell>
        </row>
        <row r="2708">
          <cell r="B2708" t="str">
            <v>周秀英 Total</v>
          </cell>
          <cell r="L2708">
            <v>4</v>
          </cell>
        </row>
        <row r="2709">
          <cell r="A2709" t="str">
            <v>020013</v>
          </cell>
          <cell r="B2709" t="str">
            <v>周以勒</v>
          </cell>
          <cell r="C2709" t="str">
            <v>住房</v>
          </cell>
          <cell r="D2709" t="str">
            <v>其它</v>
          </cell>
          <cell r="E2709" t="str">
            <v>抵押贷款</v>
          </cell>
          <cell r="F2709">
            <v>36767</v>
          </cell>
          <cell r="G2709">
            <v>38615</v>
          </cell>
          <cell r="H2709">
            <v>0</v>
          </cell>
          <cell r="I2709">
            <v>23.27</v>
          </cell>
          <cell r="J2709">
            <v>0.52</v>
          </cell>
          <cell r="K2709">
            <v>3.59</v>
          </cell>
          <cell r="L2709">
            <v>19.68</v>
          </cell>
          <cell r="M2709" t="str">
            <v>东区</v>
          </cell>
        </row>
        <row r="2710">
          <cell r="A2710" t="str">
            <v>020014</v>
          </cell>
          <cell r="B2710" t="str">
            <v>周以勒</v>
          </cell>
          <cell r="C2710" t="str">
            <v>住房</v>
          </cell>
          <cell r="D2710" t="str">
            <v>其它</v>
          </cell>
          <cell r="E2710" t="str">
            <v>抵押贷款</v>
          </cell>
          <cell r="F2710">
            <v>36767</v>
          </cell>
          <cell r="G2710">
            <v>38615</v>
          </cell>
          <cell r="H2710">
            <v>0</v>
          </cell>
          <cell r="I2710">
            <v>23.27</v>
          </cell>
          <cell r="J2710">
            <v>0.52</v>
          </cell>
          <cell r="K2710">
            <v>3.59</v>
          </cell>
          <cell r="L2710">
            <v>19.68</v>
          </cell>
          <cell r="M2710" t="str">
            <v>东区</v>
          </cell>
        </row>
        <row r="2711">
          <cell r="B2711" t="str">
            <v>周以勒 Total</v>
          </cell>
          <cell r="L2711">
            <v>39.36</v>
          </cell>
        </row>
        <row r="2712">
          <cell r="A2712" t="str">
            <v>170029</v>
          </cell>
          <cell r="B2712" t="str">
            <v>周志远</v>
          </cell>
          <cell r="C2712" t="str">
            <v>其它</v>
          </cell>
          <cell r="D2712" t="str">
            <v>其它</v>
          </cell>
          <cell r="E2712" t="str">
            <v>抵押贷款</v>
          </cell>
          <cell r="F2712">
            <v>37448</v>
          </cell>
          <cell r="G2712">
            <v>37802</v>
          </cell>
          <cell r="H2712">
            <v>0</v>
          </cell>
          <cell r="I2712">
            <v>100</v>
          </cell>
          <cell r="J2712">
            <v>0</v>
          </cell>
          <cell r="K2712">
            <v>0</v>
          </cell>
          <cell r="L2712">
            <v>100</v>
          </cell>
          <cell r="M2712" t="str">
            <v>厦禾</v>
          </cell>
        </row>
        <row r="2713">
          <cell r="A2713" t="str">
            <v>170035</v>
          </cell>
          <cell r="B2713" t="str">
            <v>周志远</v>
          </cell>
          <cell r="C2713" t="str">
            <v>其它</v>
          </cell>
          <cell r="D2713" t="str">
            <v>其它</v>
          </cell>
          <cell r="E2713" t="str">
            <v>抵押贷款</v>
          </cell>
          <cell r="F2713">
            <v>37505</v>
          </cell>
          <cell r="G2713">
            <v>37773</v>
          </cell>
          <cell r="H2713">
            <v>0</v>
          </cell>
          <cell r="I2713">
            <v>100</v>
          </cell>
          <cell r="J2713">
            <v>0</v>
          </cell>
          <cell r="K2713">
            <v>0</v>
          </cell>
          <cell r="L2713">
            <v>100</v>
          </cell>
          <cell r="M2713" t="str">
            <v>厦禾</v>
          </cell>
        </row>
        <row r="2714">
          <cell r="B2714" t="str">
            <v>周志远 Total</v>
          </cell>
          <cell r="L2714">
            <v>200</v>
          </cell>
        </row>
        <row r="2715">
          <cell r="A2715" t="str">
            <v>020189</v>
          </cell>
          <cell r="B2715" t="str">
            <v>朱碧林</v>
          </cell>
          <cell r="C2715" t="str">
            <v>其它</v>
          </cell>
          <cell r="D2715" t="str">
            <v>其它</v>
          </cell>
          <cell r="E2715" t="str">
            <v>保证贷款</v>
          </cell>
          <cell r="F2715">
            <v>37527</v>
          </cell>
          <cell r="G2715">
            <v>37892</v>
          </cell>
          <cell r="H2715">
            <v>0</v>
          </cell>
          <cell r="I2715">
            <v>12</v>
          </cell>
          <cell r="J2715">
            <v>0</v>
          </cell>
          <cell r="K2715">
            <v>0</v>
          </cell>
          <cell r="L2715">
            <v>12</v>
          </cell>
          <cell r="M2715" t="str">
            <v>东区</v>
          </cell>
        </row>
        <row r="2716">
          <cell r="B2716" t="str">
            <v>朱碧林 Total</v>
          </cell>
          <cell r="L2716">
            <v>12</v>
          </cell>
        </row>
        <row r="2717">
          <cell r="A2717" t="str">
            <v>023509</v>
          </cell>
          <cell r="B2717" t="str">
            <v>朱纪斌</v>
          </cell>
          <cell r="C2717" t="str">
            <v>其它</v>
          </cell>
          <cell r="D2717" t="str">
            <v>其它</v>
          </cell>
          <cell r="E2717" t="str">
            <v>保证贷款</v>
          </cell>
          <cell r="F2717">
            <v>37320</v>
          </cell>
          <cell r="G2717">
            <v>37685</v>
          </cell>
          <cell r="H2717">
            <v>0</v>
          </cell>
          <cell r="I2717">
            <v>10</v>
          </cell>
          <cell r="J2717">
            <v>0</v>
          </cell>
          <cell r="K2717">
            <v>0</v>
          </cell>
          <cell r="L2717">
            <v>10</v>
          </cell>
          <cell r="M2717" t="str">
            <v>集美</v>
          </cell>
        </row>
        <row r="2718">
          <cell r="B2718" t="str">
            <v>朱纪斌 Total</v>
          </cell>
          <cell r="L2718">
            <v>10</v>
          </cell>
        </row>
        <row r="2719">
          <cell r="A2719" t="str">
            <v>200043</v>
          </cell>
          <cell r="B2719" t="str">
            <v>朱坚</v>
          </cell>
          <cell r="C2719" t="str">
            <v>其它</v>
          </cell>
          <cell r="D2719" t="str">
            <v>其它</v>
          </cell>
          <cell r="E2719" t="str">
            <v>抵押贷款</v>
          </cell>
          <cell r="F2719">
            <v>37271</v>
          </cell>
          <cell r="G2719">
            <v>37636</v>
          </cell>
          <cell r="H2719">
            <v>0</v>
          </cell>
          <cell r="I2719">
            <v>27</v>
          </cell>
          <cell r="J2719">
            <v>0</v>
          </cell>
          <cell r="K2719">
            <v>0</v>
          </cell>
          <cell r="L2719">
            <v>27</v>
          </cell>
          <cell r="M2719" t="str">
            <v>鹭江</v>
          </cell>
        </row>
        <row r="2720">
          <cell r="B2720" t="str">
            <v>朱坚 Total</v>
          </cell>
          <cell r="L2720">
            <v>27</v>
          </cell>
        </row>
        <row r="2721">
          <cell r="A2721" t="str">
            <v>0021</v>
          </cell>
          <cell r="B2721" t="str">
            <v>朱慷慨</v>
          </cell>
          <cell r="C2721" t="str">
            <v>其它</v>
          </cell>
          <cell r="D2721" t="str">
            <v>其它</v>
          </cell>
          <cell r="E2721" t="str">
            <v>质押贷款</v>
          </cell>
          <cell r="F2721">
            <v>37495</v>
          </cell>
          <cell r="G2721">
            <v>37860</v>
          </cell>
          <cell r="H2721">
            <v>0</v>
          </cell>
          <cell r="I2721">
            <v>5</v>
          </cell>
          <cell r="J2721">
            <v>0</v>
          </cell>
          <cell r="K2721">
            <v>0</v>
          </cell>
          <cell r="L2721">
            <v>5</v>
          </cell>
          <cell r="M2721" t="str">
            <v>莲花</v>
          </cell>
        </row>
        <row r="2722">
          <cell r="B2722" t="str">
            <v>朱慷慨 Total</v>
          </cell>
          <cell r="L2722">
            <v>5</v>
          </cell>
        </row>
        <row r="2723">
          <cell r="A2723" t="str">
            <v>fx2301</v>
          </cell>
          <cell r="B2723" t="str">
            <v>朱玲</v>
          </cell>
          <cell r="C2723" t="str">
            <v>其它</v>
          </cell>
          <cell r="D2723" t="str">
            <v>其它</v>
          </cell>
          <cell r="E2723" t="str">
            <v>抵押贷款</v>
          </cell>
          <cell r="F2723">
            <v>37293</v>
          </cell>
          <cell r="G2723">
            <v>37658</v>
          </cell>
          <cell r="H2723">
            <v>0</v>
          </cell>
          <cell r="I2723">
            <v>12</v>
          </cell>
          <cell r="J2723">
            <v>0</v>
          </cell>
          <cell r="K2723">
            <v>0</v>
          </cell>
          <cell r="L2723">
            <v>12</v>
          </cell>
          <cell r="M2723" t="str">
            <v>文滨</v>
          </cell>
        </row>
        <row r="2724">
          <cell r="B2724" t="str">
            <v>朱玲 Total</v>
          </cell>
          <cell r="L2724">
            <v>12</v>
          </cell>
        </row>
        <row r="2725">
          <cell r="A2725" t="str">
            <v>942012</v>
          </cell>
          <cell r="B2725" t="str">
            <v>朱瑛</v>
          </cell>
          <cell r="C2725" t="str">
            <v>其它</v>
          </cell>
          <cell r="D2725" t="str">
            <v>其它</v>
          </cell>
          <cell r="E2725" t="str">
            <v>质押贷款</v>
          </cell>
          <cell r="F2725">
            <v>37468</v>
          </cell>
          <cell r="G2725">
            <v>37652</v>
          </cell>
          <cell r="H2725">
            <v>0</v>
          </cell>
          <cell r="I2725">
            <v>8</v>
          </cell>
          <cell r="J2725">
            <v>0</v>
          </cell>
          <cell r="K2725">
            <v>0</v>
          </cell>
          <cell r="L2725">
            <v>8</v>
          </cell>
          <cell r="M2725" t="str">
            <v>莲富</v>
          </cell>
        </row>
        <row r="2726">
          <cell r="B2726" t="str">
            <v>朱瑛 Total</v>
          </cell>
          <cell r="L2726">
            <v>8</v>
          </cell>
        </row>
        <row r="2727">
          <cell r="A2727" t="str">
            <v>ZTX</v>
          </cell>
          <cell r="B2727" t="str">
            <v>转贴现</v>
          </cell>
          <cell r="C2727" t="str">
            <v>国营</v>
          </cell>
          <cell r="D2727" t="str">
            <v>其它</v>
          </cell>
          <cell r="E2727" t="str">
            <v>票据贴现</v>
          </cell>
          <cell r="F2727">
            <v>36892</v>
          </cell>
          <cell r="G2727">
            <v>37621</v>
          </cell>
          <cell r="H2727">
            <v>64806.66</v>
          </cell>
          <cell r="I2727">
            <v>64806.66</v>
          </cell>
          <cell r="J2727">
            <v>57616.01</v>
          </cell>
          <cell r="K2727">
            <v>57616.01</v>
          </cell>
          <cell r="L2727">
            <v>13509.25</v>
          </cell>
          <cell r="M2727" t="str">
            <v>营业</v>
          </cell>
        </row>
        <row r="2728">
          <cell r="B2728" t="str">
            <v>转贴现 Total</v>
          </cell>
          <cell r="L2728">
            <v>13509.25</v>
          </cell>
        </row>
        <row r="2729">
          <cell r="A2729" t="str">
            <v>020055</v>
          </cell>
          <cell r="B2729" t="str">
            <v>庄碧恋</v>
          </cell>
          <cell r="C2729" t="str">
            <v>住房</v>
          </cell>
          <cell r="D2729" t="str">
            <v>其它</v>
          </cell>
          <cell r="E2729" t="str">
            <v>抵押贷款</v>
          </cell>
          <cell r="F2729">
            <v>36979</v>
          </cell>
          <cell r="G2729">
            <v>42458</v>
          </cell>
          <cell r="H2729">
            <v>0</v>
          </cell>
          <cell r="I2729">
            <v>26.88</v>
          </cell>
          <cell r="J2729">
            <v>0.11</v>
          </cell>
          <cell r="K2729">
            <v>0.76</v>
          </cell>
          <cell r="L2729">
            <v>26.12</v>
          </cell>
          <cell r="M2729" t="str">
            <v>东区</v>
          </cell>
        </row>
        <row r="2730">
          <cell r="B2730" t="str">
            <v>庄碧恋 Total</v>
          </cell>
          <cell r="L2730">
            <v>26.12</v>
          </cell>
        </row>
        <row r="2731">
          <cell r="A2731" t="str">
            <v>023506</v>
          </cell>
          <cell r="B2731" t="str">
            <v>庄珠华</v>
          </cell>
          <cell r="C2731" t="str">
            <v>其它</v>
          </cell>
          <cell r="D2731" t="str">
            <v>其它</v>
          </cell>
          <cell r="E2731" t="str">
            <v>信用贷款</v>
          </cell>
          <cell r="F2731">
            <v>36959</v>
          </cell>
          <cell r="G2731">
            <v>37689</v>
          </cell>
          <cell r="H2731">
            <v>0</v>
          </cell>
          <cell r="I2731">
            <v>1.1200000000000001</v>
          </cell>
          <cell r="J2731">
            <v>0.09</v>
          </cell>
          <cell r="K2731">
            <v>0.69</v>
          </cell>
          <cell r="L2731">
            <v>0.43</v>
          </cell>
          <cell r="M2731" t="str">
            <v>杏林</v>
          </cell>
        </row>
        <row r="2732">
          <cell r="B2732" t="str">
            <v>庄珠华 Total</v>
          </cell>
          <cell r="L2732">
            <v>0.43</v>
          </cell>
        </row>
        <row r="2733">
          <cell r="A2733" t="str">
            <v>gs0001</v>
          </cell>
          <cell r="B2733" t="str">
            <v>卓国华</v>
          </cell>
          <cell r="C2733" t="str">
            <v>其它</v>
          </cell>
          <cell r="D2733" t="str">
            <v>其它</v>
          </cell>
          <cell r="E2733" t="str">
            <v>抵押贷款</v>
          </cell>
          <cell r="F2733">
            <v>37320</v>
          </cell>
          <cell r="G2733">
            <v>37685</v>
          </cell>
          <cell r="H2733">
            <v>0</v>
          </cell>
          <cell r="I2733">
            <v>15</v>
          </cell>
          <cell r="J2733">
            <v>0</v>
          </cell>
          <cell r="K2733">
            <v>0</v>
          </cell>
          <cell r="L2733">
            <v>15</v>
          </cell>
          <cell r="M2733" t="str">
            <v>公园</v>
          </cell>
        </row>
        <row r="2734">
          <cell r="B2734" t="str">
            <v>卓国华 Total</v>
          </cell>
          <cell r="L2734">
            <v>15</v>
          </cell>
        </row>
        <row r="2735">
          <cell r="A2735" t="str">
            <v>923T10</v>
          </cell>
          <cell r="C2735" t="str">
            <v>集体</v>
          </cell>
          <cell r="D2735" t="str">
            <v>商贸</v>
          </cell>
          <cell r="E2735" t="str">
            <v>保证贷款</v>
          </cell>
          <cell r="F2735">
            <v>37524</v>
          </cell>
          <cell r="G2735">
            <v>37889</v>
          </cell>
          <cell r="H2735">
            <v>0</v>
          </cell>
          <cell r="I2735">
            <v>53</v>
          </cell>
          <cell r="J2735">
            <v>0</v>
          </cell>
          <cell r="K2735">
            <v>0</v>
          </cell>
          <cell r="L2735">
            <v>53</v>
          </cell>
          <cell r="M2735" t="str">
            <v>禾祥</v>
          </cell>
        </row>
        <row r="2736">
          <cell r="B2736" t="str">
            <v>Grand Total</v>
          </cell>
          <cell r="L2736">
            <v>462763.79024699953</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W"/>
      <sheetName val="Detailed Testing"/>
      <sheetName val="银行借款询证"/>
      <sheetName val="Investment Property"/>
      <sheetName val="本期报表"/>
      <sheetName val="2004"/>
      <sheetName val="完"/>
      <sheetName val="余额表"/>
      <sheetName val="企业表一"/>
      <sheetName val="M-5C"/>
      <sheetName val="M-5A"/>
      <sheetName val="AGRO PRC DATABASE"/>
      <sheetName val="上期报表"/>
      <sheetName val="报表层次重要性水平"/>
      <sheetName val="多级销售汇总表（备用）"/>
      <sheetName val="所有者权益(股东权益)变动表(未审)"/>
      <sheetName val="科目余额表"/>
      <sheetName val="2006"/>
      <sheetName val="折旧测试2007"/>
      <sheetName val="Breakdown"/>
      <sheetName val="外地"/>
      <sheetName val="坯布"/>
      <sheetName val="材料"/>
      <sheetName val="外销"/>
      <sheetName val="材料采购-入库"/>
      <sheetName val="原材料－其他"/>
      <sheetName val="材料成本差异－运费等"/>
      <sheetName val="材料采购－原材料（购价）"/>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剥离前"/>
      <sheetName val="SW-TEO"/>
      <sheetName val="邻酮定乙酚发出测试"/>
      <sheetName val="二级明细"/>
      <sheetName val="其他应收-导出"/>
      <sheetName val="营业外支出"/>
      <sheetName val="成本日报(4-10)"/>
      <sheetName val="现金流量表所需提供的资料"/>
      <sheetName val="利润及利润分配表试算表"/>
      <sheetName val="资产试算表"/>
      <sheetName val="负债试算表"/>
      <sheetName val="填写参数"/>
      <sheetName val="3-2-8"/>
      <sheetName val="3-2-7"/>
      <sheetName val="3-2-9"/>
      <sheetName val="1-7-1"/>
      <sheetName val="重分类调整"/>
      <sheetName val="cover"/>
      <sheetName val="E1"/>
      <sheetName val="原TB表"/>
      <sheetName val="12月份品种酒生产月报表"/>
      <sheetName val="Toolbox"/>
      <sheetName val="DATA"/>
      <sheetName val="表头"/>
      <sheetName val="委托加工材料"/>
      <sheetName val="eqpmad2"/>
      <sheetName val="1月"/>
      <sheetName val="出租开发产品明细"/>
      <sheetName val="暂估"/>
      <sheetName val="original"/>
      <sheetName val="2013调整分录"/>
      <sheetName val="2012调整分录"/>
      <sheetName val="项目索引"/>
      <sheetName val="2009调整分录"/>
      <sheetName val="4-货币资金-现金"/>
      <sheetName val="其他业务收支"/>
      <sheetName val="E1020"/>
      <sheetName val="UFPrn20060308121009"/>
      <sheetName val="A3"/>
      <sheetName val="2011调整分录"/>
      <sheetName val="03"/>
      <sheetName val="资产负债表"/>
      <sheetName val="G.1R-Shou COP Gf"/>
      <sheetName val="流资汇总"/>
      <sheetName val="B"/>
      <sheetName val="Sheet2"/>
      <sheetName val="披露表(上市)"/>
      <sheetName val="产品销售利润明细表"/>
      <sheetName val="试算"/>
      <sheetName val="广州库"/>
      <sheetName val="Chart of Account"/>
      <sheetName val="35.1租赁明细"/>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索引"/>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短期投资国债投资.dbf"/>
      <sheetName val="短期投资股票投资.dbf"/>
      <sheetName val="股票投资收益.dbf"/>
      <sheetName val="投资收益债券.dbf"/>
      <sheetName val="其他货币零领路.dbf"/>
      <sheetName val="其他货币海通.dbf"/>
      <sheetName val="#REF!"/>
      <sheetName val="#REF"/>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C1封面"/>
      <sheetName val="C1-0小结"/>
      <sheetName val="C1-1增减变动表"/>
      <sheetName val="C1-2明细表"/>
      <sheetName val="C1-3房屋权证"/>
      <sheetName val="C1-6减少抽查"/>
      <sheetName val="C1-7盘点记录"/>
      <sheetName val="C1-7-1盘点清单"/>
      <sheetName val="设定"/>
      <sheetName val="短期投资股票投资.dbf"/>
      <sheetName val="短期投资国债投资.dbf"/>
      <sheetName val="股票投资收益.dbf"/>
      <sheetName val="其他货币海通.dbf"/>
      <sheetName val="其他货币零领路.dbf"/>
      <sheetName val="投资收益债券.dbf"/>
      <sheetName val="企业表一"/>
      <sheetName val="M-5C"/>
      <sheetName val="M-5A"/>
      <sheetName val="表头"/>
      <sheetName val="固定资产"/>
      <sheetName val="存货Dy"/>
      <sheetName val="应收利息Dy"/>
      <sheetName val="科目代码表"/>
      <sheetName val="Sheet2"/>
      <sheetName val="B7-2-1应付账款余额表"/>
      <sheetName val="兵装范围关联方清单"/>
      <sheetName val="应收账款"/>
      <sheetName val="关联方往来统计表"/>
      <sheetName val="数据源"/>
      <sheetName val="利润分析"/>
      <sheetName val="资产负债分析"/>
      <sheetName val="财务成本"/>
      <sheetName val="CHITIET VL-NC-TT1p"/>
      <sheetName val="索引"/>
      <sheetName val="科目余额表"/>
      <sheetName val="XL4Poppy"/>
      <sheetName val="Sheet3"/>
      <sheetName val="完"/>
      <sheetName val="发出商品明细（按客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科目余额表"/>
      <sheetName val="会计分录序时簿"/>
      <sheetName val="清单12.31"/>
    </sheet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应收票据明细.dbf"/>
      <sheetName val="其他应收款.dbf"/>
      <sheetName val="暗暗啊.dbf"/>
      <sheetName val="方法法.dbf"/>
      <sheetName val="银行存款.dbf"/>
      <sheetName val="其他货币资金.dbf"/>
      <sheetName val="qtysk.dbf"/>
      <sheetName val="B"/>
      <sheetName val="核算项目余额表"/>
      <sheetName val="基本情况表"/>
      <sheetName val="UFPrn20050217103510"/>
      <sheetName val="信息表"/>
      <sheetName val="2002"/>
      <sheetName val="库存商品余额表.dbf"/>
      <sheetName val="内部购入存货明细表"/>
      <sheetName val="DATA"/>
      <sheetName val="2004"/>
      <sheetName val="#REF!"/>
      <sheetName val="短期投资股票投资.dbf"/>
      <sheetName val="短期投资国债投资.dbf"/>
      <sheetName val="股票投资收益.dbf"/>
      <sheetName val="其他货币海通.dbf"/>
      <sheetName val="其他货币零领路.dbf"/>
      <sheetName val="投资收益债券.dbf"/>
      <sheetName val="应交税金"/>
      <sheetName val="1－5月余额表"/>
      <sheetName val="1－10月余额表"/>
      <sheetName val="_3157"/>
      <sheetName val="06年收入成本分析表SA-330"/>
      <sheetName val="source"/>
      <sheetName val="管理费用"/>
      <sheetName val="Sheet3"/>
      <sheetName val="应付账款凭证测试2"/>
      <sheetName val="5月"/>
      <sheetName val="6月"/>
      <sheetName val="销售6.13"/>
      <sheetName val="中山低值"/>
      <sheetName val="1"/>
      <sheetName val="Contacts"/>
      <sheetName val="合同付款情况分析表"/>
      <sheetName val="科目余额表"/>
      <sheetName val="应付福利费"/>
      <sheetName val="版权方2004年度频道分布汇总表"/>
      <sheetName val="数量金额总账"/>
      <sheetName val="资产负债表"/>
      <sheetName val="索引"/>
      <sheetName val="在建工程Dy"/>
      <sheetName val="专项应付款Dy"/>
      <sheetName val="A430"/>
      <sheetName val="101"/>
      <sheetName val="投资收益Dy"/>
      <sheetName val="04收发存汇总表"/>
      <sheetName val="预付账款明细表"/>
      <sheetName val="预计负债Dy"/>
      <sheetName val="明细表"/>
      <sheetName val="辅助表MT"/>
      <sheetName val="E1020"/>
      <sheetName val="利润分析"/>
      <sheetName val="资产负债分析"/>
      <sheetName val="Word附注"/>
      <sheetName val="设备部房屋"/>
      <sheetName val="上期报表"/>
      <sheetName val="XL4Poppy"/>
      <sheetName val="UFPrn20060113152646"/>
      <sheetName val="UFPrn20060113153757"/>
      <sheetName val="UFPrn20060113154140"/>
      <sheetName val="清单12.31"/>
      <sheetName val="Sheet2"/>
      <sheetName val="原材料明细"/>
      <sheetName val="CntrlFreq"/>
      <sheetName val="CntrlSign"/>
      <sheetName val="CntrlType1_1"/>
      <sheetName val="CntrlType1_2"/>
      <sheetName val="RiskSign"/>
      <sheetName val="Sheet1"/>
      <sheetName val="YS02-02"/>
      <sheetName val="关南Bt2000大包装"/>
      <sheetName val="关南Bt2000成品"/>
      <sheetName val="企业表一"/>
      <sheetName val="M-5C"/>
      <sheetName val="M-5A"/>
      <sheetName val="制造费用明细表"/>
      <sheetName val="生产成本检查表"/>
      <sheetName val="明细分类账"/>
      <sheetName val="银行存款_dbf"/>
      <sheetName val="其他货币资金_dbf"/>
      <sheetName val="目錄"/>
      <sheetName val="qtysk"/>
      <sheetName val="其他应付款科目余额2005.12.31"/>
      <sheetName val="loan database"/>
      <sheetName val="PER SALES ORG"/>
      <sheetName val="应付账款"/>
      <sheetName val="预提费用"/>
      <sheetName val="SP"/>
      <sheetName val="外地"/>
      <sheetName val="坯布"/>
      <sheetName val="材料"/>
      <sheetName val="外销"/>
      <sheetName val="2722"/>
      <sheetName val="2756"/>
      <sheetName val="2938"/>
      <sheetName val="KKKKKKKK"/>
      <sheetName val="9-3应付帐款"/>
      <sheetName val="9-6其他应付款"/>
      <sheetName val="客户编码"/>
      <sheetName val="新增固定资产"/>
      <sheetName val="银行借款询证"/>
      <sheetName val="A16C"/>
      <sheetName val="_5534"/>
      <sheetName val="会计政策"/>
      <sheetName val="_8022"/>
      <sheetName val="版权方2004年度频道分布总表"/>
      <sheetName val=""/>
      <sheetName val="业招费"/>
      <sheetName val="_2590"/>
      <sheetName val="_2642"/>
      <sheetName val="_2647"/>
      <sheetName val="主营业务收入"/>
      <sheetName val="利润表"/>
      <sheetName val="Control"/>
      <sheetName val="Ó¦ÊÕÆ±¾ÝÃ÷Ï¸.dbf"/>
      <sheetName val="ÆäËûÓ¦ÊÕ¿î.dbf"/>
      <sheetName val="°µ°µ°¡.dbf"/>
      <sheetName val="·½·¨·¨.dbf"/>
      <sheetName val="ÒøÐÐ´æ¿î.dbf"/>
      <sheetName val="ÆäËû»õ±Ò×Ê½ð.dbf"/>
      <sheetName val="铺货保证金"/>
      <sheetName val="逾期欠款"/>
      <sheetName val="账套"/>
      <sheetName val="设定"/>
      <sheetName val="试算平衡表"/>
      <sheetName val="营业费用截止"/>
      <sheetName val="累计1"/>
      <sheetName val="2010年固定资产减少"/>
      <sheetName val="湖南湘潭应付个人明细帐"/>
      <sheetName val="应付账款 (2)"/>
      <sheetName val="XREF"/>
      <sheetName val="品目マスタデータシート"/>
      <sheetName val="福利费1"/>
      <sheetName val="应收账龄BS.01"/>
      <sheetName val="27-7"/>
      <sheetName val="_"/>
      <sheetName val="标本-资产"/>
      <sheetName val="1_存货跌价准备"/>
      <sheetName val="订"/>
      <sheetName val="实收资本Dy"/>
      <sheetName val="Accounts"/>
      <sheetName val="01成品"/>
      <sheetName val="年初数调整分录"/>
      <sheetName val="财务成本"/>
      <sheetName val="商品采购明细账"/>
      <sheetName val="4-货币资金-现金"/>
      <sheetName val="科目表"/>
      <sheetName val="原报表"/>
      <sheetName val="界面"/>
      <sheetName val="订单"/>
      <sheetName val="应付股利Dy"/>
      <sheetName val="应付账款Dy"/>
      <sheetName val="引用"/>
      <sheetName val="01-1"/>
      <sheetName val="01-2"/>
      <sheetName val="检验"/>
      <sheetName val="首页"/>
      <sheetName val="预收账款明细表"/>
      <sheetName val="投资性房地产Dy"/>
      <sheetName val="或有事项"/>
      <sheetName val="关联方交易"/>
      <sheetName val="其他综合收益"/>
      <sheetName val="封面"/>
      <sheetName val="ZM封面"/>
      <sheetName val="UFPrn20050930091710"/>
      <sheetName val="UFPrn20050930204109"/>
      <sheetName val="ZA2-1余额表"/>
      <sheetName val="分产品销售收入、成本分析表"/>
      <sheetName val="sch10-rm2"/>
      <sheetName val="sch6-rm"/>
      <sheetName val="现金"/>
      <sheetName val="K5-1"/>
      <sheetName val="应收利息Dy"/>
      <sheetName val="其他应收款－个人贷方"/>
      <sheetName val="出租开发产品明细"/>
      <sheetName val="品目"/>
      <sheetName val="其他应收款Dy"/>
      <sheetName val="固定资产、累计折旧、减值准备明细表"/>
      <sheetName val="应付职工薪酬审定表"/>
      <sheetName val="工商税收"/>
      <sheetName val="工程物资Dy"/>
      <sheetName val="其他"/>
      <sheetName val="运输"/>
      <sheetName val="ZA-DY"/>
      <sheetName val="研发支出Dy"/>
      <sheetName val="盈余公积Dy"/>
      <sheetName val="持有至到期投资Dy"/>
      <sheetName val="应付账款明细BS.09 "/>
      <sheetName val="订单418"/>
      <sheetName val="1月成本"/>
      <sheetName val="大类对比 (4)"/>
      <sheetName val="_2689"/>
      <sheetName val="_2692"/>
      <sheetName val="_2693"/>
      <sheetName val="_2888"/>
      <sheetName val="3337"/>
      <sheetName val="4137"/>
      <sheetName val="4151"/>
      <sheetName val="4154"/>
      <sheetName val="4156"/>
      <sheetName val="UFPrn20061113135115"/>
      <sheetName val="应收询证表"/>
      <sheetName val="预收函证"/>
      <sheetName val="应付帐款余额表"/>
      <sheetName val="ZE封面"/>
      <sheetName val="ZE-1明细表"/>
      <sheetName val="UFPrn20040104084034"/>
      <sheetName val="工时统计"/>
      <sheetName val="M1-1A-1"/>
      <sheetName val="房屋计算表"/>
      <sheetName val="参数"/>
      <sheetName val="2002-2004产销率"/>
      <sheetName val="QTH发货未结合计"/>
      <sheetName val="应收余额"/>
      <sheetName val="联行存放款项步骤及复核表"/>
      <sheetName val="物资采购含税转出"/>
      <sheetName val="未审增减变动表"/>
      <sheetName val="F1"/>
      <sheetName val="ZA封面"/>
      <sheetName val="基本信息及附注"/>
      <sheetName val="目录及试算平衡表"/>
      <sheetName val="5-6#线预付款账"/>
      <sheetName val="5#6#费用账"/>
      <sheetName val="明细账"/>
      <sheetName val="数据"/>
      <sheetName val="原材料检查情况表"/>
      <sheetName val="应收账款检查情况表"/>
      <sheetName val="应收账款明细表"/>
      <sheetName val="1-4余额表"/>
      <sheetName val="一般贸易"/>
      <sheetName val="自定义"/>
      <sheetName val="新城资金明细"/>
      <sheetName val="申鑫大厦租金明细"/>
      <sheetName val="三林明细"/>
      <sheetName val="东陆明细"/>
      <sheetName val="主菜单"/>
      <sheetName val="注释汇总"/>
      <sheetName val="(9) 应收账款账龄"/>
      <sheetName val="应收票据明细_dbf"/>
      <sheetName val="其他应收款_dbf"/>
      <sheetName val="暗暗啊_dbf"/>
      <sheetName val="方法法_dbf"/>
      <sheetName val="qtysk_dbf"/>
      <sheetName val="(9)_应收账款账龄"/>
      <sheetName val="审计调整"/>
      <sheetName val="数据库"/>
      <sheetName val="库存股Dy"/>
      <sheetName val="ZA1-10发生额分析"/>
      <sheetName val="Consol worksheet-Final"/>
      <sheetName val="BALANCE SHEET"/>
      <sheetName val="IV-2-7"/>
      <sheetName val="IV-2-20"/>
      <sheetName val="_x005f_x0000__x005f_x0000__x005f_x0000__x005f_x0000__x0"/>
      <sheetName val="预收帐款"/>
      <sheetName val="G.1R-Shou COP Gf"/>
      <sheetName val="2002.1-6管理费用"/>
      <sheetName val="Financ. Overview"/>
      <sheetName val="Toolbox"/>
      <sheetName val="出资不实固定资产调整清单"/>
      <sheetName val="初始设定"/>
      <sheetName val="ZA3-10发生额分析"/>
      <sheetName val="原材料收发"/>
      <sheetName val="生产成本11－12"/>
      <sheetName val="销售毛利润汇总表（原始）"/>
      <sheetName val="制造费用多栏明细账"/>
      <sheetName val="应付帐款暂估清单"/>
      <sheetName val="1月固定资产清单"/>
      <sheetName val="完"/>
      <sheetName val="UFPrn20080706124430"/>
      <sheetName val="ZA2-10发生额分析"/>
      <sheetName val="预付账款贷方"/>
      <sheetName val="_x005f_x005f_x005f_x0000__x005f_x005f_x005f_x0000__x005"/>
      <sheetName val="应收票据(关联方)"/>
      <sheetName val="应付账款余额明细表"/>
      <sheetName val="SumBal"/>
      <sheetName val="100172"/>
      <sheetName val="Repayment Summary"/>
      <sheetName val="所有者权益(股东权益)变动表(未审)"/>
      <sheetName val="多级销售汇总表（备用）"/>
      <sheetName val="1月"/>
      <sheetName val="成本调整明细表"/>
      <sheetName val="SW-TEO"/>
      <sheetName val="1_巴西保罗公司"/>
      <sheetName val="主营业务收入Dy"/>
      <sheetName val="4-6-2-1机器设备"/>
      <sheetName val="UFPrn20090207132003"/>
      <sheetName val="材料采购－原材料（购价）"/>
      <sheetName val="各年往来 (2)"/>
      <sheetName val="2002年12月预"/>
      <sheetName val="Parameters"/>
      <sheetName val="备楼"/>
      <sheetName val="员工工资"/>
      <sheetName val="10色母料"/>
      <sheetName val="F101"/>
      <sheetName val="收入明细－按客户"/>
      <sheetName val="目录"/>
      <sheetName val="param"/>
      <sheetName val="财务费用"/>
      <sheetName val="楼款99年底"/>
      <sheetName val="其他99年底"/>
      <sheetName val="预收楼款99年底"/>
      <sheetName val="ITEM"/>
      <sheetName val="会计科目设置"/>
      <sheetName val="UFPrn20090217100717"/>
      <sheetName val="审定表"/>
      <sheetName val="财务费用明细"/>
      <sheetName val="末级 (2)"/>
      <sheetName val="ZA2-6-10函证汇总表"/>
      <sheetName val="内部往来"/>
      <sheetName val="应收-预收返利"/>
      <sheetName val="应收-供应商返利补差"/>
      <sheetName val="应收-预估应收费用"/>
      <sheetName val="他收-POS卡"/>
      <sheetName val="他收-POS卡表"/>
      <sheetName val="他收-预付费用"/>
      <sheetName val="库存商品款"/>
      <sheetName val="供应商余额清理"/>
      <sheetName val="供应商余额清理帐"/>
      <sheetName val="他付"/>
      <sheetName val="内部－销售－上海永乐"/>
      <sheetName val="开发成本－原始"/>
      <sheetName val="明细分类账 (韩业友)"/>
      <sheetName val="应收账款明细"/>
      <sheetName val="ZA2-0调整分录"/>
      <sheetName val="ZA2-20大额查验"/>
      <sheetName val="产成品计价3"/>
      <sheetName val="应收补贴款"/>
      <sheetName val="奖金线下"/>
      <sheetName val="职工产权房"/>
      <sheetName val="固定资产清单"/>
      <sheetName val="项目设置"/>
      <sheetName val="其他应收款－个人借款明细"/>
      <sheetName val="固定资产"/>
      <sheetName val="基础信息"/>
      <sheetName val="营业收入审定表"/>
      <sheetName val="固定资产清单08"/>
      <sheetName val="预付款项明细余额表"/>
      <sheetName val="材料采购-入库"/>
      <sheetName val="原材料－其他"/>
      <sheetName val="材料成本差异－运费等"/>
      <sheetName val="土地基准地价法"/>
      <sheetName val="货币资金"/>
      <sheetName val="内部购进明细表"/>
      <sheetName val="电子"/>
      <sheetName val="Ex_Rate"/>
      <sheetName val="_x005f_x0000__x005f_x0000__x005"/>
      <sheetName val="_x005f_x005f_x005f_x005f_x005f_x005f_x005f_x0000__x005f"/>
      <sheetName val="附A-7"/>
      <sheetName val="收入"/>
      <sheetName val="ZH1-4其他应收款个别认定"/>
      <sheetName val="项目信息"/>
      <sheetName val="1-4期成本汇总表（2011.7-2014.11）期间费用"/>
      <sheetName val="抵销分录"/>
      <sheetName val="其他货币ý_x000a__x001b__x0001_ų "/>
      <sheetName val="科目名称表"/>
      <sheetName val="表头"/>
      <sheetName val="其他货币ý _x001b__x0001_ų "/>
      <sheetName val="选择报表"/>
      <sheetName val="UFPrn20060111164230"/>
      <sheetName val="固定资产卡片"/>
      <sheetName val="W"/>
      <sheetName val="17应付票据明细表"/>
      <sheetName val="存货明细表"/>
      <sheetName val="存货入库截止性测试"/>
      <sheetName val="计价测试参数表"/>
      <sheetName val="合"/>
      <sheetName val="3080"/>
      <sheetName val="_5366"/>
      <sheetName val="Sheet1 (11)"/>
      <sheetName val="#REF"/>
      <sheetName val="待摊费用明细表"/>
      <sheetName val="analyse"/>
      <sheetName val="现金收支截止"/>
      <sheetName val="SCB-HK"/>
      <sheetName val="B7-2-1应付账款余额表"/>
      <sheetName val="采购订单3名"/>
      <sheetName val="基础数据"/>
      <sheetName val="说明"/>
      <sheetName val="基本信息"/>
      <sheetName val="_3422"/>
      <sheetName val="5039"/>
      <sheetName val="_3432(1)"/>
      <sheetName val="_3436(1)"/>
      <sheetName val="_3440(1)"/>
      <sheetName val="_4339(1)"/>
      <sheetName val="_4356(1)"/>
      <sheetName val="负债试算表"/>
      <sheetName val="合同台帐"/>
      <sheetName val="宣1"/>
      <sheetName val="资产负债表（01）"/>
      <sheetName val="2.5"/>
      <sheetName val="_2576"/>
      <sheetName val="_2577"/>
      <sheetName val="银行存款明细表"/>
      <sheetName val="在产品2001"/>
      <sheetName val="设置"/>
      <sheetName val="Breakdown"/>
      <sheetName val="硅棒入库"/>
      <sheetName val="数字视频并帐"/>
      <sheetName val="FA List"/>
      <sheetName val="固定资产折旧明细表"/>
      <sheetName val="其他应付款"/>
      <sheetName val="405-3-1"/>
      <sheetName val="固定资产折旧费"/>
      <sheetName val="总公司2002.12.31"/>
      <sheetName val="_x0"/>
      <sheetName val="_x005"/>
      <sheetName val="役"/>
      <sheetName val="12月记帐凭证"/>
      <sheetName val="表头信息"/>
      <sheetName val="汇总表"/>
      <sheetName val="08年东珠应付"/>
      <sheetName val="F311-2-1-1 08年东珠预付未审"/>
      <sheetName val="Bj 1-11"/>
      <sheetName val="BJ p"/>
      <sheetName val="2005年2月HK香港销售单价"/>
      <sheetName val="表三甲"/>
      <sheetName val="固定资产折旧表"/>
      <sheetName val="巴士四汽调入"/>
      <sheetName val="UFPrn20070124182154"/>
      <sheetName val="科目名称"/>
      <sheetName val="3306"/>
      <sheetName val="3316"/>
      <sheetName val="P07A库存商品收发存汇总表-工业"/>
      <sheetName val="科目代码"/>
      <sheetName val="长期借款汇总表"/>
      <sheetName val="短期借款汇总表"/>
      <sheetName val="Z10封面"/>
      <sheetName val="Z1002-0调整分录"/>
      <sheetName val="Z1002-6-70函证程序舞弊风险迹象核对表"/>
      <sheetName val="供应商信息表"/>
      <sheetName val="制造费用合计数"/>
      <sheetName val="综合"/>
      <sheetName val="3-1-1现金"/>
      <sheetName val="索引表"/>
      <sheetName val="立项表"/>
      <sheetName val="生产成本明细"/>
      <sheetName val="预收明细表"/>
      <sheetName val="资产减值准备"/>
      <sheetName val="08.06.20"/>
      <sheetName val="新"/>
      <sheetName val="审计分工配置表"/>
      <sheetName val="master"/>
      <sheetName val="K110"/>
      <sheetName val="G210"/>
      <sheetName val="O111"/>
      <sheetName val="ZH1-3应收账款个别认定"/>
      <sheetName val="ZA2-6-90函证汇总表"/>
      <sheetName val="jpy"/>
      <sheetName val="ZA2-6-50亲自前往询证（跟函）工作记录"/>
      <sheetName val="会计科目表"/>
      <sheetName val="TX-DL "/>
      <sheetName val="tra-vat-lieu"/>
      <sheetName val="Thuc thanh"/>
      <sheetName val="Consol"/>
      <sheetName val="当月应收"/>
      <sheetName val="Validation source"/>
      <sheetName val="Triggers"/>
      <sheetName val="chitimc"/>
      <sheetName val="附表"/>
      <sheetName val="附属数据"/>
      <sheetName val="申报表封面"/>
      <sheetName val="序时帐"/>
      <sheetName val="06.IV"/>
      <sheetName val="TOP10"/>
      <sheetName val="园区、龙骨厂"/>
      <sheetName val="资产评估结果分类汇总表 (2)"/>
      <sheetName val="其他出库序时簿"/>
      <sheetName val="_x005f_x005f_x005f_x0000__x005f"/>
      <sheetName val="S030北京兴业"/>
      <sheetName val="P4管理费用"/>
      <sheetName val="L2银行存款"/>
      <sheetName val="ZA3-11其他货币资金借贷方发生额分析"/>
      <sheetName val="ZA1-11库存现金借贷方发生额分析"/>
      <sheetName val="DETAIL-Local"/>
      <sheetName val="上报资产负债表"/>
      <sheetName val="上报损益表"/>
      <sheetName val="现金流量表（月报）"/>
      <sheetName val="补充表"/>
      <sheetName val="其他应收款"/>
      <sheetName val="実績SK"/>
      <sheetName val="存货明细"/>
      <sheetName val="III-1-10"/>
      <sheetName val="III-1-9"/>
      <sheetName val="III-1-1"/>
      <sheetName val="预算构成"/>
      <sheetName val="账龄"/>
      <sheetName val="其他应付款明细表"/>
      <sheetName val="其他应付款审定表"/>
      <sheetName val="1基本信息"/>
      <sheetName val="C.现金流量表"/>
      <sheetName val="list"/>
      <sheetName val="P&amp;L"/>
      <sheetName val="总成本、总收入、租赁收入、资产估值"/>
      <sheetName val="Z1002-6-50亲自前往询证（跟函）工作记录"/>
      <sheetName val="短期投资股票投资_dbf"/>
      <sheetName val="短期投资国债投资_dbf"/>
      <sheetName val="股票投资收益_dbf"/>
      <sheetName val="其他货币海通_dbf"/>
      <sheetName val="其他货币零领路_dbf"/>
      <sheetName val="投资收益债券_dbf"/>
      <sheetName val="应收账龄BS_01"/>
      <sheetName val="应收票据明细_dbf1"/>
      <sheetName val="其他应收款_dbf1"/>
      <sheetName val="暗暗啊_dbf1"/>
      <sheetName val="方法法_dbf1"/>
      <sheetName val="银行存款_dbf1"/>
      <sheetName val="其他货币资金_dbf1"/>
      <sheetName val="qtysk_dbf1"/>
      <sheetName val="短期投资股票投资_dbf1"/>
      <sheetName val="短期投资国债投资_dbf1"/>
      <sheetName val="股票投资收益_dbf1"/>
      <sheetName val="其他货币海通_dbf1"/>
      <sheetName val="其他货币零领路_dbf1"/>
      <sheetName val="投资收益债券_dbf1"/>
      <sheetName val="应收账龄BS_011"/>
      <sheetName val="1线5"/>
      <sheetName val="其他应收款（2）"/>
      <sheetName val="其他应收款（3）"/>
      <sheetName val="其他应收款（4）"/>
      <sheetName val="其他应收款（5）"/>
      <sheetName val="其他应收款（6）"/>
      <sheetName val="T  B"/>
      <sheetName val="ZA2封面"/>
      <sheetName val="数据字典"/>
      <sheetName val="银存A2-1"/>
      <sheetName val="其他货币资金Dy"/>
      <sheetName val="货币资金审定表"/>
      <sheetName val="货币资金明细"/>
      <sheetName val="交易性金融资产审定表"/>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存货审定表"/>
      <sheetName val="存货跌价准备明细表"/>
      <sheetName val="其他流动资产审定表"/>
      <sheetName val="可供出售金融资产审定表"/>
      <sheetName val="持有至到期投资审定表"/>
      <sheetName val="长期应收款审定表"/>
      <sheetName val="长期股权投资明细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短期借款审定表"/>
      <sheetName val="逾期贷款"/>
      <sheetName val="交易性金融负债审定"/>
      <sheetName val="应付票据审定表"/>
      <sheetName val="应付账款审定"/>
      <sheetName val="应付账款明细表"/>
      <sheetName val="预收账款审定表"/>
      <sheetName val="应交税费审定表"/>
      <sheetName val="应付利息审定表"/>
      <sheetName val="应付股利审定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资本公积审定表"/>
      <sheetName val="盈余公积审定表"/>
      <sheetName val="未分配利润审定表"/>
      <sheetName val="营业成本审定表"/>
      <sheetName val="十大客户、供应商检查表"/>
      <sheetName val="营业税金及附加审定表"/>
      <sheetName val="销售费用审定表"/>
      <sheetName val="管理费用审定表"/>
      <sheetName val="财务费用审定表"/>
      <sheetName val="公允价值变动损益审定表"/>
      <sheetName val="投资收益审定表"/>
      <sheetName val="资产减值损失审定表"/>
      <sheetName val="营业外收入审定表"/>
      <sheetName val="营业外支出审定表"/>
      <sheetName val="所得税费用审定表"/>
      <sheetName val="111"/>
      <sheetName val="应付明细"/>
      <sheetName val="应收明细"/>
      <sheetName val="客户基本概况表"/>
      <sheetName val="制造费用"/>
      <sheetName val="销售费用"/>
      <sheetName val="Open"/>
      <sheetName val="资产负债表-母"/>
      <sheetName val="调整分录汇总"/>
      <sheetName val="盘点表"/>
      <sheetName val="Consolidation"/>
      <sheetName val="_x005f_x005f_x005f_x005f_x005f_x005f_x005f_x005f_x005f_x005f_"/>
      <sheetName val="_x005f_x0000__x005f"/>
      <sheetName val="_x005f_x005f_x005f_x005f_"/>
      <sheetName val="_x005f_x005f_"/>
      <sheetName val="_x005f"/>
      <sheetName val="档案"/>
      <sheetName val="手续费收入检查情况表"/>
      <sheetName val="工会"/>
      <sheetName val="社保"/>
      <sheetName val="锅炉房"/>
      <sheetName val="Collateral"/>
      <sheetName val="Disposition"/>
      <sheetName val="子公司审核表二"/>
      <sheetName val="勘察记录"/>
      <sheetName val="内销硫酸期初"/>
      <sheetName val="供应商、材料列表"/>
      <sheetName val="测算表"/>
      <sheetName val="管理费用多栏明细账"/>
      <sheetName val="Z1002.04.01"/>
      <sheetName val="明细汇总"/>
      <sheetName val="SB -封面"/>
      <sheetName val="510102明细"/>
      <sheetName val="510101明细"/>
      <sheetName val="51010102明细"/>
      <sheetName val="51010103明细"/>
      <sheetName val="510103明细"/>
      <sheetName val="510104明细"/>
      <sheetName val="512101明细"/>
      <sheetName val="512102明细"/>
      <sheetName val="512103明细"/>
      <sheetName val="512106明细"/>
      <sheetName val="510101"/>
      <sheetName val="510102"/>
      <sheetName val="510103"/>
      <sheetName val="510104"/>
      <sheetName val="512101"/>
      <sheetName val="512102"/>
      <sheetName val="512103"/>
      <sheetName val="512105"/>
      <sheetName val="512106"/>
      <sheetName val="UFPrn20060102184135"/>
      <sheetName val="UFPrn20060102184147"/>
      <sheetName val="与栋华往来款"/>
      <sheetName val="差异调整97"/>
      <sheetName val="ZO封面"/>
      <sheetName val="在建工程转资"/>
      <sheetName val="ZO-1-2"/>
      <sheetName val="Inventory"/>
      <sheetName val="56271-2"/>
      <sheetName val="披露表(上市)"/>
      <sheetName val="BLLP3-GL Link"/>
      <sheetName val="BPC-GL Link"/>
      <sheetName val="BLLPC-GL Link"/>
      <sheetName val="Standing Data"/>
      <sheetName val="曲1 "/>
      <sheetName val="SAD"/>
      <sheetName val="kmye"/>
      <sheetName val="所得税验证表"/>
      <sheetName val="开办费明细"/>
      <sheetName val="资产负债表验证表"/>
      <sheetName val="_应交税金-进项税"/>
      <sheetName val="内销收入"/>
      <sheetName val="其他业务收入"/>
      <sheetName val="外销收入"/>
      <sheetName val="主营成本１"/>
      <sheetName val="基本信息表"/>
      <sheetName val="基本信息输入"/>
      <sheetName val="报刊杂志费"/>
      <sheetName val="预收账款"/>
      <sheetName val="_2594"/>
      <sheetName val="_2598"/>
      <sheetName val="2600"/>
      <sheetName val="5076"/>
      <sheetName val="_5174"/>
      <sheetName val="基础条件"/>
      <sheetName val="用友明细账"/>
      <sheetName val="评估假设"/>
      <sheetName val="填表信息"/>
      <sheetName val="长期应付款进一步审计程序表"/>
      <sheetName val="FM-1明细表"/>
      <sheetName val="参数表"/>
      <sheetName val="Suppliers"/>
      <sheetName val="DATA INPUT"/>
      <sheetName val="表3-4应收账款"/>
      <sheetName val="UFPrn20070303114642"/>
      <sheetName val="3409"/>
      <sheetName val="5059"/>
      <sheetName val="5133"/>
      <sheetName val="农业用地"/>
      <sheetName val="农业人口"/>
      <sheetName val="5132"/>
      <sheetName val="存货抽查 (2)"/>
      <sheetName val="市价法2"/>
      <sheetName val="Sheet5"/>
      <sheetName val="Validation"/>
      <sheetName val="Main"/>
      <sheetName val="固定资产经贸公司数据"/>
      <sheetName val="披露"/>
      <sheetName val="母公司财务报表主要项目注释(其他应收款)"/>
      <sheetName val="母公司财务报表主要项目注释(应收账款)"/>
      <sheetName val="应收账款"/>
      <sheetName val="ZA-3-10发生额分析"/>
      <sheetName val="期初审定余额辅助表MT"/>
      <sheetName val="应付账款审定表"/>
      <sheetName val="序列"/>
      <sheetName val="未审辅助表MT"/>
      <sheetName val="分年度测算（正文）-定稿1"/>
      <sheetName val="Dic"/>
      <sheetName val="“预收账款”发生额查验记录郑州大唐"/>
      <sheetName val="转换"/>
      <sheetName val="票据"/>
      <sheetName val="工资"/>
      <sheetName val="短期借款Dy"/>
      <sheetName val="2经济测算"/>
      <sheetName val="ENT"/>
      <sheetName val="FTHL"/>
      <sheetName val="GX"/>
      <sheetName val="IN"/>
      <sheetName val="ITCD"/>
      <sheetName val="LVLT"/>
      <sheetName val="MFNX"/>
      <sheetName val="NOPT"/>
      <sheetName val="TCM"/>
      <sheetName val="TSIX"/>
      <sheetName val="WCG"/>
      <sheetName val="Mov‘2008"/>
      <sheetName val="Mov‘2007"/>
      <sheetName val="Mov‘2005"/>
      <sheetName val="Mov‘2006"/>
      <sheetName val="Bugles DM"/>
      <sheetName val="Potato DM"/>
      <sheetName val="corn FG"/>
      <sheetName val="PRC 15"/>
      <sheetName val="项目责任书-预算明细G01SH"/>
      <sheetName val="Movement"/>
      <sheetName val="输入上年调整分录"/>
      <sheetName val="表六 "/>
      <sheetName val="计提准备金明细"/>
      <sheetName val="房产税"/>
      <sheetName val="test (6)"/>
      <sheetName val="2006年TB"/>
      <sheetName val="存货Dy"/>
      <sheetName val="营业外支出Dy"/>
      <sheetName val="预收"/>
      <sheetName val="资料"/>
      <sheetName val="CGC-1采购与付款循环控制测试汇总表"/>
      <sheetName val="DJ"/>
      <sheetName val="Namelist"/>
      <sheetName val="2015日记账"/>
      <sheetName val="调整分录"/>
      <sheetName val="其他货币ý__x001b__x0001_ų "/>
      <sheetName val="资产负债表(97)"/>
      <sheetName val="03建筑消耗量清单库"/>
      <sheetName val="7月资产明细"/>
      <sheetName val="Menu"/>
      <sheetName val="J200"/>
      <sheetName val="F"/>
      <sheetName val="培训费"/>
      <sheetName val="附表一"/>
      <sheetName val="Page1"/>
      <sheetName val="t_Schema"/>
      <sheetName val="lx"/>
      <sheetName val="科目余额表（母）"/>
      <sheetName val="营业费用趋势分析"/>
      <sheetName val="13 铁路配件"/>
    </sheetNames>
    <sheetDataSet>
      <sheetData sheetId="0">
        <row r="1">
          <cell r="A1" t="str">
            <v>科目编码</v>
          </cell>
        </row>
      </sheetData>
      <sheetData sheetId="1">
        <row r="1">
          <cell r="A1" t="str">
            <v>科目编码</v>
          </cell>
        </row>
      </sheetData>
      <sheetData sheetId="2"/>
      <sheetData sheetId="3"/>
      <sheetData sheetId="4" refreshError="1"/>
      <sheetData sheetId="5" refreshError="1"/>
      <sheetData sheetId="6">
        <row r="1">
          <cell r="A1" t="str">
            <v>科目编码</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 val="其他货币资金.dbf"/>
      <sheetName val="银行存款.db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分配表1(原.辅.协）"/>
      <sheetName val="合并信息数据表"/>
      <sheetName val="TT template"/>
      <sheetName val="F-2 AdjJournalEntries"/>
      <sheetName val="Provision"/>
      <sheetName val="1、存货跌价冲回"/>
      <sheetName val="重要关联方交易"/>
      <sheetName val="4-3开户行银行代码"/>
      <sheetName val="Common Assumptions"/>
      <sheetName val="“预收账款”余额明细表"/>
      <sheetName val="DWMC"/>
      <sheetName val="银行(基本资料)"/>
      <sheetName val="E-09.12.31按1年计算 (3)"/>
      <sheetName val="2005存货调拨明细"/>
      <sheetName val="生产成本调整分录汇总"/>
      <sheetName val="科目设置"/>
      <sheetName val="04收发存汇总表"/>
      <sheetName val="折旧完整性查验"/>
      <sheetName val="试算资产负债表"/>
      <sheetName val="通用设备"/>
      <sheetName val="燃料费"/>
      <sheetName val="职工薪酬"/>
      <sheetName val="修理费"/>
      <sheetName val="现金流量表附表"/>
      <sheetName val="现金流量表（母公司）"/>
      <sheetName val="N2权益变动表（母公司）"/>
      <sheetName val="3001"/>
      <sheetName val="tax rate"/>
      <sheetName val="FA-母公司"/>
      <sheetName val="노동부"/>
      <sheetName val="固产04 old"/>
      <sheetName val="Table"/>
      <sheetName val="categoryHidden10"/>
      <sheetName val="categoryHidden29"/>
      <sheetName val="Turnover"/>
      <sheetName val="存货Cx"/>
      <sheetName val="3-1-2银存"/>
      <sheetName val="2006 EJE"/>
      <sheetName val="集团合并"/>
      <sheetName val="HK cons"/>
      <sheetName val="2月成品价值调整"/>
      <sheetName val="TB-PRC"/>
      <sheetName val="P"/>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BKD-06"/>
      <sheetName val="H200-WP&amp;PBC"/>
      <sheetName val="IRS 31-12-2003"/>
      <sheetName val="43贴现融资"/>
      <sheetName val="机关财务营业费用"/>
      <sheetName val="trib"/>
      <sheetName val="表1"/>
      <sheetName val="VISION 1"/>
      <sheetName val="Dept Mapping"/>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301-Direct"/>
      <sheetName val="AFS-GovtBond"/>
      <sheetName val="Placement"/>
      <sheetName val="Branch_List"/>
      <sheetName val="FFE"/>
      <sheetName val="Basics"/>
      <sheetName val="for ey reviewer 销售费用"/>
      <sheetName val="for ey reviewer 制造费用"/>
      <sheetName val="131贷款呆帐准备"/>
      <sheetName val="DATAIN2"/>
      <sheetName val="ARP-U401"/>
      <sheetName val="DCF_Summary"/>
      <sheetName val="ARP-U311"/>
      <sheetName val="ARP-U321"/>
      <sheetName val="资产负债表per client"/>
      <sheetName val="月度预算表"/>
      <sheetName val="短期债权投资"/>
      <sheetName val="固定资产变动表"/>
      <sheetName val="短期股权投资"/>
      <sheetName val="应收票据(关联方)(5)"/>
      <sheetName val="Breakdown RMB"/>
      <sheetName val="调整汇总"/>
      <sheetName val="movement 母公司（追溯调整后）20071231"/>
      <sheetName val="分部报告披露"/>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9"/>
      <sheetName val="8"/>
      <sheetName val="E1_1"/>
      <sheetName val="表三"/>
      <sheetName val="Movement format-Jun'12"/>
      <sheetName val="Consolidation"/>
      <sheetName val="其他科目_x005f_x000a_[分析表_XLS]G9-1_x005f_x000a_"/>
      <sheetName val="_Recovered_SheetName_492_"/>
      <sheetName val="其他科目___x000d__分析表.XLS_G9-1___x000d__分"/>
      <sheetName val="其他科目____分析表.XLS_G9-1____分"/>
      <sheetName val="主要产品分月成本变动"/>
      <sheetName val="投资收益债券衸㭛㰀㭝"/>
      <sheetName val="成本明细"/>
      <sheetName val="_Recovered_SheetName_522_"/>
      <sheetName val="合同卡片"/>
      <sheetName val="现金导引_xdf30_"/>
      <sheetName val="Parameter (HS)"/>
      <sheetName val="Lesematrix (HS)"/>
      <sheetName val="Jan"/>
      <sheetName val="Apr"/>
      <sheetName val="Jun"/>
      <sheetName val="Jul"/>
      <sheetName val="Aug"/>
      <sheetName val="明細"/>
      <sheetName val="应交增值税"/>
      <sheetName val="GB11"/>
      <sheetName val="BEST"/>
      <sheetName val="（27）实收资本"/>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科目"/>
      <sheetName val="营业收入"/>
      <sheetName val="65130 "/>
      <sheetName val="7-12月收发存"/>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出租开发产品明细"/>
      <sheetName val="营业税金及附加明细表"/>
      <sheetName val="询证函(基础数据)"/>
      <sheetName val="合同台账"/>
      <sheetName val="付款台账"/>
      <sheetName val="动态成本"/>
      <sheetName val="项目指标"/>
      <sheetName val="附表1"/>
      <sheetName val="资产负债表汇编"/>
      <sheetName val="27设备-设备成本"/>
      <sheetName val="客戶清單customer list"/>
      <sheetName val="班次"/>
      <sheetName val="表六 "/>
      <sheetName val="制造费用审定表"/>
      <sheetName val="PD_BS"/>
      <sheetName val="SG&amp;A exp."/>
      <sheetName val="A. CBS"/>
      <sheetName val="Hypothesis"/>
      <sheetName val="Info. Request"/>
      <sheetName val="Ref Channel"/>
      <sheetName val="SAP Due Age"/>
      <sheetName val="ZHF"/>
      <sheetName val="gruou Material"/>
      <sheetName val="SAP原始"/>
      <sheetName val="Base Gestor"/>
      <sheetName val="SALES-SUM"/>
      <sheetName val="SAD Schedule 2006"/>
      <sheetName val="U411"/>
      <sheetName val="资本承诺"/>
      <sheetName val="担保情况表"/>
      <sheetName val="单位名称"/>
      <sheetName val="合并2"/>
      <sheetName val="B1-20"/>
      <sheetName val="应付账龄分析表"/>
      <sheetName val="凯安德"/>
      <sheetName val="土地基准地价法"/>
      <sheetName val="收入成本及毛利分析表"/>
      <sheetName val="其他科目___x000d__分析表.XLS_G9-1___x0"/>
      <sheetName val="4-6-4机器设备"/>
      <sheetName val="4-6-5车辆"/>
      <sheetName val="4-6-6电子设备"/>
      <sheetName val="商品零售价格指数"/>
      <sheetName val="机械设备步骤复核表"/>
      <sheetName val="本年店铺级表"/>
      <sheetName val="内部交易维度参考页"/>
      <sheetName val="实体(含成本中心)清单"/>
      <sheetName val="报表目录"/>
      <sheetName val="未收款明细"/>
      <sheetName val="固定资产明细表"/>
      <sheetName val="1-6月損益目標"/>
      <sheetName val="銷管"/>
      <sheetName val="製費(當期投入)"/>
      <sheetName val="主要材料用量明细"/>
      <sheetName val="Bgैာ4슌櫂舤槆腼槆ॽᔒ@Ʉ?ै_xd980_"/>
      <sheetName val="实际2020"/>
      <sheetName val="M002"/>
      <sheetName val="实际2019"/>
      <sheetName val="设定"/>
      <sheetName val="2018.4.7 for Bank"/>
      <sheetName val="Sheet644"/>
      <sheetName val="合并单位"/>
      <sheetName val="LookUp"/>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RentalDeposit"/>
      <sheetName val="source-1"/>
      <sheetName val="COA_MFG"/>
      <sheetName val="Unit Information"/>
      <sheetName val="Company Information"/>
      <sheetName val="FY03"/>
      <sheetName val="审定投资明细"/>
      <sheetName val="PRC_ 080630-Parent-Mgt"/>
      <sheetName val="Appendix 16"/>
      <sheetName val="JE"/>
      <sheetName val="2000HW6Y"/>
      <sheetName val="discount bank detail"/>
      <sheetName val="底稿0000"/>
      <sheetName val="other income"/>
      <sheetName val="토사(PE)"/>
      <sheetName val="값목록(Do not touch)"/>
      <sheetName val="N40_DCAG"/>
      <sheetName val="TempLst"/>
      <sheetName val="accounting"/>
      <sheetName val="IAS 39"/>
      <sheetName val="WorkEst"/>
      <sheetName val="10-1长借"/>
      <sheetName val="TB-A"/>
      <sheetName val="DESC"/>
      <sheetName val="Baxls]核銷表e"/>
      <sheetName val="[审核2.XL"/>
      <sheetName val="DOWNLOAD"/>
      <sheetName val="热力系统"/>
      <sheetName val="EnginePCB_de2"/>
      <sheetName val="Code"/>
      <sheetName val="Baitak PS schedule"/>
      <sheetName val="物料"/>
      <sheetName val="產成品收發明細表"/>
      <sheetName val="FF-1"/>
      <sheetName val="FF-2"/>
      <sheetName val="销管费用明细"/>
      <sheetName val="1(分品种)"/>
      <sheetName val="U1.6"/>
      <sheetName val="RMB"/>
      <sheetName val="A5.2.1"/>
      <sheetName val="Access"/>
      <sheetName val="REPOS_AT"/>
      <sheetName val="单位设置"/>
      <sheetName val="合并科目"/>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BS-舟山"/>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递延所得税负债Dy"/>
      <sheetName val="基础项目"/>
      <sheetName val="审定表M1B"/>
      <sheetName val="名称"/>
      <sheetName val="指标分摊"/>
      <sheetName val="凤一"/>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固定资产"/>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单位"/>
      <sheetName val="家电"/>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wfrdw"/>
      <sheetName val="自定义列表"/>
      <sheetName val="2019-2021年住房公积金核对7-3-3-2"/>
      <sheetName val="交易性金融资产Dy"/>
      <sheetName val="项目索引"/>
      <sheetName val="其他应收单位款余额"/>
      <sheetName val="长期应付款导引表"/>
      <sheetName val="1.4余额表"/>
      <sheetName val="费用表"/>
      <sheetName val="市场比较法"/>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outbound Oct"/>
      <sheetName val="EurotoolsXRates"/>
      <sheetName val="Sheet4"/>
      <sheetName val="负债方"/>
      <sheetName val="减值准备表"/>
      <sheetName val="销售出库序时簿"/>
      <sheetName val="主要产品产销量"/>
      <sheetName val="主体名称"/>
      <sheetName val="款项性质"/>
      <sheetName val="集团控股企业明细"/>
      <sheetName val="科目余额表 "/>
      <sheetName val="商品（服务）信息表"/>
      <sheetName val="销售明细表"/>
      <sheetName val="Interest PIT"/>
      <sheetName val="资单体"/>
      <sheetName val="利单体"/>
      <sheetName val="所单体"/>
      <sheetName val="现单体"/>
      <sheetName val="调19"/>
      <sheetName val="资产负债表、利润表、现金流量表"/>
      <sheetName val="录入未审明细账"/>
      <sheetName val="Deferred tax"/>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a__分析表.XLS_G9-1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营业外收入税金测算"/>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refreshError="1"/>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sheetData sheetId="3896"/>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sheetData sheetId="3964" refreshError="1"/>
      <sheetData sheetId="3965" refreshError="1"/>
      <sheetData sheetId="3966" refreshError="1"/>
      <sheetData sheetId="3967" refreshError="1"/>
      <sheetData sheetId="3968" refreshError="1"/>
      <sheetData sheetId="3969"/>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sheetData sheetId="4192"/>
      <sheetData sheetId="4193"/>
      <sheetData sheetId="4194"/>
      <sheetData sheetId="4195"/>
      <sheetData sheetId="4196"/>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sheetData sheetId="4352" refreshError="1"/>
      <sheetData sheetId="4353"/>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sheetData sheetId="4405"/>
      <sheetData sheetId="4406"/>
      <sheetData sheetId="4407"/>
      <sheetData sheetId="4408"/>
      <sheetData sheetId="4409"/>
      <sheetData sheetId="4410"/>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sheetData sheetId="4471"/>
      <sheetData sheetId="4472"/>
      <sheetData sheetId="4473"/>
      <sheetData sheetId="4474"/>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sheetData sheetId="4700" refreshError="1"/>
      <sheetData sheetId="4701" refreshError="1"/>
      <sheetData sheetId="4702" refreshError="1"/>
      <sheetData sheetId="4703" refreshError="1"/>
      <sheetData sheetId="4704"/>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9"/>
  <sheetViews>
    <sheetView tabSelected="1" workbookViewId="0">
      <selection activeCell="E14" sqref="E14"/>
    </sheetView>
  </sheetViews>
  <sheetFormatPr defaultColWidth="9" defaultRowHeight="20.100000000000001" customHeight="1"/>
  <cols>
    <col min="1" max="1" width="77.6640625" style="29" customWidth="1"/>
    <col min="2" max="2" width="2" style="29" customWidth="1"/>
    <col min="3" max="3" width="2.109375" style="29" customWidth="1"/>
    <col min="4" max="4" width="6.109375" style="60" customWidth="1"/>
    <col min="5" max="5" width="33.33203125" style="60" customWidth="1"/>
    <col min="6" max="6" width="10.88671875" style="60" customWidth="1"/>
    <col min="7" max="16384" width="9" style="30"/>
  </cols>
  <sheetData>
    <row r="1" spans="1:7" s="200" customFormat="1" ht="20.100000000000001" customHeight="1">
      <c r="A1" s="199" t="s">
        <v>30</v>
      </c>
      <c r="B1" s="60"/>
      <c r="C1" s="60"/>
    </row>
    <row r="2" spans="1:7" s="200" customFormat="1" ht="20.100000000000001" customHeight="1">
      <c r="A2" s="31" t="s">
        <v>154</v>
      </c>
      <c r="B2" s="201"/>
      <c r="C2" s="201"/>
      <c r="D2" s="60"/>
      <c r="E2" s="60"/>
      <c r="F2" s="60"/>
      <c r="G2" s="202"/>
    </row>
    <row r="3" spans="1:7" s="200" customFormat="1" ht="20.100000000000001" customHeight="1">
      <c r="A3" s="288" t="s">
        <v>300</v>
      </c>
      <c r="B3" s="201"/>
      <c r="C3" s="201"/>
      <c r="D3" s="254" t="s">
        <v>269</v>
      </c>
      <c r="E3" s="255" t="s">
        <v>270</v>
      </c>
      <c r="F3" s="254" t="s">
        <v>271</v>
      </c>
      <c r="G3" s="202"/>
    </row>
    <row r="4" spans="1:7" s="200" customFormat="1" ht="20.100000000000001" customHeight="1">
      <c r="A4" s="31" t="s">
        <v>31</v>
      </c>
      <c r="B4" s="203"/>
      <c r="C4" s="203"/>
      <c r="D4" s="256"/>
      <c r="E4" s="257" t="s">
        <v>272</v>
      </c>
      <c r="F4" s="259" t="s">
        <v>145</v>
      </c>
      <c r="G4" s="204"/>
    </row>
    <row r="5" spans="1:7" s="200" customFormat="1" ht="20.100000000000001" customHeight="1">
      <c r="A5" s="31" t="s">
        <v>110</v>
      </c>
      <c r="B5" s="60"/>
      <c r="C5" s="60"/>
      <c r="D5" s="256">
        <v>1</v>
      </c>
      <c r="E5" s="257" t="s">
        <v>273</v>
      </c>
      <c r="F5" s="259" t="s">
        <v>225</v>
      </c>
      <c r="G5" s="205"/>
    </row>
    <row r="6" spans="1:7" s="200" customFormat="1" ht="20.100000000000001" customHeight="1">
      <c r="A6" s="31" t="s">
        <v>57</v>
      </c>
      <c r="B6" s="60"/>
      <c r="C6" s="60"/>
      <c r="D6" s="256">
        <v>2</v>
      </c>
      <c r="E6" s="258" t="s">
        <v>279</v>
      </c>
      <c r="F6" s="259"/>
    </row>
    <row r="7" spans="1:7" s="200" customFormat="1" ht="20.100000000000001" customHeight="1">
      <c r="A7" s="31" t="s">
        <v>111</v>
      </c>
      <c r="B7" s="60"/>
      <c r="C7" s="60"/>
      <c r="D7" s="256">
        <v>3</v>
      </c>
      <c r="E7" s="258" t="s">
        <v>277</v>
      </c>
      <c r="F7" s="259"/>
    </row>
    <row r="8" spans="1:7" s="200" customFormat="1" ht="20.100000000000001" customHeight="1">
      <c r="A8" s="206"/>
      <c r="B8" s="60"/>
      <c r="C8" s="60"/>
      <c r="D8" s="256">
        <v>4</v>
      </c>
      <c r="E8" s="258" t="s">
        <v>278</v>
      </c>
      <c r="F8" s="259" t="s">
        <v>146</v>
      </c>
    </row>
    <row r="9" spans="1:7" s="200" customFormat="1" ht="20.100000000000001" customHeight="1">
      <c r="A9" s="289" t="s">
        <v>301</v>
      </c>
      <c r="B9" s="60"/>
      <c r="C9" s="60"/>
      <c r="D9" s="256">
        <v>5</v>
      </c>
      <c r="E9" s="258" t="s">
        <v>274</v>
      </c>
      <c r="F9" s="259" t="s">
        <v>226</v>
      </c>
    </row>
    <row r="10" spans="1:7" s="200" customFormat="1" ht="20.100000000000001" customHeight="1">
      <c r="A10" s="320" t="s">
        <v>302</v>
      </c>
      <c r="B10" s="60"/>
      <c r="C10" s="60"/>
      <c r="D10" s="256">
        <v>6</v>
      </c>
      <c r="E10" s="258" t="s">
        <v>275</v>
      </c>
      <c r="F10" s="259" t="s">
        <v>231</v>
      </c>
    </row>
    <row r="11" spans="1:7" s="200" customFormat="1" ht="20.100000000000001" customHeight="1">
      <c r="A11" s="320"/>
      <c r="B11" s="60"/>
      <c r="C11" s="60"/>
      <c r="D11" s="256">
        <v>7</v>
      </c>
      <c r="E11" s="258" t="s">
        <v>276</v>
      </c>
      <c r="F11" s="259" t="s">
        <v>227</v>
      </c>
    </row>
    <row r="12" spans="1:7" ht="20.100000000000001" customHeight="1">
      <c r="A12" s="320"/>
      <c r="D12" s="61"/>
      <c r="E12" s="62"/>
    </row>
    <row r="13" spans="1:7" ht="29.25" customHeight="1">
      <c r="A13" s="320"/>
      <c r="D13" s="61"/>
      <c r="E13" s="63"/>
    </row>
    <row r="14" spans="1:7" ht="15.6">
      <c r="A14" s="320" t="s">
        <v>303</v>
      </c>
      <c r="D14" s="61"/>
      <c r="E14" s="63"/>
    </row>
    <row r="15" spans="1:7" ht="20.100000000000001" customHeight="1">
      <c r="A15" s="320"/>
      <c r="D15" s="61"/>
      <c r="E15" s="63"/>
    </row>
    <row r="16" spans="1:7" ht="15.6">
      <c r="A16" s="320"/>
      <c r="D16" s="61"/>
      <c r="E16" s="63"/>
    </row>
    <row r="17" spans="1:5" ht="15.6">
      <c r="A17" s="321" t="s">
        <v>304</v>
      </c>
      <c r="D17" s="61"/>
      <c r="E17" s="63"/>
    </row>
    <row r="18" spans="1:5" ht="20.100000000000001" customHeight="1">
      <c r="A18" s="321"/>
      <c r="D18" s="61"/>
      <c r="E18" s="64"/>
    </row>
    <row r="19" spans="1:5" ht="20.100000000000001" customHeight="1">
      <c r="A19" s="321"/>
      <c r="D19" s="61"/>
      <c r="E19" s="64"/>
    </row>
  </sheetData>
  <mergeCells count="3">
    <mergeCell ref="A10:A13"/>
    <mergeCell ref="A14:A16"/>
    <mergeCell ref="A17:A19"/>
  </mergeCells>
  <phoneticPr fontId="3" type="noConversion"/>
  <hyperlinks>
    <hyperlink ref="E5" location="'审定表G3-1'!A1" display="审定表"/>
    <hyperlink ref="E6" location="'附注披露信息（上市公司）'!A1" display="附注披露信息（上市公司）"/>
    <hyperlink ref="E7" location="'附注披露信息（国企）'!A1" display="附注披露信息（国企）"/>
    <hyperlink ref="E8" location="'明细表G3-2'!A1" display="明细表"/>
    <hyperlink ref="E10" location="'测算及检查表G3-4'!A1" display="测算及检查表"/>
    <hyperlink ref="E4" location="应收股利实质性程序表G3A!A1" display="应收股利实质性程序表"/>
    <hyperlink ref="E9" location="'调整分录汇总G3-3'!A1" display="调整分录汇总"/>
    <hyperlink ref="E11" location="'长期未收回款项检查表G3-5'!A1" display="长期未收回款项检查表"/>
  </hyperlinks>
  <pageMargins left="0.70866141732283472" right="0.70866141732283472" top="0.74803149606299213" bottom="0.74803149606299213" header="0.31496062992125984" footer="0.31496062992125984"/>
  <pageSetup paperSize="9" orientation="portrait"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M26"/>
  <sheetViews>
    <sheetView view="pageBreakPreview" zoomScaleSheetLayoutView="100" workbookViewId="0">
      <selection activeCell="K6" sqref="K6"/>
    </sheetView>
  </sheetViews>
  <sheetFormatPr defaultColWidth="9" defaultRowHeight="13.2"/>
  <cols>
    <col min="1" max="1" width="4.44140625" style="219" customWidth="1"/>
    <col min="2" max="2" width="71.109375" style="103" customWidth="1"/>
    <col min="3" max="3" width="12.109375" style="103" customWidth="1"/>
    <col min="4" max="4" width="6" style="103" customWidth="1"/>
    <col min="5" max="5" width="7.33203125" style="103" customWidth="1"/>
    <col min="6" max="7" width="6.77734375" style="103" customWidth="1"/>
    <col min="8" max="8" width="6" style="103" customWidth="1"/>
    <col min="9" max="9" width="8.21875" style="103" customWidth="1"/>
    <col min="10" max="16384" width="9" style="103"/>
  </cols>
  <sheetData>
    <row r="1" spans="1:10" s="179" customFormat="1" ht="19.95" customHeight="1">
      <c r="A1" s="330" t="s">
        <v>233</v>
      </c>
      <c r="B1" s="330"/>
      <c r="C1" s="330"/>
      <c r="D1" s="330"/>
      <c r="E1" s="330"/>
      <c r="F1" s="330"/>
      <c r="G1" s="330"/>
      <c r="H1" s="330"/>
      <c r="I1" s="330"/>
    </row>
    <row r="2" spans="1:10" s="185" customFormat="1" ht="19.95" customHeight="1">
      <c r="A2" s="331" t="s">
        <v>108</v>
      </c>
      <c r="B2" s="331"/>
      <c r="C2" s="331"/>
      <c r="D2" s="331"/>
      <c r="E2" s="331"/>
      <c r="F2" s="331"/>
      <c r="G2" s="331"/>
      <c r="H2" s="331"/>
      <c r="I2" s="331"/>
    </row>
    <row r="3" spans="1:10" s="222" customFormat="1" ht="19.95" customHeight="1">
      <c r="A3" s="332" t="str">
        <f>底稿目录!A2</f>
        <v>被审计单位：</v>
      </c>
      <c r="B3" s="332"/>
      <c r="C3" s="221" t="str">
        <f>底稿目录!A4</f>
        <v>编制人：</v>
      </c>
      <c r="D3" s="221"/>
      <c r="E3" s="221"/>
      <c r="F3" s="221" t="str">
        <f>底稿目录!A5</f>
        <v>编制日期：</v>
      </c>
      <c r="G3" s="221"/>
      <c r="H3" s="221" t="s">
        <v>124</v>
      </c>
      <c r="I3" s="319" t="str">
        <f>底稿目录!F4</f>
        <v>G3A</v>
      </c>
    </row>
    <row r="4" spans="1:10" s="222" customFormat="1" ht="19.95" customHeight="1">
      <c r="A4" s="332" t="str">
        <f>底稿目录!A3</f>
        <v>截止日：202X年12月31日</v>
      </c>
      <c r="B4" s="332"/>
      <c r="C4" s="221" t="str">
        <f>底稿目录!A6</f>
        <v>复核人：</v>
      </c>
      <c r="D4" s="221"/>
      <c r="E4" s="221"/>
      <c r="F4" s="221" t="str">
        <f>底稿目录!A7</f>
        <v>复核日期：</v>
      </c>
      <c r="G4" s="221"/>
      <c r="H4" s="232" t="s">
        <v>254</v>
      </c>
      <c r="I4" s="221"/>
    </row>
    <row r="5" spans="1:10" ht="19.95" customHeight="1">
      <c r="A5" s="333" t="s">
        <v>103</v>
      </c>
      <c r="B5" s="333"/>
      <c r="C5" s="234"/>
      <c r="D5" s="234"/>
      <c r="E5" s="234"/>
      <c r="F5" s="234"/>
      <c r="G5" s="234"/>
      <c r="H5" s="234"/>
      <c r="I5" s="234"/>
    </row>
    <row r="6" spans="1:10" ht="19.95" customHeight="1">
      <c r="A6" s="323" t="s">
        <v>109</v>
      </c>
      <c r="B6" s="324"/>
      <c r="C6" s="324"/>
      <c r="D6" s="324"/>
      <c r="E6" s="324"/>
      <c r="F6" s="324"/>
      <c r="G6" s="324"/>
      <c r="H6" s="324"/>
      <c r="I6" s="324"/>
    </row>
    <row r="7" spans="1:10" s="102" customFormat="1" ht="19.95" customHeight="1">
      <c r="A7" s="138" t="s">
        <v>155</v>
      </c>
      <c r="B7" s="220"/>
      <c r="C7" s="139"/>
      <c r="D7" s="140"/>
    </row>
    <row r="8" spans="1:10" s="102" customFormat="1" ht="19.95" customHeight="1">
      <c r="A8" s="327" t="s">
        <v>156</v>
      </c>
      <c r="B8" s="327"/>
      <c r="C8" s="327"/>
      <c r="D8" s="327"/>
      <c r="E8" s="327"/>
      <c r="F8" s="327"/>
      <c r="G8" s="336" t="s">
        <v>104</v>
      </c>
      <c r="H8" s="336"/>
      <c r="I8" s="336"/>
    </row>
    <row r="9" spans="1:10" s="102" customFormat="1" ht="19.95" customHeight="1">
      <c r="A9" s="335" t="s">
        <v>284</v>
      </c>
      <c r="B9" s="335"/>
      <c r="C9" s="335"/>
      <c r="D9" s="335"/>
      <c r="E9" s="335"/>
      <c r="F9" s="335"/>
      <c r="G9" s="334" t="s">
        <v>157</v>
      </c>
      <c r="H9" s="334"/>
      <c r="I9" s="334"/>
    </row>
    <row r="10" spans="1:10" s="102" customFormat="1" ht="19.95" customHeight="1">
      <c r="A10" s="335" t="s">
        <v>285</v>
      </c>
      <c r="B10" s="335"/>
      <c r="C10" s="335"/>
      <c r="D10" s="335"/>
      <c r="E10" s="335"/>
      <c r="F10" s="335"/>
      <c r="G10" s="334" t="s">
        <v>158</v>
      </c>
      <c r="H10" s="334"/>
      <c r="I10" s="334"/>
    </row>
    <row r="11" spans="1:10" s="102" customFormat="1" ht="19.95" customHeight="1">
      <c r="A11" s="335" t="s">
        <v>286</v>
      </c>
      <c r="B11" s="335"/>
      <c r="C11" s="335"/>
      <c r="D11" s="335"/>
      <c r="E11" s="335"/>
      <c r="F11" s="335"/>
      <c r="G11" s="334" t="s">
        <v>257</v>
      </c>
      <c r="H11" s="334"/>
      <c r="I11" s="334"/>
    </row>
    <row r="12" spans="1:10" s="102" customFormat="1" ht="19.95" customHeight="1">
      <c r="A12" s="335" t="s">
        <v>288</v>
      </c>
      <c r="B12" s="335"/>
      <c r="C12" s="335"/>
      <c r="D12" s="335"/>
      <c r="E12" s="335"/>
      <c r="F12" s="335"/>
      <c r="G12" s="334" t="s">
        <v>298</v>
      </c>
      <c r="H12" s="334"/>
      <c r="I12" s="334"/>
    </row>
    <row r="13" spans="1:10" s="102" customFormat="1" ht="19.95" customHeight="1">
      <c r="A13" s="335" t="s">
        <v>287</v>
      </c>
      <c r="B13" s="335"/>
      <c r="C13" s="335"/>
      <c r="D13" s="335"/>
      <c r="E13" s="335"/>
      <c r="F13" s="335"/>
      <c r="G13" s="334" t="s">
        <v>299</v>
      </c>
      <c r="H13" s="334"/>
      <c r="I13" s="334"/>
    </row>
    <row r="14" spans="1:10" s="102" customFormat="1" ht="19.95" customHeight="1">
      <c r="A14" s="328" t="s">
        <v>283</v>
      </c>
      <c r="B14" s="328"/>
      <c r="C14" s="236"/>
      <c r="D14" s="237"/>
      <c r="E14" s="235"/>
      <c r="F14" s="235"/>
      <c r="G14" s="235"/>
      <c r="H14" s="235"/>
      <c r="I14" s="235"/>
    </row>
    <row r="15" spans="1:10" s="140" customFormat="1" ht="19.95" customHeight="1">
      <c r="A15" s="329" t="s">
        <v>250</v>
      </c>
      <c r="B15" s="327" t="s">
        <v>306</v>
      </c>
      <c r="C15" s="322" t="s">
        <v>160</v>
      </c>
      <c r="D15" s="325" t="s">
        <v>161</v>
      </c>
      <c r="E15" s="326"/>
      <c r="F15" s="326"/>
      <c r="G15" s="326"/>
      <c r="H15" s="326"/>
      <c r="I15" s="327" t="s">
        <v>162</v>
      </c>
    </row>
    <row r="16" spans="1:10" s="140" customFormat="1" ht="36">
      <c r="A16" s="329"/>
      <c r="B16" s="327"/>
      <c r="C16" s="322"/>
      <c r="D16" s="291" t="s">
        <v>163</v>
      </c>
      <c r="E16" s="291" t="s">
        <v>164</v>
      </c>
      <c r="F16" s="287" t="s">
        <v>165</v>
      </c>
      <c r="G16" s="287" t="s">
        <v>159</v>
      </c>
      <c r="H16" s="287" t="s">
        <v>166</v>
      </c>
      <c r="I16" s="327"/>
      <c r="J16" s="290" t="s">
        <v>305</v>
      </c>
    </row>
    <row r="17" spans="1:13" ht="66.599999999999994" customHeight="1">
      <c r="A17" s="292" t="s">
        <v>105</v>
      </c>
      <c r="B17" s="293" t="s">
        <v>289</v>
      </c>
      <c r="C17" s="294" t="s">
        <v>167</v>
      </c>
      <c r="D17" s="294" t="s">
        <v>176</v>
      </c>
      <c r="E17" s="294" t="s">
        <v>176</v>
      </c>
      <c r="F17" s="295"/>
      <c r="G17" s="296" t="s">
        <v>177</v>
      </c>
      <c r="H17" s="295"/>
      <c r="I17" s="297" t="s">
        <v>293</v>
      </c>
    </row>
    <row r="18" spans="1:13" ht="41.4">
      <c r="A18" s="292" t="s">
        <v>106</v>
      </c>
      <c r="B18" s="293" t="s">
        <v>179</v>
      </c>
      <c r="C18" s="294" t="s">
        <v>168</v>
      </c>
      <c r="D18" s="295"/>
      <c r="E18" s="296" t="s">
        <v>176</v>
      </c>
      <c r="F18" s="295"/>
      <c r="G18" s="294" t="s">
        <v>295</v>
      </c>
      <c r="H18" s="295"/>
      <c r="I18" s="298" t="s">
        <v>294</v>
      </c>
    </row>
    <row r="19" spans="1:13" ht="42" customHeight="1">
      <c r="A19" s="292" t="s">
        <v>107</v>
      </c>
      <c r="B19" s="299" t="s">
        <v>297</v>
      </c>
      <c r="C19" s="300" t="s">
        <v>169</v>
      </c>
      <c r="D19" s="296" t="s">
        <v>176</v>
      </c>
      <c r="E19" s="294" t="s">
        <v>176</v>
      </c>
      <c r="F19" s="294" t="s">
        <v>176</v>
      </c>
      <c r="G19" s="294" t="s">
        <v>176</v>
      </c>
      <c r="H19" s="295"/>
      <c r="I19" s="297"/>
    </row>
    <row r="20" spans="1:13" ht="33" customHeight="1">
      <c r="A20" s="292" t="s">
        <v>175</v>
      </c>
      <c r="B20" s="299" t="s">
        <v>174</v>
      </c>
      <c r="C20" s="294" t="s">
        <v>168</v>
      </c>
      <c r="D20" s="301" t="s">
        <v>189</v>
      </c>
      <c r="E20" s="301" t="s">
        <v>189</v>
      </c>
      <c r="F20" s="302"/>
      <c r="G20" s="301" t="s">
        <v>189</v>
      </c>
      <c r="H20" s="295"/>
      <c r="I20" s="297" t="s">
        <v>293</v>
      </c>
    </row>
    <row r="21" spans="1:13" ht="35.4" customHeight="1">
      <c r="A21" s="292" t="s">
        <v>171</v>
      </c>
      <c r="B21" s="299" t="s">
        <v>170</v>
      </c>
      <c r="C21" s="294" t="s">
        <v>168</v>
      </c>
      <c r="D21" s="296" t="s">
        <v>176</v>
      </c>
      <c r="E21" s="295"/>
      <c r="F21" s="294" t="s">
        <v>176</v>
      </c>
      <c r="G21" s="294" t="s">
        <v>176</v>
      </c>
      <c r="H21" s="303"/>
      <c r="I21" s="297" t="s">
        <v>293</v>
      </c>
    </row>
    <row r="22" spans="1:13" ht="82.2" customHeight="1">
      <c r="A22" s="292" t="s">
        <v>252</v>
      </c>
      <c r="B22" s="299" t="s">
        <v>194</v>
      </c>
      <c r="C22" s="294" t="s">
        <v>168</v>
      </c>
      <c r="D22" s="296" t="s">
        <v>296</v>
      </c>
      <c r="E22" s="296" t="s">
        <v>296</v>
      </c>
      <c r="F22" s="294"/>
      <c r="G22" s="294" t="s">
        <v>296</v>
      </c>
      <c r="H22" s="303"/>
      <c r="I22" s="303" t="s">
        <v>228</v>
      </c>
    </row>
    <row r="23" spans="1:13" s="152" customFormat="1" ht="172.8" customHeight="1">
      <c r="A23" s="292" t="s">
        <v>251</v>
      </c>
      <c r="B23" s="304" t="s">
        <v>193</v>
      </c>
      <c r="C23" s="305" t="s">
        <v>188</v>
      </c>
      <c r="D23" s="306"/>
      <c r="E23" s="306"/>
      <c r="F23" s="306"/>
      <c r="G23" s="307" t="s">
        <v>189</v>
      </c>
      <c r="H23" s="306"/>
      <c r="I23" s="306"/>
      <c r="J23" s="103"/>
      <c r="K23" s="103"/>
      <c r="L23" s="103"/>
      <c r="M23" s="103"/>
    </row>
    <row r="24" spans="1:13" s="153" customFormat="1" ht="163.80000000000001" customHeight="1">
      <c r="A24" s="292" t="s">
        <v>172</v>
      </c>
      <c r="B24" s="308" t="s">
        <v>191</v>
      </c>
      <c r="C24" s="309" t="s">
        <v>192</v>
      </c>
      <c r="D24" s="296" t="s">
        <v>176</v>
      </c>
      <c r="E24" s="294" t="s">
        <v>176</v>
      </c>
      <c r="F24" s="296" t="s">
        <v>176</v>
      </c>
      <c r="G24" s="294" t="s">
        <v>176</v>
      </c>
      <c r="H24" s="310"/>
      <c r="I24" s="310" t="s">
        <v>229</v>
      </c>
    </row>
    <row r="25" spans="1:13" ht="36">
      <c r="A25" s="292" t="s">
        <v>190</v>
      </c>
      <c r="B25" s="311" t="s">
        <v>173</v>
      </c>
      <c r="C25" s="294" t="s">
        <v>290</v>
      </c>
      <c r="D25" s="296"/>
      <c r="E25" s="294"/>
      <c r="F25" s="296"/>
      <c r="G25" s="294"/>
      <c r="H25" s="303"/>
      <c r="I25" s="303"/>
    </row>
    <row r="26" spans="1:13" ht="28.2" customHeight="1">
      <c r="A26" s="292" t="s">
        <v>253</v>
      </c>
      <c r="B26" s="312" t="s">
        <v>292</v>
      </c>
      <c r="C26" s="294" t="s">
        <v>168</v>
      </c>
      <c r="D26" s="303"/>
      <c r="E26" s="303"/>
      <c r="F26" s="303"/>
      <c r="G26" s="303"/>
      <c r="H26" s="296" t="s">
        <v>178</v>
      </c>
      <c r="I26" s="297" t="s">
        <v>291</v>
      </c>
    </row>
  </sheetData>
  <mergeCells count="24">
    <mergeCell ref="A13:F13"/>
    <mergeCell ref="G8:I8"/>
    <mergeCell ref="G9:I9"/>
    <mergeCell ref="A1:I1"/>
    <mergeCell ref="A2:I2"/>
    <mergeCell ref="A3:B3"/>
    <mergeCell ref="A4:B4"/>
    <mergeCell ref="A5:B5"/>
    <mergeCell ref="C15:C16"/>
    <mergeCell ref="A6:I6"/>
    <mergeCell ref="D15:H15"/>
    <mergeCell ref="I15:I16"/>
    <mergeCell ref="A14:B14"/>
    <mergeCell ref="A15:A16"/>
    <mergeCell ref="B15:B16"/>
    <mergeCell ref="G10:I10"/>
    <mergeCell ref="G11:I11"/>
    <mergeCell ref="G12:I12"/>
    <mergeCell ref="G13:I13"/>
    <mergeCell ref="A8:F8"/>
    <mergeCell ref="A9:F9"/>
    <mergeCell ref="A10:F10"/>
    <mergeCell ref="A11:F11"/>
    <mergeCell ref="A12:F12"/>
  </mergeCells>
  <phoneticPr fontId="3" type="noConversion"/>
  <hyperlinks>
    <hyperlink ref="I3" location="底稿目录!F4" display="底稿目录!F4"/>
  </hyperlinks>
  <pageMargins left="0.70866141732283472" right="0.70866141732283472" top="0.74803149606299213" bottom="0.74803149606299213" header="0.31496062992125984" footer="0.31496062992125984"/>
  <pageSetup paperSize="9" scale="68" fitToHeight="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V48"/>
  <sheetViews>
    <sheetView view="pageBreakPreview" zoomScaleSheetLayoutView="100" workbookViewId="0">
      <pane ySplit="6" topLeftCell="A16" activePane="bottomLeft" state="frozen"/>
      <selection activeCell="A7" sqref="A7:A9"/>
      <selection pane="bottomLeft" activeCell="N3" sqref="N3"/>
    </sheetView>
  </sheetViews>
  <sheetFormatPr defaultColWidth="9" defaultRowHeight="23.25" customHeight="1"/>
  <cols>
    <col min="1" max="1" width="22.21875" style="1" customWidth="1"/>
    <col min="2" max="13" width="13.109375" style="1" customWidth="1"/>
    <col min="14" max="14" width="5.109375" style="1" customWidth="1"/>
    <col min="15" max="15" width="5.77734375" style="1" customWidth="1"/>
    <col min="16" max="16384" width="9" style="1"/>
  </cols>
  <sheetData>
    <row r="1" spans="1:15" s="184" customFormat="1" ht="20.100000000000001" customHeight="1">
      <c r="A1" s="342" t="s">
        <v>0</v>
      </c>
      <c r="B1" s="342"/>
      <c r="C1" s="342"/>
      <c r="D1" s="342"/>
      <c r="E1" s="342"/>
      <c r="F1" s="342"/>
      <c r="G1" s="342"/>
      <c r="H1" s="342"/>
      <c r="I1" s="342"/>
      <c r="J1" s="342"/>
      <c r="K1" s="342"/>
      <c r="L1" s="342"/>
      <c r="M1" s="342"/>
      <c r="N1" s="342"/>
      <c r="O1" s="342"/>
    </row>
    <row r="2" spans="1:15" s="191" customFormat="1" ht="20.100000000000001" customHeight="1">
      <c r="A2" s="343" t="s">
        <v>235</v>
      </c>
      <c r="B2" s="343"/>
      <c r="C2" s="343"/>
      <c r="D2" s="343"/>
      <c r="E2" s="343"/>
      <c r="F2" s="343"/>
      <c r="G2" s="343"/>
      <c r="H2" s="343"/>
      <c r="I2" s="343"/>
      <c r="J2" s="343"/>
      <c r="K2" s="343"/>
      <c r="L2" s="343"/>
      <c r="M2" s="343"/>
      <c r="N2" s="343"/>
      <c r="O2" s="343"/>
    </row>
    <row r="3" spans="1:15" s="212" customFormat="1" ht="20.100000000000001" customHeight="1">
      <c r="A3" s="212" t="str">
        <f>底稿目录!A2</f>
        <v>被审计单位：</v>
      </c>
      <c r="D3" s="225" t="str">
        <f>底稿目录!A4</f>
        <v>编制人：</v>
      </c>
      <c r="E3" s="225"/>
      <c r="F3" s="225"/>
      <c r="G3" s="225"/>
      <c r="H3" s="226" t="str">
        <f>底稿目录!A5</f>
        <v>编制日期：</v>
      </c>
      <c r="M3" s="212" t="s">
        <v>69</v>
      </c>
      <c r="N3" s="319" t="str">
        <f>底稿目录!F5</f>
        <v>G3-1</v>
      </c>
      <c r="O3" s="230"/>
    </row>
    <row r="4" spans="1:15" s="212" customFormat="1" ht="20.100000000000001" customHeight="1">
      <c r="A4" s="212" t="str">
        <f>底稿目录!A3</f>
        <v>截止日：202X年12月31日</v>
      </c>
      <c r="D4" s="225" t="str">
        <f>底稿目录!A6</f>
        <v>复核人：</v>
      </c>
      <c r="E4" s="225"/>
      <c r="F4" s="225"/>
      <c r="G4" s="225"/>
      <c r="H4" s="226" t="str">
        <f>底稿目录!A7</f>
        <v>复核日期：</v>
      </c>
      <c r="M4" s="212" t="s">
        <v>258</v>
      </c>
      <c r="O4" s="231"/>
    </row>
    <row r="5" spans="1:15" ht="29.25" customHeight="1">
      <c r="A5" s="344" t="s">
        <v>240</v>
      </c>
      <c r="B5" s="346" t="s">
        <v>91</v>
      </c>
      <c r="C5" s="347"/>
      <c r="D5" s="347"/>
      <c r="E5" s="348"/>
      <c r="F5" s="346" t="s">
        <v>92</v>
      </c>
      <c r="G5" s="347"/>
      <c r="H5" s="347"/>
      <c r="I5" s="348"/>
      <c r="J5" s="338" t="s">
        <v>97</v>
      </c>
      <c r="K5" s="339"/>
      <c r="L5" s="340" t="s">
        <v>98</v>
      </c>
      <c r="M5" s="341"/>
      <c r="N5" s="349" t="s">
        <v>241</v>
      </c>
      <c r="O5" s="350"/>
    </row>
    <row r="6" spans="1:15" ht="20.100000000000001" customHeight="1">
      <c r="A6" s="345"/>
      <c r="B6" s="98" t="s">
        <v>93</v>
      </c>
      <c r="C6" s="98" t="s">
        <v>94</v>
      </c>
      <c r="D6" s="98" t="s">
        <v>95</v>
      </c>
      <c r="E6" s="98" t="s">
        <v>96</v>
      </c>
      <c r="F6" s="98" t="s">
        <v>93</v>
      </c>
      <c r="G6" s="98" t="s">
        <v>94</v>
      </c>
      <c r="H6" s="98" t="s">
        <v>95</v>
      </c>
      <c r="I6" s="98" t="s">
        <v>96</v>
      </c>
      <c r="J6" s="99" t="s">
        <v>99</v>
      </c>
      <c r="K6" s="100" t="s">
        <v>100</v>
      </c>
      <c r="L6" s="99" t="s">
        <v>101</v>
      </c>
      <c r="M6" s="198" t="s">
        <v>100</v>
      </c>
      <c r="N6" s="351"/>
      <c r="O6" s="352"/>
    </row>
    <row r="7" spans="1:15" s="212" customFormat="1" ht="20.100000000000001" customHeight="1">
      <c r="A7" s="207" t="s">
        <v>87</v>
      </c>
      <c r="B7" s="208"/>
      <c r="C7" s="208"/>
      <c r="D7" s="208"/>
      <c r="E7" s="208"/>
      <c r="F7" s="208"/>
      <c r="G7" s="208"/>
      <c r="H7" s="208"/>
      <c r="I7" s="208"/>
      <c r="J7" s="209"/>
      <c r="K7" s="215"/>
      <c r="L7" s="209"/>
      <c r="M7" s="215"/>
      <c r="N7" s="210"/>
      <c r="O7" s="211"/>
    </row>
    <row r="8" spans="1:15" ht="20.100000000000001" customHeight="1">
      <c r="A8" s="90" t="s">
        <v>242</v>
      </c>
      <c r="B8" s="194">
        <f>'明细表G3-2'!C21</f>
        <v>0</v>
      </c>
      <c r="C8" s="194">
        <f>'明细表G3-2'!G21</f>
        <v>0</v>
      </c>
      <c r="D8" s="194">
        <f>'明细表G3-2'!H21</f>
        <v>0</v>
      </c>
      <c r="E8" s="194">
        <f>B8+C8+D8</f>
        <v>0</v>
      </c>
      <c r="F8" s="194">
        <f>'明细表G3-2'!F21</f>
        <v>0</v>
      </c>
      <c r="G8" s="194">
        <f>'明细表G3-2'!G21+'明细表G3-2'!I21-'明细表G3-2'!J21</f>
        <v>0</v>
      </c>
      <c r="H8" s="194">
        <f>'明细表G3-2'!H21+'明细表G3-2'!K21-'明细表G3-2'!L21</f>
        <v>0</v>
      </c>
      <c r="I8" s="194">
        <f>F8+G8+H8</f>
        <v>0</v>
      </c>
      <c r="J8" s="194">
        <f t="shared" ref="J8:J9" si="0">F8-B8</f>
        <v>0</v>
      </c>
      <c r="K8" s="216">
        <f>IF(AND(B8=0,J8=0),0,IF(AND(B8=0,J8&gt;0),1,J8/B8))</f>
        <v>0</v>
      </c>
      <c r="L8" s="194">
        <f t="shared" ref="L8:L9" si="1">I8-E8</f>
        <v>0</v>
      </c>
      <c r="M8" s="216">
        <f>IF(AND(E8=0,L8=0),0,IF(AND(E8=0,L8&gt;0),1,L8/E8))</f>
        <v>0</v>
      </c>
      <c r="N8" s="3"/>
      <c r="O8" s="4"/>
    </row>
    <row r="9" spans="1:15" ht="20.100000000000001" customHeight="1">
      <c r="A9" s="90" t="s">
        <v>243</v>
      </c>
      <c r="B9" s="194">
        <f>'明细表G3-2'!C29</f>
        <v>0</v>
      </c>
      <c r="C9" s="194">
        <f>'明细表G3-2'!G29</f>
        <v>0</v>
      </c>
      <c r="D9" s="194">
        <f>'明细表G3-2'!H29</f>
        <v>0</v>
      </c>
      <c r="E9" s="194">
        <f t="shared" ref="E9" si="2">B9+C9+D9</f>
        <v>0</v>
      </c>
      <c r="F9" s="194">
        <f>'明细表G3-2'!F29</f>
        <v>0</v>
      </c>
      <c r="G9" s="194">
        <f>'明细表G3-2'!G29+'明细表G3-2'!I29-'明细表G3-2'!J29</f>
        <v>0</v>
      </c>
      <c r="H9" s="194">
        <f>'明细表G3-2'!H29+'明细表G3-2'!K29-'明细表G3-2'!L29</f>
        <v>0</v>
      </c>
      <c r="I9" s="194">
        <f t="shared" ref="I9" si="3">F9+G9+H9</f>
        <v>0</v>
      </c>
      <c r="J9" s="194">
        <f t="shared" si="0"/>
        <v>0</v>
      </c>
      <c r="K9" s="216">
        <f t="shared" ref="K9" si="4">IF(AND(B9=0,J9=0),0,IF(AND(B9=0,J9&gt;0),1,J9/B9))</f>
        <v>0</v>
      </c>
      <c r="L9" s="194">
        <f t="shared" si="1"/>
        <v>0</v>
      </c>
      <c r="M9" s="216">
        <f t="shared" ref="M9" si="5">IF(AND(E9=0,L9=0),0,IF(AND(E9=0,L9&gt;0),1,L9/E9))</f>
        <v>0</v>
      </c>
      <c r="N9" s="3"/>
      <c r="O9" s="4"/>
    </row>
    <row r="10" spans="1:15" ht="20.100000000000001" customHeight="1">
      <c r="A10" s="97" t="s">
        <v>90</v>
      </c>
      <c r="B10" s="213">
        <f>SUM(B8:B9)</f>
        <v>0</v>
      </c>
      <c r="C10" s="213">
        <f t="shared" ref="C10" si="6">SUM(C8:C9)</f>
        <v>0</v>
      </c>
      <c r="D10" s="213">
        <f t="shared" ref="D10" si="7">SUM(D8:D9)</f>
        <v>0</v>
      </c>
      <c r="E10" s="213">
        <f t="shared" ref="E10" si="8">SUM(E8:E9)</f>
        <v>0</v>
      </c>
      <c r="F10" s="213">
        <f t="shared" ref="F10" si="9">SUM(F8:F9)</f>
        <v>0</v>
      </c>
      <c r="G10" s="213">
        <f t="shared" ref="G10" si="10">SUM(G8:G9)</f>
        <v>0</v>
      </c>
      <c r="H10" s="213">
        <f t="shared" ref="H10" si="11">SUM(H8:H9)</f>
        <v>0</v>
      </c>
      <c r="I10" s="213">
        <f t="shared" ref="I10" si="12">SUM(I8:I9)</f>
        <v>0</v>
      </c>
      <c r="J10" s="213">
        <f t="shared" ref="J10" si="13">F10-B10</f>
        <v>0</v>
      </c>
      <c r="K10" s="217">
        <f>IF(AND(B10=0,J10=0),0,IF(AND(B10=0,J10&gt;0),1,J10/B10))</f>
        <v>0</v>
      </c>
      <c r="L10" s="213">
        <f t="shared" ref="L10" si="14">I10-E10</f>
        <v>0</v>
      </c>
      <c r="M10" s="217">
        <f>IF(AND(E10=0,L10=0),0,IF(AND(E10=0,L10&gt;0),1,L10/E10))</f>
        <v>0</v>
      </c>
      <c r="N10" s="3"/>
      <c r="O10" s="4"/>
    </row>
    <row r="11" spans="1:15" s="212" customFormat="1" ht="20.100000000000001" customHeight="1">
      <c r="A11" s="207" t="s">
        <v>88</v>
      </c>
      <c r="B11" s="208"/>
      <c r="C11" s="208"/>
      <c r="D11" s="208"/>
      <c r="E11" s="208"/>
      <c r="F11" s="208"/>
      <c r="G11" s="208"/>
      <c r="H11" s="208"/>
      <c r="I11" s="208"/>
      <c r="J11" s="209"/>
      <c r="K11" s="215"/>
      <c r="L11" s="209"/>
      <c r="M11" s="215"/>
      <c r="N11" s="210"/>
      <c r="O11" s="211"/>
    </row>
    <row r="12" spans="1:15" ht="20.100000000000001" customHeight="1">
      <c r="A12" s="96" t="str">
        <f>A8</f>
        <v>账龄一年以内的应收股利</v>
      </c>
      <c r="B12" s="194">
        <f>'明细表G3-2'!Q21</f>
        <v>0</v>
      </c>
      <c r="C12" s="194">
        <f>'明细表G3-2'!U21</f>
        <v>0</v>
      </c>
      <c r="D12" s="194">
        <f>'明细表G3-2'!V21</f>
        <v>0</v>
      </c>
      <c r="E12" s="194">
        <f>B12+C12+D12</f>
        <v>0</v>
      </c>
      <c r="F12" s="194">
        <f>'明细表G3-2'!T21</f>
        <v>0</v>
      </c>
      <c r="G12" s="194">
        <f>'明细表G3-2'!U21+'明细表G3-2'!W21-'明细表G3-2'!X21</f>
        <v>0</v>
      </c>
      <c r="H12" s="194">
        <f>'明细表G3-2'!V21+'明细表G3-2'!Y21-'明细表G3-2'!Z21</f>
        <v>0</v>
      </c>
      <c r="I12" s="194">
        <f>F12+G12+H12</f>
        <v>0</v>
      </c>
      <c r="J12" s="194">
        <f t="shared" ref="J12:J14" si="15">F12-B12</f>
        <v>0</v>
      </c>
      <c r="K12" s="216">
        <f>IF(AND(B12=0,J12=0),0,IF(AND(B12=0,J12&gt;0),1,J12/B12))</f>
        <v>0</v>
      </c>
      <c r="L12" s="194">
        <f t="shared" ref="L12:L14" si="16">I12-E12</f>
        <v>0</v>
      </c>
      <c r="M12" s="216">
        <f>IF(AND(E12=0,L12=0),0,IF(AND(E12=0,L12&gt;0),1,L12/E12))</f>
        <v>0</v>
      </c>
      <c r="N12" s="3"/>
      <c r="O12" s="4"/>
    </row>
    <row r="13" spans="1:15" ht="20.100000000000001" customHeight="1">
      <c r="A13" s="96" t="str">
        <f>A9</f>
        <v>账龄一年以上的应收股利</v>
      </c>
      <c r="B13" s="194">
        <f>'明细表G3-2'!Q29</f>
        <v>0</v>
      </c>
      <c r="C13" s="194">
        <f>'明细表G3-2'!U29</f>
        <v>0</v>
      </c>
      <c r="D13" s="194">
        <f>'明细表G3-2'!V29</f>
        <v>0</v>
      </c>
      <c r="E13" s="194">
        <f t="shared" ref="E13" si="17">B13+C13+D13</f>
        <v>0</v>
      </c>
      <c r="F13" s="194">
        <f>'明细表G3-2'!T29</f>
        <v>0</v>
      </c>
      <c r="G13" s="194">
        <f>'明细表G3-2'!U29+'明细表G3-2'!W29-'明细表G3-2'!X29</f>
        <v>0</v>
      </c>
      <c r="H13" s="194">
        <f>'明细表G3-2'!V29+'明细表G3-2'!Y29-'明细表G3-2'!Z29</f>
        <v>0</v>
      </c>
      <c r="I13" s="194">
        <f t="shared" ref="I13" si="18">F13+G13+H13</f>
        <v>0</v>
      </c>
      <c r="J13" s="194">
        <f t="shared" si="15"/>
        <v>0</v>
      </c>
      <c r="K13" s="216">
        <f t="shared" ref="K13" si="19">IF(AND(B13=0,J13=0),0,IF(AND(B13=0,J13&gt;0),1,J13/B13))</f>
        <v>0</v>
      </c>
      <c r="L13" s="194">
        <f t="shared" si="16"/>
        <v>0</v>
      </c>
      <c r="M13" s="216">
        <f t="shared" ref="M13" si="20">IF(AND(E13=0,L13=0),0,IF(AND(E13=0,L13&gt;0),1,L13/E13))</f>
        <v>0</v>
      </c>
      <c r="N13" s="3"/>
      <c r="O13" s="4"/>
    </row>
    <row r="14" spans="1:15" ht="20.100000000000001" customHeight="1">
      <c r="A14" s="97" t="s">
        <v>90</v>
      </c>
      <c r="B14" s="213">
        <f>SUM(B12:B13)</f>
        <v>0</v>
      </c>
      <c r="C14" s="213">
        <f t="shared" ref="C14" si="21">SUM(C12:C13)</f>
        <v>0</v>
      </c>
      <c r="D14" s="213">
        <f t="shared" ref="D14" si="22">SUM(D12:D13)</f>
        <v>0</v>
      </c>
      <c r="E14" s="213">
        <f t="shared" ref="E14" si="23">SUM(E12:E13)</f>
        <v>0</v>
      </c>
      <c r="F14" s="213">
        <f t="shared" ref="F14" si="24">SUM(F12:F13)</f>
        <v>0</v>
      </c>
      <c r="G14" s="213">
        <f t="shared" ref="G14" si="25">SUM(G12:G13)</f>
        <v>0</v>
      </c>
      <c r="H14" s="213">
        <f t="shared" ref="H14" si="26">SUM(H12:H13)</f>
        <v>0</v>
      </c>
      <c r="I14" s="213">
        <f t="shared" ref="I14" si="27">SUM(I12:I13)</f>
        <v>0</v>
      </c>
      <c r="J14" s="213">
        <f t="shared" si="15"/>
        <v>0</v>
      </c>
      <c r="K14" s="217">
        <f>IF(AND(B14=0,J14=0),0,IF(AND(B14=0,J14&gt;0),1,J14/B14))</f>
        <v>0</v>
      </c>
      <c r="L14" s="213">
        <f t="shared" si="16"/>
        <v>0</v>
      </c>
      <c r="M14" s="217">
        <f>IF(AND(E14=0,L14=0),0,IF(AND(E14=0,L14&gt;0),1,L14/E14))</f>
        <v>0</v>
      </c>
      <c r="N14" s="3"/>
      <c r="O14" s="4"/>
    </row>
    <row r="15" spans="1:15" s="212" customFormat="1" ht="20.100000000000001" customHeight="1">
      <c r="A15" s="207" t="s">
        <v>89</v>
      </c>
      <c r="B15" s="208"/>
      <c r="C15" s="208"/>
      <c r="D15" s="208"/>
      <c r="E15" s="208"/>
      <c r="F15" s="208"/>
      <c r="G15" s="208"/>
      <c r="H15" s="208"/>
      <c r="I15" s="208"/>
      <c r="J15" s="209"/>
      <c r="K15" s="215"/>
      <c r="L15" s="209"/>
      <c r="M15" s="215"/>
      <c r="N15" s="210"/>
      <c r="O15" s="211"/>
    </row>
    <row r="16" spans="1:15" ht="20.100000000000001" customHeight="1">
      <c r="A16" s="96" t="str">
        <f>A12</f>
        <v>账龄一年以内的应收股利</v>
      </c>
      <c r="B16" s="194">
        <f>B8-B12</f>
        <v>0</v>
      </c>
      <c r="C16" s="194">
        <f t="shared" ref="C16:D16" si="28">C8-C12</f>
        <v>0</v>
      </c>
      <c r="D16" s="194">
        <f t="shared" si="28"/>
        <v>0</v>
      </c>
      <c r="E16" s="194">
        <f>B16+C16+D16</f>
        <v>0</v>
      </c>
      <c r="F16" s="194">
        <f>F8-F12</f>
        <v>0</v>
      </c>
      <c r="G16" s="194">
        <f t="shared" ref="G16:H16" si="29">G8-G12</f>
        <v>0</v>
      </c>
      <c r="H16" s="194">
        <f t="shared" si="29"/>
        <v>0</v>
      </c>
      <c r="I16" s="194">
        <f>F16+G16+H16</f>
        <v>0</v>
      </c>
      <c r="J16" s="194">
        <f t="shared" ref="J16:J18" si="30">F16-B16</f>
        <v>0</v>
      </c>
      <c r="K16" s="216">
        <f>IF(AND(B16=0,J16=0),0,IF(AND(B16=0,J16&gt;0),1,J16/B16))</f>
        <v>0</v>
      </c>
      <c r="L16" s="194">
        <f t="shared" ref="L16:L18" si="31">I16-E16</f>
        <v>0</v>
      </c>
      <c r="M16" s="216">
        <f>IF(AND(E16=0,L16=0),0,IF(AND(E16=0,L16&gt;0),1,L16/E16))</f>
        <v>0</v>
      </c>
      <c r="N16" s="3"/>
      <c r="O16" s="4"/>
    </row>
    <row r="17" spans="1:22" ht="20.100000000000001" customHeight="1">
      <c r="A17" s="96" t="str">
        <f>A13</f>
        <v>账龄一年以上的应收股利</v>
      </c>
      <c r="B17" s="194">
        <f>B9-B13</f>
        <v>0</v>
      </c>
      <c r="C17" s="194">
        <f t="shared" ref="C17:D17" si="32">C9-C13</f>
        <v>0</v>
      </c>
      <c r="D17" s="194">
        <f t="shared" si="32"/>
        <v>0</v>
      </c>
      <c r="E17" s="194">
        <f t="shared" ref="E17" si="33">B17+C17+D17</f>
        <v>0</v>
      </c>
      <c r="F17" s="194">
        <f>F9-F13</f>
        <v>0</v>
      </c>
      <c r="G17" s="194">
        <f t="shared" ref="G17:H17" si="34">G9-G13</f>
        <v>0</v>
      </c>
      <c r="H17" s="194">
        <f t="shared" si="34"/>
        <v>0</v>
      </c>
      <c r="I17" s="194">
        <f t="shared" ref="I17" si="35">F17+G17+H17</f>
        <v>0</v>
      </c>
      <c r="J17" s="194">
        <f t="shared" si="30"/>
        <v>0</v>
      </c>
      <c r="K17" s="216">
        <f t="shared" ref="K17" si="36">IF(AND(B17=0,J17=0),0,IF(AND(B17=0,J17&gt;0),1,J17/B17))</f>
        <v>0</v>
      </c>
      <c r="L17" s="194">
        <f t="shared" si="31"/>
        <v>0</v>
      </c>
      <c r="M17" s="216">
        <f t="shared" ref="M17" si="37">IF(AND(E17=0,L17=0),0,IF(AND(E17=0,L17&gt;0),1,L17/E17))</f>
        <v>0</v>
      </c>
      <c r="N17" s="3"/>
      <c r="O17" s="4"/>
    </row>
    <row r="18" spans="1:22" ht="20.100000000000001" customHeight="1">
      <c r="A18" s="97" t="s">
        <v>248</v>
      </c>
      <c r="B18" s="213">
        <f>SUM(B16:B17)</f>
        <v>0</v>
      </c>
      <c r="C18" s="213">
        <f t="shared" ref="C18:I18" si="38">SUM(C16:C17)</f>
        <v>0</v>
      </c>
      <c r="D18" s="213">
        <f t="shared" si="38"/>
        <v>0</v>
      </c>
      <c r="E18" s="213">
        <f t="shared" si="38"/>
        <v>0</v>
      </c>
      <c r="F18" s="213">
        <f t="shared" si="38"/>
        <v>0</v>
      </c>
      <c r="G18" s="213">
        <f t="shared" si="38"/>
        <v>0</v>
      </c>
      <c r="H18" s="213">
        <f t="shared" si="38"/>
        <v>0</v>
      </c>
      <c r="I18" s="213">
        <f t="shared" si="38"/>
        <v>0</v>
      </c>
      <c r="J18" s="213">
        <f t="shared" si="30"/>
        <v>0</v>
      </c>
      <c r="K18" s="217">
        <f>IF(AND(B18=0,J18=0),0,IF(AND(B18=0,J18&gt;0),1,J18/B18))</f>
        <v>0</v>
      </c>
      <c r="L18" s="213">
        <f t="shared" si="31"/>
        <v>0</v>
      </c>
      <c r="M18" s="217">
        <f>IF(AND(E18=0,L18=0),0,IF(AND(E18=0,L18&gt;0),1,L18/E18))</f>
        <v>0</v>
      </c>
      <c r="N18" s="3"/>
      <c r="O18" s="4"/>
    </row>
    <row r="19" spans="1:22" ht="19.95" customHeight="1">
      <c r="A19" s="92" t="s">
        <v>244</v>
      </c>
      <c r="B19" s="2"/>
      <c r="C19" s="2"/>
      <c r="D19" s="2"/>
      <c r="E19" s="2"/>
      <c r="F19" s="91"/>
      <c r="G19" s="91"/>
      <c r="H19" s="91"/>
      <c r="I19" s="91"/>
      <c r="J19" s="91"/>
      <c r="K19" s="91"/>
      <c r="L19" s="91"/>
      <c r="M19" s="91"/>
      <c r="N19" s="2"/>
      <c r="O19" s="2"/>
      <c r="P19" s="337"/>
      <c r="Q19" s="337"/>
      <c r="R19" s="337"/>
      <c r="S19" s="337"/>
      <c r="T19" s="337"/>
      <c r="U19" s="337"/>
      <c r="V19" s="337"/>
    </row>
    <row r="20" spans="1:22" ht="20.100000000000001" customHeight="1">
      <c r="A20" s="5" t="s">
        <v>70</v>
      </c>
      <c r="B20" s="5"/>
      <c r="C20" s="214">
        <f>M18</f>
        <v>0</v>
      </c>
      <c r="D20" s="130"/>
      <c r="E20" s="5"/>
      <c r="F20" s="5"/>
      <c r="G20" s="5"/>
      <c r="H20" s="5"/>
      <c r="I20" s="5"/>
      <c r="J20" s="5"/>
      <c r="K20" s="5"/>
      <c r="L20" s="5"/>
      <c r="M20" s="5"/>
      <c r="N20" s="5"/>
      <c r="O20" s="5"/>
      <c r="P20" s="337"/>
      <c r="Q20" s="337"/>
      <c r="R20" s="337"/>
      <c r="S20" s="337"/>
      <c r="T20" s="337"/>
      <c r="U20" s="337"/>
      <c r="V20" s="337"/>
    </row>
    <row r="21" spans="1:22" ht="20.100000000000001" customHeight="1">
      <c r="A21" s="5" t="s">
        <v>245</v>
      </c>
      <c r="B21" s="5"/>
      <c r="C21" s="5"/>
      <c r="D21" s="5"/>
      <c r="E21" s="5"/>
      <c r="F21" s="5"/>
      <c r="G21" s="5"/>
      <c r="H21" s="5"/>
      <c r="I21" s="5"/>
      <c r="J21" s="5"/>
      <c r="K21" s="5"/>
      <c r="L21" s="5"/>
      <c r="M21" s="5"/>
      <c r="N21" s="5"/>
      <c r="O21" s="5"/>
      <c r="P21" s="197"/>
      <c r="Q21" s="197"/>
      <c r="R21" s="197"/>
      <c r="S21" s="197"/>
      <c r="T21" s="197"/>
      <c r="U21" s="197"/>
      <c r="V21" s="197"/>
    </row>
    <row r="22" spans="1:22" ht="20.100000000000001" customHeight="1">
      <c r="A22" s="6" t="s">
        <v>71</v>
      </c>
      <c r="B22" s="6"/>
      <c r="C22" s="6"/>
      <c r="D22" s="6"/>
      <c r="E22" s="6"/>
      <c r="F22" s="6"/>
      <c r="G22" s="6"/>
      <c r="H22" s="6"/>
      <c r="I22" s="6"/>
      <c r="J22" s="6"/>
      <c r="K22" s="6"/>
      <c r="L22" s="6"/>
      <c r="M22" s="6"/>
      <c r="N22" s="6"/>
      <c r="O22" s="6"/>
      <c r="P22" s="337"/>
      <c r="Q22" s="337"/>
      <c r="R22" s="337"/>
      <c r="S22" s="337"/>
      <c r="T22" s="337"/>
      <c r="U22" s="337"/>
      <c r="V22" s="337"/>
    </row>
    <row r="23" spans="1:22" ht="20.100000000000001" customHeight="1">
      <c r="A23" s="6" t="s">
        <v>246</v>
      </c>
      <c r="B23" s="6"/>
      <c r="C23" s="6"/>
      <c r="D23" s="6"/>
      <c r="E23" s="6"/>
      <c r="F23" s="6"/>
      <c r="G23" s="6"/>
      <c r="H23" s="6"/>
      <c r="I23" s="6"/>
      <c r="J23" s="6"/>
      <c r="K23" s="6"/>
      <c r="L23" s="6"/>
      <c r="M23" s="6"/>
      <c r="N23" s="6"/>
      <c r="O23" s="6"/>
      <c r="P23" s="197"/>
      <c r="Q23" s="197"/>
      <c r="R23" s="197"/>
      <c r="S23" s="197"/>
      <c r="T23" s="197"/>
      <c r="U23" s="197"/>
      <c r="V23" s="197"/>
    </row>
    <row r="24" spans="1:22" ht="20.100000000000001" customHeight="1">
      <c r="A24" s="6"/>
      <c r="B24" s="6"/>
      <c r="C24" s="6"/>
      <c r="D24" s="6"/>
      <c r="E24" s="6"/>
      <c r="F24" s="6"/>
      <c r="G24" s="6"/>
      <c r="H24" s="6"/>
      <c r="I24" s="6"/>
      <c r="J24" s="6"/>
      <c r="K24" s="6"/>
      <c r="L24" s="6"/>
      <c r="M24" s="6"/>
      <c r="N24" s="6"/>
      <c r="O24" s="6"/>
      <c r="P24" s="197"/>
      <c r="Q24" s="197"/>
      <c r="R24" s="197"/>
      <c r="S24" s="197"/>
      <c r="T24" s="197"/>
      <c r="U24" s="197"/>
      <c r="V24" s="197"/>
    </row>
    <row r="25" spans="1:22" ht="20.100000000000001" customHeight="1">
      <c r="A25" s="92" t="s">
        <v>247</v>
      </c>
      <c r="B25" s="5"/>
      <c r="C25" s="5"/>
      <c r="D25" s="5"/>
      <c r="E25" s="5"/>
      <c r="F25" s="91"/>
      <c r="G25" s="91"/>
      <c r="H25" s="91"/>
      <c r="I25" s="91"/>
      <c r="J25" s="91"/>
      <c r="K25" s="91"/>
      <c r="L25" s="91"/>
      <c r="M25" s="91"/>
      <c r="N25" s="5"/>
      <c r="O25" s="5"/>
      <c r="P25" s="197"/>
      <c r="Q25" s="197"/>
      <c r="R25" s="197"/>
      <c r="S25" s="197"/>
      <c r="T25" s="197"/>
      <c r="U25" s="197"/>
      <c r="V25" s="197"/>
    </row>
    <row r="26" spans="1:22" ht="20.100000000000001" customHeight="1">
      <c r="A26" s="92"/>
      <c r="B26" s="5"/>
      <c r="C26" s="5"/>
      <c r="D26" s="5"/>
      <c r="E26" s="5"/>
      <c r="F26" s="5"/>
      <c r="G26" s="5"/>
      <c r="H26" s="5"/>
      <c r="I26" s="5"/>
      <c r="J26" s="5"/>
      <c r="K26" s="5"/>
      <c r="L26" s="5"/>
      <c r="M26" s="5"/>
      <c r="N26" s="5"/>
      <c r="O26" s="5"/>
      <c r="P26" s="89"/>
      <c r="Q26" s="89"/>
      <c r="R26" s="89"/>
      <c r="S26" s="89"/>
      <c r="T26" s="89"/>
      <c r="U26" s="89"/>
      <c r="V26" s="89"/>
    </row>
    <row r="28" spans="1:22" s="7" customFormat="1" ht="18" customHeight="1">
      <c r="A28" s="93" t="s">
        <v>72</v>
      </c>
    </row>
    <row r="29" spans="1:22" s="7" customFormat="1" ht="18" customHeight="1">
      <c r="A29" s="7" t="s">
        <v>3</v>
      </c>
    </row>
    <row r="30" spans="1:22" s="7" customFormat="1" ht="18" customHeight="1">
      <c r="A30" s="7" t="s">
        <v>73</v>
      </c>
    </row>
    <row r="31" spans="1:22" s="7" customFormat="1" ht="18" customHeight="1">
      <c r="A31" s="7" t="s">
        <v>74</v>
      </c>
    </row>
    <row r="32" spans="1:22" s="7" customFormat="1" ht="18" customHeight="1">
      <c r="A32" s="7" t="s">
        <v>4</v>
      </c>
    </row>
    <row r="33" spans="1:1" s="7" customFormat="1" ht="18" customHeight="1">
      <c r="A33" s="7" t="s">
        <v>75</v>
      </c>
    </row>
    <row r="34" spans="1:1" s="7" customFormat="1" ht="18" customHeight="1">
      <c r="A34" s="7" t="s">
        <v>5</v>
      </c>
    </row>
    <row r="35" spans="1:1" s="7" customFormat="1" ht="18" customHeight="1">
      <c r="A35" s="94" t="s">
        <v>76</v>
      </c>
    </row>
    <row r="36" spans="1:1" s="7" customFormat="1" ht="18" customHeight="1">
      <c r="A36" s="7" t="s">
        <v>6</v>
      </c>
    </row>
    <row r="37" spans="1:1" s="7" customFormat="1" ht="18" customHeight="1">
      <c r="A37" s="7" t="s">
        <v>77</v>
      </c>
    </row>
    <row r="38" spans="1:1" ht="18" customHeight="1">
      <c r="A38" s="7" t="s">
        <v>78</v>
      </c>
    </row>
    <row r="39" spans="1:1" ht="18" customHeight="1">
      <c r="A39" s="7" t="s">
        <v>79</v>
      </c>
    </row>
    <row r="40" spans="1:1" ht="18" customHeight="1">
      <c r="A40" s="7" t="s">
        <v>80</v>
      </c>
    </row>
    <row r="41" spans="1:1" ht="18" customHeight="1">
      <c r="A41" s="7" t="s">
        <v>81</v>
      </c>
    </row>
    <row r="42" spans="1:1" ht="18" customHeight="1">
      <c r="A42" s="7" t="s">
        <v>7</v>
      </c>
    </row>
    <row r="43" spans="1:1" ht="18" customHeight="1"/>
    <row r="44" spans="1:1" ht="18" customHeight="1">
      <c r="A44" s="7" t="s">
        <v>82</v>
      </c>
    </row>
    <row r="45" spans="1:1" ht="18" customHeight="1">
      <c r="A45" s="94" t="s">
        <v>83</v>
      </c>
    </row>
    <row r="46" spans="1:1" ht="18" customHeight="1">
      <c r="A46" s="95" t="s">
        <v>84</v>
      </c>
    </row>
    <row r="47" spans="1:1" ht="18" customHeight="1">
      <c r="A47" s="95" t="s">
        <v>85</v>
      </c>
    </row>
    <row r="48" spans="1:1" ht="18" customHeight="1">
      <c r="A48" s="95" t="s">
        <v>86</v>
      </c>
    </row>
  </sheetData>
  <mergeCells count="11">
    <mergeCell ref="A1:O1"/>
    <mergeCell ref="A2:O2"/>
    <mergeCell ref="A5:A6"/>
    <mergeCell ref="B5:E5"/>
    <mergeCell ref="F5:I5"/>
    <mergeCell ref="N5:O6"/>
    <mergeCell ref="P22:V22"/>
    <mergeCell ref="P19:V19"/>
    <mergeCell ref="P20:V20"/>
    <mergeCell ref="J5:K5"/>
    <mergeCell ref="L5:M5"/>
  </mergeCells>
  <phoneticPr fontId="3" type="noConversion"/>
  <hyperlinks>
    <hyperlink ref="N3" location="底稿目录!F5" display="底稿目录!F5"/>
  </hyperlinks>
  <pageMargins left="0.70866141732283472" right="0.70866141732283472" top="0.74803149606299213" bottom="0.74803149606299213" header="0.31496062992125984" footer="0.31496062992125984"/>
  <pageSetup paperSize="9" scale="70" fitToHeight="0"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F36"/>
  <sheetViews>
    <sheetView view="pageBreakPreview" zoomScaleSheetLayoutView="100" workbookViewId="0">
      <selection activeCell="H35" sqref="H35"/>
    </sheetView>
  </sheetViews>
  <sheetFormatPr defaultColWidth="9" defaultRowHeight="20.100000000000001" customHeight="1"/>
  <cols>
    <col min="1" max="1" width="31.33203125" style="26" customWidth="1"/>
    <col min="2" max="2" width="15.33203125" style="26" customWidth="1"/>
    <col min="3" max="3" width="15.21875" style="26" customWidth="1"/>
    <col min="4" max="4" width="17.109375" style="26" customWidth="1"/>
    <col min="5" max="5" width="26.33203125" style="26" customWidth="1"/>
    <col min="6" max="6" width="11.109375" style="26" customWidth="1"/>
    <col min="7" max="16384" width="9" style="26"/>
  </cols>
  <sheetData>
    <row r="1" spans="1:6" s="183" customFormat="1" ht="20.100000000000001" customHeight="1">
      <c r="A1" s="354" t="s">
        <v>0</v>
      </c>
      <c r="B1" s="354"/>
      <c r="C1" s="354"/>
      <c r="D1" s="354"/>
      <c r="E1" s="354"/>
    </row>
    <row r="2" spans="1:6" s="190" customFormat="1" ht="24.9" customHeight="1">
      <c r="A2" s="355" t="s">
        <v>8</v>
      </c>
      <c r="B2" s="355"/>
      <c r="C2" s="355"/>
      <c r="D2" s="355"/>
      <c r="E2" s="355"/>
    </row>
    <row r="3" spans="1:6" s="224" customFormat="1" ht="20.100000000000001" customHeight="1">
      <c r="A3" s="212" t="str">
        <f>底稿目录!A2</f>
        <v>被审计单位：</v>
      </c>
      <c r="B3" s="225" t="str">
        <f>底稿目录!A4</f>
        <v>编制人：</v>
      </c>
      <c r="C3" s="226" t="str">
        <f>底稿目录!A5</f>
        <v>编制日期：</v>
      </c>
      <c r="D3" s="227" t="s">
        <v>125</v>
      </c>
      <c r="E3" s="224">
        <f>底稿目录!F6</f>
        <v>0</v>
      </c>
      <c r="F3" s="212"/>
    </row>
    <row r="4" spans="1:6" s="224" customFormat="1" ht="20.100000000000001" customHeight="1">
      <c r="A4" s="212" t="str">
        <f>底稿目录!A3</f>
        <v>截止日：202X年12月31日</v>
      </c>
      <c r="B4" s="225" t="str">
        <f>底稿目录!A6</f>
        <v>复核人：</v>
      </c>
      <c r="C4" s="226" t="str">
        <f>底稿目录!A7</f>
        <v>复核日期：</v>
      </c>
      <c r="D4" s="227" t="s">
        <v>256</v>
      </c>
      <c r="F4" s="212"/>
    </row>
    <row r="5" spans="1:6" ht="20.100000000000001" customHeight="1">
      <c r="A5" s="66" t="s">
        <v>9</v>
      </c>
      <c r="B5" s="66"/>
      <c r="C5" s="66"/>
      <c r="D5" s="66"/>
      <c r="E5" s="66"/>
    </row>
    <row r="6" spans="1:6" ht="20.100000000000001" customHeight="1">
      <c r="A6" s="101" t="s">
        <v>102</v>
      </c>
      <c r="B6" s="66"/>
      <c r="C6" s="66"/>
      <c r="D6" s="66"/>
      <c r="E6" s="66"/>
    </row>
    <row r="7" spans="1:6" ht="20.100000000000001" customHeight="1" thickBot="1">
      <c r="A7" s="32" t="s">
        <v>1</v>
      </c>
      <c r="B7" s="67"/>
      <c r="C7" s="67"/>
      <c r="D7" s="67"/>
      <c r="E7" s="67"/>
    </row>
    <row r="8" spans="1:6" ht="20.100000000000001" customHeight="1" thickBot="1">
      <c r="A8" s="79" t="s">
        <v>63</v>
      </c>
      <c r="B8" s="131" t="s">
        <v>65</v>
      </c>
      <c r="C8" s="131" t="s">
        <v>148</v>
      </c>
      <c r="D8" s="67"/>
      <c r="E8" s="67"/>
    </row>
    <row r="9" spans="1:6" ht="20.100000000000001" customHeight="1">
      <c r="A9" s="68"/>
      <c r="B9" s="69"/>
      <c r="C9" s="69"/>
      <c r="D9" s="67"/>
      <c r="E9" s="67"/>
    </row>
    <row r="10" spans="1:6" ht="20.100000000000001" customHeight="1">
      <c r="A10" s="68"/>
      <c r="B10" s="69"/>
      <c r="C10" s="69"/>
      <c r="D10" s="67"/>
      <c r="E10" s="67"/>
    </row>
    <row r="11" spans="1:6" ht="20.100000000000001" customHeight="1">
      <c r="A11" s="68"/>
      <c r="B11" s="69"/>
      <c r="C11" s="69"/>
      <c r="D11" s="67"/>
      <c r="E11" s="67"/>
    </row>
    <row r="12" spans="1:6" ht="20.100000000000001" customHeight="1">
      <c r="A12" s="68"/>
      <c r="B12" s="69"/>
      <c r="C12" s="69"/>
      <c r="D12" s="67"/>
      <c r="E12" s="67"/>
    </row>
    <row r="13" spans="1:6" ht="20.100000000000001" customHeight="1">
      <c r="A13" s="68"/>
      <c r="B13" s="69"/>
      <c r="C13" s="69"/>
      <c r="D13" s="67"/>
      <c r="E13" s="67"/>
    </row>
    <row r="14" spans="1:6" ht="20.100000000000001" customHeight="1">
      <c r="A14" s="68"/>
      <c r="B14" s="69"/>
      <c r="C14" s="69"/>
      <c r="D14" s="67"/>
      <c r="E14" s="67"/>
    </row>
    <row r="15" spans="1:6" ht="20.100000000000001" customHeight="1">
      <c r="A15" s="68"/>
      <c r="B15" s="69"/>
      <c r="C15" s="69"/>
      <c r="D15" s="67"/>
      <c r="E15" s="67"/>
    </row>
    <row r="16" spans="1:6" ht="20.100000000000001" customHeight="1">
      <c r="A16" s="68"/>
      <c r="B16" s="70"/>
      <c r="C16" s="70"/>
      <c r="D16" s="67"/>
      <c r="E16" s="67"/>
    </row>
    <row r="17" spans="1:5" ht="20.100000000000001" customHeight="1">
      <c r="A17" s="68"/>
      <c r="B17" s="70"/>
      <c r="C17" s="70"/>
      <c r="D17" s="67"/>
      <c r="E17" s="67"/>
    </row>
    <row r="18" spans="1:5" ht="20.100000000000001" customHeight="1">
      <c r="A18" s="68"/>
      <c r="B18" s="70"/>
      <c r="C18" s="70"/>
      <c r="D18" s="67"/>
      <c r="E18" s="67"/>
    </row>
    <row r="19" spans="1:5" ht="20.100000000000001" customHeight="1">
      <c r="A19" s="68"/>
      <c r="B19" s="70"/>
      <c r="C19" s="70"/>
      <c r="D19" s="67"/>
      <c r="E19" s="67"/>
    </row>
    <row r="20" spans="1:5" ht="20.100000000000001" customHeight="1">
      <c r="A20" s="136"/>
      <c r="B20" s="137"/>
      <c r="C20" s="137"/>
      <c r="D20" s="67"/>
      <c r="E20" s="67"/>
    </row>
    <row r="21" spans="1:5" ht="20.100000000000001" customHeight="1">
      <c r="A21" s="134" t="s">
        <v>149</v>
      </c>
      <c r="B21" s="135"/>
      <c r="C21" s="135"/>
      <c r="D21" s="67"/>
      <c r="E21" s="67"/>
    </row>
    <row r="22" spans="1:5" ht="20.100000000000001" customHeight="1" thickBot="1">
      <c r="A22" s="132" t="s">
        <v>122</v>
      </c>
      <c r="B22" s="133"/>
      <c r="C22" s="133"/>
      <c r="D22" s="67"/>
      <c r="E22" s="67"/>
    </row>
    <row r="23" spans="1:5" ht="20.100000000000001" customHeight="1" thickBot="1">
      <c r="A23" s="34" t="s">
        <v>60</v>
      </c>
      <c r="B23" s="71">
        <f>SUM(B9:B22)</f>
        <v>0</v>
      </c>
      <c r="C23" s="71">
        <f>SUM(C9:C22)</f>
        <v>0</v>
      </c>
      <c r="D23" s="67"/>
      <c r="E23" s="67"/>
    </row>
    <row r="24" spans="1:5" ht="20.100000000000001" customHeight="1" thickBot="1">
      <c r="A24" s="35" t="s">
        <v>152</v>
      </c>
      <c r="B24" s="67"/>
      <c r="C24" s="67"/>
      <c r="D24" s="67"/>
      <c r="E24" s="67"/>
    </row>
    <row r="25" spans="1:5" ht="20.100000000000001" customHeight="1" thickBot="1">
      <c r="A25" s="79" t="s">
        <v>35</v>
      </c>
      <c r="B25" s="104" t="s">
        <v>150</v>
      </c>
      <c r="C25" s="79" t="s">
        <v>29</v>
      </c>
      <c r="D25" s="104" t="s">
        <v>32</v>
      </c>
      <c r="E25" s="104" t="s">
        <v>33</v>
      </c>
    </row>
    <row r="26" spans="1:5" ht="20.100000000000001" customHeight="1">
      <c r="A26" s="68">
        <f>'明细表G3-2'!B23</f>
        <v>0</v>
      </c>
      <c r="B26" s="70">
        <f>'明细表G3-2'!AF23</f>
        <v>0</v>
      </c>
      <c r="C26" s="72" t="e">
        <f>#REF!</f>
        <v>#REF!</v>
      </c>
      <c r="D26" s="72" t="e">
        <f>#REF!</f>
        <v>#REF!</v>
      </c>
      <c r="E26" s="72" t="e">
        <f>#REF!</f>
        <v>#REF!</v>
      </c>
    </row>
    <row r="27" spans="1:5" ht="20.100000000000001" customHeight="1">
      <c r="A27" s="68">
        <f>'明细表G3-2'!B24</f>
        <v>0</v>
      </c>
      <c r="B27" s="73">
        <f>'明细表G3-2'!AF24</f>
        <v>0</v>
      </c>
      <c r="C27" s="72" t="e">
        <f>#REF!</f>
        <v>#REF!</v>
      </c>
      <c r="D27" s="72" t="e">
        <f>#REF!</f>
        <v>#REF!</v>
      </c>
      <c r="E27" s="72" t="e">
        <f>#REF!</f>
        <v>#REF!</v>
      </c>
    </row>
    <row r="28" spans="1:5" ht="20.100000000000001" customHeight="1">
      <c r="A28" s="68">
        <f>'明细表G3-2'!B25</f>
        <v>0</v>
      </c>
      <c r="B28" s="73">
        <f>'明细表G3-2'!AF25</f>
        <v>0</v>
      </c>
      <c r="C28" s="72" t="e">
        <f>#REF!</f>
        <v>#REF!</v>
      </c>
      <c r="D28" s="72" t="e">
        <f>#REF!</f>
        <v>#REF!</v>
      </c>
      <c r="E28" s="72" t="e">
        <f>#REF!</f>
        <v>#REF!</v>
      </c>
    </row>
    <row r="29" spans="1:5" ht="20.100000000000001" customHeight="1">
      <c r="A29" s="68">
        <f>'明细表G3-2'!B26</f>
        <v>0</v>
      </c>
      <c r="B29" s="73">
        <f>'明细表G3-2'!AF26</f>
        <v>0</v>
      </c>
      <c r="C29" s="72" t="e">
        <f>#REF!</f>
        <v>#REF!</v>
      </c>
      <c r="D29" s="72" t="e">
        <f>#REF!</f>
        <v>#REF!</v>
      </c>
      <c r="E29" s="72" t="e">
        <f>#REF!</f>
        <v>#REF!</v>
      </c>
    </row>
    <row r="30" spans="1:5" ht="20.100000000000001" customHeight="1">
      <c r="A30" s="68">
        <f>'明细表G3-2'!B27</f>
        <v>0</v>
      </c>
      <c r="B30" s="73">
        <f>'明细表G3-2'!AF27</f>
        <v>0</v>
      </c>
      <c r="C30" s="72" t="e">
        <f>#REF!</f>
        <v>#REF!</v>
      </c>
      <c r="D30" s="72" t="e">
        <f>#REF!</f>
        <v>#REF!</v>
      </c>
      <c r="E30" s="72" t="e">
        <f>#REF!</f>
        <v>#REF!</v>
      </c>
    </row>
    <row r="31" spans="1:5" ht="20.100000000000001" customHeight="1" thickBot="1">
      <c r="A31" s="74">
        <f>'明细表G3-2'!B28</f>
        <v>0</v>
      </c>
      <c r="B31" s="75">
        <f>'明细表G3-2'!AF28</f>
        <v>0</v>
      </c>
      <c r="C31" s="76" t="e">
        <f>#REF!</f>
        <v>#REF!</v>
      </c>
      <c r="D31" s="72" t="e">
        <f>#REF!</f>
        <v>#REF!</v>
      </c>
      <c r="E31" s="72" t="e">
        <f>#REF!</f>
        <v>#REF!</v>
      </c>
    </row>
    <row r="32" spans="1:5" ht="20.100000000000001" customHeight="1" thickBot="1">
      <c r="A32" s="33" t="s">
        <v>60</v>
      </c>
      <c r="B32" s="77">
        <f>SUM(B26:B31)</f>
        <v>0</v>
      </c>
      <c r="C32" s="78" t="s">
        <v>61</v>
      </c>
      <c r="D32" s="78" t="s">
        <v>61</v>
      </c>
      <c r="E32" s="78" t="s">
        <v>61</v>
      </c>
    </row>
    <row r="33" spans="1:5" ht="20.100000000000001" customHeight="1">
      <c r="A33" s="353" t="s">
        <v>62</v>
      </c>
      <c r="B33" s="353"/>
      <c r="C33" s="353"/>
      <c r="D33" s="353"/>
      <c r="E33" s="353"/>
    </row>
    <row r="34" spans="1:5" ht="20.100000000000001" customHeight="1" thickBot="1">
      <c r="A34" s="314" t="s">
        <v>153</v>
      </c>
      <c r="B34" s="315"/>
      <c r="C34" s="315"/>
      <c r="D34" s="315"/>
      <c r="E34" s="315"/>
    </row>
    <row r="35" spans="1:5" ht="88.5" customHeight="1">
      <c r="A35" s="356" t="s">
        <v>151</v>
      </c>
      <c r="B35" s="356"/>
      <c r="C35" s="356"/>
      <c r="D35" s="356"/>
      <c r="E35" s="356"/>
    </row>
    <row r="36" spans="1:5" ht="20.100000000000001" customHeight="1">
      <c r="A36" s="66"/>
      <c r="B36" s="66"/>
      <c r="C36" s="66"/>
      <c r="D36" s="66"/>
      <c r="E36" s="66"/>
    </row>
  </sheetData>
  <mergeCells count="4">
    <mergeCell ref="A33:E33"/>
    <mergeCell ref="A1:E1"/>
    <mergeCell ref="A2:E2"/>
    <mergeCell ref="A35:E35"/>
  </mergeCells>
  <phoneticPr fontId="3" type="noConversion"/>
  <pageMargins left="0.70866141732283472" right="0.70866141732283472" top="0.74803149606299213" bottom="0.74803149606299213" header="0.31496062992125984" footer="0.31496062992125984"/>
  <pageSetup paperSize="9" scale="68" fitToHeight="0" orientation="portrait"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E29"/>
  <sheetViews>
    <sheetView view="pageBreakPreview" zoomScaleSheetLayoutView="100" workbookViewId="0">
      <selection activeCell="H8" sqref="H8"/>
    </sheetView>
  </sheetViews>
  <sheetFormatPr defaultColWidth="9" defaultRowHeight="13.8"/>
  <cols>
    <col min="1" max="1" width="27.5546875" style="8" customWidth="1"/>
    <col min="2" max="3" width="12.6640625" style="8" customWidth="1"/>
    <col min="4" max="4" width="9.6640625" style="8" customWidth="1"/>
    <col min="5" max="5" width="13.6640625" style="8" customWidth="1"/>
    <col min="6" max="16384" width="9" style="8"/>
  </cols>
  <sheetData>
    <row r="1" spans="1:5" s="183" customFormat="1" ht="20.100000000000001" customHeight="1">
      <c r="A1" s="354" t="s">
        <v>0</v>
      </c>
      <c r="B1" s="354"/>
      <c r="C1" s="354"/>
      <c r="D1" s="354"/>
      <c r="E1" s="354"/>
    </row>
    <row r="2" spans="1:5" s="190" customFormat="1" ht="24.9" customHeight="1">
      <c r="A2" s="355" t="s">
        <v>234</v>
      </c>
      <c r="B2" s="355"/>
      <c r="C2" s="355"/>
      <c r="D2" s="355"/>
      <c r="E2" s="355"/>
    </row>
    <row r="3" spans="1:5" s="224" customFormat="1" ht="20.100000000000001" customHeight="1">
      <c r="A3" s="212" t="str">
        <f>底稿目录!A2</f>
        <v>被审计单位：</v>
      </c>
      <c r="B3" s="225" t="str">
        <f>底稿目录!A4</f>
        <v>编制人：</v>
      </c>
      <c r="C3" s="212" t="str">
        <f>底稿目录!A5</f>
        <v>编制日期：</v>
      </c>
      <c r="D3" s="227" t="s">
        <v>126</v>
      </c>
      <c r="E3" s="224">
        <f>底稿目录!F7</f>
        <v>0</v>
      </c>
    </row>
    <row r="4" spans="1:5" s="224" customFormat="1" ht="20.100000000000001" customHeight="1">
      <c r="A4" s="212" t="str">
        <f>底稿目录!A3</f>
        <v>截止日：202X年12月31日</v>
      </c>
      <c r="B4" s="225" t="str">
        <f>底稿目录!A6</f>
        <v>复核人：</v>
      </c>
      <c r="C4" s="212" t="str">
        <f>底稿目录!A7</f>
        <v>复核日期：</v>
      </c>
      <c r="D4" s="227" t="s">
        <v>256</v>
      </c>
    </row>
    <row r="5" spans="1:5" ht="20.100000000000001" customHeight="1">
      <c r="A5" s="66" t="s">
        <v>9</v>
      </c>
      <c r="B5" s="66"/>
      <c r="C5" s="66"/>
      <c r="D5" s="66"/>
      <c r="E5" s="66"/>
    </row>
    <row r="6" spans="1:5" ht="20.100000000000001" customHeight="1">
      <c r="A6" s="101" t="s">
        <v>102</v>
      </c>
      <c r="B6" s="66"/>
      <c r="C6" s="66"/>
      <c r="D6" s="66"/>
      <c r="E6" s="66"/>
    </row>
    <row r="7" spans="1:5" ht="20.100000000000001" customHeight="1" thickBot="1">
      <c r="A7" s="35" t="s">
        <v>1</v>
      </c>
      <c r="B7" s="67"/>
      <c r="C7" s="67"/>
      <c r="D7" s="67"/>
      <c r="E7" s="67"/>
    </row>
    <row r="8" spans="1:5" ht="35.25" customHeight="1" thickBot="1">
      <c r="A8" s="79" t="s">
        <v>64</v>
      </c>
      <c r="B8" s="79" t="s">
        <v>65</v>
      </c>
      <c r="C8" s="79" t="s">
        <v>123</v>
      </c>
      <c r="D8" s="79" t="s">
        <v>32</v>
      </c>
      <c r="E8" s="79" t="s">
        <v>66</v>
      </c>
    </row>
    <row r="9" spans="1:5" ht="20.100000000000001" customHeight="1">
      <c r="A9" s="35" t="s">
        <v>59</v>
      </c>
      <c r="B9" s="81">
        <f>SUM(B10:B17)</f>
        <v>0</v>
      </c>
      <c r="C9" s="69">
        <f>SUM(C10:C17)</f>
        <v>0</v>
      </c>
      <c r="D9" s="313" t="s">
        <v>34</v>
      </c>
      <c r="E9" s="313" t="s">
        <v>34</v>
      </c>
    </row>
    <row r="10" spans="1:5" ht="20.100000000000001" customHeight="1">
      <c r="A10" s="35">
        <f>'明细表G3-2'!B13</f>
        <v>0</v>
      </c>
      <c r="B10" s="69">
        <f>'明细表G3-2'!M13</f>
        <v>0</v>
      </c>
      <c r="C10" s="69">
        <f>'明细表G3-2'!M13</f>
        <v>0</v>
      </c>
      <c r="D10" s="120"/>
      <c r="E10" s="120"/>
    </row>
    <row r="11" spans="1:5" ht="20.100000000000001" customHeight="1">
      <c r="A11" s="35">
        <f>'明细表G3-2'!B14</f>
        <v>0</v>
      </c>
      <c r="B11" s="69">
        <f>'明细表G3-2'!M14</f>
        <v>0</v>
      </c>
      <c r="C11" s="69">
        <f>'明细表G3-2'!M14</f>
        <v>0</v>
      </c>
      <c r="D11" s="80"/>
      <c r="E11" s="80"/>
    </row>
    <row r="12" spans="1:5" ht="20.100000000000001" customHeight="1">
      <c r="A12" s="35">
        <f>'明细表G3-2'!B15</f>
        <v>0</v>
      </c>
      <c r="B12" s="69">
        <f>'明细表G3-2'!M15</f>
        <v>0</v>
      </c>
      <c r="C12" s="69">
        <f>'明细表G3-2'!M15</f>
        <v>0</v>
      </c>
      <c r="D12" s="80"/>
      <c r="E12" s="80"/>
    </row>
    <row r="13" spans="1:5" ht="20.100000000000001" customHeight="1">
      <c r="A13" s="35">
        <f>'明细表G3-2'!B16</f>
        <v>0</v>
      </c>
      <c r="B13" s="69">
        <f>'明细表G3-2'!M16</f>
        <v>0</v>
      </c>
      <c r="C13" s="69">
        <f>'明细表G3-2'!M16</f>
        <v>0</v>
      </c>
      <c r="D13" s="80"/>
      <c r="E13" s="80"/>
    </row>
    <row r="14" spans="1:5" ht="20.100000000000001" customHeight="1">
      <c r="A14" s="35">
        <f>'明细表G3-2'!B17</f>
        <v>0</v>
      </c>
      <c r="B14" s="69">
        <f>'明细表G3-2'!M17</f>
        <v>0</v>
      </c>
      <c r="C14" s="69">
        <f>'明细表G3-2'!M17</f>
        <v>0</v>
      </c>
      <c r="D14" s="80"/>
      <c r="E14" s="80"/>
    </row>
    <row r="15" spans="1:5" ht="20.100000000000001" customHeight="1">
      <c r="A15" s="35">
        <f>'明细表G3-2'!B18</f>
        <v>0</v>
      </c>
      <c r="B15" s="69">
        <f>'明细表G3-2'!M18</f>
        <v>0</v>
      </c>
      <c r="C15" s="69">
        <f>'明细表G3-2'!M18</f>
        <v>0</v>
      </c>
      <c r="D15" s="80"/>
      <c r="E15" s="80"/>
    </row>
    <row r="16" spans="1:5" ht="20.100000000000001" customHeight="1">
      <c r="A16" s="35">
        <f>'明细表G3-2'!B19</f>
        <v>0</v>
      </c>
      <c r="B16" s="69">
        <f>'明细表G3-2'!M19</f>
        <v>0</v>
      </c>
      <c r="C16" s="69">
        <f>'明细表G3-2'!M19</f>
        <v>0</v>
      </c>
      <c r="D16" s="80"/>
      <c r="E16" s="80"/>
    </row>
    <row r="17" spans="1:5" ht="20.100000000000001" customHeight="1">
      <c r="A17" s="35">
        <f>'明细表G3-2'!B20</f>
        <v>0</v>
      </c>
      <c r="B17" s="69">
        <f>'明细表G3-2'!M20</f>
        <v>0</v>
      </c>
      <c r="C17" s="69">
        <f>'明细表G3-2'!M20</f>
        <v>0</v>
      </c>
      <c r="D17" s="80"/>
      <c r="E17" s="80"/>
    </row>
    <row r="18" spans="1:5" ht="20.100000000000001" customHeight="1">
      <c r="A18" s="35" t="s">
        <v>68</v>
      </c>
      <c r="B18" s="119">
        <f>SUM(B19:B24)</f>
        <v>0</v>
      </c>
      <c r="C18" s="119">
        <f>SUM(C19:C24)</f>
        <v>0</v>
      </c>
      <c r="D18" s="313" t="s">
        <v>34</v>
      </c>
      <c r="E18" s="313" t="s">
        <v>34</v>
      </c>
    </row>
    <row r="19" spans="1:5" ht="20.100000000000001" customHeight="1">
      <c r="A19" s="35">
        <f>'明细表G3-2'!B23</f>
        <v>0</v>
      </c>
      <c r="B19" s="69">
        <f>'明细表G3-2'!P23</f>
        <v>0</v>
      </c>
      <c r="C19" s="69">
        <f>'明细表G3-2'!M23</f>
        <v>0</v>
      </c>
      <c r="D19" s="120" t="e">
        <f>#REF!</f>
        <v>#REF!</v>
      </c>
      <c r="E19" s="120" t="e">
        <f>#REF!</f>
        <v>#REF!</v>
      </c>
    </row>
    <row r="20" spans="1:5" ht="20.100000000000001" customHeight="1">
      <c r="A20" s="35">
        <f>'明细表G3-2'!B24</f>
        <v>0</v>
      </c>
      <c r="B20" s="69">
        <f>'明细表G3-2'!P24</f>
        <v>0</v>
      </c>
      <c r="C20" s="69">
        <f>'明细表G3-2'!M24</f>
        <v>0</v>
      </c>
      <c r="D20" s="80" t="e">
        <f>#REF!</f>
        <v>#REF!</v>
      </c>
      <c r="E20" s="80" t="e">
        <f>#REF!</f>
        <v>#REF!</v>
      </c>
    </row>
    <row r="21" spans="1:5" ht="20.100000000000001" customHeight="1">
      <c r="A21" s="35">
        <f>'明细表G3-2'!B25</f>
        <v>0</v>
      </c>
      <c r="B21" s="69">
        <f>'明细表G3-2'!P25</f>
        <v>0</v>
      </c>
      <c r="C21" s="69">
        <f>'明细表G3-2'!M25</f>
        <v>0</v>
      </c>
      <c r="D21" s="80" t="e">
        <f>#REF!</f>
        <v>#REF!</v>
      </c>
      <c r="E21" s="80" t="e">
        <f>#REF!</f>
        <v>#REF!</v>
      </c>
    </row>
    <row r="22" spans="1:5" ht="20.100000000000001" customHeight="1">
      <c r="A22" s="35">
        <f>'明细表G3-2'!B26</f>
        <v>0</v>
      </c>
      <c r="B22" s="69">
        <f>'明细表G3-2'!P26</f>
        <v>0</v>
      </c>
      <c r="C22" s="69">
        <f>'明细表G3-2'!M26</f>
        <v>0</v>
      </c>
      <c r="D22" s="80" t="e">
        <f>#REF!</f>
        <v>#REF!</v>
      </c>
      <c r="E22" s="80" t="e">
        <f>#REF!</f>
        <v>#REF!</v>
      </c>
    </row>
    <row r="23" spans="1:5" ht="20.100000000000001" customHeight="1">
      <c r="A23" s="35">
        <f>'明细表G3-2'!B27</f>
        <v>0</v>
      </c>
      <c r="B23" s="69">
        <f>'明细表G3-2'!P27</f>
        <v>0</v>
      </c>
      <c r="C23" s="69">
        <f>'明细表G3-2'!M27</f>
        <v>0</v>
      </c>
      <c r="D23" s="80" t="e">
        <f>#REF!</f>
        <v>#REF!</v>
      </c>
      <c r="E23" s="80" t="e">
        <f>#REF!</f>
        <v>#REF!</v>
      </c>
    </row>
    <row r="24" spans="1:5" ht="20.100000000000001" customHeight="1">
      <c r="A24" s="35">
        <f>'明细表G3-2'!B28</f>
        <v>0</v>
      </c>
      <c r="B24" s="69">
        <f>'明细表G3-2'!P28</f>
        <v>0</v>
      </c>
      <c r="C24" s="69">
        <f>'明细表G3-2'!M28</f>
        <v>0</v>
      </c>
      <c r="D24" s="80" t="e">
        <f>#REF!</f>
        <v>#REF!</v>
      </c>
      <c r="E24" s="80" t="e">
        <f>#REF!</f>
        <v>#REF!</v>
      </c>
    </row>
    <row r="25" spans="1:5" ht="20.100000000000001" customHeight="1">
      <c r="A25" s="118" t="s">
        <v>67</v>
      </c>
      <c r="B25" s="69">
        <f>B18+B9</f>
        <v>0</v>
      </c>
      <c r="C25" s="69">
        <f>C18+C9</f>
        <v>0</v>
      </c>
      <c r="D25" s="120"/>
      <c r="E25" s="120"/>
    </row>
    <row r="26" spans="1:5" ht="20.100000000000001" customHeight="1" thickBot="1">
      <c r="A26" s="121" t="s">
        <v>122</v>
      </c>
      <c r="B26" s="82">
        <f>'明细表G3-2'!AD30</f>
        <v>0</v>
      </c>
      <c r="C26" s="82">
        <f>'明细表G3-2'!AA30</f>
        <v>0</v>
      </c>
      <c r="D26" s="83"/>
      <c r="E26" s="83"/>
    </row>
    <row r="27" spans="1:5" ht="20.100000000000001" customHeight="1" thickBot="1">
      <c r="A27" s="84" t="s">
        <v>60</v>
      </c>
      <c r="B27" s="85">
        <f>B25-B26</f>
        <v>0</v>
      </c>
      <c r="C27" s="85">
        <f>C25-C26</f>
        <v>0</v>
      </c>
      <c r="D27" s="86" t="s">
        <v>34</v>
      </c>
      <c r="E27" s="86" t="s">
        <v>34</v>
      </c>
    </row>
    <row r="28" spans="1:5" ht="20.100000000000001" customHeight="1">
      <c r="A28" s="66"/>
      <c r="B28" s="66"/>
      <c r="C28" s="66"/>
      <c r="D28" s="66"/>
      <c r="E28" s="66"/>
    </row>
    <row r="29" spans="1:5" ht="20.100000000000001" customHeight="1">
      <c r="A29" s="66"/>
      <c r="B29" s="66"/>
      <c r="C29" s="66"/>
      <c r="D29" s="66"/>
      <c r="E29" s="66"/>
    </row>
  </sheetData>
  <mergeCells count="2">
    <mergeCell ref="A1:E1"/>
    <mergeCell ref="A2:E2"/>
  </mergeCells>
  <phoneticPr fontId="3" type="noConversion"/>
  <pageMargins left="0.70866141732283472" right="0.70866141732283472" top="0.74803149606299213" bottom="0.74803149606299213" header="0.31496062992125984" footer="0.31496062992125984"/>
  <pageSetup paperSize="9" scale="68" fitToHeight="100"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G43"/>
  <sheetViews>
    <sheetView view="pageBreakPreview" zoomScaleSheetLayoutView="100" workbookViewId="0">
      <selection activeCell="P3" sqref="P3"/>
    </sheetView>
  </sheetViews>
  <sheetFormatPr defaultColWidth="9" defaultRowHeight="18" customHeight="1"/>
  <cols>
    <col min="1" max="1" width="4" style="37" customWidth="1"/>
    <col min="2" max="2" width="19.88671875" style="37" bestFit="1" customWidth="1"/>
    <col min="3" max="8" width="9.6640625" style="37" customWidth="1"/>
    <col min="9" max="10" width="10.109375" style="37" customWidth="1"/>
    <col min="11" max="11" width="9" style="37"/>
    <col min="12" max="12" width="9.77734375" style="37" customWidth="1"/>
    <col min="13" max="13" width="9" style="37"/>
    <col min="14" max="14" width="10" style="37" customWidth="1"/>
    <col min="15" max="16384" width="9" style="37"/>
  </cols>
  <sheetData>
    <row r="1" spans="1:33" s="182" customFormat="1" ht="19.95" customHeight="1">
      <c r="A1" s="361" t="s">
        <v>0</v>
      </c>
      <c r="B1" s="361"/>
      <c r="C1" s="361"/>
      <c r="D1" s="361"/>
      <c r="E1" s="361"/>
      <c r="F1" s="361"/>
      <c r="G1" s="361"/>
      <c r="H1" s="361"/>
      <c r="I1" s="361"/>
      <c r="J1" s="361"/>
      <c r="K1" s="361"/>
      <c r="L1" s="361"/>
      <c r="M1" s="361"/>
      <c r="N1" s="361"/>
      <c r="O1" s="361"/>
      <c r="P1" s="361"/>
      <c r="Q1" s="361" t="s">
        <v>0</v>
      </c>
      <c r="R1" s="361"/>
      <c r="S1" s="361"/>
      <c r="T1" s="361"/>
      <c r="U1" s="361"/>
      <c r="V1" s="361"/>
      <c r="W1" s="361"/>
      <c r="X1" s="361"/>
      <c r="Y1" s="361"/>
      <c r="Z1" s="361"/>
      <c r="AA1" s="361"/>
      <c r="AB1" s="361"/>
      <c r="AC1" s="361"/>
      <c r="AD1" s="361"/>
      <c r="AE1" s="361"/>
      <c r="AF1" s="361"/>
      <c r="AG1" s="361"/>
    </row>
    <row r="2" spans="1:33" s="189" customFormat="1" ht="19.95" customHeight="1">
      <c r="A2" s="362" t="s">
        <v>230</v>
      </c>
      <c r="B2" s="362"/>
      <c r="C2" s="362"/>
      <c r="D2" s="362"/>
      <c r="E2" s="362"/>
      <c r="F2" s="362"/>
      <c r="G2" s="362"/>
      <c r="H2" s="362"/>
      <c r="I2" s="362"/>
      <c r="J2" s="362"/>
      <c r="K2" s="362"/>
      <c r="L2" s="362"/>
      <c r="M2" s="362"/>
      <c r="N2" s="362"/>
      <c r="O2" s="362"/>
      <c r="P2" s="362"/>
      <c r="Q2" s="362" t="s">
        <v>56</v>
      </c>
      <c r="R2" s="362"/>
      <c r="S2" s="362"/>
      <c r="T2" s="362"/>
      <c r="U2" s="362"/>
      <c r="V2" s="362"/>
      <c r="W2" s="362"/>
      <c r="X2" s="362"/>
      <c r="Y2" s="362"/>
      <c r="Z2" s="362"/>
      <c r="AA2" s="362"/>
      <c r="AB2" s="362"/>
      <c r="AC2" s="362"/>
      <c r="AD2" s="362"/>
      <c r="AE2" s="362"/>
      <c r="AF2" s="362"/>
      <c r="AG2" s="362"/>
    </row>
    <row r="3" spans="1:33" s="238" customFormat="1" ht="19.95" customHeight="1">
      <c r="A3" s="238" t="str">
        <f>底稿目录!A2</f>
        <v>被审计单位：</v>
      </c>
      <c r="G3" s="238" t="str">
        <f>底稿目录!A4</f>
        <v>编制人：</v>
      </c>
      <c r="K3" s="238" t="str">
        <f>底稿目录!A5</f>
        <v>编制日期：</v>
      </c>
      <c r="O3" s="238" t="s">
        <v>255</v>
      </c>
      <c r="P3" s="319" t="str">
        <f>底稿目录!F8</f>
        <v>G3-2</v>
      </c>
      <c r="V3" s="238" t="str">
        <f>底稿目录!A4</f>
        <v>编制人：</v>
      </c>
      <c r="AA3" s="238" t="str">
        <f>底稿目录!A5</f>
        <v>编制日期：</v>
      </c>
      <c r="AF3" s="238" t="s">
        <v>255</v>
      </c>
      <c r="AG3" s="319" t="str">
        <f>底稿目录!F8</f>
        <v>G3-2</v>
      </c>
    </row>
    <row r="4" spans="1:33" s="238" customFormat="1" ht="19.95" customHeight="1">
      <c r="A4" s="238" t="str">
        <f>底稿目录!A3</f>
        <v>截止日：202X年12月31日</v>
      </c>
      <c r="G4" s="238" t="str">
        <f>底稿目录!A6</f>
        <v>复核人：</v>
      </c>
      <c r="K4" s="238" t="str">
        <f>底稿目录!A7</f>
        <v>复核日期：</v>
      </c>
      <c r="O4" s="238" t="s">
        <v>259</v>
      </c>
      <c r="P4" s="239"/>
      <c r="V4" s="238" t="str">
        <f>底稿目录!A6</f>
        <v>复核人：</v>
      </c>
      <c r="AA4" s="238" t="str">
        <f>底稿目录!A7</f>
        <v>复核日期：</v>
      </c>
      <c r="AF4" s="238" t="s">
        <v>259</v>
      </c>
      <c r="AG4" s="239"/>
    </row>
    <row r="5" spans="1:33" ht="19.95" customHeight="1">
      <c r="A5" s="40"/>
      <c r="B5" s="40"/>
      <c r="C5" s="40" t="s">
        <v>262</v>
      </c>
      <c r="D5" s="40"/>
      <c r="E5" s="40"/>
      <c r="F5" s="40"/>
      <c r="G5" s="40"/>
      <c r="H5" s="40"/>
      <c r="I5" s="40"/>
      <c r="J5" s="40"/>
      <c r="K5" s="40"/>
      <c r="L5" s="40"/>
      <c r="M5" s="40"/>
      <c r="N5" s="40"/>
      <c r="O5" s="40"/>
      <c r="P5" s="40"/>
      <c r="Q5" s="357" t="s">
        <v>263</v>
      </c>
      <c r="R5" s="357"/>
      <c r="S5" s="357"/>
      <c r="T5" s="357"/>
      <c r="U5" s="357"/>
      <c r="V5" s="357"/>
      <c r="W5" s="357"/>
      <c r="X5" s="357"/>
      <c r="Y5" s="357"/>
      <c r="Z5" s="357"/>
      <c r="AA5" s="357"/>
      <c r="AB5" s="357"/>
      <c r="AC5" s="357"/>
      <c r="AD5" s="357"/>
      <c r="AE5" s="357"/>
      <c r="AF5" s="357"/>
      <c r="AG5" s="357"/>
    </row>
    <row r="6" spans="1:33" ht="19.95" customHeight="1">
      <c r="A6" s="241"/>
      <c r="B6" s="233"/>
      <c r="C6" s="241" t="s">
        <v>261</v>
      </c>
      <c r="D6" s="286"/>
      <c r="E6" s="233"/>
      <c r="F6" s="233"/>
      <c r="G6" s="233"/>
      <c r="H6" s="233"/>
      <c r="I6" s="233"/>
      <c r="J6" s="233"/>
      <c r="K6" s="233"/>
      <c r="L6" s="233"/>
      <c r="M6" s="233"/>
      <c r="N6" s="233"/>
      <c r="O6" s="233"/>
      <c r="P6" s="233"/>
      <c r="Q6" s="241" t="s">
        <v>261</v>
      </c>
      <c r="R6" s="233"/>
      <c r="S6" s="233"/>
      <c r="T6" s="233"/>
      <c r="U6" s="233"/>
      <c r="V6" s="233"/>
      <c r="W6" s="233"/>
      <c r="X6" s="233"/>
      <c r="Y6" s="233"/>
      <c r="Z6" s="233"/>
      <c r="AA6" s="233"/>
      <c r="AB6" s="233"/>
      <c r="AC6" s="233"/>
      <c r="AD6" s="233"/>
      <c r="AE6" s="233"/>
      <c r="AF6" s="233"/>
      <c r="AG6" s="233"/>
    </row>
    <row r="7" spans="1:33" ht="19.95" customHeight="1">
      <c r="A7" s="240"/>
      <c r="B7" s="233"/>
      <c r="C7" s="240" t="s">
        <v>260</v>
      </c>
      <c r="D7" s="286"/>
      <c r="E7" s="233"/>
      <c r="F7" s="233"/>
      <c r="G7" s="233"/>
      <c r="H7" s="233"/>
      <c r="I7" s="233"/>
      <c r="J7" s="233"/>
      <c r="K7" s="233"/>
      <c r="L7" s="233"/>
      <c r="M7" s="233"/>
      <c r="N7" s="233"/>
      <c r="O7" s="233"/>
      <c r="P7" s="233"/>
      <c r="Q7" s="240" t="s">
        <v>260</v>
      </c>
      <c r="R7" s="233"/>
      <c r="S7" s="233"/>
      <c r="T7" s="233"/>
      <c r="U7" s="233"/>
      <c r="V7" s="233"/>
      <c r="W7" s="233"/>
      <c r="X7" s="233"/>
      <c r="Y7" s="233"/>
      <c r="Z7" s="233"/>
      <c r="AA7" s="233"/>
      <c r="AB7" s="233"/>
      <c r="AC7" s="233"/>
      <c r="AD7" s="233"/>
      <c r="AE7" s="233"/>
      <c r="AF7" s="233"/>
      <c r="AG7" s="233"/>
    </row>
    <row r="8" spans="1:33" ht="19.95" customHeight="1">
      <c r="A8" s="41"/>
      <c r="B8" s="42"/>
      <c r="C8" s="41" t="s">
        <v>44</v>
      </c>
      <c r="D8" s="141"/>
      <c r="K8" s="87"/>
      <c r="L8" s="87"/>
      <c r="P8" s="39"/>
      <c r="Q8" s="41" t="s">
        <v>44</v>
      </c>
      <c r="R8" s="42"/>
      <c r="S8" s="142"/>
      <c r="T8" s="141"/>
      <c r="AA8" s="87"/>
      <c r="AB8" s="87"/>
      <c r="AF8" s="39"/>
      <c r="AG8" s="39"/>
    </row>
    <row r="9" spans="1:33" s="43" customFormat="1" ht="20.100000000000001" customHeight="1">
      <c r="A9" s="365" t="s">
        <v>47</v>
      </c>
      <c r="B9" s="366"/>
      <c r="C9" s="367" t="s">
        <v>127</v>
      </c>
      <c r="D9" s="367"/>
      <c r="E9" s="367"/>
      <c r="F9" s="367"/>
      <c r="G9" s="367"/>
      <c r="H9" s="367"/>
      <c r="I9" s="367"/>
      <c r="J9" s="367"/>
      <c r="K9" s="367"/>
      <c r="L9" s="367"/>
      <c r="M9" s="367"/>
      <c r="N9" s="367"/>
      <c r="O9" s="367"/>
      <c r="P9" s="367"/>
      <c r="Q9" s="369" t="s">
        <v>128</v>
      </c>
      <c r="R9" s="369"/>
      <c r="S9" s="369"/>
      <c r="T9" s="369"/>
      <c r="U9" s="369"/>
      <c r="V9" s="369"/>
      <c r="W9" s="369"/>
      <c r="X9" s="369"/>
      <c r="Y9" s="369"/>
      <c r="Z9" s="369"/>
      <c r="AA9" s="369"/>
      <c r="AB9" s="369"/>
      <c r="AC9" s="369"/>
      <c r="AD9" s="369"/>
      <c r="AE9" s="367" t="s">
        <v>129</v>
      </c>
      <c r="AF9" s="367"/>
      <c r="AG9" s="358" t="s">
        <v>130</v>
      </c>
    </row>
    <row r="10" spans="1:33" s="38" customFormat="1" ht="20.100000000000001" customHeight="1">
      <c r="A10" s="365"/>
      <c r="B10" s="366"/>
      <c r="C10" s="372" t="s">
        <v>131</v>
      </c>
      <c r="D10" s="372"/>
      <c r="E10" s="372"/>
      <c r="F10" s="372"/>
      <c r="G10" s="363" t="s">
        <v>132</v>
      </c>
      <c r="H10" s="363"/>
      <c r="I10" s="363" t="s">
        <v>133</v>
      </c>
      <c r="J10" s="363"/>
      <c r="K10" s="363" t="s">
        <v>134</v>
      </c>
      <c r="L10" s="363"/>
      <c r="M10" s="364" t="s">
        <v>135</v>
      </c>
      <c r="N10" s="364"/>
      <c r="O10" s="364"/>
      <c r="P10" s="364"/>
      <c r="Q10" s="372" t="s">
        <v>131</v>
      </c>
      <c r="R10" s="372"/>
      <c r="S10" s="372"/>
      <c r="T10" s="372"/>
      <c r="U10" s="363" t="s">
        <v>132</v>
      </c>
      <c r="V10" s="363"/>
      <c r="W10" s="363" t="s">
        <v>136</v>
      </c>
      <c r="X10" s="363"/>
      <c r="Y10" s="363" t="s">
        <v>137</v>
      </c>
      <c r="Z10" s="363"/>
      <c r="AA10" s="364" t="s">
        <v>138</v>
      </c>
      <c r="AB10" s="364"/>
      <c r="AC10" s="364"/>
      <c r="AD10" s="364"/>
      <c r="AE10" s="368" t="s">
        <v>139</v>
      </c>
      <c r="AF10" s="368"/>
      <c r="AG10" s="359"/>
    </row>
    <row r="11" spans="1:33" s="38" customFormat="1" ht="20.100000000000001" customHeight="1">
      <c r="A11" s="365"/>
      <c r="B11" s="366"/>
      <c r="C11" s="122" t="s">
        <v>48</v>
      </c>
      <c r="D11" s="122" t="s">
        <v>49</v>
      </c>
      <c r="E11" s="122" t="s">
        <v>50</v>
      </c>
      <c r="F11" s="122" t="s">
        <v>51</v>
      </c>
      <c r="G11" s="123" t="s">
        <v>94</v>
      </c>
      <c r="H11" s="123" t="s">
        <v>137</v>
      </c>
      <c r="I11" s="123" t="s">
        <v>49</v>
      </c>
      <c r="J11" s="123" t="s">
        <v>140</v>
      </c>
      <c r="K11" s="123" t="s">
        <v>49</v>
      </c>
      <c r="L11" s="123" t="s">
        <v>140</v>
      </c>
      <c r="M11" s="122" t="s">
        <v>48</v>
      </c>
      <c r="N11" s="122" t="s">
        <v>49</v>
      </c>
      <c r="O11" s="122" t="s">
        <v>50</v>
      </c>
      <c r="P11" s="122" t="s">
        <v>51</v>
      </c>
      <c r="Q11" s="122" t="s">
        <v>48</v>
      </c>
      <c r="R11" s="122" t="s">
        <v>49</v>
      </c>
      <c r="S11" s="122" t="s">
        <v>50</v>
      </c>
      <c r="T11" s="122" t="s">
        <v>51</v>
      </c>
      <c r="U11" s="123" t="s">
        <v>94</v>
      </c>
      <c r="V11" s="123" t="s">
        <v>137</v>
      </c>
      <c r="W11" s="123" t="s">
        <v>141</v>
      </c>
      <c r="X11" s="123" t="s">
        <v>140</v>
      </c>
      <c r="Y11" s="123" t="s">
        <v>141</v>
      </c>
      <c r="Z11" s="123" t="s">
        <v>142</v>
      </c>
      <c r="AA11" s="122" t="s">
        <v>48</v>
      </c>
      <c r="AB11" s="122" t="s">
        <v>49</v>
      </c>
      <c r="AC11" s="122" t="s">
        <v>50</v>
      </c>
      <c r="AD11" s="122" t="s">
        <v>51</v>
      </c>
      <c r="AE11" s="124" t="s">
        <v>143</v>
      </c>
      <c r="AF11" s="124" t="s">
        <v>144</v>
      </c>
      <c r="AG11" s="360"/>
    </row>
    <row r="12" spans="1:33" s="59" customFormat="1" ht="20.100000000000001" customHeight="1">
      <c r="A12" s="52" t="s">
        <v>58</v>
      </c>
      <c r="B12" s="53"/>
      <c r="C12" s="54"/>
      <c r="D12" s="54"/>
      <c r="E12" s="54"/>
      <c r="F12" s="55"/>
      <c r="G12" s="54"/>
      <c r="H12" s="54"/>
      <c r="I12" s="54"/>
      <c r="J12" s="54"/>
      <c r="K12" s="54"/>
      <c r="L12" s="54"/>
      <c r="M12" s="56"/>
      <c r="N12" s="56"/>
      <c r="O12" s="56"/>
      <c r="P12" s="56"/>
      <c r="Q12" s="54"/>
      <c r="R12" s="54"/>
      <c r="S12" s="54"/>
      <c r="T12" s="55"/>
      <c r="U12" s="54"/>
      <c r="V12" s="54"/>
      <c r="W12" s="54"/>
      <c r="X12" s="54"/>
      <c r="Y12" s="54"/>
      <c r="Z12" s="54"/>
      <c r="AA12" s="56"/>
      <c r="AB12" s="56"/>
      <c r="AC12" s="56"/>
      <c r="AD12" s="56"/>
      <c r="AE12" s="57"/>
      <c r="AF12" s="57"/>
      <c r="AG12" s="58"/>
    </row>
    <row r="13" spans="1:33" ht="20.100000000000001" customHeight="1">
      <c r="A13" s="46"/>
      <c r="B13" s="193"/>
      <c r="C13" s="44"/>
      <c r="D13" s="44"/>
      <c r="E13" s="44"/>
      <c r="F13" s="194">
        <f t="shared" ref="F13:F28" si="0">SUM(C13:D13)-E13</f>
        <v>0</v>
      </c>
      <c r="G13" s="44"/>
      <c r="H13" s="44"/>
      <c r="I13" s="44"/>
      <c r="J13" s="44"/>
      <c r="K13" s="44"/>
      <c r="L13" s="44"/>
      <c r="M13" s="194">
        <f t="shared" ref="M13:M28" si="1">C13+G13+H13</f>
        <v>0</v>
      </c>
      <c r="N13" s="194">
        <f t="shared" ref="N13:O28" si="2">D13+I13+K13</f>
        <v>0</v>
      </c>
      <c r="O13" s="194">
        <f t="shared" si="2"/>
        <v>0</v>
      </c>
      <c r="P13" s="194">
        <f t="shared" ref="P13:P28" si="3">M13+N13-O13</f>
        <v>0</v>
      </c>
      <c r="Q13" s="44"/>
      <c r="R13" s="44"/>
      <c r="S13" s="44"/>
      <c r="T13" s="194">
        <f t="shared" ref="T13:T28" si="4">SUM(Q13:R13)-S13</f>
        <v>0</v>
      </c>
      <c r="U13" s="44"/>
      <c r="V13" s="44"/>
      <c r="W13" s="44"/>
      <c r="X13" s="44"/>
      <c r="Y13" s="44"/>
      <c r="Z13" s="44"/>
      <c r="AA13" s="194">
        <f>Q13+U13+V13</f>
        <v>0</v>
      </c>
      <c r="AB13" s="194">
        <f>R13+W13+Y13</f>
        <v>0</v>
      </c>
      <c r="AC13" s="194">
        <f t="shared" ref="AC13:AC23" si="5">S13+X13+Z13</f>
        <v>0</v>
      </c>
      <c r="AD13" s="194">
        <f>AA13+AB13-AC13</f>
        <v>0</v>
      </c>
      <c r="AE13" s="194">
        <f>M13-AA13</f>
        <v>0</v>
      </c>
      <c r="AF13" s="194">
        <f>P13-AD13</f>
        <v>0</v>
      </c>
      <c r="AG13" s="47"/>
    </row>
    <row r="14" spans="1:33" ht="20.100000000000001" customHeight="1">
      <c r="A14" s="46"/>
      <c r="B14" s="193"/>
      <c r="C14" s="44"/>
      <c r="D14" s="44"/>
      <c r="E14" s="44"/>
      <c r="F14" s="194">
        <f t="shared" si="0"/>
        <v>0</v>
      </c>
      <c r="G14" s="44"/>
      <c r="H14" s="44"/>
      <c r="I14" s="44"/>
      <c r="J14" s="44"/>
      <c r="K14" s="44"/>
      <c r="L14" s="44"/>
      <c r="M14" s="194">
        <f t="shared" si="1"/>
        <v>0</v>
      </c>
      <c r="N14" s="194">
        <f t="shared" si="2"/>
        <v>0</v>
      </c>
      <c r="O14" s="194">
        <f t="shared" si="2"/>
        <v>0</v>
      </c>
      <c r="P14" s="194">
        <f t="shared" si="3"/>
        <v>0</v>
      </c>
      <c r="Q14" s="44"/>
      <c r="R14" s="44"/>
      <c r="S14" s="44"/>
      <c r="T14" s="194">
        <f t="shared" si="4"/>
        <v>0</v>
      </c>
      <c r="U14" s="44"/>
      <c r="V14" s="44"/>
      <c r="W14" s="44"/>
      <c r="X14" s="44"/>
      <c r="Y14" s="44"/>
      <c r="Z14" s="44"/>
      <c r="AA14" s="194">
        <f t="shared" ref="AA14:AA23" si="6">Q14+U14+V14</f>
        <v>0</v>
      </c>
      <c r="AB14" s="194">
        <f t="shared" ref="AB14:AB23" si="7">R14+W14+Y14</f>
        <v>0</v>
      </c>
      <c r="AC14" s="194">
        <f t="shared" si="5"/>
        <v>0</v>
      </c>
      <c r="AD14" s="194">
        <f t="shared" ref="AD14:AD23" si="8">AA14+AB14-AC14</f>
        <v>0</v>
      </c>
      <c r="AE14" s="194">
        <f t="shared" ref="AE14" si="9">M14-AA14</f>
        <v>0</v>
      </c>
      <c r="AF14" s="194">
        <f t="shared" ref="AF14" si="10">P14-AD14</f>
        <v>0</v>
      </c>
      <c r="AG14" s="47"/>
    </row>
    <row r="15" spans="1:33" ht="20.100000000000001" customHeight="1">
      <c r="A15" s="46"/>
      <c r="B15" s="193"/>
      <c r="C15" s="44"/>
      <c r="D15" s="44"/>
      <c r="E15" s="44"/>
      <c r="F15" s="194">
        <f t="shared" ref="F15:F17" si="11">SUM(C15:D15)-E15</f>
        <v>0</v>
      </c>
      <c r="G15" s="44"/>
      <c r="H15" s="44"/>
      <c r="I15" s="44"/>
      <c r="J15" s="44"/>
      <c r="K15" s="44"/>
      <c r="L15" s="44"/>
      <c r="M15" s="194">
        <f t="shared" ref="M15:M17" si="12">C15+G15+H15</f>
        <v>0</v>
      </c>
      <c r="N15" s="194">
        <f t="shared" ref="N15:N17" si="13">D15+I15+K15</f>
        <v>0</v>
      </c>
      <c r="O15" s="194">
        <f t="shared" ref="O15:O17" si="14">E15+J15+L15</f>
        <v>0</v>
      </c>
      <c r="P15" s="194">
        <f t="shared" ref="P15:P17" si="15">M15+N15-O15</f>
        <v>0</v>
      </c>
      <c r="Q15" s="44"/>
      <c r="R15" s="44"/>
      <c r="S15" s="44"/>
      <c r="T15" s="194">
        <f t="shared" ref="T15:T17" si="16">SUM(Q15:R15)-S15</f>
        <v>0</v>
      </c>
      <c r="U15" s="44"/>
      <c r="V15" s="44"/>
      <c r="W15" s="44"/>
      <c r="X15" s="44"/>
      <c r="Y15" s="44"/>
      <c r="Z15" s="44"/>
      <c r="AA15" s="194">
        <f t="shared" ref="AA15:AA17" si="17">Q15+U15+V15</f>
        <v>0</v>
      </c>
      <c r="AB15" s="194">
        <f t="shared" ref="AB15:AB17" si="18">R15+W15+Y15</f>
        <v>0</v>
      </c>
      <c r="AC15" s="194">
        <f t="shared" ref="AC15:AC17" si="19">S15+X15+Z15</f>
        <v>0</v>
      </c>
      <c r="AD15" s="194">
        <f t="shared" ref="AD15:AD17" si="20">AA15+AB15-AC15</f>
        <v>0</v>
      </c>
      <c r="AE15" s="194">
        <f t="shared" ref="AE15:AE17" si="21">M15-AA15</f>
        <v>0</v>
      </c>
      <c r="AF15" s="194">
        <f t="shared" ref="AF15:AF17" si="22">P15-AD15</f>
        <v>0</v>
      </c>
      <c r="AG15" s="47"/>
    </row>
    <row r="16" spans="1:33" ht="20.100000000000001" customHeight="1">
      <c r="A16" s="46"/>
      <c r="B16" s="193"/>
      <c r="C16" s="44"/>
      <c r="D16" s="44"/>
      <c r="E16" s="44"/>
      <c r="F16" s="194">
        <f t="shared" si="11"/>
        <v>0</v>
      </c>
      <c r="G16" s="44"/>
      <c r="H16" s="44"/>
      <c r="I16" s="44"/>
      <c r="J16" s="44"/>
      <c r="K16" s="44"/>
      <c r="L16" s="44"/>
      <c r="M16" s="194">
        <f t="shared" si="12"/>
        <v>0</v>
      </c>
      <c r="N16" s="194">
        <f t="shared" si="13"/>
        <v>0</v>
      </c>
      <c r="O16" s="194">
        <f t="shared" si="14"/>
        <v>0</v>
      </c>
      <c r="P16" s="194">
        <f t="shared" si="15"/>
        <v>0</v>
      </c>
      <c r="Q16" s="44"/>
      <c r="R16" s="44"/>
      <c r="S16" s="44"/>
      <c r="T16" s="194">
        <f t="shared" si="16"/>
        <v>0</v>
      </c>
      <c r="U16" s="44"/>
      <c r="V16" s="44"/>
      <c r="W16" s="44"/>
      <c r="X16" s="44"/>
      <c r="Y16" s="44"/>
      <c r="Z16" s="44"/>
      <c r="AA16" s="194">
        <f t="shared" si="17"/>
        <v>0</v>
      </c>
      <c r="AB16" s="194">
        <f t="shared" si="18"/>
        <v>0</v>
      </c>
      <c r="AC16" s="194">
        <f t="shared" si="19"/>
        <v>0</v>
      </c>
      <c r="AD16" s="194">
        <f t="shared" si="20"/>
        <v>0</v>
      </c>
      <c r="AE16" s="194">
        <f t="shared" si="21"/>
        <v>0</v>
      </c>
      <c r="AF16" s="194">
        <f t="shared" si="22"/>
        <v>0</v>
      </c>
      <c r="AG16" s="47"/>
    </row>
    <row r="17" spans="1:33" ht="20.100000000000001" customHeight="1">
      <c r="A17" s="46"/>
      <c r="B17" s="193"/>
      <c r="C17" s="44"/>
      <c r="D17" s="44"/>
      <c r="E17" s="44"/>
      <c r="F17" s="194">
        <f t="shared" si="11"/>
        <v>0</v>
      </c>
      <c r="G17" s="44"/>
      <c r="H17" s="44"/>
      <c r="I17" s="44"/>
      <c r="J17" s="44"/>
      <c r="K17" s="44"/>
      <c r="L17" s="44"/>
      <c r="M17" s="194">
        <f t="shared" si="12"/>
        <v>0</v>
      </c>
      <c r="N17" s="194">
        <f t="shared" si="13"/>
        <v>0</v>
      </c>
      <c r="O17" s="194">
        <f t="shared" si="14"/>
        <v>0</v>
      </c>
      <c r="P17" s="194">
        <f t="shared" si="15"/>
        <v>0</v>
      </c>
      <c r="Q17" s="44"/>
      <c r="R17" s="44"/>
      <c r="S17" s="44"/>
      <c r="T17" s="194">
        <f t="shared" si="16"/>
        <v>0</v>
      </c>
      <c r="U17" s="44"/>
      <c r="V17" s="44"/>
      <c r="W17" s="44"/>
      <c r="X17" s="44"/>
      <c r="Y17" s="44"/>
      <c r="Z17" s="44"/>
      <c r="AA17" s="194">
        <f t="shared" si="17"/>
        <v>0</v>
      </c>
      <c r="AB17" s="194">
        <f t="shared" si="18"/>
        <v>0</v>
      </c>
      <c r="AC17" s="194">
        <f t="shared" si="19"/>
        <v>0</v>
      </c>
      <c r="AD17" s="194">
        <f t="shared" si="20"/>
        <v>0</v>
      </c>
      <c r="AE17" s="194">
        <f t="shared" si="21"/>
        <v>0</v>
      </c>
      <c r="AF17" s="194">
        <f t="shared" si="22"/>
        <v>0</v>
      </c>
      <c r="AG17" s="47"/>
    </row>
    <row r="18" spans="1:33" ht="20.100000000000001" customHeight="1">
      <c r="A18" s="46"/>
      <c r="B18" s="193"/>
      <c r="C18" s="44"/>
      <c r="D18" s="44"/>
      <c r="E18" s="44"/>
      <c r="F18" s="194">
        <f t="shared" si="0"/>
        <v>0</v>
      </c>
      <c r="G18" s="44"/>
      <c r="H18" s="44"/>
      <c r="I18" s="44"/>
      <c r="J18" s="44"/>
      <c r="K18" s="44"/>
      <c r="L18" s="44"/>
      <c r="M18" s="194">
        <f t="shared" ref="M18:M20" si="23">C18+G18+H18</f>
        <v>0</v>
      </c>
      <c r="N18" s="194">
        <f t="shared" ref="N18:N20" si="24">D18+I18+K18</f>
        <v>0</v>
      </c>
      <c r="O18" s="194">
        <f t="shared" ref="O18:O20" si="25">E18+J18+L18</f>
        <v>0</v>
      </c>
      <c r="P18" s="194">
        <f t="shared" ref="P18:P20" si="26">M18+N18-O18</f>
        <v>0</v>
      </c>
      <c r="Q18" s="44"/>
      <c r="R18" s="44"/>
      <c r="S18" s="44"/>
      <c r="T18" s="194">
        <f t="shared" si="4"/>
        <v>0</v>
      </c>
      <c r="U18" s="44"/>
      <c r="V18" s="44"/>
      <c r="W18" s="44"/>
      <c r="X18" s="44"/>
      <c r="Y18" s="44"/>
      <c r="Z18" s="44"/>
      <c r="AA18" s="194">
        <f t="shared" ref="AA18:AA20" si="27">Q18+U18+V18</f>
        <v>0</v>
      </c>
      <c r="AB18" s="194">
        <f t="shared" ref="AB18:AB20" si="28">R18+W18+Y18</f>
        <v>0</v>
      </c>
      <c r="AC18" s="194">
        <f t="shared" ref="AC18:AC20" si="29">S18+X18+Z18</f>
        <v>0</v>
      </c>
      <c r="AD18" s="194">
        <f t="shared" ref="AD18:AD20" si="30">AA18+AB18-AC18</f>
        <v>0</v>
      </c>
      <c r="AE18" s="194">
        <f t="shared" ref="AE18:AE23" si="31">M18-AA18</f>
        <v>0</v>
      </c>
      <c r="AF18" s="194">
        <f t="shared" ref="AF18:AF23" si="32">P18-AD18</f>
        <v>0</v>
      </c>
      <c r="AG18" s="47"/>
    </row>
    <row r="19" spans="1:33" ht="20.100000000000001" customHeight="1">
      <c r="A19" s="46"/>
      <c r="B19" s="193"/>
      <c r="C19" s="44"/>
      <c r="D19" s="44"/>
      <c r="E19" s="44"/>
      <c r="F19" s="194">
        <f t="shared" si="0"/>
        <v>0</v>
      </c>
      <c r="G19" s="44"/>
      <c r="H19" s="44"/>
      <c r="I19" s="44"/>
      <c r="J19" s="44"/>
      <c r="K19" s="44"/>
      <c r="L19" s="44"/>
      <c r="M19" s="194">
        <f t="shared" si="23"/>
        <v>0</v>
      </c>
      <c r="N19" s="194">
        <f t="shared" si="24"/>
        <v>0</v>
      </c>
      <c r="O19" s="194">
        <f t="shared" si="25"/>
        <v>0</v>
      </c>
      <c r="P19" s="194">
        <f t="shared" si="26"/>
        <v>0</v>
      </c>
      <c r="Q19" s="44"/>
      <c r="R19" s="44"/>
      <c r="S19" s="44"/>
      <c r="T19" s="194">
        <f t="shared" si="4"/>
        <v>0</v>
      </c>
      <c r="U19" s="44"/>
      <c r="V19" s="44"/>
      <c r="W19" s="44"/>
      <c r="X19" s="44"/>
      <c r="Y19" s="44"/>
      <c r="Z19" s="44"/>
      <c r="AA19" s="194">
        <f t="shared" si="27"/>
        <v>0</v>
      </c>
      <c r="AB19" s="194">
        <f t="shared" si="28"/>
        <v>0</v>
      </c>
      <c r="AC19" s="194">
        <f t="shared" si="29"/>
        <v>0</v>
      </c>
      <c r="AD19" s="194">
        <f t="shared" si="30"/>
        <v>0</v>
      </c>
      <c r="AE19" s="194">
        <f t="shared" si="31"/>
        <v>0</v>
      </c>
      <c r="AF19" s="194">
        <f t="shared" si="32"/>
        <v>0</v>
      </c>
      <c r="AG19" s="47"/>
    </row>
    <row r="20" spans="1:33" ht="20.100000000000001" customHeight="1">
      <c r="A20" s="46"/>
      <c r="B20" s="193"/>
      <c r="C20" s="44"/>
      <c r="D20" s="44"/>
      <c r="E20" s="44"/>
      <c r="F20" s="194">
        <f t="shared" si="0"/>
        <v>0</v>
      </c>
      <c r="G20" s="44"/>
      <c r="H20" s="44"/>
      <c r="I20" s="44"/>
      <c r="J20" s="44"/>
      <c r="K20" s="44"/>
      <c r="L20" s="44"/>
      <c r="M20" s="194">
        <f t="shared" si="23"/>
        <v>0</v>
      </c>
      <c r="N20" s="194">
        <f t="shared" si="24"/>
        <v>0</v>
      </c>
      <c r="O20" s="194">
        <f t="shared" si="25"/>
        <v>0</v>
      </c>
      <c r="P20" s="194">
        <f t="shared" si="26"/>
        <v>0</v>
      </c>
      <c r="Q20" s="44"/>
      <c r="R20" s="44"/>
      <c r="S20" s="44"/>
      <c r="T20" s="194">
        <f t="shared" si="4"/>
        <v>0</v>
      </c>
      <c r="U20" s="44"/>
      <c r="V20" s="44"/>
      <c r="W20" s="44"/>
      <c r="X20" s="44"/>
      <c r="Y20" s="44"/>
      <c r="Z20" s="44"/>
      <c r="AA20" s="194">
        <f t="shared" si="27"/>
        <v>0</v>
      </c>
      <c r="AB20" s="194">
        <f t="shared" si="28"/>
        <v>0</v>
      </c>
      <c r="AC20" s="194">
        <f t="shared" si="29"/>
        <v>0</v>
      </c>
      <c r="AD20" s="194">
        <f t="shared" si="30"/>
        <v>0</v>
      </c>
      <c r="AE20" s="194">
        <f t="shared" si="31"/>
        <v>0</v>
      </c>
      <c r="AF20" s="194">
        <f t="shared" si="32"/>
        <v>0</v>
      </c>
      <c r="AG20" s="47"/>
    </row>
    <row r="21" spans="1:33" ht="20.100000000000001" customHeight="1">
      <c r="A21" s="373" t="s">
        <v>55</v>
      </c>
      <c r="B21" s="374"/>
      <c r="C21" s="194">
        <f>SUM(C13:C20)</f>
        <v>0</v>
      </c>
      <c r="D21" s="194">
        <f>SUM(D13:D20)</f>
        <v>0</v>
      </c>
      <c r="E21" s="194">
        <f t="shared" ref="E21:AF21" si="33">SUM(E13:E20)</f>
        <v>0</v>
      </c>
      <c r="F21" s="194">
        <f t="shared" si="33"/>
        <v>0</v>
      </c>
      <c r="G21" s="194">
        <f t="shared" si="33"/>
        <v>0</v>
      </c>
      <c r="H21" s="194">
        <f t="shared" si="33"/>
        <v>0</v>
      </c>
      <c r="I21" s="194">
        <f t="shared" si="33"/>
        <v>0</v>
      </c>
      <c r="J21" s="194">
        <f t="shared" si="33"/>
        <v>0</v>
      </c>
      <c r="K21" s="194">
        <f t="shared" si="33"/>
        <v>0</v>
      </c>
      <c r="L21" s="194">
        <f t="shared" si="33"/>
        <v>0</v>
      </c>
      <c r="M21" s="194">
        <f t="shared" si="33"/>
        <v>0</v>
      </c>
      <c r="N21" s="194">
        <f t="shared" si="33"/>
        <v>0</v>
      </c>
      <c r="O21" s="194">
        <f t="shared" si="33"/>
        <v>0</v>
      </c>
      <c r="P21" s="194">
        <f t="shared" si="33"/>
        <v>0</v>
      </c>
      <c r="Q21" s="194">
        <f t="shared" si="33"/>
        <v>0</v>
      </c>
      <c r="R21" s="194">
        <f t="shared" si="33"/>
        <v>0</v>
      </c>
      <c r="S21" s="194">
        <f t="shared" si="33"/>
        <v>0</v>
      </c>
      <c r="T21" s="194">
        <f t="shared" si="33"/>
        <v>0</v>
      </c>
      <c r="U21" s="194">
        <f t="shared" si="33"/>
        <v>0</v>
      </c>
      <c r="V21" s="194">
        <f t="shared" si="33"/>
        <v>0</v>
      </c>
      <c r="W21" s="194">
        <f t="shared" si="33"/>
        <v>0</v>
      </c>
      <c r="X21" s="194">
        <f t="shared" si="33"/>
        <v>0</v>
      </c>
      <c r="Y21" s="194">
        <f t="shared" si="33"/>
        <v>0</v>
      </c>
      <c r="Z21" s="194">
        <f t="shared" si="33"/>
        <v>0</v>
      </c>
      <c r="AA21" s="194">
        <f t="shared" si="33"/>
        <v>0</v>
      </c>
      <c r="AB21" s="194">
        <f t="shared" si="33"/>
        <v>0</v>
      </c>
      <c r="AC21" s="194">
        <f t="shared" si="33"/>
        <v>0</v>
      </c>
      <c r="AD21" s="194">
        <f t="shared" si="33"/>
        <v>0</v>
      </c>
      <c r="AE21" s="194">
        <f t="shared" si="33"/>
        <v>0</v>
      </c>
      <c r="AF21" s="194">
        <f t="shared" si="33"/>
        <v>0</v>
      </c>
      <c r="AG21" s="47"/>
    </row>
    <row r="22" spans="1:33" ht="20.100000000000001" customHeight="1">
      <c r="A22" s="126" t="s">
        <v>147</v>
      </c>
      <c r="B22" s="127"/>
      <c r="C22" s="54"/>
      <c r="D22" s="54"/>
      <c r="E22" s="54"/>
      <c r="F22" s="55"/>
      <c r="G22" s="54"/>
      <c r="H22" s="54"/>
      <c r="I22" s="54"/>
      <c r="J22" s="54"/>
      <c r="K22" s="54"/>
      <c r="L22" s="54"/>
      <c r="M22" s="56"/>
      <c r="N22" s="56"/>
      <c r="O22" s="56"/>
      <c r="P22" s="56"/>
      <c r="Q22" s="54"/>
      <c r="R22" s="54"/>
      <c r="S22" s="54"/>
      <c r="T22" s="55"/>
      <c r="U22" s="54"/>
      <c r="V22" s="54"/>
      <c r="W22" s="54"/>
      <c r="X22" s="54"/>
      <c r="Y22" s="54"/>
      <c r="Z22" s="54"/>
      <c r="AA22" s="56"/>
      <c r="AB22" s="56"/>
      <c r="AC22" s="56"/>
      <c r="AD22" s="56"/>
      <c r="AE22" s="57"/>
      <c r="AF22" s="57"/>
      <c r="AG22" s="58"/>
    </row>
    <row r="23" spans="1:33" ht="20.100000000000001" customHeight="1">
      <c r="A23" s="128"/>
      <c r="B23" s="129"/>
      <c r="C23" s="44"/>
      <c r="D23" s="44"/>
      <c r="E23" s="44"/>
      <c r="F23" s="55">
        <f t="shared" si="0"/>
        <v>0</v>
      </c>
      <c r="G23" s="44"/>
      <c r="H23" s="44"/>
      <c r="I23" s="44"/>
      <c r="J23" s="44"/>
      <c r="K23" s="44"/>
      <c r="L23" s="44"/>
      <c r="M23" s="55">
        <f t="shared" si="1"/>
        <v>0</v>
      </c>
      <c r="N23" s="55">
        <f t="shared" si="2"/>
        <v>0</v>
      </c>
      <c r="O23" s="55">
        <f t="shared" si="2"/>
        <v>0</v>
      </c>
      <c r="P23" s="55">
        <f t="shared" si="3"/>
        <v>0</v>
      </c>
      <c r="Q23" s="44"/>
      <c r="R23" s="44"/>
      <c r="S23" s="44"/>
      <c r="T23" s="55">
        <f t="shared" si="4"/>
        <v>0</v>
      </c>
      <c r="U23" s="44"/>
      <c r="V23" s="44"/>
      <c r="W23" s="44"/>
      <c r="X23" s="44"/>
      <c r="Y23" s="44"/>
      <c r="Z23" s="44"/>
      <c r="AA23" s="55">
        <f t="shared" si="6"/>
        <v>0</v>
      </c>
      <c r="AB23" s="55">
        <f t="shared" si="7"/>
        <v>0</v>
      </c>
      <c r="AC23" s="55">
        <f t="shared" si="5"/>
        <v>0</v>
      </c>
      <c r="AD23" s="55">
        <f t="shared" si="8"/>
        <v>0</v>
      </c>
      <c r="AE23" s="55">
        <f t="shared" si="31"/>
        <v>0</v>
      </c>
      <c r="AF23" s="55">
        <f t="shared" si="32"/>
        <v>0</v>
      </c>
      <c r="AG23" s="47"/>
    </row>
    <row r="24" spans="1:33" ht="20.100000000000001" customHeight="1">
      <c r="A24" s="128"/>
      <c r="B24" s="129"/>
      <c r="C24" s="44"/>
      <c r="D24" s="44"/>
      <c r="E24" s="44"/>
      <c r="F24" s="55">
        <f t="shared" si="0"/>
        <v>0</v>
      </c>
      <c r="G24" s="44"/>
      <c r="H24" s="44"/>
      <c r="I24" s="44"/>
      <c r="J24" s="44"/>
      <c r="K24" s="44"/>
      <c r="L24" s="44"/>
      <c r="M24" s="55">
        <f t="shared" ref="M24:M27" si="34">C24+G24+H24</f>
        <v>0</v>
      </c>
      <c r="N24" s="55">
        <f t="shared" ref="N24:N27" si="35">D24+I24+K24</f>
        <v>0</v>
      </c>
      <c r="O24" s="55">
        <f t="shared" ref="O24:O27" si="36">E24+J24+L24</f>
        <v>0</v>
      </c>
      <c r="P24" s="55">
        <f t="shared" ref="P24:P27" si="37">M24+N24-O24</f>
        <v>0</v>
      </c>
      <c r="Q24" s="44"/>
      <c r="R24" s="44"/>
      <c r="S24" s="44"/>
      <c r="T24" s="55">
        <f t="shared" si="4"/>
        <v>0</v>
      </c>
      <c r="U24" s="44"/>
      <c r="V24" s="44"/>
      <c r="W24" s="44"/>
      <c r="X24" s="44"/>
      <c r="Y24" s="44"/>
      <c r="Z24" s="44"/>
      <c r="AA24" s="55">
        <f t="shared" ref="AA24:AA28" si="38">Q24+U24+V24</f>
        <v>0</v>
      </c>
      <c r="AB24" s="55">
        <f t="shared" ref="AB24:AB28" si="39">R24+W24+Y24</f>
        <v>0</v>
      </c>
      <c r="AC24" s="55">
        <f t="shared" ref="AC24:AC28" si="40">S24+X24+Z24</f>
        <v>0</v>
      </c>
      <c r="AD24" s="55">
        <f t="shared" ref="AD24:AD28" si="41">AA24+AB24-AC24</f>
        <v>0</v>
      </c>
      <c r="AE24" s="55">
        <f t="shared" ref="AE24:AE28" si="42">M24-AA24</f>
        <v>0</v>
      </c>
      <c r="AF24" s="55">
        <f t="shared" ref="AF24:AF28" si="43">P24-AD24</f>
        <v>0</v>
      </c>
      <c r="AG24" s="47"/>
    </row>
    <row r="25" spans="1:33" ht="20.100000000000001" customHeight="1">
      <c r="A25" s="128"/>
      <c r="B25" s="129"/>
      <c r="C25" s="44"/>
      <c r="D25" s="44"/>
      <c r="E25" s="44"/>
      <c r="F25" s="55">
        <f t="shared" si="0"/>
        <v>0</v>
      </c>
      <c r="G25" s="44"/>
      <c r="H25" s="44"/>
      <c r="I25" s="44"/>
      <c r="J25" s="44"/>
      <c r="K25" s="44"/>
      <c r="L25" s="44"/>
      <c r="M25" s="55">
        <f t="shared" si="34"/>
        <v>0</v>
      </c>
      <c r="N25" s="55">
        <f t="shared" si="35"/>
        <v>0</v>
      </c>
      <c r="O25" s="55">
        <f t="shared" si="36"/>
        <v>0</v>
      </c>
      <c r="P25" s="55">
        <f t="shared" si="37"/>
        <v>0</v>
      </c>
      <c r="Q25" s="44"/>
      <c r="R25" s="44"/>
      <c r="S25" s="44"/>
      <c r="T25" s="55">
        <f t="shared" si="4"/>
        <v>0</v>
      </c>
      <c r="U25" s="44"/>
      <c r="V25" s="44"/>
      <c r="W25" s="44"/>
      <c r="X25" s="44"/>
      <c r="Y25" s="44"/>
      <c r="Z25" s="44"/>
      <c r="AA25" s="55">
        <f t="shared" si="38"/>
        <v>0</v>
      </c>
      <c r="AB25" s="55">
        <f t="shared" si="39"/>
        <v>0</v>
      </c>
      <c r="AC25" s="55">
        <f t="shared" si="40"/>
        <v>0</v>
      </c>
      <c r="AD25" s="55">
        <f t="shared" si="41"/>
        <v>0</v>
      </c>
      <c r="AE25" s="55">
        <f t="shared" si="42"/>
        <v>0</v>
      </c>
      <c r="AF25" s="55">
        <f t="shared" si="43"/>
        <v>0</v>
      </c>
      <c r="AG25" s="47"/>
    </row>
    <row r="26" spans="1:33" ht="20.100000000000001" customHeight="1">
      <c r="A26" s="128"/>
      <c r="B26" s="129"/>
      <c r="C26" s="44"/>
      <c r="D26" s="44"/>
      <c r="E26" s="44"/>
      <c r="F26" s="55">
        <f t="shared" si="0"/>
        <v>0</v>
      </c>
      <c r="G26" s="44"/>
      <c r="H26" s="44"/>
      <c r="I26" s="44"/>
      <c r="J26" s="44"/>
      <c r="K26" s="44"/>
      <c r="L26" s="44"/>
      <c r="M26" s="55">
        <f t="shared" si="34"/>
        <v>0</v>
      </c>
      <c r="N26" s="55">
        <f t="shared" si="35"/>
        <v>0</v>
      </c>
      <c r="O26" s="55">
        <f t="shared" si="36"/>
        <v>0</v>
      </c>
      <c r="P26" s="55">
        <f t="shared" si="37"/>
        <v>0</v>
      </c>
      <c r="Q26" s="44"/>
      <c r="R26" s="44"/>
      <c r="S26" s="44"/>
      <c r="T26" s="55">
        <f t="shared" si="4"/>
        <v>0</v>
      </c>
      <c r="U26" s="44"/>
      <c r="V26" s="44"/>
      <c r="W26" s="44"/>
      <c r="X26" s="44"/>
      <c r="Y26" s="44"/>
      <c r="Z26" s="44"/>
      <c r="AA26" s="55">
        <f t="shared" si="38"/>
        <v>0</v>
      </c>
      <c r="AB26" s="55">
        <f t="shared" si="39"/>
        <v>0</v>
      </c>
      <c r="AC26" s="55">
        <f t="shared" si="40"/>
        <v>0</v>
      </c>
      <c r="AD26" s="55">
        <f t="shared" si="41"/>
        <v>0</v>
      </c>
      <c r="AE26" s="55">
        <f t="shared" si="42"/>
        <v>0</v>
      </c>
      <c r="AF26" s="55">
        <f t="shared" si="43"/>
        <v>0</v>
      </c>
      <c r="AG26" s="47"/>
    </row>
    <row r="27" spans="1:33" ht="20.100000000000001" customHeight="1">
      <c r="A27" s="128"/>
      <c r="B27" s="129"/>
      <c r="C27" s="44"/>
      <c r="D27" s="44"/>
      <c r="E27" s="44"/>
      <c r="F27" s="55">
        <f t="shared" si="0"/>
        <v>0</v>
      </c>
      <c r="G27" s="44"/>
      <c r="H27" s="44"/>
      <c r="I27" s="44"/>
      <c r="J27" s="44"/>
      <c r="K27" s="44"/>
      <c r="L27" s="44"/>
      <c r="M27" s="55">
        <f t="shared" si="34"/>
        <v>0</v>
      </c>
      <c r="N27" s="55">
        <f t="shared" si="35"/>
        <v>0</v>
      </c>
      <c r="O27" s="55">
        <f t="shared" si="36"/>
        <v>0</v>
      </c>
      <c r="P27" s="55">
        <f t="shared" si="37"/>
        <v>0</v>
      </c>
      <c r="Q27" s="44"/>
      <c r="R27" s="44"/>
      <c r="S27" s="44"/>
      <c r="T27" s="55">
        <f t="shared" si="4"/>
        <v>0</v>
      </c>
      <c r="U27" s="44"/>
      <c r="V27" s="44"/>
      <c r="W27" s="44"/>
      <c r="X27" s="44"/>
      <c r="Y27" s="44"/>
      <c r="Z27" s="44"/>
      <c r="AA27" s="55">
        <f t="shared" si="38"/>
        <v>0</v>
      </c>
      <c r="AB27" s="55">
        <f t="shared" si="39"/>
        <v>0</v>
      </c>
      <c r="AC27" s="55">
        <f t="shared" si="40"/>
        <v>0</v>
      </c>
      <c r="AD27" s="55">
        <f t="shared" si="41"/>
        <v>0</v>
      </c>
      <c r="AE27" s="55">
        <f t="shared" si="42"/>
        <v>0</v>
      </c>
      <c r="AF27" s="55">
        <f t="shared" si="43"/>
        <v>0</v>
      </c>
      <c r="AG27" s="47"/>
    </row>
    <row r="28" spans="1:33" ht="20.100000000000001" customHeight="1">
      <c r="A28" s="128"/>
      <c r="B28" s="129"/>
      <c r="C28" s="44"/>
      <c r="D28" s="44"/>
      <c r="E28" s="44"/>
      <c r="F28" s="55">
        <f t="shared" si="0"/>
        <v>0</v>
      </c>
      <c r="G28" s="44"/>
      <c r="H28" s="44"/>
      <c r="I28" s="44"/>
      <c r="J28" s="44"/>
      <c r="K28" s="44"/>
      <c r="L28" s="44"/>
      <c r="M28" s="55">
        <f t="shared" si="1"/>
        <v>0</v>
      </c>
      <c r="N28" s="55">
        <f t="shared" si="2"/>
        <v>0</v>
      </c>
      <c r="O28" s="55">
        <f t="shared" si="2"/>
        <v>0</v>
      </c>
      <c r="P28" s="55">
        <f t="shared" si="3"/>
        <v>0</v>
      </c>
      <c r="Q28" s="44"/>
      <c r="R28" s="44"/>
      <c r="S28" s="44"/>
      <c r="T28" s="55">
        <f t="shared" si="4"/>
        <v>0</v>
      </c>
      <c r="U28" s="44"/>
      <c r="V28" s="44"/>
      <c r="W28" s="44"/>
      <c r="X28" s="44"/>
      <c r="Y28" s="44"/>
      <c r="Z28" s="44"/>
      <c r="AA28" s="55">
        <f t="shared" si="38"/>
        <v>0</v>
      </c>
      <c r="AB28" s="55">
        <f t="shared" si="39"/>
        <v>0</v>
      </c>
      <c r="AC28" s="55">
        <f t="shared" si="40"/>
        <v>0</v>
      </c>
      <c r="AD28" s="55">
        <f t="shared" si="41"/>
        <v>0</v>
      </c>
      <c r="AE28" s="55">
        <f t="shared" si="42"/>
        <v>0</v>
      </c>
      <c r="AF28" s="55">
        <f t="shared" si="43"/>
        <v>0</v>
      </c>
      <c r="AG28" s="47"/>
    </row>
    <row r="29" spans="1:33" ht="20.100000000000001" customHeight="1">
      <c r="A29" s="373" t="s">
        <v>54</v>
      </c>
      <c r="B29" s="374"/>
      <c r="C29" s="55">
        <f>SUM(C23:C28)</f>
        <v>0</v>
      </c>
      <c r="D29" s="55">
        <f t="shared" ref="D29:AF29" si="44">SUM(D23:D28)</f>
        <v>0</v>
      </c>
      <c r="E29" s="55">
        <f t="shared" si="44"/>
        <v>0</v>
      </c>
      <c r="F29" s="55">
        <f t="shared" si="44"/>
        <v>0</v>
      </c>
      <c r="G29" s="55">
        <f t="shared" si="44"/>
        <v>0</v>
      </c>
      <c r="H29" s="55">
        <f t="shared" si="44"/>
        <v>0</v>
      </c>
      <c r="I29" s="55">
        <f t="shared" si="44"/>
        <v>0</v>
      </c>
      <c r="J29" s="55">
        <f t="shared" si="44"/>
        <v>0</v>
      </c>
      <c r="K29" s="55">
        <f t="shared" si="44"/>
        <v>0</v>
      </c>
      <c r="L29" s="55">
        <f t="shared" si="44"/>
        <v>0</v>
      </c>
      <c r="M29" s="55">
        <f t="shared" si="44"/>
        <v>0</v>
      </c>
      <c r="N29" s="55">
        <f t="shared" si="44"/>
        <v>0</v>
      </c>
      <c r="O29" s="55">
        <f t="shared" si="44"/>
        <v>0</v>
      </c>
      <c r="P29" s="55">
        <f t="shared" si="44"/>
        <v>0</v>
      </c>
      <c r="Q29" s="55">
        <f t="shared" si="44"/>
        <v>0</v>
      </c>
      <c r="R29" s="55">
        <f t="shared" si="44"/>
        <v>0</v>
      </c>
      <c r="S29" s="55">
        <f t="shared" si="44"/>
        <v>0</v>
      </c>
      <c r="T29" s="55">
        <f t="shared" si="44"/>
        <v>0</v>
      </c>
      <c r="U29" s="55">
        <f t="shared" si="44"/>
        <v>0</v>
      </c>
      <c r="V29" s="55">
        <f t="shared" si="44"/>
        <v>0</v>
      </c>
      <c r="W29" s="55">
        <f t="shared" si="44"/>
        <v>0</v>
      </c>
      <c r="X29" s="55">
        <f t="shared" si="44"/>
        <v>0</v>
      </c>
      <c r="Y29" s="55">
        <f t="shared" si="44"/>
        <v>0</v>
      </c>
      <c r="Z29" s="55">
        <f t="shared" si="44"/>
        <v>0</v>
      </c>
      <c r="AA29" s="55">
        <f t="shared" si="44"/>
        <v>0</v>
      </c>
      <c r="AB29" s="55">
        <f t="shared" si="44"/>
        <v>0</v>
      </c>
      <c r="AC29" s="55">
        <f t="shared" si="44"/>
        <v>0</v>
      </c>
      <c r="AD29" s="55">
        <f t="shared" si="44"/>
        <v>0</v>
      </c>
      <c r="AE29" s="55">
        <f t="shared" si="44"/>
        <v>0</v>
      </c>
      <c r="AF29" s="55">
        <f t="shared" si="44"/>
        <v>0</v>
      </c>
      <c r="AG29" s="47"/>
    </row>
    <row r="30" spans="1:33" s="45" customFormat="1" ht="20.100000000000001" customHeight="1">
      <c r="A30" s="370" t="s">
        <v>10</v>
      </c>
      <c r="B30" s="371"/>
      <c r="C30" s="125">
        <f>C29+C21</f>
        <v>0</v>
      </c>
      <c r="D30" s="125">
        <f t="shared" ref="D30:AF30" si="45">D29+D21</f>
        <v>0</v>
      </c>
      <c r="E30" s="125">
        <f t="shared" si="45"/>
        <v>0</v>
      </c>
      <c r="F30" s="125">
        <f t="shared" si="45"/>
        <v>0</v>
      </c>
      <c r="G30" s="125">
        <f t="shared" si="45"/>
        <v>0</v>
      </c>
      <c r="H30" s="125">
        <f t="shared" si="45"/>
        <v>0</v>
      </c>
      <c r="I30" s="125">
        <f t="shared" si="45"/>
        <v>0</v>
      </c>
      <c r="J30" s="125">
        <f t="shared" si="45"/>
        <v>0</v>
      </c>
      <c r="K30" s="125">
        <f t="shared" si="45"/>
        <v>0</v>
      </c>
      <c r="L30" s="125">
        <f t="shared" si="45"/>
        <v>0</v>
      </c>
      <c r="M30" s="125">
        <f t="shared" si="45"/>
        <v>0</v>
      </c>
      <c r="N30" s="125">
        <f t="shared" si="45"/>
        <v>0</v>
      </c>
      <c r="O30" s="125">
        <f t="shared" si="45"/>
        <v>0</v>
      </c>
      <c r="P30" s="125">
        <f t="shared" si="45"/>
        <v>0</v>
      </c>
      <c r="Q30" s="125">
        <f t="shared" si="45"/>
        <v>0</v>
      </c>
      <c r="R30" s="125">
        <f t="shared" si="45"/>
        <v>0</v>
      </c>
      <c r="S30" s="125">
        <f t="shared" si="45"/>
        <v>0</v>
      </c>
      <c r="T30" s="125">
        <f t="shared" si="45"/>
        <v>0</v>
      </c>
      <c r="U30" s="125">
        <f t="shared" si="45"/>
        <v>0</v>
      </c>
      <c r="V30" s="125">
        <f t="shared" si="45"/>
        <v>0</v>
      </c>
      <c r="W30" s="125">
        <f t="shared" si="45"/>
        <v>0</v>
      </c>
      <c r="X30" s="125">
        <f t="shared" si="45"/>
        <v>0</v>
      </c>
      <c r="Y30" s="125">
        <f t="shared" si="45"/>
        <v>0</v>
      </c>
      <c r="Z30" s="125">
        <f t="shared" si="45"/>
        <v>0</v>
      </c>
      <c r="AA30" s="125">
        <f t="shared" si="45"/>
        <v>0</v>
      </c>
      <c r="AB30" s="125">
        <f t="shared" si="45"/>
        <v>0</v>
      </c>
      <c r="AC30" s="125">
        <f t="shared" si="45"/>
        <v>0</v>
      </c>
      <c r="AD30" s="125">
        <f t="shared" si="45"/>
        <v>0</v>
      </c>
      <c r="AE30" s="125">
        <f t="shared" si="45"/>
        <v>0</v>
      </c>
      <c r="AF30" s="125">
        <f t="shared" si="45"/>
        <v>0</v>
      </c>
      <c r="AG30" s="48"/>
    </row>
    <row r="31" spans="1:33" s="36" customFormat="1" ht="20.100000000000001" customHeight="1">
      <c r="A31" s="36" t="s">
        <v>52</v>
      </c>
    </row>
    <row r="32" spans="1:33" s="36" customFormat="1" ht="20.100000000000001" customHeight="1"/>
    <row r="33" spans="1:17" ht="20.100000000000001" customHeight="1">
      <c r="A33" s="36" t="s">
        <v>53</v>
      </c>
      <c r="Q33" s="36"/>
    </row>
    <row r="34" spans="1:17" ht="20.100000000000001" customHeight="1"/>
    <row r="35" spans="1:17" ht="20.100000000000001" customHeight="1">
      <c r="A35" s="218" t="s">
        <v>249</v>
      </c>
    </row>
    <row r="36" spans="1:17" ht="18" customHeight="1">
      <c r="A36" s="27" t="s">
        <v>238</v>
      </c>
    </row>
    <row r="37" spans="1:17" ht="18" customHeight="1">
      <c r="A37" s="195" t="s">
        <v>236</v>
      </c>
    </row>
    <row r="38" spans="1:17" ht="18" customHeight="1">
      <c r="A38" s="196" t="s">
        <v>237</v>
      </c>
    </row>
    <row r="40" spans="1:17" ht="13.8"/>
    <row r="41" spans="1:17" ht="13.8"/>
    <row r="42" spans="1:17" ht="13.8"/>
    <row r="43" spans="1:17" ht="13.8"/>
  </sheetData>
  <mergeCells count="24">
    <mergeCell ref="A30:B30"/>
    <mergeCell ref="C9:P9"/>
    <mergeCell ref="Q10:T10"/>
    <mergeCell ref="U10:V10"/>
    <mergeCell ref="C10:F10"/>
    <mergeCell ref="I10:J10"/>
    <mergeCell ref="K10:L10"/>
    <mergeCell ref="A21:B21"/>
    <mergeCell ref="A29:B29"/>
    <mergeCell ref="Q5:AG5"/>
    <mergeCell ref="AG9:AG11"/>
    <mergeCell ref="A1:P1"/>
    <mergeCell ref="A2:P2"/>
    <mergeCell ref="Q1:AG1"/>
    <mergeCell ref="Q2:AG2"/>
    <mergeCell ref="W10:X10"/>
    <mergeCell ref="Y10:Z10"/>
    <mergeCell ref="AA10:AD10"/>
    <mergeCell ref="A9:B11"/>
    <mergeCell ref="AE9:AF9"/>
    <mergeCell ref="AE10:AF10"/>
    <mergeCell ref="Q9:AD9"/>
    <mergeCell ref="G10:H10"/>
    <mergeCell ref="M10:P10"/>
  </mergeCells>
  <phoneticPr fontId="3" type="noConversion"/>
  <dataValidations count="1">
    <dataValidation allowBlank="1" showInputMessage="1" showErrorMessage="1" prompt="请将项目名称填在B列" sqref="A13:A20 A23:A28"/>
  </dataValidations>
  <hyperlinks>
    <hyperlink ref="P3" location="底稿目录!F8" display="底稿目录!F8"/>
    <hyperlink ref="AG3" location="底稿目录!F8" display="底稿目录!F8"/>
  </hyperlinks>
  <pageMargins left="0.70866141732283472" right="0.70866141732283472" top="0.74803149606299213" bottom="0.74803149606299213" header="0.31496062992125984" footer="0.31496062992125984"/>
  <pageSetup paperSize="9" scale="70" fitToWidth="0" fitToHeight="0" orientation="landscape" blackAndWhite="1" r:id="rId1"/>
  <headerFooter>
    <oddFooter>&amp;C&amp;P/&amp;N</oddFooter>
  </headerFooter>
  <colBreaks count="1" manualBreakCount="1">
    <brk id="16" max="46"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5"/>
  <sheetViews>
    <sheetView view="pageBreakPreview" zoomScaleNormal="100" zoomScaleSheetLayoutView="100" workbookViewId="0">
      <pane ySplit="5" topLeftCell="A6" activePane="bottomLeft" state="frozen"/>
      <selection activeCell="A7" sqref="A7:A9"/>
      <selection pane="bottomLeft" activeCell="J3" sqref="J3"/>
    </sheetView>
  </sheetViews>
  <sheetFormatPr defaultColWidth="8.88671875" defaultRowHeight="15.6"/>
  <cols>
    <col min="1" max="1" width="23" style="105" customWidth="1"/>
    <col min="2" max="2" width="18.5546875" style="105" customWidth="1"/>
    <col min="3" max="3" width="12.33203125" style="105" customWidth="1"/>
    <col min="4" max="4" width="16.109375" style="105" customWidth="1"/>
    <col min="5" max="5" width="15.5546875" style="105" customWidth="1"/>
    <col min="6" max="6" width="10.109375" style="105" customWidth="1"/>
    <col min="7" max="7" width="12.109375" style="105" customWidth="1"/>
    <col min="8" max="8" width="11.109375" style="105" customWidth="1"/>
    <col min="9" max="16384" width="8.88671875" style="105"/>
  </cols>
  <sheetData>
    <row r="1" spans="1:10" s="178" customFormat="1" ht="19.95" customHeight="1">
      <c r="A1" s="342" t="s">
        <v>0</v>
      </c>
      <c r="B1" s="342"/>
      <c r="C1" s="342"/>
      <c r="D1" s="342"/>
      <c r="E1" s="342"/>
      <c r="F1" s="342"/>
      <c r="G1" s="342"/>
      <c r="H1" s="342"/>
      <c r="I1" s="342"/>
      <c r="J1" s="342"/>
    </row>
    <row r="2" spans="1:10" s="188" customFormat="1" ht="19.95" customHeight="1">
      <c r="A2" s="343" t="s">
        <v>121</v>
      </c>
      <c r="B2" s="343"/>
      <c r="C2" s="343"/>
      <c r="D2" s="343"/>
      <c r="E2" s="343"/>
      <c r="F2" s="343"/>
      <c r="G2" s="343"/>
      <c r="H2" s="343"/>
      <c r="I2" s="343"/>
      <c r="J2" s="343"/>
    </row>
    <row r="3" spans="1:10" s="242" customFormat="1" ht="19.95" customHeight="1">
      <c r="A3" s="225" t="str">
        <f>底稿目录!A2</f>
        <v>被审计单位：</v>
      </c>
      <c r="B3" s="225"/>
      <c r="C3" s="225"/>
      <c r="D3" s="225" t="str">
        <f>底稿目录!A4</f>
        <v>编制人：</v>
      </c>
      <c r="E3" s="225"/>
      <c r="F3" s="225"/>
      <c r="G3" s="225" t="str">
        <f>底稿目录!A5</f>
        <v>编制日期：</v>
      </c>
      <c r="H3" s="225"/>
      <c r="I3" s="225" t="s">
        <v>69</v>
      </c>
      <c r="J3" s="319" t="str">
        <f>底稿目录!F9</f>
        <v>G3-3</v>
      </c>
    </row>
    <row r="4" spans="1:10" s="242" customFormat="1" ht="19.95" customHeight="1">
      <c r="A4" s="225" t="str">
        <f>底稿目录!A3</f>
        <v>截止日：202X年12月31日</v>
      </c>
      <c r="B4" s="225"/>
      <c r="C4" s="225"/>
      <c r="D4" s="225" t="str">
        <f>底稿目录!A6</f>
        <v>复核人：</v>
      </c>
      <c r="E4" s="225"/>
      <c r="F4" s="225"/>
      <c r="G4" s="225" t="str">
        <f>底稿目录!A7</f>
        <v>复核日期：</v>
      </c>
      <c r="H4" s="225"/>
      <c r="I4" s="225" t="s">
        <v>264</v>
      </c>
    </row>
    <row r="5" spans="1:10" ht="24">
      <c r="A5" s="106" t="s">
        <v>112</v>
      </c>
      <c r="B5" s="107" t="s">
        <v>113</v>
      </c>
      <c r="C5" s="143" t="s">
        <v>180</v>
      </c>
      <c r="D5" s="108" t="s">
        <v>114</v>
      </c>
      <c r="E5" s="108" t="s">
        <v>115</v>
      </c>
      <c r="F5" s="109" t="s">
        <v>116</v>
      </c>
      <c r="G5" s="108" t="s">
        <v>117</v>
      </c>
      <c r="H5" s="108" t="s">
        <v>118</v>
      </c>
      <c r="I5" s="108" t="s">
        <v>119</v>
      </c>
      <c r="J5" s="108" t="s">
        <v>120</v>
      </c>
    </row>
    <row r="6" spans="1:10" ht="19.95" customHeight="1">
      <c r="A6" s="110"/>
      <c r="B6" s="110"/>
      <c r="C6" s="144"/>
      <c r="D6" s="110"/>
      <c r="E6" s="110"/>
      <c r="F6" s="110"/>
      <c r="G6" s="110"/>
      <c r="H6" s="110"/>
      <c r="I6" s="110"/>
      <c r="J6" s="110"/>
    </row>
    <row r="7" spans="1:10" ht="19.95" customHeight="1">
      <c r="A7" s="111"/>
      <c r="B7" s="110"/>
      <c r="C7" s="144"/>
      <c r="D7" s="110"/>
      <c r="E7" s="110"/>
      <c r="F7" s="110"/>
      <c r="G7" s="110"/>
      <c r="H7" s="110"/>
      <c r="I7" s="110"/>
      <c r="J7" s="110"/>
    </row>
    <row r="8" spans="1:10" ht="19.95" customHeight="1">
      <c r="A8" s="317"/>
      <c r="B8" s="316"/>
      <c r="C8" s="316"/>
      <c r="D8" s="316"/>
      <c r="E8" s="316"/>
      <c r="F8" s="316"/>
      <c r="G8" s="316"/>
      <c r="H8" s="316"/>
      <c r="I8" s="316"/>
      <c r="J8" s="316"/>
    </row>
    <row r="9" spans="1:10" ht="19.95" customHeight="1">
      <c r="A9" s="317"/>
      <c r="B9" s="316"/>
      <c r="C9" s="316"/>
      <c r="D9" s="316"/>
      <c r="E9" s="316"/>
      <c r="F9" s="316"/>
      <c r="G9" s="316"/>
      <c r="H9" s="316"/>
      <c r="I9" s="316"/>
      <c r="J9" s="316"/>
    </row>
    <row r="10" spans="1:10" ht="19.95" customHeight="1">
      <c r="A10" s="317"/>
      <c r="B10" s="316"/>
      <c r="C10" s="316"/>
      <c r="D10" s="316"/>
      <c r="E10" s="316"/>
      <c r="F10" s="316"/>
      <c r="G10" s="316"/>
      <c r="H10" s="316"/>
      <c r="I10" s="316"/>
      <c r="J10" s="316"/>
    </row>
    <row r="11" spans="1:10" ht="19.95" customHeight="1">
      <c r="A11" s="317"/>
      <c r="B11" s="316"/>
      <c r="C11" s="316"/>
      <c r="D11" s="316"/>
      <c r="E11" s="316"/>
      <c r="F11" s="316"/>
      <c r="G11" s="316"/>
      <c r="H11" s="316"/>
      <c r="I11" s="316"/>
      <c r="J11" s="316"/>
    </row>
    <row r="12" spans="1:10" ht="19.95" customHeight="1">
      <c r="A12" s="317"/>
      <c r="B12" s="316"/>
      <c r="C12" s="316"/>
      <c r="D12" s="316"/>
      <c r="E12" s="316"/>
      <c r="F12" s="316"/>
      <c r="G12" s="316"/>
      <c r="H12" s="316"/>
      <c r="I12" s="316"/>
      <c r="J12" s="316"/>
    </row>
    <row r="13" spans="1:10" ht="19.95" customHeight="1">
      <c r="A13" s="112"/>
      <c r="B13" s="110"/>
      <c r="C13" s="144"/>
      <c r="D13" s="110"/>
      <c r="E13" s="110"/>
      <c r="F13" s="110"/>
      <c r="G13" s="110"/>
      <c r="H13" s="110"/>
      <c r="I13" s="110"/>
      <c r="J13" s="110"/>
    </row>
    <row r="14" spans="1:10" ht="19.95" customHeight="1">
      <c r="A14" s="112"/>
      <c r="B14" s="110"/>
      <c r="C14" s="144"/>
      <c r="D14" s="110"/>
      <c r="E14" s="110"/>
      <c r="F14" s="110"/>
      <c r="G14" s="110"/>
      <c r="H14" s="110"/>
      <c r="I14" s="110"/>
      <c r="J14" s="110"/>
    </row>
    <row r="15" spans="1:10" ht="19.95" customHeight="1">
      <c r="A15" s="112"/>
      <c r="B15" s="110"/>
      <c r="C15" s="144"/>
      <c r="D15" s="110"/>
      <c r="E15" s="110"/>
      <c r="F15" s="110"/>
      <c r="G15" s="110"/>
      <c r="H15" s="110"/>
      <c r="I15" s="110"/>
      <c r="J15" s="110"/>
    </row>
    <row r="16" spans="1:10" ht="19.95" customHeight="1">
      <c r="A16" s="112"/>
      <c r="B16" s="110"/>
      <c r="C16" s="144"/>
      <c r="D16" s="110"/>
      <c r="E16" s="110"/>
      <c r="F16" s="110"/>
      <c r="G16" s="110"/>
      <c r="H16" s="110"/>
      <c r="I16" s="110"/>
      <c r="J16" s="110"/>
    </row>
    <row r="17" spans="1:10" ht="19.95" customHeight="1">
      <c r="A17" s="112"/>
      <c r="B17" s="110"/>
      <c r="C17" s="144"/>
      <c r="D17" s="110"/>
      <c r="E17" s="110"/>
      <c r="F17" s="110"/>
      <c r="G17" s="110"/>
      <c r="H17" s="110"/>
      <c r="I17" s="110"/>
      <c r="J17" s="110"/>
    </row>
    <row r="18" spans="1:10" ht="19.95" customHeight="1">
      <c r="A18" s="112"/>
      <c r="B18" s="110"/>
      <c r="C18" s="144"/>
      <c r="D18" s="110"/>
      <c r="E18" s="110"/>
      <c r="F18" s="110"/>
      <c r="G18" s="110"/>
      <c r="H18" s="110"/>
      <c r="I18" s="110"/>
      <c r="J18" s="110"/>
    </row>
    <row r="19" spans="1:10" ht="19.95" customHeight="1">
      <c r="A19" s="112"/>
      <c r="B19" s="110"/>
      <c r="C19" s="144"/>
      <c r="D19" s="110"/>
      <c r="E19" s="110"/>
      <c r="F19" s="110"/>
      <c r="G19" s="110"/>
      <c r="H19" s="110"/>
      <c r="I19" s="110"/>
      <c r="J19" s="110"/>
    </row>
    <row r="20" spans="1:10" ht="19.95" customHeight="1">
      <c r="A20" s="112"/>
      <c r="B20" s="110"/>
      <c r="C20" s="144"/>
      <c r="D20" s="110"/>
      <c r="E20" s="110"/>
      <c r="F20" s="110"/>
      <c r="G20" s="110"/>
      <c r="H20" s="110"/>
      <c r="I20" s="110"/>
      <c r="J20" s="110"/>
    </row>
    <row r="21" spans="1:10" ht="19.95" customHeight="1">
      <c r="A21" s="112"/>
      <c r="B21" s="110"/>
      <c r="C21" s="144"/>
      <c r="D21" s="110"/>
      <c r="E21" s="110"/>
      <c r="F21" s="110"/>
      <c r="G21" s="110"/>
      <c r="H21" s="110"/>
      <c r="I21" s="110"/>
      <c r="J21" s="110"/>
    </row>
    <row r="22" spans="1:10" ht="19.95" customHeight="1">
      <c r="A22" s="113"/>
      <c r="B22" s="113"/>
      <c r="C22" s="145"/>
      <c r="D22" s="114"/>
      <c r="E22" s="114"/>
      <c r="F22" s="114"/>
      <c r="G22" s="115"/>
      <c r="H22" s="115"/>
      <c r="I22" s="114"/>
      <c r="J22" s="92"/>
    </row>
    <row r="23" spans="1:10" ht="19.95" customHeight="1">
      <c r="A23" s="5"/>
      <c r="B23" s="5"/>
      <c r="C23" s="5"/>
      <c r="D23" s="5"/>
      <c r="E23" s="116"/>
      <c r="F23" s="6"/>
      <c r="G23" s="117"/>
      <c r="H23" s="117"/>
      <c r="I23" s="117"/>
      <c r="J23" s="117"/>
    </row>
    <row r="24" spans="1:10" ht="19.95" customHeight="1"/>
    <row r="25" spans="1:10" ht="19.95" customHeight="1"/>
  </sheetData>
  <mergeCells count="2">
    <mergeCell ref="A1:J1"/>
    <mergeCell ref="A2:J2"/>
  </mergeCells>
  <phoneticPr fontId="3" type="noConversion"/>
  <dataValidations count="1">
    <dataValidation type="list" allowBlank="1" showInputMessage="1" showErrorMessage="1" sqref="B6:B21">
      <formula1>"账项调整,报表调整,其他"</formula1>
    </dataValidation>
  </dataValidations>
  <hyperlinks>
    <hyperlink ref="J3" location="底稿目录!F9" display="底稿目录!F9"/>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R48"/>
  <sheetViews>
    <sheetView view="pageBreakPreview" zoomScaleSheetLayoutView="100" workbookViewId="0">
      <selection activeCell="J3" sqref="J3"/>
    </sheetView>
  </sheetViews>
  <sheetFormatPr defaultColWidth="9" defaultRowHeight="13.8"/>
  <cols>
    <col min="1" max="1" width="11.5546875" style="10" customWidth="1"/>
    <col min="2" max="2" width="14.21875" style="10" customWidth="1"/>
    <col min="3" max="3" width="9.77734375" style="10" customWidth="1"/>
    <col min="4" max="4" width="11.5546875" style="10" customWidth="1"/>
    <col min="5" max="5" width="11.88671875" style="10" customWidth="1"/>
    <col min="6" max="6" width="12.77734375" style="10" customWidth="1"/>
    <col min="7" max="7" width="14.33203125" style="10" customWidth="1"/>
    <col min="8" max="8" width="12.77734375" style="10" customWidth="1"/>
    <col min="9" max="9" width="10.33203125" style="10" customWidth="1"/>
    <col min="10" max="10" width="11.6640625" style="10" customWidth="1"/>
    <col min="11" max="13" width="5.21875" style="10" customWidth="1"/>
    <col min="14" max="14" width="7.5546875" style="10" bestFit="1" customWidth="1"/>
    <col min="15" max="15" width="5" style="10" customWidth="1"/>
    <col min="16" max="16384" width="9" style="10"/>
  </cols>
  <sheetData>
    <row r="1" spans="1:13" s="181" customFormat="1" ht="19.95" customHeight="1">
      <c r="A1" s="375" t="s">
        <v>0</v>
      </c>
      <c r="B1" s="375"/>
      <c r="C1" s="375"/>
      <c r="D1" s="375"/>
      <c r="E1" s="375"/>
      <c r="F1" s="375"/>
      <c r="G1" s="375"/>
      <c r="H1" s="375"/>
      <c r="I1" s="375"/>
      <c r="J1" s="375"/>
      <c r="K1" s="252"/>
      <c r="L1" s="252"/>
      <c r="M1" s="252"/>
    </row>
    <row r="2" spans="1:13" s="187" customFormat="1" ht="19.95" customHeight="1">
      <c r="A2" s="376" t="s">
        <v>46</v>
      </c>
      <c r="B2" s="376"/>
      <c r="C2" s="376"/>
      <c r="D2" s="376"/>
      <c r="E2" s="376"/>
      <c r="F2" s="376"/>
      <c r="G2" s="376"/>
      <c r="H2" s="376"/>
      <c r="I2" s="376"/>
      <c r="J2" s="376"/>
      <c r="K2" s="253"/>
      <c r="L2" s="253"/>
      <c r="M2" s="253"/>
    </row>
    <row r="3" spans="1:13" s="223" customFormat="1" ht="19.95" customHeight="1">
      <c r="A3" s="212" t="str">
        <f>底稿目录!A2</f>
        <v>被审计单位：</v>
      </c>
      <c r="D3" s="224"/>
      <c r="E3" s="225" t="str">
        <f>底稿目录!A4</f>
        <v>编制人：</v>
      </c>
      <c r="G3" s="226" t="str">
        <f>底稿目录!A5</f>
        <v>编制日期：</v>
      </c>
      <c r="H3" s="228"/>
      <c r="I3" s="225" t="s">
        <v>69</v>
      </c>
      <c r="J3" s="319" t="str">
        <f>底稿目录!F10</f>
        <v>G3-4</v>
      </c>
      <c r="K3" s="243"/>
      <c r="L3" s="243"/>
      <c r="M3" s="243"/>
    </row>
    <row r="4" spans="1:13" s="223" customFormat="1" ht="19.95" customHeight="1">
      <c r="A4" s="212" t="str">
        <f>底稿目录!A3</f>
        <v>截止日：202X年12月31日</v>
      </c>
      <c r="D4" s="224"/>
      <c r="E4" s="225" t="str">
        <f>底稿目录!A6</f>
        <v>复核人：</v>
      </c>
      <c r="G4" s="226" t="str">
        <f>底稿目录!A7</f>
        <v>复核日期：</v>
      </c>
      <c r="H4" s="228"/>
      <c r="I4" s="225" t="s">
        <v>265</v>
      </c>
      <c r="J4" s="229"/>
      <c r="K4" s="229"/>
      <c r="L4" s="229"/>
      <c r="M4" s="229"/>
    </row>
    <row r="5" spans="1:13" s="18" customFormat="1" ht="19.95" customHeight="1">
      <c r="A5" s="40" t="s">
        <v>36</v>
      </c>
      <c r="C5" s="49" t="s">
        <v>45</v>
      </c>
      <c r="D5" s="17"/>
      <c r="E5" s="17"/>
      <c r="F5" s="17"/>
      <c r="G5" s="17"/>
      <c r="H5" s="17"/>
      <c r="I5" s="17"/>
      <c r="J5" s="17"/>
      <c r="K5" s="17"/>
      <c r="L5" s="17"/>
      <c r="M5" s="17"/>
    </row>
    <row r="6" spans="1:13" s="18" customFormat="1" ht="19.95" customHeight="1">
      <c r="A6" s="41" t="s">
        <v>37</v>
      </c>
      <c r="B6" s="16"/>
      <c r="C6" s="50"/>
      <c r="D6" s="17"/>
      <c r="E6" s="17"/>
      <c r="F6" s="17"/>
      <c r="G6" s="17"/>
      <c r="H6" s="17"/>
      <c r="I6" s="17"/>
      <c r="J6" s="17"/>
      <c r="K6" s="17"/>
      <c r="L6" s="17"/>
      <c r="M6" s="17"/>
    </row>
    <row r="7" spans="1:13" s="18" customFormat="1" ht="19.95" customHeight="1">
      <c r="A7" s="264" t="s">
        <v>282</v>
      </c>
      <c r="B7" s="16"/>
      <c r="C7" s="50"/>
      <c r="D7" s="17"/>
      <c r="E7" s="17"/>
      <c r="F7" s="17"/>
      <c r="G7" s="17"/>
      <c r="H7" s="17"/>
      <c r="I7" s="17"/>
      <c r="J7" s="17"/>
      <c r="K7" s="17"/>
      <c r="L7" s="17"/>
      <c r="M7" s="17"/>
    </row>
    <row r="8" spans="1:13" s="20" customFormat="1" ht="19.95" customHeight="1">
      <c r="A8" s="19" t="s">
        <v>223</v>
      </c>
      <c r="C8" s="26" t="s">
        <v>187</v>
      </c>
    </row>
    <row r="9" spans="1:13" s="11" customFormat="1" ht="37.799999999999997">
      <c r="A9" s="378" t="s">
        <v>12</v>
      </c>
      <c r="B9" s="378"/>
      <c r="C9" s="268" t="s">
        <v>13</v>
      </c>
      <c r="D9" s="269" t="s">
        <v>185</v>
      </c>
      <c r="E9" s="269" t="s">
        <v>183</v>
      </c>
      <c r="F9" s="268" t="s">
        <v>184</v>
      </c>
      <c r="G9" s="268" t="s">
        <v>14</v>
      </c>
      <c r="H9" s="268" t="s">
        <v>181</v>
      </c>
      <c r="I9" s="268" t="s">
        <v>182</v>
      </c>
      <c r="J9" s="268" t="s">
        <v>15</v>
      </c>
    </row>
    <row r="10" spans="1:13" ht="19.95" customHeight="1">
      <c r="A10" s="377"/>
      <c r="B10" s="377"/>
      <c r="C10" s="147"/>
      <c r="D10" s="192"/>
      <c r="E10" s="148"/>
      <c r="F10" s="150"/>
      <c r="G10" s="149">
        <f>C10*F10</f>
        <v>0</v>
      </c>
      <c r="H10" s="150"/>
      <c r="I10" s="149">
        <f>G10-H10</f>
        <v>0</v>
      </c>
      <c r="J10" s="148"/>
    </row>
    <row r="11" spans="1:13" ht="19.95" customHeight="1">
      <c r="A11" s="377"/>
      <c r="B11" s="377"/>
      <c r="C11" s="147"/>
      <c r="D11" s="192"/>
      <c r="E11" s="148"/>
      <c r="F11" s="150"/>
      <c r="G11" s="149">
        <f>C11*F11</f>
        <v>0</v>
      </c>
      <c r="H11" s="150"/>
      <c r="I11" s="149">
        <f t="shared" ref="I11:I14" si="0">G11-H11</f>
        <v>0</v>
      </c>
      <c r="J11" s="148"/>
    </row>
    <row r="12" spans="1:13" ht="19.95" customHeight="1">
      <c r="A12" s="377"/>
      <c r="B12" s="377"/>
      <c r="C12" s="147"/>
      <c r="D12" s="192"/>
      <c r="E12" s="148"/>
      <c r="F12" s="150"/>
      <c r="G12" s="149">
        <f>C12*F12</f>
        <v>0</v>
      </c>
      <c r="H12" s="150"/>
      <c r="I12" s="149">
        <f t="shared" si="0"/>
        <v>0</v>
      </c>
      <c r="J12" s="148"/>
    </row>
    <row r="13" spans="1:13" ht="19.95" customHeight="1">
      <c r="A13" s="377"/>
      <c r="B13" s="377"/>
      <c r="C13" s="147"/>
      <c r="D13" s="192"/>
      <c r="E13" s="148"/>
      <c r="F13" s="150"/>
      <c r="G13" s="149">
        <f>C13*F13</f>
        <v>0</v>
      </c>
      <c r="H13" s="150"/>
      <c r="I13" s="149">
        <f t="shared" si="0"/>
        <v>0</v>
      </c>
      <c r="J13" s="148"/>
    </row>
    <row r="14" spans="1:13" ht="19.95" customHeight="1">
      <c r="A14" s="377"/>
      <c r="B14" s="377"/>
      <c r="C14" s="147"/>
      <c r="D14" s="192"/>
      <c r="E14" s="148"/>
      <c r="F14" s="150"/>
      <c r="G14" s="149">
        <f>C14*F14</f>
        <v>0</v>
      </c>
      <c r="H14" s="150"/>
      <c r="I14" s="149">
        <f t="shared" si="0"/>
        <v>0</v>
      </c>
      <c r="J14" s="148"/>
    </row>
    <row r="15" spans="1:13" ht="19.95" customHeight="1">
      <c r="A15" s="380" t="s">
        <v>186</v>
      </c>
      <c r="B15" s="380" t="s">
        <v>10</v>
      </c>
      <c r="C15" s="271"/>
      <c r="D15" s="272"/>
      <c r="E15" s="272"/>
      <c r="F15" s="273"/>
      <c r="G15" s="274">
        <f>SUM(G10:G14)</f>
        <v>0</v>
      </c>
      <c r="H15" s="274">
        <f t="shared" ref="H15:I15" si="1">SUM(H10:H14)</f>
        <v>0</v>
      </c>
      <c r="I15" s="274">
        <f t="shared" si="1"/>
        <v>0</v>
      </c>
      <c r="J15" s="275"/>
    </row>
    <row r="16" spans="1:13" ht="19.95" customHeight="1">
      <c r="A16" s="19" t="s">
        <v>224</v>
      </c>
      <c r="C16" s="20"/>
    </row>
    <row r="17" spans="1:18" s="11" customFormat="1" ht="19.95" customHeight="1">
      <c r="A17" s="381" t="s">
        <v>12</v>
      </c>
      <c r="B17" s="381"/>
      <c r="C17" s="381" t="s">
        <v>16</v>
      </c>
      <c r="D17" s="381" t="s">
        <v>17</v>
      </c>
      <c r="E17" s="381" t="s">
        <v>42</v>
      </c>
      <c r="F17" s="388" t="s">
        <v>18</v>
      </c>
      <c r="G17" s="389"/>
      <c r="H17" s="390"/>
      <c r="I17" s="393" t="s">
        <v>40</v>
      </c>
      <c r="J17" s="391" t="s">
        <v>41</v>
      </c>
    </row>
    <row r="18" spans="1:18" s="11" customFormat="1" ht="19.95" customHeight="1">
      <c r="A18" s="381"/>
      <c r="B18" s="381"/>
      <c r="C18" s="381"/>
      <c r="D18" s="387"/>
      <c r="E18" s="387"/>
      <c r="F18" s="146" t="s">
        <v>19</v>
      </c>
      <c r="G18" s="146" t="s">
        <v>20</v>
      </c>
      <c r="H18" s="146" t="s">
        <v>39</v>
      </c>
      <c r="I18" s="394"/>
      <c r="J18" s="392"/>
    </row>
    <row r="19" spans="1:18" ht="19.95" customHeight="1">
      <c r="A19" s="379"/>
      <c r="B19" s="379"/>
      <c r="C19" s="21"/>
      <c r="D19" s="22"/>
      <c r="E19" s="22"/>
      <c r="F19" s="244"/>
      <c r="G19" s="22"/>
      <c r="H19" s="245"/>
      <c r="I19" s="270">
        <f>D19-E19-G19</f>
        <v>0</v>
      </c>
      <c r="J19" s="245"/>
    </row>
    <row r="20" spans="1:18" ht="19.95" customHeight="1">
      <c r="A20" s="379"/>
      <c r="B20" s="379"/>
      <c r="C20" s="21"/>
      <c r="D20" s="22"/>
      <c r="E20" s="22"/>
      <c r="F20" s="244"/>
      <c r="G20" s="22"/>
      <c r="H20" s="245"/>
      <c r="I20" s="270">
        <f t="shared" ref="I20:I24" si="2">D20-E20-G20</f>
        <v>0</v>
      </c>
      <c r="J20" s="245"/>
    </row>
    <row r="21" spans="1:18" ht="19.95" customHeight="1">
      <c r="A21" s="379"/>
      <c r="B21" s="379"/>
      <c r="C21" s="21"/>
      <c r="D21" s="22"/>
      <c r="E21" s="22"/>
      <c r="F21" s="244"/>
      <c r="G21" s="22"/>
      <c r="H21" s="245"/>
      <c r="I21" s="270">
        <f t="shared" si="2"/>
        <v>0</v>
      </c>
      <c r="J21" s="245"/>
    </row>
    <row r="22" spans="1:18" ht="19.95" customHeight="1">
      <c r="A22" s="379"/>
      <c r="B22" s="379"/>
      <c r="C22" s="21"/>
      <c r="D22" s="22"/>
      <c r="E22" s="22"/>
      <c r="F22" s="244"/>
      <c r="G22" s="22"/>
      <c r="H22" s="245"/>
      <c r="I22" s="270">
        <f t="shared" si="2"/>
        <v>0</v>
      </c>
      <c r="J22" s="245"/>
    </row>
    <row r="23" spans="1:18" ht="19.95" customHeight="1">
      <c r="A23" s="379"/>
      <c r="B23" s="379"/>
      <c r="C23" s="21"/>
      <c r="D23" s="22"/>
      <c r="E23" s="22"/>
      <c r="F23" s="244"/>
      <c r="G23" s="22"/>
      <c r="H23" s="245"/>
      <c r="I23" s="270">
        <f t="shared" si="2"/>
        <v>0</v>
      </c>
      <c r="J23" s="245"/>
    </row>
    <row r="24" spans="1:18" ht="19.95" customHeight="1">
      <c r="A24" s="379"/>
      <c r="B24" s="379"/>
      <c r="C24" s="21"/>
      <c r="D24" s="22"/>
      <c r="E24" s="22"/>
      <c r="F24" s="244"/>
      <c r="G24" s="22"/>
      <c r="H24" s="245"/>
      <c r="I24" s="270">
        <f t="shared" si="2"/>
        <v>0</v>
      </c>
      <c r="J24" s="245"/>
    </row>
    <row r="25" spans="1:18" ht="19.95" customHeight="1">
      <c r="A25" s="378" t="s">
        <v>10</v>
      </c>
      <c r="B25" s="378"/>
      <c r="C25" s="276"/>
      <c r="D25" s="277">
        <f>SUM(D19:D24)</f>
        <v>0</v>
      </c>
      <c r="E25" s="277">
        <f>SUM(E19:E24)</f>
        <v>0</v>
      </c>
      <c r="F25" s="277">
        <f>SUM(F19:F24)</f>
        <v>0</v>
      </c>
      <c r="G25" s="277"/>
      <c r="H25" s="278"/>
      <c r="I25" s="270">
        <f>SUM(I19:I24)</f>
        <v>0</v>
      </c>
      <c r="J25" s="278"/>
      <c r="P25" s="318"/>
      <c r="Q25" s="318"/>
      <c r="R25" s="318"/>
    </row>
    <row r="26" spans="1:18" s="163" customFormat="1" ht="19.95" customHeight="1">
      <c r="A26" s="161" t="s">
        <v>213</v>
      </c>
      <c r="B26" s="162"/>
      <c r="C26" s="162"/>
      <c r="D26" s="162"/>
      <c r="E26" s="162"/>
      <c r="F26" s="162"/>
      <c r="G26" s="162"/>
      <c r="H26" s="162"/>
      <c r="I26" s="162"/>
      <c r="J26" s="162"/>
      <c r="K26" s="162"/>
      <c r="L26" s="162"/>
      <c r="M26" s="162"/>
      <c r="N26" s="162"/>
      <c r="O26" s="162"/>
      <c r="P26" s="164"/>
      <c r="Q26" s="164"/>
      <c r="R26" s="164"/>
    </row>
    <row r="27" spans="1:18" s="163" customFormat="1" ht="19.95" customHeight="1">
      <c r="A27" s="382" t="s">
        <v>214</v>
      </c>
      <c r="B27" s="382" t="s">
        <v>215</v>
      </c>
      <c r="C27" s="382" t="s">
        <v>216</v>
      </c>
      <c r="D27" s="382" t="s">
        <v>217</v>
      </c>
      <c r="E27" s="382" t="s">
        <v>218</v>
      </c>
      <c r="F27" s="384" t="s">
        <v>219</v>
      </c>
      <c r="G27" s="385"/>
      <c r="H27" s="395" t="s">
        <v>280</v>
      </c>
      <c r="I27" s="397" t="s">
        <v>281</v>
      </c>
      <c r="J27" s="398"/>
      <c r="K27" s="398"/>
      <c r="L27" s="398"/>
      <c r="M27" s="398"/>
      <c r="N27" s="386" t="s">
        <v>220</v>
      </c>
      <c r="O27" s="386" t="s">
        <v>211</v>
      </c>
      <c r="P27" s="164"/>
      <c r="Q27" s="164"/>
    </row>
    <row r="28" spans="1:18" s="163" customFormat="1" ht="19.95" customHeight="1">
      <c r="A28" s="383"/>
      <c r="B28" s="383"/>
      <c r="C28" s="383"/>
      <c r="D28" s="383"/>
      <c r="E28" s="383"/>
      <c r="F28" s="169" t="s">
        <v>221</v>
      </c>
      <c r="G28" s="169" t="s">
        <v>222</v>
      </c>
      <c r="H28" s="396"/>
      <c r="I28" s="279">
        <v>1</v>
      </c>
      <c r="J28" s="279">
        <v>2</v>
      </c>
      <c r="K28" s="279">
        <v>3</v>
      </c>
      <c r="L28" s="279">
        <v>4</v>
      </c>
      <c r="M28" s="279">
        <v>5</v>
      </c>
      <c r="N28" s="386"/>
      <c r="O28" s="386"/>
      <c r="P28" s="164"/>
      <c r="Q28" s="164"/>
    </row>
    <row r="29" spans="1:18" s="163" customFormat="1" ht="19.95" customHeight="1">
      <c r="A29" s="165"/>
      <c r="B29" s="166"/>
      <c r="C29" s="267"/>
      <c r="D29" s="167"/>
      <c r="E29" s="167"/>
      <c r="F29" s="263"/>
      <c r="G29" s="263"/>
      <c r="H29" s="265"/>
      <c r="I29" s="262"/>
      <c r="J29" s="262"/>
      <c r="K29" s="262"/>
      <c r="L29" s="262"/>
      <c r="M29" s="262"/>
      <c r="N29" s="168"/>
      <c r="O29" s="168"/>
      <c r="P29" s="164"/>
      <c r="Q29" s="164"/>
    </row>
    <row r="30" spans="1:18" s="163" customFormat="1" ht="19.95" customHeight="1">
      <c r="A30" s="165"/>
      <c r="B30" s="166"/>
      <c r="C30" s="167"/>
      <c r="D30" s="167"/>
      <c r="E30" s="167"/>
      <c r="F30" s="263"/>
      <c r="G30" s="263"/>
      <c r="H30" s="261"/>
      <c r="I30" s="262"/>
      <c r="J30" s="262"/>
      <c r="K30" s="262"/>
      <c r="L30" s="262"/>
      <c r="M30" s="262"/>
      <c r="N30" s="168"/>
      <c r="O30" s="168"/>
      <c r="P30" s="164"/>
      <c r="Q30" s="164"/>
    </row>
    <row r="31" spans="1:18" s="163" customFormat="1" ht="19.95" customHeight="1">
      <c r="A31" s="165"/>
      <c r="B31" s="166"/>
      <c r="C31" s="167"/>
      <c r="D31" s="167"/>
      <c r="E31" s="167"/>
      <c r="F31" s="263"/>
      <c r="G31" s="263"/>
      <c r="H31" s="261"/>
      <c r="I31" s="262"/>
      <c r="J31" s="262"/>
      <c r="K31" s="262"/>
      <c r="L31" s="262"/>
      <c r="M31" s="262"/>
      <c r="N31" s="168"/>
      <c r="O31" s="168"/>
      <c r="P31" s="164"/>
      <c r="Q31" s="164"/>
    </row>
    <row r="32" spans="1:18" s="163" customFormat="1" ht="19.95" customHeight="1">
      <c r="A32" s="165"/>
      <c r="B32" s="166"/>
      <c r="C32" s="167"/>
      <c r="D32" s="167"/>
      <c r="E32" s="167"/>
      <c r="F32" s="263"/>
      <c r="G32" s="263"/>
      <c r="H32" s="261"/>
      <c r="I32" s="262"/>
      <c r="J32" s="262"/>
      <c r="K32" s="262"/>
      <c r="L32" s="262"/>
      <c r="M32" s="262"/>
      <c r="N32" s="168"/>
      <c r="O32" s="168"/>
      <c r="P32" s="164"/>
      <c r="Q32" s="164"/>
    </row>
    <row r="33" spans="1:17" s="163" customFormat="1" ht="19.95" customHeight="1">
      <c r="A33" s="165"/>
      <c r="B33" s="166"/>
      <c r="C33" s="167"/>
      <c r="D33" s="167"/>
      <c r="E33" s="167"/>
      <c r="F33" s="263"/>
      <c r="G33" s="263"/>
      <c r="H33" s="261"/>
      <c r="I33" s="262"/>
      <c r="J33" s="262"/>
      <c r="K33" s="262"/>
      <c r="L33" s="262"/>
      <c r="M33" s="262"/>
      <c r="N33" s="168"/>
      <c r="O33" s="168"/>
      <c r="P33" s="164"/>
      <c r="Q33" s="164"/>
    </row>
    <row r="34" spans="1:17" s="163" customFormat="1" ht="19.95" customHeight="1">
      <c r="A34" s="170" t="s">
        <v>90</v>
      </c>
      <c r="B34" s="171"/>
      <c r="C34" s="172"/>
      <c r="D34" s="172"/>
      <c r="E34" s="172"/>
      <c r="F34" s="173">
        <f>SUM(F29:F33)</f>
        <v>0</v>
      </c>
      <c r="G34" s="173">
        <f>SUM(G29:G33)</f>
        <v>0</v>
      </c>
      <c r="H34" s="174"/>
      <c r="I34" s="175"/>
      <c r="J34" s="175"/>
      <c r="K34" s="175"/>
      <c r="L34" s="175"/>
      <c r="M34" s="260"/>
      <c r="N34" s="176"/>
      <c r="O34" s="177"/>
      <c r="P34" s="164"/>
      <c r="Q34" s="164"/>
    </row>
    <row r="35" spans="1:17" ht="19.95" customHeight="1">
      <c r="A35" s="51" t="s">
        <v>43</v>
      </c>
      <c r="C35" s="51"/>
      <c r="D35" s="9"/>
      <c r="E35" s="9"/>
      <c r="F35" s="9"/>
      <c r="G35" s="9"/>
      <c r="H35" s="9"/>
      <c r="I35" s="9"/>
      <c r="J35" s="9"/>
      <c r="K35" s="9"/>
      <c r="L35" s="9"/>
      <c r="M35" s="9"/>
    </row>
    <row r="36" spans="1:17" ht="19.95" customHeight="1">
      <c r="B36" s="23"/>
      <c r="C36" s="23"/>
      <c r="D36" s="23"/>
      <c r="E36" s="23"/>
      <c r="F36" s="9"/>
      <c r="G36" s="9"/>
      <c r="H36" s="9"/>
      <c r="I36" s="9"/>
      <c r="J36" s="9"/>
      <c r="K36" s="9"/>
      <c r="L36" s="9"/>
      <c r="M36" s="9"/>
    </row>
    <row r="37" spans="1:17" ht="19.95" customHeight="1">
      <c r="B37" s="23"/>
      <c r="C37" s="23"/>
      <c r="D37" s="23"/>
      <c r="E37" s="23"/>
      <c r="F37" s="9"/>
      <c r="G37" s="9"/>
      <c r="H37" s="9"/>
      <c r="I37" s="9"/>
      <c r="J37" s="9"/>
      <c r="K37" s="9"/>
      <c r="L37" s="9"/>
      <c r="M37" s="9"/>
    </row>
    <row r="38" spans="1:17" ht="19.95" customHeight="1">
      <c r="A38" s="36" t="s">
        <v>38</v>
      </c>
      <c r="B38" s="9"/>
      <c r="C38" s="9"/>
      <c r="D38" s="9"/>
      <c r="E38" s="9"/>
      <c r="F38" s="9"/>
      <c r="G38" s="9"/>
      <c r="H38" s="9"/>
      <c r="I38" s="9"/>
      <c r="J38" s="9"/>
      <c r="K38" s="9"/>
      <c r="L38" s="9"/>
      <c r="M38" s="9"/>
    </row>
    <row r="39" spans="1:17" ht="19.95" customHeight="1">
      <c r="B39" s="9"/>
      <c r="C39" s="9"/>
      <c r="D39" s="9"/>
      <c r="E39" s="9"/>
      <c r="F39" s="9"/>
      <c r="G39" s="9"/>
      <c r="H39" s="9"/>
      <c r="I39" s="9"/>
      <c r="J39" s="9"/>
      <c r="K39" s="9"/>
      <c r="L39" s="9"/>
      <c r="M39" s="9"/>
    </row>
    <row r="40" spans="1:17" ht="19.95" customHeight="1">
      <c r="B40" s="9"/>
      <c r="C40" s="9"/>
      <c r="D40" s="9"/>
      <c r="E40" s="9"/>
      <c r="F40" s="9"/>
      <c r="G40" s="9"/>
      <c r="H40" s="9"/>
      <c r="I40" s="9"/>
      <c r="J40" s="9"/>
      <c r="K40" s="9"/>
      <c r="L40" s="9"/>
      <c r="M40" s="9"/>
    </row>
    <row r="42" spans="1:17" s="8" customFormat="1" ht="18" customHeight="1">
      <c r="B42" s="24" t="s">
        <v>2</v>
      </c>
      <c r="C42" s="24"/>
    </row>
    <row r="43" spans="1:17" s="8" customFormat="1" ht="18" customHeight="1">
      <c r="B43" s="151" t="s">
        <v>21</v>
      </c>
      <c r="C43" s="12"/>
      <c r="D43" s="12"/>
    </row>
    <row r="44" spans="1:17" s="8" customFormat="1" ht="18" customHeight="1">
      <c r="B44" s="13" t="s">
        <v>11</v>
      </c>
      <c r="C44" s="13"/>
      <c r="D44" s="13"/>
    </row>
    <row r="45" spans="1:17" s="8" customFormat="1" ht="18" customHeight="1">
      <c r="B45" s="25" t="s">
        <v>22</v>
      </c>
      <c r="C45" s="25"/>
      <c r="D45" s="13"/>
    </row>
    <row r="46" spans="1:17" s="8" customFormat="1" ht="18" customHeight="1">
      <c r="B46" s="14" t="s">
        <v>23</v>
      </c>
      <c r="C46" s="15" t="s">
        <v>24</v>
      </c>
    </row>
    <row r="47" spans="1:17" s="8" customFormat="1" ht="18" customHeight="1">
      <c r="B47" s="14" t="s">
        <v>25</v>
      </c>
      <c r="C47" s="15" t="s">
        <v>26</v>
      </c>
    </row>
    <row r="48" spans="1:17" s="8" customFormat="1" ht="18" customHeight="1">
      <c r="B48" s="14" t="s">
        <v>27</v>
      </c>
      <c r="C48" s="15" t="s">
        <v>28</v>
      </c>
    </row>
  </sheetData>
  <mergeCells count="33">
    <mergeCell ref="F27:G27"/>
    <mergeCell ref="N27:N28"/>
    <mergeCell ref="O27:O28"/>
    <mergeCell ref="C17:C18"/>
    <mergeCell ref="D17:D18"/>
    <mergeCell ref="E17:E18"/>
    <mergeCell ref="F17:H17"/>
    <mergeCell ref="J17:J18"/>
    <mergeCell ref="I17:I18"/>
    <mergeCell ref="H27:H28"/>
    <mergeCell ref="I27:M27"/>
    <mergeCell ref="A25:B25"/>
    <mergeCell ref="A21:B21"/>
    <mergeCell ref="A22:B22"/>
    <mergeCell ref="A23:B23"/>
    <mergeCell ref="A24:B24"/>
    <mergeCell ref="A27:A28"/>
    <mergeCell ref="B27:B28"/>
    <mergeCell ref="C27:C28"/>
    <mergeCell ref="D27:D28"/>
    <mergeCell ref="E27:E28"/>
    <mergeCell ref="A20:B20"/>
    <mergeCell ref="A13:B13"/>
    <mergeCell ref="A14:B14"/>
    <mergeCell ref="A15:B15"/>
    <mergeCell ref="A17:B18"/>
    <mergeCell ref="A19:B19"/>
    <mergeCell ref="A12:B12"/>
    <mergeCell ref="A1:J1"/>
    <mergeCell ref="A2:J2"/>
    <mergeCell ref="A9:B9"/>
    <mergeCell ref="A10:B10"/>
    <mergeCell ref="A11:B11"/>
  </mergeCells>
  <phoneticPr fontId="3" type="noConversion"/>
  <dataValidations count="1">
    <dataValidation type="list" allowBlank="1" showInputMessage="1" showErrorMessage="1" sqref="I29:M33">
      <formula1>"√,X"</formula1>
    </dataValidation>
  </dataValidations>
  <hyperlinks>
    <hyperlink ref="J3" location="底稿目录!F10" display="底稿目录!F10"/>
  </hyperlinks>
  <pageMargins left="0.70866141732283472" right="0.70866141732283472" top="0.74803149606299213" bottom="0.74803149606299213" header="0.31496062992125984" footer="0.31496062992125984"/>
  <pageSetup paperSize="9" scale="59" fitToWidth="0" fitToHeight="0" orientation="portrait"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28"/>
  <sheetViews>
    <sheetView view="pageBreakPreview" zoomScaleSheetLayoutView="100" workbookViewId="0">
      <selection activeCell="M3" sqref="M3"/>
    </sheetView>
  </sheetViews>
  <sheetFormatPr defaultColWidth="9" defaultRowHeight="13.8"/>
  <cols>
    <col min="1" max="1" width="18.6640625" style="8" customWidth="1"/>
    <col min="2" max="5" width="13.5546875" style="8" customWidth="1"/>
    <col min="6" max="6" width="8.88671875" style="8" customWidth="1"/>
    <col min="7" max="7" width="13.33203125" style="8" customWidth="1"/>
    <col min="8" max="8" width="11.77734375" style="8" customWidth="1"/>
    <col min="9" max="9" width="12.6640625" style="8" customWidth="1"/>
    <col min="10" max="11" width="9" style="8"/>
    <col min="12" max="12" width="12.88671875" style="8" customWidth="1"/>
    <col min="13" max="16384" width="9" style="8"/>
  </cols>
  <sheetData>
    <row r="1" spans="1:13" s="180" customFormat="1" ht="19.95" customHeight="1">
      <c r="A1" s="399" t="s">
        <v>0</v>
      </c>
      <c r="B1" s="399"/>
      <c r="C1" s="399"/>
      <c r="D1" s="399"/>
      <c r="E1" s="399"/>
      <c r="F1" s="399"/>
      <c r="G1" s="399"/>
      <c r="H1" s="399"/>
      <c r="I1" s="399"/>
      <c r="J1" s="399"/>
      <c r="K1" s="399"/>
      <c r="L1" s="399"/>
      <c r="M1" s="399"/>
    </row>
    <row r="2" spans="1:13" s="186" customFormat="1" ht="19.95" customHeight="1">
      <c r="A2" s="400" t="s">
        <v>232</v>
      </c>
      <c r="B2" s="400"/>
      <c r="C2" s="400"/>
      <c r="D2" s="400"/>
      <c r="E2" s="400"/>
      <c r="F2" s="400"/>
      <c r="G2" s="400"/>
      <c r="H2" s="400"/>
      <c r="I2" s="400"/>
      <c r="J2" s="400"/>
      <c r="K2" s="400"/>
      <c r="L2" s="400"/>
      <c r="M2" s="400"/>
    </row>
    <row r="3" spans="1:13" s="248" customFormat="1" ht="19.95" customHeight="1">
      <c r="A3" s="246" t="str">
        <f>底稿目录!A2</f>
        <v>被审计单位：</v>
      </c>
      <c r="B3" s="247"/>
      <c r="D3" s="246" t="str">
        <f>底稿目录!A4</f>
        <v>编制人：</v>
      </c>
      <c r="H3" s="246" t="str">
        <f>底稿目录!A5</f>
        <v>编制日期：</v>
      </c>
      <c r="L3" s="249" t="s">
        <v>69</v>
      </c>
      <c r="M3" s="319" t="str">
        <f>底稿目录!F11</f>
        <v>G3-5</v>
      </c>
    </row>
    <row r="4" spans="1:13" s="248" customFormat="1" ht="19.95" customHeight="1">
      <c r="A4" s="246" t="str">
        <f>底稿目录!A3</f>
        <v>截止日：202X年12月31日</v>
      </c>
      <c r="B4" s="247"/>
      <c r="D4" s="246" t="str">
        <f>底稿目录!A6</f>
        <v>复核人：</v>
      </c>
      <c r="H4" s="246" t="str">
        <f>底稿目录!A7</f>
        <v>复核日期：</v>
      </c>
      <c r="L4" s="248" t="s">
        <v>267</v>
      </c>
    </row>
    <row r="5" spans="1:13" ht="19.95" customHeight="1">
      <c r="A5" s="40" t="s">
        <v>36</v>
      </c>
      <c r="B5" s="18"/>
      <c r="D5" s="2"/>
      <c r="F5" s="65"/>
      <c r="G5" s="88"/>
    </row>
    <row r="6" spans="1:13" ht="19.95" customHeight="1">
      <c r="A6" s="160" t="s">
        <v>239</v>
      </c>
      <c r="B6" s="18"/>
      <c r="D6" s="2"/>
      <c r="F6" s="65"/>
      <c r="G6" s="88"/>
    </row>
    <row r="7" spans="1:13" ht="19.95" customHeight="1">
      <c r="A7" s="160" t="s">
        <v>266</v>
      </c>
      <c r="B7" s="18"/>
      <c r="C7" s="160"/>
      <c r="D7" s="2"/>
      <c r="F7" s="65"/>
      <c r="G7" s="88"/>
    </row>
    <row r="8" spans="1:13" ht="19.95" customHeight="1">
      <c r="A8" s="159" t="s">
        <v>212</v>
      </c>
      <c r="B8" s="16"/>
      <c r="C8" s="50"/>
      <c r="D8" s="2"/>
      <c r="F8" s="65"/>
      <c r="G8" s="88"/>
    </row>
    <row r="9" spans="1:13" s="283" customFormat="1" ht="24" customHeight="1">
      <c r="A9" s="280" t="s">
        <v>195</v>
      </c>
      <c r="B9" s="280" t="s">
        <v>196</v>
      </c>
      <c r="C9" s="280" t="s">
        <v>197</v>
      </c>
      <c r="D9" s="280" t="s">
        <v>198</v>
      </c>
      <c r="E9" s="154" t="s">
        <v>199</v>
      </c>
      <c r="F9" s="281" t="s">
        <v>200</v>
      </c>
      <c r="G9" s="154" t="s">
        <v>201</v>
      </c>
      <c r="H9" s="282" t="s">
        <v>202</v>
      </c>
      <c r="I9" s="280" t="s">
        <v>203</v>
      </c>
      <c r="J9" s="280" t="s">
        <v>204</v>
      </c>
      <c r="K9" s="154" t="s">
        <v>205</v>
      </c>
      <c r="L9" s="280" t="s">
        <v>206</v>
      </c>
      <c r="M9" s="154" t="s">
        <v>207</v>
      </c>
    </row>
    <row r="10" spans="1:13" s="155" customFormat="1" ht="19.95" customHeight="1">
      <c r="A10" s="266"/>
      <c r="B10" s="156"/>
      <c r="C10" s="156"/>
      <c r="D10" s="156"/>
      <c r="E10" s="157">
        <f>B10+C10-D10</f>
        <v>0</v>
      </c>
      <c r="F10" s="250"/>
      <c r="G10" s="266"/>
      <c r="H10" s="266"/>
      <c r="I10" s="250"/>
      <c r="J10" s="250"/>
      <c r="K10" s="156"/>
      <c r="L10" s="285"/>
      <c r="M10" s="266"/>
    </row>
    <row r="11" spans="1:13" s="155" customFormat="1" ht="19.95" customHeight="1">
      <c r="A11" s="250"/>
      <c r="B11" s="156"/>
      <c r="C11" s="156"/>
      <c r="D11" s="156"/>
      <c r="E11" s="157"/>
      <c r="F11" s="250"/>
      <c r="G11" s="250"/>
      <c r="H11" s="250"/>
      <c r="I11" s="250"/>
      <c r="J11" s="250"/>
      <c r="K11" s="156"/>
      <c r="L11" s="285"/>
      <c r="M11" s="250"/>
    </row>
    <row r="12" spans="1:13" s="155" customFormat="1" ht="19.95" customHeight="1">
      <c r="A12" s="250"/>
      <c r="B12" s="156"/>
      <c r="C12" s="156"/>
      <c r="D12" s="156"/>
      <c r="E12" s="157"/>
      <c r="F12" s="250"/>
      <c r="G12" s="250"/>
      <c r="H12" s="250"/>
      <c r="I12" s="250"/>
      <c r="J12" s="250"/>
      <c r="K12" s="156"/>
      <c r="L12" s="285"/>
      <c r="M12" s="250"/>
    </row>
    <row r="13" spans="1:13" s="283" customFormat="1" ht="19.95" customHeight="1">
      <c r="A13" s="280" t="s">
        <v>208</v>
      </c>
      <c r="B13" s="284">
        <f t="shared" ref="B13:D13" si="0">SUM(B10:B12)</f>
        <v>0</v>
      </c>
      <c r="C13" s="284">
        <f t="shared" si="0"/>
        <v>0</v>
      </c>
      <c r="D13" s="284">
        <f t="shared" si="0"/>
        <v>0</v>
      </c>
      <c r="E13" s="284">
        <f>SUM(E10:E12)</f>
        <v>0</v>
      </c>
      <c r="F13" s="284">
        <f t="shared" ref="F13" si="1">SUM(F10:F12)</f>
        <v>0</v>
      </c>
      <c r="G13" s="284"/>
      <c r="H13" s="284"/>
      <c r="I13" s="284"/>
      <c r="J13" s="284"/>
      <c r="K13" s="284">
        <f t="shared" ref="K13:L13" si="2">SUM(K10:K12)</f>
        <v>0</v>
      </c>
      <c r="L13" s="284">
        <f t="shared" si="2"/>
        <v>0</v>
      </c>
      <c r="M13" s="280"/>
    </row>
    <row r="14" spans="1:13" s="155" customFormat="1" ht="19.95" customHeight="1"/>
    <row r="15" spans="1:13" s="155" customFormat="1" ht="19.95" customHeight="1">
      <c r="A15" s="158" t="s">
        <v>209</v>
      </c>
    </row>
    <row r="16" spans="1:13" s="155" customFormat="1" ht="19.95" customHeight="1">
      <c r="A16" s="251" t="s">
        <v>268</v>
      </c>
    </row>
    <row r="17" spans="1:8" s="155" customFormat="1" ht="19.95" customHeight="1"/>
    <row r="18" spans="1:8" ht="19.95" customHeight="1">
      <c r="A18" s="158" t="s">
        <v>210</v>
      </c>
      <c r="B18" s="9"/>
      <c r="C18" s="9"/>
      <c r="D18" s="9"/>
      <c r="E18" s="9"/>
      <c r="F18" s="9"/>
      <c r="G18" s="9"/>
      <c r="H18" s="9"/>
    </row>
    <row r="19" spans="1:8" ht="19.95" customHeight="1">
      <c r="A19" s="9"/>
      <c r="B19" s="9"/>
      <c r="C19" s="9"/>
      <c r="D19" s="9"/>
      <c r="E19" s="9"/>
      <c r="F19" s="9"/>
      <c r="G19" s="9"/>
      <c r="H19" s="9"/>
    </row>
    <row r="20" spans="1:8" ht="19.95" customHeight="1">
      <c r="A20" s="9"/>
      <c r="B20" s="9"/>
      <c r="C20" s="9"/>
      <c r="D20" s="9"/>
      <c r="E20" s="9"/>
      <c r="F20" s="9"/>
      <c r="G20" s="9"/>
      <c r="H20" s="9"/>
    </row>
    <row r="22" spans="1:8" ht="18" customHeight="1">
      <c r="A22" s="24" t="s">
        <v>2</v>
      </c>
      <c r="B22" s="24"/>
      <c r="C22" s="27"/>
    </row>
    <row r="23" spans="1:8" ht="18" customHeight="1">
      <c r="A23" s="12" t="s">
        <v>21</v>
      </c>
      <c r="B23" s="12"/>
      <c r="C23" s="12"/>
      <c r="D23" s="12"/>
    </row>
    <row r="24" spans="1:8" ht="18" customHeight="1">
      <c r="A24" s="13" t="s">
        <v>11</v>
      </c>
      <c r="B24" s="13"/>
      <c r="C24" s="13"/>
      <c r="D24" s="13"/>
    </row>
    <row r="25" spans="1:8" ht="18" customHeight="1">
      <c r="A25" s="25" t="s">
        <v>22</v>
      </c>
      <c r="B25" s="25"/>
      <c r="C25" s="28"/>
      <c r="D25" s="13"/>
    </row>
    <row r="26" spans="1:8" ht="18" customHeight="1">
      <c r="A26" s="14" t="s">
        <v>23</v>
      </c>
      <c r="B26" s="14"/>
      <c r="C26" s="15" t="s">
        <v>24</v>
      </c>
    </row>
    <row r="27" spans="1:8" ht="18" customHeight="1">
      <c r="A27" s="14" t="s">
        <v>25</v>
      </c>
      <c r="B27" s="14"/>
      <c r="C27" s="15" t="s">
        <v>26</v>
      </c>
    </row>
    <row r="28" spans="1:8" ht="18" customHeight="1">
      <c r="A28" s="14" t="s">
        <v>27</v>
      </c>
      <c r="B28" s="14"/>
      <c r="C28" s="15" t="s">
        <v>28</v>
      </c>
    </row>
  </sheetData>
  <mergeCells count="2">
    <mergeCell ref="A1:M1"/>
    <mergeCell ref="A2:M2"/>
  </mergeCells>
  <phoneticPr fontId="3" type="noConversion"/>
  <dataValidations count="1">
    <dataValidation type="list" allowBlank="1" showInputMessage="1" showErrorMessage="1" sqref="D10:D12">
      <formula1>"是,否"</formula1>
    </dataValidation>
  </dataValidations>
  <hyperlinks>
    <hyperlink ref="M3" location="底稿目录!F11" display="底稿目录!F11"/>
  </hyperlinks>
  <pageMargins left="0.70866141732283472" right="0.70866141732283472" top="0.74803149606299213" bottom="0.74803149606299213" header="0.31496062992125984" footer="0.31496062992125984"/>
  <pageSetup paperSize="9" scale="75" fitToHeight="0"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10</vt:i4>
      </vt:variant>
    </vt:vector>
  </HeadingPairs>
  <TitlesOfParts>
    <vt:vector size="19" baseType="lpstr">
      <vt:lpstr>底稿目录</vt:lpstr>
      <vt:lpstr>应收股利实质性程序表G3A</vt:lpstr>
      <vt:lpstr>审定表G3-1</vt:lpstr>
      <vt:lpstr>附注披露信息（上市公司）</vt:lpstr>
      <vt:lpstr>附注披露信息（国企）</vt:lpstr>
      <vt:lpstr>明细表G3-2</vt:lpstr>
      <vt:lpstr>调整分录汇总G3-3</vt:lpstr>
      <vt:lpstr>测算及检查表G3-4</vt:lpstr>
      <vt:lpstr>长期未收回款项检查表G3-5</vt:lpstr>
      <vt:lpstr>'测算及检查表G3-4'!Print_Area</vt:lpstr>
      <vt:lpstr>'调整分录汇总G3-3'!Print_Area</vt:lpstr>
      <vt:lpstr>'附注披露信息（国企）'!Print_Area</vt:lpstr>
      <vt:lpstr>'附注披露信息（上市公司）'!Print_Area</vt:lpstr>
      <vt:lpstr>'明细表G3-2'!Print_Area</vt:lpstr>
      <vt:lpstr>'审定表G3-1'!Print_Area</vt:lpstr>
      <vt:lpstr>应收股利实质性程序表G3A!Print_Area</vt:lpstr>
      <vt:lpstr>'长期未收回款项检查表G3-5'!Print_Area</vt:lpstr>
      <vt:lpstr>'明细表G3-2'!Print_Titles</vt:lpstr>
      <vt:lpstr>应收股利实质性程序表G3A!Print_Titles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2025-10-24T08:36:49Z</cp:lastPrinted>
  <dcterms:created xsi:type="dcterms:W3CDTF">2014-10-22T07:15:18Z</dcterms:created>
  <dcterms:modified xsi:type="dcterms:W3CDTF">2025-10-27T05:54:16Z</dcterms:modified>
</cp:coreProperties>
</file>