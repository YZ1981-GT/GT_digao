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882"/>
  </bookViews>
  <sheets>
    <sheet name="底稿目录" sheetId="11" r:id="rId1"/>
    <sheet name="其他非流动金融资产实质性程序表G9A" sheetId="26" r:id="rId2"/>
    <sheet name="审定表G9-1" sheetId="24" r:id="rId3"/>
    <sheet name="附注披露信息（上市公司）" sheetId="2" r:id="rId4"/>
    <sheet name="附注披露信息（国企）" sheetId="3" r:id="rId5"/>
    <sheet name="明细表G9-2" sheetId="25" r:id="rId6"/>
    <sheet name="调整分录汇总G9-3" sheetId="28" r:id="rId7"/>
    <sheet name="公允价值测试表G9-4" sheetId="23" r:id="rId8"/>
    <sheet name="第三层次公允价值计量的调节表G9-5" sheetId="27" r:id="rId9"/>
    <sheet name="凭证检查表G9-6" sheetId="22" r:id="rId10"/>
  </sheets>
  <definedNames>
    <definedName name="_xlnm.Print_Area" localSheetId="6">'调整分录汇总G9-3'!$A$1:$J$23</definedName>
    <definedName name="_xlnm.Print_Area" localSheetId="4">'附注披露信息（国企）'!$A$1:$E$13</definedName>
    <definedName name="_xlnm.Print_Area" localSheetId="3">'附注披露信息（上市公司）'!$A$1:$E$12</definedName>
    <definedName name="_xlnm.Print_Area" localSheetId="7">'公允价值测试表G9-4'!$A$1:$R$23</definedName>
    <definedName name="_xlnm.Print_Area" localSheetId="5">'明细表G9-2'!$A$1:$AB$34</definedName>
    <definedName name="_xlnm.Print_Area" localSheetId="9">'凭证检查表G9-6'!$A$1:$Q$41</definedName>
    <definedName name="_xlnm.Print_Area" localSheetId="1">其他非流动金融资产实质性程序表G9A!$A$1:$I$30</definedName>
    <definedName name="_xlnm.Print_Area" localSheetId="2">'审定表G9-1'!$A$1:$L$59</definedName>
    <definedName name="_xlnm.Print_Titles" localSheetId="1">其他非流动金融资产实质性程序表G9A!$15:$16</definedName>
    <definedName name="_xlnm.Print_Titles" localSheetId="2">'审定表G9-1'!$2:$6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8" i="22" l="1"/>
  <c r="F28" i="22"/>
  <c r="R4" i="25"/>
  <c r="R3" i="25"/>
  <c r="I3" i="25"/>
  <c r="M3" i="27" l="1"/>
  <c r="G26" i="22" l="1"/>
  <c r="G37" i="22" l="1"/>
  <c r="F37" i="22"/>
  <c r="K4" i="25"/>
  <c r="K3" i="25"/>
  <c r="I4" i="25"/>
  <c r="A4" i="25"/>
  <c r="A3" i="25"/>
  <c r="N4" i="23" l="1"/>
  <c r="N3" i="23"/>
  <c r="R3" i="23"/>
  <c r="H18" i="23"/>
  <c r="J18" i="23" s="1"/>
  <c r="H17" i="23"/>
  <c r="J17" i="23" s="1"/>
  <c r="H16" i="23"/>
  <c r="J16" i="23" s="1"/>
  <c r="J15" i="23"/>
  <c r="H15" i="23"/>
  <c r="H14" i="23"/>
  <c r="J14" i="23" s="1"/>
  <c r="H13" i="23"/>
  <c r="H12" i="23"/>
  <c r="J12" i="23" s="1"/>
  <c r="H11" i="23"/>
  <c r="J11" i="23" s="1"/>
  <c r="H10" i="23"/>
  <c r="D10" i="23"/>
  <c r="H9" i="23"/>
  <c r="D9" i="23"/>
  <c r="D19" i="23" s="1"/>
  <c r="H19" i="23" l="1"/>
  <c r="J10" i="23"/>
  <c r="J13" i="23"/>
  <c r="J9" i="23"/>
  <c r="J19" i="23"/>
  <c r="P12" i="25" l="1"/>
  <c r="K26" i="22" l="1"/>
  <c r="F26" i="22"/>
  <c r="Q3" i="22" l="1"/>
  <c r="J3" i="28"/>
  <c r="AB3" i="25"/>
  <c r="L3" i="25" s="1"/>
  <c r="E3" i="3"/>
  <c r="E3" i="2"/>
  <c r="L3" i="24"/>
  <c r="I3" i="26"/>
  <c r="C34" i="24" l="1"/>
  <c r="C32" i="24"/>
  <c r="C31" i="24"/>
  <c r="C30" i="24"/>
  <c r="C29" i="24"/>
  <c r="C27" i="24"/>
  <c r="C26" i="24"/>
  <c r="C25" i="24"/>
  <c r="C24" i="24"/>
  <c r="C35" i="24"/>
  <c r="C20" i="24"/>
  <c r="C19" i="24"/>
  <c r="C17" i="24"/>
  <c r="C16" i="24"/>
  <c r="C15" i="24"/>
  <c r="C14" i="24"/>
  <c r="C12" i="24"/>
  <c r="C11" i="24"/>
  <c r="C10" i="24"/>
  <c r="C9" i="24"/>
  <c r="B12" i="24"/>
  <c r="B11" i="24"/>
  <c r="B10" i="24"/>
  <c r="B9" i="24"/>
  <c r="I12" i="25"/>
  <c r="H12" i="25"/>
  <c r="K29" i="25"/>
  <c r="G29" i="25"/>
  <c r="F29" i="25"/>
  <c r="I28" i="25"/>
  <c r="H28" i="25"/>
  <c r="I27" i="25"/>
  <c r="H27" i="25"/>
  <c r="I26" i="25"/>
  <c r="H26" i="25"/>
  <c r="K24" i="25"/>
  <c r="G24" i="25"/>
  <c r="F24" i="25"/>
  <c r="I23" i="25"/>
  <c r="H23" i="25"/>
  <c r="J23" i="25" s="1"/>
  <c r="I22" i="25"/>
  <c r="H22" i="25"/>
  <c r="I21" i="25"/>
  <c r="H21" i="25"/>
  <c r="I20" i="25"/>
  <c r="H20" i="25"/>
  <c r="J20" i="25" s="1"/>
  <c r="I19" i="25"/>
  <c r="H19" i="25"/>
  <c r="K17" i="25"/>
  <c r="G17" i="25"/>
  <c r="F17" i="25"/>
  <c r="I16" i="25"/>
  <c r="H16" i="25"/>
  <c r="I15" i="25"/>
  <c r="H15" i="25"/>
  <c r="I14" i="25"/>
  <c r="H14" i="25"/>
  <c r="I13" i="25"/>
  <c r="H13" i="25"/>
  <c r="G4" i="28"/>
  <c r="G3" i="28"/>
  <c r="D4" i="28"/>
  <c r="D3" i="28"/>
  <c r="A4" i="28"/>
  <c r="A3" i="28"/>
  <c r="F30" i="25" l="1"/>
  <c r="J22" i="25"/>
  <c r="J12" i="25"/>
  <c r="H17" i="25"/>
  <c r="J16" i="25"/>
  <c r="J28" i="25"/>
  <c r="J21" i="25"/>
  <c r="G30" i="25"/>
  <c r="I29" i="25"/>
  <c r="H29" i="25"/>
  <c r="K30" i="25"/>
  <c r="J27" i="25"/>
  <c r="J15" i="25"/>
  <c r="H24" i="25"/>
  <c r="I24" i="25"/>
  <c r="J13" i="25"/>
  <c r="J19" i="25"/>
  <c r="J14" i="25"/>
  <c r="I17" i="25"/>
  <c r="J26" i="25"/>
  <c r="J24" i="25" l="1"/>
  <c r="H30" i="25"/>
  <c r="J17" i="25"/>
  <c r="J29" i="25"/>
  <c r="I30" i="25"/>
  <c r="J30" i="25" l="1"/>
  <c r="H4" i="22"/>
  <c r="E4" i="22"/>
  <c r="Z29" i="25"/>
  <c r="Z24" i="25"/>
  <c r="Z17" i="25"/>
  <c r="Z30" i="25" s="1"/>
  <c r="H4" i="27"/>
  <c r="F4" i="27"/>
  <c r="J4" i="23"/>
  <c r="C4" i="3"/>
  <c r="B4" i="3"/>
  <c r="C4" i="2"/>
  <c r="B4" i="2"/>
  <c r="H4" i="24"/>
  <c r="E4" i="24"/>
  <c r="F4" i="26"/>
  <c r="C4" i="26"/>
  <c r="V4" i="25"/>
  <c r="D4" i="25"/>
  <c r="H3" i="27" l="1"/>
  <c r="F3" i="27"/>
  <c r="A4" i="27"/>
  <c r="A3" i="27"/>
  <c r="K19" i="27"/>
  <c r="J19" i="27"/>
  <c r="I19" i="27"/>
  <c r="H19" i="27"/>
  <c r="G19" i="27"/>
  <c r="F19" i="27"/>
  <c r="E19" i="27"/>
  <c r="D19" i="27"/>
  <c r="C19" i="27"/>
  <c r="L18" i="27"/>
  <c r="L17" i="27"/>
  <c r="L16" i="27"/>
  <c r="L15" i="27"/>
  <c r="L14" i="27"/>
  <c r="L13" i="27"/>
  <c r="L12" i="27"/>
  <c r="L11" i="27"/>
  <c r="L10" i="27"/>
  <c r="L19" i="27" l="1"/>
  <c r="F3" i="26"/>
  <c r="C3" i="26"/>
  <c r="A4" i="26"/>
  <c r="A3" i="26"/>
  <c r="V3" i="25" l="1"/>
  <c r="D3" i="25"/>
  <c r="M4" i="25"/>
  <c r="M3" i="25"/>
  <c r="H3" i="24"/>
  <c r="E3" i="24"/>
  <c r="A4" i="24"/>
  <c r="A3" i="24"/>
  <c r="X29" i="25"/>
  <c r="T29" i="25"/>
  <c r="S29" i="25"/>
  <c r="O29" i="25"/>
  <c r="N29" i="25"/>
  <c r="M29" i="25"/>
  <c r="D29" i="25"/>
  <c r="C29" i="25"/>
  <c r="Q28" i="25"/>
  <c r="V28" i="25" s="1"/>
  <c r="P28" i="25"/>
  <c r="E28" i="25"/>
  <c r="L28" i="25" s="1"/>
  <c r="Q27" i="25"/>
  <c r="V27" i="25" s="1"/>
  <c r="P27" i="25"/>
  <c r="E27" i="25"/>
  <c r="L27" i="25" s="1"/>
  <c r="Q26" i="25"/>
  <c r="V26" i="25" s="1"/>
  <c r="P26" i="25"/>
  <c r="E26" i="25"/>
  <c r="L26" i="25" s="1"/>
  <c r="X24" i="25"/>
  <c r="T24" i="25"/>
  <c r="S24" i="25"/>
  <c r="O24" i="25"/>
  <c r="N24" i="25"/>
  <c r="M24" i="25"/>
  <c r="D24" i="25"/>
  <c r="C24" i="25"/>
  <c r="Q23" i="25"/>
  <c r="V23" i="25" s="1"/>
  <c r="P23" i="25"/>
  <c r="E23" i="25"/>
  <c r="L23" i="25" s="1"/>
  <c r="Q22" i="25"/>
  <c r="V22" i="25" s="1"/>
  <c r="P22" i="25"/>
  <c r="E22" i="25"/>
  <c r="L22" i="25" s="1"/>
  <c r="Q21" i="25"/>
  <c r="V21" i="25" s="1"/>
  <c r="P21" i="25"/>
  <c r="E21" i="25"/>
  <c r="L21" i="25" s="1"/>
  <c r="Q20" i="25"/>
  <c r="V20" i="25" s="1"/>
  <c r="P20" i="25"/>
  <c r="E20" i="25"/>
  <c r="L20" i="25" s="1"/>
  <c r="Q19" i="25"/>
  <c r="V19" i="25" s="1"/>
  <c r="P19" i="25"/>
  <c r="F14" i="24" s="1"/>
  <c r="E19" i="25"/>
  <c r="X17" i="25"/>
  <c r="T17" i="25"/>
  <c r="S17" i="25"/>
  <c r="O17" i="25"/>
  <c r="N17" i="25"/>
  <c r="M17" i="25"/>
  <c r="D17" i="25"/>
  <c r="C17" i="25"/>
  <c r="Q16" i="25"/>
  <c r="V16" i="25" s="1"/>
  <c r="P16" i="25"/>
  <c r="E16" i="25"/>
  <c r="L16" i="25" s="1"/>
  <c r="Q15" i="25"/>
  <c r="V15" i="25" s="1"/>
  <c r="P15" i="25"/>
  <c r="E15" i="25"/>
  <c r="L15" i="25" s="1"/>
  <c r="Q14" i="25"/>
  <c r="V14" i="25" s="1"/>
  <c r="P14" i="25"/>
  <c r="E14" i="25"/>
  <c r="L14" i="25" s="1"/>
  <c r="Q13" i="25"/>
  <c r="V13" i="25" s="1"/>
  <c r="P13" i="25"/>
  <c r="E13" i="25"/>
  <c r="L13" i="25" s="1"/>
  <c r="Q12" i="25"/>
  <c r="E12" i="25"/>
  <c r="H50" i="24"/>
  <c r="D50" i="24"/>
  <c r="C50" i="24"/>
  <c r="H49" i="24"/>
  <c r="D49" i="24"/>
  <c r="C49" i="24"/>
  <c r="H47" i="24"/>
  <c r="D47" i="24"/>
  <c r="C47" i="24"/>
  <c r="H46" i="24"/>
  <c r="D46" i="24"/>
  <c r="C46" i="24"/>
  <c r="H45" i="24"/>
  <c r="D45" i="24"/>
  <c r="C45" i="24"/>
  <c r="H44" i="24"/>
  <c r="D44" i="24"/>
  <c r="C44" i="24"/>
  <c r="H42" i="24"/>
  <c r="D42" i="24"/>
  <c r="C42" i="24"/>
  <c r="H41" i="24"/>
  <c r="D41" i="24"/>
  <c r="C41" i="24"/>
  <c r="H40" i="24"/>
  <c r="D40" i="24"/>
  <c r="C40" i="24"/>
  <c r="H39" i="24"/>
  <c r="D39" i="24"/>
  <c r="C39" i="24"/>
  <c r="G35" i="24"/>
  <c r="F35" i="24"/>
  <c r="B35" i="24"/>
  <c r="E35" i="24" s="1"/>
  <c r="G34" i="24"/>
  <c r="F34" i="24"/>
  <c r="B34" i="24"/>
  <c r="E34" i="24" s="1"/>
  <c r="H33" i="24"/>
  <c r="D33" i="24"/>
  <c r="C33" i="24"/>
  <c r="G32" i="24"/>
  <c r="F32" i="24"/>
  <c r="B32" i="24"/>
  <c r="E32" i="24" s="1"/>
  <c r="G31" i="24"/>
  <c r="F31" i="24"/>
  <c r="B31" i="24"/>
  <c r="E31" i="24" s="1"/>
  <c r="G30" i="24"/>
  <c r="F30" i="24"/>
  <c r="B30" i="24"/>
  <c r="E30" i="24" s="1"/>
  <c r="G29" i="24"/>
  <c r="B29" i="24"/>
  <c r="E29" i="24" s="1"/>
  <c r="H28" i="24"/>
  <c r="D28" i="24"/>
  <c r="C28" i="24"/>
  <c r="G27" i="24"/>
  <c r="F27" i="24"/>
  <c r="B27" i="24"/>
  <c r="E27" i="24" s="1"/>
  <c r="G26" i="24"/>
  <c r="F26" i="24"/>
  <c r="B26" i="24"/>
  <c r="E26" i="24" s="1"/>
  <c r="G25" i="24"/>
  <c r="F25" i="24"/>
  <c r="B25" i="24"/>
  <c r="E25" i="24" s="1"/>
  <c r="G24" i="24"/>
  <c r="F24" i="24"/>
  <c r="B24" i="24"/>
  <c r="B39" i="24" s="1"/>
  <c r="H23" i="24"/>
  <c r="D23" i="24"/>
  <c r="C23" i="24"/>
  <c r="G20" i="24"/>
  <c r="F20" i="24"/>
  <c r="B20" i="24"/>
  <c r="G19" i="24"/>
  <c r="F19" i="24"/>
  <c r="F49" i="24" s="1"/>
  <c r="B19" i="24"/>
  <c r="B49" i="24" s="1"/>
  <c r="H18" i="24"/>
  <c r="D18" i="24"/>
  <c r="C18" i="24"/>
  <c r="G17" i="24"/>
  <c r="F17" i="24"/>
  <c r="B17" i="24"/>
  <c r="G16" i="24"/>
  <c r="F16" i="24"/>
  <c r="B16" i="24"/>
  <c r="G15" i="24"/>
  <c r="F15" i="24"/>
  <c r="B15" i="24"/>
  <c r="G14" i="24"/>
  <c r="B14" i="24"/>
  <c r="H13" i="24"/>
  <c r="D13" i="24"/>
  <c r="C13" i="24"/>
  <c r="G12" i="24"/>
  <c r="F12" i="24"/>
  <c r="G11" i="24"/>
  <c r="F11" i="24"/>
  <c r="G10" i="24"/>
  <c r="F10" i="24"/>
  <c r="G9" i="24"/>
  <c r="F9" i="24"/>
  <c r="H8" i="24"/>
  <c r="D8" i="24"/>
  <c r="D38" i="24" s="1"/>
  <c r="C8" i="24"/>
  <c r="C38" i="24" l="1"/>
  <c r="F46" i="24"/>
  <c r="D36" i="24"/>
  <c r="D48" i="24"/>
  <c r="H36" i="24"/>
  <c r="H48" i="24"/>
  <c r="F29" i="24"/>
  <c r="F28" i="24" s="1"/>
  <c r="R22" i="25"/>
  <c r="Y22" i="25" s="1"/>
  <c r="X30" i="25"/>
  <c r="G40" i="24"/>
  <c r="B41" i="24"/>
  <c r="G49" i="24"/>
  <c r="B47" i="24"/>
  <c r="E47" i="24" s="1"/>
  <c r="B46" i="24"/>
  <c r="E46" i="24" s="1"/>
  <c r="C48" i="24"/>
  <c r="I24" i="24"/>
  <c r="G45" i="24"/>
  <c r="F40" i="24"/>
  <c r="D43" i="24"/>
  <c r="G41" i="24"/>
  <c r="C36" i="24"/>
  <c r="G39" i="24"/>
  <c r="H43" i="24"/>
  <c r="R19" i="25"/>
  <c r="Y19" i="25" s="1"/>
  <c r="R23" i="25"/>
  <c r="Y23" i="25" s="1"/>
  <c r="E17" i="25"/>
  <c r="L12" i="25"/>
  <c r="L17" i="25" s="1"/>
  <c r="E24" i="25"/>
  <c r="L19" i="25"/>
  <c r="L24" i="25" s="1"/>
  <c r="V24" i="25"/>
  <c r="L29" i="25"/>
  <c r="R21" i="25"/>
  <c r="Y21" i="25" s="1"/>
  <c r="S30" i="25"/>
  <c r="C30" i="25"/>
  <c r="F47" i="24"/>
  <c r="B50" i="24"/>
  <c r="I35" i="24"/>
  <c r="K35" i="24" s="1"/>
  <c r="F39" i="24"/>
  <c r="B42" i="24"/>
  <c r="B45" i="24"/>
  <c r="E45" i="24" s="1"/>
  <c r="F50" i="24"/>
  <c r="G42" i="24"/>
  <c r="F45" i="24"/>
  <c r="G50" i="24"/>
  <c r="F42" i="24"/>
  <c r="G47" i="24"/>
  <c r="B40" i="24"/>
  <c r="R20" i="25"/>
  <c r="Y20" i="25" s="1"/>
  <c r="Q24" i="25"/>
  <c r="I34" i="24"/>
  <c r="K34" i="24" s="1"/>
  <c r="G33" i="24"/>
  <c r="B44" i="24"/>
  <c r="E44" i="24" s="1"/>
  <c r="G23" i="24"/>
  <c r="F33" i="24"/>
  <c r="M30" i="25"/>
  <c r="Q17" i="25"/>
  <c r="F41" i="24"/>
  <c r="G46" i="24"/>
  <c r="O30" i="25"/>
  <c r="H38" i="24"/>
  <c r="E29" i="25"/>
  <c r="C43" i="24"/>
  <c r="G28" i="24"/>
  <c r="B23" i="24"/>
  <c r="V29" i="25"/>
  <c r="F23" i="24"/>
  <c r="E24" i="24"/>
  <c r="V12" i="25"/>
  <c r="V17" i="25" s="1"/>
  <c r="N30" i="25"/>
  <c r="T30" i="25"/>
  <c r="R26" i="25"/>
  <c r="Y26" i="25" s="1"/>
  <c r="R27" i="25"/>
  <c r="Y27" i="25" s="1"/>
  <c r="R28" i="25"/>
  <c r="Y28" i="25" s="1"/>
  <c r="Q29" i="25"/>
  <c r="G13" i="24"/>
  <c r="G18" i="24"/>
  <c r="R12" i="25"/>
  <c r="Y12" i="25" s="1"/>
  <c r="R13" i="25"/>
  <c r="Y13" i="25" s="1"/>
  <c r="R14" i="25"/>
  <c r="Y14" i="25" s="1"/>
  <c r="R15" i="25"/>
  <c r="Y15" i="25" s="1"/>
  <c r="R16" i="25"/>
  <c r="Y16" i="25" s="1"/>
  <c r="D30" i="25"/>
  <c r="G44" i="24"/>
  <c r="I31" i="24"/>
  <c r="K31" i="24" s="1"/>
  <c r="I30" i="24"/>
  <c r="K30" i="24" s="1"/>
  <c r="G8" i="24"/>
  <c r="I32" i="24"/>
  <c r="J32" i="24" s="1"/>
  <c r="B13" i="24"/>
  <c r="I9" i="24"/>
  <c r="E17" i="24"/>
  <c r="E20" i="24"/>
  <c r="E50" i="24" s="1"/>
  <c r="B33" i="24"/>
  <c r="I26" i="24"/>
  <c r="J26" i="24" s="1"/>
  <c r="I27" i="24"/>
  <c r="J27" i="24" s="1"/>
  <c r="E10" i="24"/>
  <c r="E40" i="24" s="1"/>
  <c r="F13" i="24"/>
  <c r="E14" i="24"/>
  <c r="I19" i="24"/>
  <c r="E9" i="24"/>
  <c r="B8" i="24"/>
  <c r="F8" i="24"/>
  <c r="I11" i="24"/>
  <c r="E12" i="24"/>
  <c r="I14" i="24"/>
  <c r="E15" i="24"/>
  <c r="B18" i="24"/>
  <c r="F18" i="24"/>
  <c r="I10" i="24"/>
  <c r="E11" i="24"/>
  <c r="I17" i="24"/>
  <c r="I20" i="24"/>
  <c r="C21" i="24"/>
  <c r="I25" i="24"/>
  <c r="J25" i="24" s="1"/>
  <c r="I16" i="24"/>
  <c r="D21" i="24"/>
  <c r="H21" i="24"/>
  <c r="E33" i="24"/>
  <c r="I12" i="24"/>
  <c r="I15" i="24"/>
  <c r="E16" i="24"/>
  <c r="E19" i="24"/>
  <c r="E28" i="24"/>
  <c r="B28" i="24"/>
  <c r="U12" i="25"/>
  <c r="U13" i="25"/>
  <c r="W13" i="25" s="1"/>
  <c r="U14" i="25"/>
  <c r="W14" i="25" s="1"/>
  <c r="U15" i="25"/>
  <c r="W15" i="25" s="1"/>
  <c r="U16" i="25"/>
  <c r="W16" i="25" s="1"/>
  <c r="U19" i="25"/>
  <c r="U20" i="25"/>
  <c r="W20" i="25" s="1"/>
  <c r="U21" i="25"/>
  <c r="W21" i="25" s="1"/>
  <c r="U22" i="25"/>
  <c r="W22" i="25" s="1"/>
  <c r="U23" i="25"/>
  <c r="W23" i="25" s="1"/>
  <c r="U26" i="25"/>
  <c r="U27" i="25"/>
  <c r="W27" i="25" s="1"/>
  <c r="U28" i="25"/>
  <c r="W28" i="25" s="1"/>
  <c r="P17" i="25"/>
  <c r="P24" i="25"/>
  <c r="P29" i="25"/>
  <c r="I46" i="24" l="1"/>
  <c r="C51" i="24"/>
  <c r="D51" i="24"/>
  <c r="F44" i="24"/>
  <c r="I44" i="24" s="1"/>
  <c r="I29" i="24"/>
  <c r="J29" i="24" s="1"/>
  <c r="J24" i="24"/>
  <c r="J23" i="24" s="1"/>
  <c r="I39" i="24"/>
  <c r="E30" i="25"/>
  <c r="J46" i="24"/>
  <c r="Y24" i="25"/>
  <c r="J35" i="24"/>
  <c r="B21" i="24"/>
  <c r="R24" i="25"/>
  <c r="H51" i="24"/>
  <c r="C9" i="3"/>
  <c r="C9" i="2"/>
  <c r="F36" i="24"/>
  <c r="I45" i="24"/>
  <c r="K45" i="24" s="1"/>
  <c r="E23" i="24"/>
  <c r="E36" i="24" s="1"/>
  <c r="G48" i="24"/>
  <c r="I47" i="24"/>
  <c r="J47" i="24" s="1"/>
  <c r="V30" i="25"/>
  <c r="G36" i="24"/>
  <c r="L30" i="25"/>
  <c r="G38" i="24"/>
  <c r="K10" i="24"/>
  <c r="B43" i="24"/>
  <c r="J30" i="24"/>
  <c r="F48" i="24"/>
  <c r="I49" i="24"/>
  <c r="G21" i="24"/>
  <c r="I33" i="24"/>
  <c r="K33" i="24" s="1"/>
  <c r="J34" i="24"/>
  <c r="Q30" i="25"/>
  <c r="B36" i="24"/>
  <c r="Y29" i="25"/>
  <c r="Y17" i="25"/>
  <c r="G43" i="24"/>
  <c r="J17" i="24"/>
  <c r="R17" i="25"/>
  <c r="J31" i="24"/>
  <c r="J15" i="24"/>
  <c r="R29" i="25"/>
  <c r="B48" i="24"/>
  <c r="K32" i="24"/>
  <c r="K26" i="24"/>
  <c r="I28" i="24"/>
  <c r="K46" i="24"/>
  <c r="K25" i="24"/>
  <c r="K16" i="24"/>
  <c r="K17" i="24"/>
  <c r="K27" i="24"/>
  <c r="I50" i="24"/>
  <c r="I18" i="24"/>
  <c r="J20" i="24"/>
  <c r="E41" i="24"/>
  <c r="K14" i="24"/>
  <c r="J14" i="24"/>
  <c r="I13" i="24"/>
  <c r="I41" i="24"/>
  <c r="J11" i="24"/>
  <c r="J41" i="24" s="1"/>
  <c r="E39" i="24"/>
  <c r="E8" i="24"/>
  <c r="U29" i="25"/>
  <c r="W26" i="25"/>
  <c r="W29" i="25" s="1"/>
  <c r="K20" i="24"/>
  <c r="J16" i="24"/>
  <c r="I40" i="24"/>
  <c r="J10" i="24"/>
  <c r="J40" i="24" s="1"/>
  <c r="F38" i="24"/>
  <c r="F21" i="24"/>
  <c r="I8" i="24"/>
  <c r="I23" i="24"/>
  <c r="P30" i="25"/>
  <c r="U24" i="25"/>
  <c r="W19" i="25"/>
  <c r="W24" i="25" s="1"/>
  <c r="E49" i="24"/>
  <c r="J19" i="24"/>
  <c r="E18" i="24"/>
  <c r="K19" i="24"/>
  <c r="I42" i="24"/>
  <c r="J12" i="24"/>
  <c r="J42" i="24" s="1"/>
  <c r="E43" i="24"/>
  <c r="B38" i="24"/>
  <c r="U17" i="25"/>
  <c r="W12" i="25"/>
  <c r="W17" i="25" s="1"/>
  <c r="K15" i="24"/>
  <c r="E13" i="24"/>
  <c r="E42" i="24"/>
  <c r="K12" i="24"/>
  <c r="J9" i="24"/>
  <c r="K9" i="24" s="1"/>
  <c r="K24" i="24" l="1"/>
  <c r="F43" i="24"/>
  <c r="F51" i="24" s="1"/>
  <c r="J50" i="24"/>
  <c r="K29" i="24"/>
  <c r="J33" i="24"/>
  <c r="J36" i="24" s="1"/>
  <c r="B8" i="2"/>
  <c r="K44" i="24"/>
  <c r="J44" i="24"/>
  <c r="B8" i="3"/>
  <c r="K11" i="24"/>
  <c r="K40" i="24"/>
  <c r="B9" i="2"/>
  <c r="B9" i="3"/>
  <c r="I43" i="24"/>
  <c r="C8" i="3"/>
  <c r="C8" i="2"/>
  <c r="J45" i="24"/>
  <c r="K47" i="24"/>
  <c r="J28" i="24"/>
  <c r="K28" i="24" s="1"/>
  <c r="B51" i="24"/>
  <c r="G51" i="24"/>
  <c r="Y30" i="25"/>
  <c r="I36" i="24"/>
  <c r="I48" i="24"/>
  <c r="R30" i="25"/>
  <c r="K23" i="24"/>
  <c r="K50" i="24"/>
  <c r="K42" i="24"/>
  <c r="K49" i="24"/>
  <c r="W30" i="25"/>
  <c r="K41" i="24"/>
  <c r="E48" i="24"/>
  <c r="K18" i="24"/>
  <c r="K13" i="24"/>
  <c r="U30" i="25"/>
  <c r="J49" i="24"/>
  <c r="J18" i="24"/>
  <c r="J48" i="24" s="1"/>
  <c r="J39" i="24"/>
  <c r="K39" i="24" s="1"/>
  <c r="J8" i="24"/>
  <c r="E38" i="24"/>
  <c r="E21" i="24"/>
  <c r="I38" i="24"/>
  <c r="I21" i="24"/>
  <c r="J13" i="24"/>
  <c r="J43" i="24" l="1"/>
  <c r="K43" i="24"/>
  <c r="C10" i="2"/>
  <c r="C12" i="2" s="1"/>
  <c r="C10" i="3"/>
  <c r="C12" i="3" s="1"/>
  <c r="B10" i="2"/>
  <c r="B12" i="2" s="1"/>
  <c r="B10" i="3"/>
  <c r="B12" i="3" s="1"/>
  <c r="K48" i="24"/>
  <c r="I51" i="24"/>
  <c r="I53" i="24" s="1"/>
  <c r="K36" i="24"/>
  <c r="E51" i="24"/>
  <c r="E53" i="24" s="1"/>
  <c r="J38" i="24"/>
  <c r="J51" i="24" s="1"/>
  <c r="J21" i="24"/>
  <c r="K21" i="24" s="1"/>
  <c r="K8" i="24"/>
  <c r="K38" i="24" l="1"/>
  <c r="K51" i="24"/>
  <c r="E55" i="24" s="1"/>
  <c r="J3" i="23" l="1"/>
  <c r="A4" i="23"/>
  <c r="A3" i="23"/>
  <c r="H3" i="22" l="1"/>
  <c r="E3" i="22"/>
  <c r="A4" i="22"/>
  <c r="A3" i="22"/>
  <c r="A4" i="3" l="1"/>
  <c r="C3" i="3"/>
  <c r="B3" i="3"/>
  <c r="A3" i="3"/>
  <c r="C3" i="2"/>
  <c r="B3" i="2"/>
  <c r="A4" i="2"/>
  <c r="A3" i="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 ref="A13" authorId="0" shapeId="0">
      <text>
        <r>
          <rPr>
            <b/>
            <sz val="9"/>
            <color indexed="81"/>
            <rFont val="宋体"/>
            <family val="3"/>
            <charset val="134"/>
          </rPr>
          <t>技术部:</t>
        </r>
        <r>
          <rPr>
            <sz val="9"/>
            <color indexed="81"/>
            <rFont val="宋体"/>
            <family val="3"/>
            <charset val="134"/>
          </rPr>
          <t xml:space="preserve">
如通不过SPPI测试的投资</t>
        </r>
      </text>
    </comment>
    <comment ref="A18" authorId="0" shapeId="0">
      <text>
        <r>
          <rPr>
            <b/>
            <sz val="9"/>
            <color indexed="81"/>
            <rFont val="宋体"/>
            <family val="3"/>
            <charset val="134"/>
          </rPr>
          <t>技术部:</t>
        </r>
        <r>
          <rPr>
            <sz val="9"/>
            <color indexed="81"/>
            <rFont val="宋体"/>
            <family val="3"/>
            <charset val="134"/>
          </rPr>
          <t xml:space="preserve">
在初始确认时，如果</t>
        </r>
        <r>
          <rPr>
            <b/>
            <sz val="9"/>
            <color indexed="81"/>
            <rFont val="宋体"/>
            <family val="3"/>
            <charset val="134"/>
          </rPr>
          <t>能够消除或显著减少会计错配</t>
        </r>
        <r>
          <rPr>
            <sz val="9"/>
            <color indexed="81"/>
            <rFont val="宋体"/>
            <family val="3"/>
            <charset val="134"/>
          </rPr>
          <t>，企业可以将金融资产指定为以公允价值计量且其变动计入当期损益的金融资产。该指定一经做出，不得撤销。</t>
        </r>
      </text>
    </comment>
    <comment ref="A28" authorId="0" shapeId="0">
      <text>
        <r>
          <rPr>
            <b/>
            <sz val="9"/>
            <color indexed="81"/>
            <rFont val="宋体"/>
            <family val="3"/>
            <charset val="134"/>
          </rPr>
          <t>技术部:</t>
        </r>
        <r>
          <rPr>
            <sz val="9"/>
            <color indexed="81"/>
            <rFont val="宋体"/>
            <family val="3"/>
            <charset val="134"/>
          </rPr>
          <t xml:space="preserve">
如通不过SPPI测试的投资</t>
        </r>
      </text>
    </comment>
    <comment ref="A43" authorId="0" shapeId="0">
      <text>
        <r>
          <rPr>
            <b/>
            <sz val="9"/>
            <color indexed="81"/>
            <rFont val="宋体"/>
            <family val="3"/>
            <charset val="134"/>
          </rPr>
          <t>技术部:</t>
        </r>
        <r>
          <rPr>
            <sz val="9"/>
            <color indexed="81"/>
            <rFont val="宋体"/>
            <family val="3"/>
            <charset val="134"/>
          </rPr>
          <t xml:space="preserve">
如通不过SPPI测试的投资</t>
        </r>
      </text>
    </comment>
    <comment ref="A48" authorId="0" shapeId="0">
      <text>
        <r>
          <rPr>
            <b/>
            <sz val="9"/>
            <color indexed="81"/>
            <rFont val="宋体"/>
            <family val="3"/>
            <charset val="134"/>
          </rPr>
          <t>技术部:</t>
        </r>
        <r>
          <rPr>
            <sz val="9"/>
            <color indexed="81"/>
            <rFont val="宋体"/>
            <family val="3"/>
            <charset val="134"/>
          </rPr>
          <t xml:space="preserve">
在初始确认时，如果</t>
        </r>
        <r>
          <rPr>
            <b/>
            <sz val="9"/>
            <color indexed="81"/>
            <rFont val="宋体"/>
            <family val="3"/>
            <charset val="134"/>
          </rPr>
          <t>能够消除或显著减少会计错配</t>
        </r>
        <r>
          <rPr>
            <sz val="9"/>
            <color indexed="81"/>
            <rFont val="宋体"/>
            <family val="3"/>
            <charset val="134"/>
          </rPr>
          <t>，企业可以将金融资产指定为以公允价值计量且其变动计入当期损益的金融资产。该指定一经做出，不得撤销。</t>
        </r>
      </text>
    </comment>
  </commentList>
</comments>
</file>

<file path=xl/comments3.xml><?xml version="1.0" encoding="utf-8"?>
<comments xmlns="http://schemas.openxmlformats.org/spreadsheetml/2006/main">
  <authors>
    <author>Windows 用户</author>
  </authors>
  <commentList>
    <comment ref="A9" authorId="0" shapeId="0">
      <text>
        <r>
          <rPr>
            <b/>
            <sz val="9"/>
            <color indexed="81"/>
            <rFont val="宋体"/>
            <family val="3"/>
            <charset val="134"/>
          </rPr>
          <t>技术部:</t>
        </r>
        <r>
          <rPr>
            <sz val="9"/>
            <color indexed="81"/>
            <rFont val="宋体"/>
            <family val="3"/>
            <charset val="134"/>
          </rPr>
          <t xml:space="preserve">
债务工具投资、权益工具投资、衍生金融资产、其他</t>
        </r>
      </text>
    </comment>
  </commentList>
</comments>
</file>

<file path=xl/sharedStrings.xml><?xml version="1.0" encoding="utf-8"?>
<sst xmlns="http://schemas.openxmlformats.org/spreadsheetml/2006/main" count="556" uniqueCount="425">
  <si>
    <t>索引号：</t>
  </si>
  <si>
    <t>期末公允价值</t>
  </si>
  <si>
    <t>（2）拟调整事项及其调整分录、未调整事项及其影响，审计范围受到限制情况及其影响。</t>
  </si>
  <si>
    <t>1、概述：（1）程序的测试情况、结果；</t>
  </si>
  <si>
    <t>底稿开列时，可先在以下单元格填写有关内容，以便其他底稿引用有关数据：</t>
    <phoneticPr fontId="8" type="noConversion"/>
  </si>
  <si>
    <t>编制人：</t>
    <phoneticPr fontId="8" type="noConversion"/>
  </si>
  <si>
    <t>附注披露信息（国企）</t>
    <phoneticPr fontId="8" type="noConversion"/>
  </si>
  <si>
    <t>附注披露信息</t>
    <phoneticPr fontId="8" type="noConversion"/>
  </si>
  <si>
    <t>项  目</t>
  </si>
  <si>
    <r>
      <rPr>
        <sz val="12"/>
        <rFont val="仿宋_GB2312"/>
        <family val="3"/>
        <charset val="134"/>
      </rPr>
      <t>附注披露信息</t>
    </r>
    <phoneticPr fontId="8" type="noConversion"/>
  </si>
  <si>
    <t>指定为以公允价值计量且其变动计入当期损益的金融资产</t>
    <phoneticPr fontId="4" type="noConversion"/>
  </si>
  <si>
    <t>其中：债务工具投资</t>
    <phoneticPr fontId="4" type="noConversion"/>
  </si>
  <si>
    <t>无需打印</t>
    <phoneticPr fontId="4" type="noConversion"/>
  </si>
  <si>
    <t xml:space="preserve">     权益工具投资</t>
    <phoneticPr fontId="4" type="noConversion"/>
  </si>
  <si>
    <t xml:space="preserve">     衍生金融资产</t>
    <phoneticPr fontId="4" type="noConversion"/>
  </si>
  <si>
    <t xml:space="preserve">     其他</t>
    <phoneticPr fontId="4" type="noConversion"/>
  </si>
  <si>
    <t>公允价值变动小计</t>
    <phoneticPr fontId="4" type="noConversion"/>
  </si>
  <si>
    <t>（三）账面余额（公允价值）</t>
    <phoneticPr fontId="8" type="noConversion"/>
  </si>
  <si>
    <t>三、审计说明：</t>
    <phoneticPr fontId="8" type="noConversion"/>
  </si>
  <si>
    <t>四、审计结论：</t>
    <phoneticPr fontId="8" type="noConversion"/>
  </si>
  <si>
    <t>（二）累计公允价值变动</t>
    <phoneticPr fontId="8" type="noConversion"/>
  </si>
  <si>
    <t>致同会计师事务所</t>
    <phoneticPr fontId="4" type="noConversion"/>
  </si>
  <si>
    <t>一、审计目标</t>
    <phoneticPr fontId="4" type="noConversion"/>
  </si>
  <si>
    <t>公允价值</t>
    <phoneticPr fontId="4" type="noConversion"/>
  </si>
  <si>
    <r>
      <t>了解专家资质及利用估值专家的工作详见：</t>
    </r>
    <r>
      <rPr>
        <sz val="10"/>
        <color rgb="FFFF0000"/>
        <rFont val="宋体"/>
        <family val="3"/>
        <charset val="134"/>
      </rPr>
      <t>B21、C25、S12、S13</t>
    </r>
    <phoneticPr fontId="4" type="noConversion"/>
  </si>
  <si>
    <t>编制说明：</t>
    <phoneticPr fontId="8" type="noConversion"/>
  </si>
  <si>
    <r>
      <t>参考结论：</t>
    </r>
    <r>
      <rPr>
        <sz val="12"/>
        <rFont val="Arial Narrow"/>
        <family val="2"/>
      </rPr>
      <t/>
    </r>
    <phoneticPr fontId="8" type="noConversion"/>
  </si>
  <si>
    <r>
      <t>A</t>
    </r>
    <r>
      <rPr>
        <sz val="10"/>
        <color indexed="12"/>
        <rFont val="宋体"/>
        <family val="3"/>
        <charset val="134"/>
      </rPr>
      <t>、</t>
    </r>
    <phoneticPr fontId="8" type="noConversion"/>
  </si>
  <si>
    <t>未见异常。</t>
    <phoneticPr fontId="8" type="noConversion"/>
  </si>
  <si>
    <r>
      <t>B</t>
    </r>
    <r>
      <rPr>
        <sz val="10"/>
        <color indexed="12"/>
        <rFont val="宋体"/>
        <family val="3"/>
        <charset val="134"/>
      </rPr>
      <t>、</t>
    </r>
    <phoneticPr fontId="8" type="noConversion"/>
  </si>
  <si>
    <t>除以下重大不符事项应当作为调整事项予以调整外，其余未见异常。</t>
    <phoneticPr fontId="8" type="noConversion"/>
  </si>
  <si>
    <r>
      <t>C</t>
    </r>
    <r>
      <rPr>
        <sz val="10"/>
        <color indexed="12"/>
        <rFont val="宋体"/>
        <family val="3"/>
        <charset val="134"/>
      </rPr>
      <t>、</t>
    </r>
    <phoneticPr fontId="8" type="noConversion"/>
  </si>
  <si>
    <t>由于存在以下重大未调整事项（或审计范围受到限制无法获取充分、适当证据），不可确认。</t>
    <phoneticPr fontId="8" type="noConversion"/>
  </si>
  <si>
    <r>
      <rPr>
        <b/>
        <sz val="10"/>
        <rFont val="宋体"/>
        <family val="3"/>
        <charset val="134"/>
      </rPr>
      <t>五、审计结论：</t>
    </r>
    <phoneticPr fontId="8" type="noConversion"/>
  </si>
  <si>
    <r>
      <rPr>
        <i/>
        <sz val="10"/>
        <color indexed="12"/>
        <rFont val="宋体"/>
        <family val="3"/>
        <charset val="134"/>
      </rPr>
      <t>编制说明：</t>
    </r>
    <phoneticPr fontId="8" type="noConversion"/>
  </si>
  <si>
    <r>
      <rPr>
        <b/>
        <sz val="10"/>
        <color indexed="12"/>
        <rFont val="宋体"/>
        <family val="3"/>
        <charset val="134"/>
      </rPr>
      <t>参考结论：</t>
    </r>
    <r>
      <rPr>
        <sz val="12"/>
        <rFont val="Arial Narrow"/>
        <family val="2"/>
      </rPr>
      <t/>
    </r>
    <phoneticPr fontId="8" type="noConversion"/>
  </si>
  <si>
    <r>
      <rPr>
        <sz val="10"/>
        <color indexed="12"/>
        <rFont val="宋体"/>
        <family val="3"/>
        <charset val="134"/>
      </rPr>
      <t>未见异常。</t>
    </r>
    <phoneticPr fontId="8" type="noConversion"/>
  </si>
  <si>
    <r>
      <rPr>
        <sz val="10"/>
        <color indexed="12"/>
        <rFont val="宋体"/>
        <family val="3"/>
        <charset val="134"/>
      </rPr>
      <t>除以下重大不符事项应当作为调整事项予以调整外，其余未见异常。</t>
    </r>
    <phoneticPr fontId="8" type="noConversion"/>
  </si>
  <si>
    <r>
      <rPr>
        <sz val="10"/>
        <color indexed="12"/>
        <rFont val="宋体"/>
        <family val="3"/>
        <charset val="134"/>
      </rPr>
      <t>由于存在以下重大未调整事项（或审计范围受到限制无法获取充分、适当证据），不可确认。</t>
    </r>
    <phoneticPr fontId="8" type="noConversion"/>
  </si>
  <si>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</si>
  <si>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phoneticPr fontId="8" type="noConversion"/>
  </si>
  <si>
    <r>
      <rPr>
        <sz val="10"/>
        <color indexed="12"/>
        <rFont val="宋体"/>
        <family val="3"/>
        <charset val="134"/>
      </rPr>
      <t>当存在下列情形之一时，注册会计师应当考虑选取全部项目进行测试：</t>
    </r>
    <phoneticPr fontId="8" type="noConversion"/>
  </si>
  <si>
    <r>
      <rPr>
        <sz val="10"/>
        <color indexed="12"/>
        <rFont val="宋体"/>
        <family val="3"/>
        <charset val="134"/>
      </rPr>
      <t>（一）总体由少量的大额项目构成；</t>
    </r>
    <phoneticPr fontId="8" type="noConversion"/>
  </si>
  <si>
    <r>
      <rPr>
        <sz val="10"/>
        <color indexed="12"/>
        <rFont val="宋体"/>
        <family val="3"/>
        <charset val="134"/>
      </rPr>
      <t>（二）存在特别风险且其他方法未提供充分、适当的审计证据；</t>
    </r>
    <phoneticPr fontId="8" type="noConversion"/>
  </si>
  <si>
    <r>
      <rPr>
        <sz val="10"/>
        <color indexed="12"/>
        <rFont val="宋体"/>
        <family val="3"/>
        <charset val="134"/>
      </rPr>
      <t>（三）由于信息系统自动执行的计算或其他程序具有重复性，对全部项目进行检查符合成本效益原则。</t>
    </r>
    <phoneticPr fontId="8" type="noConversion"/>
  </si>
  <si>
    <r>
      <rPr>
        <b/>
        <sz val="10"/>
        <color indexed="12"/>
        <rFont val="宋体"/>
        <family val="3"/>
        <charset val="134"/>
      </rPr>
      <t>特别风险涉及的事项包括但不限于：</t>
    </r>
    <r>
      <rPr>
        <sz val="10"/>
        <color indexed="12"/>
        <rFont val="Arial Narrow"/>
        <family val="2"/>
      </rPr>
      <t/>
    </r>
    <phoneticPr fontId="8"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</si>
  <si>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</si>
  <si>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</si>
  <si>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</si>
  <si>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8"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</si>
  <si>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8" type="noConversion"/>
  </si>
  <si>
    <r>
      <rPr>
        <sz val="10"/>
        <color indexed="12"/>
        <rFont val="宋体"/>
        <family val="3"/>
        <charset val="134"/>
      </rPr>
      <t>选取的特定项目可能包括：</t>
    </r>
  </si>
  <si>
    <r>
      <rPr>
        <sz val="10"/>
        <color indexed="12"/>
        <rFont val="宋体"/>
        <family val="3"/>
        <charset val="134"/>
      </rPr>
      <t>（一）大额或关键项目；</t>
    </r>
    <phoneticPr fontId="8" type="noConversion"/>
  </si>
  <si>
    <r>
      <rPr>
        <sz val="10"/>
        <color indexed="12"/>
        <rFont val="宋体"/>
        <family val="3"/>
        <charset val="134"/>
      </rPr>
      <t>（二）超过某一金额的全部项目；</t>
    </r>
    <phoneticPr fontId="8" type="noConversion"/>
  </si>
  <si>
    <r>
      <rPr>
        <sz val="10"/>
        <color indexed="12"/>
        <rFont val="宋体"/>
        <family val="3"/>
        <charset val="134"/>
      </rPr>
      <t>（三）被用于获取某些信息的项目；</t>
    </r>
    <phoneticPr fontId="8" type="noConversion"/>
  </si>
  <si>
    <r>
      <rPr>
        <sz val="10"/>
        <color indexed="12"/>
        <rFont val="宋体"/>
        <family val="3"/>
        <charset val="134"/>
      </rPr>
      <t>（四）被用于测试控制活动的项目。</t>
    </r>
    <phoneticPr fontId="8" type="noConversion"/>
  </si>
  <si>
    <r>
      <rPr>
        <sz val="10"/>
        <color indexed="12"/>
        <rFont val="宋体"/>
        <family val="3"/>
        <charset val="134"/>
      </rPr>
      <t>根据判断选取特定项目，容易产生非抽样风险。</t>
    </r>
    <phoneticPr fontId="8" type="noConversion"/>
  </si>
  <si>
    <r>
      <rPr>
        <sz val="10"/>
        <color indexed="12"/>
        <rFont val="宋体"/>
        <family val="3"/>
        <charset val="134"/>
      </rPr>
      <t>选取特定项目实施检查，通常是获取审计证据的有效手段，但并不构成审计抽样。</t>
    </r>
    <phoneticPr fontId="8"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</si>
  <si>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8"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</si>
  <si>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</si>
  <si>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</si>
  <si>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8"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</si>
  <si>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8"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</si>
  <si>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</si>
  <si>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8" type="noConversion"/>
  </si>
  <si>
    <r>
      <rPr>
        <sz val="10"/>
        <color indexed="12"/>
        <rFont val="宋体"/>
        <family val="3"/>
        <charset val="134"/>
      </rPr>
      <t>（二）运用概率论评价样本结果，包括计量抽样风险。</t>
    </r>
    <phoneticPr fontId="8" type="noConversion"/>
  </si>
  <si>
    <r>
      <rPr>
        <sz val="10"/>
        <color indexed="12"/>
        <rFont val="宋体"/>
        <family val="3"/>
        <charset val="134"/>
      </rPr>
      <t>不同时具备上述两个特征的抽样方法为非统计抽样。</t>
    </r>
    <phoneticPr fontId="8"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</si>
  <si>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8" type="noConversion"/>
  </si>
  <si>
    <r>
      <rPr>
        <sz val="10"/>
        <color indexed="12"/>
        <rFont val="宋体"/>
        <family val="3"/>
        <charset val="134"/>
      </rPr>
      <t>即在测试存在性时，选择大额项目的效率较高。</t>
    </r>
    <phoneticPr fontId="8"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</si>
  <si>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8"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</si>
  <si>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8" type="noConversion"/>
  </si>
  <si>
    <r>
      <rPr>
        <sz val="10"/>
        <color indexed="12"/>
        <rFont val="宋体"/>
        <family val="3"/>
        <charset val="134"/>
      </rPr>
      <t>在统计抽样中，注册会计师应当随机选取样本项目，以使每一抽样单元以已知的机会被选中。</t>
    </r>
    <phoneticPr fontId="8" type="noConversion"/>
  </si>
  <si>
    <r>
      <rPr>
        <sz val="10"/>
        <color indexed="12"/>
        <rFont val="宋体"/>
        <family val="3"/>
        <charset val="134"/>
      </rPr>
      <t>在非统计抽样中，注册会计师应当运用职业判断选取样本项目。</t>
    </r>
    <phoneticPr fontId="8" type="noConversion"/>
  </si>
  <si>
    <r>
      <rPr>
        <sz val="10"/>
        <color indexed="12"/>
        <rFont val="宋体"/>
        <family val="3"/>
        <charset val="134"/>
      </rPr>
      <t>注册会计师可以使用统计学公式或运用职业判断，确定样本规模。</t>
    </r>
    <phoneticPr fontId="8"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</si>
  <si>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8"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</si>
  <si>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8" type="noConversion"/>
  </si>
  <si>
    <r>
      <rPr>
        <b/>
        <sz val="10"/>
        <color indexed="12"/>
        <rFont val="宋体"/>
        <family val="3"/>
        <charset val="134"/>
      </rPr>
      <t>预计错报的扩展系数</t>
    </r>
    <phoneticPr fontId="8"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</si>
  <si>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</si>
  <si>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</si>
  <si>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其他非流动金融资产审定表</t>
    <phoneticPr fontId="8" type="noConversion"/>
  </si>
  <si>
    <t>投资成本小计</t>
    <phoneticPr fontId="4" type="noConversion"/>
  </si>
  <si>
    <t>其他非流动金融资产</t>
    <phoneticPr fontId="4" type="noConversion"/>
  </si>
  <si>
    <t>其他非流动金融资产明细表</t>
    <phoneticPr fontId="8" type="noConversion"/>
  </si>
  <si>
    <t>确定被审计单位其他非流动金融资产以公允价值计量。</t>
    <phoneticPr fontId="4"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</si>
  <si>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</si>
  <si>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</si>
  <si>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</si>
  <si>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</si>
  <si>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</si>
  <si>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</si>
  <si>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</si>
  <si>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8" type="noConversion"/>
  </si>
  <si>
    <t>项目</t>
    <phoneticPr fontId="8" type="noConversion"/>
  </si>
  <si>
    <r>
      <rPr>
        <b/>
        <sz val="10"/>
        <rFont val="宋体"/>
        <family val="3"/>
        <charset val="134"/>
      </rPr>
      <t>期初数</t>
    </r>
    <phoneticPr fontId="8" type="noConversion"/>
  </si>
  <si>
    <r>
      <rPr>
        <b/>
        <sz val="10"/>
        <rFont val="宋体"/>
        <family val="3"/>
        <charset val="134"/>
      </rPr>
      <t>期末数</t>
    </r>
    <phoneticPr fontId="8" type="noConversion"/>
  </si>
  <si>
    <t>本期与上期审定数比较</t>
    <phoneticPr fontId="8" type="noConversion"/>
  </si>
  <si>
    <r>
      <rPr>
        <b/>
        <sz val="10"/>
        <color indexed="8"/>
        <rFont val="宋体"/>
        <family val="3"/>
        <charset val="134"/>
      </rPr>
      <t>原因分析</t>
    </r>
    <phoneticPr fontId="8" type="noConversion"/>
  </si>
  <si>
    <r>
      <rPr>
        <b/>
        <sz val="10"/>
        <rFont val="宋体"/>
        <family val="3"/>
        <charset val="134"/>
      </rPr>
      <t>未审数</t>
    </r>
    <phoneticPr fontId="8" type="noConversion"/>
  </si>
  <si>
    <r>
      <rPr>
        <b/>
        <sz val="10"/>
        <rFont val="宋体"/>
        <family val="3"/>
        <charset val="134"/>
      </rPr>
      <t>账项调整</t>
    </r>
    <phoneticPr fontId="8" type="noConversion"/>
  </si>
  <si>
    <r>
      <rPr>
        <b/>
        <sz val="10"/>
        <rFont val="宋体"/>
        <family val="3"/>
        <charset val="134"/>
      </rPr>
      <t>重分类调整</t>
    </r>
    <phoneticPr fontId="8" type="noConversion"/>
  </si>
  <si>
    <r>
      <rPr>
        <b/>
        <sz val="10"/>
        <rFont val="宋体"/>
        <family val="3"/>
        <charset val="134"/>
      </rPr>
      <t>审定数</t>
    </r>
    <phoneticPr fontId="8" type="noConversion"/>
  </si>
  <si>
    <r>
      <rPr>
        <b/>
        <sz val="10"/>
        <rFont val="宋体"/>
        <family val="3"/>
        <charset val="134"/>
      </rPr>
      <t>变动额</t>
    </r>
    <phoneticPr fontId="8" type="noConversion"/>
  </si>
  <si>
    <r>
      <rPr>
        <b/>
        <sz val="10"/>
        <color indexed="8"/>
        <rFont val="宋体"/>
        <family val="3"/>
        <charset val="134"/>
      </rPr>
      <t>变动率</t>
    </r>
    <phoneticPr fontId="8" type="noConversion"/>
  </si>
  <si>
    <t>（一）投资成本</t>
    <phoneticPr fontId="8" type="noConversion"/>
  </si>
  <si>
    <t>划分为以公允价值计量且其变动计入当期损益的金融资产</t>
    <phoneticPr fontId="4" type="noConversion"/>
  </si>
  <si>
    <t>账面余额（公允价值）合计</t>
    <phoneticPr fontId="4" type="noConversion"/>
  </si>
  <si>
    <r>
      <t>1</t>
    </r>
    <r>
      <rPr>
        <b/>
        <sz val="10"/>
        <rFont val="宋体"/>
        <family val="3"/>
        <charset val="134"/>
      </rPr>
      <t>、审计说明</t>
    </r>
    <r>
      <rPr>
        <sz val="10"/>
        <color indexed="12"/>
        <rFont val="宋体"/>
        <family val="3"/>
        <charset val="134"/>
      </rPr>
      <t/>
    </r>
    <phoneticPr fontId="8" type="noConversion"/>
  </si>
  <si>
    <r>
      <t>2</t>
    </r>
    <r>
      <rPr>
        <b/>
        <sz val="10"/>
        <rFont val="宋体"/>
        <family val="3"/>
        <charset val="134"/>
      </rPr>
      <t>、审计结论</t>
    </r>
    <phoneticPr fontId="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</si>
  <si>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8" type="noConversion"/>
  </si>
  <si>
    <r>
      <rPr>
        <sz val="10"/>
        <rFont val="宋体"/>
        <family val="3"/>
        <charset val="134"/>
      </rPr>
      <t>（</t>
    </r>
    <r>
      <rPr>
        <sz val="10"/>
        <rFont val="Arial Narrow"/>
        <family val="2"/>
      </rPr>
      <t>2</t>
    </r>
    <r>
      <rPr>
        <sz val="10"/>
        <rFont val="宋体"/>
        <family val="3"/>
        <charset val="134"/>
      </rPr>
      <t>）情况说明</t>
    </r>
    <phoneticPr fontId="8" type="noConversion"/>
  </si>
  <si>
    <t>编制说明【非打印内容】</t>
    <phoneticPr fontId="4" type="noConversion"/>
  </si>
  <si>
    <t>（三）相关金融资产或金融负债属于衍生工具。但符合财务担保合同定义的衍生工具以及被指定为有效套期工具的衍生工具除外。</t>
    <phoneticPr fontId="4" type="noConversion"/>
  </si>
  <si>
    <t>一、审计目标</t>
    <phoneticPr fontId="4" type="noConversion"/>
  </si>
  <si>
    <t>二、审计过程</t>
    <phoneticPr fontId="4" type="noConversion"/>
  </si>
  <si>
    <t>类别</t>
    <phoneticPr fontId="8" type="noConversion"/>
  </si>
  <si>
    <t>期初余额</t>
    <phoneticPr fontId="15" type="noConversion"/>
  </si>
  <si>
    <t>本期变动（借方发生填正数）</t>
    <phoneticPr fontId="15" type="noConversion"/>
  </si>
  <si>
    <t>期末余额</t>
    <phoneticPr fontId="15" type="noConversion"/>
  </si>
  <si>
    <t>账项调整</t>
    <phoneticPr fontId="4" type="noConversion"/>
  </si>
  <si>
    <t>期末审定数</t>
    <phoneticPr fontId="15" type="noConversion"/>
  </si>
  <si>
    <t>变现是否存在限制</t>
    <phoneticPr fontId="15" type="noConversion"/>
  </si>
  <si>
    <t>发函情况</t>
    <phoneticPr fontId="15" type="noConversion"/>
  </si>
  <si>
    <t>成本</t>
    <phoneticPr fontId="4" type="noConversion"/>
  </si>
  <si>
    <t>累计公允价值变动</t>
    <phoneticPr fontId="4" type="noConversion"/>
  </si>
  <si>
    <t>公允价值</t>
    <phoneticPr fontId="4" type="noConversion"/>
  </si>
  <si>
    <t>本期公允价值变动</t>
    <phoneticPr fontId="4" type="noConversion"/>
  </si>
  <si>
    <t>计入投资收益的股息</t>
    <phoneticPr fontId="4" type="noConversion"/>
  </si>
  <si>
    <t>公允价值变动</t>
    <phoneticPr fontId="4" type="noConversion"/>
  </si>
  <si>
    <t>债务工具投资</t>
    <phoneticPr fontId="4" type="noConversion"/>
  </si>
  <si>
    <t>小计</t>
    <phoneticPr fontId="15" type="noConversion"/>
  </si>
  <si>
    <t>划分为以公允价值计量且其变动计入当期损益的金融资产</t>
    <phoneticPr fontId="8" type="noConversion"/>
  </si>
  <si>
    <t>指定为以公允价值计量且其变动计入当期损益的金融资产</t>
    <phoneticPr fontId="8" type="noConversion"/>
  </si>
  <si>
    <t>合计</t>
    <phoneticPr fontId="15" type="noConversion"/>
  </si>
  <si>
    <t>三、审计说明：</t>
    <phoneticPr fontId="8" type="noConversion"/>
  </si>
  <si>
    <t>四、审计结论：</t>
    <phoneticPr fontId="8" type="noConversion"/>
  </si>
  <si>
    <t>编制说明【非打印内容】：</t>
    <phoneticPr fontId="8" type="noConversion"/>
  </si>
  <si>
    <r>
      <rPr>
        <sz val="10"/>
        <rFont val="宋体"/>
        <family val="3"/>
        <charset val="134"/>
      </rPr>
      <t>（</t>
    </r>
    <r>
      <rPr>
        <sz val="10"/>
        <rFont val="Arial Narrow"/>
        <family val="2"/>
      </rPr>
      <t>1</t>
    </r>
    <r>
      <rPr>
        <sz val="10"/>
        <rFont val="宋体"/>
        <family val="3"/>
        <charset val="134"/>
      </rPr>
      <t>）其他非流动金融资产本期较上期增加（负数为减少）：</t>
    </r>
    <phoneticPr fontId="8" type="noConversion"/>
  </si>
  <si>
    <t>其他非流动金融资产</t>
  </si>
  <si>
    <t>1．编制时应列入其他非流动金融资产的每一明细账户。2．外币其他非流动金融资产应列明原币金额及折合汇率（自行添加项目）。</t>
  </si>
  <si>
    <t>注：</t>
    <phoneticPr fontId="4" type="noConversion"/>
  </si>
  <si>
    <r>
      <rPr>
        <b/>
        <sz val="10"/>
        <rFont val="宋体"/>
        <family val="3"/>
        <charset val="134"/>
      </rPr>
      <t>一、本账户涉及的科目</t>
    </r>
    <phoneticPr fontId="8" type="noConversion"/>
  </si>
  <si>
    <r>
      <rPr>
        <b/>
        <sz val="10"/>
        <rFont val="宋体"/>
        <family val="3"/>
        <charset val="134"/>
      </rPr>
      <t>财务报表的认定　</t>
    </r>
  </si>
  <si>
    <t>3</t>
  </si>
  <si>
    <t>4</t>
  </si>
  <si>
    <t>5</t>
  </si>
  <si>
    <t>6</t>
  </si>
  <si>
    <t>7</t>
  </si>
  <si>
    <t>8</t>
  </si>
  <si>
    <t>9</t>
  </si>
  <si>
    <t>10</t>
  </si>
  <si>
    <t>11</t>
  </si>
  <si>
    <t>12</t>
  </si>
  <si>
    <t>致同会计师事务所</t>
  </si>
  <si>
    <t>页次：</t>
    <phoneticPr fontId="4" type="noConversion"/>
  </si>
  <si>
    <t>一、审计目标</t>
    <phoneticPr fontId="4" type="noConversion"/>
  </si>
  <si>
    <t>确定第三层次公允价值计量披露是否适当</t>
    <phoneticPr fontId="4" type="noConversion"/>
  </si>
  <si>
    <t>二、审计过程</t>
    <phoneticPr fontId="4" type="noConversion"/>
  </si>
  <si>
    <r>
      <rPr>
        <b/>
        <sz val="10"/>
        <color theme="1"/>
        <rFont val="宋体"/>
        <family val="3"/>
        <charset val="134"/>
      </rPr>
      <t>期初余额</t>
    </r>
  </si>
  <si>
    <r>
      <rPr>
        <b/>
        <sz val="10"/>
        <color theme="1"/>
        <rFont val="宋体"/>
        <family val="3"/>
        <charset val="134"/>
      </rPr>
      <t>转入第三层次</t>
    </r>
  </si>
  <si>
    <r>
      <rPr>
        <b/>
        <sz val="10"/>
        <color theme="1"/>
        <rFont val="宋体"/>
        <family val="3"/>
        <charset val="134"/>
      </rPr>
      <t>转出第三层次</t>
    </r>
  </si>
  <si>
    <t>当期利得或损失总额</t>
    <phoneticPr fontId="4" type="noConversion"/>
  </si>
  <si>
    <r>
      <rPr>
        <b/>
        <sz val="10"/>
        <color theme="1"/>
        <rFont val="宋体"/>
        <family val="3"/>
        <charset val="134"/>
      </rPr>
      <t>购买、发行、出售和结算</t>
    </r>
  </si>
  <si>
    <r>
      <rPr>
        <b/>
        <sz val="10"/>
        <color theme="1"/>
        <rFont val="宋体"/>
        <family val="3"/>
        <charset val="134"/>
      </rPr>
      <t>期末余额</t>
    </r>
  </si>
  <si>
    <r>
      <rPr>
        <b/>
        <sz val="10"/>
        <color theme="1"/>
        <rFont val="宋体"/>
        <family val="3"/>
        <charset val="134"/>
      </rPr>
      <t>对于在报告期末持有的资产，计入损益的当期未实现利得或损失的变动</t>
    </r>
  </si>
  <si>
    <t>公允价值变动损益</t>
    <phoneticPr fontId="4" type="noConversion"/>
  </si>
  <si>
    <t>投资收益</t>
    <phoneticPr fontId="4" type="noConversion"/>
  </si>
  <si>
    <r>
      <rPr>
        <b/>
        <sz val="10"/>
        <color theme="1"/>
        <rFont val="宋体"/>
        <family val="3"/>
        <charset val="134"/>
      </rPr>
      <t>购入</t>
    </r>
  </si>
  <si>
    <r>
      <rPr>
        <b/>
        <sz val="10"/>
        <color theme="1"/>
        <rFont val="宋体"/>
        <family val="3"/>
        <charset val="134"/>
      </rPr>
      <t>发行</t>
    </r>
  </si>
  <si>
    <r>
      <rPr>
        <b/>
        <sz val="10"/>
        <color theme="1"/>
        <rFont val="宋体"/>
        <family val="3"/>
        <charset val="134"/>
      </rPr>
      <t>出售</t>
    </r>
  </si>
  <si>
    <r>
      <rPr>
        <b/>
        <sz val="10"/>
        <color theme="1"/>
        <rFont val="宋体"/>
        <family val="3"/>
        <charset val="134"/>
      </rPr>
      <t>结算</t>
    </r>
  </si>
  <si>
    <t>合 计</t>
    <phoneticPr fontId="4" type="noConversion"/>
  </si>
  <si>
    <t>三、审计说明：</t>
    <phoneticPr fontId="4" type="noConversion"/>
  </si>
  <si>
    <t>四、审计结论：</t>
    <phoneticPr fontId="4" type="noConversion"/>
  </si>
  <si>
    <t>第三层次公允价值计量的调节表</t>
    <phoneticPr fontId="8" type="noConversion"/>
  </si>
  <si>
    <t>编制日期：</t>
    <phoneticPr fontId="8" type="noConversion"/>
  </si>
  <si>
    <t>复核人：</t>
    <phoneticPr fontId="8" type="noConversion"/>
  </si>
  <si>
    <t>复核日期：</t>
    <phoneticPr fontId="8" type="noConversion"/>
  </si>
  <si>
    <r>
      <t>投资项目</t>
    </r>
    <r>
      <rPr>
        <b/>
        <sz val="10"/>
        <color rgb="FF0000FF"/>
        <rFont val="宋体"/>
        <family val="3"/>
        <charset val="134"/>
      </rPr>
      <t>【按明细项目列示，如证券名称或被投资单位名称】</t>
    </r>
    <phoneticPr fontId="8" type="noConversion"/>
  </si>
  <si>
    <t>其他非流动金融资产</t>
    <phoneticPr fontId="15" type="noConversion"/>
  </si>
  <si>
    <t>其他非流动金融资产</t>
    <phoneticPr fontId="4" type="noConversion"/>
  </si>
  <si>
    <r>
      <t>投资项目</t>
    </r>
    <r>
      <rPr>
        <b/>
        <sz val="10"/>
        <color rgb="FF0000FF"/>
        <rFont val="宋体"/>
        <family val="3"/>
        <charset val="134"/>
      </rPr>
      <t>【按明细项目列示，如证券名称或被投资单位名称】</t>
    </r>
    <phoneticPr fontId="4" type="noConversion"/>
  </si>
  <si>
    <t>期末应收利息</t>
    <phoneticPr fontId="15" type="noConversion"/>
  </si>
  <si>
    <t>其他非流动金融资产凭证检查表</t>
    <phoneticPr fontId="8" type="noConversion"/>
  </si>
  <si>
    <t>调整事项说明</t>
    <phoneticPr fontId="8" type="noConversion"/>
  </si>
  <si>
    <t>类别（报表调整/账项调整/其他）</t>
    <phoneticPr fontId="8" type="noConversion"/>
  </si>
  <si>
    <t>科目名称</t>
    <phoneticPr fontId="8" type="noConversion"/>
  </si>
  <si>
    <t>附注项目</t>
    <phoneticPr fontId="8" type="noConversion"/>
  </si>
  <si>
    <t>……</t>
    <phoneticPr fontId="8" type="noConversion"/>
  </si>
  <si>
    <t>借方调整金额</t>
    <phoneticPr fontId="8" type="noConversion"/>
  </si>
  <si>
    <t>贷方调整金额</t>
    <phoneticPr fontId="8" type="noConversion"/>
  </si>
  <si>
    <t>索引</t>
    <phoneticPr fontId="8" type="noConversion"/>
  </si>
  <si>
    <t>备注</t>
    <phoneticPr fontId="8" type="noConversion"/>
  </si>
  <si>
    <t>【注：本底稿适用于调整分录较多、较复杂的项目，且仅列示与本报表项目相关的审计调整。项目组可根据项目实际情况选择是否使用该底稿。】</t>
    <phoneticPr fontId="8" type="noConversion"/>
  </si>
  <si>
    <t>其他非流动金融资产调整分录汇总表</t>
    <phoneticPr fontId="8" type="noConversion"/>
  </si>
  <si>
    <t>期末报表数</t>
    <phoneticPr fontId="15" type="noConversion"/>
  </si>
  <si>
    <t>期末重分类数</t>
    <phoneticPr fontId="4" type="noConversion"/>
  </si>
  <si>
    <t>期初账项调整</t>
    <phoneticPr fontId="4" type="noConversion"/>
  </si>
  <si>
    <t>期初审定数</t>
    <phoneticPr fontId="15" type="noConversion"/>
  </si>
  <si>
    <t>期初重分类数</t>
    <phoneticPr fontId="4" type="noConversion"/>
  </si>
  <si>
    <t>期初报表数</t>
    <phoneticPr fontId="15" type="noConversion"/>
  </si>
  <si>
    <t xml:space="preserve">     债务工具投资</t>
    <phoneticPr fontId="4" type="noConversion"/>
  </si>
  <si>
    <t xml:space="preserve">     债务工具投资</t>
    <phoneticPr fontId="4" type="noConversion"/>
  </si>
  <si>
    <t>试算平衡表数</t>
    <phoneticPr fontId="8" type="noConversion"/>
  </si>
  <si>
    <t>差异数</t>
    <phoneticPr fontId="8" type="noConversion"/>
  </si>
  <si>
    <t>种  类</t>
  </si>
  <si>
    <t>债务工具投资</t>
  </si>
  <si>
    <t>权益工具投资</t>
  </si>
  <si>
    <t>指定为以公允价值计量且其变动计入当期损益的金融资产</t>
  </si>
  <si>
    <t>其他</t>
  </si>
  <si>
    <t>合  计</t>
  </si>
  <si>
    <t>期初公允价值</t>
  </si>
  <si>
    <r>
      <rPr>
        <sz val="10"/>
        <rFont val="宋体"/>
        <family val="3"/>
        <charset val="134"/>
      </rPr>
      <t>其他非流动金融资产</t>
    </r>
  </si>
  <si>
    <t>期末余额</t>
  </si>
  <si>
    <t>上年年末余额</t>
  </si>
  <si>
    <t>被审计单位：</t>
    <phoneticPr fontId="8" type="noConversion"/>
  </si>
  <si>
    <t>索引号：</t>
    <phoneticPr fontId="4" type="noConversion"/>
  </si>
  <si>
    <t>索引号：</t>
    <phoneticPr fontId="8" type="noConversion"/>
  </si>
  <si>
    <t>G9A</t>
  </si>
  <si>
    <t>G9-2</t>
  </si>
  <si>
    <t>G9-4</t>
  </si>
  <si>
    <t>业务模式分析详见G1-7</t>
    <phoneticPr fontId="4" type="noConversion"/>
  </si>
  <si>
    <t>合同现金流量特征详见分析G1-8</t>
    <phoneticPr fontId="4" type="noConversion"/>
  </si>
  <si>
    <t>二、审计目标与认定的对应关系</t>
    <phoneticPr fontId="8" type="noConversion"/>
  </si>
  <si>
    <t>审计目标</t>
    <phoneticPr fontId="8" type="noConversion"/>
  </si>
  <si>
    <t>存在</t>
    <phoneticPr fontId="8" type="noConversion"/>
  </si>
  <si>
    <t>准确性、计价和分摊</t>
    <phoneticPr fontId="8" type="noConversion"/>
  </si>
  <si>
    <t>列报</t>
    <phoneticPr fontId="8" type="noConversion"/>
  </si>
  <si>
    <r>
      <rPr>
        <b/>
        <sz val="10"/>
        <rFont val="宋体"/>
        <family val="3"/>
        <charset val="134"/>
      </rPr>
      <t>序号</t>
    </r>
    <phoneticPr fontId="8" type="noConversion"/>
  </si>
  <si>
    <r>
      <rPr>
        <b/>
        <sz val="10"/>
        <rFont val="宋体"/>
        <family val="3"/>
        <charset val="134"/>
      </rPr>
      <t>程序分类</t>
    </r>
    <phoneticPr fontId="8" type="noConversion"/>
  </si>
  <si>
    <t>财务报表的认定</t>
    <phoneticPr fontId="8" type="noConversion"/>
  </si>
  <si>
    <t>底稿索引号</t>
    <phoneticPr fontId="8" type="noConversion"/>
  </si>
  <si>
    <t>存在</t>
    <phoneticPr fontId="8" type="noConversion"/>
  </si>
  <si>
    <t>完整性</t>
    <phoneticPr fontId="8" type="noConversion"/>
  </si>
  <si>
    <t>权利和
义务</t>
    <phoneticPr fontId="8" type="noConversion"/>
  </si>
  <si>
    <t>准确性、计价和分摊</t>
    <phoneticPr fontId="8" type="noConversion"/>
  </si>
  <si>
    <t>列报</t>
    <phoneticPr fontId="8" type="noConversion"/>
  </si>
  <si>
    <t>1</t>
    <phoneticPr fontId="4" type="noConversion"/>
  </si>
  <si>
    <t>常规★</t>
    <phoneticPr fontId="4" type="noConversion"/>
  </si>
  <si>
    <t>√</t>
    <phoneticPr fontId="8" type="noConversion"/>
  </si>
  <si>
    <t>√</t>
    <phoneticPr fontId="8" type="noConversion"/>
  </si>
  <si>
    <t>2</t>
    <phoneticPr fontId="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</si>
  <si>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</si>
  <si>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t>常规★</t>
    <phoneticPr fontId="4" type="noConversion"/>
  </si>
  <si>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（3）结合其他非流动金融资产循环中投资收益的审计，计算年度金融资产循环收益占利润总额的比例，分析公司对金融资产循环收益的依赖程度，判断其盈利能力和稳定性。</t>
  </si>
  <si>
    <t>13</t>
  </si>
  <si>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 type="noConversion"/>
  </si>
  <si>
    <t>常规★</t>
    <phoneticPr fontId="4" type="noConversion"/>
  </si>
  <si>
    <t>√</t>
    <phoneticPr fontId="8" type="noConversion"/>
  </si>
  <si>
    <t>关注单独的重大金融资产转移或处置，考虑实施以下程序：
（1）获取本期减少的金融资产投资的合约、协议、中介机构报告等（若适用），查验金融资产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（2）对本期减少中的特定项目进行以下测试：检查非货币性资产交换、债务重组、企业合并、投资等发生金融资产转移的会计处理是否正确；
（3）重新计算相关的利得或损失；
（4）关注处置日期是否记录恰当，会计处理是否恰当。</t>
    <phoneticPr fontId="4" type="noConversion"/>
  </si>
  <si>
    <t>常规★</t>
    <phoneticPr fontId="4" type="noConversion"/>
  </si>
  <si>
    <t>√</t>
  </si>
  <si>
    <t>询问各项投资是否存在任何限制、抵押或留置权。 检查有无变现存在重大限制的资产，如有，则查明情况，作出记录。</t>
    <phoneticPr fontId="4" type="noConversion"/>
  </si>
  <si>
    <t>14</t>
  </si>
  <si>
    <t>√</t>
    <phoneticPr fontId="8" type="noConversion"/>
  </si>
  <si>
    <t>常规★</t>
    <phoneticPr fontId="4" type="noConversion"/>
  </si>
  <si>
    <t>针对公允价值计量的投资，复核其他非流动金融资产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phoneticPr fontId="4" type="noConversion"/>
  </si>
  <si>
    <t>二、审计过程</t>
    <phoneticPr fontId="4" type="noConversion"/>
  </si>
  <si>
    <t>1、取得第三层次公允价值计量金融资产明细清单，复核加计是否正确；</t>
    <phoneticPr fontId="4" type="noConversion"/>
  </si>
  <si>
    <t>2、确定第三层次公允价值计量调节过程披露是否适当</t>
    <phoneticPr fontId="4" type="noConversion"/>
  </si>
  <si>
    <t>二、样本选取方法与规模：</t>
    <phoneticPr fontId="112" type="noConversion"/>
  </si>
  <si>
    <t>记账凭证</t>
    <phoneticPr fontId="8" type="noConversion"/>
  </si>
  <si>
    <t>是否异常</t>
    <phoneticPr fontId="8" type="noConversion"/>
  </si>
  <si>
    <t>日期</t>
  </si>
  <si>
    <t>凭证编号</t>
  </si>
  <si>
    <t>业务内容</t>
    <phoneticPr fontId="8" type="noConversion"/>
  </si>
  <si>
    <t>对方科目</t>
    <phoneticPr fontId="8" type="noConversion"/>
  </si>
  <si>
    <t>借方金额</t>
    <phoneticPr fontId="8" type="noConversion"/>
  </si>
  <si>
    <t>合计</t>
    <phoneticPr fontId="8" type="noConversion"/>
  </si>
  <si>
    <t>贷方金额</t>
    <phoneticPr fontId="8" type="noConversion"/>
  </si>
  <si>
    <r>
      <rPr>
        <b/>
        <sz val="10"/>
        <rFont val="宋体"/>
        <family val="3"/>
        <charset val="134"/>
      </rPr>
      <t>三、测试：</t>
    </r>
    <phoneticPr fontId="112" type="noConversion"/>
  </si>
  <si>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4" type="noConversion"/>
  </si>
  <si>
    <t>报表项目</t>
    <phoneticPr fontId="4" type="noConversion"/>
  </si>
  <si>
    <t>确认其他非流动金融资产会计政策、会计处理是否合理并与前期一致，会计估计是否合理，实施以下程序：
（1）关注被审计单位管理金融工具的业务模式，并结合合同现金流量特征，分析管理层对金融资产分类是否合理；
（2）与管理层讨论其他非流动金融资产分类是否符合企业会计准则，是否根据确定的分类选用了正确的核算方法；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t>
    <phoneticPr fontId="4" type="noConversion"/>
  </si>
  <si>
    <r>
      <rPr>
        <sz val="10"/>
        <color theme="1"/>
        <rFont val="宋体"/>
        <family val="3"/>
        <charset val="134"/>
      </rPr>
      <t>根据评估的舞弊风险等因素增加的审计程序。</t>
    </r>
    <phoneticPr fontId="4"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</si>
  <si>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4" type="noConversion"/>
  </si>
  <si>
    <t>G9-1</t>
    <phoneticPr fontId="4" type="noConversion"/>
  </si>
  <si>
    <t>G9-3</t>
  </si>
  <si>
    <t>G9-5</t>
  </si>
  <si>
    <t>G9-4</t>
    <phoneticPr fontId="4" type="noConversion"/>
  </si>
  <si>
    <t>G0</t>
    <phoneticPr fontId="4" type="noConversion"/>
  </si>
  <si>
    <t>G9-2</t>
    <phoneticPr fontId="4" type="noConversion"/>
  </si>
  <si>
    <t>G9-</t>
  </si>
  <si>
    <t>公允价值测试表</t>
    <phoneticPr fontId="8" type="noConversion"/>
  </si>
  <si>
    <t>致同会计师事务所</t>
    <phoneticPr fontId="4" type="noConversion"/>
  </si>
  <si>
    <t>其他非流动金融资产实质性程序表</t>
    <phoneticPr fontId="4" type="noConversion"/>
  </si>
  <si>
    <t>附注披露信息（上市公司）</t>
    <phoneticPr fontId="8" type="noConversion"/>
  </si>
  <si>
    <r>
      <rPr>
        <sz val="10"/>
        <color rgb="FF0000FF"/>
        <rFont val="宋体"/>
        <family val="3"/>
        <charset val="134"/>
      </rPr>
      <t>（</t>
    </r>
    <r>
      <rPr>
        <sz val="10"/>
        <color rgb="FF0000FF"/>
        <rFont val="Arial Narrow"/>
        <family val="2"/>
      </rPr>
      <t>1</t>
    </r>
    <r>
      <rPr>
        <sz val="10"/>
        <color rgb="FF0000FF"/>
        <rFont val="宋体"/>
        <family val="3"/>
        <charset val="134"/>
      </rPr>
      <t>）未能通过</t>
    </r>
    <r>
      <rPr>
        <sz val="10"/>
        <color rgb="FF0000FF"/>
        <rFont val="Arial Narrow"/>
        <family val="2"/>
      </rPr>
      <t>SPPI</t>
    </r>
    <r>
      <rPr>
        <sz val="10"/>
        <color rgb="FF0000FF"/>
        <rFont val="宋体"/>
        <family val="3"/>
        <charset val="134"/>
      </rPr>
      <t>测试的、到期日不超过一年或预期持有不超过一年的债务工具投资（含嵌入衍生工具），例如非保本理财产品、保本浮动收益理财产品（结构性存款）等；</t>
    </r>
    <phoneticPr fontId="4" type="noConversion"/>
  </si>
  <si>
    <r>
      <rPr>
        <sz val="10"/>
        <color rgb="FF0000FF"/>
        <rFont val="宋体"/>
        <family val="3"/>
        <charset val="134"/>
      </rPr>
      <t>（</t>
    </r>
    <r>
      <rPr>
        <sz val="10"/>
        <color rgb="FF0000FF"/>
        <rFont val="Arial Narrow"/>
        <family val="2"/>
      </rPr>
      <t>2</t>
    </r>
    <r>
      <rPr>
        <sz val="10"/>
        <color rgb="FF0000FF"/>
        <rFont val="宋体"/>
        <family val="3"/>
        <charset val="134"/>
      </rPr>
      <t>）以其他业务模式持有的债务工具投资（含嵌入衍生工具）；</t>
    </r>
    <phoneticPr fontId="4" type="noConversion"/>
  </si>
  <si>
    <r>
      <rPr>
        <sz val="10"/>
        <color rgb="FF0000FF"/>
        <rFont val="宋体"/>
        <family val="3"/>
        <charset val="134"/>
      </rPr>
      <t>（</t>
    </r>
    <r>
      <rPr>
        <sz val="10"/>
        <color rgb="FF0000FF"/>
        <rFont val="Arial Narrow"/>
        <family val="2"/>
      </rPr>
      <t>3</t>
    </r>
    <r>
      <rPr>
        <sz val="10"/>
        <color rgb="FF0000FF"/>
        <rFont val="宋体"/>
        <family val="3"/>
        <charset val="134"/>
      </rPr>
      <t>）未指定为有效套期工具的衍生工具；</t>
    </r>
    <phoneticPr fontId="4" type="noConversion"/>
  </si>
  <si>
    <r>
      <rPr>
        <sz val="10"/>
        <color rgb="FF0000FF"/>
        <rFont val="宋体"/>
        <family val="3"/>
        <charset val="134"/>
      </rPr>
      <t>（</t>
    </r>
    <r>
      <rPr>
        <sz val="10"/>
        <color rgb="FF0000FF"/>
        <rFont val="Arial Narrow"/>
        <family val="2"/>
      </rPr>
      <t>4</t>
    </r>
    <r>
      <rPr>
        <sz val="10"/>
        <color rgb="FF0000FF"/>
        <rFont val="宋体"/>
        <family val="3"/>
        <charset val="134"/>
      </rPr>
      <t>）到期日不超过一年或预期持有不超过一年的权益工具投资（不包括指定为</t>
    </r>
    <r>
      <rPr>
        <sz val="10"/>
        <color rgb="FF0000FF"/>
        <rFont val="Arial Narrow"/>
        <family val="2"/>
      </rPr>
      <t>FVOCI</t>
    </r>
    <r>
      <rPr>
        <sz val="10"/>
        <color rgb="FF0000FF"/>
        <rFont val="宋体"/>
        <family val="3"/>
        <charset val="134"/>
      </rPr>
      <t>的）；</t>
    </r>
    <phoneticPr fontId="4" type="noConversion"/>
  </si>
  <si>
    <r>
      <rPr>
        <sz val="10"/>
        <color rgb="FF0000FF"/>
        <rFont val="宋体"/>
        <family val="3"/>
        <charset val="134"/>
      </rPr>
      <t>（</t>
    </r>
    <r>
      <rPr>
        <sz val="10"/>
        <color rgb="FF0000FF"/>
        <rFont val="Arial Narrow"/>
        <family val="2"/>
      </rPr>
      <t>5</t>
    </r>
    <r>
      <rPr>
        <sz val="10"/>
        <color rgb="FF0000FF"/>
        <rFont val="宋体"/>
        <family val="3"/>
        <charset val="134"/>
      </rPr>
      <t>）到期日不超过一年或预期持有不超过一年的、直接指定为</t>
    </r>
    <r>
      <rPr>
        <sz val="10"/>
        <color rgb="FF0000FF"/>
        <rFont val="Arial Narrow"/>
        <family val="2"/>
      </rPr>
      <t>FVTPL</t>
    </r>
    <r>
      <rPr>
        <sz val="10"/>
        <color rgb="FF0000FF"/>
        <rFont val="宋体"/>
        <family val="3"/>
        <charset val="134"/>
      </rPr>
      <t>的债务工具投资（含嵌入衍生工具）。</t>
    </r>
    <phoneticPr fontId="4" type="noConversion"/>
  </si>
  <si>
    <t>投资项目</t>
    <phoneticPr fontId="8" type="noConversion"/>
  </si>
  <si>
    <t>期末未审数</t>
    <phoneticPr fontId="15" type="noConversion"/>
  </si>
  <si>
    <t>期末审定数</t>
    <phoneticPr fontId="15" type="noConversion"/>
  </si>
  <si>
    <t>差异</t>
    <phoneticPr fontId="4" type="noConversion"/>
  </si>
  <si>
    <t>估值方法</t>
    <phoneticPr fontId="4" type="noConversion"/>
  </si>
  <si>
    <t>估值方法与上期是否一致</t>
    <phoneticPr fontId="4" type="noConversion"/>
  </si>
  <si>
    <t>第一层次</t>
    <phoneticPr fontId="4" type="noConversion"/>
  </si>
  <si>
    <t>第二层次</t>
    <phoneticPr fontId="4" type="noConversion"/>
  </si>
  <si>
    <t>第三层次</t>
    <phoneticPr fontId="4" type="noConversion"/>
  </si>
  <si>
    <t>估值文件索引号</t>
    <phoneticPr fontId="4" type="noConversion"/>
  </si>
  <si>
    <t>数量（张/股）</t>
    <phoneticPr fontId="4" type="noConversion"/>
  </si>
  <si>
    <t>单位公允价值</t>
    <phoneticPr fontId="4" type="noConversion"/>
  </si>
  <si>
    <t>公允价值</t>
    <phoneticPr fontId="4" type="noConversion"/>
  </si>
  <si>
    <t>公允价值层次</t>
    <phoneticPr fontId="4" type="noConversion"/>
  </si>
  <si>
    <t>公允价值</t>
    <phoneticPr fontId="4" type="noConversion"/>
  </si>
  <si>
    <t>公允价值层次</t>
    <phoneticPr fontId="4" type="noConversion"/>
  </si>
  <si>
    <t>公允价值来源机构</t>
    <phoneticPr fontId="4" type="noConversion"/>
  </si>
  <si>
    <t>输入值来源及调整考虑因素</t>
    <phoneticPr fontId="4" type="noConversion"/>
  </si>
  <si>
    <r>
      <rPr>
        <b/>
        <sz val="10"/>
        <color theme="1"/>
        <rFont val="宋体"/>
        <family val="3"/>
        <charset val="134"/>
      </rPr>
      <t>估值技术</t>
    </r>
    <phoneticPr fontId="4" type="noConversion"/>
  </si>
  <si>
    <r>
      <rPr>
        <b/>
        <sz val="10"/>
        <color theme="1"/>
        <rFont val="宋体"/>
        <family val="3"/>
        <charset val="134"/>
      </rPr>
      <t>不可观察输入值</t>
    </r>
    <phoneticPr fontId="4" type="noConversion"/>
  </si>
  <si>
    <t>数值</t>
    <phoneticPr fontId="4" type="noConversion"/>
  </si>
  <si>
    <t>第二层次</t>
    <phoneticPr fontId="4" type="noConversion"/>
  </si>
  <si>
    <t>以合同规定的未来现金流量按照市场上具有可比信用等级并在相同条件下提供几乎相同现金流量的利率进行折现后的现值确定</t>
    <phoneticPr fontId="4" type="noConversion"/>
  </si>
  <si>
    <t>第三层次</t>
    <phoneticPr fontId="4" type="noConversion"/>
  </si>
  <si>
    <t>收益法（折现现金流量法）</t>
    <phoneticPr fontId="4" type="noConversion"/>
  </si>
  <si>
    <t>加权平均资本成本
长期收入增长率
长期税前营业利润率
非流通折价</t>
    <phoneticPr fontId="4" type="noConversion"/>
  </si>
  <si>
    <t>16% 
2%
10.3%
20%</t>
    <phoneticPr fontId="4" type="noConversion"/>
  </si>
  <si>
    <t>合计</t>
    <phoneticPr fontId="15" type="noConversion"/>
  </si>
  <si>
    <t>测试范围：</t>
    <phoneticPr fontId="8" type="noConversion"/>
  </si>
  <si>
    <t>如借方发生额所有凭证共XX笔金额XX、贷方发生额所有凭证共XX笔金额XX</t>
    <phoneticPr fontId="4" type="noConversion"/>
  </si>
  <si>
    <t>特定样本：</t>
    <phoneticPr fontId="8" type="noConversion"/>
  </si>
  <si>
    <t>XX金额以上（大额）、关联方/关联交易形成的款项、XX异常款项全部测试，共XX笔；</t>
    <phoneticPr fontId="8" type="noConversion"/>
  </si>
  <si>
    <t>抽样总体：</t>
    <phoneticPr fontId="8" type="noConversion"/>
  </si>
  <si>
    <t>测试总体扣除特定样本以外的样本，共XX笔、金额XX</t>
    <phoneticPr fontId="8" type="noConversion"/>
  </si>
  <si>
    <t>确定的抽样样本量：</t>
    <phoneticPr fontId="8" type="noConversion"/>
  </si>
  <si>
    <t>抽样方法：</t>
    <phoneticPr fontId="8" type="noConversion"/>
  </si>
  <si>
    <t>抽样过程：</t>
    <phoneticPr fontId="8" type="noConversion"/>
  </si>
  <si>
    <t>使用IDEA（XX抽样工具）选择XX数量占比XX%的样本进行测试，抽样工具中的样本选择过程和结果见XX底稿</t>
    <phoneticPr fontId="8" type="noConversion"/>
  </si>
  <si>
    <t>页次：</t>
  </si>
  <si>
    <t>页  次：</t>
    <phoneticPr fontId="4" type="noConversion"/>
  </si>
  <si>
    <t>页 次：</t>
    <phoneticPr fontId="4" type="noConversion"/>
  </si>
  <si>
    <t xml:space="preserve">3.其他非流动金融资产以恰当的金额包括在财务报表中，与之相关的计价或分摊调整已恰当记录，相关披露已得到恰当计量和描述 </t>
    <phoneticPr fontId="15" type="noConversion"/>
  </si>
  <si>
    <t>1.资产负债表中记录的其他非流动金融资产是存在的，且已经记录在恰当的账户中；2.所有应记录的其他非流动金融资产均已记录，所有应当包括在财务报表中的相关披露均已包括；</t>
    <phoneticPr fontId="15" type="noConversion"/>
  </si>
  <si>
    <t>页 次：</t>
    <phoneticPr fontId="15" type="noConversion"/>
  </si>
  <si>
    <t>页 次：1</t>
    <phoneticPr fontId="4" type="noConversion"/>
  </si>
  <si>
    <t>1.资产负债表中记录的其他非流动金融资产是存在的，且已经记录在恰当的账户中；2.记录的其他非流动金融资产由被审计单位拥有或控制；</t>
    <phoneticPr fontId="4" type="noConversion"/>
  </si>
  <si>
    <t xml:space="preserve">3.其他非流动金融资产以恰当的金额包括在财务报表中，与之相关的计价或分摊调整已恰当记录，相关披露已得到恰当计量和描述 </t>
    <phoneticPr fontId="4" type="noConversion"/>
  </si>
  <si>
    <r>
      <t>1.</t>
    </r>
    <r>
      <rPr>
        <b/>
        <sz val="10"/>
        <rFont val="宋体"/>
        <family val="3"/>
        <charset val="134"/>
      </rPr>
      <t>本期发生额检查</t>
    </r>
    <phoneticPr fontId="8" type="noConversion"/>
  </si>
  <si>
    <r>
      <t>2.</t>
    </r>
    <r>
      <rPr>
        <b/>
        <sz val="10"/>
        <rFont val="宋体"/>
        <family val="3"/>
        <charset val="134"/>
      </rPr>
      <t>期后处置、新增检查表</t>
    </r>
    <r>
      <rPr>
        <b/>
        <sz val="10"/>
        <rFont val="Arial Narrow"/>
        <family val="2"/>
      </rPr>
      <t/>
    </r>
    <phoneticPr fontId="8" type="noConversion"/>
  </si>
  <si>
    <t>支持性文件</t>
    <phoneticPr fontId="8" type="noConversion"/>
  </si>
  <si>
    <r>
      <rPr>
        <b/>
        <sz val="10"/>
        <rFont val="宋体"/>
        <family val="3"/>
        <charset val="134"/>
      </rPr>
      <t>核对内容</t>
    </r>
  </si>
  <si>
    <t>索引号</t>
  </si>
  <si>
    <t>备注说明</t>
    <phoneticPr fontId="8" type="noConversion"/>
  </si>
  <si>
    <t>对方明细科目</t>
    <phoneticPr fontId="8" type="noConversion"/>
  </si>
  <si>
    <t>四、审计说明：</t>
    <phoneticPr fontId="112" type="noConversion"/>
  </si>
  <si>
    <t>索引号</t>
    <phoneticPr fontId="8" type="noConversion"/>
  </si>
  <si>
    <t>对方科目</t>
    <phoneticPr fontId="8" type="noConversion"/>
  </si>
  <si>
    <t>对方明细科目</t>
    <phoneticPr fontId="4" type="noConversion"/>
  </si>
  <si>
    <r>
      <rPr>
        <sz val="10"/>
        <rFont val="宋体"/>
        <family val="3"/>
        <charset val="134"/>
      </rPr>
      <t>序号</t>
    </r>
    <phoneticPr fontId="8" type="noConversion"/>
  </si>
  <si>
    <r>
      <rPr>
        <sz val="10"/>
        <rFont val="宋体"/>
        <family val="3"/>
        <charset val="134"/>
      </rPr>
      <t>内容</t>
    </r>
  </si>
  <si>
    <r>
      <rPr>
        <sz val="10"/>
        <rFont val="宋体"/>
        <family val="3"/>
        <charset val="134"/>
      </rPr>
      <t>索引号</t>
    </r>
    <phoneticPr fontId="4" type="noConversion"/>
  </si>
  <si>
    <t>G9-5</t>
    <phoneticPr fontId="4" type="noConversion"/>
  </si>
  <si>
    <t>G9-6</t>
  </si>
  <si>
    <t>第三层次公允价值计量的调节表</t>
    <phoneticPr fontId="4" type="noConversion"/>
  </si>
  <si>
    <t>凭证检查表</t>
    <phoneticPr fontId="4" type="noConversion"/>
  </si>
  <si>
    <t>附注披露信息（上市公司）</t>
    <phoneticPr fontId="4" type="noConversion"/>
  </si>
  <si>
    <t>其他非流动金融资产实质性程序表</t>
  </si>
  <si>
    <t>明细表</t>
    <phoneticPr fontId="4" type="noConversion"/>
  </si>
  <si>
    <t>审定表</t>
    <phoneticPr fontId="4" type="noConversion"/>
  </si>
  <si>
    <t>附注披露信息（国企）</t>
    <phoneticPr fontId="4" type="noConversion"/>
  </si>
  <si>
    <t>调整分录汇总</t>
    <phoneticPr fontId="4" type="noConversion"/>
  </si>
  <si>
    <t>公允价值测试表</t>
    <phoneticPr fontId="4" type="noConversion"/>
  </si>
  <si>
    <t>三、计划实施的实质性程序</t>
    <phoneticPr fontId="8" type="noConversion"/>
  </si>
  <si>
    <r>
      <t xml:space="preserve">A. </t>
    </r>
    <r>
      <rPr>
        <sz val="10"/>
        <rFont val="宋体"/>
        <family val="3"/>
        <charset val="134"/>
      </rPr>
      <t>资产负债表中记录的其他非流动金融资产是存在的，且已记录于恰当的账户</t>
    </r>
  </si>
  <si>
    <r>
      <t xml:space="preserve">B. </t>
    </r>
    <r>
      <rPr>
        <sz val="10"/>
        <rFont val="宋体"/>
        <family val="3"/>
        <charset val="134"/>
      </rPr>
      <t>所有应记录的其他非流动金融资产均已记录，所有应当包括在财务报表中的相关披露均已包括</t>
    </r>
  </si>
  <si>
    <r>
      <t xml:space="preserve">C. </t>
    </r>
    <r>
      <rPr>
        <sz val="10"/>
        <rFont val="宋体"/>
        <family val="3"/>
        <charset val="134"/>
      </rPr>
      <t>记录的其他非流动金融资产由被审计单位拥有或控制</t>
    </r>
  </si>
  <si>
    <r>
      <t xml:space="preserve">E. </t>
    </r>
    <r>
      <rPr>
        <sz val="10"/>
        <rFont val="宋体"/>
        <family val="3"/>
        <charset val="134"/>
      </rPr>
      <t>其他非流动金融资产已被恰当地汇总或分解且表述清楚，相关披露在按照企业会计准则的编制基础下是相关的、可理解的</t>
    </r>
  </si>
  <si>
    <r>
      <t xml:space="preserve">D. </t>
    </r>
    <r>
      <rPr>
        <sz val="10"/>
        <rFont val="宋体"/>
        <family val="3"/>
        <charset val="134"/>
      </rPr>
      <t>其他非流动金融资产以恰当的金额包括在财务报表中，与之相关的计价或分摊调整已恰当记录，相关披露已得到恰当计量和描述</t>
    </r>
    <r>
      <rPr>
        <sz val="10"/>
        <rFont val="Arial Narrow"/>
        <family val="2"/>
      </rPr>
      <t xml:space="preserve"> </t>
    </r>
  </si>
  <si>
    <t>备选</t>
    <phoneticPr fontId="4" type="noConversion"/>
  </si>
  <si>
    <t>获取或编制其他非流动金融资产的明细表，完成以下工作，并编制审定表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（6）检查非记账本位币计量的其他非流动金融资产的折算汇率及折算是否正确。</t>
    <phoneticPr fontId="4" type="noConversion"/>
  </si>
  <si>
    <r>
      <t>对期初余额的审计，取得其他非流动金融资产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4" type="noConversion"/>
  </si>
  <si>
    <t>对于本期新增的金融资产投资，执行以下程序：
（1）获取本期增加的金融资产投资的合约、协议、中介机构报告等（若适用），查验金融资产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（2）对本期增加中的特定项目（如金额重大或性质特殊的）进行以下测试：检查非货币性资产交换、债务重组、企业合并、投资等发生取得金融资产的会计处理是否正确；</t>
    <phoneticPr fontId="4" type="noConversion"/>
  </si>
  <si>
    <t>检查其他非流动金融资产是否已按企业会计准则或其他适用的规定在财务报表中做出恰当列报和披露。</t>
    <phoneticPr fontId="4" type="noConversion"/>
  </si>
  <si>
    <t>IPO/上市/新三板/重组/舞弊应对</t>
    <phoneticPr fontId="4" type="noConversion"/>
  </si>
  <si>
    <t>G9-1
/G9-2</t>
    <phoneticPr fontId="4" type="noConversion"/>
  </si>
  <si>
    <t>T1
/G0-2</t>
    <phoneticPr fontId="4" type="noConversion"/>
  </si>
  <si>
    <t>√</t>
    <phoneticPr fontId="8" type="noConversion"/>
  </si>
  <si>
    <t>G9-1
/G9-2</t>
    <phoneticPr fontId="4" type="noConversion"/>
  </si>
  <si>
    <t>G9-2
/G9-5</t>
    <phoneticPr fontId="4" type="noConversion"/>
  </si>
  <si>
    <t>G9-2
/G9-5</t>
    <phoneticPr fontId="4" type="noConversion"/>
  </si>
  <si>
    <t>√</t>
    <phoneticPr fontId="8" type="noConversion"/>
  </si>
  <si>
    <t>√</t>
    <phoneticPr fontId="8" type="noConversion"/>
  </si>
  <si>
    <r>
      <t>A1-1/</t>
    </r>
    <r>
      <rPr>
        <sz val="10"/>
        <color rgb="FFFF0000"/>
        <rFont val="Arial Narrow"/>
        <family val="2"/>
      </rPr>
      <t>A1-15 /A1-16</t>
    </r>
    <phoneticPr fontId="8" type="noConversion"/>
  </si>
  <si>
    <r>
      <rPr>
        <sz val="10"/>
        <color rgb="FFFF0000"/>
        <rFont val="宋体"/>
        <family val="3"/>
        <charset val="134"/>
      </rPr>
      <t>测试内容说明</t>
    </r>
    <r>
      <rPr>
        <sz val="10"/>
        <color rgb="FFFF0000"/>
        <rFont val="宋体"/>
        <family val="2"/>
        <charset val="134"/>
      </rPr>
      <t>：</t>
    </r>
    <r>
      <rPr>
        <sz val="10"/>
        <color rgb="FFFF0000"/>
        <rFont val="Arial Narrow"/>
        <family val="3"/>
        <charset val="134"/>
      </rPr>
      <t>1.</t>
    </r>
    <r>
      <rPr>
        <sz val="10"/>
        <color rgb="FFFF0000"/>
        <rFont val="宋体"/>
        <family val="2"/>
        <charset val="134"/>
      </rPr>
      <t>原始凭证内容完整；</t>
    </r>
    <r>
      <rPr>
        <sz val="10"/>
        <color rgb="FFFF0000"/>
        <rFont val="Arial Narrow"/>
        <family val="3"/>
        <charset val="134"/>
      </rPr>
      <t>2.</t>
    </r>
    <r>
      <rPr>
        <sz val="10"/>
        <color rgb="FFFF0000"/>
        <rFont val="宋体"/>
        <family val="3"/>
        <charset val="134"/>
      </rPr>
      <t>有授权批准；</t>
    </r>
    <r>
      <rPr>
        <sz val="10"/>
        <color rgb="FFFF0000"/>
        <rFont val="Arial Narrow"/>
        <family val="3"/>
        <charset val="134"/>
      </rPr>
      <t>3.</t>
    </r>
    <r>
      <rPr>
        <sz val="10"/>
        <color rgb="FFFF0000"/>
        <rFont val="宋体"/>
        <family val="3"/>
        <charset val="134"/>
      </rPr>
      <t>账务处理正确；</t>
    </r>
    <r>
      <rPr>
        <sz val="10"/>
        <color rgb="FFFF0000"/>
        <rFont val="Arial Narrow"/>
        <family val="3"/>
        <charset val="134"/>
      </rPr>
      <t>4.</t>
    </r>
    <r>
      <rPr>
        <sz val="10"/>
        <color rgb="FFFF0000"/>
        <rFont val="宋体"/>
        <family val="3"/>
        <charset val="134"/>
      </rPr>
      <t>初始成本计算正确；</t>
    </r>
    <r>
      <rPr>
        <sz val="10"/>
        <color rgb="FFFF0000"/>
        <rFont val="Arial Narrow"/>
        <family val="3"/>
        <charset val="134"/>
      </rPr>
      <t>5.</t>
    </r>
    <r>
      <rPr>
        <sz val="10"/>
        <color rgb="FFFF0000"/>
        <rFont val="宋体"/>
        <family val="3"/>
        <charset val="134"/>
      </rPr>
      <t>利息计算正确；</t>
    </r>
    <r>
      <rPr>
        <sz val="10"/>
        <color rgb="FFFF0000"/>
        <rFont val="Arial Narrow"/>
        <family val="3"/>
        <charset val="134"/>
      </rPr>
      <t>6.</t>
    </r>
    <r>
      <rPr>
        <sz val="10"/>
        <color rgb="FFFF0000"/>
        <rFont val="宋体"/>
        <family val="3"/>
        <charset val="134"/>
      </rPr>
      <t>公允价值符合准则要求。</t>
    </r>
    <phoneticPr fontId="8" type="noConversion"/>
  </si>
  <si>
    <t>完整性</t>
    <phoneticPr fontId="8" type="noConversion"/>
  </si>
  <si>
    <t>权利和义务</t>
    <phoneticPr fontId="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</si>
  <si>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8" type="noConversion"/>
  </si>
  <si>
    <t>关于工作底稿与审计程序索引号对应的说明</t>
    <phoneticPr fontId="8"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</si>
  <si>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</si>
  <si>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8"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</si>
  <si>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8" type="noConversion"/>
  </si>
  <si>
    <t>函证结果汇总表</t>
    <phoneticPr fontId="8" type="noConversion"/>
  </si>
  <si>
    <t>G0-1</t>
    <phoneticPr fontId="4" type="noConversion"/>
  </si>
  <si>
    <t>核实被函证单位信息</t>
  </si>
  <si>
    <t>G0-2</t>
  </si>
  <si>
    <t>跟函函证过程控制</t>
    <phoneticPr fontId="8" type="noConversion"/>
  </si>
  <si>
    <t>G0-3</t>
  </si>
  <si>
    <t>函证差异核对表（证券投资）</t>
    <phoneticPr fontId="4" type="noConversion"/>
  </si>
  <si>
    <t>G0-4</t>
  </si>
  <si>
    <t>函证差异核对表(非证券投资)</t>
    <phoneticPr fontId="4" type="noConversion"/>
  </si>
  <si>
    <t>G0-5</t>
  </si>
  <si>
    <t>替代程序检查表</t>
  </si>
  <si>
    <t>G0-6</t>
  </si>
  <si>
    <t>邮件传真回函可靠性验证</t>
  </si>
  <si>
    <t>G0-7</t>
  </si>
  <si>
    <t>函证程序舞弊风险评价表</t>
  </si>
  <si>
    <t>G0-8</t>
  </si>
  <si>
    <t>根据被审计单位实际情况和风险评估情况裁剪、修改或增加审计程序</t>
    <phoneticPr fontId="8" type="noConversion"/>
  </si>
  <si>
    <t>审计程序</t>
    <phoneticPr fontId="4" type="noConversion"/>
  </si>
  <si>
    <r>
      <rPr>
        <sz val="10"/>
        <color rgb="FF0000FF"/>
        <rFont val="宋体"/>
        <family val="3"/>
        <charset val="134"/>
      </rPr>
      <t>金融资产或金融负债满足下列条件之一的，表明企业持有该金融资产或承担该金融负债的目的是交易性的：</t>
    </r>
    <r>
      <rPr>
        <sz val="10"/>
        <rFont val="Arial Narrow"/>
        <family val="2"/>
      </rPr>
      <t/>
    </r>
    <phoneticPr fontId="4" type="noConversion"/>
  </si>
  <si>
    <r>
      <rPr>
        <sz val="10"/>
        <color rgb="FF0000FF"/>
        <rFont val="宋体"/>
        <family val="3"/>
        <charset val="134"/>
      </rPr>
      <t>（一）取得相关金融资产或承担相关金融负债的目的，主要是为了近期出售或回购。</t>
    </r>
    <r>
      <rPr>
        <sz val="10"/>
        <rFont val="Arial Narrow"/>
        <family val="2"/>
      </rPr>
      <t/>
    </r>
    <phoneticPr fontId="4" type="noConversion"/>
  </si>
  <si>
    <r>
      <rPr>
        <sz val="10"/>
        <color rgb="FF0000FF"/>
        <rFont val="宋体"/>
        <family val="3"/>
        <charset val="134"/>
      </rPr>
      <t>（二）相关金融资产或金融负债在初始确认时属于集中管理的可辨认金融工具组合的一部分，且有客观证据表明近期实际存在短期获利模式。</t>
    </r>
    <r>
      <rPr>
        <sz val="10"/>
        <color rgb="FF0000FF"/>
        <rFont val="Arial Narrow"/>
        <family val="2"/>
      </rPr>
      <t xml:space="preserve"> </t>
    </r>
    <phoneticPr fontId="4" type="noConversion"/>
  </si>
  <si>
    <r>
      <rPr>
        <sz val="10"/>
        <color rgb="FF0000FF"/>
        <rFont val="宋体"/>
        <family val="3"/>
        <charset val="134"/>
      </rPr>
      <t>债务工具投资</t>
    </r>
    <r>
      <rPr>
        <sz val="10"/>
        <color rgb="FF0000FF"/>
        <rFont val="Arial Narrow"/>
        <family val="2"/>
      </rPr>
      <t>/</t>
    </r>
    <r>
      <rPr>
        <sz val="10"/>
        <color rgb="FF0000FF"/>
        <rFont val="宋体"/>
        <family val="3"/>
        <charset val="134"/>
      </rPr>
      <t>权益工具投资</t>
    </r>
    <phoneticPr fontId="4" type="noConversion"/>
  </si>
  <si>
    <r>
      <rPr>
        <sz val="10"/>
        <color rgb="FF0000FF"/>
        <rFont val="宋体"/>
        <family val="3"/>
        <charset val="134"/>
      </rPr>
      <t>持有方在判断持有的金融资产是否属于权益工具投资时，应当遵循第</t>
    </r>
    <r>
      <rPr>
        <sz val="10"/>
        <color rgb="FF0000FF"/>
        <rFont val="Arial Narrow"/>
        <family val="2"/>
      </rPr>
      <t>22</t>
    </r>
    <r>
      <rPr>
        <sz val="10"/>
        <color rgb="FF0000FF"/>
        <rFont val="宋体"/>
        <family val="3"/>
        <charset val="134"/>
      </rPr>
      <t>号准则和第</t>
    </r>
    <r>
      <rPr>
        <sz val="10"/>
        <color rgb="FF0000FF"/>
        <rFont val="Arial Narrow"/>
        <family val="2"/>
      </rPr>
      <t>37</t>
    </r>
    <r>
      <rPr>
        <sz val="10"/>
        <color rgb="FF0000FF"/>
        <rFont val="宋体"/>
        <family val="3"/>
        <charset val="134"/>
      </rPr>
      <t>号准则的相关规定。</t>
    </r>
    <phoneticPr fontId="4" type="noConversion"/>
  </si>
  <si>
    <t>随机选样/系统选样/货币单元抽样/随意选样（非统计抽样适用）</t>
    <phoneticPr fontId="8" type="noConversion"/>
  </si>
  <si>
    <t>抽取XX笔（如果使用了样本计算器计算样本量，样本量计算过程见&lt;XX&gt;底稿）</t>
    <phoneticPr fontId="4" type="noConversion"/>
  </si>
  <si>
    <t>合计</t>
    <phoneticPr fontId="8" type="noConversion"/>
  </si>
  <si>
    <t>本期发生额</t>
    <phoneticPr fontId="8" type="noConversion"/>
  </si>
  <si>
    <t>检查比例</t>
    <phoneticPr fontId="8"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</si>
  <si>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8" type="noConversion"/>
  </si>
  <si>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</si>
  <si>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 type="noConversion"/>
  </si>
  <si>
    <r>
      <t>3.</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8" type="noConversion"/>
  </si>
  <si>
    <r>
      <t>2.</t>
    </r>
    <r>
      <rPr>
        <sz val="10"/>
        <color indexed="12"/>
        <rFont val="宋体"/>
        <family val="3"/>
        <charset val="134"/>
      </rPr>
      <t>本项目可能包括：</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</si>
</sst>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43">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b/>
      <sz val="10"/>
      <color indexed="12"/>
      <name val="宋体"/>
      <family val="3"/>
      <charset val="134"/>
    </font>
    <font>
      <b/>
      <sz val="10"/>
      <color indexed="12"/>
      <name val="Arial Narrow"/>
      <family val="2"/>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theme="1"/>
      <name val="宋体"/>
      <family val="3"/>
      <charset val="134"/>
      <scheme val="minor"/>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i/>
      <sz val="10"/>
      <color indexed="12"/>
      <name val="宋体"/>
      <family val="3"/>
      <charset val="134"/>
    </font>
    <font>
      <sz val="10"/>
      <color indexed="12"/>
      <name val="Arial Narrow"/>
      <family val="2"/>
    </font>
    <font>
      <sz val="10"/>
      <color indexed="12"/>
      <name val="宋体"/>
      <family val="3"/>
      <charset val="134"/>
    </font>
    <font>
      <b/>
      <sz val="10"/>
      <color indexed="8"/>
      <name val="宋体"/>
      <family val="3"/>
      <charset val="134"/>
    </font>
    <font>
      <b/>
      <sz val="10"/>
      <color indexed="8"/>
      <name val="Arial Narrow"/>
      <family val="2"/>
    </font>
    <font>
      <sz val="10"/>
      <color indexed="10"/>
      <name val="宋体"/>
      <family val="3"/>
      <charset val="134"/>
    </font>
    <font>
      <sz val="10"/>
      <color indexed="8"/>
      <name val="宋体"/>
      <family val="3"/>
      <charset val="134"/>
    </font>
    <font>
      <sz val="12"/>
      <name val="Arial"/>
      <family val="2"/>
    </font>
    <font>
      <u/>
      <sz val="11"/>
      <color theme="10"/>
      <name val="宋体"/>
      <family val="3"/>
      <charset val="134"/>
    </font>
    <font>
      <sz val="12"/>
      <name val="仿宋_GB2312"/>
      <family val="3"/>
      <charset val="134"/>
    </font>
    <font>
      <b/>
      <sz val="12"/>
      <name val="仿宋_GB2312"/>
      <family val="3"/>
      <charset val="134"/>
    </font>
    <font>
      <i/>
      <sz val="10"/>
      <color indexed="12"/>
      <name val="Arial Narrow"/>
      <family val="2"/>
    </font>
    <font>
      <sz val="11"/>
      <color theme="1"/>
      <name val="宋体"/>
      <family val="2"/>
      <charset val="134"/>
      <scheme val="minor"/>
    </font>
    <font>
      <sz val="10"/>
      <color theme="1"/>
      <name val="Arial Narrow"/>
      <family val="2"/>
    </font>
    <font>
      <b/>
      <sz val="10"/>
      <color theme="1"/>
      <name val="宋体"/>
      <family val="3"/>
      <charset val="134"/>
    </font>
    <font>
      <b/>
      <sz val="10"/>
      <color theme="1"/>
      <name val="Arial Narrow"/>
      <family val="2"/>
    </font>
    <font>
      <sz val="9"/>
      <name val="Arial Narrow"/>
      <family val="2"/>
    </font>
    <font>
      <b/>
      <sz val="9"/>
      <name val="宋体"/>
      <family val="3"/>
      <charset val="134"/>
    </font>
    <font>
      <sz val="10"/>
      <color indexed="10"/>
      <name val="Arial Narrow"/>
      <family val="2"/>
    </font>
    <font>
      <sz val="10"/>
      <color indexed="8"/>
      <name val="Arial Narrow"/>
      <family val="2"/>
    </font>
    <font>
      <sz val="9"/>
      <color indexed="81"/>
      <name val="宋体"/>
      <family val="3"/>
      <charset val="134"/>
    </font>
    <font>
      <b/>
      <sz val="9"/>
      <color indexed="81"/>
      <name val="宋体"/>
      <family val="3"/>
      <charset val="134"/>
    </font>
    <font>
      <sz val="10"/>
      <color rgb="FFFF0000"/>
      <name val="宋体"/>
      <family val="3"/>
      <charset val="134"/>
    </font>
    <font>
      <sz val="12"/>
      <name val="???"/>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2"/>
      <name val="Tms Rmn"/>
      <family val="1"/>
    </font>
    <font>
      <sz val="10"/>
      <color indexed="16"/>
      <name val="MS Serif"/>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Tms Rmn"/>
      <family val="1"/>
    </font>
    <font>
      <sz val="9"/>
      <color indexed="8"/>
      <name val="宋体"/>
      <family val="3"/>
      <charset val="134"/>
    </font>
    <font>
      <b/>
      <sz val="8"/>
      <color indexed="8"/>
      <name val="Helv"/>
      <family val="2"/>
    </font>
    <font>
      <b/>
      <sz val="11"/>
      <color indexed="8"/>
      <name val="Calibri"/>
      <family val="2"/>
    </font>
    <font>
      <sz val="11"/>
      <color indexed="10"/>
      <name val="Calibri"/>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i/>
      <u/>
      <sz val="10"/>
      <color indexed="12"/>
      <name val="Arial Narrow"/>
      <family val="2"/>
    </font>
    <font>
      <u/>
      <sz val="10"/>
      <name val="Arial Narrow"/>
      <family val="2"/>
    </font>
    <font>
      <sz val="18"/>
      <color indexed="48"/>
      <name val="魏碑"/>
      <family val="3"/>
      <charset val="134"/>
    </font>
    <font>
      <b/>
      <sz val="10"/>
      <color theme="1"/>
      <name val="宋体"/>
      <family val="3"/>
      <charset val="134"/>
      <scheme val="minor"/>
    </font>
    <font>
      <sz val="10"/>
      <color theme="1"/>
      <name val="宋体"/>
      <family val="3"/>
      <charset val="134"/>
    </font>
    <font>
      <sz val="10"/>
      <color rgb="FFFF0000"/>
      <name val="Arial Narrow"/>
      <family val="2"/>
    </font>
    <font>
      <sz val="11"/>
      <color indexed="9"/>
      <name val="宋体"/>
      <family val="3"/>
      <charset val="134"/>
    </font>
    <font>
      <sz val="11"/>
      <color theme="1"/>
      <name val="宋体"/>
      <family val="2"/>
      <scheme val="minor"/>
    </font>
    <font>
      <b/>
      <sz val="10"/>
      <color rgb="FF0000FF"/>
      <name val="宋体"/>
      <family val="3"/>
      <charset val="134"/>
    </font>
    <font>
      <sz val="10"/>
      <color rgb="FF0000FF"/>
      <name val="宋体"/>
      <family val="3"/>
      <charset val="134"/>
    </font>
    <font>
      <b/>
      <sz val="10"/>
      <color rgb="FFE92841"/>
      <name val="Arial Narrow"/>
      <family val="2"/>
    </font>
    <font>
      <sz val="12"/>
      <color indexed="12"/>
      <name val="仿宋_GB2312"/>
      <family val="3"/>
      <charset val="134"/>
    </font>
    <font>
      <b/>
      <sz val="10.5"/>
      <name val="仿宋_GB2312"/>
      <family val="3"/>
      <charset val="134"/>
    </font>
    <font>
      <b/>
      <sz val="10.5"/>
      <color rgb="FF000000"/>
      <name val="仿宋_GB2312"/>
      <family val="3"/>
      <charset val="134"/>
    </font>
    <font>
      <sz val="10.5"/>
      <name val="Arial Narrow"/>
      <family val="2"/>
    </font>
    <font>
      <b/>
      <sz val="10.5"/>
      <name val="Arial Narrow"/>
      <family val="2"/>
    </font>
    <font>
      <sz val="10"/>
      <name val="宋体"/>
      <family val="3"/>
      <charset val="134"/>
      <scheme val="minor"/>
    </font>
    <font>
      <sz val="12"/>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sz val="10"/>
      <color rgb="FF0000FF"/>
      <name val="Arial Narrow"/>
      <family val="2"/>
    </font>
    <font>
      <sz val="10"/>
      <color theme="1"/>
      <name val="宋体"/>
      <family val="2"/>
      <charset val="134"/>
      <scheme val="minor"/>
    </font>
    <font>
      <u/>
      <sz val="10"/>
      <color theme="10"/>
      <name val="宋体"/>
      <family val="3"/>
      <charset val="134"/>
    </font>
    <font>
      <b/>
      <sz val="10"/>
      <name val="黑体"/>
      <family val="3"/>
      <charset val="134"/>
    </font>
    <font>
      <b/>
      <sz val="10"/>
      <color rgb="FF0000FF"/>
      <name val="Arial Narrow"/>
      <family val="2"/>
    </font>
    <font>
      <sz val="10"/>
      <color theme="1"/>
      <name val="宋体"/>
      <family val="3"/>
      <charset val="134"/>
      <scheme val="minor"/>
    </font>
    <font>
      <sz val="10"/>
      <color rgb="FFFF0000"/>
      <name val="Arial Narrow"/>
      <family val="3"/>
      <charset val="134"/>
    </font>
    <font>
      <sz val="10"/>
      <color rgb="FFFF0000"/>
      <name val="宋体"/>
      <family val="2"/>
      <charset val="134"/>
    </font>
    <font>
      <sz val="10"/>
      <color theme="10"/>
      <name val="Arial Narrow"/>
      <family val="2"/>
    </font>
    <font>
      <b/>
      <sz val="14"/>
      <name val="宋体"/>
      <family val="3"/>
      <charset val="134"/>
    </font>
  </fonts>
  <fills count="3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rgb="FFE4DFEC"/>
        <bgColor indexed="64"/>
      </patternFill>
    </fill>
    <fill>
      <patternFill patternType="solid">
        <fgColor rgb="FFE4DFEC"/>
        <bgColor rgb="FFB7DEE8"/>
      </patternFill>
    </fill>
  </fills>
  <borders count="25">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hair">
        <color indexed="64"/>
      </bottom>
      <diagonal/>
    </border>
  </borders>
  <cellStyleXfs count="399">
    <xf numFmtId="0" fontId="0" fillId="0" borderId="0">
      <alignment vertical="center"/>
    </xf>
    <xf numFmtId="0" fontId="2" fillId="0" borderId="0">
      <alignment vertical="center"/>
    </xf>
    <xf numFmtId="0" fontId="2" fillId="0" borderId="0">
      <alignment vertical="center"/>
    </xf>
    <xf numFmtId="0" fontId="14" fillId="0" borderId="0"/>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7" fillId="0" borderId="0"/>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176" fontId="15" fillId="0" borderId="0" applyFill="0" applyBorder="0" applyProtection="0">
      <alignment horizontal="right"/>
    </xf>
    <xf numFmtId="177" fontId="15"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20" fillId="0" borderId="0" applyFont="0" applyFill="0" applyBorder="0" applyAlignment="0" applyProtection="0"/>
    <xf numFmtId="0" fontId="17"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2" applyAlignment="0" applyProtection="0"/>
    <xf numFmtId="188" fontId="16" fillId="0" borderId="0" applyFill="0" applyBorder="0" applyAlignment="0"/>
    <xf numFmtId="189" fontId="14" fillId="0" borderId="0" applyFill="0" applyBorder="0" applyAlignment="0"/>
    <xf numFmtId="190" fontId="14" fillId="0" borderId="0" applyFill="0" applyBorder="0" applyAlignment="0"/>
    <xf numFmtId="191" fontId="14" fillId="0" borderId="0" applyFill="0" applyBorder="0" applyAlignment="0"/>
    <xf numFmtId="192"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3" fillId="0" borderId="0"/>
    <xf numFmtId="0" fontId="24" fillId="0" borderId="3" applyNumberFormat="0" applyFill="0" applyProtection="0">
      <alignment horizontal="center"/>
    </xf>
    <xf numFmtId="0" fontId="25" fillId="0" borderId="4">
      <alignment horizontal="center"/>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38" fontId="26" fillId="0" borderId="0" applyFont="0" applyFill="0" applyBorder="0" applyAlignment="0" applyProtection="0"/>
    <xf numFmtId="193" fontId="14" fillId="0" borderId="0" applyFont="0" applyFill="0" applyBorder="0" applyAlignment="0" applyProtection="0"/>
    <xf numFmtId="43" fontId="2" fillId="0" borderId="0" applyFont="0" applyFill="0" applyBorder="0" applyAlignment="0" applyProtection="0"/>
    <xf numFmtId="196" fontId="15"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2" fillId="0" borderId="0" applyFont="0" applyFill="0" applyBorder="0" applyAlignment="0" applyProtection="0"/>
    <xf numFmtId="189" fontId="14"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2" fillId="0" borderId="0" applyFont="0" applyFill="0" applyBorder="0" applyAlignment="0" applyProtection="0"/>
    <xf numFmtId="201" fontId="15" fillId="0" borderId="0"/>
    <xf numFmtId="14" fontId="16"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202" fontId="15" fillId="0" borderId="0"/>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7" fillId="0" borderId="0">
      <alignment horizontal="left"/>
    </xf>
    <xf numFmtId="0" fontId="28" fillId="2" borderId="5"/>
    <xf numFmtId="203" fontId="15" fillId="0" borderId="0" applyFont="0" applyFill="0" applyBorder="0" applyAlignment="0" applyProtection="0"/>
    <xf numFmtId="0" fontId="29" fillId="0" borderId="0" applyNumberFormat="0" applyFill="0" applyBorder="0" applyAlignment="0" applyProtection="0">
      <alignment vertical="top"/>
      <protection locked="0"/>
    </xf>
    <xf numFmtId="38" fontId="28" fillId="3"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4" borderId="8">
      <alignment horizontal="center" vertical="center" wrapText="1"/>
    </xf>
    <xf numFmtId="0" fontId="33" fillId="0" borderId="0" applyNumberFormat="0" applyFill="0" applyBorder="0" applyAlignment="0" applyProtection="0">
      <alignment vertical="top"/>
      <protection locked="0"/>
    </xf>
    <xf numFmtId="10" fontId="28" fillId="5" borderId="5" applyNumberFormat="0" applyBorder="0" applyAlignment="0" applyProtection="0"/>
    <xf numFmtId="0" fontId="15" fillId="0" borderId="0" applyNumberFormat="0" applyFont="0" applyFill="0" applyBorder="0" applyProtection="0">
      <alignment horizontal="left" vertical="center"/>
    </xf>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0" fontId="34" fillId="0" borderId="8"/>
    <xf numFmtId="205" fontId="14" fillId="0" borderId="0" applyFont="0" applyFill="0" applyBorder="0" applyAlignment="0" applyProtection="0"/>
    <xf numFmtId="206" fontId="14" fillId="0" borderId="0" applyFont="0" applyFill="0" applyBorder="0" applyAlignment="0" applyProtection="0"/>
    <xf numFmtId="207" fontId="14" fillId="0" borderId="0" applyFont="0" applyFill="0" applyBorder="0" applyAlignment="0" applyProtection="0"/>
    <xf numFmtId="208" fontId="2" fillId="0" borderId="0" applyFont="0" applyFill="0" applyBorder="0" applyAlignment="0" applyProtection="0"/>
    <xf numFmtId="37" fontId="35" fillId="0" borderId="0"/>
    <xf numFmtId="0" fontId="36" fillId="0" borderId="0"/>
    <xf numFmtId="209" fontId="2" fillId="0" borderId="0"/>
    <xf numFmtId="0" fontId="2" fillId="0" borderId="0"/>
    <xf numFmtId="0" fontId="26" fillId="0" borderId="0"/>
    <xf numFmtId="0" fontId="37" fillId="0" borderId="0"/>
    <xf numFmtId="210" fontId="14" fillId="0" borderId="0" applyFont="0" applyFill="0" applyBorder="0" applyAlignment="0" applyProtection="0"/>
    <xf numFmtId="192" fontId="14" fillId="0" borderId="0" applyFont="0" applyFill="0" applyBorder="0" applyAlignment="0" applyProtection="0"/>
    <xf numFmtId="185" fontId="14" fillId="0" borderId="0" applyFont="0" applyFill="0" applyBorder="0" applyAlignment="0" applyProtection="0"/>
    <xf numFmtId="10" fontId="14" fillId="0" borderId="0" applyFont="0" applyFill="0" applyBorder="0" applyAlignment="0" applyProtection="0"/>
    <xf numFmtId="0" fontId="28" fillId="3" borderId="5"/>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 fontId="27" fillId="0" borderId="0">
      <alignment horizontal="right"/>
    </xf>
    <xf numFmtId="3" fontId="38" fillId="0" borderId="0"/>
    <xf numFmtId="4" fontId="39" fillId="0" borderId="0">
      <alignment horizontal="right"/>
    </xf>
    <xf numFmtId="0" fontId="40" fillId="0" borderId="0">
      <alignment horizontal="left"/>
    </xf>
    <xf numFmtId="43" fontId="28" fillId="0" borderId="1"/>
    <xf numFmtId="0" fontId="41" fillId="0" borderId="5">
      <alignment horizontal="center"/>
    </xf>
    <xf numFmtId="0" fontId="41" fillId="0" borderId="0">
      <alignment horizontal="center" vertical="center"/>
    </xf>
    <xf numFmtId="0" fontId="42" fillId="6" borderId="0" applyNumberFormat="0" applyFill="0">
      <alignment horizontal="left" vertical="center"/>
    </xf>
    <xf numFmtId="0" fontId="34" fillId="0" borderId="0"/>
    <xf numFmtId="49" fontId="16" fillId="0" borderId="0" applyFill="0" applyBorder="0" applyAlignment="0"/>
    <xf numFmtId="211" fontId="16" fillId="0" borderId="0" applyFill="0" applyBorder="0" applyAlignment="0"/>
    <xf numFmtId="212" fontId="14" fillId="0" borderId="0" applyFill="0" applyBorder="0" applyAlignment="0"/>
    <xf numFmtId="0" fontId="43" fillId="0" borderId="0" applyFill="0" applyBorder="0" applyProtection="0">
      <alignment horizontal="left" vertical="top"/>
    </xf>
    <xf numFmtId="0" fontId="44" fillId="0" borderId="0">
      <alignment horizontal="center"/>
    </xf>
    <xf numFmtId="0" fontId="45" fillId="0" borderId="0" applyNumberFormat="0" applyFont="0" applyFill="0" applyBorder="0" applyProtection="0">
      <alignment horizontal="center" vertical="center" wrapText="1"/>
    </xf>
    <xf numFmtId="9" fontId="46" fillId="0" borderId="0" applyFont="0" applyFill="0" applyBorder="0" applyAlignment="0" applyProtection="0"/>
    <xf numFmtId="0" fontId="17" fillId="0" borderId="0"/>
    <xf numFmtId="213" fontId="17" fillId="0" borderId="0" applyFont="0" applyFill="0" applyBorder="0" applyAlignment="0" applyProtection="0"/>
    <xf numFmtId="214" fontId="17" fillId="0" borderId="0" applyFont="0" applyFill="0" applyBorder="0" applyAlignment="0" applyProtection="0"/>
    <xf numFmtId="41" fontId="14"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4" fontId="47" fillId="0" borderId="0">
      <alignment horizontal="right"/>
    </xf>
    <xf numFmtId="0" fontId="48" fillId="7" borderId="0" applyNumberFormat="0" applyBorder="0" applyAlignment="0" applyProtection="0">
      <alignment vertical="center"/>
    </xf>
    <xf numFmtId="0" fontId="49" fillId="0" borderId="0">
      <alignment vertical="center"/>
    </xf>
    <xf numFmtId="0" fontId="2" fillId="0" borderId="0">
      <alignment vertical="center"/>
      <protection locked="0"/>
    </xf>
    <xf numFmtId="0" fontId="2" fillId="0" borderId="0">
      <protection locked="0"/>
    </xf>
    <xf numFmtId="0" fontId="50" fillId="0" borderId="0">
      <alignment vertical="center"/>
    </xf>
    <xf numFmtId="0" fontId="14" fillId="0" borderId="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2" fillId="0" borderId="0" applyNumberFormat="0" applyFill="0" applyBorder="0" applyAlignment="0" applyProtection="0"/>
    <xf numFmtId="0" fontId="53" fillId="8" borderId="0" applyNumberFormat="0" applyBorder="0" applyAlignment="0" applyProtection="0">
      <alignment vertical="center"/>
    </xf>
    <xf numFmtId="4" fontId="45" fillId="0" borderId="0" applyFont="0" applyFill="0" applyBorder="0" applyAlignment="0" applyProtection="0"/>
    <xf numFmtId="41" fontId="14" fillId="0" borderId="0" applyFont="0" applyFill="0" applyBorder="0" applyAlignment="0" applyProtection="0"/>
    <xf numFmtId="215" fontId="17" fillId="0" borderId="0" applyFont="0" applyFill="0" applyBorder="0" applyAlignment="0" applyProtection="0"/>
    <xf numFmtId="216" fontId="17"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alignment vertical="center"/>
    </xf>
    <xf numFmtId="206" fontId="14" fillId="0" borderId="0" applyFont="0" applyFill="0" applyBorder="0" applyAlignment="0" applyProtection="0"/>
    <xf numFmtId="217" fontId="45" fillId="0" borderId="0" applyFont="0" applyFill="0" applyBorder="0" applyAlignment="0" applyProtection="0"/>
    <xf numFmtId="0" fontId="16" fillId="0" borderId="0">
      <alignment vertical="top"/>
    </xf>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xf numFmtId="0" fontId="17" fillId="0" borderId="0"/>
    <xf numFmtId="0" fontId="17" fillId="0" borderId="0"/>
    <xf numFmtId="0" fontId="64" fillId="0" borderId="0" applyNumberFormat="0" applyFill="0" applyBorder="0" applyAlignment="0" applyProtection="0">
      <alignment vertical="top"/>
      <protection locked="0"/>
    </xf>
    <xf numFmtId="43" fontId="68" fillId="0" borderId="0" applyFont="0" applyFill="0" applyBorder="0" applyAlignment="0" applyProtection="0">
      <alignment vertical="center"/>
    </xf>
    <xf numFmtId="0" fontId="2" fillId="0" borderId="0">
      <protection locked="0"/>
    </xf>
    <xf numFmtId="43" fontId="2" fillId="0" borderId="0" applyFont="0" applyFill="0" applyBorder="0" applyAlignment="0" applyProtection="0"/>
    <xf numFmtId="0" fontId="2" fillId="0" borderId="0">
      <protection locked="0"/>
    </xf>
    <xf numFmtId="0" fontId="2" fillId="0" borderId="0"/>
    <xf numFmtId="0" fontId="2" fillId="0" borderId="0">
      <protection locked="0"/>
    </xf>
    <xf numFmtId="0" fontId="2" fillId="0" borderId="0" applyNumberForma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79" fillId="0" borderId="0"/>
    <xf numFmtId="49" fontId="15" fillId="0" borderId="0" applyProtection="0">
      <alignment horizontal="left"/>
    </xf>
    <xf numFmtId="0" fontId="16" fillId="0" borderId="0">
      <alignment vertical="top"/>
      <protection locked="0"/>
    </xf>
    <xf numFmtId="0" fontId="16" fillId="0" borderId="0">
      <alignment vertical="top"/>
    </xf>
    <xf numFmtId="0" fontId="14" fillId="0" borderId="0" applyNumberFormat="0" applyFill="0" applyBorder="0" applyAlignment="0">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4" fillId="0" borderId="0" applyNumberFormat="0" applyFill="0" applyBorder="0" applyAlignment="0">
      <protection locked="0"/>
    </xf>
    <xf numFmtId="0" fontId="16" fillId="0" borderId="0">
      <alignment vertical="top"/>
    </xf>
    <xf numFmtId="0" fontId="16" fillId="0" borderId="0">
      <alignment vertical="top"/>
    </xf>
    <xf numFmtId="0" fontId="14" fillId="0" borderId="0" applyNumberFormat="0" applyFill="0" applyBorder="0" applyAlignment="0" applyProtection="0"/>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218" fontId="2" fillId="0" borderId="0" applyFont="0" applyFill="0" applyBorder="0" applyAlignment="0" applyProtection="0"/>
    <xf numFmtId="203" fontId="80" fillId="14" borderId="0" applyNumberFormat="0" applyBorder="0" applyAlignment="0" applyProtection="0"/>
    <xf numFmtId="203" fontId="80" fillId="7" borderId="0" applyNumberFormat="0" applyBorder="0" applyAlignment="0" applyProtection="0"/>
    <xf numFmtId="203" fontId="80" fillId="8" borderId="0" applyNumberFormat="0" applyBorder="0" applyAlignment="0" applyProtection="0"/>
    <xf numFmtId="203" fontId="80" fillId="15" borderId="0" applyNumberFormat="0" applyBorder="0" applyAlignment="0" applyProtection="0"/>
    <xf numFmtId="203" fontId="80" fillId="16" borderId="0" applyNumberFormat="0" applyBorder="0" applyAlignment="0" applyProtection="0"/>
    <xf numFmtId="203" fontId="80" fillId="17" borderId="0" applyNumberFormat="0" applyBorder="0" applyAlignment="0" applyProtection="0"/>
    <xf numFmtId="203" fontId="80" fillId="18" borderId="0" applyNumberFormat="0" applyBorder="0" applyAlignment="0" applyProtection="0"/>
    <xf numFmtId="203" fontId="80" fillId="19" borderId="0" applyNumberFormat="0" applyBorder="0" applyAlignment="0" applyProtection="0"/>
    <xf numFmtId="203" fontId="80" fillId="20" borderId="0" applyNumberFormat="0" applyBorder="0" applyAlignment="0" applyProtection="0"/>
    <xf numFmtId="203" fontId="80" fillId="15" borderId="0" applyNumberFormat="0" applyBorder="0" applyAlignment="0" applyProtection="0"/>
    <xf numFmtId="203" fontId="80" fillId="18" borderId="0" applyNumberFormat="0" applyBorder="0" applyAlignment="0" applyProtection="0"/>
    <xf numFmtId="203" fontId="80" fillId="21" borderId="0" applyNumberFormat="0" applyBorder="0" applyAlignment="0" applyProtection="0"/>
    <xf numFmtId="203" fontId="81" fillId="22" borderId="0" applyNumberFormat="0" applyBorder="0" applyAlignment="0" applyProtection="0"/>
    <xf numFmtId="203" fontId="81" fillId="19" borderId="0" applyNumberFormat="0" applyBorder="0" applyAlignment="0" applyProtection="0"/>
    <xf numFmtId="203" fontId="81" fillId="20" borderId="0" applyNumberFormat="0" applyBorder="0" applyAlignment="0" applyProtection="0"/>
    <xf numFmtId="203" fontId="81" fillId="23" borderId="0" applyNumberFormat="0" applyBorder="0" applyAlignment="0" applyProtection="0"/>
    <xf numFmtId="203" fontId="81" fillId="24" borderId="0" applyNumberFormat="0" applyBorder="0" applyAlignment="0" applyProtection="0"/>
    <xf numFmtId="203" fontId="81" fillId="25" borderId="0" applyNumberFormat="0" applyBorder="0" applyAlignment="0" applyProtection="0"/>
    <xf numFmtId="203" fontId="81" fillId="26" borderId="0" applyNumberFormat="0" applyBorder="0" applyAlignment="0" applyProtection="0"/>
    <xf numFmtId="203" fontId="81" fillId="27" borderId="0" applyNumberFormat="0" applyBorder="0" applyAlignment="0" applyProtection="0"/>
    <xf numFmtId="203" fontId="81" fillId="28" borderId="0" applyNumberFormat="0" applyBorder="0" applyAlignment="0" applyProtection="0"/>
    <xf numFmtId="203" fontId="81" fillId="23" borderId="0" applyNumberFormat="0" applyBorder="0" applyAlignment="0" applyProtection="0"/>
    <xf numFmtId="203" fontId="81" fillId="24" borderId="0" applyNumberFormat="0" applyBorder="0" applyAlignment="0" applyProtection="0"/>
    <xf numFmtId="203" fontId="81" fillId="29" borderId="0" applyNumberFormat="0" applyBorder="0" applyAlignment="0" applyProtection="0"/>
    <xf numFmtId="0" fontId="82" fillId="0" borderId="0">
      <alignment horizontal="center" wrapText="1"/>
      <protection locked="0"/>
    </xf>
    <xf numFmtId="203" fontId="83" fillId="7" borderId="0" applyNumberFormat="0" applyBorder="0" applyAlignment="0" applyProtection="0"/>
    <xf numFmtId="203" fontId="84" fillId="30" borderId="15" applyNumberFormat="0" applyAlignment="0" applyProtection="0"/>
    <xf numFmtId="203" fontId="85" fillId="31" borderId="16" applyNumberFormat="0" applyAlignment="0" applyProtection="0"/>
    <xf numFmtId="0" fontId="86" fillId="0" borderId="0" applyNumberFormat="0" applyAlignment="0">
      <alignment horizontal="left"/>
    </xf>
    <xf numFmtId="0" fontId="36" fillId="0" borderId="0" applyNumberFormat="0" applyAlignment="0"/>
    <xf numFmtId="15" fontId="26" fillId="0" borderId="0"/>
    <xf numFmtId="0" fontId="87" fillId="0" borderId="0" applyNumberFormat="0" applyFill="0" applyBorder="0" applyAlignment="0" applyProtection="0"/>
    <xf numFmtId="0" fontId="88" fillId="0" borderId="0" applyNumberFormat="0" applyAlignment="0">
      <alignment horizontal="left"/>
    </xf>
    <xf numFmtId="203" fontId="89" fillId="0" borderId="0" applyNumberFormat="0" applyFill="0" applyBorder="0" applyAlignment="0" applyProtection="0"/>
    <xf numFmtId="203" fontId="90" fillId="8" borderId="0" applyNumberFormat="0" applyBorder="0" applyAlignment="0" applyProtection="0"/>
    <xf numFmtId="203" fontId="91" fillId="0" borderId="17" applyNumberFormat="0" applyFill="0" applyAlignment="0" applyProtection="0"/>
    <xf numFmtId="203" fontId="92" fillId="0" borderId="18" applyNumberFormat="0" applyFill="0" applyAlignment="0" applyProtection="0"/>
    <xf numFmtId="203" fontId="93" fillId="0" borderId="19" applyNumberFormat="0" applyFill="0" applyAlignment="0" applyProtection="0"/>
    <xf numFmtId="203" fontId="93" fillId="0" borderId="0" applyNumberFormat="0" applyFill="0" applyBorder="0" applyAlignment="0" applyProtection="0"/>
    <xf numFmtId="203" fontId="94" fillId="17" borderId="15" applyNumberFormat="0" applyAlignment="0" applyProtection="0"/>
    <xf numFmtId="219" fontId="2" fillId="32" borderId="0"/>
    <xf numFmtId="203" fontId="95" fillId="0" borderId="20" applyNumberFormat="0" applyFill="0" applyAlignment="0" applyProtection="0"/>
    <xf numFmtId="219" fontId="2" fillId="33" borderId="0"/>
    <xf numFmtId="220" fontId="2" fillId="0" borderId="0" applyFont="0" applyFill="0" applyBorder="0" applyAlignment="0" applyProtection="0"/>
    <xf numFmtId="221" fontId="2" fillId="0" borderId="0" applyFont="0" applyFill="0" applyBorder="0" applyAlignment="0" applyProtection="0"/>
    <xf numFmtId="222" fontId="2" fillId="0" borderId="0" applyFont="0" applyFill="0" applyBorder="0" applyAlignment="0" applyProtection="0"/>
    <xf numFmtId="186" fontId="2" fillId="0" borderId="0" applyFont="0" applyFill="0" applyBorder="0" applyAlignment="0" applyProtection="0"/>
    <xf numFmtId="203" fontId="96" fillId="34" borderId="0" applyNumberFormat="0" applyBorder="0" applyAlignment="0" applyProtection="0"/>
    <xf numFmtId="0" fontId="15" fillId="0" borderId="0"/>
    <xf numFmtId="0" fontId="14" fillId="0" borderId="0"/>
    <xf numFmtId="0" fontId="14" fillId="0" borderId="0"/>
    <xf numFmtId="0" fontId="2" fillId="0" borderId="0">
      <alignment vertical="center"/>
    </xf>
    <xf numFmtId="203" fontId="14" fillId="35" borderId="21" applyNumberFormat="0" applyFont="0" applyAlignment="0" applyProtection="0"/>
    <xf numFmtId="214" fontId="14" fillId="0" borderId="0" applyFont="0" applyFill="0" applyBorder="0" applyAlignment="0" applyProtection="0"/>
    <xf numFmtId="213" fontId="14" fillId="0" borderId="0" applyFont="0" applyFill="0" applyBorder="0" applyAlignment="0" applyProtection="0"/>
    <xf numFmtId="203" fontId="97" fillId="30" borderId="22" applyNumberFormat="0" applyAlignment="0" applyProtection="0"/>
    <xf numFmtId="14" fontId="82" fillId="0" borderId="0">
      <alignment horizontal="center" wrapText="1"/>
      <protection locked="0"/>
    </xf>
    <xf numFmtId="218" fontId="98" fillId="0" borderId="0"/>
    <xf numFmtId="0" fontId="26" fillId="0" borderId="0" applyNumberFormat="0" applyFont="0" applyFill="0" applyBorder="0" applyAlignment="0" applyProtection="0">
      <alignment horizontal="left"/>
    </xf>
    <xf numFmtId="223" fontId="2" fillId="0" borderId="0" applyNumberFormat="0" applyFill="0" applyBorder="0" applyAlignment="0" applyProtection="0">
      <alignment horizontal="left"/>
    </xf>
    <xf numFmtId="41" fontId="15" fillId="0" borderId="0" applyFont="0" applyFill="0" applyBorder="0" applyAlignment="0" applyProtection="0"/>
    <xf numFmtId="0" fontId="99" fillId="36" borderId="0">
      <alignment horizontal="left" vertical="center"/>
    </xf>
    <xf numFmtId="0" fontId="99" fillId="36" borderId="0">
      <alignment horizontal="right" vertical="center"/>
    </xf>
    <xf numFmtId="40" fontId="100" fillId="0" borderId="0" applyBorder="0">
      <alignment horizontal="right"/>
    </xf>
    <xf numFmtId="203" fontId="101" fillId="0" borderId="23" applyNumberFormat="0" applyFill="0" applyAlignment="0" applyProtection="0"/>
    <xf numFmtId="203" fontId="102" fillId="0" borderId="0" applyNumberFormat="0" applyFill="0" applyBorder="0" applyAlignment="0" applyProtection="0"/>
    <xf numFmtId="0" fontId="6" fillId="0" borderId="0"/>
    <xf numFmtId="9" fontId="17"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104" fillId="13" borderId="0" applyNumberFormat="0" applyBorder="0" applyAlignment="0" applyProtection="0">
      <alignment vertical="center"/>
    </xf>
    <xf numFmtId="0" fontId="105" fillId="15" borderId="0" applyNumberFormat="0" applyBorder="0" applyAlignment="0" applyProtection="0">
      <alignment vertical="center"/>
    </xf>
    <xf numFmtId="0" fontId="14" fillId="0" borderId="0"/>
    <xf numFmtId="0" fontId="49" fillId="0" borderId="0">
      <alignment vertical="center"/>
    </xf>
    <xf numFmtId="203" fontId="2" fillId="0" borderId="0">
      <protection locked="0"/>
    </xf>
    <xf numFmtId="0" fontId="2" fillId="0" borderId="0">
      <protection locked="0"/>
    </xf>
    <xf numFmtId="203" fontId="2" fillId="0" borderId="0"/>
    <xf numFmtId="0" fontId="49" fillId="0" borderId="0">
      <alignment vertical="center"/>
    </xf>
    <xf numFmtId="0" fontId="2" fillId="0" borderId="0" applyNumberFormat="0" applyFill="0" applyBorder="0" applyAlignment="0" applyProtection="0"/>
    <xf numFmtId="0" fontId="68" fillId="0" borderId="0">
      <alignment vertical="center"/>
    </xf>
    <xf numFmtId="203" fontId="52"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06" fillId="12" borderId="0" applyNumberFormat="0" applyBorder="0" applyAlignment="0" applyProtection="0">
      <alignment vertical="center"/>
    </xf>
    <xf numFmtId="0" fontId="53" fillId="16" borderId="0" applyNumberFormat="0" applyBorder="0" applyAlignment="0" applyProtection="0">
      <alignment vertical="center"/>
    </xf>
    <xf numFmtId="204" fontId="14" fillId="0" borderId="0" applyFont="0" applyFill="0" applyBorder="0" applyAlignment="0" applyProtection="0"/>
    <xf numFmtId="224" fontId="14" fillId="0" borderId="0" applyFont="0" applyFill="0" applyBorder="0" applyAlignment="0" applyProtection="0"/>
    <xf numFmtId="225" fontId="107" fillId="0" borderId="0" applyFont="0" applyFill="0" applyBorder="0" applyAlignment="0" applyProtection="0"/>
    <xf numFmtId="226" fontId="107" fillId="0" borderId="0" applyFont="0" applyFill="0" applyBorder="0" applyAlignment="0" applyProtection="0"/>
    <xf numFmtId="43" fontId="2" fillId="0" borderId="0" applyFont="0" applyFill="0" applyBorder="0" applyAlignment="0" applyProtection="0">
      <alignment vertical="center"/>
    </xf>
    <xf numFmtId="41" fontId="2" fillId="0" borderId="0" applyFont="0" applyFill="0" applyBorder="0" applyAlignment="0" applyProtection="0"/>
    <xf numFmtId="0" fontId="108" fillId="0" borderId="0"/>
    <xf numFmtId="0" fontId="109" fillId="0" borderId="0"/>
    <xf numFmtId="40" fontId="103" fillId="0" borderId="0" applyFont="0" applyFill="0" applyBorder="0" applyAlignment="0" applyProtection="0"/>
    <xf numFmtId="38" fontId="103" fillId="0" borderId="0" applyFont="0" applyFill="0" applyBorder="0" applyAlignment="0" applyProtection="0"/>
    <xf numFmtId="214" fontId="14" fillId="0" borderId="5" applyNumberFormat="0"/>
    <xf numFmtId="0" fontId="2" fillId="0" borderId="0" applyFill="0" applyBorder="0"/>
    <xf numFmtId="0" fontId="15" fillId="0" borderId="0">
      <protection locked="0"/>
    </xf>
    <xf numFmtId="0" fontId="16" fillId="0" borderId="0">
      <alignment vertical="top"/>
      <protection locked="0"/>
    </xf>
    <xf numFmtId="0" fontId="2" fillId="0" borderId="0"/>
    <xf numFmtId="0" fontId="16" fillId="0" borderId="0">
      <alignment vertical="top"/>
      <protection locked="0"/>
    </xf>
    <xf numFmtId="203" fontId="2" fillId="0" borderId="0">
      <alignment vertical="center"/>
    </xf>
    <xf numFmtId="203" fontId="2" fillId="0" borderId="0">
      <alignment vertical="center"/>
      <protection locked="0"/>
    </xf>
    <xf numFmtId="203" fontId="2" fillId="0" borderId="0">
      <alignment vertical="center"/>
    </xf>
    <xf numFmtId="0" fontId="116" fillId="22" borderId="0" applyNumberFormat="0" applyBorder="0" applyAlignment="0" applyProtection="0">
      <alignment vertical="center"/>
    </xf>
    <xf numFmtId="9" fontId="2" fillId="0" borderId="0" applyFont="0" applyFill="0" applyBorder="0" applyAlignment="0" applyProtection="0"/>
    <xf numFmtId="9" fontId="68" fillId="0" borderId="0" applyFont="0" applyFill="0" applyBorder="0" applyAlignment="0" applyProtection="0">
      <alignment vertical="center"/>
    </xf>
    <xf numFmtId="9" fontId="68" fillId="0" borderId="0" applyFont="0" applyFill="0" applyBorder="0" applyAlignment="0" applyProtection="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alignment vertical="center"/>
    </xf>
    <xf numFmtId="0" fontId="2" fillId="0" borderId="0">
      <alignment vertical="center"/>
    </xf>
    <xf numFmtId="0" fontId="2"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2" fillId="0" borderId="0"/>
    <xf numFmtId="0" fontId="2" fillId="0" borderId="0"/>
    <xf numFmtId="0" fontId="2" fillId="0" borderId="0">
      <protection locked="0"/>
    </xf>
    <xf numFmtId="0" fontId="2" fillId="0" borderId="0">
      <protection locked="0"/>
    </xf>
    <xf numFmtId="0" fontId="117" fillId="0" borderId="0"/>
    <xf numFmtId="0" fontId="2" fillId="0" borderId="0"/>
    <xf numFmtId="0" fontId="68" fillId="0" borderId="0">
      <alignment vertical="center"/>
    </xf>
    <xf numFmtId="203" fontId="2" fillId="0" borderId="0">
      <protection locked="0"/>
    </xf>
    <xf numFmtId="0" fontId="2" fillId="0" borderId="0">
      <alignment vertical="center"/>
    </xf>
    <xf numFmtId="0" fontId="50" fillId="0" borderId="0" applyNumberFormat="0" applyBorder="0" applyProtection="0">
      <alignment vertical="center"/>
    </xf>
    <xf numFmtId="0" fontId="2" fillId="0" borderId="0">
      <alignment vertical="center"/>
    </xf>
    <xf numFmtId="0" fontId="2" fillId="0" borderId="0">
      <alignment vertical="center"/>
    </xf>
    <xf numFmtId="203" fontId="2" fillId="0" borderId="0"/>
    <xf numFmtId="203" fontId="49" fillId="0" borderId="0">
      <alignment vertical="center"/>
    </xf>
    <xf numFmtId="0" fontId="2" fillId="0" borderId="0">
      <alignment vertical="center"/>
    </xf>
    <xf numFmtId="0" fontId="2" fillId="0" borderId="0">
      <alignment vertical="center"/>
    </xf>
    <xf numFmtId="0" fontId="49" fillId="0" borderId="0">
      <alignment vertical="center"/>
    </xf>
    <xf numFmtId="0" fontId="68" fillId="0" borderId="0">
      <alignment vertical="center"/>
    </xf>
    <xf numFmtId="0" fontId="2" fillId="0" borderId="0">
      <protection locked="0"/>
    </xf>
    <xf numFmtId="0" fontId="68"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43" fontId="2" fillId="0" borderId="0" applyFont="0" applyFill="0" applyBorder="0" applyAlignment="0" applyProtection="0">
      <alignment vertical="center"/>
    </xf>
    <xf numFmtId="43" fontId="68"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68" fillId="0" borderId="0" applyFont="0" applyFill="0" applyBorder="0" applyAlignment="0" applyProtection="0">
      <alignment vertical="center"/>
    </xf>
    <xf numFmtId="203" fontId="2" fillId="0" borderId="0"/>
    <xf numFmtId="203" fontId="2" fillId="0" borderId="0">
      <protection locked="0"/>
    </xf>
    <xf numFmtId="203" fontId="2" fillId="0" borderId="0">
      <alignment vertical="center"/>
      <protection locked="0"/>
    </xf>
    <xf numFmtId="203" fontId="1" fillId="0" borderId="0"/>
    <xf numFmtId="43" fontId="2" fillId="0" borderId="0" applyFont="0" applyFill="0" applyBorder="0" applyAlignment="0" applyProtection="0">
      <alignment vertical="center"/>
    </xf>
    <xf numFmtId="9" fontId="68" fillId="0" borderId="0" applyFont="0" applyFill="0" applyBorder="0" applyAlignment="0" applyProtection="0">
      <alignment vertical="center"/>
    </xf>
    <xf numFmtId="203" fontId="68" fillId="0" borderId="0">
      <alignment vertical="center"/>
    </xf>
  </cellStyleXfs>
  <cellXfs count="407">
    <xf numFmtId="0" fontId="0" fillId="0" borderId="0" xfId="0">
      <alignment vertical="center"/>
    </xf>
    <xf numFmtId="0" fontId="6" fillId="0" borderId="0" xfId="163" applyFont="1" applyAlignment="1">
      <alignment vertical="center"/>
      <protection locked="0"/>
    </xf>
    <xf numFmtId="0" fontId="63" fillId="0" borderId="0" xfId="0" applyFont="1" applyProtection="1">
      <alignment vertical="center"/>
      <protection locked="0"/>
    </xf>
    <xf numFmtId="0" fontId="0" fillId="0" borderId="0" xfId="0" applyProtection="1">
      <alignment vertical="center"/>
      <protection locked="0"/>
    </xf>
    <xf numFmtId="0" fontId="11" fillId="9" borderId="0" xfId="0" applyFont="1" applyFill="1" applyAlignment="1" applyProtection="1">
      <alignment horizontal="justify" vertical="center" wrapText="1"/>
      <protection locked="0"/>
    </xf>
    <xf numFmtId="0" fontId="65" fillId="0" borderId="0" xfId="0" applyFont="1" applyAlignment="1" applyProtection="1">
      <alignment horizontal="left" vertical="center"/>
      <protection locked="0"/>
    </xf>
    <xf numFmtId="0" fontId="11" fillId="0" borderId="0" xfId="2" applyFont="1" applyAlignment="1">
      <alignment horizontal="left" vertical="center" indent="1"/>
    </xf>
    <xf numFmtId="0" fontId="3" fillId="0" borderId="0" xfId="2" applyFont="1" applyAlignment="1">
      <alignment horizontal="left" vertical="center"/>
    </xf>
    <xf numFmtId="0" fontId="10" fillId="0" borderId="0" xfId="163" applyFont="1" applyAlignment="1">
      <alignment vertical="center"/>
      <protection locked="0"/>
    </xf>
    <xf numFmtId="0" fontId="10" fillId="0" borderId="0" xfId="0" applyFont="1" applyProtection="1">
      <alignment vertical="center"/>
      <protection locked="0"/>
    </xf>
    <xf numFmtId="0" fontId="6" fillId="0" borderId="0" xfId="192" applyFont="1" applyAlignment="1">
      <alignment vertical="center"/>
      <protection locked="0"/>
    </xf>
    <xf numFmtId="0" fontId="6" fillId="0" borderId="0" xfId="192" applyFont="1" applyAlignment="1">
      <alignment horizontal="left" vertical="center"/>
      <protection locked="0"/>
    </xf>
    <xf numFmtId="0" fontId="57" fillId="0" borderId="0" xfId="192" applyFont="1">
      <protection locked="0"/>
    </xf>
    <xf numFmtId="0" fontId="57" fillId="0" borderId="0" xfId="192" applyFont="1" applyAlignment="1">
      <alignment vertical="center"/>
      <protection locked="0"/>
    </xf>
    <xf numFmtId="0" fontId="57" fillId="0" borderId="0" xfId="192" applyFont="1" applyAlignment="1">
      <alignment horizontal="right"/>
      <protection locked="0"/>
    </xf>
    <xf numFmtId="0" fontId="14" fillId="0" borderId="0" xfId="0" applyFont="1" applyProtection="1">
      <alignment vertical="center"/>
      <protection locked="0"/>
    </xf>
    <xf numFmtId="0" fontId="63" fillId="0" borderId="0" xfId="0" applyFont="1" applyAlignment="1" applyProtection="1">
      <alignment horizontal="center" vertical="center"/>
      <protection locked="0"/>
    </xf>
    <xf numFmtId="0" fontId="52" fillId="0" borderId="0" xfId="167" quotePrefix="1" applyAlignment="1">
      <alignment vertical="center"/>
      <protection locked="0"/>
    </xf>
    <xf numFmtId="0" fontId="65" fillId="0" borderId="0" xfId="163" applyFont="1" applyAlignment="1">
      <alignment vertical="center"/>
      <protection locked="0"/>
    </xf>
    <xf numFmtId="0" fontId="65" fillId="0" borderId="0" xfId="0" applyFont="1" applyProtection="1">
      <alignment vertical="center"/>
      <protection locked="0"/>
    </xf>
    <xf numFmtId="43" fontId="6" fillId="0" borderId="0" xfId="331" applyNumberFormat="1" applyFont="1" applyBorder="1" applyAlignment="1">
      <alignment vertical="center"/>
    </xf>
    <xf numFmtId="43" fontId="72" fillId="0" borderId="1" xfId="196" applyNumberFormat="1" applyFont="1" applyBorder="1" applyAlignment="1" applyProtection="1">
      <alignment horizontal="right" vertical="center" shrinkToFit="1"/>
    </xf>
    <xf numFmtId="0" fontId="11" fillId="0" borderId="0" xfId="192" applyFont="1" applyAlignment="1">
      <alignment horizontal="left" vertical="center"/>
      <protection locked="0"/>
    </xf>
    <xf numFmtId="0" fontId="3" fillId="0" borderId="0" xfId="192" applyFont="1" applyAlignment="1">
      <alignment vertical="center"/>
      <protection locked="0"/>
    </xf>
    <xf numFmtId="0" fontId="5" fillId="0" borderId="0" xfId="192" applyFont="1" applyAlignment="1">
      <alignment vertical="center"/>
      <protection locked="0"/>
    </xf>
    <xf numFmtId="0" fontId="6" fillId="0" borderId="0" xfId="163" applyFont="1" applyAlignment="1">
      <alignment horizontal="left" vertical="center" indent="1"/>
      <protection locked="0"/>
    </xf>
    <xf numFmtId="43" fontId="72" fillId="0" borderId="1" xfId="196" applyNumberFormat="1" applyFont="1" applyBorder="1" applyAlignment="1" applyProtection="1">
      <alignment horizontal="center" vertical="center" shrinkToFit="1"/>
    </xf>
    <xf numFmtId="0" fontId="11" fillId="0" borderId="0" xfId="192" applyFont="1" applyAlignment="1">
      <alignment vertical="center"/>
      <protection locked="0"/>
    </xf>
    <xf numFmtId="0" fontId="58" fillId="0" borderId="0" xfId="192" applyFont="1" applyAlignment="1">
      <alignment vertical="center"/>
      <protection locked="0"/>
    </xf>
    <xf numFmtId="0" fontId="12" fillId="0" borderId="0" xfId="192" applyFont="1" applyAlignment="1">
      <alignment horizontal="right"/>
      <protection locked="0"/>
    </xf>
    <xf numFmtId="0" fontId="58" fillId="0" borderId="0" xfId="192" applyFont="1">
      <protection locked="0"/>
    </xf>
    <xf numFmtId="0" fontId="6" fillId="0" borderId="0" xfId="195" applyFont="1" applyAlignment="1" applyProtection="1">
      <alignment vertical="center"/>
      <protection locked="0"/>
    </xf>
    <xf numFmtId="0" fontId="5" fillId="0" borderId="0" xfId="195" applyFont="1" applyAlignment="1">
      <alignment vertical="center"/>
    </xf>
    <xf numFmtId="0" fontId="6" fillId="0" borderId="0" xfId="192" applyFont="1" applyAlignment="1">
      <alignment horizontal="center" vertical="center"/>
      <protection locked="0"/>
    </xf>
    <xf numFmtId="0" fontId="57" fillId="0" borderId="0" xfId="195" applyFont="1" applyAlignment="1" applyProtection="1">
      <alignment horizontal="center" vertical="center"/>
      <protection hidden="1"/>
    </xf>
    <xf numFmtId="0" fontId="6" fillId="0" borderId="0" xfId="195" applyFont="1" applyAlignment="1" applyProtection="1">
      <alignment horizontal="left" vertical="center"/>
      <protection hidden="1"/>
    </xf>
    <xf numFmtId="0" fontId="57" fillId="0" borderId="0" xfId="195" applyFont="1" applyAlignment="1" applyProtection="1">
      <alignment horizontal="left" vertical="center"/>
      <protection locked="0"/>
    </xf>
    <xf numFmtId="0" fontId="5" fillId="0" borderId="0" xfId="192" applyFont="1" applyAlignment="1">
      <alignment horizontal="left" vertical="center"/>
      <protection locked="0"/>
    </xf>
    <xf numFmtId="0" fontId="67" fillId="0" borderId="0" xfId="192" applyFont="1" applyAlignment="1">
      <alignment vertical="center"/>
      <protection locked="0"/>
    </xf>
    <xf numFmtId="0" fontId="13" fillId="0" borderId="0" xfId="192" applyFont="1" applyAlignment="1">
      <alignment horizontal="left"/>
      <protection locked="0"/>
    </xf>
    <xf numFmtId="49" fontId="57" fillId="0" borderId="0" xfId="192" applyNumberFormat="1" applyFont="1" applyAlignment="1">
      <alignment horizontal="right" vertical="center"/>
      <protection locked="0"/>
    </xf>
    <xf numFmtId="43" fontId="13" fillId="0" borderId="0" xfId="331" applyNumberFormat="1" applyFont="1" applyBorder="1" applyAlignment="1">
      <alignment vertical="center"/>
    </xf>
    <xf numFmtId="43" fontId="57" fillId="0" borderId="0" xfId="331" applyNumberFormat="1" applyFont="1" applyBorder="1" applyAlignment="1">
      <alignment vertical="center"/>
    </xf>
    <xf numFmtId="0" fontId="57" fillId="0" borderId="0" xfId="192" applyFont="1" applyAlignment="1">
      <alignment horizontal="right" vertical="center"/>
      <protection locked="0"/>
    </xf>
    <xf numFmtId="0" fontId="13" fillId="0" borderId="0" xfId="192" applyFont="1" applyAlignment="1">
      <alignment vertical="center"/>
      <protection locked="0"/>
    </xf>
    <xf numFmtId="0" fontId="13" fillId="0" borderId="0" xfId="192" applyFont="1" applyAlignment="1">
      <alignment horizontal="center" vertical="center" wrapText="1"/>
      <protection locked="0"/>
    </xf>
    <xf numFmtId="0" fontId="57" fillId="0" borderId="0" xfId="192" applyFont="1" applyAlignment="1">
      <alignment horizontal="center" wrapText="1"/>
      <protection locked="0"/>
    </xf>
    <xf numFmtId="0" fontId="6" fillId="0" borderId="0" xfId="2" applyFont="1" applyAlignment="1">
      <alignment horizontal="justify" vertical="center" wrapText="1"/>
    </xf>
    <xf numFmtId="0" fontId="6" fillId="0" borderId="0" xfId="2" applyFont="1">
      <alignment vertical="center"/>
    </xf>
    <xf numFmtId="0" fontId="57" fillId="0" borderId="0" xfId="163" applyFont="1" applyAlignment="1">
      <alignment vertical="center"/>
      <protection locked="0"/>
    </xf>
    <xf numFmtId="0" fontId="6" fillId="0" borderId="0" xfId="163" applyFont="1" applyAlignment="1">
      <alignment horizontal="center" vertical="center"/>
      <protection locked="0"/>
    </xf>
    <xf numFmtId="0" fontId="6" fillId="0" borderId="0" xfId="2" applyFont="1" applyAlignment="1">
      <alignment horizontal="left" vertical="center"/>
    </xf>
    <xf numFmtId="0" fontId="11" fillId="0" borderId="0" xfId="2" applyFont="1">
      <alignment vertical="center"/>
    </xf>
    <xf numFmtId="0" fontId="11" fillId="0" borderId="0" xfId="163" applyFont="1" applyAlignment="1">
      <alignment vertical="center"/>
      <protection locked="0"/>
    </xf>
    <xf numFmtId="0" fontId="6" fillId="0" borderId="0" xfId="2" applyFont="1" applyAlignment="1">
      <alignment horizontal="center" vertical="center"/>
    </xf>
    <xf numFmtId="43" fontId="6" fillId="0" borderId="0" xfId="331" applyNumberFormat="1" applyFont="1" applyBorder="1" applyAlignment="1">
      <alignment horizontal="left" vertical="center"/>
    </xf>
    <xf numFmtId="203" fontId="5" fillId="10" borderId="1" xfId="312" applyFont="1" applyFill="1" applyBorder="1" applyAlignment="1" applyProtection="1">
      <alignment horizontal="center" vertical="center" wrapText="1"/>
      <protection locked="0"/>
    </xf>
    <xf numFmtId="203" fontId="5" fillId="10" borderId="1" xfId="194" applyNumberFormat="1" applyFont="1" applyFill="1" applyBorder="1" applyAlignment="1">
      <alignment horizontal="center" vertical="center"/>
      <protection locked="0"/>
    </xf>
    <xf numFmtId="203" fontId="60" fillId="10" borderId="1" xfId="194" applyNumberFormat="1" applyFont="1" applyFill="1" applyBorder="1" applyAlignment="1">
      <alignment horizontal="center" vertical="center" wrapText="1"/>
      <protection locked="0"/>
    </xf>
    <xf numFmtId="0" fontId="59" fillId="10" borderId="1" xfId="196" applyFont="1" applyFill="1" applyBorder="1" applyAlignment="1" applyProtection="1">
      <alignment vertical="center"/>
    </xf>
    <xf numFmtId="43" fontId="75" fillId="10" borderId="1" xfId="193" applyFont="1" applyFill="1" applyBorder="1" applyAlignment="1">
      <alignment horizontal="right" vertical="center"/>
    </xf>
    <xf numFmtId="43" fontId="6" fillId="10" borderId="1" xfId="193" applyFont="1" applyFill="1" applyBorder="1" applyAlignment="1">
      <alignment horizontal="right" vertical="center" wrapText="1"/>
    </xf>
    <xf numFmtId="10" fontId="6" fillId="10" borderId="1" xfId="158" applyNumberFormat="1" applyFont="1" applyFill="1" applyBorder="1" applyAlignment="1">
      <alignment horizontal="right" vertical="center" wrapText="1"/>
    </xf>
    <xf numFmtId="43" fontId="5" fillId="0" borderId="0" xfId="331" applyNumberFormat="1" applyFont="1" applyBorder="1" applyAlignment="1">
      <alignment vertical="center"/>
    </xf>
    <xf numFmtId="0" fontId="62" fillId="0" borderId="1" xfId="196" applyFont="1" applyBorder="1" applyAlignment="1" applyProtection="1">
      <alignment vertical="center"/>
    </xf>
    <xf numFmtId="43" fontId="75" fillId="0" borderId="1" xfId="193" applyFont="1" applyFill="1" applyBorder="1" applyAlignment="1">
      <alignment horizontal="right" vertical="center"/>
    </xf>
    <xf numFmtId="43" fontId="6" fillId="0" borderId="11" xfId="331" applyNumberFormat="1" applyFont="1" applyBorder="1" applyAlignment="1">
      <alignment vertical="center"/>
    </xf>
    <xf numFmtId="43" fontId="5" fillId="0" borderId="0" xfId="331" applyNumberFormat="1" applyFont="1" applyFill="1" applyBorder="1" applyAlignment="1">
      <alignment vertical="center"/>
    </xf>
    <xf numFmtId="0" fontId="6" fillId="0" borderId="0" xfId="188" applyFont="1" applyAlignment="1">
      <alignment vertical="center"/>
    </xf>
    <xf numFmtId="9" fontId="111" fillId="0" borderId="0" xfId="158" applyFont="1" applyBorder="1" applyAlignment="1">
      <alignment horizontal="left" vertical="center"/>
    </xf>
    <xf numFmtId="10" fontId="111" fillId="0" borderId="0" xfId="158" applyNumberFormat="1" applyFont="1" applyBorder="1" applyAlignment="1">
      <alignment horizontal="left" vertical="center"/>
    </xf>
    <xf numFmtId="43" fontId="6" fillId="0" borderId="0" xfId="331" applyNumberFormat="1" applyFont="1" applyFill="1" applyBorder="1" applyAlignment="1">
      <alignment vertical="center"/>
    </xf>
    <xf numFmtId="0" fontId="6" fillId="0" borderId="0" xfId="188" applyFont="1" applyAlignment="1">
      <alignment horizontal="left" vertical="center"/>
    </xf>
    <xf numFmtId="0" fontId="5" fillId="0" borderId="0" xfId="188" applyFont="1" applyAlignment="1">
      <alignment vertical="center"/>
    </xf>
    <xf numFmtId="0" fontId="62" fillId="0" borderId="1" xfId="196" applyFont="1" applyBorder="1" applyAlignment="1" applyProtection="1">
      <alignment vertical="center" wrapText="1"/>
    </xf>
    <xf numFmtId="43" fontId="3" fillId="0" borderId="0" xfId="331" applyNumberFormat="1" applyFont="1" applyBorder="1" applyAlignment="1">
      <alignment vertical="center"/>
    </xf>
    <xf numFmtId="0" fontId="6" fillId="0" borderId="0" xfId="332" applyFont="1">
      <protection locked="0"/>
    </xf>
    <xf numFmtId="0" fontId="3" fillId="10" borderId="1" xfId="196" applyFont="1" applyFill="1" applyBorder="1" applyAlignment="1">
      <alignment horizontal="center" vertical="center" wrapText="1"/>
      <protection locked="0"/>
    </xf>
    <xf numFmtId="0" fontId="6" fillId="11" borderId="0" xfId="332" applyFont="1" applyFill="1">
      <protection locked="0"/>
    </xf>
    <xf numFmtId="0" fontId="3" fillId="10" borderId="10" xfId="196" applyFont="1" applyFill="1" applyBorder="1" applyAlignment="1">
      <alignment horizontal="center" vertical="center" wrapText="1"/>
      <protection locked="0"/>
    </xf>
    <xf numFmtId="0" fontId="11" fillId="0" borderId="1" xfId="196" applyFont="1" applyBorder="1" applyAlignment="1" applyProtection="1">
      <alignment horizontal="center" vertical="center" wrapText="1"/>
    </xf>
    <xf numFmtId="43" fontId="6" fillId="0" borderId="1" xfId="196" applyNumberFormat="1" applyFont="1" applyBorder="1" applyAlignment="1" applyProtection="1">
      <alignment horizontal="right" vertical="center" shrinkToFit="1"/>
    </xf>
    <xf numFmtId="0" fontId="6" fillId="0" borderId="1" xfId="196" applyFont="1" applyBorder="1" applyAlignment="1" applyProtection="1">
      <alignment horizontal="center" vertical="center" wrapText="1"/>
    </xf>
    <xf numFmtId="0" fontId="56" fillId="0" borderId="0" xfId="163" applyFont="1" applyAlignment="1">
      <alignment vertical="center"/>
      <protection locked="0"/>
    </xf>
    <xf numFmtId="43" fontId="5" fillId="0" borderId="0" xfId="331" applyNumberFormat="1" applyFont="1" applyBorder="1" applyAlignment="1">
      <alignment horizontal="left" vertical="center"/>
    </xf>
    <xf numFmtId="43" fontId="110" fillId="0" borderId="0" xfId="167" applyNumberFormat="1" applyFont="1" applyBorder="1" applyAlignment="1" applyProtection="1">
      <alignment horizontal="center" vertical="center"/>
    </xf>
    <xf numFmtId="0" fontId="6" fillId="0" borderId="11" xfId="188" applyFont="1" applyBorder="1" applyAlignment="1">
      <alignment vertical="center"/>
    </xf>
    <xf numFmtId="0" fontId="0" fillId="10" borderId="10" xfId="0" applyFill="1" applyBorder="1" applyAlignment="1">
      <alignment horizontal="center" vertical="center" wrapText="1"/>
    </xf>
    <xf numFmtId="0" fontId="113" fillId="10" borderId="10" xfId="0" applyFont="1" applyFill="1" applyBorder="1" applyAlignment="1">
      <alignment horizontal="left" vertical="center"/>
    </xf>
    <xf numFmtId="0" fontId="71" fillId="10" borderId="1" xfId="0" applyFont="1" applyFill="1" applyBorder="1" applyAlignment="1">
      <alignment horizontal="center" vertical="center" wrapText="1"/>
    </xf>
    <xf numFmtId="0" fontId="69" fillId="0" borderId="1" xfId="0" applyFont="1" applyBorder="1" applyAlignment="1">
      <alignment vertical="center" wrapText="1"/>
    </xf>
    <xf numFmtId="0" fontId="6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9" fillId="0" borderId="0" xfId="0" applyFont="1">
      <alignment vertical="center"/>
    </xf>
    <xf numFmtId="14" fontId="11" fillId="0" borderId="0" xfId="2" applyNumberFormat="1" applyFont="1" applyAlignment="1">
      <alignment horizontal="justify" vertical="center" wrapText="1"/>
    </xf>
    <xf numFmtId="0" fontId="11" fillId="0" borderId="0" xfId="163" applyFont="1" applyAlignment="1">
      <alignment horizontal="justify" vertical="center" wrapText="1"/>
      <protection locked="0"/>
    </xf>
    <xf numFmtId="0" fontId="70" fillId="0" borderId="0" xfId="0" applyFont="1">
      <alignment vertical="center"/>
    </xf>
    <xf numFmtId="0" fontId="114" fillId="0" borderId="0" xfId="0" applyFont="1">
      <alignment vertical="center"/>
    </xf>
    <xf numFmtId="0" fontId="69" fillId="0" borderId="12" xfId="0" applyFont="1" applyBorder="1">
      <alignment vertical="center"/>
    </xf>
    <xf numFmtId="0" fontId="69" fillId="0" borderId="14" xfId="0" applyFont="1" applyBorder="1">
      <alignment vertical="center"/>
    </xf>
    <xf numFmtId="0" fontId="69" fillId="0" borderId="1" xfId="0" applyFont="1" applyBorder="1">
      <alignment vertical="center"/>
    </xf>
    <xf numFmtId="0" fontId="70" fillId="10" borderId="1" xfId="0" applyFont="1" applyFill="1" applyBorder="1" applyAlignment="1">
      <alignment horizontal="center" vertical="center" wrapText="1"/>
    </xf>
    <xf numFmtId="0" fontId="2" fillId="0" borderId="0" xfId="192">
      <protection locked="0"/>
    </xf>
    <xf numFmtId="0" fontId="59" fillId="10" borderId="1" xfId="192" applyFont="1" applyFill="1" applyBorder="1" applyAlignment="1" applyProtection="1">
      <alignment vertical="center"/>
    </xf>
    <xf numFmtId="203" fontId="3" fillId="10" borderId="1" xfId="312" applyFont="1" applyFill="1" applyBorder="1" applyAlignment="1" applyProtection="1">
      <alignment horizontal="center" vertical="center" wrapText="1"/>
      <protection locked="0"/>
    </xf>
    <xf numFmtId="203" fontId="120" fillId="10" borderId="1" xfId="312" applyFont="1" applyFill="1" applyBorder="1" applyAlignment="1" applyProtection="1">
      <alignment horizontal="center" vertical="center" wrapText="1"/>
      <protection locked="0"/>
    </xf>
    <xf numFmtId="0" fontId="62" fillId="0" borderId="1" xfId="192" applyFont="1" applyBorder="1" applyAlignment="1" applyProtection="1">
      <alignment vertical="center"/>
    </xf>
    <xf numFmtId="0" fontId="11" fillId="0" borderId="1" xfId="192" applyFont="1" applyBorder="1" applyAlignment="1" applyProtection="1">
      <alignment vertical="center"/>
    </xf>
    <xf numFmtId="0" fontId="78" fillId="0" borderId="1" xfId="192" applyFont="1" applyBorder="1" applyAlignment="1" applyProtection="1">
      <alignment horizontal="left" vertical="center" indent="1"/>
    </xf>
    <xf numFmtId="0" fontId="60" fillId="0" borderId="1" xfId="192" applyFont="1" applyBorder="1" applyAlignment="1" applyProtection="1">
      <alignment horizontal="center" vertical="center"/>
    </xf>
    <xf numFmtId="43" fontId="5" fillId="0" borderId="11" xfId="331" applyNumberFormat="1" applyFont="1" applyBorder="1" applyAlignment="1">
      <alignment horizontal="left" vertical="center"/>
    </xf>
    <xf numFmtId="43" fontId="6" fillId="0" borderId="11" xfId="331" applyNumberFormat="1" applyFont="1" applyBorder="1" applyAlignment="1">
      <alignment horizontal="left" vertical="center"/>
    </xf>
    <xf numFmtId="43" fontId="110" fillId="0" borderId="11" xfId="167" applyNumberFormat="1" applyFont="1" applyBorder="1" applyAlignment="1" applyProtection="1">
      <alignment horizontal="center" vertical="center"/>
    </xf>
    <xf numFmtId="9" fontId="111" fillId="0" borderId="0" xfId="340" applyFont="1" applyBorder="1" applyAlignment="1">
      <alignment horizontal="left" vertical="center"/>
    </xf>
    <xf numFmtId="10" fontId="111" fillId="0" borderId="0" xfId="340" applyNumberFormat="1" applyFont="1" applyBorder="1" applyAlignment="1">
      <alignment horizontal="left" vertical="center"/>
    </xf>
    <xf numFmtId="43" fontId="6" fillId="0" borderId="11" xfId="193" applyFont="1" applyFill="1" applyBorder="1" applyAlignment="1">
      <alignment horizontal="right" vertical="center" wrapText="1"/>
    </xf>
    <xf numFmtId="43" fontId="3" fillId="0" borderId="0" xfId="331" applyNumberFormat="1" applyFont="1" applyFill="1" applyBorder="1" applyAlignment="1">
      <alignment vertical="center"/>
    </xf>
    <xf numFmtId="0" fontId="2" fillId="0" borderId="0" xfId="0" applyFont="1">
      <alignment vertical="center"/>
    </xf>
    <xf numFmtId="0" fontId="65" fillId="0" borderId="0" xfId="0" applyFont="1" applyAlignment="1">
      <alignment horizontal="left" vertical="center" wrapText="1"/>
    </xf>
    <xf numFmtId="0" fontId="7" fillId="0" borderId="0" xfId="0" applyFont="1" applyAlignment="1">
      <alignment horizontal="center" vertical="center"/>
    </xf>
    <xf numFmtId="0" fontId="65" fillId="0" borderId="8" xfId="0" applyFont="1" applyBorder="1" applyAlignment="1">
      <alignment horizontal="left" vertical="center" wrapText="1"/>
    </xf>
    <xf numFmtId="0" fontId="2" fillId="0" borderId="0" xfId="0" applyFont="1" applyAlignment="1">
      <alignment horizontal="left" vertical="center"/>
    </xf>
    <xf numFmtId="43" fontId="0" fillId="0" borderId="0" xfId="0" applyNumberFormat="1">
      <alignment vertical="center"/>
    </xf>
    <xf numFmtId="43" fontId="123" fillId="0" borderId="6" xfId="0" applyNumberFormat="1" applyFont="1" applyBorder="1" applyAlignment="1">
      <alignment horizontal="center" vertical="center" wrapText="1"/>
    </xf>
    <xf numFmtId="43" fontId="122" fillId="0" borderId="8" xfId="0" applyNumberFormat="1" applyFont="1" applyBorder="1" applyAlignment="1">
      <alignment horizontal="center" vertical="center" wrapText="1"/>
    </xf>
    <xf numFmtId="0" fontId="66" fillId="0" borderId="8" xfId="0" applyFont="1" applyBorder="1" applyAlignment="1">
      <alignment horizontal="center" vertical="center" wrapText="1"/>
    </xf>
    <xf numFmtId="43" fontId="10" fillId="0" borderId="0" xfId="0" applyNumberFormat="1" applyFont="1">
      <alignment vertical="center"/>
    </xf>
    <xf numFmtId="43" fontId="10" fillId="0" borderId="8" xfId="0" applyNumberFormat="1" applyFont="1" applyBorder="1">
      <alignment vertical="center"/>
    </xf>
    <xf numFmtId="43" fontId="9" fillId="0" borderId="8" xfId="191" applyFont="1" applyBorder="1" applyAlignment="1">
      <alignment vertical="center"/>
    </xf>
    <xf numFmtId="43" fontId="124" fillId="0" borderId="8" xfId="0" applyNumberFormat="1" applyFont="1" applyBorder="1">
      <alignment vertical="center"/>
    </xf>
    <xf numFmtId="43" fontId="125" fillId="0" borderId="8" xfId="0" applyNumberFormat="1" applyFont="1" applyBorder="1">
      <alignment vertical="center"/>
    </xf>
    <xf numFmtId="203" fontId="6" fillId="0" borderId="0" xfId="338" applyFont="1">
      <alignment vertical="center"/>
    </xf>
    <xf numFmtId="49" fontId="5" fillId="0" borderId="0" xfId="338" applyNumberFormat="1" applyFont="1" applyAlignment="1">
      <alignment horizontal="left" vertical="center"/>
    </xf>
    <xf numFmtId="0" fontId="123" fillId="0" borderId="6" xfId="0" applyFont="1" applyBorder="1" applyAlignment="1">
      <alignment horizontal="right" vertical="center" wrapText="1"/>
    </xf>
    <xf numFmtId="0" fontId="66" fillId="0" borderId="6" xfId="0" applyFont="1" applyBorder="1" applyAlignment="1">
      <alignment horizontal="left" vertical="center" wrapText="1"/>
    </xf>
    <xf numFmtId="43" fontId="122" fillId="0" borderId="6" xfId="0" applyNumberFormat="1" applyFont="1" applyBorder="1" applyAlignment="1">
      <alignment horizontal="left" vertical="center" wrapText="1"/>
    </xf>
    <xf numFmtId="43" fontId="75" fillId="37" borderId="1" xfId="193" applyFont="1" applyFill="1" applyBorder="1" applyAlignment="1">
      <alignment horizontal="right" vertical="center"/>
    </xf>
    <xf numFmtId="43" fontId="60" fillId="37" borderId="1" xfId="193" applyFont="1" applyFill="1" applyBorder="1" applyAlignment="1">
      <alignment horizontal="right" vertical="center"/>
    </xf>
    <xf numFmtId="10" fontId="6" fillId="37" borderId="1" xfId="158" applyNumberFormat="1" applyFont="1" applyFill="1" applyBorder="1" applyAlignment="1">
      <alignment horizontal="right" vertical="center" wrapText="1"/>
    </xf>
    <xf numFmtId="43" fontId="6" fillId="37" borderId="1" xfId="193" applyFont="1" applyFill="1" applyBorder="1" applyAlignment="1">
      <alignment horizontal="right" vertical="center" wrapText="1"/>
    </xf>
    <xf numFmtId="10" fontId="5" fillId="37" borderId="1" xfId="158" applyNumberFormat="1" applyFont="1" applyFill="1" applyBorder="1" applyAlignment="1">
      <alignment horizontal="right" vertical="center" wrapText="1"/>
    </xf>
    <xf numFmtId="0" fontId="59" fillId="37" borderId="1" xfId="196" applyFont="1" applyFill="1" applyBorder="1" applyAlignment="1" applyProtection="1">
      <alignment horizontal="center" vertical="center"/>
    </xf>
    <xf numFmtId="43" fontId="75" fillId="37" borderId="1" xfId="389" applyFont="1" applyFill="1" applyBorder="1" applyAlignment="1">
      <alignment horizontal="right" vertical="center"/>
    </xf>
    <xf numFmtId="10" fontId="111" fillId="37" borderId="0" xfId="158" applyNumberFormat="1" applyFont="1" applyFill="1" applyBorder="1" applyAlignment="1">
      <alignment horizontal="center" vertical="center"/>
    </xf>
    <xf numFmtId="43" fontId="75" fillId="37" borderId="1" xfId="193" applyFont="1" applyFill="1" applyBorder="1" applyAlignment="1" applyProtection="1">
      <alignment horizontal="right" vertical="center"/>
    </xf>
    <xf numFmtId="0" fontId="3" fillId="37" borderId="13" xfId="196" applyFont="1" applyFill="1" applyBorder="1" applyAlignment="1" applyProtection="1">
      <alignment vertical="center" wrapText="1"/>
    </xf>
    <xf numFmtId="0" fontId="3" fillId="37" borderId="12" xfId="196" applyFont="1" applyFill="1" applyBorder="1" applyAlignment="1" applyProtection="1">
      <alignment horizontal="center" vertical="center" wrapText="1"/>
    </xf>
    <xf numFmtId="43" fontId="60" fillId="37" borderId="1" xfId="193" applyFont="1" applyFill="1" applyBorder="1" applyAlignment="1">
      <alignment horizontal="centerContinuous" vertical="center"/>
    </xf>
    <xf numFmtId="43" fontId="60" fillId="37" borderId="1" xfId="193" applyFont="1" applyFill="1" applyBorder="1" applyAlignment="1" applyProtection="1">
      <alignment horizontal="right" vertical="center"/>
    </xf>
    <xf numFmtId="0" fontId="5" fillId="37" borderId="1" xfId="332" applyFont="1" applyFill="1" applyBorder="1">
      <protection locked="0"/>
    </xf>
    <xf numFmtId="0" fontId="3" fillId="10" borderId="1" xfId="192" applyFont="1" applyFill="1" applyBorder="1" applyAlignment="1">
      <alignment horizontal="center" vertical="center"/>
      <protection locked="0"/>
    </xf>
    <xf numFmtId="203" fontId="14" fillId="0" borderId="0" xfId="337" applyFont="1">
      <alignment vertical="center"/>
      <protection locked="0"/>
    </xf>
    <xf numFmtId="203" fontId="14" fillId="0" borderId="1" xfId="337" applyFont="1" applyBorder="1" applyAlignment="1">
      <alignment horizontal="center" vertical="center" wrapText="1"/>
      <protection locked="0"/>
    </xf>
    <xf numFmtId="49" fontId="6" fillId="0" borderId="1" xfId="338" applyNumberFormat="1" applyFont="1" applyBorder="1" applyAlignment="1">
      <alignment horizontal="center" vertical="center"/>
    </xf>
    <xf numFmtId="0" fontId="114" fillId="0" borderId="1" xfId="315" applyFont="1" applyBorder="1" applyAlignment="1">
      <alignment vertical="center" wrapText="1"/>
    </xf>
    <xf numFmtId="0" fontId="114" fillId="0" borderId="1" xfId="315" applyFont="1" applyBorder="1" applyAlignment="1">
      <alignment horizontal="center" vertical="center" wrapText="1"/>
    </xf>
    <xf numFmtId="0" fontId="70" fillId="0" borderId="1" xfId="315" applyFont="1" applyBorder="1" applyAlignment="1">
      <alignment horizontal="center" vertical="center" wrapText="1"/>
    </xf>
    <xf numFmtId="203" fontId="14" fillId="0" borderId="0" xfId="338" applyFont="1">
      <alignment vertical="center"/>
    </xf>
    <xf numFmtId="0" fontId="114" fillId="0" borderId="1" xfId="0" applyFont="1" applyBorder="1" applyAlignment="1">
      <alignment vertical="center" wrapText="1"/>
    </xf>
    <xf numFmtId="0" fontId="11" fillId="0" borderId="1" xfId="0" applyFont="1" applyBorder="1" applyAlignment="1">
      <alignment vertical="center" wrapText="1"/>
    </xf>
    <xf numFmtId="0" fontId="114" fillId="0" borderId="1" xfId="0" applyFont="1" applyBorder="1" applyAlignment="1">
      <alignment horizontal="center" vertical="center" wrapText="1"/>
    </xf>
    <xf numFmtId="0" fontId="11" fillId="0" borderId="0" xfId="2" applyFont="1" applyAlignment="1">
      <alignment horizontal="left" vertical="center"/>
    </xf>
    <xf numFmtId="0" fontId="11" fillId="0" borderId="0" xfId="195" applyFont="1" applyAlignment="1">
      <alignment horizontal="left" vertical="center"/>
    </xf>
    <xf numFmtId="0" fontId="119" fillId="0" borderId="0" xfId="195" applyFont="1" applyAlignment="1">
      <alignment horizontal="left" vertical="center"/>
    </xf>
    <xf numFmtId="0" fontId="0" fillId="0" borderId="0" xfId="0" applyAlignment="1" applyProtection="1">
      <protection locked="0"/>
    </xf>
    <xf numFmtId="0" fontId="11" fillId="0" borderId="0" xfId="0" applyFont="1" applyAlignment="1" applyProtection="1">
      <protection locked="0"/>
    </xf>
    <xf numFmtId="0" fontId="3" fillId="10" borderId="1" xfId="192" applyFont="1" applyFill="1" applyBorder="1" applyAlignment="1">
      <alignment horizontal="center" vertical="center" wrapText="1"/>
      <protection locked="0"/>
    </xf>
    <xf numFmtId="0" fontId="11" fillId="0" borderId="0" xfId="0" applyFont="1" applyAlignment="1" applyProtection="1">
      <alignment horizontal="center"/>
      <protection locked="0"/>
    </xf>
    <xf numFmtId="43" fontId="6" fillId="0" borderId="1" xfId="179" applyFont="1" applyBorder="1" applyAlignment="1" applyProtection="1">
      <protection locked="0"/>
    </xf>
    <xf numFmtId="0" fontId="59" fillId="10" borderId="1" xfId="359" applyFont="1" applyFill="1" applyBorder="1" applyAlignment="1" applyProtection="1">
      <alignment horizontal="center" vertical="center" wrapText="1"/>
    </xf>
    <xf numFmtId="0" fontId="62" fillId="0" borderId="1" xfId="359" applyFont="1" applyBorder="1" applyAlignment="1" applyProtection="1">
      <alignment vertical="center"/>
    </xf>
    <xf numFmtId="0" fontId="2" fillId="0" borderId="0" xfId="359">
      <protection locked="0"/>
    </xf>
    <xf numFmtId="0" fontId="127" fillId="0" borderId="0" xfId="192" applyFont="1">
      <protection locked="0"/>
    </xf>
    <xf numFmtId="43" fontId="127" fillId="0" borderId="0" xfId="331" applyNumberFormat="1" applyFont="1" applyBorder="1" applyAlignment="1">
      <alignment vertical="center"/>
    </xf>
    <xf numFmtId="203" fontId="127" fillId="0" borderId="0" xfId="336" applyFont="1">
      <alignment vertical="center"/>
    </xf>
    <xf numFmtId="0" fontId="127" fillId="0" borderId="0" xfId="1" applyFont="1">
      <alignment vertical="center"/>
    </xf>
    <xf numFmtId="0" fontId="129" fillId="0" borderId="0" xfId="0" applyFont="1">
      <alignment vertical="center"/>
    </xf>
    <xf numFmtId="0" fontId="128" fillId="0" borderId="0" xfId="163" applyFont="1" applyAlignment="1">
      <alignment vertical="center"/>
      <protection locked="0"/>
    </xf>
    <xf numFmtId="203" fontId="131" fillId="0" borderId="0" xfId="336" applyFont="1">
      <alignment vertical="center"/>
    </xf>
    <xf numFmtId="0" fontId="131" fillId="0" borderId="0" xfId="1" applyFont="1">
      <alignment vertical="center"/>
    </xf>
    <xf numFmtId="0" fontId="132" fillId="0" borderId="0" xfId="0" applyFont="1">
      <alignment vertical="center"/>
    </xf>
    <xf numFmtId="0" fontId="131" fillId="0" borderId="0" xfId="192" applyFont="1">
      <protection locked="0"/>
    </xf>
    <xf numFmtId="0" fontId="130" fillId="0" borderId="0" xfId="163" applyFont="1" applyAlignment="1">
      <alignment vertical="center"/>
      <protection locked="0"/>
    </xf>
    <xf numFmtId="43" fontId="131" fillId="0" borderId="0" xfId="331" applyNumberFormat="1" applyFont="1" applyBorder="1" applyAlignment="1">
      <alignment vertical="center"/>
    </xf>
    <xf numFmtId="43" fontId="6" fillId="0" borderId="0" xfId="191" applyFont="1" applyBorder="1" applyAlignment="1" applyProtection="1">
      <alignment vertical="center"/>
      <protection locked="0"/>
    </xf>
    <xf numFmtId="0" fontId="133" fillId="0" borderId="0" xfId="163" applyFont="1" applyAlignment="1">
      <alignment vertical="center"/>
      <protection locked="0"/>
    </xf>
    <xf numFmtId="43" fontId="72" fillId="0" borderId="1" xfId="196" applyNumberFormat="1" applyFont="1" applyBorder="1" applyAlignment="1" applyProtection="1">
      <alignment horizontal="center" vertical="center" wrapText="1" shrinkToFit="1"/>
    </xf>
    <xf numFmtId="0" fontId="5" fillId="0" borderId="0" xfId="332" applyFont="1">
      <protection locked="0"/>
    </xf>
    <xf numFmtId="0" fontId="73" fillId="37" borderId="12" xfId="196" applyFont="1" applyFill="1" applyBorder="1" applyAlignment="1" applyProtection="1">
      <alignment horizontal="center" vertical="center" wrapText="1"/>
    </xf>
    <xf numFmtId="0" fontId="5" fillId="0" borderId="0" xfId="195" applyFont="1" applyAlignment="1">
      <alignment horizontal="left" vertical="center"/>
    </xf>
    <xf numFmtId="14"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43" fontId="6" fillId="0" borderId="1" xfId="179" applyFont="1" applyBorder="1" applyAlignment="1" applyProtection="1">
      <alignment vertical="center"/>
      <protection locked="0"/>
    </xf>
    <xf numFmtId="0" fontId="6" fillId="0" borderId="1" xfId="0" applyFont="1" applyBorder="1" applyAlignment="1" applyProtection="1">
      <protection locked="0"/>
    </xf>
    <xf numFmtId="0" fontId="6" fillId="0" borderId="0" xfId="0" applyFont="1" applyAlignment="1" applyProtection="1">
      <protection locked="0"/>
    </xf>
    <xf numFmtId="0" fontId="6" fillId="0" borderId="0" xfId="195" applyFont="1" applyAlignment="1">
      <alignment vertical="center"/>
    </xf>
    <xf numFmtId="0" fontId="110" fillId="0" borderId="0" xfId="167" applyFont="1" applyBorder="1" applyAlignment="1" applyProtection="1">
      <alignment vertical="center"/>
      <protection locked="0"/>
    </xf>
    <xf numFmtId="0" fontId="3" fillId="0" borderId="0" xfId="0" applyFont="1" applyProtection="1">
      <alignment vertical="center"/>
      <protection locked="0"/>
    </xf>
    <xf numFmtId="0" fontId="134" fillId="0" borderId="0" xfId="0" applyFont="1" applyProtection="1">
      <alignment vertical="center"/>
      <protection locked="0"/>
    </xf>
    <xf numFmtId="0" fontId="14" fillId="0" borderId="0" xfId="0" applyFont="1" applyAlignment="1" applyProtection="1">
      <alignment horizontal="justify" vertical="center" wrapText="1"/>
      <protection locked="0"/>
    </xf>
    <xf numFmtId="0" fontId="11" fillId="0" borderId="0" xfId="0" applyFont="1" applyAlignment="1" applyProtection="1">
      <alignment horizontal="justify" vertical="center" wrapText="1"/>
      <protection locked="0"/>
    </xf>
    <xf numFmtId="0" fontId="15" fillId="0" borderId="0" xfId="0" applyFont="1" applyAlignment="1" applyProtection="1">
      <alignment horizontal="justify" vertical="center" wrapText="1"/>
      <protection locked="0"/>
    </xf>
    <xf numFmtId="0" fontId="11" fillId="0" borderId="0" xfId="192" applyFont="1">
      <protection locked="0"/>
    </xf>
    <xf numFmtId="0" fontId="136" fillId="0" borderId="0" xfId="0" applyFont="1" applyAlignment="1" applyProtection="1">
      <alignment horizontal="center" vertical="center"/>
      <protection locked="0"/>
    </xf>
    <xf numFmtId="0" fontId="58" fillId="0" borderId="0" xfId="167" quotePrefix="1" applyFont="1" applyBorder="1" applyAlignment="1">
      <alignment vertical="center"/>
      <protection locked="0"/>
    </xf>
    <xf numFmtId="0" fontId="14" fillId="0" borderId="0" xfId="0" applyFont="1" applyAlignment="1" applyProtection="1">
      <alignment horizontal="center" vertical="center"/>
      <protection locked="0"/>
    </xf>
    <xf numFmtId="0" fontId="119" fillId="0" borderId="0" xfId="192" applyFont="1" applyAlignment="1">
      <alignment horizontal="left" vertical="center"/>
      <protection locked="0"/>
    </xf>
    <xf numFmtId="0" fontId="133" fillId="0" borderId="0" xfId="192" applyFont="1" applyAlignment="1">
      <alignment horizontal="center" vertical="center"/>
      <protection locked="0"/>
    </xf>
    <xf numFmtId="0" fontId="137" fillId="0" borderId="0" xfId="192" applyFont="1" applyAlignment="1">
      <alignment vertical="center"/>
      <protection locked="0"/>
    </xf>
    <xf numFmtId="0" fontId="137" fillId="0" borderId="0" xfId="192" applyFont="1" applyAlignment="1">
      <alignment horizontal="left" vertical="center"/>
      <protection locked="0"/>
    </xf>
    <xf numFmtId="0" fontId="3" fillId="0" borderId="0" xfId="195" applyFont="1" applyAlignment="1">
      <alignment horizontal="left" vertical="center" wrapText="1"/>
    </xf>
    <xf numFmtId="203" fontId="126" fillId="0" borderId="0" xfId="337" applyFont="1" applyAlignment="1">
      <alignment horizontal="left" vertical="center"/>
      <protection locked="0"/>
    </xf>
    <xf numFmtId="203" fontId="126" fillId="0" borderId="0" xfId="337" applyFont="1">
      <alignment vertical="center"/>
      <protection locked="0"/>
    </xf>
    <xf numFmtId="0" fontId="126" fillId="0" borderId="0" xfId="192" applyFont="1" applyAlignment="1">
      <alignment vertical="center"/>
      <protection locked="0"/>
    </xf>
    <xf numFmtId="0" fontId="126" fillId="0" borderId="0" xfId="192" applyFont="1" applyAlignment="1">
      <alignment horizontal="left" vertical="center"/>
      <protection locked="0"/>
    </xf>
    <xf numFmtId="0" fontId="126" fillId="0" borderId="0" xfId="2" applyFont="1" applyAlignment="1">
      <alignment horizontal="left" vertical="center"/>
    </xf>
    <xf numFmtId="0" fontId="138" fillId="0" borderId="0" xfId="0" applyFont="1">
      <alignment vertical="center"/>
    </xf>
    <xf numFmtId="0" fontId="126" fillId="0" borderId="0" xfId="163" applyFont="1" applyAlignment="1">
      <alignment vertical="center"/>
      <protection locked="0"/>
    </xf>
    <xf numFmtId="0" fontId="126" fillId="0" borderId="0" xfId="2" applyFont="1">
      <alignment vertical="center"/>
    </xf>
    <xf numFmtId="0" fontId="126" fillId="0" borderId="0" xfId="2" applyFont="1" applyAlignment="1">
      <alignment horizontal="justify" vertical="center" wrapText="1"/>
    </xf>
    <xf numFmtId="14" fontId="126" fillId="0" borderId="0" xfId="2" applyNumberFormat="1" applyFont="1" applyAlignment="1">
      <alignment horizontal="justify" vertical="center" wrapText="1"/>
    </xf>
    <xf numFmtId="0" fontId="126" fillId="0" borderId="0" xfId="163" applyFont="1" applyAlignment="1">
      <alignment horizontal="left" vertical="center" wrapText="1"/>
      <protection locked="0"/>
    </xf>
    <xf numFmtId="0" fontId="126" fillId="0" borderId="0" xfId="192" applyFont="1" applyAlignment="1">
      <alignment horizontal="center" vertical="center"/>
      <protection locked="0"/>
    </xf>
    <xf numFmtId="43" fontId="126" fillId="0" borderId="0" xfId="331" applyNumberFormat="1" applyFont="1" applyBorder="1" applyAlignment="1">
      <alignment vertical="center"/>
    </xf>
    <xf numFmtId="43" fontId="126" fillId="0" borderId="0" xfId="331" applyNumberFormat="1" applyFont="1" applyBorder="1" applyAlignment="1">
      <alignment horizontal="left" vertical="center"/>
    </xf>
    <xf numFmtId="0" fontId="126" fillId="0" borderId="0" xfId="163" applyFont="1" applyAlignment="1">
      <alignment horizontal="left" vertical="center"/>
      <protection locked="0"/>
    </xf>
    <xf numFmtId="49" fontId="126" fillId="0" borderId="0" xfId="331" applyNumberFormat="1" applyFont="1" applyBorder="1" applyAlignment="1">
      <alignment vertical="center"/>
    </xf>
    <xf numFmtId="203" fontId="6" fillId="0" borderId="0" xfId="338" applyFont="1" applyBorder="1">
      <alignment vertical="center"/>
    </xf>
    <xf numFmtId="49" fontId="3" fillId="0" borderId="0" xfId="315" applyNumberFormat="1" applyFont="1" applyBorder="1" applyAlignment="1" applyProtection="1">
      <alignment horizontal="left" vertical="center"/>
      <protection locked="0"/>
    </xf>
    <xf numFmtId="203" fontId="32" fillId="0" borderId="0" xfId="337" applyFont="1" applyBorder="1" applyAlignment="1">
      <alignment horizontal="left" vertical="center"/>
      <protection locked="0"/>
    </xf>
    <xf numFmtId="203" fontId="32" fillId="0" borderId="0" xfId="337" applyFont="1" applyBorder="1" applyAlignment="1">
      <alignment horizontal="justify" vertical="center"/>
      <protection locked="0"/>
    </xf>
    <xf numFmtId="203" fontId="14" fillId="0" borderId="0" xfId="337" applyFont="1" applyBorder="1">
      <alignment vertical="center"/>
      <protection locked="0"/>
    </xf>
    <xf numFmtId="203" fontId="14" fillId="0" borderId="0" xfId="337" applyFont="1" applyBorder="1" applyAlignment="1">
      <alignment horizontal="center" vertical="center" wrapText="1"/>
      <protection locked="0"/>
    </xf>
    <xf numFmtId="0" fontId="6" fillId="0" borderId="1" xfId="315" applyFont="1" applyBorder="1" applyAlignment="1">
      <alignment horizontal="center" vertical="center" wrapText="1"/>
    </xf>
    <xf numFmtId="0" fontId="6" fillId="0" borderId="1" xfId="193" applyNumberFormat="1" applyFont="1" applyFill="1" applyBorder="1" applyAlignment="1">
      <alignment horizontal="right" vertical="center" wrapText="1"/>
    </xf>
    <xf numFmtId="0" fontId="6" fillId="10" borderId="1" xfId="193" applyNumberFormat="1" applyFont="1" applyFill="1" applyBorder="1" applyAlignment="1">
      <alignment horizontal="right" vertical="center" wrapText="1"/>
    </xf>
    <xf numFmtId="0" fontId="6" fillId="0" borderId="11" xfId="188" applyNumberFormat="1" applyFont="1" applyBorder="1" applyAlignment="1">
      <alignment vertical="center"/>
    </xf>
    <xf numFmtId="0" fontId="6" fillId="0" borderId="0" xfId="331" applyNumberFormat="1" applyFont="1" applyBorder="1" applyAlignment="1">
      <alignment vertical="center"/>
    </xf>
    <xf numFmtId="0" fontId="126" fillId="0" borderId="0" xfId="2" applyFont="1" applyAlignment="1">
      <alignment horizontal="left" vertical="center" wrapText="1"/>
    </xf>
    <xf numFmtId="0" fontId="11" fillId="0" borderId="1" xfId="196" quotePrefix="1" applyNumberFormat="1" applyFont="1" applyBorder="1" applyAlignment="1" applyProtection="1">
      <alignment horizontal="left" vertical="center" shrinkToFit="1"/>
    </xf>
    <xf numFmtId="0" fontId="6" fillId="0" borderId="1" xfId="196" quotePrefix="1" applyNumberFormat="1" applyFont="1" applyBorder="1" applyAlignment="1" applyProtection="1">
      <alignment horizontal="left" vertical="center" shrinkToFit="1"/>
    </xf>
    <xf numFmtId="0" fontId="6" fillId="0" borderId="1" xfId="196" applyNumberFormat="1" applyFont="1" applyBorder="1" applyAlignment="1" applyProtection="1">
      <alignment horizontal="left" vertical="center" shrinkToFit="1"/>
    </xf>
    <xf numFmtId="0" fontId="6" fillId="0" borderId="1" xfId="332" applyNumberFormat="1" applyFont="1" applyBorder="1" applyAlignment="1">
      <alignment horizontal="center"/>
      <protection locked="0"/>
    </xf>
    <xf numFmtId="0" fontId="75" fillId="37" borderId="1" xfId="193" applyNumberFormat="1" applyFont="1" applyFill="1" applyBorder="1" applyAlignment="1" applyProtection="1">
      <alignment horizontal="right" vertical="center"/>
    </xf>
    <xf numFmtId="0" fontId="3" fillId="10" borderId="10" xfId="196" applyNumberFormat="1" applyFont="1" applyFill="1" applyBorder="1" applyAlignment="1">
      <alignment horizontal="center" vertical="center" wrapText="1"/>
      <protection locked="0"/>
    </xf>
    <xf numFmtId="0" fontId="60" fillId="37" borderId="1" xfId="193" applyNumberFormat="1" applyFont="1" applyFill="1" applyBorder="1" applyAlignment="1" applyProtection="1">
      <alignment horizontal="right" vertical="center"/>
    </xf>
    <xf numFmtId="0" fontId="11" fillId="0" borderId="1" xfId="196" applyNumberFormat="1" applyFont="1" applyBorder="1" applyAlignment="1" applyProtection="1">
      <alignment horizontal="center" vertical="center" wrapText="1"/>
    </xf>
    <xf numFmtId="0" fontId="6" fillId="0" borderId="1" xfId="196" applyNumberFormat="1" applyFont="1" applyBorder="1" applyAlignment="1" applyProtection="1">
      <alignment horizontal="center" vertical="center" wrapText="1"/>
    </xf>
    <xf numFmtId="0" fontId="126" fillId="0" borderId="0" xfId="192" applyFont="1" applyAlignment="1">
      <alignment horizontal="left"/>
      <protection locked="0"/>
    </xf>
    <xf numFmtId="0" fontId="72" fillId="0" borderId="1" xfId="196" quotePrefix="1" applyNumberFormat="1" applyFont="1" applyBorder="1" applyAlignment="1" applyProtection="1">
      <alignment horizontal="left" vertical="center" shrinkToFit="1"/>
    </xf>
    <xf numFmtId="0" fontId="8" fillId="0" borderId="1" xfId="196" applyNumberFormat="1" applyFont="1" applyBorder="1" applyAlignment="1" applyProtection="1">
      <alignment horizontal="center" vertical="center" shrinkToFit="1"/>
    </xf>
    <xf numFmtId="0" fontId="72" fillId="0" borderId="1" xfId="196" applyNumberFormat="1" applyFont="1" applyBorder="1" applyAlignment="1" applyProtection="1">
      <alignment horizontal="center" vertical="center" shrinkToFit="1"/>
    </xf>
    <xf numFmtId="0" fontId="75" fillId="0" borderId="1" xfId="193" applyNumberFormat="1" applyFont="1" applyFill="1" applyBorder="1" applyAlignment="1">
      <alignment horizontal="right" vertical="center"/>
    </xf>
    <xf numFmtId="0" fontId="6" fillId="0" borderId="0" xfId="332" applyNumberFormat="1" applyFont="1">
      <protection locked="0"/>
    </xf>
    <xf numFmtId="0" fontId="8" fillId="0" borderId="1" xfId="196" applyNumberFormat="1" applyFont="1" applyBorder="1" applyAlignment="1" applyProtection="1">
      <alignment vertical="center" wrapText="1" shrinkToFit="1"/>
    </xf>
    <xf numFmtId="0" fontId="8" fillId="0" borderId="1" xfId="196" applyNumberFormat="1" applyFont="1" applyBorder="1" applyAlignment="1" applyProtection="1">
      <alignment horizontal="center" vertical="center" wrapText="1" shrinkToFit="1"/>
    </xf>
    <xf numFmtId="0" fontId="72" fillId="0" borderId="1" xfId="196" applyNumberFormat="1" applyFont="1" applyBorder="1" applyAlignment="1" applyProtection="1">
      <alignment horizontal="center" vertical="center" wrapText="1" shrinkToFit="1"/>
    </xf>
    <xf numFmtId="0" fontId="6" fillId="0" borderId="1" xfId="332" applyNumberFormat="1" applyFont="1" applyBorder="1">
      <protection locked="0"/>
    </xf>
    <xf numFmtId="0" fontId="5" fillId="0" borderId="1" xfId="332" applyNumberFormat="1" applyFont="1" applyBorder="1">
      <protection locked="0"/>
    </xf>
    <xf numFmtId="0" fontId="126" fillId="0" borderId="0" xfId="192" applyNumberFormat="1" applyFont="1" applyAlignment="1">
      <alignment horizontal="left" vertical="center"/>
      <protection locked="0"/>
    </xf>
    <xf numFmtId="0" fontId="126" fillId="0" borderId="0" xfId="189" applyNumberFormat="1" applyFont="1" applyAlignment="1">
      <alignment horizontal="left" vertical="center"/>
    </xf>
    <xf numFmtId="0" fontId="126" fillId="0" borderId="0" xfId="2" applyNumberFormat="1" applyFont="1" applyAlignment="1">
      <alignment horizontal="left" vertical="center"/>
    </xf>
    <xf numFmtId="203" fontId="5" fillId="0" borderId="24" xfId="392" applyFont="1" applyBorder="1" applyAlignment="1">
      <alignment vertical="center"/>
    </xf>
    <xf numFmtId="203" fontId="2" fillId="0" borderId="0" xfId="393">
      <protection locked="0"/>
    </xf>
    <xf numFmtId="0" fontId="5" fillId="10" borderId="1" xfId="363" applyNumberFormat="1" applyFont="1" applyFill="1" applyBorder="1" applyAlignment="1">
      <alignment horizontal="center" vertical="center"/>
      <protection locked="0"/>
    </xf>
    <xf numFmtId="49" fontId="6" fillId="0" borderId="1" xfId="393" applyNumberFormat="1" applyFont="1" applyBorder="1" applyAlignment="1">
      <alignment horizontal="center" vertical="center"/>
      <protection locked="0"/>
    </xf>
    <xf numFmtId="203" fontId="6" fillId="0" borderId="1" xfId="363" applyFont="1" applyBorder="1" applyAlignment="1">
      <alignment horizontal="center" vertical="center"/>
      <protection locked="0"/>
    </xf>
    <xf numFmtId="49" fontId="6" fillId="0" borderId="1" xfId="393" applyNumberFormat="1" applyFont="1" applyBorder="1" applyAlignment="1">
      <alignment vertical="center"/>
      <protection locked="0"/>
    </xf>
    <xf numFmtId="203" fontId="3" fillId="10" borderId="1" xfId="393" applyFont="1" applyFill="1" applyBorder="1" applyAlignment="1">
      <alignment vertical="center"/>
      <protection locked="0"/>
    </xf>
    <xf numFmtId="43" fontId="5" fillId="10" borderId="1" xfId="396" applyFont="1" applyFill="1" applyBorder="1" applyAlignment="1" applyProtection="1">
      <alignment vertical="center"/>
      <protection locked="0"/>
    </xf>
    <xf numFmtId="203" fontId="3" fillId="0" borderId="0" xfId="392" applyFont="1" applyAlignment="1">
      <alignment vertical="center"/>
    </xf>
    <xf numFmtId="0" fontId="3" fillId="0" borderId="0" xfId="195" applyFont="1" applyAlignment="1">
      <alignment vertical="center" wrapText="1"/>
    </xf>
    <xf numFmtId="0" fontId="3" fillId="0" borderId="0" xfId="195" applyFont="1" applyAlignment="1">
      <alignment vertical="center"/>
    </xf>
    <xf numFmtId="0" fontId="6" fillId="0" borderId="0" xfId="0" applyFont="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139" fillId="0" borderId="0" xfId="192" applyFont="1" applyAlignment="1">
      <alignment vertical="center"/>
      <protection locked="0"/>
    </xf>
    <xf numFmtId="0" fontId="11" fillId="0" borderId="1" xfId="0" applyFont="1" applyBorder="1" applyProtection="1">
      <alignment vertical="center"/>
      <protection locked="0"/>
    </xf>
    <xf numFmtId="0" fontId="135" fillId="0" borderId="5" xfId="190" applyFont="1" applyBorder="1" applyAlignment="1">
      <alignment vertical="center"/>
      <protection locked="0"/>
    </xf>
    <xf numFmtId="0" fontId="135" fillId="0" borderId="5" xfId="190" quotePrefix="1" applyFont="1" applyBorder="1" applyAlignment="1">
      <alignment vertical="center"/>
      <protection locked="0"/>
    </xf>
    <xf numFmtId="0" fontId="114" fillId="0" borderId="1" xfId="378" applyFont="1" applyFill="1" applyBorder="1" applyAlignment="1">
      <alignment vertical="center" wrapText="1"/>
    </xf>
    <xf numFmtId="0" fontId="114" fillId="0" borderId="1" xfId="376" applyFont="1" applyFill="1" applyBorder="1" applyAlignment="1">
      <alignment horizontal="center" vertical="center" wrapText="1"/>
    </xf>
    <xf numFmtId="0" fontId="69" fillId="0" borderId="1" xfId="376" applyFont="1" applyFill="1" applyBorder="1" applyAlignment="1">
      <alignment horizontal="center" vertical="center" wrapText="1"/>
    </xf>
    <xf numFmtId="0" fontId="70" fillId="0" borderId="1" xfId="376" applyFont="1" applyFill="1" applyBorder="1" applyAlignment="1">
      <alignment horizontal="center" vertical="center" wrapText="1"/>
    </xf>
    <xf numFmtId="203" fontId="14" fillId="0" borderId="1" xfId="337" applyFont="1" applyFill="1" applyBorder="1" applyAlignment="1">
      <alignment horizontal="center" vertical="center" wrapText="1"/>
      <protection locked="0"/>
    </xf>
    <xf numFmtId="0" fontId="115" fillId="0" borderId="1" xfId="315" applyFont="1" applyBorder="1" applyAlignment="1">
      <alignment horizontal="center" vertical="center" wrapText="1"/>
    </xf>
    <xf numFmtId="0" fontId="6" fillId="0" borderId="1" xfId="0" applyFont="1" applyFill="1" applyBorder="1" applyAlignment="1" applyProtection="1">
      <alignment vertical="center" wrapText="1"/>
    </xf>
    <xf numFmtId="0" fontId="6" fillId="0" borderId="1" xfId="196" applyFont="1" applyBorder="1" applyAlignment="1">
      <alignment horizontal="center" vertical="center" wrapText="1"/>
      <protection locked="0"/>
    </xf>
    <xf numFmtId="0" fontId="59" fillId="10" borderId="1" xfId="192" applyFont="1" applyFill="1" applyBorder="1" applyAlignment="1" applyProtection="1">
      <alignment vertical="center" wrapText="1"/>
    </xf>
    <xf numFmtId="203" fontId="141" fillId="0" borderId="0" xfId="190" applyNumberFormat="1" applyFont="1" applyAlignment="1">
      <alignment vertical="center"/>
      <protection locked="0"/>
    </xf>
    <xf numFmtId="0" fontId="3" fillId="37" borderId="1" xfId="196" applyFont="1" applyFill="1" applyBorder="1" applyAlignment="1">
      <alignment horizontal="center" vertical="center" wrapText="1"/>
      <protection locked="0"/>
    </xf>
    <xf numFmtId="0" fontId="3" fillId="37" borderId="12" xfId="196" applyFont="1" applyFill="1" applyBorder="1" applyAlignment="1">
      <alignment horizontal="center" vertical="center" wrapText="1"/>
      <protection locked="0"/>
    </xf>
    <xf numFmtId="0" fontId="3" fillId="37" borderId="10" xfId="196" applyFont="1" applyFill="1" applyBorder="1" applyAlignment="1">
      <alignment horizontal="center" vertical="center" wrapText="1"/>
      <protection locked="0"/>
    </xf>
    <xf numFmtId="203" fontId="3" fillId="37" borderId="13" xfId="393" applyFont="1" applyFill="1" applyBorder="1" applyAlignment="1">
      <alignment vertical="center"/>
      <protection locked="0"/>
    </xf>
    <xf numFmtId="203" fontId="3" fillId="37" borderId="12" xfId="393" applyFont="1" applyFill="1" applyBorder="1" applyAlignment="1">
      <alignment vertical="center"/>
      <protection locked="0"/>
    </xf>
    <xf numFmtId="203" fontId="3" fillId="37" borderId="14" xfId="393" applyFont="1" applyFill="1" applyBorder="1" applyAlignment="1">
      <alignment vertical="center"/>
      <protection locked="0"/>
    </xf>
    <xf numFmtId="203" fontId="3" fillId="37" borderId="1" xfId="393" applyFont="1" applyFill="1" applyBorder="1" applyAlignment="1">
      <alignment horizontal="center" vertical="center"/>
      <protection locked="0"/>
    </xf>
    <xf numFmtId="203" fontId="3" fillId="37" borderId="1" xfId="393" applyFont="1" applyFill="1" applyBorder="1" applyAlignment="1">
      <alignment horizontal="center" vertical="center" wrapText="1"/>
      <protection locked="0"/>
    </xf>
    <xf numFmtId="0" fontId="5" fillId="37" borderId="1" xfId="363" applyNumberFormat="1" applyFont="1" applyFill="1" applyBorder="1" applyAlignment="1">
      <alignment horizontal="center" vertical="center"/>
      <protection locked="0"/>
    </xf>
    <xf numFmtId="49" fontId="5" fillId="37" borderId="1" xfId="393" applyNumberFormat="1" applyFont="1" applyFill="1" applyBorder="1" applyAlignment="1">
      <alignment horizontal="center" vertical="center"/>
      <protection locked="0"/>
    </xf>
    <xf numFmtId="203" fontId="5" fillId="37" borderId="1" xfId="393" applyFont="1" applyFill="1" applyBorder="1" applyAlignment="1">
      <alignment vertical="center"/>
      <protection locked="0"/>
    </xf>
    <xf numFmtId="228" fontId="5" fillId="37" borderId="1" xfId="393" applyNumberFormat="1" applyFont="1" applyFill="1" applyBorder="1" applyAlignment="1">
      <alignment horizontal="right" vertical="center" shrinkToFit="1"/>
      <protection locked="0"/>
    </xf>
    <xf numFmtId="203" fontId="3" fillId="37" borderId="1" xfId="393" applyFont="1" applyFill="1" applyBorder="1" applyAlignment="1">
      <alignment vertical="center"/>
      <protection locked="0"/>
    </xf>
    <xf numFmtId="227" fontId="6" fillId="0" borderId="1" xfId="393" applyNumberFormat="1" applyFont="1" applyFill="1" applyBorder="1" applyAlignment="1">
      <alignment horizontal="center" vertical="center" wrapText="1"/>
      <protection locked="0"/>
    </xf>
    <xf numFmtId="49" fontId="6" fillId="0" borderId="1" xfId="393" applyNumberFormat="1" applyFont="1" applyFill="1" applyBorder="1" applyAlignment="1">
      <alignment horizontal="center" vertical="center"/>
      <protection locked="0"/>
    </xf>
    <xf numFmtId="203" fontId="11" fillId="0" borderId="1" xfId="393" applyFont="1" applyFill="1" applyBorder="1" applyAlignment="1">
      <alignment horizontal="center" vertical="center"/>
      <protection locked="0"/>
    </xf>
    <xf numFmtId="203" fontId="6" fillId="0" borderId="1" xfId="393" applyFont="1" applyFill="1" applyBorder="1" applyAlignment="1">
      <alignment horizontal="center" vertical="center"/>
      <protection locked="0"/>
    </xf>
    <xf numFmtId="228" fontId="6" fillId="0" borderId="1" xfId="393" applyNumberFormat="1" applyFont="1" applyFill="1" applyBorder="1" applyAlignment="1">
      <alignment horizontal="right" vertical="center" shrinkToFit="1"/>
      <protection locked="0"/>
    </xf>
    <xf numFmtId="203" fontId="5" fillId="0" borderId="24" xfId="392" applyFont="1" applyFill="1" applyBorder="1" applyAlignment="1">
      <alignment vertical="center"/>
    </xf>
    <xf numFmtId="0" fontId="3" fillId="10" borderId="1" xfId="315" applyFont="1" applyFill="1" applyBorder="1" applyAlignment="1" applyProtection="1">
      <alignment horizontal="center" vertical="center"/>
      <protection locked="0"/>
    </xf>
    <xf numFmtId="0" fontId="3" fillId="10" borderId="1" xfId="315" applyFont="1" applyFill="1" applyBorder="1" applyAlignment="1" applyProtection="1">
      <alignment horizontal="center" vertical="center" wrapText="1"/>
      <protection locked="0"/>
    </xf>
    <xf numFmtId="0" fontId="6" fillId="9" borderId="0" xfId="0" applyFont="1" applyFill="1" applyBorder="1" applyAlignment="1" applyProtection="1">
      <alignment horizontal="justify" vertical="center" wrapText="1"/>
      <protection locked="0"/>
    </xf>
    <xf numFmtId="0" fontId="142" fillId="0" borderId="0" xfId="0" applyFont="1" applyAlignment="1" applyProtection="1">
      <alignment horizontal="center" vertical="center"/>
      <protection locked="0"/>
    </xf>
    <xf numFmtId="0" fontId="6" fillId="0" borderId="5" xfId="192" applyFont="1" applyBorder="1" applyAlignment="1">
      <alignment horizontal="center"/>
      <protection locked="0"/>
    </xf>
    <xf numFmtId="203" fontId="119" fillId="0" borderId="0" xfId="398" applyFont="1" applyFill="1" applyAlignment="1">
      <alignment horizontal="left" vertical="center"/>
    </xf>
    <xf numFmtId="43" fontId="118" fillId="0" borderId="0" xfId="331" applyNumberFormat="1" applyFont="1" applyBorder="1" applyAlignment="1">
      <alignment vertical="center"/>
    </xf>
    <xf numFmtId="43" fontId="133" fillId="0" borderId="0" xfId="331" applyNumberFormat="1" applyFont="1" applyBorder="1" applyAlignment="1">
      <alignment vertical="center"/>
    </xf>
    <xf numFmtId="0" fontId="128" fillId="0" borderId="0" xfId="1" applyFont="1" applyAlignment="1">
      <alignment vertical="center"/>
    </xf>
    <xf numFmtId="0" fontId="130" fillId="0" borderId="0" xfId="1" applyFont="1" applyAlignment="1">
      <alignment vertical="center"/>
    </xf>
    <xf numFmtId="203" fontId="2" fillId="0" borderId="0" xfId="393" applyBorder="1">
      <protection locked="0"/>
    </xf>
    <xf numFmtId="0" fontId="3" fillId="10" borderId="1" xfId="0" applyFont="1" applyFill="1" applyBorder="1" applyAlignment="1" applyProtection="1">
      <protection locked="0"/>
    </xf>
    <xf numFmtId="43" fontId="5" fillId="10" borderId="1" xfId="179" applyFont="1" applyFill="1" applyBorder="1" applyAlignment="1" applyProtection="1">
      <protection locked="0"/>
    </xf>
    <xf numFmtId="14" fontId="3" fillId="10" borderId="1" xfId="0" applyNumberFormat="1" applyFont="1" applyFill="1" applyBorder="1" applyAlignment="1" applyProtection="1">
      <protection locked="0"/>
    </xf>
    <xf numFmtId="0" fontId="3" fillId="0" borderId="0" xfId="0" applyFont="1" applyAlignment="1" applyProtection="1">
      <protection locked="0"/>
    </xf>
    <xf numFmtId="43" fontId="5" fillId="10" borderId="1" xfId="179" applyFont="1" applyFill="1" applyBorder="1" applyAlignment="1" applyProtection="1">
      <alignment horizontal="right" vertical="center"/>
      <protection locked="0"/>
    </xf>
    <xf numFmtId="43" fontId="5" fillId="0" borderId="1" xfId="179" applyFont="1" applyFill="1" applyBorder="1" applyAlignment="1" applyProtection="1">
      <alignment horizontal="right" vertical="center"/>
      <protection locked="0"/>
    </xf>
    <xf numFmtId="10" fontId="5" fillId="10" borderId="1" xfId="397" applyNumberFormat="1" applyFont="1" applyFill="1" applyBorder="1" applyAlignment="1" applyProtection="1">
      <alignment horizontal="right" vertical="center"/>
      <protection locked="0"/>
    </xf>
    <xf numFmtId="0" fontId="134" fillId="0" borderId="5" xfId="0" applyFont="1" applyBorder="1">
      <alignment vertical="center"/>
    </xf>
    <xf numFmtId="0" fontId="134" fillId="0" borderId="5" xfId="0" quotePrefix="1" applyFont="1" applyBorder="1">
      <alignment vertical="center"/>
    </xf>
    <xf numFmtId="49" fontId="133" fillId="0" borderId="0" xfId="392" applyNumberFormat="1" applyFont="1" applyAlignment="1">
      <alignment horizontal="left" vertical="center"/>
    </xf>
    <xf numFmtId="49" fontId="119" fillId="0" borderId="0" xfId="392" applyNumberFormat="1" applyFont="1" applyAlignment="1">
      <alignment horizontal="left" vertical="center"/>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6" fillId="0" borderId="1" xfId="315" applyFont="1" applyBorder="1" applyAlignment="1" applyProtection="1">
      <alignment horizontal="left" vertical="center" wrapText="1"/>
      <protection locked="0"/>
    </xf>
    <xf numFmtId="0" fontId="11" fillId="0" borderId="1" xfId="315" applyFont="1" applyBorder="1" applyAlignment="1" applyProtection="1">
      <alignment horizontal="center" vertical="center" wrapText="1"/>
      <protection locked="0"/>
    </xf>
    <xf numFmtId="203" fontId="6" fillId="0" borderId="0" xfId="337" applyFont="1" applyBorder="1" applyAlignment="1">
      <alignment horizontal="left" vertical="center" wrapText="1"/>
      <protection locked="0"/>
    </xf>
    <xf numFmtId="0" fontId="3" fillId="0" borderId="0" xfId="196" applyFont="1" applyAlignment="1">
      <alignment horizontal="left" vertical="center"/>
      <protection locked="0"/>
    </xf>
    <xf numFmtId="0" fontId="5" fillId="0" borderId="0" xfId="196" applyFont="1" applyAlignment="1">
      <alignment horizontal="left" vertical="center"/>
      <protection locked="0"/>
    </xf>
    <xf numFmtId="203" fontId="128" fillId="0" borderId="0" xfId="336" applyFont="1" applyAlignment="1">
      <alignment horizontal="center" vertical="center"/>
    </xf>
    <xf numFmtId="203" fontId="130" fillId="0" borderId="0" xfId="336" applyFont="1" applyAlignment="1">
      <alignment horizontal="center" vertical="center"/>
    </xf>
    <xf numFmtId="203" fontId="126" fillId="0" borderId="0" xfId="337" applyFont="1" applyAlignment="1">
      <alignment horizontal="left" vertical="center"/>
      <protection locked="0"/>
    </xf>
    <xf numFmtId="203" fontId="5" fillId="0" borderId="0" xfId="337" applyFont="1" applyBorder="1" applyAlignment="1">
      <alignment horizontal="left" vertical="center"/>
      <protection locked="0"/>
    </xf>
    <xf numFmtId="0" fontId="32" fillId="10" borderId="1" xfId="315" applyFont="1" applyFill="1" applyBorder="1" applyAlignment="1" applyProtection="1">
      <alignment horizontal="center" vertical="center"/>
      <protection locked="0"/>
    </xf>
    <xf numFmtId="0" fontId="3" fillId="10" borderId="1" xfId="315" applyFont="1" applyFill="1" applyBorder="1" applyAlignment="1" applyProtection="1">
      <alignment horizontal="center" vertical="center" wrapText="1"/>
      <protection locked="0"/>
    </xf>
    <xf numFmtId="49" fontId="32" fillId="10" borderId="1" xfId="337" applyNumberFormat="1" applyFont="1" applyFill="1" applyBorder="1" applyAlignment="1">
      <alignment horizontal="center" vertical="center"/>
      <protection locked="0"/>
    </xf>
    <xf numFmtId="0" fontId="3" fillId="10" borderId="1" xfId="376" applyFont="1" applyFill="1" applyBorder="1" applyAlignment="1" applyProtection="1">
      <alignment horizontal="center" vertical="center" wrapText="1"/>
      <protection locked="0"/>
    </xf>
    <xf numFmtId="203" fontId="32" fillId="10" borderId="1" xfId="337" applyFont="1" applyFill="1" applyBorder="1" applyAlignment="1">
      <alignment horizontal="center" vertical="center" wrapText="1"/>
      <protection locked="0"/>
    </xf>
    <xf numFmtId="0" fontId="3" fillId="10" borderId="1" xfId="315" applyFont="1" applyFill="1" applyBorder="1" applyAlignment="1" applyProtection="1">
      <alignment horizontal="center" vertical="center"/>
      <protection locked="0"/>
    </xf>
    <xf numFmtId="0" fontId="5" fillId="10" borderId="1" xfId="315" applyFont="1" applyFill="1" applyBorder="1" applyAlignment="1" applyProtection="1">
      <alignment horizontal="center" vertical="center"/>
      <protection locked="0"/>
    </xf>
    <xf numFmtId="43" fontId="128" fillId="0" borderId="0" xfId="331" applyNumberFormat="1" applyFont="1" applyBorder="1" applyAlignment="1">
      <alignment horizontal="center" vertical="center"/>
    </xf>
    <xf numFmtId="43" fontId="130" fillId="0" borderId="0" xfId="331" applyNumberFormat="1" applyFont="1" applyBorder="1" applyAlignment="1">
      <alignment horizontal="center" vertical="center"/>
    </xf>
    <xf numFmtId="0" fontId="59" fillId="10" borderId="9" xfId="196" applyFont="1" applyFill="1" applyBorder="1" applyAlignment="1" applyProtection="1">
      <alignment horizontal="center" vertical="center" wrapText="1"/>
    </xf>
    <xf numFmtId="0" fontId="60" fillId="10" borderId="10" xfId="196" applyFont="1" applyFill="1" applyBorder="1" applyAlignment="1" applyProtection="1">
      <alignment vertical="center" wrapText="1"/>
    </xf>
    <xf numFmtId="203" fontId="5" fillId="10" borderId="12" xfId="312" applyFont="1" applyFill="1" applyBorder="1" applyAlignment="1" applyProtection="1">
      <alignment horizontal="center" vertical="center" wrapText="1"/>
      <protection locked="0"/>
    </xf>
    <xf numFmtId="203" fontId="5" fillId="10" borderId="13" xfId="312" applyFont="1" applyFill="1" applyBorder="1" applyAlignment="1" applyProtection="1">
      <alignment horizontal="center" vertical="center" wrapText="1"/>
      <protection locked="0"/>
    </xf>
    <xf numFmtId="203" fontId="5" fillId="10" borderId="14" xfId="312" applyFont="1" applyFill="1" applyBorder="1" applyAlignment="1" applyProtection="1">
      <alignment horizontal="center" vertical="center" wrapText="1"/>
      <protection locked="0"/>
    </xf>
    <xf numFmtId="203" fontId="59" fillId="10" borderId="1" xfId="194" applyNumberFormat="1" applyFont="1" applyFill="1" applyBorder="1" applyAlignment="1">
      <alignment horizontal="center" vertical="center" wrapText="1"/>
      <protection locked="0"/>
    </xf>
    <xf numFmtId="0" fontId="5" fillId="10" borderId="1" xfId="194" applyFont="1" applyFill="1" applyBorder="1" applyAlignment="1">
      <alignment horizontal="center" vertical="center" wrapText="1"/>
      <protection locked="0"/>
    </xf>
    <xf numFmtId="0" fontId="60" fillId="10" borderId="1" xfId="196" applyFont="1" applyFill="1" applyBorder="1" applyAlignment="1" applyProtection="1">
      <alignment horizontal="center" vertical="center"/>
    </xf>
    <xf numFmtId="0" fontId="75" fillId="10" borderId="1" xfId="196" applyFont="1" applyFill="1" applyBorder="1" applyAlignment="1" applyProtection="1">
      <alignment vertical="center"/>
    </xf>
    <xf numFmtId="0" fontId="128" fillId="0" borderId="0" xfId="163" applyFont="1" applyAlignment="1">
      <alignment horizontal="center" vertical="center"/>
      <protection locked="0"/>
    </xf>
    <xf numFmtId="0" fontId="130" fillId="0" borderId="0" xfId="163" applyFont="1" applyAlignment="1">
      <alignment horizontal="center" vertical="center"/>
      <protection locked="0"/>
    </xf>
    <xf numFmtId="0" fontId="3" fillId="10" borderId="12" xfId="196" applyFont="1" applyFill="1" applyBorder="1" applyAlignment="1">
      <alignment horizontal="center" vertical="center" wrapText="1"/>
      <protection locked="0"/>
    </xf>
    <xf numFmtId="0" fontId="0" fillId="0" borderId="14" xfId="0" applyBorder="1" applyAlignment="1">
      <alignment horizontal="center" vertical="center" wrapText="1"/>
    </xf>
    <xf numFmtId="0" fontId="3" fillId="10" borderId="13" xfId="196" applyFont="1" applyFill="1" applyBorder="1" applyAlignment="1">
      <alignment horizontal="center" vertical="center" wrapText="1"/>
      <protection locked="0"/>
    </xf>
    <xf numFmtId="0" fontId="3" fillId="10" borderId="9" xfId="196" applyFont="1" applyFill="1" applyBorder="1" applyAlignment="1">
      <alignment horizontal="center" vertical="center" wrapText="1"/>
      <protection locked="0"/>
    </xf>
    <xf numFmtId="0" fontId="0" fillId="0" borderId="10" xfId="0" applyBorder="1" applyAlignment="1">
      <alignment horizontal="center" vertical="center" wrapText="1"/>
    </xf>
    <xf numFmtId="0" fontId="130" fillId="0" borderId="0" xfId="1" applyFont="1" applyAlignment="1">
      <alignment horizontal="center" vertical="center"/>
    </xf>
    <xf numFmtId="0" fontId="3" fillId="10" borderId="10" xfId="196" applyFont="1" applyFill="1" applyBorder="1" applyAlignment="1">
      <alignment horizontal="center" vertical="center" wrapText="1"/>
      <protection locked="0"/>
    </xf>
    <xf numFmtId="0" fontId="128" fillId="0" borderId="0" xfId="1" applyFont="1" applyAlignment="1">
      <alignment horizontal="center" vertical="center"/>
    </xf>
    <xf numFmtId="0" fontId="3" fillId="10" borderId="9" xfId="192" applyFont="1" applyFill="1" applyBorder="1" applyAlignment="1">
      <alignment horizontal="center" vertical="center" wrapText="1"/>
      <protection locked="0"/>
    </xf>
    <xf numFmtId="0" fontId="3" fillId="10" borderId="14" xfId="196" applyFont="1" applyFill="1" applyBorder="1" applyAlignment="1">
      <alignment horizontal="center" vertical="center" wrapText="1"/>
      <protection locked="0"/>
    </xf>
    <xf numFmtId="0" fontId="121" fillId="0" borderId="0" xfId="192" applyFont="1" applyAlignment="1">
      <alignment horizontal="left" vertical="center" wrapText="1"/>
      <protection locked="0"/>
    </xf>
    <xf numFmtId="0" fontId="10" fillId="0" borderId="0" xfId="192" applyFont="1" applyAlignment="1">
      <alignment horizontal="left" vertical="center" wrapText="1"/>
      <protection locked="0"/>
    </xf>
    <xf numFmtId="0" fontId="3" fillId="37" borderId="9" xfId="196" applyFont="1" applyFill="1" applyBorder="1" applyAlignment="1">
      <alignment horizontal="center" vertical="center" wrapText="1"/>
      <protection locked="0"/>
    </xf>
    <xf numFmtId="0" fontId="3" fillId="37" borderId="10" xfId="196" applyFont="1" applyFill="1" applyBorder="1" applyAlignment="1">
      <alignment horizontal="center" vertical="center" wrapText="1"/>
      <protection locked="0"/>
    </xf>
    <xf numFmtId="0" fontId="3" fillId="10" borderId="1" xfId="196" applyFont="1" applyFill="1" applyBorder="1" applyAlignment="1">
      <alignment horizontal="center" vertical="center" wrapText="1"/>
      <protection locked="0"/>
    </xf>
    <xf numFmtId="0" fontId="0" fillId="0" borderId="1" xfId="0" applyBorder="1" applyAlignment="1">
      <alignment horizontal="center" vertical="center" wrapText="1"/>
    </xf>
    <xf numFmtId="0" fontId="3" fillId="37" borderId="9" xfId="192" applyFont="1" applyFill="1" applyBorder="1" applyAlignment="1">
      <alignment horizontal="center" vertical="center" wrapText="1"/>
      <protection locked="0"/>
    </xf>
    <xf numFmtId="0" fontId="0" fillId="37" borderId="10" xfId="0" applyFill="1" applyBorder="1" applyAlignment="1">
      <alignment horizontal="center" vertical="center" wrapText="1"/>
    </xf>
    <xf numFmtId="0" fontId="3" fillId="37" borderId="12" xfId="196" applyFont="1" applyFill="1" applyBorder="1" applyAlignment="1">
      <alignment horizontal="center" vertical="center" wrapText="1"/>
      <protection locked="0"/>
    </xf>
    <xf numFmtId="0" fontId="0" fillId="37" borderId="13" xfId="0" applyFill="1" applyBorder="1" applyAlignment="1">
      <alignment horizontal="center" vertical="center" wrapText="1"/>
    </xf>
    <xf numFmtId="0" fontId="0" fillId="37" borderId="14" xfId="0" applyFill="1" applyBorder="1" applyAlignment="1">
      <alignment horizontal="center" vertical="center" wrapText="1"/>
    </xf>
    <xf numFmtId="0" fontId="3" fillId="37" borderId="13" xfId="196" applyFont="1" applyFill="1" applyBorder="1" applyAlignment="1">
      <alignment horizontal="center" vertical="center" wrapText="1"/>
      <protection locked="0"/>
    </xf>
    <xf numFmtId="0" fontId="70" fillId="10" borderId="1" xfId="0" applyFont="1" applyFill="1" applyBorder="1" applyAlignment="1">
      <alignment horizontal="center" vertical="center" wrapText="1"/>
    </xf>
    <xf numFmtId="0" fontId="71" fillId="10" borderId="1" xfId="0" applyFont="1" applyFill="1" applyBorder="1" applyAlignment="1">
      <alignment horizontal="center" vertical="center" wrapText="1"/>
    </xf>
    <xf numFmtId="0" fontId="3" fillId="0" borderId="0" xfId="195" applyFont="1" applyAlignment="1">
      <alignment horizontal="left" vertical="center"/>
    </xf>
    <xf numFmtId="0" fontId="5" fillId="0" borderId="0" xfId="195" applyFont="1" applyAlignment="1">
      <alignment horizontal="left" vertical="center"/>
    </xf>
    <xf numFmtId="203" fontId="5" fillId="10" borderId="12" xfId="363" applyFont="1" applyFill="1" applyBorder="1" applyAlignment="1">
      <alignment horizontal="center" vertical="center"/>
      <protection locked="0"/>
    </xf>
    <xf numFmtId="203" fontId="5" fillId="10" borderId="13" xfId="363" applyFont="1" applyFill="1" applyBorder="1" applyAlignment="1">
      <alignment horizontal="center" vertical="center"/>
      <protection locked="0"/>
    </xf>
    <xf numFmtId="203" fontId="5" fillId="10" borderId="14" xfId="363" applyFont="1" applyFill="1" applyBorder="1" applyAlignment="1">
      <alignment horizontal="center" vertical="center"/>
      <protection locked="0"/>
    </xf>
    <xf numFmtId="14" fontId="3" fillId="37" borderId="1" xfId="363" applyNumberFormat="1" applyFont="1" applyFill="1" applyBorder="1" applyAlignment="1">
      <alignment horizontal="center" vertical="center"/>
      <protection locked="0"/>
    </xf>
    <xf numFmtId="203" fontId="3" fillId="10" borderId="1" xfId="394" applyFont="1" applyFill="1" applyBorder="1" applyAlignment="1">
      <alignment horizontal="center" vertical="center"/>
      <protection locked="0"/>
    </xf>
    <xf numFmtId="203" fontId="5" fillId="10" borderId="1" xfId="394" applyFont="1" applyFill="1" applyBorder="1" applyAlignment="1">
      <alignment horizontal="center" vertical="center"/>
      <protection locked="0"/>
    </xf>
    <xf numFmtId="203" fontId="3" fillId="37" borderId="1" xfId="394" applyFont="1" applyFill="1" applyBorder="1" applyAlignment="1">
      <alignment horizontal="center" vertical="center" wrapText="1"/>
      <protection locked="0"/>
    </xf>
    <xf numFmtId="203" fontId="5" fillId="37" borderId="1" xfId="394" applyFont="1" applyFill="1" applyBorder="1" applyAlignment="1">
      <alignment horizontal="center" vertical="center" wrapText="1"/>
      <protection locked="0"/>
    </xf>
    <xf numFmtId="203" fontId="3" fillId="38" borderId="1" xfId="395" applyFont="1" applyFill="1" applyBorder="1" applyAlignment="1">
      <alignment horizontal="center" vertical="center" wrapText="1"/>
    </xf>
    <xf numFmtId="203" fontId="3" fillId="38" borderId="9" xfId="395" applyFont="1" applyFill="1" applyBorder="1" applyAlignment="1">
      <alignment horizontal="center" vertical="center" wrapText="1"/>
    </xf>
    <xf numFmtId="203" fontId="3" fillId="38" borderId="10" xfId="395" applyFont="1" applyFill="1" applyBorder="1" applyAlignment="1">
      <alignment horizontal="center" vertical="center" wrapText="1"/>
    </xf>
    <xf numFmtId="203" fontId="3" fillId="37" borderId="1" xfId="394" applyFont="1" applyFill="1" applyBorder="1" applyAlignment="1">
      <alignment horizontal="center" vertical="center"/>
      <protection locked="0"/>
    </xf>
    <xf numFmtId="203" fontId="5" fillId="37" borderId="1" xfId="394" applyFont="1" applyFill="1" applyBorder="1" applyAlignment="1">
      <alignment horizontal="center" vertical="center"/>
      <protection locked="0"/>
    </xf>
    <xf numFmtId="0" fontId="3" fillId="38" borderId="1" xfId="192" applyFont="1" applyFill="1" applyBorder="1" applyAlignment="1" applyProtection="1">
      <alignment horizontal="center" vertical="center" wrapText="1"/>
    </xf>
    <xf numFmtId="203" fontId="5" fillId="37" borderId="12" xfId="363" applyFont="1" applyFill="1" applyBorder="1" applyAlignment="1">
      <alignment horizontal="center" vertical="center"/>
      <protection locked="0"/>
    </xf>
    <xf numFmtId="203" fontId="5" fillId="37" borderId="13" xfId="363" applyFont="1" applyFill="1" applyBorder="1" applyAlignment="1">
      <alignment horizontal="center" vertical="center"/>
      <protection locked="0"/>
    </xf>
    <xf numFmtId="203" fontId="5" fillId="37" borderId="14" xfId="363" applyFont="1" applyFill="1" applyBorder="1" applyAlignment="1">
      <alignment horizontal="center" vertical="center"/>
      <protection locked="0"/>
    </xf>
    <xf numFmtId="0" fontId="3" fillId="10" borderId="12" xfId="192" applyFont="1" applyFill="1" applyBorder="1" applyAlignment="1">
      <alignment horizontal="center" vertical="center"/>
      <protection locked="0"/>
    </xf>
    <xf numFmtId="0" fontId="3" fillId="10" borderId="13" xfId="192" applyFont="1" applyFill="1" applyBorder="1" applyAlignment="1">
      <alignment horizontal="center" vertical="center"/>
      <protection locked="0"/>
    </xf>
    <xf numFmtId="0" fontId="3" fillId="10" borderId="14" xfId="192" applyFont="1" applyFill="1" applyBorder="1" applyAlignment="1">
      <alignment horizontal="center" vertical="center"/>
      <protection locked="0"/>
    </xf>
  </cellXfs>
  <cellStyles count="399">
    <cellStyle name="%" xfId="3"/>
    <cellStyle name="% 2" xfId="197"/>
    <cellStyle name="?" xfId="4"/>
    <cellStyle name="? 2" xfId="339"/>
    <cellStyle name="??" xfId="198"/>
    <cellStyle name="?? [0]" xfId="199"/>
    <cellStyle name="??_0N-HANDLING " xfId="200"/>
    <cellStyle name="?餡_x000c_k" xfId="5"/>
    <cellStyle name="?餡_x000c_k?_x000d_^" xfId="6"/>
    <cellStyle name="?餡_x000c_k?_x000d_^黇_x0001_??_x0007__x0001__x0001_" xfId="7"/>
    <cellStyle name="@_text" xfId="8"/>
    <cellStyle name="@_text_子公司附注汇总(房开公司)" xfId="201"/>
    <cellStyle name="_(本部)2006年年报审计PBC表" xfId="202"/>
    <cellStyle name="_07930建造合同" xfId="203"/>
    <cellStyle name="_12月项目部访问及审计-德勤" xfId="204"/>
    <cellStyle name="_2005-08-31审计底稿－李" xfId="205"/>
    <cellStyle name="_2005审计报表及附注-中国建材股份模板（房屋）" xfId="9"/>
    <cellStyle name="_2006年年报审计PBC表（合并）" xfId="206"/>
    <cellStyle name="_2006年年报审计PBC表-XX" xfId="207"/>
    <cellStyle name="_2006年年报审计PBC表-XXX" xfId="10"/>
    <cellStyle name="_2006年年报审计PBC表-福州分公司" xfId="208"/>
    <cellStyle name="_2006年年报审计PBC表-云南分公司" xfId="209"/>
    <cellStyle name="_2006年年报审计填报资料" xfId="11"/>
    <cellStyle name="_2007调整分录-鲁佳" xfId="210"/>
    <cellStyle name="_Book1" xfId="12"/>
    <cellStyle name="_CREC(Huo" xfId="211"/>
    <cellStyle name="_ET_STYLE_NoName_00_" xfId="212"/>
    <cellStyle name="_ET_STYLE_NoName_00__2007调整分录-鲁佳" xfId="213"/>
    <cellStyle name="_ET_STYLE_NoName_00__股份本部" xfId="214"/>
    <cellStyle name="_ET_STYLE_NoName_00__股份本部_1" xfId="215"/>
    <cellStyle name="_ET_STYLE_NoName_00__股份本部_3" xfId="216"/>
    <cellStyle name="_ET_STYLE_NoName_00__股份本部_6_股份本部_2" xfId="217"/>
    <cellStyle name="_ET_STYLE_NoName_00__股份本部_7_股份本部_3" xfId="218"/>
    <cellStyle name="_J1000-存货-ZHHG"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本部其他应收应付年审底稿--鲁佳pb" xfId="219"/>
    <cellStyle name="_存货结转测试" xfId="24"/>
    <cellStyle name="_存货数量与明细05.12" xfId="25"/>
    <cellStyle name="_动力厂2004年审工作底稿-刘" xfId="26"/>
    <cellStyle name="_分工" xfId="27"/>
    <cellStyle name="_工程施工项目现场审计提示" xfId="28"/>
    <cellStyle name="_关联交易" xfId="29"/>
    <cellStyle name="_关联交易、往来统计表" xfId="30"/>
    <cellStyle name="_合并报表审计调整模板(CREC)" xfId="220"/>
    <cellStyle name="_合并公司2006年度科目明细表(定稿)" xfId="221"/>
    <cellStyle name="_建造合同-宜万指（正式版）" xfId="31"/>
    <cellStyle name="_科目核对表" xfId="32"/>
    <cellStyle name="_刘青分工填列信息统计" xfId="222"/>
    <cellStyle name="_刘青分工－子公司审计模板-电务" xfId="223"/>
    <cellStyle name="_刘青分工－子公司审计模板－铁达本部" xfId="224"/>
    <cellStyle name="_母PL" xfId="33"/>
    <cellStyle name="_母公司底稿-鲁佳" xfId="225"/>
    <cellStyle name="_年审筹资循环资料清单" xfId="226"/>
    <cellStyle name="_人员分工备忘录" xfId="34"/>
    <cellStyle name="_审计底稿-轩" xfId="227"/>
    <cellStyle name="_审计所需资料清单－子公司" xfId="35"/>
    <cellStyle name="_审计提示模版" xfId="228"/>
    <cellStyle name="_审计提示模版-母公司部分" xfId="229"/>
    <cellStyle name="_铁鸿源－刘青分工－子公司审计模板" xfId="230"/>
    <cellStyle name="_兴华审计成本" xfId="231"/>
    <cellStyle name="_岩土长投--急0121报王占学" xfId="232"/>
    <cellStyle name="_一公司建造合同前5名" xfId="36"/>
    <cellStyle name="_一公司－刘丰收" xfId="37"/>
    <cellStyle name="_银行询证函统计－大表" xfId="233"/>
    <cellStyle name="_长期借款－江阴" xfId="38"/>
    <cellStyle name="_子公司筹资循环－刘青" xfId="234"/>
    <cellStyle name="_子公司审计提示模版-Liufs" xfId="39"/>
    <cellStyle name="{Comma [0]}" xfId="40"/>
    <cellStyle name="{Comma}" xfId="41"/>
    <cellStyle name="{Date}" xfId="42"/>
    <cellStyle name="{Month}" xfId="43"/>
    <cellStyle name="{Percent}" xfId="44"/>
    <cellStyle name="{Thousand [0]}" xfId="45"/>
    <cellStyle name="{Thousand}" xfId="46"/>
    <cellStyle name="{Z'0000(1 dec)}" xfId="47"/>
    <cellStyle name="{Z'0000(4 dec)}" xfId="48"/>
    <cellStyle name="0%" xfId="49"/>
    <cellStyle name="0,0_x000d__x000a_NA_x000d__x000a_" xfId="50"/>
    <cellStyle name="0,0_x000d__x000a_NA_x000d__x000a_ 2" xfId="333"/>
    <cellStyle name="0.0%" xfId="51"/>
    <cellStyle name="0.00%" xfId="52"/>
    <cellStyle name="00" xfId="235"/>
    <cellStyle name="20% - Accent1" xfId="236"/>
    <cellStyle name="20% - Accent2" xfId="237"/>
    <cellStyle name="20% - Accent3" xfId="238"/>
    <cellStyle name="20% - Accent4" xfId="239"/>
    <cellStyle name="20% - Accent5" xfId="240"/>
    <cellStyle name="20% - Accent6" xfId="241"/>
    <cellStyle name="40% - Accent1" xfId="242"/>
    <cellStyle name="40% - Accent2" xfId="243"/>
    <cellStyle name="40% - Accent3" xfId="244"/>
    <cellStyle name="40% - Accent4" xfId="245"/>
    <cellStyle name="40% - Accent5" xfId="246"/>
    <cellStyle name="40% - Accent6" xfId="247"/>
    <cellStyle name="60% - Accent1" xfId="248"/>
    <cellStyle name="60% - Accent2" xfId="249"/>
    <cellStyle name="60% - Accent3" xfId="250"/>
    <cellStyle name="60% - Accent4" xfId="251"/>
    <cellStyle name="60% - Accent5" xfId="252"/>
    <cellStyle name="60% - Accent6" xfId="253"/>
    <cellStyle name="Accent1" xfId="254"/>
    <cellStyle name="Accent2" xfId="255"/>
    <cellStyle name="Accent3" xfId="256"/>
    <cellStyle name="Accent4" xfId="257"/>
    <cellStyle name="Accent5" xfId="258"/>
    <cellStyle name="Accent6" xfId="259"/>
    <cellStyle name="args.style" xfId="260"/>
    <cellStyle name="Bad" xfId="261"/>
    <cellStyle name="Black" xfId="53"/>
    <cellStyle name="Border" xfId="54"/>
    <cellStyle name="Calc Currency (0)" xfId="55"/>
    <cellStyle name="Calc Currency (2)" xfId="56"/>
    <cellStyle name="Calc Percent (0)" xfId="57"/>
    <cellStyle name="Calc Percent (1)" xfId="58"/>
    <cellStyle name="Calc Percent (2)" xfId="59"/>
    <cellStyle name="Calc Units (0)" xfId="60"/>
    <cellStyle name="Calc Units (1)" xfId="61"/>
    <cellStyle name="Calc Units (2)" xfId="62"/>
    <cellStyle name="Calculation" xfId="262"/>
    <cellStyle name="category" xfId="63"/>
    <cellStyle name="Check Cell" xfId="2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 [00]" xfId="75"/>
    <cellStyle name="Comma 28" xfId="76"/>
    <cellStyle name="comma zerodec" xfId="77"/>
    <cellStyle name="Comma,0" xfId="78"/>
    <cellStyle name="Comma,1" xfId="79"/>
    <cellStyle name="Comma,2" xfId="80"/>
    <cellStyle name="Comma_ rislugp" xfId="81"/>
    <cellStyle name="Copied" xfId="264"/>
    <cellStyle name="COST1" xfId="265"/>
    <cellStyle name="Currency [0]_ rislugp" xfId="82"/>
    <cellStyle name="Currency [00]" xfId="83"/>
    <cellStyle name="Currency,0" xfId="84"/>
    <cellStyle name="Currency,2" xfId="85"/>
    <cellStyle name="Currency_ rislugp" xfId="86"/>
    <cellStyle name="Currency1" xfId="87"/>
    <cellStyle name="Date" xfId="266"/>
    <cellStyle name="Date Short" xfId="88"/>
    <cellStyle name="Dezimal [0]_laroux" xfId="89"/>
    <cellStyle name="Dezimal_laroux" xfId="90"/>
    <cellStyle name="Dollar (zero dec)" xfId="91"/>
    <cellStyle name="E&amp;Y House" xfId="267"/>
    <cellStyle name="Enter Currency (0)" xfId="92"/>
    <cellStyle name="Enter Currency (2)" xfId="93"/>
    <cellStyle name="Enter Units (0)" xfId="94"/>
    <cellStyle name="Enter Units (1)" xfId="95"/>
    <cellStyle name="Enter Units (2)" xfId="96"/>
    <cellStyle name="Entered" xfId="268"/>
    <cellStyle name="entry" xfId="97"/>
    <cellStyle name="entry box" xfId="98"/>
    <cellStyle name="Euro" xfId="99"/>
    <cellStyle name="Explanatory Text" xfId="269"/>
    <cellStyle name="Followed Hyperlink_AheadBehind.xls Chart 23" xfId="100"/>
    <cellStyle name="Good" xfId="270"/>
    <cellStyle name="Grey" xfId="101"/>
    <cellStyle name="HEADER" xfId="102"/>
    <cellStyle name="Header1" xfId="103"/>
    <cellStyle name="Header2" xfId="104"/>
    <cellStyle name="Heading" xfId="105"/>
    <cellStyle name="Heading 1" xfId="271"/>
    <cellStyle name="Heading 2" xfId="272"/>
    <cellStyle name="Heading 3" xfId="273"/>
    <cellStyle name="Heading 4" xfId="274"/>
    <cellStyle name="Hyperlink_AheadBehind.xls Chart 23" xfId="106"/>
    <cellStyle name="Input" xfId="275"/>
    <cellStyle name="Input [yellow]" xfId="107"/>
    <cellStyle name="Input Cells" xfId="276"/>
    <cellStyle name="left" xfId="108"/>
    <cellStyle name="Link Currency (0)" xfId="109"/>
    <cellStyle name="Link Currency (2)" xfId="110"/>
    <cellStyle name="Link Units (0)" xfId="111"/>
    <cellStyle name="Link Units (1)" xfId="112"/>
    <cellStyle name="Link Units (2)" xfId="113"/>
    <cellStyle name="Linked Cell" xfId="277"/>
    <cellStyle name="Linked Cells" xfId="278"/>
    <cellStyle name="Millares [0]_laroux" xfId="114"/>
    <cellStyle name="Millares_laroux" xfId="115"/>
    <cellStyle name="Milliers [0]_!!!GO" xfId="279"/>
    <cellStyle name="Milliers_!!!GO" xfId="280"/>
    <cellStyle name="Model" xfId="116"/>
    <cellStyle name="Moneda [0]_laroux" xfId="117"/>
    <cellStyle name="Moneda_laroux" xfId="118"/>
    <cellStyle name="Monétaire [0]_!!!GO" xfId="281"/>
    <cellStyle name="Monétaire_!!!GO" xfId="282"/>
    <cellStyle name="Mon閠aire [0]_laroux" xfId="119"/>
    <cellStyle name="Mon閠aire_laroux" xfId="120"/>
    <cellStyle name="Neutral" xfId="283"/>
    <cellStyle name="New Times Roman" xfId="284"/>
    <cellStyle name="no dec" xfId="121"/>
    <cellStyle name="Non défini" xfId="122"/>
    <cellStyle name="Normal - Style1" xfId="123"/>
    <cellStyle name="Normal 2" xfId="285"/>
    <cellStyle name="Normal 2 2" xfId="286"/>
    <cellStyle name="Normal 21" xfId="124"/>
    <cellStyle name="Normal 3 2" xfId="287"/>
    <cellStyle name="Normal_ rislugp" xfId="125"/>
    <cellStyle name="Normalny_Arkusz1" xfId="126"/>
    <cellStyle name="Note" xfId="288"/>
    <cellStyle name="Œ…‹æØ‚è [0.00]_Region Orders (2)" xfId="289"/>
    <cellStyle name="Œ…‹æØ‚è_Region Orders (2)" xfId="290"/>
    <cellStyle name="Output" xfId="291"/>
    <cellStyle name="per.style" xfId="292"/>
    <cellStyle name="Percent (0)" xfId="127"/>
    <cellStyle name="Percent [0]" xfId="128"/>
    <cellStyle name="Percent [00]" xfId="129"/>
    <cellStyle name="Percent [2]" xfId="130"/>
    <cellStyle name="Prefilled" xfId="131"/>
    <cellStyle name="PrePop Currency (0)" xfId="132"/>
    <cellStyle name="PrePop Currency (2)" xfId="133"/>
    <cellStyle name="PrePop Units (0)" xfId="134"/>
    <cellStyle name="PrePop Units (1)" xfId="135"/>
    <cellStyle name="PrePop Units (2)" xfId="136"/>
    <cellStyle name="price" xfId="137"/>
    <cellStyle name="pricing" xfId="293"/>
    <cellStyle name="PSChar" xfId="294"/>
    <cellStyle name="Red" xfId="138"/>
    <cellStyle name="revised" xfId="139"/>
    <cellStyle name="RevList" xfId="295"/>
    <cellStyle name="row_def_array" xfId="296"/>
    <cellStyle name="S4" xfId="297"/>
    <cellStyle name="S5" xfId="298"/>
    <cellStyle name="section" xfId="140"/>
    <cellStyle name="SOR" xfId="141"/>
    <cellStyle name="style" xfId="142"/>
    <cellStyle name="style1" xfId="143"/>
    <cellStyle name="style2" xfId="144"/>
    <cellStyle name="subhead" xfId="145"/>
    <cellStyle name="Subtotal" xfId="299"/>
    <cellStyle name="Text Indent A" xfId="146"/>
    <cellStyle name="Text Indent B" xfId="147"/>
    <cellStyle name="Text Indent C" xfId="148"/>
    <cellStyle name="Tickmark" xfId="149"/>
    <cellStyle name="title" xfId="150"/>
    <cellStyle name="Total" xfId="300"/>
    <cellStyle name="Warning Text" xfId="301"/>
    <cellStyle name="wrap" xfId="151"/>
    <cellStyle name="パーセント_laroux" xfId="152"/>
    <cellStyle name="_PLDT" xfId="153"/>
    <cellStyle name="_laroux" xfId="302"/>
    <cellStyle name="だ[0]_PLDT" xfId="154"/>
    <cellStyle name="だ_PLDT" xfId="155"/>
    <cellStyle name="だ[0]_Total (2)" xfId="156"/>
    <cellStyle name="だ_laroux" xfId="303"/>
    <cellStyle name="百分比" xfId="397" builtinId="5"/>
    <cellStyle name="百分比 2" xfId="157"/>
    <cellStyle name="百分比 2 2" xfId="340"/>
    <cellStyle name="百分比 2 3" xfId="341"/>
    <cellStyle name="百分比 3" xfId="158"/>
    <cellStyle name="百分比 3 2" xfId="342"/>
    <cellStyle name="捠壿 [0.00]_PRODUCT DETAIL Q1" xfId="304"/>
    <cellStyle name="捠壿_PRODUCT DETAIL Q1" xfId="305"/>
    <cellStyle name="標準_１１月価格表" xfId="159"/>
    <cellStyle name="差_StartUp" xfId="306"/>
    <cellStyle name="差_T1000-主营业务收入-LJCH" xfId="160"/>
    <cellStyle name="差_子公司附注汇总(房开公司)" xfId="307"/>
    <cellStyle name="常规" xfId="0" builtinId="0"/>
    <cellStyle name="常规 10" xfId="343"/>
    <cellStyle name="常规 10 2" xfId="344"/>
    <cellStyle name="常规 10 3" xfId="345"/>
    <cellStyle name="常规 10 4" xfId="346"/>
    <cellStyle name="常规 11 2" xfId="347"/>
    <cellStyle name="常规 11 3" xfId="348"/>
    <cellStyle name="常规 11 4" xfId="349"/>
    <cellStyle name="常规 11 5" xfId="398"/>
    <cellStyle name="常规 12 2" xfId="350"/>
    <cellStyle name="常规 12 3" xfId="351"/>
    <cellStyle name="常规 12 4" xfId="352"/>
    <cellStyle name="常规 13 2" xfId="353"/>
    <cellStyle name="常规 13 3" xfId="354"/>
    <cellStyle name="常规 13 4" xfId="355"/>
    <cellStyle name="常规 2" xfId="161"/>
    <cellStyle name="常规 2 2" xfId="192"/>
    <cellStyle name="常规 2 2 2" xfId="308"/>
    <cellStyle name="常规 2 2 2 2" xfId="356"/>
    <cellStyle name="常规 2 2 3" xfId="334"/>
    <cellStyle name="常规 2 2 3 2" xfId="357"/>
    <cellStyle name="常规 2 2 3 3" xfId="358"/>
    <cellStyle name="常规 2 2 4" xfId="359"/>
    <cellStyle name="常规 2 2 5" xfId="394"/>
    <cellStyle name="常规 2 3" xfId="309"/>
    <cellStyle name="常规 2 3 2" xfId="360"/>
    <cellStyle name="常规 2 3 3" xfId="361"/>
    <cellStyle name="常规 2 3 4" xfId="337"/>
    <cellStyle name="常规 2 4" xfId="362"/>
    <cellStyle name="常规 2 5" xfId="363"/>
    <cellStyle name="常规 2 6" xfId="364"/>
    <cellStyle name="常规 2 7" xfId="365"/>
    <cellStyle name="常规 2 8" xfId="196"/>
    <cellStyle name="常规 2 8 2" xfId="393"/>
    <cellStyle name="常规 2 9" xfId="395"/>
    <cellStyle name="常规 2_经销商信息-1-原始表" xfId="366"/>
    <cellStyle name="常规 3" xfId="162"/>
    <cellStyle name="常规 3 2" xfId="310"/>
    <cellStyle name="常规 3 2 2" xfId="194"/>
    <cellStyle name="常规 3 2 2 2" xfId="367"/>
    <cellStyle name="常规 3 3" xfId="311"/>
    <cellStyle name="常规 3 4" xfId="368"/>
    <cellStyle name="常规 4" xfId="163"/>
    <cellStyle name="常规 4 2" xfId="312"/>
    <cellStyle name="常规 4 3" xfId="369"/>
    <cellStyle name="常规 4 4" xfId="370"/>
    <cellStyle name="常规 5" xfId="164"/>
    <cellStyle name="常规 5 2" xfId="313"/>
    <cellStyle name="常规 5 3" xfId="371"/>
    <cellStyle name="常规 5 4" xfId="372"/>
    <cellStyle name="常规 6" xfId="165"/>
    <cellStyle name="常规 6 2" xfId="314"/>
    <cellStyle name="常规 6 3" xfId="373"/>
    <cellStyle name="常规 6 4" xfId="374"/>
    <cellStyle name="常规 6 5" xfId="375"/>
    <cellStyle name="常规 7" xfId="315"/>
    <cellStyle name="常规 7 2" xfId="376"/>
    <cellStyle name="常规 7 3" xfId="377"/>
    <cellStyle name="常规 7 4" xfId="378"/>
    <cellStyle name="常规 8" xfId="379"/>
    <cellStyle name="常规 8 2" xfId="380"/>
    <cellStyle name="常规 8 3" xfId="381"/>
    <cellStyle name="常规 8 4" xfId="382"/>
    <cellStyle name="常规 9" xfId="383"/>
    <cellStyle name="常规 9 2" xfId="384"/>
    <cellStyle name="常规 9 3" xfId="385"/>
    <cellStyle name="常规 9 4" xfId="386"/>
    <cellStyle name="常规_2-1项目审定表－模板" xfId="2"/>
    <cellStyle name="常规_Book1" xfId="1"/>
    <cellStyle name="常规_Book1 2" xfId="336"/>
    <cellStyle name="常规_c-资产类" xfId="188"/>
    <cellStyle name="常规_F1短期投资及跌价准备" xfId="189"/>
    <cellStyle name="常规_sheet" xfId="332"/>
    <cellStyle name="常规_进一步审计程序--销售与收款循环" xfId="195"/>
    <cellStyle name="常规_进一步审计程序--销售与收款循环 2" xfId="392"/>
    <cellStyle name="常规_新审定表" xfId="331"/>
    <cellStyle name="常规_制造费用 2" xfId="338"/>
    <cellStyle name="超级链接_B4-1审计项目工时预算与控制表(集团)" xfId="166"/>
    <cellStyle name="超链接" xfId="190" builtinId="8"/>
    <cellStyle name="超链接 2" xfId="167"/>
    <cellStyle name="超链接 2 2" xfId="316"/>
    <cellStyle name="超链接 3" xfId="317"/>
    <cellStyle name="分级显示行_1_4附件二凯旋评估表" xfId="168"/>
    <cellStyle name="好_StartUp" xfId="318"/>
    <cellStyle name="好_T1000-主营业务收入" xfId="169"/>
    <cellStyle name="好_子公司附注汇总(房开公司)" xfId="319"/>
    <cellStyle name="桁区切り [0.00]_１１月価格表" xfId="170"/>
    <cellStyle name="桁区切り_１１月価格表" xfId="171"/>
    <cellStyle name="霓付 [0]_1202" xfId="320"/>
    <cellStyle name="霓付_1202" xfId="321"/>
    <cellStyle name="烹拳 [0]_1202" xfId="322"/>
    <cellStyle name="烹拳_1202" xfId="323"/>
    <cellStyle name="砯刽 [0]_PLDT" xfId="172"/>
    <cellStyle name="砯刽_PLDT" xfId="173"/>
    <cellStyle name="普通_ 白土" xfId="174"/>
    <cellStyle name="千分位[0]_ 白土" xfId="175"/>
    <cellStyle name="千分位_ 白土" xfId="176"/>
    <cellStyle name="千位[0]_ 应交税金审定表" xfId="177"/>
    <cellStyle name="千位_ 应交税金审定表" xfId="178"/>
    <cellStyle name="千位分隔" xfId="191" builtinId="3"/>
    <cellStyle name="千位分隔 2" xfId="179"/>
    <cellStyle name="千位分隔 2 2" xfId="387"/>
    <cellStyle name="千位分隔 2 3" xfId="324"/>
    <cellStyle name="千位分隔 2 3 2" xfId="388"/>
    <cellStyle name="千位分隔 2 4" xfId="389"/>
    <cellStyle name="千位分隔 3" xfId="193"/>
    <cellStyle name="千位分隔 3 2" xfId="390"/>
    <cellStyle name="千位分隔 3 3" xfId="391"/>
    <cellStyle name="千位分隔 6" xfId="396"/>
    <cellStyle name="千位分隔[0] 2" xfId="325"/>
    <cellStyle name="钎霖_(沥焊何巩)岿喊牢盔拌裙" xfId="326"/>
    <cellStyle name="通貨 [0.00]_１１月価格表" xfId="180"/>
    <cellStyle name="通貨_１１月価格表" xfId="181"/>
    <cellStyle name="样式 1" xfId="182"/>
    <cellStyle name="样式 1 2" xfId="335"/>
    <cellStyle name="昗弨_BOOKSHIP" xfId="327"/>
    <cellStyle name="寘嬫愗傝 [0.00]_PRODUCT DETAIL Q1" xfId="328"/>
    <cellStyle name="寘嬫愗傝_PRODUCT DETAIL Q1" xfId="329"/>
    <cellStyle name="资产" xfId="330"/>
    <cellStyle name="콤마 [0]_BOILER-CO1" xfId="183"/>
    <cellStyle name="콤마_BOILER-CO1" xfId="184"/>
    <cellStyle name="통화 [0]_BOILER-CO1" xfId="185"/>
    <cellStyle name="통화_BOILER-CO1" xfId="186"/>
    <cellStyle name="표준_0N-HANDLING " xfId="187"/>
  </cellStyles>
  <dxfs count="0"/>
  <tableStyles count="0" defaultTableStyle="TableStyleMedium2" defaultPivotStyle="PivotStyleLight16"/>
  <colors>
    <mruColors>
      <color rgb="FF0000FF"/>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3"/>
  <sheetViews>
    <sheetView tabSelected="1" workbookViewId="0">
      <selection activeCell="F11" sqref="F11"/>
    </sheetView>
  </sheetViews>
  <sheetFormatPr defaultColWidth="9" defaultRowHeight="20.25" customHeight="1"/>
  <cols>
    <col min="1" max="1" width="83.109375" style="2" customWidth="1"/>
    <col min="2" max="2" width="2" style="2" customWidth="1"/>
    <col min="3" max="3" width="2.109375" style="2" customWidth="1"/>
    <col min="4" max="4" width="6.109375" style="15" customWidth="1"/>
    <col min="5" max="5" width="33.33203125" style="15" customWidth="1"/>
    <col min="6" max="6" width="20.44140625" style="15" bestFit="1" customWidth="1"/>
    <col min="7" max="16384" width="9" style="3"/>
  </cols>
  <sheetData>
    <row r="1" spans="1:8" s="198" customFormat="1" ht="20.25" customHeight="1">
      <c r="A1" s="197" t="s">
        <v>4</v>
      </c>
      <c r="B1" s="15"/>
      <c r="C1" s="15"/>
    </row>
    <row r="2" spans="1:8" s="198" customFormat="1" ht="20.25" customHeight="1">
      <c r="A2" s="4" t="s">
        <v>214</v>
      </c>
      <c r="B2" s="199"/>
      <c r="C2" s="199"/>
      <c r="D2" s="15"/>
      <c r="E2" s="15"/>
      <c r="F2" s="15"/>
      <c r="G2" s="200"/>
      <c r="H2" s="200"/>
    </row>
    <row r="3" spans="1:8" s="198" customFormat="1" ht="18.75" customHeight="1">
      <c r="A3" s="310" t="s">
        <v>387</v>
      </c>
      <c r="B3" s="199"/>
      <c r="C3" s="199"/>
      <c r="D3" s="273" t="s">
        <v>349</v>
      </c>
      <c r="E3" s="273" t="s">
        <v>350</v>
      </c>
      <c r="F3" s="273" t="s">
        <v>351</v>
      </c>
      <c r="G3" s="200"/>
      <c r="H3" s="200"/>
    </row>
    <row r="4" spans="1:8" s="198" customFormat="1" ht="18.75" customHeight="1">
      <c r="A4" s="4" t="s">
        <v>5</v>
      </c>
      <c r="B4" s="15"/>
      <c r="C4" s="15"/>
      <c r="D4" s="274"/>
      <c r="E4" s="277" t="s">
        <v>357</v>
      </c>
      <c r="F4" s="274" t="s">
        <v>217</v>
      </c>
      <c r="G4" s="200"/>
      <c r="H4" s="201"/>
    </row>
    <row r="5" spans="1:8" s="198" customFormat="1" ht="18.75" customHeight="1">
      <c r="A5" s="4" t="s">
        <v>174</v>
      </c>
      <c r="B5" s="15"/>
      <c r="C5" s="15"/>
      <c r="D5" s="274">
        <v>1</v>
      </c>
      <c r="E5" s="277" t="s">
        <v>359</v>
      </c>
      <c r="F5" s="274" t="s">
        <v>275</v>
      </c>
      <c r="G5" s="200"/>
    </row>
    <row r="6" spans="1:8" s="198" customFormat="1" ht="18.75" customHeight="1">
      <c r="A6" s="4" t="s">
        <v>175</v>
      </c>
      <c r="B6" s="15"/>
      <c r="C6" s="15"/>
      <c r="D6" s="274">
        <v>2</v>
      </c>
      <c r="E6" s="278" t="s">
        <v>356</v>
      </c>
      <c r="F6" s="274"/>
      <c r="G6" s="202" t="s">
        <v>12</v>
      </c>
    </row>
    <row r="7" spans="1:8" s="198" customFormat="1" ht="18.75" customHeight="1">
      <c r="A7" s="4" t="s">
        <v>176</v>
      </c>
      <c r="B7" s="15"/>
      <c r="C7" s="15"/>
      <c r="D7" s="274">
        <v>3</v>
      </c>
      <c r="E7" s="278" t="s">
        <v>360</v>
      </c>
      <c r="F7" s="274"/>
      <c r="G7" s="202" t="s">
        <v>12</v>
      </c>
    </row>
    <row r="8" spans="1:8" s="198" customFormat="1" ht="18.75" customHeight="1">
      <c r="A8" s="203"/>
      <c r="B8" s="15"/>
      <c r="C8" s="15"/>
      <c r="D8" s="274">
        <v>4</v>
      </c>
      <c r="E8" s="278" t="s">
        <v>358</v>
      </c>
      <c r="F8" s="274" t="s">
        <v>218</v>
      </c>
    </row>
    <row r="9" spans="1:8" s="198" customFormat="1" ht="19.95" customHeight="1">
      <c r="A9" s="311" t="s">
        <v>388</v>
      </c>
      <c r="B9" s="15"/>
      <c r="C9" s="15"/>
      <c r="D9" s="274">
        <v>5</v>
      </c>
      <c r="E9" s="278" t="s">
        <v>361</v>
      </c>
      <c r="F9" s="274" t="s">
        <v>276</v>
      </c>
    </row>
    <row r="10" spans="1:8" s="198" customFormat="1" ht="19.95" customHeight="1">
      <c r="A10" s="330" t="s">
        <v>389</v>
      </c>
      <c r="B10" s="15"/>
      <c r="C10" s="15"/>
      <c r="D10" s="274">
        <v>6</v>
      </c>
      <c r="E10" s="278" t="s">
        <v>362</v>
      </c>
      <c r="F10" s="274" t="s">
        <v>219</v>
      </c>
    </row>
    <row r="11" spans="1:8" s="198" customFormat="1" ht="19.95" customHeight="1">
      <c r="A11" s="330"/>
      <c r="B11" s="15"/>
      <c r="C11" s="15"/>
      <c r="D11" s="274">
        <v>7</v>
      </c>
      <c r="E11" s="278" t="s">
        <v>354</v>
      </c>
      <c r="F11" s="274" t="s">
        <v>277</v>
      </c>
    </row>
    <row r="12" spans="1:8" s="198" customFormat="1" ht="19.95" customHeight="1">
      <c r="A12" s="330"/>
      <c r="B12" s="15"/>
      <c r="C12" s="15"/>
      <c r="D12" s="274">
        <v>8</v>
      </c>
      <c r="E12" s="326" t="s">
        <v>392</v>
      </c>
      <c r="F12" s="312" t="s">
        <v>393</v>
      </c>
    </row>
    <row r="13" spans="1:8" s="198" customFormat="1" ht="19.95" customHeight="1">
      <c r="A13" s="330"/>
      <c r="B13" s="15"/>
      <c r="C13" s="15"/>
      <c r="D13" s="274">
        <v>9</v>
      </c>
      <c r="E13" s="327" t="s">
        <v>394</v>
      </c>
      <c r="F13" s="312" t="s">
        <v>395</v>
      </c>
    </row>
    <row r="14" spans="1:8" s="198" customFormat="1" ht="19.95" customHeight="1">
      <c r="A14" s="330" t="s">
        <v>390</v>
      </c>
      <c r="B14" s="15"/>
      <c r="C14" s="15"/>
      <c r="D14" s="274">
        <v>10</v>
      </c>
      <c r="E14" s="326" t="s">
        <v>396</v>
      </c>
      <c r="F14" s="312" t="s">
        <v>397</v>
      </c>
    </row>
    <row r="15" spans="1:8" ht="19.95" customHeight="1">
      <c r="A15" s="330"/>
      <c r="D15" s="274">
        <v>11</v>
      </c>
      <c r="E15" s="327" t="s">
        <v>398</v>
      </c>
      <c r="F15" s="312" t="s">
        <v>399</v>
      </c>
    </row>
    <row r="16" spans="1:8" ht="19.95" customHeight="1">
      <c r="A16" s="330"/>
      <c r="D16" s="274">
        <v>12</v>
      </c>
      <c r="E16" s="327" t="s">
        <v>400</v>
      </c>
      <c r="F16" s="312" t="s">
        <v>401</v>
      </c>
    </row>
    <row r="17" spans="1:6" ht="19.95" customHeight="1">
      <c r="A17" s="331" t="s">
        <v>391</v>
      </c>
      <c r="D17" s="274">
        <v>13</v>
      </c>
      <c r="E17" s="326" t="s">
        <v>402</v>
      </c>
      <c r="F17" s="312" t="s">
        <v>403</v>
      </c>
    </row>
    <row r="18" spans="1:6" ht="19.95" customHeight="1">
      <c r="A18" s="331"/>
      <c r="D18" s="274">
        <v>14</v>
      </c>
      <c r="E18" s="326" t="s">
        <v>404</v>
      </c>
      <c r="F18" s="312" t="s">
        <v>405</v>
      </c>
    </row>
    <row r="19" spans="1:6" ht="19.95" customHeight="1">
      <c r="A19" s="331"/>
      <c r="D19" s="274">
        <v>15</v>
      </c>
      <c r="E19" s="326" t="s">
        <v>406</v>
      </c>
      <c r="F19" s="312" t="s">
        <v>407</v>
      </c>
    </row>
    <row r="20" spans="1:6" ht="19.95" customHeight="1">
      <c r="D20" s="274">
        <v>16</v>
      </c>
      <c r="E20" s="278" t="s">
        <v>355</v>
      </c>
      <c r="F20" s="274" t="s">
        <v>353</v>
      </c>
    </row>
    <row r="21" spans="1:6" ht="19.95" customHeight="1">
      <c r="D21" s="204" t="s">
        <v>139</v>
      </c>
      <c r="E21" s="204" t="s">
        <v>220</v>
      </c>
    </row>
    <row r="22" spans="1:6" ht="19.95" customHeight="1">
      <c r="D22" s="205"/>
      <c r="E22" s="204" t="s">
        <v>221</v>
      </c>
    </row>
    <row r="23" spans="1:6" ht="20.25" customHeight="1">
      <c r="D23" s="16"/>
      <c r="E23" s="17"/>
    </row>
  </sheetData>
  <mergeCells count="3">
    <mergeCell ref="A10:A13"/>
    <mergeCell ref="A14:A16"/>
    <mergeCell ref="A17:A19"/>
  </mergeCells>
  <phoneticPr fontId="4" type="noConversion"/>
  <hyperlinks>
    <hyperlink ref="E5" location="'审定表G9-1'!A1" display="审定表"/>
    <hyperlink ref="E6" location="'附注披露信息（上市公司）'!A1" display="附注披露信息（上市公司）"/>
    <hyperlink ref="E7" location="'附注披露信息（国企）'!A1" display="附注披露信息（国企）"/>
    <hyperlink ref="E20" location="'凭证检查表G9-6'!A1" display="凭证检查表"/>
    <hyperlink ref="E10" location="'公允价值测试表G9-4'!A1" display="公允价值测试表"/>
    <hyperlink ref="E4" location="其他非流动金融资产实质性程序表G9A!A1" display="其他非流动金融资产实质性程序表"/>
    <hyperlink ref="E8" location="'明细表G9-2'!A1" display="明细表"/>
    <hyperlink ref="E9" location="'调整分录汇总G9-3'!A1" display="调整分录汇总"/>
    <hyperlink ref="E11" location="'第三层次公允价值计量的调节表G9-5'!A1" display="第三层次公允价值计量的调节表"/>
  </hyperlinks>
  <printOptions horizontalCentered="1"/>
  <pageMargins left="0.70866141732283472" right="0.70866141732283472" top="0.74803149606299213" bottom="0.74803149606299213" header="0.31496062992125984" footer="0.31496062992125984"/>
  <pageSetup paperSize="9" orientation="landscape" blackAndWhite="1" verticalDpi="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J30"/>
  <sheetViews>
    <sheetView view="pageBreakPreview" zoomScaleNormal="100" zoomScaleSheetLayoutView="100" workbookViewId="0">
      <selection sqref="A1:I1"/>
    </sheetView>
  </sheetViews>
  <sheetFormatPr defaultColWidth="9" defaultRowHeight="13.8"/>
  <cols>
    <col min="1" max="1" width="4.5546875" style="132" customWidth="1"/>
    <col min="2" max="2" width="71.21875" style="131" customWidth="1"/>
    <col min="3" max="3" width="12" style="131" customWidth="1"/>
    <col min="4" max="4" width="7" style="131" customWidth="1"/>
    <col min="5" max="5" width="6.5546875" style="131" customWidth="1"/>
    <col min="6" max="6" width="6.6640625" style="131" customWidth="1"/>
    <col min="7" max="7" width="7" style="131" customWidth="1"/>
    <col min="8" max="8" width="6.109375" style="131" customWidth="1"/>
    <col min="9" max="9" width="7.88671875" style="131" customWidth="1"/>
    <col min="10" max="16384" width="9" style="131"/>
  </cols>
  <sheetData>
    <row r="1" spans="1:10" s="174" customFormat="1" ht="19.95" customHeight="1">
      <c r="A1" s="337" t="s">
        <v>283</v>
      </c>
      <c r="B1" s="337"/>
      <c r="C1" s="337"/>
      <c r="D1" s="337"/>
      <c r="E1" s="337"/>
      <c r="F1" s="337"/>
      <c r="G1" s="337"/>
      <c r="H1" s="337"/>
      <c r="I1" s="337"/>
    </row>
    <row r="2" spans="1:10" s="178" customFormat="1" ht="19.95" customHeight="1">
      <c r="A2" s="338" t="s">
        <v>284</v>
      </c>
      <c r="B2" s="338"/>
      <c r="C2" s="338"/>
      <c r="D2" s="338"/>
      <c r="E2" s="338"/>
      <c r="F2" s="338"/>
      <c r="G2" s="338"/>
      <c r="H2" s="338"/>
      <c r="I2" s="338"/>
    </row>
    <row r="3" spans="1:10" s="212" customFormat="1" ht="19.95" customHeight="1">
      <c r="A3" s="339" t="str">
        <f>底稿目录!A2</f>
        <v>被审计单位：</v>
      </c>
      <c r="B3" s="339"/>
      <c r="C3" s="212" t="str">
        <f>底稿目录!A4</f>
        <v>编制人：</v>
      </c>
      <c r="F3" s="212" t="str">
        <f>底稿目录!A5</f>
        <v>编制日期：</v>
      </c>
      <c r="H3" s="212" t="s">
        <v>215</v>
      </c>
      <c r="I3" s="288" t="str">
        <f>底稿目录!F4</f>
        <v>G9A</v>
      </c>
    </row>
    <row r="4" spans="1:10" s="212" customFormat="1" ht="19.95" customHeight="1">
      <c r="A4" s="339" t="str">
        <f>底稿目录!A3</f>
        <v>截止日：202X年12月31日</v>
      </c>
      <c r="B4" s="339"/>
      <c r="C4" s="212" t="str">
        <f>底稿目录!A6</f>
        <v>复核人：</v>
      </c>
      <c r="F4" s="212" t="str">
        <f>底稿目录!A7</f>
        <v>复核日期：</v>
      </c>
      <c r="H4" s="211" t="s">
        <v>330</v>
      </c>
    </row>
    <row r="5" spans="1:10" ht="19.95" customHeight="1">
      <c r="A5" s="340" t="s">
        <v>140</v>
      </c>
      <c r="B5" s="340"/>
      <c r="C5" s="227"/>
      <c r="D5" s="227"/>
      <c r="E5" s="227"/>
      <c r="F5" s="227"/>
      <c r="G5" s="227"/>
      <c r="H5" s="227"/>
      <c r="I5" s="227"/>
    </row>
    <row r="6" spans="1:10" ht="19.95" customHeight="1">
      <c r="A6" s="334" t="s">
        <v>211</v>
      </c>
      <c r="B6" s="334"/>
      <c r="C6" s="334"/>
      <c r="D6" s="334"/>
      <c r="E6" s="334"/>
      <c r="F6" s="334"/>
      <c r="G6" s="334"/>
      <c r="H6" s="334"/>
      <c r="I6" s="334"/>
    </row>
    <row r="7" spans="1:10" s="151" customFormat="1" ht="19.95" customHeight="1">
      <c r="A7" s="228" t="s">
        <v>222</v>
      </c>
      <c r="B7" s="229"/>
      <c r="C7" s="230"/>
      <c r="D7" s="231"/>
      <c r="E7" s="231"/>
      <c r="F7" s="231"/>
      <c r="G7" s="231"/>
      <c r="H7" s="231"/>
      <c r="I7" s="231"/>
    </row>
    <row r="8" spans="1:10" s="151" customFormat="1" ht="19.95" customHeight="1">
      <c r="A8" s="342" t="s">
        <v>223</v>
      </c>
      <c r="B8" s="342"/>
      <c r="C8" s="342"/>
      <c r="D8" s="342"/>
      <c r="E8" s="342"/>
      <c r="F8" s="342"/>
      <c r="G8" s="341" t="s">
        <v>141</v>
      </c>
      <c r="H8" s="341"/>
      <c r="I8" s="341"/>
    </row>
    <row r="9" spans="1:10" s="151" customFormat="1" ht="19.95" customHeight="1">
      <c r="A9" s="332" t="s">
        <v>364</v>
      </c>
      <c r="B9" s="332"/>
      <c r="C9" s="332"/>
      <c r="D9" s="332"/>
      <c r="E9" s="332"/>
      <c r="F9" s="332"/>
      <c r="G9" s="333" t="s">
        <v>224</v>
      </c>
      <c r="H9" s="333"/>
      <c r="I9" s="333"/>
    </row>
    <row r="10" spans="1:10" s="151" customFormat="1" ht="19.95" customHeight="1">
      <c r="A10" s="332" t="s">
        <v>365</v>
      </c>
      <c r="B10" s="332"/>
      <c r="C10" s="332"/>
      <c r="D10" s="332"/>
      <c r="E10" s="332"/>
      <c r="F10" s="332"/>
      <c r="G10" s="333" t="s">
        <v>385</v>
      </c>
      <c r="H10" s="333"/>
      <c r="I10" s="333"/>
    </row>
    <row r="11" spans="1:10" s="151" customFormat="1" ht="19.95" customHeight="1">
      <c r="A11" s="332" t="s">
        <v>366</v>
      </c>
      <c r="B11" s="332"/>
      <c r="C11" s="332"/>
      <c r="D11" s="332"/>
      <c r="E11" s="332"/>
      <c r="F11" s="332"/>
      <c r="G11" s="333" t="s">
        <v>386</v>
      </c>
      <c r="H11" s="333"/>
      <c r="I11" s="333"/>
    </row>
    <row r="12" spans="1:10" s="151" customFormat="1" ht="22.8" customHeight="1">
      <c r="A12" s="332" t="s">
        <v>368</v>
      </c>
      <c r="B12" s="332"/>
      <c r="C12" s="332"/>
      <c r="D12" s="332"/>
      <c r="E12" s="332"/>
      <c r="F12" s="332"/>
      <c r="G12" s="333" t="s">
        <v>225</v>
      </c>
      <c r="H12" s="333"/>
      <c r="I12" s="333"/>
    </row>
    <row r="13" spans="1:10" s="151" customFormat="1" ht="19.95" customHeight="1">
      <c r="A13" s="332" t="s">
        <v>367</v>
      </c>
      <c r="B13" s="332"/>
      <c r="C13" s="332"/>
      <c r="D13" s="332"/>
      <c r="E13" s="332"/>
      <c r="F13" s="332"/>
      <c r="G13" s="333" t="s">
        <v>226</v>
      </c>
      <c r="H13" s="333"/>
      <c r="I13" s="333"/>
    </row>
    <row r="14" spans="1:10" s="151" customFormat="1" ht="19.95" customHeight="1">
      <c r="A14" s="335" t="s">
        <v>363</v>
      </c>
      <c r="B14" s="336"/>
      <c r="C14" s="230"/>
      <c r="D14" s="232"/>
      <c r="E14" s="232"/>
      <c r="F14" s="232"/>
      <c r="G14" s="232"/>
      <c r="H14" s="232"/>
      <c r="I14" s="232"/>
    </row>
    <row r="15" spans="1:10" s="151" customFormat="1" ht="19.95" customHeight="1">
      <c r="A15" s="343" t="s">
        <v>227</v>
      </c>
      <c r="B15" s="344" t="s">
        <v>409</v>
      </c>
      <c r="C15" s="345" t="s">
        <v>228</v>
      </c>
      <c r="D15" s="346" t="s">
        <v>229</v>
      </c>
      <c r="E15" s="347"/>
      <c r="F15" s="347"/>
      <c r="G15" s="347"/>
      <c r="H15" s="347"/>
      <c r="I15" s="342" t="s">
        <v>230</v>
      </c>
    </row>
    <row r="16" spans="1:10" s="151" customFormat="1" ht="36">
      <c r="A16" s="343"/>
      <c r="B16" s="344"/>
      <c r="C16" s="345"/>
      <c r="D16" s="308" t="s">
        <v>231</v>
      </c>
      <c r="E16" s="308" t="s">
        <v>232</v>
      </c>
      <c r="F16" s="309" t="s">
        <v>233</v>
      </c>
      <c r="G16" s="309" t="s">
        <v>234</v>
      </c>
      <c r="H16" s="309" t="s">
        <v>235</v>
      </c>
      <c r="I16" s="342"/>
      <c r="J16" s="313" t="s">
        <v>408</v>
      </c>
    </row>
    <row r="17" spans="1:9" s="157" customFormat="1" ht="150.6" customHeight="1">
      <c r="A17" s="153" t="s">
        <v>236</v>
      </c>
      <c r="B17" s="154" t="s">
        <v>370</v>
      </c>
      <c r="C17" s="160" t="s">
        <v>237</v>
      </c>
      <c r="D17" s="280" t="s">
        <v>250</v>
      </c>
      <c r="E17" s="280" t="s">
        <v>250</v>
      </c>
      <c r="F17" s="281"/>
      <c r="G17" s="282" t="s">
        <v>250</v>
      </c>
      <c r="H17" s="283"/>
      <c r="I17" s="233" t="s">
        <v>375</v>
      </c>
    </row>
    <row r="18" spans="1:9" s="157" customFormat="1" ht="43.8" customHeight="1">
      <c r="A18" s="153" t="s">
        <v>240</v>
      </c>
      <c r="B18" s="154" t="s">
        <v>241</v>
      </c>
      <c r="C18" s="160" t="s">
        <v>237</v>
      </c>
      <c r="D18" s="152"/>
      <c r="E18" s="156" t="s">
        <v>239</v>
      </c>
      <c r="F18" s="155"/>
      <c r="G18" s="155" t="s">
        <v>239</v>
      </c>
      <c r="H18" s="156"/>
      <c r="I18" s="284" t="s">
        <v>376</v>
      </c>
    </row>
    <row r="19" spans="1:9" s="157" customFormat="1" ht="60" collapsed="1">
      <c r="A19" s="153" t="s">
        <v>142</v>
      </c>
      <c r="B19" s="158" t="s">
        <v>371</v>
      </c>
      <c r="C19" s="160" t="s">
        <v>369</v>
      </c>
      <c r="D19" s="156" t="s">
        <v>239</v>
      </c>
      <c r="E19" s="155" t="s">
        <v>239</v>
      </c>
      <c r="F19" s="155" t="s">
        <v>239</v>
      </c>
      <c r="G19" s="155" t="s">
        <v>239</v>
      </c>
      <c r="H19" s="92"/>
      <c r="I19" s="233" t="s">
        <v>281</v>
      </c>
    </row>
    <row r="20" spans="1:9" s="157" customFormat="1" ht="84">
      <c r="A20" s="153" t="s">
        <v>143</v>
      </c>
      <c r="B20" s="158" t="s">
        <v>243</v>
      </c>
      <c r="C20" s="160" t="s">
        <v>237</v>
      </c>
      <c r="D20" s="282" t="s">
        <v>377</v>
      </c>
      <c r="E20" s="281"/>
      <c r="F20" s="281"/>
      <c r="G20" s="280" t="s">
        <v>377</v>
      </c>
      <c r="H20" s="281"/>
      <c r="I20" s="233" t="s">
        <v>378</v>
      </c>
    </row>
    <row r="21" spans="1:9" s="157" customFormat="1" ht="116.4" customHeight="1">
      <c r="A21" s="153" t="s">
        <v>144</v>
      </c>
      <c r="B21" s="158" t="s">
        <v>272</v>
      </c>
      <c r="C21" s="160" t="s">
        <v>242</v>
      </c>
      <c r="D21" s="280" t="s">
        <v>250</v>
      </c>
      <c r="E21" s="280" t="s">
        <v>250</v>
      </c>
      <c r="F21" s="281"/>
      <c r="G21" s="280" t="s">
        <v>250</v>
      </c>
      <c r="H21" s="285"/>
      <c r="I21" s="233" t="s">
        <v>375</v>
      </c>
    </row>
    <row r="22" spans="1:9" s="157" customFormat="1" ht="115.8" customHeight="1">
      <c r="A22" s="153" t="s">
        <v>145</v>
      </c>
      <c r="B22" s="158" t="s">
        <v>372</v>
      </c>
      <c r="C22" s="160" t="s">
        <v>242</v>
      </c>
      <c r="D22" s="282" t="s">
        <v>250</v>
      </c>
      <c r="E22" s="280"/>
      <c r="F22" s="282" t="s">
        <v>250</v>
      </c>
      <c r="G22" s="280" t="s">
        <v>250</v>
      </c>
      <c r="H22" s="285"/>
      <c r="I22" s="92" t="s">
        <v>379</v>
      </c>
    </row>
    <row r="23" spans="1:9" s="157" customFormat="1" ht="108.6" customHeight="1">
      <c r="A23" s="153" t="s">
        <v>146</v>
      </c>
      <c r="B23" s="158" t="s">
        <v>248</v>
      </c>
      <c r="C23" s="160" t="s">
        <v>242</v>
      </c>
      <c r="D23" s="282" t="s">
        <v>250</v>
      </c>
      <c r="E23" s="280" t="s">
        <v>250</v>
      </c>
      <c r="F23" s="280" t="s">
        <v>250</v>
      </c>
      <c r="G23" s="282" t="s">
        <v>250</v>
      </c>
      <c r="H23" s="285"/>
      <c r="I23" s="92" t="s">
        <v>380</v>
      </c>
    </row>
    <row r="24" spans="1:9" s="157" customFormat="1" ht="66" customHeight="1">
      <c r="A24" s="153" t="s">
        <v>147</v>
      </c>
      <c r="B24" s="158" t="s">
        <v>255</v>
      </c>
      <c r="C24" s="160" t="s">
        <v>246</v>
      </c>
      <c r="D24" s="91"/>
      <c r="E24" s="91"/>
      <c r="F24" s="91"/>
      <c r="G24" s="156" t="s">
        <v>247</v>
      </c>
      <c r="H24" s="155"/>
      <c r="I24" s="92" t="s">
        <v>278</v>
      </c>
    </row>
    <row r="25" spans="1:9" s="157" customFormat="1" ht="156">
      <c r="A25" s="153" t="s">
        <v>148</v>
      </c>
      <c r="B25" s="159" t="s">
        <v>245</v>
      </c>
      <c r="C25" s="160" t="s">
        <v>246</v>
      </c>
      <c r="D25" s="156" t="s">
        <v>247</v>
      </c>
      <c r="E25" s="155" t="s">
        <v>247</v>
      </c>
      <c r="F25" s="156" t="s">
        <v>247</v>
      </c>
      <c r="G25" s="155" t="s">
        <v>238</v>
      </c>
      <c r="H25" s="92"/>
      <c r="I25" s="92" t="s">
        <v>279</v>
      </c>
    </row>
    <row r="26" spans="1:9" s="157" customFormat="1" ht="47.4" customHeight="1">
      <c r="A26" s="153" t="s">
        <v>149</v>
      </c>
      <c r="B26" s="158" t="s">
        <v>270</v>
      </c>
      <c r="C26" s="160" t="s">
        <v>249</v>
      </c>
      <c r="D26" s="282" t="s">
        <v>381</v>
      </c>
      <c r="E26" s="280" t="s">
        <v>381</v>
      </c>
      <c r="F26" s="281"/>
      <c r="G26" s="280" t="s">
        <v>382</v>
      </c>
      <c r="H26" s="280"/>
      <c r="I26" s="92" t="s">
        <v>280</v>
      </c>
    </row>
    <row r="27" spans="1:9" s="157" customFormat="1" ht="32.4" customHeight="1">
      <c r="A27" s="153" t="s">
        <v>150</v>
      </c>
      <c r="B27" s="158" t="s">
        <v>251</v>
      </c>
      <c r="C27" s="160" t="s">
        <v>246</v>
      </c>
      <c r="D27" s="91"/>
      <c r="E27" s="91"/>
      <c r="F27" s="156" t="s">
        <v>247</v>
      </c>
      <c r="G27" s="91"/>
      <c r="H27" s="92"/>
      <c r="I27" s="92" t="s">
        <v>280</v>
      </c>
    </row>
    <row r="28" spans="1:9" s="157" customFormat="1" ht="118.8" customHeight="1">
      <c r="A28" s="153" t="s">
        <v>151</v>
      </c>
      <c r="B28" s="158" t="s">
        <v>274</v>
      </c>
      <c r="C28" s="160" t="s">
        <v>242</v>
      </c>
      <c r="D28" s="156" t="s">
        <v>250</v>
      </c>
      <c r="E28" s="155" t="s">
        <v>250</v>
      </c>
      <c r="F28" s="155" t="s">
        <v>250</v>
      </c>
      <c r="G28" s="156" t="s">
        <v>250</v>
      </c>
      <c r="H28" s="155" t="s">
        <v>250</v>
      </c>
      <c r="I28" s="92" t="s">
        <v>352</v>
      </c>
    </row>
    <row r="29" spans="1:9" s="157" customFormat="1" ht="42.6" customHeight="1">
      <c r="A29" s="153" t="s">
        <v>244</v>
      </c>
      <c r="B29" s="90" t="s">
        <v>273</v>
      </c>
      <c r="C29" s="280" t="s">
        <v>374</v>
      </c>
      <c r="D29" s="156"/>
      <c r="E29" s="155"/>
      <c r="F29" s="156"/>
      <c r="G29" s="155"/>
      <c r="H29" s="92"/>
      <c r="I29" s="92"/>
    </row>
    <row r="30" spans="1:9" s="157" customFormat="1" ht="33" customHeight="1">
      <c r="A30" s="153" t="s">
        <v>252</v>
      </c>
      <c r="B30" s="279" t="s">
        <v>373</v>
      </c>
      <c r="C30" s="160" t="s">
        <v>254</v>
      </c>
      <c r="D30" s="91"/>
      <c r="E30" s="91"/>
      <c r="F30" s="91"/>
      <c r="G30" s="91"/>
      <c r="H30" s="156" t="s">
        <v>253</v>
      </c>
      <c r="I30" s="286" t="s">
        <v>383</v>
      </c>
    </row>
  </sheetData>
  <mergeCells count="24">
    <mergeCell ref="I15:I16"/>
    <mergeCell ref="A9:F9"/>
    <mergeCell ref="A10:F10"/>
    <mergeCell ref="A11:F11"/>
    <mergeCell ref="A15:A16"/>
    <mergeCell ref="B15:B16"/>
    <mergeCell ref="C15:C16"/>
    <mergeCell ref="D15:H15"/>
    <mergeCell ref="A12:F12"/>
    <mergeCell ref="G13:I13"/>
    <mergeCell ref="A6:I6"/>
    <mergeCell ref="A14:B14"/>
    <mergeCell ref="A1:I1"/>
    <mergeCell ref="A2:I2"/>
    <mergeCell ref="A3:B3"/>
    <mergeCell ref="A4:B4"/>
    <mergeCell ref="A5:B5"/>
    <mergeCell ref="G8:I8"/>
    <mergeCell ref="G9:I9"/>
    <mergeCell ref="G10:I10"/>
    <mergeCell ref="G11:I11"/>
    <mergeCell ref="G12:I12"/>
    <mergeCell ref="A13:F13"/>
    <mergeCell ref="A8:F8"/>
  </mergeCells>
  <phoneticPr fontId="4" type="noConversion"/>
  <hyperlinks>
    <hyperlink ref="I3" location="底稿目录!F4" display="底稿目录!F4"/>
  </hyperlinks>
  <printOptions horizontalCentered="1"/>
  <pageMargins left="0.70866141732283472" right="0.70866141732283472" top="0.74803149606299213" bottom="0.74803149606299213" header="0.31496062992125984" footer="0.31496062992125984"/>
  <pageSetup paperSize="9" scale="69"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O74"/>
  <sheetViews>
    <sheetView view="pageBreakPreview" zoomScaleSheetLayoutView="100" workbookViewId="0">
      <pane xSplit="1" ySplit="6" topLeftCell="B7" activePane="bottomRight" state="frozen"/>
      <selection activeCell="R16" sqref="R16"/>
      <selection pane="topRight" activeCell="R16" sqref="R16"/>
      <selection pane="bottomLeft" activeCell="R16" sqref="R16"/>
      <selection pane="bottomRight" sqref="A1:L1"/>
    </sheetView>
  </sheetViews>
  <sheetFormatPr defaultColWidth="9" defaultRowHeight="23.25" customHeight="1"/>
  <cols>
    <col min="1" max="1" width="23.77734375" style="20" customWidth="1"/>
    <col min="2" max="2" width="13.109375" style="20" customWidth="1"/>
    <col min="3" max="3" width="11.5546875" style="20" bestFit="1" customWidth="1"/>
    <col min="4" max="4" width="11.109375" style="20" customWidth="1"/>
    <col min="5" max="5" width="14.33203125" style="20" bestFit="1" customWidth="1"/>
    <col min="6" max="6" width="13" style="20" customWidth="1"/>
    <col min="7" max="7" width="9.44140625" style="20" customWidth="1"/>
    <col min="8" max="8" width="11" style="20" customWidth="1"/>
    <col min="9" max="9" width="13.21875" style="20" customWidth="1"/>
    <col min="10" max="10" width="12" style="20" customWidth="1"/>
    <col min="11" max="11" width="11.109375" style="20" customWidth="1"/>
    <col min="12" max="12" width="11" style="20" customWidth="1"/>
    <col min="13" max="13" width="13.44140625" style="20" customWidth="1"/>
    <col min="14" max="16384" width="9" style="20"/>
  </cols>
  <sheetData>
    <row r="1" spans="1:12" s="173" customFormat="1" ht="19.95" customHeight="1">
      <c r="A1" s="348" t="s">
        <v>152</v>
      </c>
      <c r="B1" s="348"/>
      <c r="C1" s="348"/>
      <c r="D1" s="348"/>
      <c r="E1" s="348"/>
      <c r="F1" s="348"/>
      <c r="G1" s="348"/>
      <c r="H1" s="348"/>
      <c r="I1" s="348"/>
      <c r="J1" s="348"/>
      <c r="K1" s="348"/>
      <c r="L1" s="348"/>
    </row>
    <row r="2" spans="1:12" s="183" customFormat="1" ht="19.95" customHeight="1">
      <c r="A2" s="349" t="s">
        <v>79</v>
      </c>
      <c r="B2" s="349"/>
      <c r="C2" s="349"/>
      <c r="D2" s="349"/>
      <c r="E2" s="349"/>
      <c r="F2" s="349"/>
      <c r="G2" s="349"/>
      <c r="H2" s="349"/>
      <c r="I2" s="349"/>
      <c r="J2" s="349"/>
      <c r="K2" s="349"/>
      <c r="L2" s="349"/>
    </row>
    <row r="3" spans="1:12" s="223" customFormat="1" ht="19.95" customHeight="1">
      <c r="A3" s="223" t="str">
        <f>底稿目录!A2</f>
        <v>被审计单位：</v>
      </c>
      <c r="E3" s="224" t="str">
        <f>底稿目录!A4</f>
        <v>编制人：</v>
      </c>
      <c r="H3" s="224" t="str">
        <f>底稿目录!A5</f>
        <v>编制日期：</v>
      </c>
      <c r="K3" s="224" t="s">
        <v>215</v>
      </c>
      <c r="L3" s="288" t="str">
        <f>底稿目录!F5</f>
        <v>G9-1</v>
      </c>
    </row>
    <row r="4" spans="1:12" s="223" customFormat="1" ht="19.95" customHeight="1">
      <c r="A4" s="223" t="str">
        <f>底稿目录!A3</f>
        <v>截止日：202X年12月31日</v>
      </c>
      <c r="B4" s="226"/>
      <c r="E4" s="224" t="str">
        <f>底稿目录!A6</f>
        <v>复核人：</v>
      </c>
      <c r="H4" s="224" t="str">
        <f>底稿目录!A7</f>
        <v>复核日期：</v>
      </c>
      <c r="K4" s="224" t="s">
        <v>331</v>
      </c>
    </row>
    <row r="5" spans="1:12" ht="19.95" customHeight="1">
      <c r="A5" s="350" t="s">
        <v>92</v>
      </c>
      <c r="B5" s="352" t="s">
        <v>93</v>
      </c>
      <c r="C5" s="353"/>
      <c r="D5" s="353"/>
      <c r="E5" s="354"/>
      <c r="F5" s="352" t="s">
        <v>94</v>
      </c>
      <c r="G5" s="353"/>
      <c r="H5" s="353"/>
      <c r="I5" s="354"/>
      <c r="J5" s="355" t="s">
        <v>95</v>
      </c>
      <c r="K5" s="356"/>
      <c r="L5" s="357" t="s">
        <v>96</v>
      </c>
    </row>
    <row r="6" spans="1:12" ht="19.95" customHeight="1">
      <c r="A6" s="351"/>
      <c r="B6" s="56" t="s">
        <v>97</v>
      </c>
      <c r="C6" s="56" t="s">
        <v>98</v>
      </c>
      <c r="D6" s="56" t="s">
        <v>99</v>
      </c>
      <c r="E6" s="56" t="s">
        <v>100</v>
      </c>
      <c r="F6" s="56" t="s">
        <v>97</v>
      </c>
      <c r="G6" s="56" t="s">
        <v>98</v>
      </c>
      <c r="H6" s="56" t="s">
        <v>99</v>
      </c>
      <c r="I6" s="56" t="s">
        <v>100</v>
      </c>
      <c r="J6" s="57" t="s">
        <v>101</v>
      </c>
      <c r="K6" s="58" t="s">
        <v>102</v>
      </c>
      <c r="L6" s="358"/>
    </row>
    <row r="7" spans="1:12" s="63" customFormat="1" ht="19.95" customHeight="1">
      <c r="A7" s="59" t="s">
        <v>103</v>
      </c>
      <c r="B7" s="60"/>
      <c r="C7" s="136"/>
      <c r="D7" s="60"/>
      <c r="E7" s="60"/>
      <c r="F7" s="60"/>
      <c r="G7" s="60"/>
      <c r="H7" s="60"/>
      <c r="I7" s="60"/>
      <c r="J7" s="61"/>
      <c r="K7" s="62"/>
      <c r="L7" s="61"/>
    </row>
    <row r="8" spans="1:12" s="63" customFormat="1" ht="19.95" customHeight="1">
      <c r="A8" s="64" t="s">
        <v>179</v>
      </c>
      <c r="B8" s="136">
        <f>SUM(B9:B12)</f>
        <v>0</v>
      </c>
      <c r="C8" s="136">
        <f t="shared" ref="C8:J8" si="0">SUM(C9:C12)</f>
        <v>0</v>
      </c>
      <c r="D8" s="136">
        <f t="shared" si="0"/>
        <v>0</v>
      </c>
      <c r="E8" s="136">
        <f t="shared" si="0"/>
        <v>0</v>
      </c>
      <c r="F8" s="136">
        <f t="shared" si="0"/>
        <v>0</v>
      </c>
      <c r="G8" s="136">
        <f t="shared" si="0"/>
        <v>0</v>
      </c>
      <c r="H8" s="136">
        <f t="shared" si="0"/>
        <v>0</v>
      </c>
      <c r="I8" s="136">
        <f t="shared" si="0"/>
        <v>0</v>
      </c>
      <c r="J8" s="139">
        <f t="shared" si="0"/>
        <v>0</v>
      </c>
      <c r="K8" s="138" t="str">
        <f>IF(AND(E8=0,I8=0),"",IF(AND(E8=0,I8&gt;0),1,J8/E8))</f>
        <v/>
      </c>
      <c r="L8" s="234"/>
    </row>
    <row r="9" spans="1:12" s="63" customFormat="1" ht="19.95" customHeight="1">
      <c r="A9" s="64" t="s">
        <v>200</v>
      </c>
      <c r="B9" s="136">
        <f>SUMIF('明细表G9-2'!A12:A16,"债务工具投资",'明细表G9-2'!C12:E16)</f>
        <v>0</v>
      </c>
      <c r="C9" s="136">
        <f>SUMIF('明细表G9-2'!A12:A16,"债务工具投资",'明细表G9-2'!F12:F16)</f>
        <v>0</v>
      </c>
      <c r="D9" s="65"/>
      <c r="E9" s="136">
        <f t="shared" ref="E9:E20" si="1">B9+C9+D9</f>
        <v>0</v>
      </c>
      <c r="F9" s="136">
        <f>SUMIF('明细表G9-2'!A12:A16,"债务工具投资",'明细表G9-2'!P12:P16)</f>
        <v>0</v>
      </c>
      <c r="G9" s="136">
        <f>SUMIF('明细表G9-2'!A12:A16,"债务工具投资",'明细表G9-2'!S12:S16)</f>
        <v>0</v>
      </c>
      <c r="H9" s="65"/>
      <c r="I9" s="136">
        <f t="shared" ref="I9:I20" si="2">F9+G9+H9</f>
        <v>0</v>
      </c>
      <c r="J9" s="139">
        <f t="shared" ref="J9:J20" si="3">I9-E9</f>
        <v>0</v>
      </c>
      <c r="K9" s="138" t="str">
        <f t="shared" ref="K9:K21" si="4">IF(AND(E9=0,I9=0),"",IF(AND(E9=0,I9&gt;0),1,J9/E9))</f>
        <v/>
      </c>
      <c r="L9" s="234"/>
    </row>
    <row r="10" spans="1:12" s="63" customFormat="1" ht="19.95" customHeight="1">
      <c r="A10" s="64" t="s">
        <v>13</v>
      </c>
      <c r="B10" s="136">
        <f>SUMIF('明细表G9-2'!A12:A16,"权益工具投资",'明细表G9-2'!C12:C16)</f>
        <v>0</v>
      </c>
      <c r="C10" s="136">
        <f>SUMIF('明细表G9-2'!A12:A16,"权益工具投资",'明细表G9-2'!F12:F16)</f>
        <v>0</v>
      </c>
      <c r="D10" s="65"/>
      <c r="E10" s="136">
        <f t="shared" si="1"/>
        <v>0</v>
      </c>
      <c r="F10" s="136">
        <f>SUMIF('明细表G9-2'!A12:A16,"权益工具投资",'明细表G9-2'!P12:P16)</f>
        <v>0</v>
      </c>
      <c r="G10" s="136">
        <f>SUMIF('明细表G9-2'!A12:A16,"权益工具投资",'明细表G9-2'!S12:S16)</f>
        <v>0</v>
      </c>
      <c r="H10" s="65"/>
      <c r="I10" s="136">
        <f t="shared" si="2"/>
        <v>0</v>
      </c>
      <c r="J10" s="139">
        <f t="shared" si="3"/>
        <v>0</v>
      </c>
      <c r="K10" s="138" t="str">
        <f t="shared" si="4"/>
        <v/>
      </c>
      <c r="L10" s="234"/>
    </row>
    <row r="11" spans="1:12" s="63" customFormat="1" ht="19.95" customHeight="1">
      <c r="A11" s="64" t="s">
        <v>14</v>
      </c>
      <c r="B11" s="136">
        <f>SUMIF('明细表G9-2'!A12:A16,"衍生金融资产",'明细表G9-2'!C12:C16)</f>
        <v>0</v>
      </c>
      <c r="C11" s="136">
        <f>SUMIF('明细表G9-2'!A12:A16,"衍生金融资产",'明细表G9-2'!F12:F16)</f>
        <v>0</v>
      </c>
      <c r="D11" s="65"/>
      <c r="E11" s="136">
        <f t="shared" si="1"/>
        <v>0</v>
      </c>
      <c r="F11" s="136">
        <f>SUMIF('明细表G9-2'!A12:A16,"衍生金融资产",'明细表G9-2'!P12:P16)</f>
        <v>0</v>
      </c>
      <c r="G11" s="136">
        <f>SUMIF('明细表G9-2'!A12:A16,"衍生金融资产",'明细表G9-2'!S12:S16)</f>
        <v>0</v>
      </c>
      <c r="H11" s="65"/>
      <c r="I11" s="136">
        <f t="shared" si="2"/>
        <v>0</v>
      </c>
      <c r="J11" s="139">
        <f t="shared" si="3"/>
        <v>0</v>
      </c>
      <c r="K11" s="138" t="str">
        <f t="shared" si="4"/>
        <v/>
      </c>
      <c r="L11" s="234"/>
    </row>
    <row r="12" spans="1:12" s="63" customFormat="1" ht="19.95" customHeight="1">
      <c r="A12" s="64" t="s">
        <v>15</v>
      </c>
      <c r="B12" s="136">
        <f>SUMIF('明细表G9-2'!A12:A16,"其他",'明细表G9-2'!C12:C16)</f>
        <v>0</v>
      </c>
      <c r="C12" s="136">
        <f>SUMIF('明细表G9-2'!A12:A16,"其他",'明细表G9-2'!F12:F16)</f>
        <v>0</v>
      </c>
      <c r="D12" s="65"/>
      <c r="E12" s="136">
        <f t="shared" si="1"/>
        <v>0</v>
      </c>
      <c r="F12" s="136">
        <f>SUMIF('明细表G9-2'!A12:A16,"其他",'明细表G9-2'!P12:P16)</f>
        <v>0</v>
      </c>
      <c r="G12" s="136">
        <f>SUMIF('明细表G9-2'!A12:A16,"其他",'明细表G9-2'!S12:S16)</f>
        <v>0</v>
      </c>
      <c r="H12" s="65"/>
      <c r="I12" s="136">
        <f t="shared" si="2"/>
        <v>0</v>
      </c>
      <c r="J12" s="139">
        <f t="shared" si="3"/>
        <v>0</v>
      </c>
      <c r="K12" s="138" t="str">
        <f t="shared" si="4"/>
        <v/>
      </c>
      <c r="L12" s="234"/>
    </row>
    <row r="13" spans="1:12" s="63" customFormat="1" ht="36">
      <c r="A13" s="74" t="s">
        <v>104</v>
      </c>
      <c r="B13" s="136">
        <f>SUM(B14:B17)</f>
        <v>0</v>
      </c>
      <c r="C13" s="136">
        <f t="shared" ref="C13:J13" si="5">SUM(C14:C17)</f>
        <v>0</v>
      </c>
      <c r="D13" s="136">
        <f t="shared" si="5"/>
        <v>0</v>
      </c>
      <c r="E13" s="136">
        <f t="shared" si="5"/>
        <v>0</v>
      </c>
      <c r="F13" s="136">
        <f t="shared" si="5"/>
        <v>0</v>
      </c>
      <c r="G13" s="136">
        <f t="shared" si="5"/>
        <v>0</v>
      </c>
      <c r="H13" s="136">
        <f t="shared" si="5"/>
        <v>0</v>
      </c>
      <c r="I13" s="136">
        <f t="shared" si="5"/>
        <v>0</v>
      </c>
      <c r="J13" s="139">
        <f t="shared" si="5"/>
        <v>0</v>
      </c>
      <c r="K13" s="138" t="str">
        <f>IF(AND(E13=0,I13=0),"",IF(AND(E13=0,I13&gt;0),1,J13/E13))</f>
        <v/>
      </c>
      <c r="L13" s="234"/>
    </row>
    <row r="14" spans="1:12" s="63" customFormat="1" ht="19.95" customHeight="1">
      <c r="A14" s="64" t="s">
        <v>200</v>
      </c>
      <c r="B14" s="136">
        <f>SUMIF('明细表G9-2'!A19:A23,"债务工具投资",'明细表G9-2'!C19:C23)</f>
        <v>0</v>
      </c>
      <c r="C14" s="136">
        <f>SUMIF('明细表G9-2'!A19:A23,"债务工具投资",'明细表G9-2'!F19:F23)</f>
        <v>0</v>
      </c>
      <c r="D14" s="65"/>
      <c r="E14" s="136">
        <f t="shared" ref="E14:E17" si="6">B14+C14+D14</f>
        <v>0</v>
      </c>
      <c r="F14" s="136">
        <f>SUMIF('明细表G9-2'!A19:A23,"债务工具投资",'明细表G9-2'!P19:P23)</f>
        <v>0</v>
      </c>
      <c r="G14" s="136">
        <f>SUMIF('明细表G9-2'!A19:A23,"债务工具投资",'明细表G9-2'!S19:S23)</f>
        <v>0</v>
      </c>
      <c r="H14" s="65"/>
      <c r="I14" s="136">
        <f t="shared" ref="I14:I17" si="7">F14+G14+H14</f>
        <v>0</v>
      </c>
      <c r="J14" s="139">
        <f t="shared" ref="J14:J17" si="8">I14-E14</f>
        <v>0</v>
      </c>
      <c r="K14" s="138" t="str">
        <f t="shared" ref="K14:K17" si="9">IF(AND(E14=0,I14=0),"",IF(AND(E14=0,I14&gt;0),1,J14/E14))</f>
        <v/>
      </c>
      <c r="L14" s="234"/>
    </row>
    <row r="15" spans="1:12" s="63" customFormat="1" ht="19.95" customHeight="1">
      <c r="A15" s="64" t="s">
        <v>13</v>
      </c>
      <c r="B15" s="136">
        <f>SUMIF('明细表G9-2'!A19:A23,"权益工具投资",'明细表G9-2'!C19:C23)</f>
        <v>0</v>
      </c>
      <c r="C15" s="136">
        <f>SUMIF('明细表G9-2'!A19:A23,"权益工具投资",'明细表G9-2'!F19:F23)</f>
        <v>0</v>
      </c>
      <c r="D15" s="65"/>
      <c r="E15" s="136">
        <f t="shared" si="6"/>
        <v>0</v>
      </c>
      <c r="F15" s="136">
        <f>SUMIF('明细表G9-2'!A19:A23,"权益工具投资",'明细表G9-2'!P19:P23)</f>
        <v>0</v>
      </c>
      <c r="G15" s="136">
        <f>SUMIF('明细表G9-2'!A19:A23,"权益工具投资",'明细表G9-2'!S19:S23)</f>
        <v>0</v>
      </c>
      <c r="H15" s="65"/>
      <c r="I15" s="136">
        <f t="shared" si="7"/>
        <v>0</v>
      </c>
      <c r="J15" s="139">
        <f t="shared" si="8"/>
        <v>0</v>
      </c>
      <c r="K15" s="138" t="str">
        <f t="shared" si="9"/>
        <v/>
      </c>
      <c r="L15" s="234"/>
    </row>
    <row r="16" spans="1:12" s="63" customFormat="1" ht="19.95" customHeight="1">
      <c r="A16" s="64" t="s">
        <v>14</v>
      </c>
      <c r="B16" s="136">
        <f>SUMIF('明细表G9-2'!A19:A23,"衍生金融资产",'明细表G9-2'!C19:C23)</f>
        <v>0</v>
      </c>
      <c r="C16" s="136">
        <f>SUMIF('明细表G9-2'!A19:A23,"衍生金融资产",'明细表G9-2'!F19:F23)</f>
        <v>0</v>
      </c>
      <c r="D16" s="65"/>
      <c r="E16" s="136">
        <f t="shared" si="6"/>
        <v>0</v>
      </c>
      <c r="F16" s="136">
        <f>SUMIF('明细表G9-2'!A19:A23,"衍生金融资产",'明细表G9-2'!P19:P23)</f>
        <v>0</v>
      </c>
      <c r="G16" s="136">
        <f>SUMIF('明细表G9-2'!A19:A23,"衍生金融资产",'明细表G9-2'!S19:S23)</f>
        <v>0</v>
      </c>
      <c r="H16" s="65"/>
      <c r="I16" s="136">
        <f t="shared" si="7"/>
        <v>0</v>
      </c>
      <c r="J16" s="139">
        <f t="shared" si="8"/>
        <v>0</v>
      </c>
      <c r="K16" s="138" t="str">
        <f t="shared" si="9"/>
        <v/>
      </c>
      <c r="L16" s="234"/>
    </row>
    <row r="17" spans="1:12" s="63" customFormat="1" ht="19.95" customHeight="1">
      <c r="A17" s="64" t="s">
        <v>15</v>
      </c>
      <c r="B17" s="136">
        <f>SUMIF('明细表G9-2'!A19:A23,"其他",'明细表G9-2'!C19:C23)</f>
        <v>0</v>
      </c>
      <c r="C17" s="136">
        <f>SUMIF('明细表G9-2'!A19:A23,"其他",'明细表G9-2'!F19:F23)</f>
        <v>0</v>
      </c>
      <c r="D17" s="65"/>
      <c r="E17" s="136">
        <f t="shared" si="6"/>
        <v>0</v>
      </c>
      <c r="F17" s="136">
        <f>SUMIF('明细表G9-2'!A19:A23,"其他",'明细表G9-2'!P19:P23)</f>
        <v>0</v>
      </c>
      <c r="G17" s="136">
        <f>SUMIF('明细表G9-2'!A19:A23,"其他",'明细表G9-2'!S19:S23)</f>
        <v>0</v>
      </c>
      <c r="H17" s="65"/>
      <c r="I17" s="136">
        <f t="shared" si="7"/>
        <v>0</v>
      </c>
      <c r="J17" s="139">
        <f t="shared" si="8"/>
        <v>0</v>
      </c>
      <c r="K17" s="138" t="str">
        <f t="shared" si="9"/>
        <v/>
      </c>
      <c r="L17" s="234"/>
    </row>
    <row r="18" spans="1:12" s="63" customFormat="1" ht="36">
      <c r="A18" s="74" t="s">
        <v>10</v>
      </c>
      <c r="B18" s="136">
        <f>SUM(B19:B20)</f>
        <v>0</v>
      </c>
      <c r="C18" s="136">
        <f t="shared" ref="C18:J18" si="10">SUM(C19:C20)</f>
        <v>0</v>
      </c>
      <c r="D18" s="136">
        <f t="shared" si="10"/>
        <v>0</v>
      </c>
      <c r="E18" s="136">
        <f t="shared" si="10"/>
        <v>0</v>
      </c>
      <c r="F18" s="136">
        <f t="shared" si="10"/>
        <v>0</v>
      </c>
      <c r="G18" s="136">
        <f t="shared" si="10"/>
        <v>0</v>
      </c>
      <c r="H18" s="136">
        <f t="shared" si="10"/>
        <v>0</v>
      </c>
      <c r="I18" s="136">
        <f t="shared" si="10"/>
        <v>0</v>
      </c>
      <c r="J18" s="136">
        <f t="shared" si="10"/>
        <v>0</v>
      </c>
      <c r="K18" s="138" t="str">
        <f t="shared" si="4"/>
        <v/>
      </c>
      <c r="L18" s="234"/>
    </row>
    <row r="19" spans="1:12" s="63" customFormat="1" ht="19.95" customHeight="1">
      <c r="A19" s="64" t="s">
        <v>201</v>
      </c>
      <c r="B19" s="136">
        <f>SUMIF('明细表G9-2'!A26:A28,"债务工具投资",'明细表G9-2'!C26:C28)</f>
        <v>0</v>
      </c>
      <c r="C19" s="136">
        <f>SUMIF('明细表G9-2'!A26:A28,"债务工具投资",'明细表G9-2'!F26:F28)</f>
        <v>0</v>
      </c>
      <c r="D19" s="65"/>
      <c r="E19" s="136">
        <f t="shared" si="1"/>
        <v>0</v>
      </c>
      <c r="F19" s="136">
        <f>SUMIF('明细表G9-2'!A26:A28,"债务工具投资",'明细表G9-2'!P26:P28)</f>
        <v>0</v>
      </c>
      <c r="G19" s="136">
        <f>SUMIF('明细表G9-2'!A26:A28,"债务工具投资",'明细表G9-2'!S26:S28)</f>
        <v>0</v>
      </c>
      <c r="H19" s="65"/>
      <c r="I19" s="136">
        <f t="shared" si="2"/>
        <v>0</v>
      </c>
      <c r="J19" s="139">
        <f t="shared" si="3"/>
        <v>0</v>
      </c>
      <c r="K19" s="138" t="str">
        <f t="shared" si="4"/>
        <v/>
      </c>
      <c r="L19" s="234"/>
    </row>
    <row r="20" spans="1:12" s="63" customFormat="1" ht="19.95" customHeight="1">
      <c r="A20" s="64" t="s">
        <v>15</v>
      </c>
      <c r="B20" s="136">
        <f>SUMIF('明细表G9-2'!A26:A28,"其他",'明细表G9-2'!C26:C28)</f>
        <v>0</v>
      </c>
      <c r="C20" s="136">
        <f>SUMIF('明细表G9-2'!A26:A28,"其他",'明细表G9-2'!F26:F28)</f>
        <v>0</v>
      </c>
      <c r="D20" s="65"/>
      <c r="E20" s="136">
        <f t="shared" si="1"/>
        <v>0</v>
      </c>
      <c r="F20" s="136">
        <f>SUMIF('明细表G9-2'!A26:A28,"其他",'明细表G9-2'!P26:P28)</f>
        <v>0</v>
      </c>
      <c r="G20" s="136">
        <f>SUMIF('明细表G9-2'!A26:A28,"其他",'明细表G9-2'!S26:S28)</f>
        <v>0</v>
      </c>
      <c r="H20" s="65"/>
      <c r="I20" s="136">
        <f t="shared" si="2"/>
        <v>0</v>
      </c>
      <c r="J20" s="139">
        <f t="shared" si="3"/>
        <v>0</v>
      </c>
      <c r="K20" s="138" t="str">
        <f t="shared" si="4"/>
        <v/>
      </c>
      <c r="L20" s="234"/>
    </row>
    <row r="21" spans="1:12" s="63" customFormat="1" ht="19.95" customHeight="1">
      <c r="A21" s="141" t="s">
        <v>80</v>
      </c>
      <c r="B21" s="136">
        <f>SUM(B8,B13,B18)</f>
        <v>0</v>
      </c>
      <c r="C21" s="136">
        <f t="shared" ref="C21:I21" si="11">SUM(C8,C13,C18)</f>
        <v>0</v>
      </c>
      <c r="D21" s="136">
        <f t="shared" si="11"/>
        <v>0</v>
      </c>
      <c r="E21" s="136">
        <f t="shared" si="11"/>
        <v>0</v>
      </c>
      <c r="F21" s="136">
        <f t="shared" si="11"/>
        <v>0</v>
      </c>
      <c r="G21" s="136">
        <f t="shared" si="11"/>
        <v>0</v>
      </c>
      <c r="H21" s="136">
        <f t="shared" si="11"/>
        <v>0</v>
      </c>
      <c r="I21" s="136">
        <f t="shared" si="11"/>
        <v>0</v>
      </c>
      <c r="J21" s="136">
        <f t="shared" ref="J21" si="12">SUM(J8,J18)</f>
        <v>0</v>
      </c>
      <c r="K21" s="138" t="str">
        <f t="shared" si="4"/>
        <v/>
      </c>
      <c r="L21" s="234"/>
    </row>
    <row r="22" spans="1:12" s="63" customFormat="1" ht="19.95" customHeight="1">
      <c r="A22" s="59" t="s">
        <v>20</v>
      </c>
      <c r="B22" s="136"/>
      <c r="C22" s="136"/>
      <c r="D22" s="60"/>
      <c r="E22" s="60"/>
      <c r="F22" s="60"/>
      <c r="G22" s="60"/>
      <c r="H22" s="60"/>
      <c r="I22" s="60"/>
      <c r="J22" s="61"/>
      <c r="K22" s="62"/>
      <c r="L22" s="235"/>
    </row>
    <row r="23" spans="1:12" s="63" customFormat="1" ht="19.95" customHeight="1">
      <c r="A23" s="64" t="s">
        <v>179</v>
      </c>
      <c r="B23" s="136">
        <f>SUM(B24:B27)</f>
        <v>0</v>
      </c>
      <c r="C23" s="136">
        <f t="shared" ref="C23:J23" si="13">SUM(C24:C27)</f>
        <v>0</v>
      </c>
      <c r="D23" s="136">
        <f t="shared" si="13"/>
        <v>0</v>
      </c>
      <c r="E23" s="136">
        <f t="shared" si="13"/>
        <v>0</v>
      </c>
      <c r="F23" s="136">
        <f t="shared" si="13"/>
        <v>0</v>
      </c>
      <c r="G23" s="136">
        <f t="shared" si="13"/>
        <v>0</v>
      </c>
      <c r="H23" s="136">
        <f t="shared" si="13"/>
        <v>0</v>
      </c>
      <c r="I23" s="136">
        <f t="shared" si="13"/>
        <v>0</v>
      </c>
      <c r="J23" s="139">
        <f t="shared" si="13"/>
        <v>0</v>
      </c>
      <c r="K23" s="138" t="str">
        <f>IF(AND(E23=0,I23=0),"",IF(AND(E23=0,I23&gt;0),1,J23/E23))</f>
        <v/>
      </c>
      <c r="L23" s="234"/>
    </row>
    <row r="24" spans="1:12" s="63" customFormat="1" ht="19.95" customHeight="1">
      <c r="A24" s="64" t="s">
        <v>11</v>
      </c>
      <c r="B24" s="136">
        <f>SUMIF('明细表G9-2'!A12:A16,"债务工具投资",'明细表G9-2'!D12:D16)</f>
        <v>0</v>
      </c>
      <c r="C24" s="136">
        <f>SUMIF('明细表G9-2'!A12:A16,"债务工具投资",'明细表G9-2'!G12:G16)</f>
        <v>0</v>
      </c>
      <c r="D24" s="65"/>
      <c r="E24" s="136">
        <f t="shared" ref="E24:E27" si="14">B24+C24+D24</f>
        <v>0</v>
      </c>
      <c r="F24" s="136">
        <f>SUMIF('明细表G9-2'!A12:A16,"债务工具投资",'明细表G9-2'!Q12:Q16)</f>
        <v>0</v>
      </c>
      <c r="G24" s="136">
        <f>SUMIF('明细表G9-2'!A12:A16,"债务工具投资",'明细表G9-2'!T12:T16)</f>
        <v>0</v>
      </c>
      <c r="H24" s="65"/>
      <c r="I24" s="136">
        <f t="shared" ref="I24:I27" si="15">F24+G24+H24</f>
        <v>0</v>
      </c>
      <c r="J24" s="139">
        <f t="shared" ref="J24:J27" si="16">I24-E24</f>
        <v>0</v>
      </c>
      <c r="K24" s="138" t="str">
        <f t="shared" ref="K24:K36" si="17">IF(AND(E24=0,I24=0),"",IF(AND(E24=0,I24&gt;0),1,J24/E24))</f>
        <v/>
      </c>
      <c r="L24" s="234"/>
    </row>
    <row r="25" spans="1:12" s="63" customFormat="1" ht="19.95" customHeight="1">
      <c r="A25" s="64" t="s">
        <v>13</v>
      </c>
      <c r="B25" s="136">
        <f>SUMIF('明细表G9-2'!A12:A16,"权益工具投资",'明细表G9-2'!D12:D16)</f>
        <v>0</v>
      </c>
      <c r="C25" s="136">
        <f>SUMIF('明细表G9-2'!A12:A16,"权益工具投资",'明细表G9-2'!G12:G16)</f>
        <v>0</v>
      </c>
      <c r="D25" s="65"/>
      <c r="E25" s="136">
        <f t="shared" si="14"/>
        <v>0</v>
      </c>
      <c r="F25" s="136">
        <f>SUMIF('明细表G9-2'!A12:A16,"权益工具投资",'明细表G9-2'!Q12:Q16)</f>
        <v>0</v>
      </c>
      <c r="G25" s="136">
        <f>SUMIF('明细表G9-2'!A12:A16,"权益工具投资",'明细表G9-2'!T12:T16)</f>
        <v>0</v>
      </c>
      <c r="H25" s="65"/>
      <c r="I25" s="136">
        <f t="shared" si="15"/>
        <v>0</v>
      </c>
      <c r="J25" s="139">
        <f t="shared" si="16"/>
        <v>0</v>
      </c>
      <c r="K25" s="138" t="str">
        <f t="shared" si="17"/>
        <v/>
      </c>
      <c r="L25" s="234"/>
    </row>
    <row r="26" spans="1:12" s="63" customFormat="1" ht="19.95" customHeight="1">
      <c r="A26" s="64" t="s">
        <v>14</v>
      </c>
      <c r="B26" s="136">
        <f>SUMIF('明细表G9-2'!A12:A16,"债衍生金融资产",'明细表G9-2'!D12:D16)</f>
        <v>0</v>
      </c>
      <c r="C26" s="136">
        <f>SUMIF('明细表G9-2'!A12:A16,"债衍生金融资产",'明细表G9-2'!G12:G16)</f>
        <v>0</v>
      </c>
      <c r="D26" s="65"/>
      <c r="E26" s="136">
        <f t="shared" si="14"/>
        <v>0</v>
      </c>
      <c r="F26" s="136">
        <f>SUMIF('明细表G9-2'!A12:A16,"衍生金融资产",'明细表G9-2'!Q12:Q16)</f>
        <v>0</v>
      </c>
      <c r="G26" s="136">
        <f>SUMIF('明细表G9-2'!A12:A16,"衍生金融资产",'明细表G9-2'!T12:T16)</f>
        <v>0</v>
      </c>
      <c r="H26" s="65"/>
      <c r="I26" s="136">
        <f t="shared" si="15"/>
        <v>0</v>
      </c>
      <c r="J26" s="139">
        <f t="shared" si="16"/>
        <v>0</v>
      </c>
      <c r="K26" s="138" t="str">
        <f t="shared" si="17"/>
        <v/>
      </c>
      <c r="L26" s="234"/>
    </row>
    <row r="27" spans="1:12" s="63" customFormat="1" ht="19.95" customHeight="1">
      <c r="A27" s="64" t="s">
        <v>15</v>
      </c>
      <c r="B27" s="136">
        <f>SUMIF('明细表G9-2'!A12:A16,"其他",'明细表G9-2'!D12:D16)</f>
        <v>0</v>
      </c>
      <c r="C27" s="136">
        <f>SUMIF('明细表G9-2'!A12:A16,"其他",'明细表G9-2'!G12:G16)</f>
        <v>0</v>
      </c>
      <c r="D27" s="65"/>
      <c r="E27" s="136">
        <f t="shared" si="14"/>
        <v>0</v>
      </c>
      <c r="F27" s="136">
        <f>SUMIF('明细表G9-2'!A12:A16,"其他",'明细表G9-2'!Q12:Q16)</f>
        <v>0</v>
      </c>
      <c r="G27" s="136">
        <f>SUMIF('明细表G9-2'!A12:A16,"其他",'明细表G9-2'!T12:T16)</f>
        <v>0</v>
      </c>
      <c r="H27" s="65"/>
      <c r="I27" s="136">
        <f t="shared" si="15"/>
        <v>0</v>
      </c>
      <c r="J27" s="139">
        <f t="shared" si="16"/>
        <v>0</v>
      </c>
      <c r="K27" s="138" t="str">
        <f t="shared" si="17"/>
        <v/>
      </c>
      <c r="L27" s="234"/>
    </row>
    <row r="28" spans="1:12" s="63" customFormat="1" ht="36">
      <c r="A28" s="74" t="s">
        <v>104</v>
      </c>
      <c r="B28" s="136">
        <f>SUM(B29:B32)</f>
        <v>0</v>
      </c>
      <c r="C28" s="136">
        <f t="shared" ref="C28:J28" si="18">SUM(C29:C32)</f>
        <v>0</v>
      </c>
      <c r="D28" s="136">
        <f t="shared" si="18"/>
        <v>0</v>
      </c>
      <c r="E28" s="136">
        <f t="shared" si="18"/>
        <v>0</v>
      </c>
      <c r="F28" s="136">
        <f t="shared" si="18"/>
        <v>0</v>
      </c>
      <c r="G28" s="136">
        <f t="shared" si="18"/>
        <v>0</v>
      </c>
      <c r="H28" s="136">
        <f t="shared" si="18"/>
        <v>0</v>
      </c>
      <c r="I28" s="136">
        <f t="shared" si="18"/>
        <v>0</v>
      </c>
      <c r="J28" s="139">
        <f t="shared" si="18"/>
        <v>0</v>
      </c>
      <c r="K28" s="138" t="str">
        <f>IF(AND(E28=0,I28=0),"",IF(AND(E28=0,I28&gt;0),1,J28/E28))</f>
        <v/>
      </c>
      <c r="L28" s="234"/>
    </row>
    <row r="29" spans="1:12" s="63" customFormat="1" ht="19.95" customHeight="1">
      <c r="A29" s="64" t="s">
        <v>11</v>
      </c>
      <c r="B29" s="136">
        <f>SUMIF('明细表G9-2'!A19:A23,"债务工具投资",'明细表G9-2'!D19:D23)</f>
        <v>0</v>
      </c>
      <c r="C29" s="136">
        <f>SUMIF('明细表G9-2'!A19:A23,"债务工具投资",'明细表G9-2'!G19:G23)</f>
        <v>0</v>
      </c>
      <c r="D29" s="65"/>
      <c r="E29" s="136">
        <f t="shared" ref="E29:E32" si="19">B29+C29+D29</f>
        <v>0</v>
      </c>
      <c r="F29" s="136">
        <f>SUMIF('明细表G9-2'!A19:A23,"债务工具投资",'明细表G9-2'!Q19:Q23)</f>
        <v>0</v>
      </c>
      <c r="G29" s="136">
        <f>SUMIF('明细表G9-2'!A19:A23,"债务工具投资",'明细表G9-2'!T19:T23)</f>
        <v>0</v>
      </c>
      <c r="H29" s="65"/>
      <c r="I29" s="136">
        <f t="shared" ref="I29:I32" si="20">F29+G29+H29</f>
        <v>0</v>
      </c>
      <c r="J29" s="139">
        <f t="shared" ref="J29:J32" si="21">I29-E29</f>
        <v>0</v>
      </c>
      <c r="K29" s="138" t="str">
        <f t="shared" ref="K29:K32" si="22">IF(AND(E29=0,I29=0),"",IF(AND(E29=0,I29&gt;0),1,J29/E29))</f>
        <v/>
      </c>
      <c r="L29" s="234"/>
    </row>
    <row r="30" spans="1:12" s="63" customFormat="1" ht="19.95" customHeight="1">
      <c r="A30" s="64" t="s">
        <v>13</v>
      </c>
      <c r="B30" s="136">
        <f>SUMIF('明细表G9-2'!A19:A23,"权益工具投资",'明细表G9-2'!D19:D23)</f>
        <v>0</v>
      </c>
      <c r="C30" s="136">
        <f>SUMIF('明细表G9-2'!A19:A23,"权益工具投资",'明细表G9-2'!G19:G23)</f>
        <v>0</v>
      </c>
      <c r="D30" s="65"/>
      <c r="E30" s="136">
        <f t="shared" si="19"/>
        <v>0</v>
      </c>
      <c r="F30" s="136">
        <f>SUMIF('明细表G9-2'!A19:A23,"权益工具投资",'明细表G9-2'!Q19:Q23)</f>
        <v>0</v>
      </c>
      <c r="G30" s="136">
        <f>SUMIF('明细表G9-2'!A19:A23,"权益工具投资",'明细表G9-2'!T19:T23)</f>
        <v>0</v>
      </c>
      <c r="H30" s="65"/>
      <c r="I30" s="136">
        <f t="shared" si="20"/>
        <v>0</v>
      </c>
      <c r="J30" s="139">
        <f t="shared" si="21"/>
        <v>0</v>
      </c>
      <c r="K30" s="138" t="str">
        <f t="shared" si="22"/>
        <v/>
      </c>
      <c r="L30" s="234"/>
    </row>
    <row r="31" spans="1:12" s="63" customFormat="1" ht="19.95" customHeight="1">
      <c r="A31" s="64" t="s">
        <v>14</v>
      </c>
      <c r="B31" s="136">
        <f>SUMIF('明细表G9-2'!A19:A23,"衍生金融资产",'明细表G9-2'!D19:D23)</f>
        <v>0</v>
      </c>
      <c r="C31" s="136">
        <f>SUMIF('明细表G9-2'!A19:A23,"衍生金融资产",'明细表G9-2'!G19:G23)</f>
        <v>0</v>
      </c>
      <c r="D31" s="65"/>
      <c r="E31" s="136">
        <f t="shared" si="19"/>
        <v>0</v>
      </c>
      <c r="F31" s="136">
        <f>SUMIF('明细表G9-2'!A19:A23,"衍生金融资产",'明细表G9-2'!Q19:Q23)</f>
        <v>0</v>
      </c>
      <c r="G31" s="136">
        <f>SUMIF('明细表G9-2'!A19:A23,"衍生金融资产",'明细表G9-2'!T19:T23)</f>
        <v>0</v>
      </c>
      <c r="H31" s="65"/>
      <c r="I31" s="136">
        <f t="shared" si="20"/>
        <v>0</v>
      </c>
      <c r="J31" s="139">
        <f t="shared" si="21"/>
        <v>0</v>
      </c>
      <c r="K31" s="138" t="str">
        <f t="shared" si="22"/>
        <v/>
      </c>
      <c r="L31" s="234"/>
    </row>
    <row r="32" spans="1:12" s="63" customFormat="1" ht="19.95" customHeight="1">
      <c r="A32" s="64" t="s">
        <v>15</v>
      </c>
      <c r="B32" s="136">
        <f>SUMIF('明细表G9-2'!A19:A23,"其他",'明细表G9-2'!D19:D23)</f>
        <v>0</v>
      </c>
      <c r="C32" s="136">
        <f>SUMIF('明细表G9-2'!A19:A23,"其他",'明细表G9-2'!G19:G23)</f>
        <v>0</v>
      </c>
      <c r="D32" s="65"/>
      <c r="E32" s="136">
        <f t="shared" si="19"/>
        <v>0</v>
      </c>
      <c r="F32" s="136">
        <f>SUMIF('明细表G9-2'!A19:A23,"其他",'明细表G9-2'!Q19:Q23)</f>
        <v>0</v>
      </c>
      <c r="G32" s="136">
        <f>SUMIF('明细表G9-2'!A19:A23,"其他",'明细表G9-2'!T19:T23)</f>
        <v>0</v>
      </c>
      <c r="H32" s="65"/>
      <c r="I32" s="136">
        <f t="shared" si="20"/>
        <v>0</v>
      </c>
      <c r="J32" s="139">
        <f t="shared" si="21"/>
        <v>0</v>
      </c>
      <c r="K32" s="138" t="str">
        <f t="shared" si="22"/>
        <v/>
      </c>
      <c r="L32" s="234"/>
    </row>
    <row r="33" spans="1:12" s="63" customFormat="1" ht="36">
      <c r="A33" s="74" t="s">
        <v>10</v>
      </c>
      <c r="B33" s="136">
        <f>SUM(B34:B35)</f>
        <v>0</v>
      </c>
      <c r="C33" s="136">
        <f t="shared" ref="C33:J33" si="23">SUM(C34:C35)</f>
        <v>0</v>
      </c>
      <c r="D33" s="136">
        <f t="shared" si="23"/>
        <v>0</v>
      </c>
      <c r="E33" s="136">
        <f t="shared" si="23"/>
        <v>0</v>
      </c>
      <c r="F33" s="136">
        <f t="shared" si="23"/>
        <v>0</v>
      </c>
      <c r="G33" s="136">
        <f t="shared" si="23"/>
        <v>0</v>
      </c>
      <c r="H33" s="136">
        <f t="shared" si="23"/>
        <v>0</v>
      </c>
      <c r="I33" s="136">
        <f t="shared" si="23"/>
        <v>0</v>
      </c>
      <c r="J33" s="136">
        <f t="shared" si="23"/>
        <v>0</v>
      </c>
      <c r="K33" s="138" t="str">
        <f t="shared" si="17"/>
        <v/>
      </c>
      <c r="L33" s="234"/>
    </row>
    <row r="34" spans="1:12" s="63" customFormat="1" ht="19.95" customHeight="1">
      <c r="A34" s="64" t="s">
        <v>11</v>
      </c>
      <c r="B34" s="136">
        <f>SUMIF('明细表G9-2'!A26:A28,"债务工具投资",'明细表G9-2'!D26:D28)</f>
        <v>0</v>
      </c>
      <c r="C34" s="136">
        <f>SUMIF('明细表G9-2'!A26:A28,"债务工具投资",'明细表G9-2'!G26:G28)</f>
        <v>0</v>
      </c>
      <c r="D34" s="65"/>
      <c r="E34" s="136">
        <f t="shared" ref="E34:E35" si="24">B34+C34+D34</f>
        <v>0</v>
      </c>
      <c r="F34" s="136">
        <f>SUMIF('明细表G9-2'!A26:A28,"债务工具投资",'明细表G9-2'!Q26:Q28)</f>
        <v>0</v>
      </c>
      <c r="G34" s="136">
        <f>SUMIF('明细表G9-2'!A26:A28,"债务工具投资",'明细表G9-2'!T26:T28)</f>
        <v>0</v>
      </c>
      <c r="H34" s="65"/>
      <c r="I34" s="136">
        <f t="shared" ref="I34:I35" si="25">F34+G34+H34</f>
        <v>0</v>
      </c>
      <c r="J34" s="139">
        <f t="shared" ref="J34:J35" si="26">I34-E34</f>
        <v>0</v>
      </c>
      <c r="K34" s="138" t="str">
        <f t="shared" si="17"/>
        <v/>
      </c>
      <c r="L34" s="234"/>
    </row>
    <row r="35" spans="1:12" s="63" customFormat="1" ht="19.95" customHeight="1">
      <c r="A35" s="64" t="s">
        <v>15</v>
      </c>
      <c r="B35" s="136">
        <f>SUMIF('明细表G9-2'!A26:A28,"其他",'明细表G9-2'!C26:C28)</f>
        <v>0</v>
      </c>
      <c r="C35" s="136">
        <f>SUMIF('明细表G9-2'!A26:A28,"其他",'明细表G9-2'!D26:D28)</f>
        <v>0</v>
      </c>
      <c r="D35" s="65"/>
      <c r="E35" s="136">
        <f t="shared" si="24"/>
        <v>0</v>
      </c>
      <c r="F35" s="136">
        <f>SUMIF('明细表G9-2'!A26:A28,"其他",'明细表G9-2'!Q26:Q28)</f>
        <v>0</v>
      </c>
      <c r="G35" s="136">
        <f>SUMIF('明细表G9-2'!A26:A28,"其他",'明细表G9-2'!T26:T28)</f>
        <v>0</v>
      </c>
      <c r="H35" s="65"/>
      <c r="I35" s="136">
        <f t="shared" si="25"/>
        <v>0</v>
      </c>
      <c r="J35" s="139">
        <f t="shared" si="26"/>
        <v>0</v>
      </c>
      <c r="K35" s="138" t="str">
        <f t="shared" si="17"/>
        <v/>
      </c>
      <c r="L35" s="234"/>
    </row>
    <row r="36" spans="1:12" s="63" customFormat="1" ht="19.95" customHeight="1">
      <c r="A36" s="141" t="s">
        <v>16</v>
      </c>
      <c r="B36" s="136">
        <f>SUM(B23,B28,B33)</f>
        <v>0</v>
      </c>
      <c r="C36" s="136">
        <f t="shared" ref="C36:I36" si="27">SUM(C23,C28,C33)</f>
        <v>0</v>
      </c>
      <c r="D36" s="136">
        <f t="shared" si="27"/>
        <v>0</v>
      </c>
      <c r="E36" s="136">
        <f t="shared" si="27"/>
        <v>0</v>
      </c>
      <c r="F36" s="136">
        <f t="shared" si="27"/>
        <v>0</v>
      </c>
      <c r="G36" s="136">
        <f t="shared" si="27"/>
        <v>0</v>
      </c>
      <c r="H36" s="136">
        <f t="shared" si="27"/>
        <v>0</v>
      </c>
      <c r="I36" s="136">
        <f t="shared" si="27"/>
        <v>0</v>
      </c>
      <c r="J36" s="136">
        <f t="shared" ref="J36" si="28">SUM(J23,J33)</f>
        <v>0</v>
      </c>
      <c r="K36" s="138" t="str">
        <f t="shared" si="17"/>
        <v/>
      </c>
      <c r="L36" s="234"/>
    </row>
    <row r="37" spans="1:12" s="63" customFormat="1" ht="19.95" customHeight="1">
      <c r="A37" s="59" t="s">
        <v>17</v>
      </c>
      <c r="B37" s="136"/>
      <c r="C37" s="136"/>
      <c r="D37" s="136"/>
      <c r="E37" s="136"/>
      <c r="F37" s="136"/>
      <c r="G37" s="136"/>
      <c r="H37" s="136"/>
      <c r="I37" s="136"/>
      <c r="J37" s="139"/>
      <c r="K37" s="138"/>
      <c r="L37" s="235"/>
    </row>
    <row r="38" spans="1:12" s="63" customFormat="1" ht="19.95" customHeight="1">
      <c r="A38" s="64" t="s">
        <v>137</v>
      </c>
      <c r="B38" s="136">
        <f t="shared" ref="B38:J42" si="29">B8+B23</f>
        <v>0</v>
      </c>
      <c r="C38" s="136">
        <f t="shared" si="29"/>
        <v>0</v>
      </c>
      <c r="D38" s="136">
        <f t="shared" si="29"/>
        <v>0</v>
      </c>
      <c r="E38" s="136">
        <f t="shared" si="29"/>
        <v>0</v>
      </c>
      <c r="F38" s="136">
        <f t="shared" si="29"/>
        <v>0</v>
      </c>
      <c r="G38" s="136">
        <f t="shared" si="29"/>
        <v>0</v>
      </c>
      <c r="H38" s="136">
        <f t="shared" si="29"/>
        <v>0</v>
      </c>
      <c r="I38" s="136">
        <f t="shared" si="29"/>
        <v>0</v>
      </c>
      <c r="J38" s="136">
        <f t="shared" si="29"/>
        <v>0</v>
      </c>
      <c r="K38" s="138" t="str">
        <f>IF(AND(E38=0,I38=0),"",IF(AND(E38=0,I38&gt;0),1,J38/E38))</f>
        <v/>
      </c>
      <c r="L38" s="234"/>
    </row>
    <row r="39" spans="1:12" s="63" customFormat="1" ht="19.95" customHeight="1">
      <c r="A39" s="64" t="s">
        <v>11</v>
      </c>
      <c r="B39" s="136">
        <f t="shared" si="29"/>
        <v>0</v>
      </c>
      <c r="C39" s="136">
        <f t="shared" si="29"/>
        <v>0</v>
      </c>
      <c r="D39" s="136">
        <f t="shared" si="29"/>
        <v>0</v>
      </c>
      <c r="E39" s="136">
        <f t="shared" si="29"/>
        <v>0</v>
      </c>
      <c r="F39" s="136">
        <f t="shared" si="29"/>
        <v>0</v>
      </c>
      <c r="G39" s="136">
        <f t="shared" si="29"/>
        <v>0</v>
      </c>
      <c r="H39" s="136">
        <f t="shared" si="29"/>
        <v>0</v>
      </c>
      <c r="I39" s="136">
        <f t="shared" si="29"/>
        <v>0</v>
      </c>
      <c r="J39" s="136">
        <f t="shared" si="29"/>
        <v>0</v>
      </c>
      <c r="K39" s="138" t="str">
        <f t="shared" ref="K39:K51" si="30">IF(AND(E39=0,I39=0),"",IF(AND(E39=0,I39&gt;0),1,J39/E39))</f>
        <v/>
      </c>
      <c r="L39" s="234"/>
    </row>
    <row r="40" spans="1:12" s="63" customFormat="1" ht="19.95" customHeight="1">
      <c r="A40" s="64" t="s">
        <v>13</v>
      </c>
      <c r="B40" s="136">
        <f t="shared" si="29"/>
        <v>0</v>
      </c>
      <c r="C40" s="136">
        <f t="shared" si="29"/>
        <v>0</v>
      </c>
      <c r="D40" s="136">
        <f t="shared" si="29"/>
        <v>0</v>
      </c>
      <c r="E40" s="136">
        <f t="shared" si="29"/>
        <v>0</v>
      </c>
      <c r="F40" s="136">
        <f t="shared" si="29"/>
        <v>0</v>
      </c>
      <c r="G40" s="136">
        <f t="shared" si="29"/>
        <v>0</v>
      </c>
      <c r="H40" s="136">
        <f t="shared" si="29"/>
        <v>0</v>
      </c>
      <c r="I40" s="136">
        <f t="shared" si="29"/>
        <v>0</v>
      </c>
      <c r="J40" s="136">
        <f t="shared" si="29"/>
        <v>0</v>
      </c>
      <c r="K40" s="138" t="str">
        <f t="shared" si="30"/>
        <v/>
      </c>
      <c r="L40" s="234"/>
    </row>
    <row r="41" spans="1:12" s="63" customFormat="1" ht="19.95" customHeight="1">
      <c r="A41" s="64" t="s">
        <v>14</v>
      </c>
      <c r="B41" s="136">
        <f t="shared" si="29"/>
        <v>0</v>
      </c>
      <c r="C41" s="136">
        <f t="shared" si="29"/>
        <v>0</v>
      </c>
      <c r="D41" s="136">
        <f t="shared" si="29"/>
        <v>0</v>
      </c>
      <c r="E41" s="136">
        <f t="shared" si="29"/>
        <v>0</v>
      </c>
      <c r="F41" s="136">
        <f t="shared" si="29"/>
        <v>0</v>
      </c>
      <c r="G41" s="136">
        <f t="shared" si="29"/>
        <v>0</v>
      </c>
      <c r="H41" s="136">
        <f t="shared" si="29"/>
        <v>0</v>
      </c>
      <c r="I41" s="136">
        <f t="shared" si="29"/>
        <v>0</v>
      </c>
      <c r="J41" s="136">
        <f t="shared" si="29"/>
        <v>0</v>
      </c>
      <c r="K41" s="138" t="str">
        <f t="shared" si="30"/>
        <v/>
      </c>
      <c r="L41" s="234"/>
    </row>
    <row r="42" spans="1:12" s="63" customFormat="1" ht="19.95" customHeight="1">
      <c r="A42" s="64" t="s">
        <v>15</v>
      </c>
      <c r="B42" s="136">
        <f t="shared" si="29"/>
        <v>0</v>
      </c>
      <c r="C42" s="136">
        <f t="shared" si="29"/>
        <v>0</v>
      </c>
      <c r="D42" s="136">
        <f t="shared" si="29"/>
        <v>0</v>
      </c>
      <c r="E42" s="136">
        <f t="shared" si="29"/>
        <v>0</v>
      </c>
      <c r="F42" s="136">
        <f t="shared" si="29"/>
        <v>0</v>
      </c>
      <c r="G42" s="136">
        <f t="shared" si="29"/>
        <v>0</v>
      </c>
      <c r="H42" s="136">
        <f t="shared" si="29"/>
        <v>0</v>
      </c>
      <c r="I42" s="136">
        <f t="shared" si="29"/>
        <v>0</v>
      </c>
      <c r="J42" s="136">
        <f t="shared" si="29"/>
        <v>0</v>
      </c>
      <c r="K42" s="138" t="str">
        <f t="shared" si="30"/>
        <v/>
      </c>
      <c r="L42" s="234"/>
    </row>
    <row r="43" spans="1:12" s="63" customFormat="1" ht="36">
      <c r="A43" s="74" t="s">
        <v>104</v>
      </c>
      <c r="B43" s="136">
        <f>SUM(B44:B47)</f>
        <v>0</v>
      </c>
      <c r="C43" s="136">
        <f t="shared" ref="C43:J43" si="31">SUM(C44:C47)</f>
        <v>0</v>
      </c>
      <c r="D43" s="136">
        <f t="shared" si="31"/>
        <v>0</v>
      </c>
      <c r="E43" s="136">
        <f t="shared" si="31"/>
        <v>0</v>
      </c>
      <c r="F43" s="136">
        <f t="shared" si="31"/>
        <v>0</v>
      </c>
      <c r="G43" s="136">
        <f t="shared" si="31"/>
        <v>0</v>
      </c>
      <c r="H43" s="136">
        <f t="shared" si="31"/>
        <v>0</v>
      </c>
      <c r="I43" s="136">
        <f t="shared" si="31"/>
        <v>0</v>
      </c>
      <c r="J43" s="139">
        <f t="shared" si="31"/>
        <v>0</v>
      </c>
      <c r="K43" s="138" t="str">
        <f>IF(AND(E43=0,I43=0),"",IF(AND(E43=0,I43&gt;0),1,J43/E43))</f>
        <v/>
      </c>
      <c r="L43" s="234"/>
    </row>
    <row r="44" spans="1:12" s="63" customFormat="1" ht="19.95" customHeight="1">
      <c r="A44" s="64" t="s">
        <v>11</v>
      </c>
      <c r="B44" s="136">
        <f t="shared" ref="B44:D50" si="32">B14+B29</f>
        <v>0</v>
      </c>
      <c r="C44" s="136">
        <f t="shared" si="32"/>
        <v>0</v>
      </c>
      <c r="D44" s="136">
        <f t="shared" si="32"/>
        <v>0</v>
      </c>
      <c r="E44" s="136">
        <f t="shared" ref="E44:E47" si="33">B44+C44+D44</f>
        <v>0</v>
      </c>
      <c r="F44" s="136">
        <f t="shared" ref="F44:J50" si="34">F14+F29</f>
        <v>0</v>
      </c>
      <c r="G44" s="136">
        <f t="shared" si="34"/>
        <v>0</v>
      </c>
      <c r="H44" s="136">
        <f t="shared" si="34"/>
        <v>0</v>
      </c>
      <c r="I44" s="136">
        <f t="shared" ref="I44:I47" si="35">F44+G44+H44</f>
        <v>0</v>
      </c>
      <c r="J44" s="139">
        <f t="shared" ref="J44:J47" si="36">I44-E44</f>
        <v>0</v>
      </c>
      <c r="K44" s="138" t="str">
        <f t="shared" ref="K44:K47" si="37">IF(AND(E44=0,I44=0),"",IF(AND(E44=0,I44&gt;0),1,J44/E44))</f>
        <v/>
      </c>
      <c r="L44" s="234"/>
    </row>
    <row r="45" spans="1:12" s="63" customFormat="1" ht="19.95" customHeight="1">
      <c r="A45" s="64" t="s">
        <v>13</v>
      </c>
      <c r="B45" s="136">
        <f t="shared" si="32"/>
        <v>0</v>
      </c>
      <c r="C45" s="136">
        <f t="shared" si="32"/>
        <v>0</v>
      </c>
      <c r="D45" s="136">
        <f t="shared" si="32"/>
        <v>0</v>
      </c>
      <c r="E45" s="136">
        <f t="shared" si="33"/>
        <v>0</v>
      </c>
      <c r="F45" s="136">
        <f t="shared" si="34"/>
        <v>0</v>
      </c>
      <c r="G45" s="136">
        <f t="shared" si="34"/>
        <v>0</v>
      </c>
      <c r="H45" s="136">
        <f t="shared" si="34"/>
        <v>0</v>
      </c>
      <c r="I45" s="136">
        <f t="shared" si="35"/>
        <v>0</v>
      </c>
      <c r="J45" s="139">
        <f t="shared" si="36"/>
        <v>0</v>
      </c>
      <c r="K45" s="138" t="str">
        <f t="shared" si="37"/>
        <v/>
      </c>
      <c r="L45" s="234"/>
    </row>
    <row r="46" spans="1:12" s="63" customFormat="1" ht="19.95" customHeight="1">
      <c r="A46" s="64" t="s">
        <v>14</v>
      </c>
      <c r="B46" s="136">
        <f t="shared" si="32"/>
        <v>0</v>
      </c>
      <c r="C46" s="136">
        <f t="shared" si="32"/>
        <v>0</v>
      </c>
      <c r="D46" s="136">
        <f t="shared" si="32"/>
        <v>0</v>
      </c>
      <c r="E46" s="136">
        <f t="shared" si="33"/>
        <v>0</v>
      </c>
      <c r="F46" s="136">
        <f t="shared" si="34"/>
        <v>0</v>
      </c>
      <c r="G46" s="136">
        <f t="shared" si="34"/>
        <v>0</v>
      </c>
      <c r="H46" s="136">
        <f t="shared" si="34"/>
        <v>0</v>
      </c>
      <c r="I46" s="136">
        <f t="shared" si="35"/>
        <v>0</v>
      </c>
      <c r="J46" s="139">
        <f t="shared" si="36"/>
        <v>0</v>
      </c>
      <c r="K46" s="138" t="str">
        <f t="shared" si="37"/>
        <v/>
      </c>
      <c r="L46" s="234"/>
    </row>
    <row r="47" spans="1:12" s="63" customFormat="1" ht="19.95" customHeight="1">
      <c r="A47" s="64" t="s">
        <v>15</v>
      </c>
      <c r="B47" s="136">
        <f t="shared" si="32"/>
        <v>0</v>
      </c>
      <c r="C47" s="136">
        <f t="shared" si="32"/>
        <v>0</v>
      </c>
      <c r="D47" s="136">
        <f t="shared" si="32"/>
        <v>0</v>
      </c>
      <c r="E47" s="136">
        <f t="shared" si="33"/>
        <v>0</v>
      </c>
      <c r="F47" s="136">
        <f t="shared" si="34"/>
        <v>0</v>
      </c>
      <c r="G47" s="136">
        <f t="shared" si="34"/>
        <v>0</v>
      </c>
      <c r="H47" s="136">
        <f t="shared" si="34"/>
        <v>0</v>
      </c>
      <c r="I47" s="136">
        <f t="shared" si="35"/>
        <v>0</v>
      </c>
      <c r="J47" s="139">
        <f t="shared" si="36"/>
        <v>0</v>
      </c>
      <c r="K47" s="138" t="str">
        <f t="shared" si="37"/>
        <v/>
      </c>
      <c r="L47" s="234"/>
    </row>
    <row r="48" spans="1:12" s="63" customFormat="1" ht="36">
      <c r="A48" s="74" t="s">
        <v>10</v>
      </c>
      <c r="B48" s="136">
        <f t="shared" si="32"/>
        <v>0</v>
      </c>
      <c r="C48" s="136">
        <f t="shared" si="32"/>
        <v>0</v>
      </c>
      <c r="D48" s="136">
        <f t="shared" si="32"/>
        <v>0</v>
      </c>
      <c r="E48" s="136">
        <f>E18+E33</f>
        <v>0</v>
      </c>
      <c r="F48" s="136">
        <f t="shared" si="34"/>
        <v>0</v>
      </c>
      <c r="G48" s="136">
        <f t="shared" si="34"/>
        <v>0</v>
      </c>
      <c r="H48" s="136">
        <f t="shared" si="34"/>
        <v>0</v>
      </c>
      <c r="I48" s="136">
        <f t="shared" si="34"/>
        <v>0</v>
      </c>
      <c r="J48" s="136">
        <f t="shared" si="34"/>
        <v>0</v>
      </c>
      <c r="K48" s="138" t="str">
        <f t="shared" si="30"/>
        <v/>
      </c>
      <c r="L48" s="234"/>
    </row>
    <row r="49" spans="1:15" s="63" customFormat="1" ht="19.95" customHeight="1">
      <c r="A49" s="64" t="s">
        <v>11</v>
      </c>
      <c r="B49" s="136">
        <f t="shared" si="32"/>
        <v>0</v>
      </c>
      <c r="C49" s="136">
        <f t="shared" si="32"/>
        <v>0</v>
      </c>
      <c r="D49" s="136">
        <f t="shared" si="32"/>
        <v>0</v>
      </c>
      <c r="E49" s="136">
        <f>E19+E34</f>
        <v>0</v>
      </c>
      <c r="F49" s="136">
        <f t="shared" si="34"/>
        <v>0</v>
      </c>
      <c r="G49" s="136">
        <f t="shared" si="34"/>
        <v>0</v>
      </c>
      <c r="H49" s="136">
        <f t="shared" si="34"/>
        <v>0</v>
      </c>
      <c r="I49" s="136">
        <f t="shared" si="34"/>
        <v>0</v>
      </c>
      <c r="J49" s="136">
        <f t="shared" si="34"/>
        <v>0</v>
      </c>
      <c r="K49" s="138" t="str">
        <f t="shared" si="30"/>
        <v/>
      </c>
      <c r="L49" s="234"/>
    </row>
    <row r="50" spans="1:15" s="63" customFormat="1" ht="19.95" customHeight="1">
      <c r="A50" s="64" t="s">
        <v>15</v>
      </c>
      <c r="B50" s="136">
        <f t="shared" si="32"/>
        <v>0</v>
      </c>
      <c r="C50" s="136">
        <f t="shared" si="32"/>
        <v>0</v>
      </c>
      <c r="D50" s="136">
        <f t="shared" si="32"/>
        <v>0</v>
      </c>
      <c r="E50" s="136">
        <f>E20+E35</f>
        <v>0</v>
      </c>
      <c r="F50" s="136">
        <f t="shared" si="34"/>
        <v>0</v>
      </c>
      <c r="G50" s="136">
        <f t="shared" si="34"/>
        <v>0</v>
      </c>
      <c r="H50" s="136">
        <f t="shared" si="34"/>
        <v>0</v>
      </c>
      <c r="I50" s="136">
        <f t="shared" si="34"/>
        <v>0</v>
      </c>
      <c r="J50" s="136">
        <f t="shared" si="34"/>
        <v>0</v>
      </c>
      <c r="K50" s="138" t="str">
        <f t="shared" si="30"/>
        <v/>
      </c>
      <c r="L50" s="234"/>
    </row>
    <row r="51" spans="1:15" s="63" customFormat="1" ht="19.95" customHeight="1">
      <c r="A51" s="141" t="s">
        <v>105</v>
      </c>
      <c r="B51" s="137">
        <f>SUM(B38,B43,B48)</f>
        <v>0</v>
      </c>
      <c r="C51" s="137">
        <f t="shared" ref="C51:I51" si="38">SUM(C38,C43,C48)</f>
        <v>0</v>
      </c>
      <c r="D51" s="137">
        <f t="shared" si="38"/>
        <v>0</v>
      </c>
      <c r="E51" s="137">
        <f t="shared" si="38"/>
        <v>0</v>
      </c>
      <c r="F51" s="137">
        <f t="shared" si="38"/>
        <v>0</v>
      </c>
      <c r="G51" s="137">
        <f t="shared" si="38"/>
        <v>0</v>
      </c>
      <c r="H51" s="137">
        <f t="shared" si="38"/>
        <v>0</v>
      </c>
      <c r="I51" s="137">
        <f t="shared" si="38"/>
        <v>0</v>
      </c>
      <c r="J51" s="137">
        <f>SUM(J38,J43,J48)</f>
        <v>0</v>
      </c>
      <c r="K51" s="140" t="str">
        <f t="shared" si="30"/>
        <v/>
      </c>
      <c r="L51" s="234"/>
    </row>
    <row r="52" spans="1:15" s="63" customFormat="1" ht="19.95" customHeight="1">
      <c r="A52" s="116" t="s">
        <v>202</v>
      </c>
      <c r="B52" s="67"/>
      <c r="C52" s="67"/>
      <c r="D52" s="86"/>
      <c r="E52" s="86"/>
      <c r="F52" s="86"/>
      <c r="G52" s="86"/>
      <c r="H52" s="86"/>
      <c r="I52" s="86"/>
      <c r="J52" s="86"/>
      <c r="K52" s="86"/>
      <c r="L52" s="236"/>
      <c r="M52" s="86"/>
      <c r="N52" s="115"/>
    </row>
    <row r="53" spans="1:15" s="71" customFormat="1" ht="19.95" customHeight="1">
      <c r="A53" s="116" t="s">
        <v>203</v>
      </c>
      <c r="B53" s="67"/>
      <c r="C53" s="67"/>
      <c r="D53" s="67"/>
      <c r="E53" s="142">
        <f>E51-E52</f>
        <v>0</v>
      </c>
      <c r="F53" s="67"/>
      <c r="G53" s="67"/>
      <c r="H53" s="67"/>
      <c r="I53" s="142">
        <f>I51-I52</f>
        <v>0</v>
      </c>
      <c r="J53" s="86"/>
      <c r="K53" s="86"/>
      <c r="L53" s="236"/>
      <c r="M53" s="86"/>
      <c r="N53" s="66"/>
      <c r="O53" s="20"/>
    </row>
    <row r="54" spans="1:15" s="67" customFormat="1" ht="19.95" customHeight="1">
      <c r="A54" s="84" t="s">
        <v>106</v>
      </c>
      <c r="B54" s="55"/>
      <c r="C54" s="55"/>
      <c r="D54" s="55"/>
      <c r="E54" s="55"/>
      <c r="F54" s="85"/>
      <c r="G54" s="85"/>
      <c r="H54" s="55"/>
      <c r="I54" s="73"/>
      <c r="J54" s="20"/>
      <c r="K54" s="20"/>
      <c r="L54" s="237"/>
      <c r="M54" s="20"/>
    </row>
    <row r="55" spans="1:15" s="71" customFormat="1" ht="19.95" customHeight="1">
      <c r="A55" s="68" t="s">
        <v>136</v>
      </c>
      <c r="B55" s="68"/>
      <c r="C55" s="68"/>
      <c r="D55" s="69"/>
      <c r="E55" s="143" t="str">
        <f>K51</f>
        <v/>
      </c>
      <c r="F55" s="70"/>
      <c r="G55" s="70"/>
      <c r="H55" s="70"/>
      <c r="I55" s="70"/>
      <c r="J55" s="70"/>
      <c r="K55" s="70"/>
      <c r="L55" s="237"/>
      <c r="M55" s="20"/>
    </row>
    <row r="56" spans="1:15" s="67" customFormat="1" ht="19.95" customHeight="1">
      <c r="A56" s="68" t="s">
        <v>108</v>
      </c>
      <c r="B56" s="68"/>
      <c r="C56" s="68"/>
      <c r="D56" s="68"/>
      <c r="E56" s="68"/>
      <c r="F56" s="68"/>
      <c r="G56" s="68"/>
      <c r="H56" s="68"/>
      <c r="I56" s="68"/>
      <c r="J56" s="68"/>
      <c r="K56" s="68"/>
      <c r="L56" s="237"/>
      <c r="M56" s="20"/>
    </row>
    <row r="57" spans="1:15" s="71" customFormat="1" ht="19.95" customHeight="1">
      <c r="A57" s="72" t="s">
        <v>109</v>
      </c>
      <c r="B57" s="68"/>
      <c r="C57" s="68"/>
      <c r="D57" s="68"/>
      <c r="E57" s="68"/>
      <c r="F57" s="68"/>
      <c r="G57" s="68"/>
      <c r="H57" s="68"/>
      <c r="I57" s="68"/>
      <c r="J57" s="68"/>
      <c r="K57" s="68"/>
      <c r="L57" s="20"/>
      <c r="M57" s="20"/>
    </row>
    <row r="58" spans="1:15" ht="19.95" customHeight="1">
      <c r="A58" s="73" t="s">
        <v>107</v>
      </c>
      <c r="B58" s="68"/>
      <c r="C58" s="68"/>
      <c r="D58" s="68"/>
      <c r="E58" s="68"/>
      <c r="F58" s="68"/>
      <c r="G58" s="68"/>
      <c r="H58" s="68"/>
      <c r="I58" s="68"/>
      <c r="J58" s="68"/>
      <c r="K58" s="68"/>
    </row>
    <row r="59" spans="1:15" ht="19.95" customHeight="1"/>
    <row r="60" spans="1:15" ht="18" customHeight="1">
      <c r="A60" s="314" t="s">
        <v>110</v>
      </c>
    </row>
    <row r="61" spans="1:15" ht="18" customHeight="1">
      <c r="A61" s="315" t="s">
        <v>410</v>
      </c>
    </row>
    <row r="62" spans="1:15" ht="18" customHeight="1">
      <c r="A62" s="315" t="s">
        <v>411</v>
      </c>
    </row>
    <row r="63" spans="1:15" ht="18" customHeight="1">
      <c r="A63" s="315" t="s">
        <v>412</v>
      </c>
    </row>
    <row r="64" spans="1:15" ht="18" customHeight="1">
      <c r="A64" s="315" t="s">
        <v>111</v>
      </c>
    </row>
    <row r="65" spans="1:1" ht="18" customHeight="1">
      <c r="A65" s="315"/>
    </row>
    <row r="66" spans="1:1" ht="18" customHeight="1">
      <c r="A66" s="315" t="s">
        <v>413</v>
      </c>
    </row>
    <row r="67" spans="1:1" ht="18" customHeight="1">
      <c r="A67" s="315" t="s">
        <v>414</v>
      </c>
    </row>
    <row r="68" spans="1:1" ht="18.75" customHeight="1"/>
    <row r="69" spans="1:1" ht="18.75" customHeight="1">
      <c r="A69" s="75"/>
    </row>
    <row r="70" spans="1:1" ht="18.75" customHeight="1"/>
    <row r="71" spans="1:1" ht="18.75" customHeight="1"/>
    <row r="72" spans="1:1" ht="18.75" customHeight="1"/>
    <row r="73" spans="1:1" ht="18.75" customHeight="1"/>
    <row r="74" spans="1:1" ht="18.75" customHeight="1"/>
  </sheetData>
  <mergeCells count="7">
    <mergeCell ref="A1:L1"/>
    <mergeCell ref="A2:L2"/>
    <mergeCell ref="A5:A6"/>
    <mergeCell ref="B5:E5"/>
    <mergeCell ref="F5:I5"/>
    <mergeCell ref="J5:K5"/>
    <mergeCell ref="L5:L6"/>
  </mergeCells>
  <phoneticPr fontId="4" type="noConversion"/>
  <hyperlinks>
    <hyperlink ref="L3" location="底稿目录!F5" display="底稿目录!F5"/>
  </hyperlinks>
  <printOptions horizontalCentered="1"/>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rowBreaks count="1" manualBreakCount="1">
    <brk id="32" max="11"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3"/>
  <sheetViews>
    <sheetView view="pageBreakPreview" zoomScaleSheetLayoutView="100" workbookViewId="0">
      <selection activeCell="E4" sqref="E4"/>
    </sheetView>
  </sheetViews>
  <sheetFormatPr defaultColWidth="9" defaultRowHeight="13.8"/>
  <cols>
    <col min="1" max="1" width="31.33203125" style="1" customWidth="1"/>
    <col min="2" max="2" width="19.77734375" style="1" customWidth="1"/>
    <col min="3" max="3" width="17.77734375" style="1" customWidth="1"/>
    <col min="4" max="4" width="8.77734375" style="1" customWidth="1"/>
    <col min="5" max="16384" width="9" style="1"/>
  </cols>
  <sheetData>
    <row r="1" spans="1:5" s="177" customFormat="1" ht="20.25" customHeight="1">
      <c r="A1" s="359" t="s">
        <v>152</v>
      </c>
      <c r="B1" s="359"/>
      <c r="C1" s="359"/>
      <c r="D1" s="359"/>
    </row>
    <row r="2" spans="1:5" s="182" customFormat="1" ht="25.05" customHeight="1">
      <c r="A2" s="360" t="s">
        <v>285</v>
      </c>
      <c r="B2" s="360"/>
      <c r="C2" s="360"/>
      <c r="D2" s="360"/>
    </row>
    <row r="3" spans="1:5" s="217" customFormat="1" ht="20.25" customHeight="1">
      <c r="A3" s="217" t="str">
        <f>底稿目录!A2</f>
        <v>被审计单位：</v>
      </c>
      <c r="B3" s="225" t="str">
        <f>底稿目录!A4</f>
        <v>编制人：</v>
      </c>
      <c r="C3" s="225" t="str">
        <f>底稿目录!A5</f>
        <v>编制日期：</v>
      </c>
      <c r="D3" s="225" t="s">
        <v>216</v>
      </c>
      <c r="E3" s="217">
        <f>底稿目录!F6</f>
        <v>0</v>
      </c>
    </row>
    <row r="4" spans="1:5" s="217" customFormat="1" ht="20.25" customHeight="1">
      <c r="A4" s="217" t="str">
        <f>底稿目录!A3</f>
        <v>截止日：202X年12月31日</v>
      </c>
      <c r="B4" s="225" t="str">
        <f>底稿目录!A6</f>
        <v>复核人：</v>
      </c>
      <c r="C4" s="225" t="str">
        <f>底稿目录!A7</f>
        <v>复核日期：</v>
      </c>
      <c r="D4" s="225" t="s">
        <v>329</v>
      </c>
    </row>
    <row r="5" spans="1:5" s="8" customFormat="1" ht="20.25" customHeight="1">
      <c r="A5" s="8" t="s">
        <v>9</v>
      </c>
    </row>
    <row r="6" spans="1:5" s="9" customFormat="1" ht="20.25" customHeight="1" thickBot="1">
      <c r="A6" s="5" t="s">
        <v>81</v>
      </c>
    </row>
    <row r="7" spans="1:5" s="117" customFormat="1" ht="16.2" thickBot="1">
      <c r="A7" s="134" t="s">
        <v>204</v>
      </c>
      <c r="B7" s="133" t="s">
        <v>212</v>
      </c>
      <c r="C7" s="133" t="s">
        <v>213</v>
      </c>
    </row>
    <row r="8" spans="1:5" s="119" customFormat="1" ht="19.5" customHeight="1">
      <c r="A8" s="118" t="s">
        <v>205</v>
      </c>
      <c r="B8" s="126">
        <f>'审定表G9-1'!I39+'审定表G9-1'!I44</f>
        <v>0</v>
      </c>
      <c r="C8" s="126">
        <f>'审定表G9-1'!E39+'审定表G9-1'!E44</f>
        <v>0</v>
      </c>
    </row>
    <row r="9" spans="1:5" s="117" customFormat="1" ht="19.5" customHeight="1">
      <c r="A9" s="118" t="s">
        <v>206</v>
      </c>
      <c r="B9" s="126">
        <f>'审定表G9-1'!I40+'审定表G9-1'!I45</f>
        <v>0</v>
      </c>
      <c r="C9" s="126">
        <f>'审定表G9-1'!E40+'审定表G9-1'!E45</f>
        <v>0</v>
      </c>
    </row>
    <row r="10" spans="1:5" s="117" customFormat="1" ht="39" customHeight="1">
      <c r="A10" s="118" t="s">
        <v>207</v>
      </c>
      <c r="B10" s="126">
        <f>'审定表G9-1'!I48</f>
        <v>0</v>
      </c>
      <c r="C10" s="126">
        <f>'审定表G9-1'!E48</f>
        <v>0</v>
      </c>
    </row>
    <row r="11" spans="1:5" s="117" customFormat="1" ht="19.5" customHeight="1" thickBot="1">
      <c r="A11" s="120" t="s">
        <v>208</v>
      </c>
      <c r="B11" s="127"/>
      <c r="C11" s="127"/>
    </row>
    <row r="12" spans="1:5" s="117" customFormat="1" ht="19.5" customHeight="1" thickBot="1">
      <c r="A12" s="125" t="s">
        <v>209</v>
      </c>
      <c r="B12" s="128">
        <f>SUM(B8:B11)</f>
        <v>0</v>
      </c>
      <c r="C12" s="128">
        <f>SUM(C8:C11)</f>
        <v>0</v>
      </c>
    </row>
    <row r="13" spans="1:5" s="117" customFormat="1" ht="19.5" customHeight="1">
      <c r="A13" s="121"/>
    </row>
  </sheetData>
  <mergeCells count="2">
    <mergeCell ref="A1:D1"/>
    <mergeCell ref="A2:D2"/>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3"/>
  <sheetViews>
    <sheetView view="pageBreakPreview" zoomScaleSheetLayoutView="100" workbookViewId="0">
      <selection activeCell="E4" sqref="E4"/>
    </sheetView>
  </sheetViews>
  <sheetFormatPr defaultColWidth="9" defaultRowHeight="13.8"/>
  <cols>
    <col min="1" max="1" width="42.21875" style="1" customWidth="1"/>
    <col min="2" max="2" width="16.5546875" style="1" customWidth="1"/>
    <col min="3" max="3" width="17.5546875" style="1" customWidth="1"/>
    <col min="4" max="4" width="7.88671875" style="1" customWidth="1"/>
    <col min="5" max="16384" width="9" style="1"/>
  </cols>
  <sheetData>
    <row r="1" spans="1:5" s="177" customFormat="1" ht="20.25" customHeight="1">
      <c r="A1" s="359" t="s">
        <v>152</v>
      </c>
      <c r="B1" s="359"/>
      <c r="C1" s="359"/>
      <c r="D1" s="359"/>
    </row>
    <row r="2" spans="1:5" s="182" customFormat="1" ht="25.05" customHeight="1">
      <c r="A2" s="360" t="s">
        <v>6</v>
      </c>
      <c r="B2" s="360"/>
      <c r="C2" s="360"/>
      <c r="D2" s="360"/>
    </row>
    <row r="3" spans="1:5" s="217" customFormat="1" ht="20.25" customHeight="1">
      <c r="A3" s="217" t="str">
        <f>底稿目录!A2</f>
        <v>被审计单位：</v>
      </c>
      <c r="B3" s="225" t="str">
        <f>底稿目录!A4</f>
        <v>编制人：</v>
      </c>
      <c r="C3" s="225" t="str">
        <f>底稿目录!A5</f>
        <v>编制日期：</v>
      </c>
      <c r="D3" s="225" t="s">
        <v>216</v>
      </c>
      <c r="E3" s="217">
        <f>底稿目录!F7</f>
        <v>0</v>
      </c>
    </row>
    <row r="4" spans="1:5" s="217" customFormat="1" ht="20.25" customHeight="1">
      <c r="A4" s="217" t="str">
        <f>底稿目录!A3</f>
        <v>截止日：202X年12月31日</v>
      </c>
      <c r="B4" s="225" t="str">
        <f>底稿目录!A6</f>
        <v>复核人：</v>
      </c>
      <c r="C4" s="225" t="str">
        <f>底稿目录!A7</f>
        <v>复核日期：</v>
      </c>
      <c r="D4" s="225" t="s">
        <v>329</v>
      </c>
    </row>
    <row r="5" spans="1:5" s="8" customFormat="1" ht="20.25" customHeight="1">
      <c r="A5" s="18" t="s">
        <v>7</v>
      </c>
      <c r="B5" s="18"/>
      <c r="C5" s="18"/>
      <c r="D5" s="18"/>
    </row>
    <row r="6" spans="1:5" s="9" customFormat="1" ht="20.25" customHeight="1" thickBot="1">
      <c r="A6" s="5" t="s">
        <v>81</v>
      </c>
      <c r="B6" s="5"/>
      <c r="C6" s="19"/>
      <c r="D6" s="19"/>
    </row>
    <row r="7" spans="1:5" s="122" customFormat="1" ht="15" thickBot="1">
      <c r="A7" s="135" t="s">
        <v>8</v>
      </c>
      <c r="B7" s="123" t="s">
        <v>1</v>
      </c>
      <c r="C7" s="123" t="s">
        <v>210</v>
      </c>
    </row>
    <row r="8" spans="1:5" s="122" customFormat="1" ht="15.6">
      <c r="A8" s="118" t="s">
        <v>205</v>
      </c>
      <c r="B8" s="126">
        <f>'审定表G9-1'!I39+'审定表G9-1'!I44</f>
        <v>0</v>
      </c>
      <c r="C8" s="126">
        <f>'审定表G9-1'!E39+'审定表G9-1'!E44</f>
        <v>0</v>
      </c>
    </row>
    <row r="9" spans="1:5" s="122" customFormat="1" ht="15.6">
      <c r="A9" s="118" t="s">
        <v>206</v>
      </c>
      <c r="B9" s="126">
        <f>'审定表G9-1'!I40+'审定表G9-1'!I45</f>
        <v>0</v>
      </c>
      <c r="C9" s="126">
        <f>'审定表G9-1'!E40+'审定表G9-1'!E45</f>
        <v>0</v>
      </c>
    </row>
    <row r="10" spans="1:5" s="122" customFormat="1" ht="31.2">
      <c r="A10" s="118" t="s">
        <v>207</v>
      </c>
      <c r="B10" s="126">
        <f>'审定表G9-1'!I48</f>
        <v>0</v>
      </c>
      <c r="C10" s="126">
        <f>'审定表G9-1'!E48</f>
        <v>0</v>
      </c>
    </row>
    <row r="11" spans="1:5" s="122" customFormat="1" ht="16.2" thickBot="1">
      <c r="A11" s="120" t="s">
        <v>208</v>
      </c>
      <c r="B11" s="129"/>
      <c r="C11" s="129"/>
    </row>
    <row r="12" spans="1:5" s="122" customFormat="1" ht="15" thickBot="1">
      <c r="A12" s="124" t="s">
        <v>209</v>
      </c>
      <c r="B12" s="130">
        <f>SUM(B8:B11)</f>
        <v>0</v>
      </c>
      <c r="C12" s="130">
        <f>SUM(C8:C11)</f>
        <v>0</v>
      </c>
    </row>
    <row r="13" spans="1:5" s="122" customFormat="1" ht="14.4"/>
  </sheetData>
  <mergeCells count="2">
    <mergeCell ref="A1:D1"/>
    <mergeCell ref="A2:D2"/>
  </mergeCells>
  <phoneticPr fontId="4"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B47"/>
  <sheetViews>
    <sheetView view="pageBreakPreview" zoomScaleSheetLayoutView="100" workbookViewId="0">
      <selection sqref="A1:L1"/>
    </sheetView>
  </sheetViews>
  <sheetFormatPr defaultColWidth="9" defaultRowHeight="13.8"/>
  <cols>
    <col min="1" max="1" width="12.109375" style="1" customWidth="1"/>
    <col min="2" max="2" width="16.88671875" style="1" customWidth="1"/>
    <col min="3" max="3" width="12.5546875" style="1" customWidth="1"/>
    <col min="4" max="4" width="13.5546875" style="1" customWidth="1"/>
    <col min="5" max="6" width="11.77734375" style="1" customWidth="1"/>
    <col min="7" max="7" width="13.77734375" style="1" customWidth="1"/>
    <col min="8" max="8" width="11.77734375" style="1" customWidth="1"/>
    <col min="9" max="9" width="13.5546875" style="1" customWidth="1"/>
    <col min="10" max="10" width="11.77734375" style="1" customWidth="1"/>
    <col min="11" max="11" width="15" style="1" customWidth="1"/>
    <col min="12" max="12" width="11.77734375" style="1" customWidth="1"/>
    <col min="13" max="13" width="11.5546875" style="1" customWidth="1"/>
    <col min="14" max="14" width="10.44140625" style="1" customWidth="1"/>
    <col min="15" max="15" width="13.109375" style="1" customWidth="1"/>
    <col min="16" max="16" width="12.21875" style="1" customWidth="1"/>
    <col min="17" max="17" width="13.33203125" style="1" customWidth="1"/>
    <col min="18" max="18" width="12.44140625" style="1" customWidth="1"/>
    <col min="19" max="19" width="12.21875" style="1" customWidth="1"/>
    <col min="20" max="20" width="13.109375" style="1" customWidth="1"/>
    <col min="21" max="21" width="12.21875" style="1" customWidth="1"/>
    <col min="22" max="22" width="11.88671875" style="1" customWidth="1"/>
    <col min="23" max="23" width="12.44140625" style="1" customWidth="1"/>
    <col min="24" max="24" width="9.33203125" style="1" customWidth="1"/>
    <col min="25" max="25" width="11" style="1" customWidth="1"/>
    <col min="26" max="26" width="8.33203125" style="1" customWidth="1"/>
    <col min="27" max="27" width="7.33203125" style="1" customWidth="1"/>
    <col min="28" max="28" width="4.77734375" style="1" customWidth="1"/>
    <col min="29" max="16384" width="9" style="1"/>
  </cols>
  <sheetData>
    <row r="1" spans="1:28" s="175" customFormat="1" ht="19.95" customHeight="1">
      <c r="A1" s="368" t="s">
        <v>152</v>
      </c>
      <c r="B1" s="368"/>
      <c r="C1" s="368"/>
      <c r="D1" s="368"/>
      <c r="E1" s="368"/>
      <c r="F1" s="368"/>
      <c r="G1" s="368"/>
      <c r="H1" s="368"/>
      <c r="I1" s="368"/>
      <c r="J1" s="368"/>
      <c r="K1" s="368"/>
      <c r="L1" s="368"/>
      <c r="M1" s="368" t="s">
        <v>152</v>
      </c>
      <c r="N1" s="368"/>
      <c r="O1" s="368"/>
      <c r="P1" s="368"/>
      <c r="Q1" s="368"/>
      <c r="R1" s="368"/>
      <c r="S1" s="368"/>
      <c r="T1" s="368"/>
      <c r="U1" s="368"/>
      <c r="V1" s="368"/>
      <c r="W1" s="368"/>
      <c r="X1" s="368"/>
      <c r="Y1" s="368"/>
      <c r="Z1" s="368"/>
      <c r="AA1" s="368"/>
      <c r="AB1" s="368"/>
    </row>
    <row r="2" spans="1:28" s="179" customFormat="1" ht="19.95" customHeight="1">
      <c r="A2" s="366" t="s">
        <v>82</v>
      </c>
      <c r="B2" s="366"/>
      <c r="C2" s="366"/>
      <c r="D2" s="366"/>
      <c r="E2" s="366"/>
      <c r="F2" s="366"/>
      <c r="G2" s="366"/>
      <c r="H2" s="366"/>
      <c r="I2" s="366"/>
      <c r="J2" s="366"/>
      <c r="K2" s="366"/>
      <c r="L2" s="366"/>
      <c r="M2" s="366" t="s">
        <v>82</v>
      </c>
      <c r="N2" s="366"/>
      <c r="O2" s="366"/>
      <c r="P2" s="366"/>
      <c r="Q2" s="366"/>
      <c r="R2" s="366"/>
      <c r="S2" s="366"/>
      <c r="T2" s="366"/>
      <c r="U2" s="366"/>
      <c r="V2" s="366"/>
      <c r="W2" s="366"/>
      <c r="X2" s="366"/>
      <c r="Y2" s="366"/>
      <c r="Z2" s="366"/>
      <c r="AA2" s="366"/>
      <c r="AB2" s="366"/>
    </row>
    <row r="3" spans="1:28" s="225" customFormat="1" ht="19.95" customHeight="1">
      <c r="A3" s="215" t="str">
        <f>底稿目录!A2</f>
        <v>被审计单位：</v>
      </c>
      <c r="C3" s="215"/>
      <c r="D3" s="224" t="str">
        <f>底稿目录!A4</f>
        <v>编制人：</v>
      </c>
      <c r="I3" s="225" t="str">
        <f>底稿目录!A5</f>
        <v>编制日期：</v>
      </c>
      <c r="K3" s="215" t="str">
        <f>AA3</f>
        <v>索引号：</v>
      </c>
      <c r="L3" s="288" t="str">
        <f>AB3</f>
        <v>G9-2</v>
      </c>
      <c r="M3" s="215" t="str">
        <f>底稿目录!A2</f>
        <v>被审计单位：</v>
      </c>
      <c r="P3" s="238"/>
      <c r="R3" s="238" t="str">
        <f>底稿目录!A4</f>
        <v>编制人：</v>
      </c>
      <c r="V3" s="238" t="str">
        <f>底稿目录!A5</f>
        <v>编制日期：</v>
      </c>
      <c r="AA3" s="225" t="s">
        <v>0</v>
      </c>
      <c r="AB3" s="288" t="str">
        <f>底稿目录!F8</f>
        <v>G9-2</v>
      </c>
    </row>
    <row r="4" spans="1:28" s="225" customFormat="1" ht="19.95" customHeight="1">
      <c r="A4" s="215" t="str">
        <f>底稿目录!A3</f>
        <v>截止日：202X年12月31日</v>
      </c>
      <c r="C4" s="215"/>
      <c r="D4" s="224" t="str">
        <f>底稿目录!A6</f>
        <v>复核人：</v>
      </c>
      <c r="I4" s="225" t="str">
        <f>底稿目录!A7</f>
        <v>复核日期：</v>
      </c>
      <c r="K4" s="215" t="str">
        <f>AA4</f>
        <v>页 次：</v>
      </c>
      <c r="L4" s="215"/>
      <c r="M4" s="215" t="str">
        <f>底稿目录!A3</f>
        <v>截止日：202X年12月31日</v>
      </c>
      <c r="P4" s="238"/>
      <c r="R4" s="238" t="str">
        <f>底稿目录!A6</f>
        <v>复核人：</v>
      </c>
      <c r="V4" s="238" t="str">
        <f>底稿目录!A7</f>
        <v>复核日期：</v>
      </c>
      <c r="AA4" s="225" t="s">
        <v>334</v>
      </c>
    </row>
    <row r="5" spans="1:28" ht="19.95" customHeight="1">
      <c r="A5" s="7" t="s">
        <v>112</v>
      </c>
      <c r="B5" s="161"/>
      <c r="C5" s="48"/>
      <c r="E5" s="47"/>
      <c r="F5" s="47"/>
      <c r="G5" s="47"/>
      <c r="H5" s="47"/>
      <c r="I5" s="47"/>
      <c r="J5" s="47"/>
      <c r="K5" s="47"/>
      <c r="L5" s="47"/>
      <c r="M5" s="7" t="s">
        <v>22</v>
      </c>
      <c r="O5" s="47"/>
      <c r="P5" s="48"/>
      <c r="Q5" s="47"/>
      <c r="R5" s="48"/>
    </row>
    <row r="6" spans="1:28" ht="19.95" customHeight="1">
      <c r="A6" s="161" t="s">
        <v>333</v>
      </c>
      <c r="B6" s="161"/>
      <c r="C6" s="48"/>
      <c r="E6" s="47"/>
      <c r="F6" s="47"/>
      <c r="G6" s="47"/>
      <c r="H6" s="47"/>
      <c r="I6" s="47"/>
      <c r="J6" s="47"/>
      <c r="K6" s="47"/>
      <c r="L6" s="47"/>
      <c r="M6" s="161" t="s">
        <v>333</v>
      </c>
      <c r="O6" s="47"/>
      <c r="P6" s="48"/>
      <c r="Q6" s="47"/>
      <c r="R6" s="48"/>
    </row>
    <row r="7" spans="1:28" ht="19.95" customHeight="1">
      <c r="A7" s="161" t="s">
        <v>332</v>
      </c>
      <c r="B7" s="161"/>
      <c r="C7" s="48"/>
      <c r="E7" s="47"/>
      <c r="F7" s="47"/>
      <c r="G7" s="47"/>
      <c r="H7" s="47"/>
      <c r="I7" s="47"/>
      <c r="J7" s="47"/>
      <c r="K7" s="47"/>
      <c r="L7" s="47"/>
      <c r="M7" s="161" t="s">
        <v>332</v>
      </c>
      <c r="O7" s="47"/>
      <c r="P7" s="48"/>
      <c r="Q7" s="47"/>
      <c r="R7" s="48"/>
    </row>
    <row r="8" spans="1:28" ht="19.95" customHeight="1">
      <c r="A8" s="7" t="s">
        <v>113</v>
      </c>
      <c r="B8" s="52"/>
      <c r="C8" s="48"/>
      <c r="E8" s="47"/>
      <c r="F8" s="47"/>
      <c r="G8" s="47"/>
      <c r="H8" s="47"/>
      <c r="I8" s="47"/>
      <c r="J8" s="47"/>
      <c r="K8" s="47"/>
      <c r="L8" s="47"/>
      <c r="M8" s="7" t="s">
        <v>113</v>
      </c>
      <c r="O8" s="53"/>
      <c r="Q8" s="47"/>
      <c r="R8" s="48"/>
    </row>
    <row r="9" spans="1:28" s="76" customFormat="1" ht="19.95" customHeight="1">
      <c r="A9" s="369" t="s">
        <v>114</v>
      </c>
      <c r="B9" s="369" t="s">
        <v>177</v>
      </c>
      <c r="C9" s="361" t="s">
        <v>115</v>
      </c>
      <c r="D9" s="363"/>
      <c r="E9" s="363"/>
      <c r="F9" s="361" t="s">
        <v>196</v>
      </c>
      <c r="G9" s="362"/>
      <c r="H9" s="361" t="s">
        <v>197</v>
      </c>
      <c r="I9" s="363"/>
      <c r="J9" s="363"/>
      <c r="K9" s="364" t="s">
        <v>198</v>
      </c>
      <c r="L9" s="364" t="s">
        <v>199</v>
      </c>
      <c r="M9" s="361" t="s">
        <v>116</v>
      </c>
      <c r="N9" s="363"/>
      <c r="O9" s="370"/>
      <c r="P9" s="361" t="s">
        <v>117</v>
      </c>
      <c r="Q9" s="363"/>
      <c r="R9" s="363"/>
      <c r="S9" s="361" t="s">
        <v>118</v>
      </c>
      <c r="T9" s="362"/>
      <c r="U9" s="361" t="s">
        <v>119</v>
      </c>
      <c r="V9" s="363"/>
      <c r="W9" s="363"/>
      <c r="X9" s="364" t="s">
        <v>195</v>
      </c>
      <c r="Y9" s="364" t="s">
        <v>194</v>
      </c>
      <c r="Z9" s="364" t="s">
        <v>181</v>
      </c>
      <c r="AA9" s="364" t="s">
        <v>120</v>
      </c>
      <c r="AB9" s="364" t="s">
        <v>121</v>
      </c>
    </row>
    <row r="10" spans="1:28" s="76" customFormat="1" ht="32.700000000000003" customHeight="1">
      <c r="A10" s="365"/>
      <c r="B10" s="365"/>
      <c r="C10" s="77" t="s">
        <v>122</v>
      </c>
      <c r="D10" s="77" t="s">
        <v>123</v>
      </c>
      <c r="E10" s="77" t="s">
        <v>124</v>
      </c>
      <c r="F10" s="77" t="s">
        <v>122</v>
      </c>
      <c r="G10" s="77" t="s">
        <v>127</v>
      </c>
      <c r="H10" s="77" t="s">
        <v>122</v>
      </c>
      <c r="I10" s="77" t="s">
        <v>123</v>
      </c>
      <c r="J10" s="77" t="s">
        <v>23</v>
      </c>
      <c r="K10" s="365"/>
      <c r="L10" s="365"/>
      <c r="M10" s="77" t="s">
        <v>122</v>
      </c>
      <c r="N10" s="77" t="s">
        <v>125</v>
      </c>
      <c r="O10" s="77" t="s">
        <v>126</v>
      </c>
      <c r="P10" s="77" t="s">
        <v>122</v>
      </c>
      <c r="Q10" s="77" t="s">
        <v>123</v>
      </c>
      <c r="R10" s="77" t="s">
        <v>124</v>
      </c>
      <c r="S10" s="77" t="s">
        <v>122</v>
      </c>
      <c r="T10" s="77" t="s">
        <v>127</v>
      </c>
      <c r="U10" s="77" t="s">
        <v>122</v>
      </c>
      <c r="V10" s="77" t="s">
        <v>123</v>
      </c>
      <c r="W10" s="77" t="s">
        <v>124</v>
      </c>
      <c r="X10" s="365"/>
      <c r="Y10" s="365"/>
      <c r="Z10" s="367"/>
      <c r="AA10" s="367"/>
      <c r="AB10" s="367"/>
    </row>
    <row r="11" spans="1:28" s="76" customFormat="1" ht="19.95" customHeight="1">
      <c r="A11" s="88" t="s">
        <v>178</v>
      </c>
      <c r="B11" s="87"/>
      <c r="C11" s="77"/>
      <c r="D11" s="77"/>
      <c r="E11" s="77"/>
      <c r="F11" s="77"/>
      <c r="G11" s="77"/>
      <c r="H11" s="77"/>
      <c r="I11" s="77"/>
      <c r="J11" s="77"/>
      <c r="K11" s="87"/>
      <c r="L11" s="87"/>
      <c r="M11" s="77"/>
      <c r="N11" s="77"/>
      <c r="O11" s="77"/>
      <c r="P11" s="77"/>
      <c r="Q11" s="77"/>
      <c r="R11" s="77"/>
      <c r="S11" s="77"/>
      <c r="T11" s="77"/>
      <c r="U11" s="77"/>
      <c r="V11" s="77"/>
      <c r="W11" s="77"/>
      <c r="X11" s="87"/>
      <c r="Y11" s="87"/>
      <c r="Z11" s="87"/>
      <c r="AA11" s="79"/>
      <c r="AB11" s="79"/>
    </row>
    <row r="12" spans="1:28" s="76" customFormat="1" ht="19.95" customHeight="1">
      <c r="A12" s="80" t="s">
        <v>128</v>
      </c>
      <c r="B12" s="239"/>
      <c r="C12" s="81"/>
      <c r="D12" s="81"/>
      <c r="E12" s="136">
        <f>C12+D12</f>
        <v>0</v>
      </c>
      <c r="F12" s="65"/>
      <c r="G12" s="65"/>
      <c r="H12" s="144">
        <f>C12+F12</f>
        <v>0</v>
      </c>
      <c r="I12" s="144">
        <f>D12+G12</f>
        <v>0</v>
      </c>
      <c r="J12" s="144">
        <f>H12+I12</f>
        <v>0</v>
      </c>
      <c r="K12" s="81"/>
      <c r="L12" s="144">
        <f>E12+K12</f>
        <v>0</v>
      </c>
      <c r="M12" s="81"/>
      <c r="N12" s="81"/>
      <c r="O12" s="81"/>
      <c r="P12" s="144">
        <f>C12+M12</f>
        <v>0</v>
      </c>
      <c r="Q12" s="144">
        <f t="shared" ref="P12:Q16" si="0">D12+N12</f>
        <v>0</v>
      </c>
      <c r="R12" s="144">
        <f>P12+Q12</f>
        <v>0</v>
      </c>
      <c r="S12" s="65"/>
      <c r="T12" s="65"/>
      <c r="U12" s="144">
        <f>P12+S12</f>
        <v>0</v>
      </c>
      <c r="V12" s="144">
        <f>Q12+T12</f>
        <v>0</v>
      </c>
      <c r="W12" s="144">
        <f>U12+V12</f>
        <v>0</v>
      </c>
      <c r="X12" s="81"/>
      <c r="Y12" s="144">
        <f>R12+X12</f>
        <v>0</v>
      </c>
      <c r="Z12" s="81"/>
      <c r="AA12" s="242"/>
      <c r="AB12" s="242"/>
    </row>
    <row r="13" spans="1:28" s="76" customFormat="1" ht="19.95" customHeight="1">
      <c r="A13" s="82"/>
      <c r="B13" s="240"/>
      <c r="C13" s="81"/>
      <c r="D13" s="81"/>
      <c r="E13" s="144">
        <f t="shared" ref="E13:E16" si="1">C13+D13</f>
        <v>0</v>
      </c>
      <c r="F13" s="65"/>
      <c r="G13" s="65"/>
      <c r="H13" s="144">
        <f t="shared" ref="H13:H16" si="2">C13+F13</f>
        <v>0</v>
      </c>
      <c r="I13" s="144">
        <f t="shared" ref="I13:I16" si="3">D13+G13</f>
        <v>0</v>
      </c>
      <c r="J13" s="144">
        <f t="shared" ref="J13:J16" si="4">H13+I13</f>
        <v>0</v>
      </c>
      <c r="K13" s="81"/>
      <c r="L13" s="144">
        <f t="shared" ref="L13:L16" si="5">E13+K13</f>
        <v>0</v>
      </c>
      <c r="M13" s="81"/>
      <c r="N13" s="81"/>
      <c r="O13" s="81"/>
      <c r="P13" s="144">
        <f t="shared" si="0"/>
        <v>0</v>
      </c>
      <c r="Q13" s="144">
        <f t="shared" si="0"/>
        <v>0</v>
      </c>
      <c r="R13" s="144">
        <f t="shared" ref="R13:R16" si="6">P13+Q13</f>
        <v>0</v>
      </c>
      <c r="S13" s="65"/>
      <c r="T13" s="65"/>
      <c r="U13" s="144">
        <f t="shared" ref="U13:V16" si="7">P13+S13</f>
        <v>0</v>
      </c>
      <c r="V13" s="144">
        <f t="shared" si="7"/>
        <v>0</v>
      </c>
      <c r="W13" s="144">
        <f t="shared" ref="W13:W16" si="8">U13+V13</f>
        <v>0</v>
      </c>
      <c r="X13" s="81"/>
      <c r="Y13" s="144">
        <f t="shared" ref="Y13:Y16" si="9">R13+X13</f>
        <v>0</v>
      </c>
      <c r="Z13" s="81"/>
      <c r="AA13" s="242"/>
      <c r="AB13" s="242"/>
    </row>
    <row r="14" spans="1:28" s="76" customFormat="1" ht="19.95" customHeight="1">
      <c r="A14" s="82"/>
      <c r="B14" s="240"/>
      <c r="C14" s="81"/>
      <c r="D14" s="81"/>
      <c r="E14" s="144">
        <f t="shared" si="1"/>
        <v>0</v>
      </c>
      <c r="F14" s="65"/>
      <c r="G14" s="65"/>
      <c r="H14" s="144">
        <f t="shared" si="2"/>
        <v>0</v>
      </c>
      <c r="I14" s="144">
        <f t="shared" si="3"/>
        <v>0</v>
      </c>
      <c r="J14" s="144">
        <f t="shared" si="4"/>
        <v>0</v>
      </c>
      <c r="K14" s="81"/>
      <c r="L14" s="144">
        <f t="shared" si="5"/>
        <v>0</v>
      </c>
      <c r="M14" s="81"/>
      <c r="N14" s="81"/>
      <c r="O14" s="81"/>
      <c r="P14" s="144">
        <f t="shared" si="0"/>
        <v>0</v>
      </c>
      <c r="Q14" s="144">
        <f t="shared" si="0"/>
        <v>0</v>
      </c>
      <c r="R14" s="144">
        <f t="shared" si="6"/>
        <v>0</v>
      </c>
      <c r="S14" s="65"/>
      <c r="T14" s="65"/>
      <c r="U14" s="144">
        <f t="shared" si="7"/>
        <v>0</v>
      </c>
      <c r="V14" s="144">
        <f t="shared" si="7"/>
        <v>0</v>
      </c>
      <c r="W14" s="144">
        <f t="shared" si="8"/>
        <v>0</v>
      </c>
      <c r="X14" s="81"/>
      <c r="Y14" s="144">
        <f t="shared" si="9"/>
        <v>0</v>
      </c>
      <c r="Z14" s="81"/>
      <c r="AA14" s="242"/>
      <c r="AB14" s="242"/>
    </row>
    <row r="15" spans="1:28" s="76" customFormat="1" ht="19.95" customHeight="1">
      <c r="A15" s="82"/>
      <c r="B15" s="240"/>
      <c r="C15" s="81"/>
      <c r="D15" s="81"/>
      <c r="E15" s="144">
        <f t="shared" si="1"/>
        <v>0</v>
      </c>
      <c r="F15" s="65"/>
      <c r="G15" s="65"/>
      <c r="H15" s="144">
        <f t="shared" si="2"/>
        <v>0</v>
      </c>
      <c r="I15" s="144">
        <f t="shared" si="3"/>
        <v>0</v>
      </c>
      <c r="J15" s="144">
        <f t="shared" si="4"/>
        <v>0</v>
      </c>
      <c r="K15" s="81"/>
      <c r="L15" s="144">
        <f t="shared" si="5"/>
        <v>0</v>
      </c>
      <c r="M15" s="81"/>
      <c r="N15" s="81"/>
      <c r="O15" s="81"/>
      <c r="P15" s="144">
        <f t="shared" si="0"/>
        <v>0</v>
      </c>
      <c r="Q15" s="144">
        <f t="shared" si="0"/>
        <v>0</v>
      </c>
      <c r="R15" s="144">
        <f t="shared" si="6"/>
        <v>0</v>
      </c>
      <c r="S15" s="65"/>
      <c r="T15" s="65"/>
      <c r="U15" s="144">
        <f t="shared" si="7"/>
        <v>0</v>
      </c>
      <c r="V15" s="144">
        <f t="shared" si="7"/>
        <v>0</v>
      </c>
      <c r="W15" s="144">
        <f t="shared" si="8"/>
        <v>0</v>
      </c>
      <c r="X15" s="81"/>
      <c r="Y15" s="144">
        <f t="shared" si="9"/>
        <v>0</v>
      </c>
      <c r="Z15" s="81"/>
      <c r="AA15" s="242"/>
      <c r="AB15" s="242"/>
    </row>
    <row r="16" spans="1:28" s="76" customFormat="1" ht="19.95" customHeight="1">
      <c r="A16" s="82"/>
      <c r="B16" s="241"/>
      <c r="C16" s="81"/>
      <c r="D16" s="81"/>
      <c r="E16" s="144">
        <f t="shared" si="1"/>
        <v>0</v>
      </c>
      <c r="F16" s="65"/>
      <c r="G16" s="65"/>
      <c r="H16" s="144">
        <f t="shared" si="2"/>
        <v>0</v>
      </c>
      <c r="I16" s="144">
        <f t="shared" si="3"/>
        <v>0</v>
      </c>
      <c r="J16" s="144">
        <f t="shared" si="4"/>
        <v>0</v>
      </c>
      <c r="K16" s="81"/>
      <c r="L16" s="144">
        <f t="shared" si="5"/>
        <v>0</v>
      </c>
      <c r="M16" s="81"/>
      <c r="N16" s="81"/>
      <c r="O16" s="81"/>
      <c r="P16" s="144">
        <f t="shared" si="0"/>
        <v>0</v>
      </c>
      <c r="Q16" s="144">
        <f t="shared" si="0"/>
        <v>0</v>
      </c>
      <c r="R16" s="144">
        <f t="shared" si="6"/>
        <v>0</v>
      </c>
      <c r="S16" s="65"/>
      <c r="T16" s="65"/>
      <c r="U16" s="144">
        <f t="shared" si="7"/>
        <v>0</v>
      </c>
      <c r="V16" s="144">
        <f t="shared" si="7"/>
        <v>0</v>
      </c>
      <c r="W16" s="144">
        <f t="shared" si="8"/>
        <v>0</v>
      </c>
      <c r="X16" s="81"/>
      <c r="Y16" s="144">
        <f t="shared" si="9"/>
        <v>0</v>
      </c>
      <c r="Z16" s="81"/>
      <c r="AA16" s="242"/>
      <c r="AB16" s="242"/>
    </row>
    <row r="17" spans="1:28" s="78" customFormat="1" ht="19.95" customHeight="1">
      <c r="A17" s="146" t="s">
        <v>129</v>
      </c>
      <c r="B17" s="145"/>
      <c r="C17" s="144">
        <f t="shared" ref="C17:Y17" si="10">SUM(C12:C16)</f>
        <v>0</v>
      </c>
      <c r="D17" s="144">
        <f t="shared" si="10"/>
        <v>0</v>
      </c>
      <c r="E17" s="144">
        <f t="shared" si="10"/>
        <v>0</v>
      </c>
      <c r="F17" s="144">
        <f t="shared" ref="F17:L17" si="11">SUM(F12:F16)</f>
        <v>0</v>
      </c>
      <c r="G17" s="144">
        <f t="shared" si="11"/>
        <v>0</v>
      </c>
      <c r="H17" s="144">
        <f t="shared" si="11"/>
        <v>0</v>
      </c>
      <c r="I17" s="144">
        <f t="shared" si="11"/>
        <v>0</v>
      </c>
      <c r="J17" s="144">
        <f t="shared" si="11"/>
        <v>0</v>
      </c>
      <c r="K17" s="144">
        <f t="shared" si="11"/>
        <v>0</v>
      </c>
      <c r="L17" s="144">
        <f t="shared" si="11"/>
        <v>0</v>
      </c>
      <c r="M17" s="144">
        <f t="shared" si="10"/>
        <v>0</v>
      </c>
      <c r="N17" s="144">
        <f t="shared" si="10"/>
        <v>0</v>
      </c>
      <c r="O17" s="144">
        <f t="shared" si="10"/>
        <v>0</v>
      </c>
      <c r="P17" s="144">
        <f t="shared" si="10"/>
        <v>0</v>
      </c>
      <c r="Q17" s="144">
        <f t="shared" si="10"/>
        <v>0</v>
      </c>
      <c r="R17" s="144">
        <f t="shared" si="10"/>
        <v>0</v>
      </c>
      <c r="S17" s="144">
        <f t="shared" si="10"/>
        <v>0</v>
      </c>
      <c r="T17" s="144">
        <f t="shared" si="10"/>
        <v>0</v>
      </c>
      <c r="U17" s="144">
        <f t="shared" si="10"/>
        <v>0</v>
      </c>
      <c r="V17" s="144">
        <f t="shared" si="10"/>
        <v>0</v>
      </c>
      <c r="W17" s="144">
        <f t="shared" si="10"/>
        <v>0</v>
      </c>
      <c r="X17" s="144">
        <f t="shared" si="10"/>
        <v>0</v>
      </c>
      <c r="Y17" s="144">
        <f t="shared" si="10"/>
        <v>0</v>
      </c>
      <c r="Z17" s="144">
        <f t="shared" ref="Z17" si="12">SUM(Z12:Z16)</f>
        <v>0</v>
      </c>
      <c r="AA17" s="243"/>
      <c r="AB17" s="243"/>
    </row>
    <row r="18" spans="1:28" s="76" customFormat="1" ht="19.95" customHeight="1">
      <c r="A18" s="88" t="s">
        <v>130</v>
      </c>
      <c r="B18" s="87"/>
      <c r="C18" s="77"/>
      <c r="D18" s="77"/>
      <c r="E18" s="77"/>
      <c r="F18" s="77"/>
      <c r="G18" s="77"/>
      <c r="H18" s="77"/>
      <c r="I18" s="77"/>
      <c r="J18" s="77"/>
      <c r="K18" s="87"/>
      <c r="L18" s="87"/>
      <c r="M18" s="77"/>
      <c r="N18" s="77"/>
      <c r="O18" s="77"/>
      <c r="P18" s="77"/>
      <c r="Q18" s="77"/>
      <c r="R18" s="77"/>
      <c r="S18" s="77"/>
      <c r="T18" s="77"/>
      <c r="U18" s="77"/>
      <c r="V18" s="77"/>
      <c r="W18" s="77"/>
      <c r="X18" s="87"/>
      <c r="Y18" s="87"/>
      <c r="Z18" s="87"/>
      <c r="AA18" s="244"/>
      <c r="AB18" s="244"/>
    </row>
    <row r="19" spans="1:28" s="76" customFormat="1" ht="19.95" customHeight="1">
      <c r="A19" s="246" t="s">
        <v>128</v>
      </c>
      <c r="B19" s="239"/>
      <c r="C19" s="81"/>
      <c r="D19" s="81"/>
      <c r="E19" s="144">
        <f t="shared" ref="E19:E23" si="13">C19+D19</f>
        <v>0</v>
      </c>
      <c r="F19" s="65"/>
      <c r="G19" s="65"/>
      <c r="H19" s="144">
        <f>C19+F19</f>
        <v>0</v>
      </c>
      <c r="I19" s="144">
        <f>D19+G19</f>
        <v>0</v>
      </c>
      <c r="J19" s="144">
        <f t="shared" ref="J19:J23" si="14">H19+I19</f>
        <v>0</v>
      </c>
      <c r="K19" s="81"/>
      <c r="L19" s="144">
        <f t="shared" ref="L19:L23" si="15">E19+K19</f>
        <v>0</v>
      </c>
      <c r="M19" s="81"/>
      <c r="N19" s="81"/>
      <c r="O19" s="81"/>
      <c r="P19" s="144">
        <f t="shared" ref="P19:Q23" si="16">C19+M19</f>
        <v>0</v>
      </c>
      <c r="Q19" s="144">
        <f t="shared" si="16"/>
        <v>0</v>
      </c>
      <c r="R19" s="144">
        <f t="shared" ref="R19:R23" si="17">P19+Q19</f>
        <v>0</v>
      </c>
      <c r="S19" s="65"/>
      <c r="T19" s="65"/>
      <c r="U19" s="144">
        <f>P19+S19</f>
        <v>0</v>
      </c>
      <c r="V19" s="144">
        <f>Q19+T19</f>
        <v>0</v>
      </c>
      <c r="W19" s="144">
        <f t="shared" ref="W19:W23" si="18">U19+V19</f>
        <v>0</v>
      </c>
      <c r="X19" s="81"/>
      <c r="Y19" s="144">
        <f t="shared" ref="Y19:Y23" si="19">R19+X19</f>
        <v>0</v>
      </c>
      <c r="Z19" s="81"/>
      <c r="AA19" s="242"/>
      <c r="AB19" s="242"/>
    </row>
    <row r="20" spans="1:28" s="76" customFormat="1" ht="19.95" customHeight="1">
      <c r="A20" s="247"/>
      <c r="B20" s="240"/>
      <c r="C20" s="81"/>
      <c r="D20" s="81"/>
      <c r="E20" s="144">
        <f t="shared" si="13"/>
        <v>0</v>
      </c>
      <c r="F20" s="65"/>
      <c r="G20" s="65"/>
      <c r="H20" s="144">
        <f t="shared" ref="H20:H23" si="20">C20+F20</f>
        <v>0</v>
      </c>
      <c r="I20" s="144">
        <f t="shared" ref="I20:I23" si="21">D20+G20</f>
        <v>0</v>
      </c>
      <c r="J20" s="144">
        <f t="shared" si="14"/>
        <v>0</v>
      </c>
      <c r="K20" s="81"/>
      <c r="L20" s="144">
        <f t="shared" si="15"/>
        <v>0</v>
      </c>
      <c r="M20" s="81"/>
      <c r="N20" s="81"/>
      <c r="O20" s="81"/>
      <c r="P20" s="144">
        <f t="shared" si="16"/>
        <v>0</v>
      </c>
      <c r="Q20" s="144">
        <f t="shared" si="16"/>
        <v>0</v>
      </c>
      <c r="R20" s="144">
        <f t="shared" si="17"/>
        <v>0</v>
      </c>
      <c r="S20" s="65"/>
      <c r="T20" s="65"/>
      <c r="U20" s="144">
        <f t="shared" ref="U20:V23" si="22">P20+S20</f>
        <v>0</v>
      </c>
      <c r="V20" s="144">
        <f t="shared" si="22"/>
        <v>0</v>
      </c>
      <c r="W20" s="144">
        <f t="shared" si="18"/>
        <v>0</v>
      </c>
      <c r="X20" s="81"/>
      <c r="Y20" s="144">
        <f t="shared" si="19"/>
        <v>0</v>
      </c>
      <c r="Z20" s="81"/>
      <c r="AA20" s="242"/>
      <c r="AB20" s="242"/>
    </row>
    <row r="21" spans="1:28" s="76" customFormat="1" ht="19.95" customHeight="1">
      <c r="A21" s="247"/>
      <c r="B21" s="240"/>
      <c r="C21" s="81"/>
      <c r="D21" s="81"/>
      <c r="E21" s="144">
        <f t="shared" si="13"/>
        <v>0</v>
      </c>
      <c r="F21" s="65"/>
      <c r="G21" s="65"/>
      <c r="H21" s="144">
        <f t="shared" si="20"/>
        <v>0</v>
      </c>
      <c r="I21" s="144">
        <f t="shared" si="21"/>
        <v>0</v>
      </c>
      <c r="J21" s="144">
        <f t="shared" si="14"/>
        <v>0</v>
      </c>
      <c r="K21" s="81"/>
      <c r="L21" s="144">
        <f t="shared" si="15"/>
        <v>0</v>
      </c>
      <c r="M21" s="81"/>
      <c r="N21" s="81"/>
      <c r="O21" s="81"/>
      <c r="P21" s="144">
        <f t="shared" si="16"/>
        <v>0</v>
      </c>
      <c r="Q21" s="144">
        <f t="shared" si="16"/>
        <v>0</v>
      </c>
      <c r="R21" s="144">
        <f t="shared" si="17"/>
        <v>0</v>
      </c>
      <c r="S21" s="65"/>
      <c r="T21" s="65"/>
      <c r="U21" s="144">
        <f t="shared" si="22"/>
        <v>0</v>
      </c>
      <c r="V21" s="144">
        <f t="shared" si="22"/>
        <v>0</v>
      </c>
      <c r="W21" s="144">
        <f t="shared" si="18"/>
        <v>0</v>
      </c>
      <c r="X21" s="81"/>
      <c r="Y21" s="144">
        <f t="shared" si="19"/>
        <v>0</v>
      </c>
      <c r="Z21" s="81"/>
      <c r="AA21" s="242"/>
      <c r="AB21" s="242"/>
    </row>
    <row r="22" spans="1:28" s="76" customFormat="1" ht="19.95" customHeight="1">
      <c r="A22" s="247"/>
      <c r="B22" s="241"/>
      <c r="C22" s="81"/>
      <c r="D22" s="81"/>
      <c r="E22" s="144">
        <f t="shared" si="13"/>
        <v>0</v>
      </c>
      <c r="F22" s="65"/>
      <c r="G22" s="65"/>
      <c r="H22" s="144">
        <f t="shared" si="20"/>
        <v>0</v>
      </c>
      <c r="I22" s="144">
        <f t="shared" si="21"/>
        <v>0</v>
      </c>
      <c r="J22" s="144">
        <f t="shared" si="14"/>
        <v>0</v>
      </c>
      <c r="K22" s="81"/>
      <c r="L22" s="144">
        <f t="shared" si="15"/>
        <v>0</v>
      </c>
      <c r="M22" s="81"/>
      <c r="N22" s="81"/>
      <c r="O22" s="81"/>
      <c r="P22" s="144">
        <f t="shared" si="16"/>
        <v>0</v>
      </c>
      <c r="Q22" s="144">
        <f t="shared" si="16"/>
        <v>0</v>
      </c>
      <c r="R22" s="144">
        <f t="shared" si="17"/>
        <v>0</v>
      </c>
      <c r="S22" s="65"/>
      <c r="T22" s="65"/>
      <c r="U22" s="144">
        <f t="shared" si="22"/>
        <v>0</v>
      </c>
      <c r="V22" s="144">
        <f t="shared" si="22"/>
        <v>0</v>
      </c>
      <c r="W22" s="144">
        <f t="shared" si="18"/>
        <v>0</v>
      </c>
      <c r="X22" s="81"/>
      <c r="Y22" s="144">
        <f t="shared" si="19"/>
        <v>0</v>
      </c>
      <c r="Z22" s="81"/>
      <c r="AA22" s="242"/>
      <c r="AB22" s="242"/>
    </row>
    <row r="23" spans="1:28" s="76" customFormat="1" ht="19.95" customHeight="1">
      <c r="A23" s="247"/>
      <c r="B23" s="241"/>
      <c r="C23" s="81"/>
      <c r="D23" s="81"/>
      <c r="E23" s="144">
        <f t="shared" si="13"/>
        <v>0</v>
      </c>
      <c r="F23" s="65"/>
      <c r="G23" s="65"/>
      <c r="H23" s="144">
        <f t="shared" si="20"/>
        <v>0</v>
      </c>
      <c r="I23" s="144">
        <f t="shared" si="21"/>
        <v>0</v>
      </c>
      <c r="J23" s="144">
        <f t="shared" si="14"/>
        <v>0</v>
      </c>
      <c r="K23" s="81"/>
      <c r="L23" s="144">
        <f t="shared" si="15"/>
        <v>0</v>
      </c>
      <c r="M23" s="81"/>
      <c r="N23" s="81"/>
      <c r="O23" s="81"/>
      <c r="P23" s="144">
        <f t="shared" si="16"/>
        <v>0</v>
      </c>
      <c r="Q23" s="144">
        <f t="shared" si="16"/>
        <v>0</v>
      </c>
      <c r="R23" s="144">
        <f t="shared" si="17"/>
        <v>0</v>
      </c>
      <c r="S23" s="65"/>
      <c r="T23" s="65"/>
      <c r="U23" s="144">
        <f t="shared" si="22"/>
        <v>0</v>
      </c>
      <c r="V23" s="144">
        <f t="shared" si="22"/>
        <v>0</v>
      </c>
      <c r="W23" s="144">
        <f t="shared" si="18"/>
        <v>0</v>
      </c>
      <c r="X23" s="81"/>
      <c r="Y23" s="144">
        <f t="shared" si="19"/>
        <v>0</v>
      </c>
      <c r="Z23" s="81"/>
      <c r="AA23" s="242"/>
      <c r="AB23" s="242"/>
    </row>
    <row r="24" spans="1:28" s="78" customFormat="1" ht="19.95" customHeight="1">
      <c r="A24" s="146" t="s">
        <v>129</v>
      </c>
      <c r="B24" s="145"/>
      <c r="C24" s="144">
        <f t="shared" ref="C24:Y24" si="23">SUM(C19:C23)</f>
        <v>0</v>
      </c>
      <c r="D24" s="144">
        <f t="shared" si="23"/>
        <v>0</v>
      </c>
      <c r="E24" s="144">
        <f t="shared" si="23"/>
        <v>0</v>
      </c>
      <c r="F24" s="144">
        <f t="shared" ref="F24:L24" si="24">SUM(F19:F23)</f>
        <v>0</v>
      </c>
      <c r="G24" s="144">
        <f t="shared" si="24"/>
        <v>0</v>
      </c>
      <c r="H24" s="144">
        <f t="shared" si="24"/>
        <v>0</v>
      </c>
      <c r="I24" s="144">
        <f t="shared" si="24"/>
        <v>0</v>
      </c>
      <c r="J24" s="144">
        <f t="shared" si="24"/>
        <v>0</v>
      </c>
      <c r="K24" s="144">
        <f t="shared" si="24"/>
        <v>0</v>
      </c>
      <c r="L24" s="144">
        <f t="shared" si="24"/>
        <v>0</v>
      </c>
      <c r="M24" s="144">
        <f t="shared" si="23"/>
        <v>0</v>
      </c>
      <c r="N24" s="144">
        <f t="shared" si="23"/>
        <v>0</v>
      </c>
      <c r="O24" s="144">
        <f t="shared" si="23"/>
        <v>0</v>
      </c>
      <c r="P24" s="144">
        <f t="shared" si="23"/>
        <v>0</v>
      </c>
      <c r="Q24" s="144">
        <f t="shared" si="23"/>
        <v>0</v>
      </c>
      <c r="R24" s="144">
        <f t="shared" si="23"/>
        <v>0</v>
      </c>
      <c r="S24" s="144">
        <f t="shared" si="23"/>
        <v>0</v>
      </c>
      <c r="T24" s="144">
        <f t="shared" si="23"/>
        <v>0</v>
      </c>
      <c r="U24" s="144">
        <f t="shared" si="23"/>
        <v>0</v>
      </c>
      <c r="V24" s="144">
        <f t="shared" si="23"/>
        <v>0</v>
      </c>
      <c r="W24" s="144">
        <f t="shared" si="23"/>
        <v>0</v>
      </c>
      <c r="X24" s="144">
        <f t="shared" si="23"/>
        <v>0</v>
      </c>
      <c r="Y24" s="144">
        <f t="shared" si="23"/>
        <v>0</v>
      </c>
      <c r="Z24" s="144">
        <f>SUM(Z19:Z23)</f>
        <v>0</v>
      </c>
      <c r="AA24" s="243"/>
      <c r="AB24" s="243"/>
    </row>
    <row r="25" spans="1:28" s="76" customFormat="1" ht="19.95" customHeight="1">
      <c r="A25" s="88" t="s">
        <v>131</v>
      </c>
      <c r="B25" s="87"/>
      <c r="C25" s="77"/>
      <c r="D25" s="77"/>
      <c r="E25" s="77"/>
      <c r="F25" s="77"/>
      <c r="G25" s="77"/>
      <c r="H25" s="77"/>
      <c r="I25" s="77"/>
      <c r="J25" s="77"/>
      <c r="K25" s="87"/>
      <c r="L25" s="87"/>
      <c r="M25" s="77"/>
      <c r="N25" s="77"/>
      <c r="O25" s="77"/>
      <c r="P25" s="77"/>
      <c r="Q25" s="77"/>
      <c r="R25" s="77"/>
      <c r="S25" s="77"/>
      <c r="T25" s="77"/>
      <c r="U25" s="77"/>
      <c r="V25" s="77"/>
      <c r="W25" s="77"/>
      <c r="X25" s="87"/>
      <c r="Y25" s="87"/>
      <c r="Z25" s="87"/>
      <c r="AA25" s="244"/>
      <c r="AB25" s="244"/>
    </row>
    <row r="26" spans="1:28" s="76" customFormat="1" ht="19.95" customHeight="1">
      <c r="A26" s="246"/>
      <c r="B26" s="239"/>
      <c r="C26" s="81"/>
      <c r="D26" s="81"/>
      <c r="E26" s="144">
        <f>C26+D26</f>
        <v>0</v>
      </c>
      <c r="F26" s="65"/>
      <c r="G26" s="65"/>
      <c r="H26" s="144">
        <f>C26+F26</f>
        <v>0</v>
      </c>
      <c r="I26" s="144">
        <f>D26+G26</f>
        <v>0</v>
      </c>
      <c r="J26" s="144">
        <f>H26+I26</f>
        <v>0</v>
      </c>
      <c r="K26" s="81"/>
      <c r="L26" s="144">
        <f t="shared" ref="L26:L28" si="25">E26+K26</f>
        <v>0</v>
      </c>
      <c r="M26" s="81"/>
      <c r="N26" s="81"/>
      <c r="O26" s="81"/>
      <c r="P26" s="144">
        <f t="shared" ref="P26:Q28" si="26">C26+M26</f>
        <v>0</v>
      </c>
      <c r="Q26" s="144">
        <f t="shared" si="26"/>
        <v>0</v>
      </c>
      <c r="R26" s="144">
        <f>P26+Q26</f>
        <v>0</v>
      </c>
      <c r="S26" s="65"/>
      <c r="T26" s="65"/>
      <c r="U26" s="144">
        <f>P26+S26</f>
        <v>0</v>
      </c>
      <c r="V26" s="144">
        <f>Q26+T26</f>
        <v>0</v>
      </c>
      <c r="W26" s="144">
        <f>U26+V26</f>
        <v>0</v>
      </c>
      <c r="X26" s="81"/>
      <c r="Y26" s="144">
        <f t="shared" ref="Y26:Y28" si="27">R26+X26</f>
        <v>0</v>
      </c>
      <c r="Z26" s="81"/>
      <c r="AA26" s="242"/>
      <c r="AB26" s="242"/>
    </row>
    <row r="27" spans="1:28" s="76" customFormat="1" ht="19.95" customHeight="1">
      <c r="A27" s="246"/>
      <c r="B27" s="239"/>
      <c r="C27" s="81"/>
      <c r="D27" s="81"/>
      <c r="E27" s="144">
        <f t="shared" ref="E27:E28" si="28">C27+D27</f>
        <v>0</v>
      </c>
      <c r="F27" s="65"/>
      <c r="G27" s="65"/>
      <c r="H27" s="144">
        <f t="shared" ref="H27:H28" si="29">C27+F27</f>
        <v>0</v>
      </c>
      <c r="I27" s="144">
        <f t="shared" ref="I27:I28" si="30">D27+G27</f>
        <v>0</v>
      </c>
      <c r="J27" s="144">
        <f t="shared" ref="J27:J28" si="31">H27+I27</f>
        <v>0</v>
      </c>
      <c r="K27" s="81"/>
      <c r="L27" s="144">
        <f t="shared" si="25"/>
        <v>0</v>
      </c>
      <c r="M27" s="81"/>
      <c r="N27" s="81"/>
      <c r="O27" s="81"/>
      <c r="P27" s="144">
        <f t="shared" si="26"/>
        <v>0</v>
      </c>
      <c r="Q27" s="144">
        <f t="shared" si="26"/>
        <v>0</v>
      </c>
      <c r="R27" s="144">
        <f t="shared" ref="R27:R28" si="32">P27+Q27</f>
        <v>0</v>
      </c>
      <c r="S27" s="65"/>
      <c r="T27" s="65"/>
      <c r="U27" s="144">
        <f t="shared" ref="U27:V28" si="33">P27+S27</f>
        <v>0</v>
      </c>
      <c r="V27" s="144">
        <f t="shared" si="33"/>
        <v>0</v>
      </c>
      <c r="W27" s="144">
        <f t="shared" ref="W27:W28" si="34">U27+V27</f>
        <v>0</v>
      </c>
      <c r="X27" s="81"/>
      <c r="Y27" s="144">
        <f t="shared" si="27"/>
        <v>0</v>
      </c>
      <c r="Z27" s="81"/>
      <c r="AA27" s="242"/>
      <c r="AB27" s="242"/>
    </row>
    <row r="28" spans="1:28" s="76" customFormat="1" ht="19.95" customHeight="1">
      <c r="A28" s="247"/>
      <c r="B28" s="241"/>
      <c r="C28" s="81"/>
      <c r="D28" s="81"/>
      <c r="E28" s="144">
        <f t="shared" si="28"/>
        <v>0</v>
      </c>
      <c r="F28" s="65"/>
      <c r="G28" s="65"/>
      <c r="H28" s="144">
        <f t="shared" si="29"/>
        <v>0</v>
      </c>
      <c r="I28" s="144">
        <f t="shared" si="30"/>
        <v>0</v>
      </c>
      <c r="J28" s="144">
        <f t="shared" si="31"/>
        <v>0</v>
      </c>
      <c r="K28" s="81"/>
      <c r="L28" s="144">
        <f t="shared" si="25"/>
        <v>0</v>
      </c>
      <c r="M28" s="81"/>
      <c r="N28" s="81"/>
      <c r="O28" s="81"/>
      <c r="P28" s="144">
        <f t="shared" si="26"/>
        <v>0</v>
      </c>
      <c r="Q28" s="144">
        <f t="shared" si="26"/>
        <v>0</v>
      </c>
      <c r="R28" s="144">
        <f t="shared" si="32"/>
        <v>0</v>
      </c>
      <c r="S28" s="65"/>
      <c r="T28" s="65"/>
      <c r="U28" s="144">
        <f t="shared" si="33"/>
        <v>0</v>
      </c>
      <c r="V28" s="144">
        <f t="shared" si="33"/>
        <v>0</v>
      </c>
      <c r="W28" s="144">
        <f t="shared" si="34"/>
        <v>0</v>
      </c>
      <c r="X28" s="81"/>
      <c r="Y28" s="144">
        <f t="shared" si="27"/>
        <v>0</v>
      </c>
      <c r="Z28" s="81"/>
      <c r="AA28" s="242"/>
      <c r="AB28" s="242"/>
    </row>
    <row r="29" spans="1:28" s="78" customFormat="1" ht="19.95" customHeight="1">
      <c r="A29" s="146" t="s">
        <v>129</v>
      </c>
      <c r="B29" s="145"/>
      <c r="C29" s="144">
        <f t="shared" ref="C29:Y29" si="35">SUM(C26:C28)</f>
        <v>0</v>
      </c>
      <c r="D29" s="144">
        <f t="shared" si="35"/>
        <v>0</v>
      </c>
      <c r="E29" s="144">
        <f t="shared" si="35"/>
        <v>0</v>
      </c>
      <c r="F29" s="144">
        <f t="shared" ref="F29:L29" si="36">SUM(F26:F28)</f>
        <v>0</v>
      </c>
      <c r="G29" s="144">
        <f t="shared" si="36"/>
        <v>0</v>
      </c>
      <c r="H29" s="144">
        <f t="shared" si="36"/>
        <v>0</v>
      </c>
      <c r="I29" s="144">
        <f t="shared" si="36"/>
        <v>0</v>
      </c>
      <c r="J29" s="144">
        <f t="shared" si="36"/>
        <v>0</v>
      </c>
      <c r="K29" s="144">
        <f t="shared" si="36"/>
        <v>0</v>
      </c>
      <c r="L29" s="144">
        <f t="shared" si="36"/>
        <v>0</v>
      </c>
      <c r="M29" s="144">
        <f t="shared" si="35"/>
        <v>0</v>
      </c>
      <c r="N29" s="144">
        <f t="shared" si="35"/>
        <v>0</v>
      </c>
      <c r="O29" s="144">
        <f t="shared" si="35"/>
        <v>0</v>
      </c>
      <c r="P29" s="144">
        <f t="shared" si="35"/>
        <v>0</v>
      </c>
      <c r="Q29" s="144">
        <f t="shared" si="35"/>
        <v>0</v>
      </c>
      <c r="R29" s="144">
        <f t="shared" si="35"/>
        <v>0</v>
      </c>
      <c r="S29" s="144">
        <f t="shared" si="35"/>
        <v>0</v>
      </c>
      <c r="T29" s="144">
        <f t="shared" si="35"/>
        <v>0</v>
      </c>
      <c r="U29" s="144">
        <f t="shared" si="35"/>
        <v>0</v>
      </c>
      <c r="V29" s="144">
        <f t="shared" si="35"/>
        <v>0</v>
      </c>
      <c r="W29" s="144">
        <f t="shared" si="35"/>
        <v>0</v>
      </c>
      <c r="X29" s="144">
        <f t="shared" si="35"/>
        <v>0</v>
      </c>
      <c r="Y29" s="144">
        <f t="shared" si="35"/>
        <v>0</v>
      </c>
      <c r="Z29" s="144">
        <f t="shared" ref="Z29" si="37">SUM(Z26:Z28)</f>
        <v>0</v>
      </c>
      <c r="AA29" s="243"/>
      <c r="AB29" s="243"/>
    </row>
    <row r="30" spans="1:28" s="78" customFormat="1" ht="19.95" customHeight="1">
      <c r="A30" s="146" t="s">
        <v>132</v>
      </c>
      <c r="B30" s="145"/>
      <c r="C30" s="148">
        <f>SUM(C17,C24,C29)</f>
        <v>0</v>
      </c>
      <c r="D30" s="148">
        <f t="shared" ref="D30:W30" si="38">SUM(D17,D24,D29)</f>
        <v>0</v>
      </c>
      <c r="E30" s="148">
        <f t="shared" si="38"/>
        <v>0</v>
      </c>
      <c r="F30" s="148">
        <f t="shared" ref="F30:J30" si="39">SUM(F17,F24,F29)</f>
        <v>0</v>
      </c>
      <c r="G30" s="148">
        <f t="shared" si="39"/>
        <v>0</v>
      </c>
      <c r="H30" s="148">
        <f t="shared" si="39"/>
        <v>0</v>
      </c>
      <c r="I30" s="148">
        <f t="shared" si="39"/>
        <v>0</v>
      </c>
      <c r="J30" s="148">
        <f t="shared" si="39"/>
        <v>0</v>
      </c>
      <c r="K30" s="148">
        <f>SUM(K17,K24,K29)</f>
        <v>0</v>
      </c>
      <c r="L30" s="148">
        <f t="shared" ref="L30" si="40">SUM(L17,L24,L29)</f>
        <v>0</v>
      </c>
      <c r="M30" s="148">
        <f t="shared" si="38"/>
        <v>0</v>
      </c>
      <c r="N30" s="148">
        <f t="shared" si="38"/>
        <v>0</v>
      </c>
      <c r="O30" s="148">
        <f t="shared" si="38"/>
        <v>0</v>
      </c>
      <c r="P30" s="148">
        <f t="shared" si="38"/>
        <v>0</v>
      </c>
      <c r="Q30" s="148">
        <f t="shared" si="38"/>
        <v>0</v>
      </c>
      <c r="R30" s="148">
        <f t="shared" si="38"/>
        <v>0</v>
      </c>
      <c r="S30" s="148">
        <f t="shared" si="38"/>
        <v>0</v>
      </c>
      <c r="T30" s="148">
        <f t="shared" si="38"/>
        <v>0</v>
      </c>
      <c r="U30" s="148">
        <f t="shared" si="38"/>
        <v>0</v>
      </c>
      <c r="V30" s="148">
        <f t="shared" si="38"/>
        <v>0</v>
      </c>
      <c r="W30" s="148">
        <f t="shared" si="38"/>
        <v>0</v>
      </c>
      <c r="X30" s="148">
        <f>SUM(X17,X24,X29)</f>
        <v>0</v>
      </c>
      <c r="Y30" s="148">
        <f t="shared" ref="Y30:Z30" si="41">SUM(Y17,Y24,Y29)</f>
        <v>0</v>
      </c>
      <c r="Z30" s="148">
        <f t="shared" si="41"/>
        <v>0</v>
      </c>
      <c r="AA30" s="245"/>
      <c r="AB30" s="245"/>
    </row>
    <row r="31" spans="1:28" s="10" customFormat="1" ht="19.95" customHeight="1">
      <c r="A31" s="23" t="s">
        <v>133</v>
      </c>
      <c r="B31" s="23"/>
      <c r="R31" s="23"/>
      <c r="W31" s="23"/>
    </row>
    <row r="32" spans="1:28" s="10" customFormat="1" ht="19.95" customHeight="1">
      <c r="A32" s="23"/>
      <c r="B32" s="23"/>
      <c r="R32" s="23"/>
      <c r="W32" s="23"/>
    </row>
    <row r="33" spans="1:23" s="10" customFormat="1" ht="19.95" customHeight="1">
      <c r="A33" s="23" t="s">
        <v>134</v>
      </c>
      <c r="B33" s="23"/>
      <c r="R33" s="23"/>
      <c r="W33" s="23"/>
    </row>
    <row r="34" spans="1:23" s="10" customFormat="1" ht="19.95" customHeight="1">
      <c r="B34" s="27"/>
      <c r="D34" s="184"/>
    </row>
    <row r="35" spans="1:23" ht="20.25" customHeight="1">
      <c r="A35" s="50"/>
      <c r="B35" s="52"/>
      <c r="E35" s="54"/>
      <c r="F35" s="54"/>
      <c r="G35" s="54"/>
      <c r="H35" s="54"/>
      <c r="I35" s="54"/>
      <c r="J35" s="54"/>
      <c r="K35" s="54"/>
      <c r="L35" s="54"/>
      <c r="N35" s="48"/>
      <c r="O35" s="48"/>
      <c r="P35" s="47"/>
      <c r="Q35" s="48"/>
      <c r="S35" s="47"/>
      <c r="T35" s="48"/>
      <c r="U35" s="47"/>
      <c r="V35" s="48"/>
    </row>
    <row r="36" spans="1:23" ht="18" customHeight="1">
      <c r="A36" s="83" t="s">
        <v>135</v>
      </c>
    </row>
    <row r="37" spans="1:23" ht="18" customHeight="1">
      <c r="A37" s="49" t="s">
        <v>138</v>
      </c>
    </row>
    <row r="38" spans="1:23" ht="17.25" customHeight="1">
      <c r="A38" s="49" t="s">
        <v>424</v>
      </c>
    </row>
    <row r="39" spans="1:23" ht="17.25" customHeight="1">
      <c r="A39" s="185" t="s">
        <v>286</v>
      </c>
    </row>
    <row r="40" spans="1:23" ht="17.25" customHeight="1">
      <c r="A40" s="185" t="s">
        <v>287</v>
      </c>
    </row>
    <row r="41" spans="1:23" ht="17.25" customHeight="1">
      <c r="A41" s="185" t="s">
        <v>288</v>
      </c>
    </row>
    <row r="42" spans="1:23" ht="17.25" customHeight="1">
      <c r="A42" s="185" t="s">
        <v>289</v>
      </c>
    </row>
    <row r="43" spans="1:23" ht="17.25" customHeight="1">
      <c r="A43" s="185" t="s">
        <v>290</v>
      </c>
    </row>
    <row r="44" spans="1:23" ht="17.25" customHeight="1">
      <c r="A44" s="328" t="s">
        <v>423</v>
      </c>
    </row>
    <row r="45" spans="1:23" ht="17.25" customHeight="1">
      <c r="A45" s="329" t="s">
        <v>420</v>
      </c>
    </row>
    <row r="46" spans="1:23" ht="18" customHeight="1">
      <c r="A46" s="28" t="s">
        <v>421</v>
      </c>
    </row>
    <row r="47" spans="1:23" ht="18" customHeight="1">
      <c r="A47" s="12" t="s">
        <v>422</v>
      </c>
    </row>
  </sheetData>
  <mergeCells count="20">
    <mergeCell ref="A1:L1"/>
    <mergeCell ref="M1:AB1"/>
    <mergeCell ref="H9:J9"/>
    <mergeCell ref="K9:K10"/>
    <mergeCell ref="L9:L10"/>
    <mergeCell ref="Y9:Y10"/>
    <mergeCell ref="AA9:AA10"/>
    <mergeCell ref="AB9:AB10"/>
    <mergeCell ref="A9:A10"/>
    <mergeCell ref="B9:B10"/>
    <mergeCell ref="C9:E9"/>
    <mergeCell ref="M9:O9"/>
    <mergeCell ref="P9:R9"/>
    <mergeCell ref="S9:T9"/>
    <mergeCell ref="U9:W9"/>
    <mergeCell ref="X9:X10"/>
    <mergeCell ref="M2:AB2"/>
    <mergeCell ref="A2:L2"/>
    <mergeCell ref="Z9:Z10"/>
    <mergeCell ref="F9:G9"/>
  </mergeCells>
  <phoneticPr fontId="15" type="noConversion"/>
  <hyperlinks>
    <hyperlink ref="AB3" location="底稿目录!F8" display="底稿目录!F8"/>
    <hyperlink ref="L3" location="底稿目录!F8" display="底稿目录!F8"/>
  </hyperlinks>
  <printOptions horizontalCentered="1"/>
  <pageMargins left="0.70866141732283472" right="0.70866141732283472" top="0.74803149606299213" bottom="0.74803149606299213" header="0.31496062992125984" footer="0.31496062992125984"/>
  <pageSetup paperSize="9" scale="75" fitToWidth="0" fitToHeight="0" orientation="landscape" blackAndWhite="1" r:id="rId1"/>
  <headerFooter>
    <oddFooter>&amp;C&amp;P/&amp;N</oddFooter>
  </headerFooter>
  <colBreaks count="1" manualBreakCount="1">
    <brk id="12" max="31"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4"/>
  <sheetViews>
    <sheetView view="pageBreakPreview" zoomScaleNormal="100" zoomScaleSheetLayoutView="100" workbookViewId="0">
      <selection sqref="A1:J1"/>
    </sheetView>
  </sheetViews>
  <sheetFormatPr defaultColWidth="8.88671875" defaultRowHeight="15.6"/>
  <cols>
    <col min="1" max="1" width="23" style="102" customWidth="1"/>
    <col min="2" max="2" width="18.6640625" style="102" customWidth="1"/>
    <col min="3" max="3" width="15.44140625" style="171" customWidth="1"/>
    <col min="4" max="4" width="14.77734375" style="102" customWidth="1"/>
    <col min="5" max="5" width="12.5546875" style="102" customWidth="1"/>
    <col min="6" max="6" width="10.109375" style="102" customWidth="1"/>
    <col min="7" max="7" width="11.109375" style="102" customWidth="1"/>
    <col min="8" max="8" width="10.77734375" style="102" customWidth="1"/>
    <col min="9" max="9" width="10.109375" style="102" customWidth="1"/>
    <col min="10" max="10" width="13.21875" style="102" customWidth="1"/>
    <col min="11" max="16384" width="8.88671875" style="102"/>
  </cols>
  <sheetData>
    <row r="1" spans="1:10" s="172" customFormat="1" ht="19.95" customHeight="1">
      <c r="A1" s="348" t="s">
        <v>152</v>
      </c>
      <c r="B1" s="348"/>
      <c r="C1" s="348"/>
      <c r="D1" s="348"/>
      <c r="E1" s="348"/>
      <c r="F1" s="348"/>
      <c r="G1" s="348"/>
      <c r="H1" s="348"/>
      <c r="I1" s="348"/>
      <c r="J1" s="348"/>
    </row>
    <row r="2" spans="1:10" s="181" customFormat="1" ht="19.95" customHeight="1">
      <c r="A2" s="349" t="s">
        <v>193</v>
      </c>
      <c r="B2" s="349"/>
      <c r="C2" s="349"/>
      <c r="D2" s="349"/>
      <c r="E2" s="349"/>
      <c r="F2" s="349"/>
      <c r="G2" s="349"/>
      <c r="H2" s="349"/>
      <c r="I2" s="349"/>
      <c r="J2" s="349"/>
    </row>
    <row r="3" spans="1:10" s="248" customFormat="1" ht="19.95" customHeight="1">
      <c r="A3" s="224" t="str">
        <f>底稿目录!A2</f>
        <v>被审计单位：</v>
      </c>
      <c r="B3" s="224"/>
      <c r="C3" s="224"/>
      <c r="D3" s="224" t="str">
        <f>底稿目录!A4</f>
        <v>编制人：</v>
      </c>
      <c r="E3" s="224"/>
      <c r="F3" s="224"/>
      <c r="G3" s="224" t="str">
        <f>底稿目录!A5</f>
        <v>编制日期：</v>
      </c>
      <c r="H3" s="224"/>
      <c r="I3" s="224" t="s">
        <v>216</v>
      </c>
      <c r="J3" s="288" t="str">
        <f>底稿目录!F9</f>
        <v>G9-3</v>
      </c>
    </row>
    <row r="4" spans="1:10" s="248" customFormat="1" ht="19.95" customHeight="1">
      <c r="A4" s="224" t="str">
        <f>底稿目录!A3</f>
        <v>截止日：202X年12月31日</v>
      </c>
      <c r="B4" s="224"/>
      <c r="C4" s="224"/>
      <c r="D4" s="224" t="str">
        <f>底稿目录!A6</f>
        <v>复核人：</v>
      </c>
      <c r="E4" s="224"/>
      <c r="F4" s="224"/>
      <c r="G4" s="224" t="str">
        <f>底稿目录!A7</f>
        <v>复核日期：</v>
      </c>
      <c r="H4" s="224"/>
      <c r="I4" s="224" t="s">
        <v>335</v>
      </c>
    </row>
    <row r="5" spans="1:10" ht="25.8" customHeight="1">
      <c r="A5" s="103" t="s">
        <v>183</v>
      </c>
      <c r="B5" s="287" t="s">
        <v>184</v>
      </c>
      <c r="C5" s="169" t="s">
        <v>271</v>
      </c>
      <c r="D5" s="104" t="s">
        <v>185</v>
      </c>
      <c r="E5" s="104" t="s">
        <v>186</v>
      </c>
      <c r="F5" s="105" t="s">
        <v>187</v>
      </c>
      <c r="G5" s="104" t="s">
        <v>188</v>
      </c>
      <c r="H5" s="104" t="s">
        <v>189</v>
      </c>
      <c r="I5" s="104" t="s">
        <v>190</v>
      </c>
      <c r="J5" s="104" t="s">
        <v>191</v>
      </c>
    </row>
    <row r="6" spans="1:10" ht="19.95" customHeight="1">
      <c r="A6" s="106"/>
      <c r="B6" s="106"/>
      <c r="C6" s="170"/>
      <c r="D6" s="106"/>
      <c r="E6" s="106"/>
      <c r="F6" s="106"/>
      <c r="G6" s="106"/>
      <c r="H6" s="106"/>
      <c r="I6" s="106"/>
      <c r="J6" s="106"/>
    </row>
    <row r="7" spans="1:10" ht="19.95" customHeight="1">
      <c r="A7" s="107"/>
      <c r="B7" s="106"/>
      <c r="C7" s="170"/>
      <c r="D7" s="106"/>
      <c r="E7" s="106"/>
      <c r="F7" s="106"/>
      <c r="G7" s="106"/>
      <c r="H7" s="106"/>
      <c r="I7" s="106"/>
      <c r="J7" s="106"/>
    </row>
    <row r="8" spans="1:10" ht="19.95" customHeight="1">
      <c r="A8" s="108"/>
      <c r="B8" s="106"/>
      <c r="C8" s="170"/>
      <c r="D8" s="106"/>
      <c r="E8" s="106"/>
      <c r="F8" s="106"/>
      <c r="G8" s="106"/>
      <c r="H8" s="106"/>
      <c r="I8" s="106"/>
      <c r="J8" s="106"/>
    </row>
    <row r="9" spans="1:10" ht="19.95" customHeight="1">
      <c r="A9" s="108"/>
      <c r="B9" s="106"/>
      <c r="C9" s="170"/>
      <c r="D9" s="106"/>
      <c r="E9" s="106"/>
      <c r="F9" s="106"/>
      <c r="G9" s="106"/>
      <c r="H9" s="106"/>
      <c r="I9" s="106"/>
      <c r="J9" s="106"/>
    </row>
    <row r="10" spans="1:10" ht="19.95" customHeight="1">
      <c r="A10" s="108"/>
      <c r="B10" s="106"/>
      <c r="C10" s="170"/>
      <c r="D10" s="106"/>
      <c r="E10" s="106"/>
      <c r="F10" s="106"/>
      <c r="G10" s="106"/>
      <c r="H10" s="106"/>
      <c r="I10" s="106"/>
      <c r="J10" s="106"/>
    </row>
    <row r="11" spans="1:10" ht="19.95" customHeight="1">
      <c r="A11" s="109"/>
      <c r="B11" s="106"/>
      <c r="C11" s="170"/>
      <c r="D11" s="106"/>
      <c r="E11" s="106"/>
      <c r="F11" s="106"/>
      <c r="G11" s="106"/>
      <c r="H11" s="106"/>
      <c r="I11" s="106"/>
      <c r="J11" s="106"/>
    </row>
    <row r="12" spans="1:10" ht="19.95" customHeight="1">
      <c r="A12" s="108"/>
      <c r="B12" s="106"/>
      <c r="C12" s="170"/>
      <c r="D12" s="106"/>
      <c r="E12" s="106"/>
      <c r="F12" s="106"/>
      <c r="G12" s="106"/>
      <c r="H12" s="106"/>
      <c r="I12" s="106"/>
      <c r="J12" s="106"/>
    </row>
    <row r="13" spans="1:10" ht="19.95" customHeight="1">
      <c r="A13" s="108"/>
      <c r="B13" s="106"/>
      <c r="C13" s="170"/>
      <c r="D13" s="106"/>
      <c r="E13" s="106"/>
      <c r="F13" s="106"/>
      <c r="G13" s="106"/>
      <c r="H13" s="106"/>
      <c r="I13" s="106"/>
      <c r="J13" s="106"/>
    </row>
    <row r="14" spans="1:10" ht="19.95" customHeight="1">
      <c r="A14" s="108"/>
      <c r="B14" s="106"/>
      <c r="C14" s="170"/>
      <c r="D14" s="106"/>
      <c r="E14" s="106"/>
      <c r="F14" s="106"/>
      <c r="G14" s="106"/>
      <c r="H14" s="106"/>
      <c r="I14" s="106"/>
      <c r="J14" s="106"/>
    </row>
    <row r="15" spans="1:10" ht="19.95" customHeight="1">
      <c r="A15" s="108"/>
      <c r="B15" s="106"/>
      <c r="C15" s="170"/>
      <c r="D15" s="106"/>
      <c r="E15" s="106"/>
      <c r="F15" s="106"/>
      <c r="G15" s="106"/>
      <c r="H15" s="106"/>
      <c r="I15" s="106"/>
      <c r="J15" s="106"/>
    </row>
    <row r="16" spans="1:10" ht="19.95" customHeight="1">
      <c r="A16" s="108"/>
      <c r="B16" s="106"/>
      <c r="C16" s="170"/>
      <c r="D16" s="106"/>
      <c r="E16" s="106"/>
      <c r="F16" s="106"/>
      <c r="G16" s="106"/>
      <c r="H16" s="106"/>
      <c r="I16" s="106"/>
      <c r="J16" s="106"/>
    </row>
    <row r="17" spans="1:10" ht="19.95" customHeight="1">
      <c r="A17" s="108"/>
      <c r="B17" s="106"/>
      <c r="C17" s="170"/>
      <c r="D17" s="106"/>
      <c r="E17" s="106"/>
      <c r="F17" s="106"/>
      <c r="G17" s="106"/>
      <c r="H17" s="106"/>
      <c r="I17" s="106"/>
      <c r="J17" s="106"/>
    </row>
    <row r="18" spans="1:10" ht="19.95" customHeight="1">
      <c r="A18" s="108"/>
      <c r="B18" s="106"/>
      <c r="C18" s="170"/>
      <c r="D18" s="106"/>
      <c r="E18" s="106"/>
      <c r="F18" s="106"/>
      <c r="G18" s="106"/>
      <c r="H18" s="106"/>
      <c r="I18" s="106"/>
      <c r="J18" s="106"/>
    </row>
    <row r="19" spans="1:10" ht="19.95" customHeight="1">
      <c r="A19" s="108"/>
      <c r="B19" s="106"/>
      <c r="C19" s="170"/>
      <c r="D19" s="106"/>
      <c r="E19" s="106"/>
      <c r="F19" s="106"/>
      <c r="G19" s="106"/>
      <c r="H19" s="106"/>
      <c r="I19" s="106"/>
      <c r="J19" s="106"/>
    </row>
    <row r="20" spans="1:10" ht="19.95" customHeight="1">
      <c r="A20" s="108"/>
      <c r="B20" s="106"/>
      <c r="C20" s="170"/>
      <c r="D20" s="106"/>
      <c r="E20" s="106"/>
      <c r="F20" s="106"/>
      <c r="G20" s="106"/>
      <c r="H20" s="106"/>
      <c r="I20" s="106"/>
      <c r="J20" s="106"/>
    </row>
    <row r="21" spans="1:10" ht="19.95" customHeight="1">
      <c r="A21" s="110"/>
      <c r="B21" s="110"/>
      <c r="C21" s="110"/>
      <c r="D21" s="111"/>
      <c r="E21" s="111"/>
      <c r="F21" s="111"/>
      <c r="G21" s="112"/>
      <c r="H21" s="112"/>
      <c r="I21" s="111"/>
      <c r="J21" s="73"/>
    </row>
    <row r="22" spans="1:10" ht="19.95" customHeight="1">
      <c r="A22" s="68"/>
      <c r="B22" s="68"/>
      <c r="C22" s="68"/>
      <c r="D22" s="68"/>
      <c r="E22" s="113"/>
      <c r="F22" s="72"/>
      <c r="G22" s="114"/>
      <c r="H22" s="114"/>
      <c r="I22" s="114"/>
      <c r="J22" s="114"/>
    </row>
    <row r="23" spans="1:10" ht="19.95" customHeight="1"/>
    <row r="24" spans="1:10" ht="28.5" customHeight="1">
      <c r="A24" s="371" t="s">
        <v>192</v>
      </c>
      <c r="B24" s="372"/>
      <c r="C24" s="372"/>
      <c r="D24" s="372"/>
      <c r="E24" s="372"/>
      <c r="F24" s="372"/>
      <c r="G24" s="372"/>
      <c r="H24" s="372"/>
      <c r="I24" s="372"/>
      <c r="J24" s="372"/>
    </row>
  </sheetData>
  <mergeCells count="3">
    <mergeCell ref="A1:J1"/>
    <mergeCell ref="A2:J2"/>
    <mergeCell ref="A24:J24"/>
  </mergeCells>
  <phoneticPr fontId="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U38"/>
  <sheetViews>
    <sheetView view="pageBreakPreview" zoomScaleNormal="115" zoomScaleSheetLayoutView="100" workbookViewId="0">
      <selection sqref="A1:R1"/>
    </sheetView>
  </sheetViews>
  <sheetFormatPr defaultColWidth="9" defaultRowHeight="13.8"/>
  <cols>
    <col min="1" max="1" width="14.77734375" style="10" customWidth="1"/>
    <col min="2" max="2" width="8.109375" style="10" customWidth="1"/>
    <col min="3" max="3" width="9.33203125" style="10" customWidth="1"/>
    <col min="4" max="4" width="15.109375" style="10" customWidth="1"/>
    <col min="5" max="5" width="9.33203125" style="10" customWidth="1"/>
    <col min="6" max="6" width="7.21875" style="10" customWidth="1"/>
    <col min="7" max="7" width="11.88671875" style="10" customWidth="1"/>
    <col min="8" max="8" width="8.88671875" style="10" customWidth="1"/>
    <col min="9" max="9" width="9.5546875" style="10" customWidth="1"/>
    <col min="10" max="10" width="9.109375" style="10" customWidth="1"/>
    <col min="11" max="11" width="8.21875" style="10" customWidth="1"/>
    <col min="12" max="12" width="10.77734375" style="10" customWidth="1"/>
    <col min="13" max="13" width="7.88671875" style="10" customWidth="1"/>
    <col min="14" max="14" width="11.5546875" style="10" customWidth="1"/>
    <col min="15" max="15" width="8.77734375" style="10" customWidth="1"/>
    <col min="16" max="16" width="11.109375" style="10" customWidth="1"/>
    <col min="17" max="17" width="7.21875" style="10" customWidth="1"/>
    <col min="18" max="18" width="8.44140625" style="10" customWidth="1"/>
    <col min="19" max="19" width="14.21875" style="10" customWidth="1"/>
    <col min="20" max="20" width="8.21875" style="10" customWidth="1"/>
    <col min="21" max="21" width="9.21875" style="10" customWidth="1"/>
    <col min="22" max="16384" width="9" style="10"/>
  </cols>
  <sheetData>
    <row r="1" spans="1:21" s="175" customFormat="1" ht="19.95" customHeight="1">
      <c r="A1" s="368" t="s">
        <v>21</v>
      </c>
      <c r="B1" s="368"/>
      <c r="C1" s="368"/>
      <c r="D1" s="368"/>
      <c r="E1" s="368"/>
      <c r="F1" s="368"/>
      <c r="G1" s="368"/>
      <c r="H1" s="368"/>
      <c r="I1" s="368"/>
      <c r="J1" s="368"/>
      <c r="K1" s="368"/>
      <c r="L1" s="368"/>
      <c r="M1" s="368"/>
      <c r="N1" s="368"/>
      <c r="O1" s="368"/>
      <c r="P1" s="368"/>
      <c r="Q1" s="368"/>
      <c r="R1" s="368"/>
      <c r="S1" s="316"/>
      <c r="T1" s="316"/>
      <c r="U1" s="316"/>
    </row>
    <row r="2" spans="1:21" s="179" customFormat="1" ht="19.95" customHeight="1">
      <c r="A2" s="366" t="s">
        <v>282</v>
      </c>
      <c r="B2" s="366"/>
      <c r="C2" s="366"/>
      <c r="D2" s="366"/>
      <c r="E2" s="366"/>
      <c r="F2" s="366"/>
      <c r="G2" s="366"/>
      <c r="H2" s="366"/>
      <c r="I2" s="366"/>
      <c r="J2" s="366"/>
      <c r="K2" s="366"/>
      <c r="L2" s="366"/>
      <c r="M2" s="366"/>
      <c r="N2" s="366"/>
      <c r="O2" s="366"/>
      <c r="P2" s="366"/>
      <c r="Q2" s="366"/>
      <c r="R2" s="366"/>
      <c r="S2" s="317"/>
      <c r="T2" s="317"/>
      <c r="U2" s="317"/>
    </row>
    <row r="3" spans="1:21" s="213" customFormat="1" ht="19.95" customHeight="1">
      <c r="A3" s="213" t="str">
        <f>底稿目录!A2</f>
        <v>被审计单位：</v>
      </c>
      <c r="J3" s="214" t="str">
        <f>底稿目录!A4</f>
        <v>编制人：</v>
      </c>
      <c r="K3" s="214"/>
      <c r="N3" s="213" t="str">
        <f>底稿目录!A5</f>
        <v>编制日期：</v>
      </c>
      <c r="O3" s="214"/>
      <c r="P3" s="214"/>
      <c r="Q3" s="213" t="s">
        <v>0</v>
      </c>
      <c r="R3" s="288" t="str">
        <f>底稿目录!F10</f>
        <v>G9-4</v>
      </c>
      <c r="U3" s="222"/>
    </row>
    <row r="4" spans="1:21" s="213" customFormat="1" ht="19.95" customHeight="1">
      <c r="A4" s="215" t="str">
        <f>底稿目录!A3</f>
        <v>截止日：202X年12月31日</v>
      </c>
      <c r="B4" s="215"/>
      <c r="C4" s="215"/>
      <c r="D4" s="215"/>
      <c r="E4" s="215"/>
      <c r="J4" s="214" t="str">
        <f>底稿目录!A6</f>
        <v>复核人：</v>
      </c>
      <c r="K4" s="214"/>
      <c r="N4" s="213" t="str">
        <f>底稿目录!A7</f>
        <v>复核日期：</v>
      </c>
      <c r="O4" s="214"/>
      <c r="P4" s="214"/>
      <c r="Q4" s="213" t="s">
        <v>331</v>
      </c>
      <c r="R4" s="222"/>
      <c r="U4" s="222"/>
    </row>
    <row r="5" spans="1:21" ht="19.95" customHeight="1">
      <c r="A5" s="7" t="s">
        <v>22</v>
      </c>
      <c r="B5" s="6" t="s">
        <v>83</v>
      </c>
      <c r="C5" s="7"/>
      <c r="D5" s="7"/>
      <c r="E5" s="7"/>
      <c r="F5" s="1"/>
      <c r="G5" s="1"/>
      <c r="H5" s="1"/>
      <c r="I5" s="1"/>
      <c r="J5" s="1"/>
      <c r="K5" s="22"/>
      <c r="L5" s="22"/>
      <c r="N5" s="22"/>
    </row>
    <row r="6" spans="1:21" ht="19.95" customHeight="1">
      <c r="A6" s="7" t="s">
        <v>256</v>
      </c>
      <c r="B6" s="25"/>
      <c r="D6" s="25"/>
      <c r="K6" s="25"/>
    </row>
    <row r="7" spans="1:21" s="76" customFormat="1" ht="24">
      <c r="A7" s="377" t="s">
        <v>291</v>
      </c>
      <c r="B7" s="379" t="s">
        <v>292</v>
      </c>
      <c r="C7" s="380"/>
      <c r="D7" s="380"/>
      <c r="E7" s="381"/>
      <c r="F7" s="379" t="s">
        <v>293</v>
      </c>
      <c r="G7" s="382"/>
      <c r="H7" s="382"/>
      <c r="I7" s="382"/>
      <c r="J7" s="373" t="s">
        <v>294</v>
      </c>
      <c r="K7" s="373" t="s">
        <v>295</v>
      </c>
      <c r="L7" s="373" t="s">
        <v>296</v>
      </c>
      <c r="M7" s="289" t="s">
        <v>297</v>
      </c>
      <c r="N7" s="289" t="s">
        <v>298</v>
      </c>
      <c r="O7" s="375" t="s">
        <v>299</v>
      </c>
      <c r="P7" s="376"/>
      <c r="Q7" s="376"/>
      <c r="R7" s="364" t="s">
        <v>300</v>
      </c>
    </row>
    <row r="8" spans="1:21" s="76" customFormat="1" ht="36">
      <c r="A8" s="378"/>
      <c r="B8" s="289" t="s">
        <v>301</v>
      </c>
      <c r="C8" s="289" t="s">
        <v>302</v>
      </c>
      <c r="D8" s="289" t="s">
        <v>303</v>
      </c>
      <c r="E8" s="289" t="s">
        <v>304</v>
      </c>
      <c r="F8" s="289" t="s">
        <v>301</v>
      </c>
      <c r="G8" s="289" t="s">
        <v>302</v>
      </c>
      <c r="H8" s="289" t="s">
        <v>305</v>
      </c>
      <c r="I8" s="290" t="s">
        <v>306</v>
      </c>
      <c r="J8" s="374"/>
      <c r="K8" s="374"/>
      <c r="L8" s="374"/>
      <c r="M8" s="291" t="s">
        <v>307</v>
      </c>
      <c r="N8" s="291" t="s">
        <v>308</v>
      </c>
      <c r="O8" s="89" t="s">
        <v>309</v>
      </c>
      <c r="P8" s="89" t="s">
        <v>310</v>
      </c>
      <c r="Q8" s="101" t="s">
        <v>311</v>
      </c>
      <c r="R8" s="367"/>
    </row>
    <row r="9" spans="1:21" s="76" customFormat="1" ht="108">
      <c r="A9" s="249"/>
      <c r="B9" s="21"/>
      <c r="C9" s="21"/>
      <c r="D9" s="136">
        <f>B9*C9</f>
        <v>0</v>
      </c>
      <c r="E9" s="250" t="s">
        <v>312</v>
      </c>
      <c r="F9" s="65"/>
      <c r="G9" s="65"/>
      <c r="H9" s="136">
        <f>F9*G9</f>
        <v>0</v>
      </c>
      <c r="I9" s="250" t="s">
        <v>298</v>
      </c>
      <c r="J9" s="136">
        <f>H9-D9</f>
        <v>0</v>
      </c>
      <c r="K9" s="252"/>
      <c r="L9" s="253"/>
      <c r="M9" s="250"/>
      <c r="N9" s="254" t="s">
        <v>313</v>
      </c>
      <c r="O9" s="255"/>
      <c r="P9" s="256"/>
      <c r="Q9" s="186"/>
      <c r="R9" s="257"/>
    </row>
    <row r="10" spans="1:21" s="76" customFormat="1" ht="46.5" customHeight="1">
      <c r="A10" s="249"/>
      <c r="B10" s="21"/>
      <c r="C10" s="21"/>
      <c r="D10" s="136">
        <f>B10*C10</f>
        <v>0</v>
      </c>
      <c r="E10" s="251"/>
      <c r="F10" s="65"/>
      <c r="G10" s="65"/>
      <c r="H10" s="136">
        <f t="shared" ref="H10:H18" si="0">F10*G10</f>
        <v>0</v>
      </c>
      <c r="I10" s="250" t="s">
        <v>314</v>
      </c>
      <c r="J10" s="136">
        <f t="shared" ref="J10:J18" si="1">H10-D10</f>
        <v>0</v>
      </c>
      <c r="K10" s="252"/>
      <c r="L10" s="253"/>
      <c r="M10" s="250"/>
      <c r="N10" s="255"/>
      <c r="O10" s="255" t="s">
        <v>315</v>
      </c>
      <c r="P10" s="255" t="s">
        <v>316</v>
      </c>
      <c r="Q10" s="186" t="s">
        <v>317</v>
      </c>
      <c r="R10" s="257"/>
    </row>
    <row r="11" spans="1:21" s="76" customFormat="1" ht="19.95" customHeight="1">
      <c r="A11" s="249">
        <v>0</v>
      </c>
      <c r="B11" s="21"/>
      <c r="C11" s="21"/>
      <c r="D11" s="136"/>
      <c r="E11" s="251"/>
      <c r="F11" s="65"/>
      <c r="G11" s="65"/>
      <c r="H11" s="136">
        <f t="shared" si="0"/>
        <v>0</v>
      </c>
      <c r="I11" s="252"/>
      <c r="J11" s="136">
        <f t="shared" si="1"/>
        <v>0</v>
      </c>
      <c r="K11" s="252"/>
      <c r="L11" s="251"/>
      <c r="M11" s="251"/>
      <c r="N11" s="255"/>
      <c r="O11" s="255"/>
      <c r="P11" s="251"/>
      <c r="Q11" s="26"/>
      <c r="R11" s="257"/>
    </row>
    <row r="12" spans="1:21" s="76" customFormat="1" ht="19.95" customHeight="1">
      <c r="A12" s="249">
        <v>0</v>
      </c>
      <c r="B12" s="21"/>
      <c r="C12" s="21"/>
      <c r="D12" s="136"/>
      <c r="E12" s="251"/>
      <c r="F12" s="65"/>
      <c r="G12" s="65"/>
      <c r="H12" s="136">
        <f t="shared" si="0"/>
        <v>0</v>
      </c>
      <c r="I12" s="252"/>
      <c r="J12" s="136">
        <f t="shared" si="1"/>
        <v>0</v>
      </c>
      <c r="K12" s="252"/>
      <c r="L12" s="251"/>
      <c r="M12" s="251"/>
      <c r="N12" s="255"/>
      <c r="O12" s="255"/>
      <c r="P12" s="251"/>
      <c r="Q12" s="26"/>
      <c r="R12" s="257"/>
    </row>
    <row r="13" spans="1:21" s="76" customFormat="1" ht="19.95" customHeight="1">
      <c r="A13" s="249">
        <v>0</v>
      </c>
      <c r="B13" s="21"/>
      <c r="C13" s="21"/>
      <c r="D13" s="136"/>
      <c r="E13" s="251"/>
      <c r="F13" s="65"/>
      <c r="G13" s="65"/>
      <c r="H13" s="136">
        <f t="shared" si="0"/>
        <v>0</v>
      </c>
      <c r="I13" s="252"/>
      <c r="J13" s="136">
        <f t="shared" si="1"/>
        <v>0</v>
      </c>
      <c r="K13" s="252"/>
      <c r="L13" s="251"/>
      <c r="M13" s="251"/>
      <c r="N13" s="255"/>
      <c r="O13" s="255"/>
      <c r="P13" s="251"/>
      <c r="Q13" s="26"/>
      <c r="R13" s="257"/>
    </row>
    <row r="14" spans="1:21" s="76" customFormat="1" ht="19.95" customHeight="1">
      <c r="A14" s="249">
        <v>0</v>
      </c>
      <c r="B14" s="21"/>
      <c r="C14" s="21"/>
      <c r="D14" s="136"/>
      <c r="E14" s="251"/>
      <c r="F14" s="65"/>
      <c r="G14" s="65"/>
      <c r="H14" s="136">
        <f t="shared" si="0"/>
        <v>0</v>
      </c>
      <c r="I14" s="252"/>
      <c r="J14" s="136">
        <f t="shared" si="1"/>
        <v>0</v>
      </c>
      <c r="K14" s="252"/>
      <c r="L14" s="251"/>
      <c r="M14" s="251"/>
      <c r="N14" s="255"/>
      <c r="O14" s="255"/>
      <c r="P14" s="251"/>
      <c r="Q14" s="26"/>
      <c r="R14" s="257"/>
    </row>
    <row r="15" spans="1:21" s="76" customFormat="1" ht="19.95" customHeight="1">
      <c r="A15" s="249">
        <v>0</v>
      </c>
      <c r="B15" s="21"/>
      <c r="C15" s="21"/>
      <c r="D15" s="136"/>
      <c r="E15" s="251"/>
      <c r="F15" s="65"/>
      <c r="G15" s="65"/>
      <c r="H15" s="136">
        <f t="shared" si="0"/>
        <v>0</v>
      </c>
      <c r="I15" s="252"/>
      <c r="J15" s="136">
        <f t="shared" si="1"/>
        <v>0</v>
      </c>
      <c r="K15" s="252"/>
      <c r="L15" s="251"/>
      <c r="M15" s="251"/>
      <c r="N15" s="255"/>
      <c r="O15" s="255"/>
      <c r="P15" s="251"/>
      <c r="Q15" s="26"/>
      <c r="R15" s="257"/>
    </row>
    <row r="16" spans="1:21" s="187" customFormat="1" ht="19.95" customHeight="1">
      <c r="A16" s="249">
        <v>0</v>
      </c>
      <c r="B16" s="21"/>
      <c r="C16" s="21"/>
      <c r="D16" s="136"/>
      <c r="E16" s="251"/>
      <c r="F16" s="65"/>
      <c r="G16" s="65"/>
      <c r="H16" s="136">
        <f t="shared" si="0"/>
        <v>0</v>
      </c>
      <c r="I16" s="252"/>
      <c r="J16" s="136">
        <f t="shared" si="1"/>
        <v>0</v>
      </c>
      <c r="K16" s="252"/>
      <c r="L16" s="251"/>
      <c r="M16" s="251"/>
      <c r="N16" s="255"/>
      <c r="O16" s="255"/>
      <c r="P16" s="251"/>
      <c r="Q16" s="26"/>
      <c r="R16" s="258"/>
    </row>
    <row r="17" spans="1:18" s="76" customFormat="1" ht="19.95" customHeight="1">
      <c r="A17" s="249">
        <v>0</v>
      </c>
      <c r="B17" s="21"/>
      <c r="C17" s="21"/>
      <c r="D17" s="136"/>
      <c r="E17" s="251"/>
      <c r="F17" s="65"/>
      <c r="G17" s="65"/>
      <c r="H17" s="136">
        <f t="shared" si="0"/>
        <v>0</v>
      </c>
      <c r="I17" s="252"/>
      <c r="J17" s="136">
        <f t="shared" si="1"/>
        <v>0</v>
      </c>
      <c r="K17" s="252"/>
      <c r="L17" s="251"/>
      <c r="M17" s="251"/>
      <c r="N17" s="255"/>
      <c r="O17" s="255"/>
      <c r="P17" s="251"/>
      <c r="Q17" s="26"/>
      <c r="R17" s="257"/>
    </row>
    <row r="18" spans="1:18" s="76" customFormat="1" ht="19.95" customHeight="1">
      <c r="A18" s="249">
        <v>0</v>
      </c>
      <c r="B18" s="21"/>
      <c r="C18" s="21"/>
      <c r="D18" s="136"/>
      <c r="E18" s="251"/>
      <c r="F18" s="65"/>
      <c r="G18" s="65"/>
      <c r="H18" s="136">
        <f t="shared" si="0"/>
        <v>0</v>
      </c>
      <c r="I18" s="252"/>
      <c r="J18" s="136">
        <f t="shared" si="1"/>
        <v>0</v>
      </c>
      <c r="K18" s="252"/>
      <c r="L18" s="251"/>
      <c r="M18" s="251"/>
      <c r="N18" s="255"/>
      <c r="O18" s="255"/>
      <c r="P18" s="251"/>
      <c r="Q18" s="26"/>
      <c r="R18" s="257"/>
    </row>
    <row r="19" spans="1:18" s="78" customFormat="1" ht="19.95" customHeight="1">
      <c r="A19" s="188" t="s">
        <v>318</v>
      </c>
      <c r="B19" s="137"/>
      <c r="C19" s="137"/>
      <c r="D19" s="137">
        <f>SUM(D9:D18)</f>
        <v>0</v>
      </c>
      <c r="E19" s="137"/>
      <c r="F19" s="137"/>
      <c r="G19" s="137"/>
      <c r="H19" s="137">
        <f>SUM(H9:H18)</f>
        <v>0</v>
      </c>
      <c r="I19" s="137"/>
      <c r="J19" s="137">
        <f>SUM(J9:J18)</f>
        <v>0</v>
      </c>
      <c r="K19" s="137"/>
      <c r="L19" s="137"/>
      <c r="M19" s="148"/>
      <c r="N19" s="148"/>
      <c r="O19" s="148"/>
      <c r="P19" s="148"/>
      <c r="Q19" s="148"/>
      <c r="R19" s="149"/>
    </row>
    <row r="20" spans="1:18" ht="19.95" customHeight="1">
      <c r="A20" s="23" t="s">
        <v>18</v>
      </c>
      <c r="B20" s="23"/>
      <c r="C20" s="23"/>
      <c r="D20" s="23"/>
      <c r="E20" s="23"/>
      <c r="N20" s="23" t="s">
        <v>19</v>
      </c>
    </row>
    <row r="21" spans="1:18" ht="19.95" customHeight="1">
      <c r="A21" s="27" t="s">
        <v>24</v>
      </c>
      <c r="B21" s="27"/>
      <c r="C21" s="27"/>
      <c r="D21" s="27"/>
      <c r="F21" s="27"/>
    </row>
    <row r="22" spans="1:18" ht="19.95" customHeight="1"/>
    <row r="23" spans="1:18" ht="19.95" customHeight="1"/>
    <row r="24" spans="1:18" ht="18" customHeight="1">
      <c r="A24" s="28" t="s">
        <v>25</v>
      </c>
      <c r="B24" s="28"/>
      <c r="C24" s="28"/>
      <c r="D24" s="28"/>
      <c r="E24" s="28"/>
    </row>
    <row r="25" spans="1:18" ht="18" customHeight="1">
      <c r="A25" s="27" t="s">
        <v>84</v>
      </c>
      <c r="B25" s="27"/>
      <c r="C25" s="27"/>
      <c r="D25" s="27"/>
      <c r="E25" s="28"/>
    </row>
    <row r="26" spans="1:18" ht="18" customHeight="1">
      <c r="A26" s="27" t="s">
        <v>85</v>
      </c>
      <c r="B26" s="27"/>
      <c r="C26" s="27"/>
      <c r="D26" s="27"/>
      <c r="E26" s="28"/>
    </row>
    <row r="27" spans="1:18" ht="18" customHeight="1">
      <c r="A27" s="27" t="s">
        <v>86</v>
      </c>
      <c r="B27" s="27"/>
      <c r="C27" s="27"/>
      <c r="D27" s="27"/>
      <c r="E27" s="28"/>
    </row>
    <row r="28" spans="1:18" ht="18" customHeight="1">
      <c r="A28" s="27" t="s">
        <v>87</v>
      </c>
      <c r="B28" s="27"/>
      <c r="C28" s="27"/>
      <c r="D28" s="27"/>
      <c r="E28" s="28"/>
    </row>
    <row r="29" spans="1:18" ht="18" customHeight="1">
      <c r="A29" s="27" t="s">
        <v>88</v>
      </c>
      <c r="B29" s="27"/>
      <c r="C29" s="27"/>
      <c r="D29" s="27"/>
      <c r="E29" s="28"/>
    </row>
    <row r="30" spans="1:18" ht="18" customHeight="1">
      <c r="A30" s="27" t="s">
        <v>89</v>
      </c>
      <c r="B30" s="27"/>
      <c r="C30" s="27"/>
      <c r="D30" s="27"/>
      <c r="E30" s="28"/>
    </row>
    <row r="31" spans="1:18" ht="18" customHeight="1">
      <c r="A31" s="27" t="s">
        <v>90</v>
      </c>
      <c r="B31" s="27"/>
      <c r="C31" s="27"/>
      <c r="D31" s="27"/>
      <c r="E31" s="28"/>
    </row>
    <row r="32" spans="1:18" ht="18" customHeight="1">
      <c r="A32" s="28"/>
      <c r="B32" s="28"/>
      <c r="C32" s="28"/>
      <c r="D32" s="28"/>
      <c r="E32" s="28"/>
    </row>
    <row r="33" spans="1:10" ht="18" customHeight="1">
      <c r="A33" s="13" t="s">
        <v>91</v>
      </c>
      <c r="B33" s="13"/>
      <c r="C33" s="13"/>
      <c r="D33" s="13"/>
      <c r="E33" s="13"/>
      <c r="F33" s="13"/>
      <c r="G33" s="13"/>
      <c r="H33" s="13"/>
      <c r="I33" s="13"/>
      <c r="J33" s="13"/>
    </row>
    <row r="34" spans="1:10" ht="18" customHeight="1">
      <c r="A34" s="12" t="s">
        <v>2</v>
      </c>
      <c r="B34" s="12"/>
      <c r="C34" s="12"/>
      <c r="D34" s="12"/>
      <c r="E34" s="12"/>
      <c r="F34" s="12"/>
      <c r="G34" s="12"/>
      <c r="H34" s="12"/>
      <c r="I34" s="12"/>
      <c r="J34" s="12"/>
    </row>
    <row r="35" spans="1:10" ht="18" customHeight="1">
      <c r="A35" s="29" t="s">
        <v>26</v>
      </c>
      <c r="B35" s="29"/>
      <c r="C35" s="29"/>
      <c r="D35" s="29"/>
      <c r="E35" s="29"/>
      <c r="F35" s="12"/>
      <c r="G35" s="12"/>
      <c r="H35" s="12"/>
      <c r="I35" s="12"/>
      <c r="J35" s="12"/>
    </row>
    <row r="36" spans="1:10" ht="18" customHeight="1">
      <c r="A36" s="14" t="s">
        <v>27</v>
      </c>
      <c r="B36" s="14"/>
      <c r="C36" s="14"/>
      <c r="D36" s="14"/>
      <c r="E36" s="30" t="s">
        <v>28</v>
      </c>
      <c r="F36" s="30"/>
      <c r="G36" s="30"/>
      <c r="H36" s="30"/>
      <c r="I36" s="30"/>
      <c r="J36" s="30"/>
    </row>
    <row r="37" spans="1:10" ht="18" customHeight="1">
      <c r="A37" s="14" t="s">
        <v>29</v>
      </c>
      <c r="B37" s="14"/>
      <c r="C37" s="14"/>
      <c r="D37" s="14"/>
      <c r="E37" s="30" t="s">
        <v>30</v>
      </c>
      <c r="F37" s="30"/>
      <c r="G37" s="30"/>
      <c r="H37" s="30"/>
      <c r="I37" s="30"/>
      <c r="J37" s="30"/>
    </row>
    <row r="38" spans="1:10" ht="18" customHeight="1">
      <c r="A38" s="14" t="s">
        <v>31</v>
      </c>
      <c r="B38" s="14"/>
      <c r="C38" s="14"/>
      <c r="D38" s="14"/>
      <c r="E38" s="30" t="s">
        <v>32</v>
      </c>
      <c r="F38" s="30"/>
      <c r="G38" s="30"/>
      <c r="H38" s="30"/>
      <c r="I38" s="30"/>
      <c r="J38" s="30"/>
    </row>
  </sheetData>
  <mergeCells count="10">
    <mergeCell ref="L7:L8"/>
    <mergeCell ref="O7:Q7"/>
    <mergeCell ref="R7:R8"/>
    <mergeCell ref="A1:R1"/>
    <mergeCell ref="A2:R2"/>
    <mergeCell ref="A7:A8"/>
    <mergeCell ref="B7:E7"/>
    <mergeCell ref="F7:I7"/>
    <mergeCell ref="J7:J8"/>
    <mergeCell ref="K7:K8"/>
  </mergeCells>
  <phoneticPr fontId="4" type="noConversion"/>
  <hyperlinks>
    <hyperlink ref="R3" location="底稿目录!F10" display="底稿目录!F10"/>
  </hyperlinks>
  <printOptions horizontalCentered="1"/>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22"/>
  <sheetViews>
    <sheetView view="pageBreakPreview" zoomScaleNormal="100" zoomScaleSheetLayoutView="100" workbookViewId="0">
      <selection sqref="A1:M1"/>
    </sheetView>
  </sheetViews>
  <sheetFormatPr defaultColWidth="9" defaultRowHeight="13.8"/>
  <cols>
    <col min="1" max="1" width="4" style="93" customWidth="1"/>
    <col min="2" max="2" width="15.33203125" style="93" customWidth="1"/>
    <col min="3" max="5" width="9" style="93"/>
    <col min="6" max="6" width="18.88671875" style="93" customWidth="1"/>
    <col min="7" max="7" width="12.21875" style="93" customWidth="1"/>
    <col min="8" max="11" width="9" style="93"/>
    <col min="12" max="12" width="11.33203125" style="93" customWidth="1"/>
    <col min="13" max="13" width="23.5546875" style="93" customWidth="1"/>
    <col min="14" max="16384" width="9" style="93"/>
  </cols>
  <sheetData>
    <row r="1" spans="1:13" s="176" customFormat="1" ht="19.95" customHeight="1">
      <c r="A1" s="368" t="s">
        <v>152</v>
      </c>
      <c r="B1" s="368"/>
      <c r="C1" s="368"/>
      <c r="D1" s="368"/>
      <c r="E1" s="368"/>
      <c r="F1" s="368"/>
      <c r="G1" s="368"/>
      <c r="H1" s="368"/>
      <c r="I1" s="368"/>
      <c r="J1" s="368"/>
      <c r="K1" s="368"/>
      <c r="L1" s="368"/>
      <c r="M1" s="368"/>
    </row>
    <row r="2" spans="1:13" s="180" customFormat="1" ht="19.95" customHeight="1">
      <c r="A2" s="366" t="s">
        <v>173</v>
      </c>
      <c r="B2" s="366"/>
      <c r="C2" s="366"/>
      <c r="D2" s="366"/>
      <c r="E2" s="366"/>
      <c r="F2" s="366"/>
      <c r="G2" s="366"/>
      <c r="H2" s="366"/>
      <c r="I2" s="366"/>
      <c r="J2" s="366"/>
      <c r="K2" s="366"/>
      <c r="L2" s="366"/>
      <c r="M2" s="366"/>
    </row>
    <row r="3" spans="1:13" s="216" customFormat="1" ht="19.95" customHeight="1">
      <c r="A3" s="215" t="str">
        <f>底稿目录!A2</f>
        <v>被审计单位：</v>
      </c>
      <c r="B3" s="217"/>
      <c r="C3" s="218"/>
      <c r="D3" s="218"/>
      <c r="F3" s="219" t="str">
        <f>底稿目录!A4</f>
        <v>编制人：</v>
      </c>
      <c r="H3" s="216" t="str">
        <f>底稿目录!A5</f>
        <v>编制日期：</v>
      </c>
      <c r="I3" s="220"/>
      <c r="J3" s="218"/>
      <c r="L3" s="221" t="s">
        <v>216</v>
      </c>
      <c r="M3" s="288" t="str">
        <f>底稿目录!F11</f>
        <v>G9-5</v>
      </c>
    </row>
    <row r="4" spans="1:13" ht="19.95" customHeight="1">
      <c r="A4" s="51" t="str">
        <f>底稿目录!A3</f>
        <v>截止日：202X年12月31日</v>
      </c>
      <c r="B4" s="1"/>
      <c r="C4" s="48"/>
      <c r="D4" s="48"/>
      <c r="F4" s="47" t="str">
        <f>底稿目录!A6</f>
        <v>复核人：</v>
      </c>
      <c r="H4" s="93" t="str">
        <f>底稿目录!A7</f>
        <v>复核日期：</v>
      </c>
      <c r="I4" s="94"/>
      <c r="J4" s="48"/>
      <c r="L4" s="95" t="s">
        <v>153</v>
      </c>
    </row>
    <row r="5" spans="1:13" ht="19.95" customHeight="1">
      <c r="A5" s="96" t="s">
        <v>154</v>
      </c>
      <c r="C5" s="97" t="s">
        <v>155</v>
      </c>
    </row>
    <row r="6" spans="1:13" ht="19.95" customHeight="1">
      <c r="A6" s="96" t="s">
        <v>156</v>
      </c>
      <c r="C6" s="97" t="s">
        <v>257</v>
      </c>
    </row>
    <row r="7" spans="1:13" ht="19.95" customHeight="1">
      <c r="B7" s="97"/>
      <c r="C7" s="97" t="s">
        <v>258</v>
      </c>
    </row>
    <row r="8" spans="1:13" ht="19.95" customHeight="1">
      <c r="A8" s="383" t="s">
        <v>180</v>
      </c>
      <c r="B8" s="384"/>
      <c r="C8" s="384" t="s">
        <v>157</v>
      </c>
      <c r="D8" s="384" t="s">
        <v>158</v>
      </c>
      <c r="E8" s="384" t="s">
        <v>159</v>
      </c>
      <c r="F8" s="383" t="s">
        <v>160</v>
      </c>
      <c r="G8" s="383"/>
      <c r="H8" s="384" t="s">
        <v>161</v>
      </c>
      <c r="I8" s="384"/>
      <c r="J8" s="384"/>
      <c r="K8" s="384"/>
      <c r="L8" s="384" t="s">
        <v>162</v>
      </c>
      <c r="M8" s="384" t="s">
        <v>163</v>
      </c>
    </row>
    <row r="9" spans="1:13" ht="19.95" customHeight="1">
      <c r="A9" s="384"/>
      <c r="B9" s="384"/>
      <c r="C9" s="384"/>
      <c r="D9" s="384"/>
      <c r="E9" s="384"/>
      <c r="F9" s="101" t="s">
        <v>164</v>
      </c>
      <c r="G9" s="101" t="s">
        <v>165</v>
      </c>
      <c r="H9" s="89" t="s">
        <v>166</v>
      </c>
      <c r="I9" s="89" t="s">
        <v>167</v>
      </c>
      <c r="J9" s="89" t="s">
        <v>168</v>
      </c>
      <c r="K9" s="89" t="s">
        <v>169</v>
      </c>
      <c r="L9" s="384"/>
      <c r="M9" s="384"/>
    </row>
    <row r="10" spans="1:13" ht="19.95" customHeight="1">
      <c r="A10" s="98"/>
      <c r="B10" s="99"/>
      <c r="C10" s="100"/>
      <c r="D10" s="100"/>
      <c r="E10" s="100"/>
      <c r="F10" s="100"/>
      <c r="G10" s="100"/>
      <c r="H10" s="100"/>
      <c r="I10" s="100"/>
      <c r="J10" s="100"/>
      <c r="K10" s="100"/>
      <c r="L10" s="136">
        <f>C10+D10-E10+F10+H10+I10-J10-K10</f>
        <v>0</v>
      </c>
      <c r="M10" s="100"/>
    </row>
    <row r="11" spans="1:13" ht="19.95" customHeight="1">
      <c r="A11" s="98"/>
      <c r="B11" s="99"/>
      <c r="C11" s="100"/>
      <c r="D11" s="100"/>
      <c r="E11" s="100"/>
      <c r="F11" s="100"/>
      <c r="G11" s="100"/>
      <c r="H11" s="100"/>
      <c r="I11" s="100"/>
      <c r="J11" s="100"/>
      <c r="K11" s="100"/>
      <c r="L11" s="136">
        <f t="shared" ref="L11:L18" si="0">C11+D11-E11+F11+H11+I11-J11-K11</f>
        <v>0</v>
      </c>
      <c r="M11" s="100"/>
    </row>
    <row r="12" spans="1:13" ht="19.95" customHeight="1">
      <c r="A12" s="98"/>
      <c r="B12" s="99"/>
      <c r="C12" s="100"/>
      <c r="D12" s="100"/>
      <c r="E12" s="100"/>
      <c r="F12" s="100"/>
      <c r="G12" s="100"/>
      <c r="H12" s="100"/>
      <c r="I12" s="100"/>
      <c r="J12" s="100"/>
      <c r="K12" s="100"/>
      <c r="L12" s="136">
        <f t="shared" si="0"/>
        <v>0</v>
      </c>
      <c r="M12" s="100"/>
    </row>
    <row r="13" spans="1:13" ht="19.95" customHeight="1">
      <c r="A13" s="98"/>
      <c r="B13" s="99"/>
      <c r="C13" s="100"/>
      <c r="D13" s="100"/>
      <c r="E13" s="100"/>
      <c r="F13" s="100"/>
      <c r="G13" s="100"/>
      <c r="H13" s="100"/>
      <c r="I13" s="100"/>
      <c r="J13" s="100"/>
      <c r="K13" s="100"/>
      <c r="L13" s="136">
        <f t="shared" si="0"/>
        <v>0</v>
      </c>
      <c r="M13" s="100"/>
    </row>
    <row r="14" spans="1:13" ht="19.95" customHeight="1">
      <c r="A14" s="98"/>
      <c r="B14" s="99"/>
      <c r="C14" s="100"/>
      <c r="D14" s="100"/>
      <c r="E14" s="100"/>
      <c r="F14" s="100"/>
      <c r="G14" s="100"/>
      <c r="H14" s="100"/>
      <c r="I14" s="100"/>
      <c r="J14" s="100"/>
      <c r="K14" s="100"/>
      <c r="L14" s="136">
        <f t="shared" si="0"/>
        <v>0</v>
      </c>
      <c r="M14" s="100"/>
    </row>
    <row r="15" spans="1:13" ht="19.95" customHeight="1">
      <c r="A15" s="98"/>
      <c r="B15" s="99"/>
      <c r="C15" s="100"/>
      <c r="D15" s="100"/>
      <c r="E15" s="100"/>
      <c r="F15" s="100"/>
      <c r="G15" s="100"/>
      <c r="H15" s="100"/>
      <c r="I15" s="100"/>
      <c r="J15" s="100"/>
      <c r="K15" s="100"/>
      <c r="L15" s="136">
        <f t="shared" si="0"/>
        <v>0</v>
      </c>
      <c r="M15" s="100"/>
    </row>
    <row r="16" spans="1:13" ht="19.95" customHeight="1">
      <c r="A16" s="98"/>
      <c r="B16" s="99"/>
      <c r="C16" s="100"/>
      <c r="D16" s="100"/>
      <c r="E16" s="100"/>
      <c r="F16" s="100"/>
      <c r="G16" s="100"/>
      <c r="H16" s="100"/>
      <c r="I16" s="100"/>
      <c r="J16" s="100"/>
      <c r="K16" s="100"/>
      <c r="L16" s="136">
        <f t="shared" si="0"/>
        <v>0</v>
      </c>
      <c r="M16" s="100"/>
    </row>
    <row r="17" spans="1:13" ht="19.95" customHeight="1">
      <c r="A17" s="98"/>
      <c r="B17" s="99"/>
      <c r="C17" s="100"/>
      <c r="D17" s="100"/>
      <c r="E17" s="100"/>
      <c r="F17" s="100"/>
      <c r="G17" s="100"/>
      <c r="H17" s="100"/>
      <c r="I17" s="100"/>
      <c r="J17" s="100"/>
      <c r="K17" s="100"/>
      <c r="L17" s="136">
        <f t="shared" si="0"/>
        <v>0</v>
      </c>
      <c r="M17" s="100"/>
    </row>
    <row r="18" spans="1:13" ht="19.95" customHeight="1">
      <c r="A18" s="98"/>
      <c r="B18" s="99"/>
      <c r="C18" s="100"/>
      <c r="D18" s="100"/>
      <c r="E18" s="100"/>
      <c r="F18" s="100"/>
      <c r="G18" s="100"/>
      <c r="H18" s="100"/>
      <c r="I18" s="100"/>
      <c r="J18" s="100"/>
      <c r="K18" s="100"/>
      <c r="L18" s="136">
        <f t="shared" si="0"/>
        <v>0</v>
      </c>
      <c r="M18" s="100"/>
    </row>
    <row r="19" spans="1:13" ht="19.95" customHeight="1">
      <c r="A19" s="147" t="s">
        <v>170</v>
      </c>
      <c r="B19" s="147"/>
      <c r="C19" s="137">
        <f>SUM(C10:C18)</f>
        <v>0</v>
      </c>
      <c r="D19" s="137">
        <f t="shared" ref="D19:L19" si="1">SUM(D10:D18)</f>
        <v>0</v>
      </c>
      <c r="E19" s="137">
        <f t="shared" si="1"/>
        <v>0</v>
      </c>
      <c r="F19" s="137">
        <f t="shared" si="1"/>
        <v>0</v>
      </c>
      <c r="G19" s="137">
        <f t="shared" si="1"/>
        <v>0</v>
      </c>
      <c r="H19" s="137">
        <f t="shared" si="1"/>
        <v>0</v>
      </c>
      <c r="I19" s="137">
        <f t="shared" si="1"/>
        <v>0</v>
      </c>
      <c r="J19" s="137">
        <f t="shared" si="1"/>
        <v>0</v>
      </c>
      <c r="K19" s="137">
        <f t="shared" si="1"/>
        <v>0</v>
      </c>
      <c r="L19" s="137">
        <f t="shared" si="1"/>
        <v>0</v>
      </c>
      <c r="M19" s="137"/>
    </row>
    <row r="20" spans="1:13" ht="19.95" customHeight="1">
      <c r="A20" s="96" t="s">
        <v>171</v>
      </c>
    </row>
    <row r="21" spans="1:13" ht="19.95" customHeight="1"/>
    <row r="22" spans="1:13" ht="19.95" customHeight="1">
      <c r="A22" s="96" t="s">
        <v>172</v>
      </c>
    </row>
  </sheetData>
  <mergeCells count="10">
    <mergeCell ref="A1:M1"/>
    <mergeCell ref="A2:M2"/>
    <mergeCell ref="A8:B9"/>
    <mergeCell ref="C8:C9"/>
    <mergeCell ref="D8:D9"/>
    <mergeCell ref="E8:E9"/>
    <mergeCell ref="F8:G8"/>
    <mergeCell ref="H8:K8"/>
    <mergeCell ref="L8:L9"/>
    <mergeCell ref="M8:M9"/>
  </mergeCells>
  <phoneticPr fontId="4" type="noConversion"/>
  <hyperlinks>
    <hyperlink ref="M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99"/>
  <sheetViews>
    <sheetView view="pageBreakPreview" zoomScaleSheetLayoutView="100" workbookViewId="0">
      <selection activeCell="Q3" sqref="Q3"/>
    </sheetView>
  </sheetViews>
  <sheetFormatPr defaultColWidth="9" defaultRowHeight="13.8"/>
  <cols>
    <col min="1" max="1" width="9.109375" style="10" customWidth="1"/>
    <col min="2" max="2" width="9" style="10"/>
    <col min="3" max="3" width="21.109375" style="10" customWidth="1"/>
    <col min="4" max="4" width="11.21875" style="10" customWidth="1"/>
    <col min="5" max="5" width="13.77734375" style="10" customWidth="1"/>
    <col min="6" max="6" width="10.77734375" style="10" customWidth="1"/>
    <col min="7" max="7" width="12.5546875" style="10" customWidth="1"/>
    <col min="8" max="8" width="26.44140625" style="10" customWidth="1"/>
    <col min="9" max="14" width="4.44140625" style="10" customWidth="1"/>
    <col min="15" max="15" width="8.77734375" style="10" customWidth="1"/>
    <col min="16" max="16" width="6.77734375" style="10" customWidth="1"/>
    <col min="17" max="17" width="12" style="10" customWidth="1"/>
    <col min="18" max="16384" width="9" style="10"/>
  </cols>
  <sheetData>
    <row r="1" spans="1:20" s="175" customFormat="1" ht="19.95" customHeight="1">
      <c r="A1" s="368" t="s">
        <v>152</v>
      </c>
      <c r="B1" s="368"/>
      <c r="C1" s="368"/>
      <c r="D1" s="368"/>
      <c r="E1" s="368"/>
      <c r="F1" s="368"/>
      <c r="G1" s="368"/>
      <c r="H1" s="368"/>
      <c r="I1" s="368"/>
      <c r="J1" s="368"/>
      <c r="K1" s="368"/>
      <c r="L1" s="368"/>
      <c r="M1" s="368"/>
      <c r="N1" s="368"/>
      <c r="O1" s="368"/>
      <c r="P1" s="368"/>
      <c r="Q1" s="368"/>
    </row>
    <row r="2" spans="1:20" s="179" customFormat="1" ht="19.95" customHeight="1">
      <c r="A2" s="366" t="s">
        <v>182</v>
      </c>
      <c r="B2" s="366"/>
      <c r="C2" s="366"/>
      <c r="D2" s="366"/>
      <c r="E2" s="366"/>
      <c r="F2" s="366"/>
      <c r="G2" s="366"/>
      <c r="H2" s="366"/>
      <c r="I2" s="366"/>
      <c r="J2" s="366"/>
      <c r="K2" s="366"/>
      <c r="L2" s="366"/>
      <c r="M2" s="366"/>
      <c r="N2" s="366"/>
      <c r="O2" s="366"/>
      <c r="P2" s="366"/>
      <c r="Q2" s="366"/>
    </row>
    <row r="3" spans="1:20" s="259" customFormat="1" ht="19.95" customHeight="1">
      <c r="A3" s="259" t="str">
        <f>底稿目录!A2</f>
        <v>被审计单位：</v>
      </c>
      <c r="B3" s="260"/>
      <c r="E3" s="259" t="str">
        <f>底稿目录!A4</f>
        <v>编制人：</v>
      </c>
      <c r="G3" s="260"/>
      <c r="H3" s="259" t="str">
        <f>底稿目录!A5</f>
        <v>编制日期：</v>
      </c>
      <c r="P3" s="259" t="s">
        <v>216</v>
      </c>
      <c r="Q3" s="288" t="str">
        <f>底稿目录!F20</f>
        <v>G9-6</v>
      </c>
    </row>
    <row r="4" spans="1:20" s="259" customFormat="1" ht="19.95" customHeight="1">
      <c r="A4" s="261" t="str">
        <f>底稿目录!A3</f>
        <v>截止日：202X年12月31日</v>
      </c>
      <c r="B4" s="260"/>
      <c r="E4" s="259" t="str">
        <f>底稿目录!A6</f>
        <v>复核人：</v>
      </c>
      <c r="G4" s="260"/>
      <c r="H4" s="259" t="str">
        <f>底稿目录!A7</f>
        <v>复核日期：</v>
      </c>
      <c r="P4" s="259" t="s">
        <v>331</v>
      </c>
    </row>
    <row r="5" spans="1:20" s="31" customFormat="1" ht="19.95" customHeight="1">
      <c r="A5" s="272" t="s">
        <v>22</v>
      </c>
      <c r="B5" s="271"/>
      <c r="C5" s="271"/>
      <c r="D5" s="271"/>
      <c r="E5" s="271"/>
      <c r="F5" s="271"/>
      <c r="G5" s="271"/>
      <c r="H5" s="271"/>
      <c r="I5" s="271"/>
      <c r="J5" s="271"/>
      <c r="K5" s="271"/>
      <c r="L5" s="271"/>
      <c r="M5" s="271"/>
      <c r="N5" s="271"/>
      <c r="O5" s="271"/>
    </row>
    <row r="6" spans="1:20" s="31" customFormat="1" ht="19.95" customHeight="1">
      <c r="A6" s="162" t="s">
        <v>336</v>
      </c>
      <c r="B6" s="210"/>
      <c r="C6" s="210"/>
      <c r="D6" s="210"/>
      <c r="E6" s="210"/>
      <c r="F6" s="210"/>
      <c r="G6" s="210"/>
      <c r="H6" s="210"/>
      <c r="I6" s="210"/>
      <c r="J6" s="210"/>
      <c r="K6" s="210"/>
      <c r="L6" s="210"/>
      <c r="M6" s="210"/>
      <c r="N6" s="210"/>
      <c r="O6" s="210"/>
    </row>
    <row r="7" spans="1:20" s="31" customFormat="1" ht="19.95" customHeight="1">
      <c r="A7" s="162" t="s">
        <v>337</v>
      </c>
      <c r="B7" s="210"/>
      <c r="C7" s="210"/>
      <c r="D7" s="210"/>
      <c r="E7" s="210"/>
      <c r="F7" s="210"/>
      <c r="G7" s="210"/>
      <c r="H7" s="210"/>
      <c r="I7" s="210"/>
      <c r="J7" s="210"/>
      <c r="K7" s="210"/>
      <c r="L7" s="210"/>
      <c r="M7" s="210"/>
      <c r="N7" s="210"/>
      <c r="O7" s="210"/>
    </row>
    <row r="8" spans="1:20" s="31" customFormat="1" ht="19.95" customHeight="1">
      <c r="A8" s="385" t="s">
        <v>259</v>
      </c>
      <c r="B8" s="386"/>
      <c r="C8" s="386"/>
      <c r="D8" s="386"/>
      <c r="E8" s="386"/>
      <c r="F8" s="386"/>
      <c r="G8" s="386"/>
      <c r="H8" s="386"/>
      <c r="I8" s="386"/>
      <c r="J8" s="386"/>
      <c r="K8" s="386"/>
    </row>
    <row r="9" spans="1:20" s="31" customFormat="1" ht="19.95" customHeight="1">
      <c r="A9" s="162" t="s">
        <v>319</v>
      </c>
      <c r="B9" s="163" t="s">
        <v>320</v>
      </c>
      <c r="C9" s="164"/>
      <c r="D9" s="162"/>
      <c r="E9" s="163"/>
      <c r="F9" s="162"/>
      <c r="G9" s="162" t="s">
        <v>321</v>
      </c>
      <c r="H9" s="163" t="s">
        <v>322</v>
      </c>
      <c r="I9" s="163"/>
      <c r="M9" s="195"/>
      <c r="N9" s="195"/>
      <c r="O9" s="195"/>
      <c r="P9" s="195"/>
      <c r="Q9" s="195"/>
      <c r="R9" s="195"/>
      <c r="T9" s="196"/>
    </row>
    <row r="10" spans="1:20" s="31" customFormat="1" ht="19.95" customHeight="1">
      <c r="A10" s="162" t="s">
        <v>323</v>
      </c>
      <c r="B10" s="163" t="s">
        <v>324</v>
      </c>
      <c r="C10" s="164"/>
      <c r="D10" s="162"/>
      <c r="E10" s="163"/>
      <c r="F10" s="162"/>
      <c r="G10" s="162" t="s">
        <v>325</v>
      </c>
      <c r="H10" s="163" t="s">
        <v>416</v>
      </c>
      <c r="I10" s="163"/>
      <c r="J10" s="163"/>
      <c r="M10" s="195"/>
      <c r="N10" s="195"/>
      <c r="O10" s="195"/>
      <c r="P10" s="195"/>
      <c r="Q10" s="195"/>
      <c r="R10" s="195"/>
      <c r="T10" s="196"/>
    </row>
    <row r="11" spans="1:20" s="31" customFormat="1" ht="19.95" customHeight="1">
      <c r="A11" s="162" t="s">
        <v>326</v>
      </c>
      <c r="B11" s="163" t="s">
        <v>415</v>
      </c>
      <c r="C11" s="164"/>
      <c r="D11" s="162"/>
      <c r="E11" s="163"/>
      <c r="F11" s="162"/>
      <c r="G11" s="162" t="s">
        <v>327</v>
      </c>
      <c r="H11" s="163" t="s">
        <v>328</v>
      </c>
      <c r="I11" s="189"/>
      <c r="M11" s="195"/>
      <c r="N11" s="195"/>
      <c r="O11" s="195"/>
      <c r="P11" s="195"/>
      <c r="Q11" s="195"/>
      <c r="R11" s="195"/>
      <c r="T11" s="196"/>
    </row>
    <row r="12" spans="1:20" ht="19.95" customHeight="1">
      <c r="A12" s="32" t="s">
        <v>269</v>
      </c>
      <c r="B12" s="34"/>
      <c r="C12" s="34"/>
      <c r="D12" s="35"/>
      <c r="E12" s="36"/>
      <c r="F12" s="31"/>
      <c r="G12" s="31"/>
      <c r="H12" s="31"/>
      <c r="I12" s="31"/>
      <c r="J12" s="31"/>
      <c r="K12" s="31"/>
      <c r="L12" s="31"/>
      <c r="M12" s="31"/>
      <c r="N12" s="31"/>
      <c r="O12" s="31"/>
    </row>
    <row r="13" spans="1:20" ht="19.95" customHeight="1">
      <c r="A13" s="275" t="s">
        <v>384</v>
      </c>
      <c r="B13" s="34"/>
      <c r="C13" s="34"/>
      <c r="D13" s="35"/>
      <c r="E13" s="36"/>
      <c r="F13" s="31"/>
      <c r="G13" s="31"/>
      <c r="H13" s="31"/>
      <c r="I13" s="31"/>
      <c r="J13" s="31"/>
      <c r="K13" s="31"/>
      <c r="L13" s="31"/>
      <c r="M13" s="31"/>
      <c r="N13" s="31"/>
      <c r="O13" s="31"/>
    </row>
    <row r="14" spans="1:20" s="164" customFormat="1" ht="19.95" customHeight="1">
      <c r="A14" s="262" t="s">
        <v>338</v>
      </c>
    </row>
    <row r="15" spans="1:20" s="165" customFormat="1" ht="19.95" customHeight="1">
      <c r="A15" s="404" t="s">
        <v>260</v>
      </c>
      <c r="B15" s="405"/>
      <c r="C15" s="405"/>
      <c r="D15" s="405"/>
      <c r="E15" s="405"/>
      <c r="F15" s="405"/>
      <c r="G15" s="406"/>
      <c r="H15" s="393" t="s">
        <v>340</v>
      </c>
      <c r="I15" s="387" t="s">
        <v>341</v>
      </c>
      <c r="J15" s="388"/>
      <c r="K15" s="388"/>
      <c r="L15" s="388"/>
      <c r="M15" s="388"/>
      <c r="N15" s="389"/>
      <c r="O15" s="400" t="s">
        <v>346</v>
      </c>
      <c r="P15" s="400" t="s">
        <v>261</v>
      </c>
      <c r="Q15" s="391" t="s">
        <v>343</v>
      </c>
    </row>
    <row r="16" spans="1:20" s="167" customFormat="1" ht="19.95" customHeight="1">
      <c r="A16" s="150" t="s">
        <v>262</v>
      </c>
      <c r="B16" s="150" t="s">
        <v>263</v>
      </c>
      <c r="C16" s="150" t="s">
        <v>264</v>
      </c>
      <c r="D16" s="150" t="s">
        <v>347</v>
      </c>
      <c r="E16" s="150" t="s">
        <v>348</v>
      </c>
      <c r="F16" s="166" t="s">
        <v>266</v>
      </c>
      <c r="G16" s="166" t="s">
        <v>268</v>
      </c>
      <c r="H16" s="394"/>
      <c r="I16" s="264">
        <v>1</v>
      </c>
      <c r="J16" s="264">
        <v>2</v>
      </c>
      <c r="K16" s="264">
        <v>3</v>
      </c>
      <c r="L16" s="264">
        <v>4</v>
      </c>
      <c r="M16" s="264">
        <v>5</v>
      </c>
      <c r="N16" s="264">
        <v>6</v>
      </c>
      <c r="O16" s="400"/>
      <c r="P16" s="400"/>
      <c r="Q16" s="392"/>
    </row>
    <row r="17" spans="1:17" s="194" customFormat="1" ht="19.95" customHeight="1">
      <c r="A17" s="190"/>
      <c r="B17" s="191"/>
      <c r="C17" s="276"/>
      <c r="D17" s="276"/>
      <c r="E17" s="276"/>
      <c r="F17" s="192"/>
      <c r="G17" s="191"/>
      <c r="H17" s="265"/>
      <c r="I17" s="266"/>
      <c r="J17" s="266"/>
      <c r="K17" s="266"/>
      <c r="L17" s="266"/>
      <c r="M17" s="266"/>
      <c r="N17" s="266"/>
      <c r="O17" s="193"/>
      <c r="P17" s="193"/>
      <c r="Q17" s="267"/>
    </row>
    <row r="18" spans="1:17" s="194" customFormat="1" ht="19.95" customHeight="1">
      <c r="A18" s="190"/>
      <c r="B18" s="191"/>
      <c r="C18" s="193"/>
      <c r="D18" s="193"/>
      <c r="E18" s="193"/>
      <c r="F18" s="168"/>
      <c r="G18" s="191"/>
      <c r="H18" s="265"/>
      <c r="I18" s="266"/>
      <c r="J18" s="266"/>
      <c r="K18" s="266"/>
      <c r="L18" s="266"/>
      <c r="M18" s="266"/>
      <c r="N18" s="266"/>
      <c r="O18" s="193"/>
      <c r="P18" s="193"/>
      <c r="Q18" s="267"/>
    </row>
    <row r="19" spans="1:17" s="194" customFormat="1" ht="19.95" customHeight="1">
      <c r="A19" s="190"/>
      <c r="B19" s="191"/>
      <c r="C19" s="193"/>
      <c r="D19" s="193"/>
      <c r="E19" s="193"/>
      <c r="F19" s="168"/>
      <c r="G19" s="191"/>
      <c r="H19" s="265"/>
      <c r="I19" s="266"/>
      <c r="J19" s="266"/>
      <c r="K19" s="266"/>
      <c r="L19" s="266"/>
      <c r="M19" s="266"/>
      <c r="N19" s="266"/>
      <c r="O19" s="193"/>
      <c r="P19" s="193"/>
      <c r="Q19" s="267"/>
    </row>
    <row r="20" spans="1:17" s="194" customFormat="1" ht="19.95" customHeight="1">
      <c r="A20" s="190"/>
      <c r="B20" s="191"/>
      <c r="C20" s="193"/>
      <c r="D20" s="193"/>
      <c r="E20" s="193"/>
      <c r="F20" s="168"/>
      <c r="G20" s="191"/>
      <c r="H20" s="265"/>
      <c r="I20" s="266"/>
      <c r="J20" s="266"/>
      <c r="K20" s="266"/>
      <c r="L20" s="266"/>
      <c r="M20" s="266"/>
      <c r="N20" s="266"/>
      <c r="O20" s="193"/>
      <c r="P20" s="193"/>
      <c r="Q20" s="267"/>
    </row>
    <row r="21" spans="1:17" s="194" customFormat="1" ht="19.95" customHeight="1">
      <c r="A21" s="190"/>
      <c r="B21" s="191"/>
      <c r="C21" s="193"/>
      <c r="D21" s="193"/>
      <c r="E21" s="193"/>
      <c r="F21" s="168"/>
      <c r="G21" s="191"/>
      <c r="H21" s="265"/>
      <c r="I21" s="266"/>
      <c r="J21" s="266"/>
      <c r="K21" s="266"/>
      <c r="L21" s="266"/>
      <c r="M21" s="266"/>
      <c r="N21" s="266"/>
      <c r="O21" s="193"/>
      <c r="P21" s="193"/>
      <c r="Q21" s="267"/>
    </row>
    <row r="22" spans="1:17" s="194" customFormat="1" ht="19.95" customHeight="1">
      <c r="A22" s="190"/>
      <c r="B22" s="191"/>
      <c r="C22" s="193"/>
      <c r="D22" s="193"/>
      <c r="E22" s="193"/>
      <c r="F22" s="168"/>
      <c r="G22" s="191"/>
      <c r="H22" s="265"/>
      <c r="I22" s="266"/>
      <c r="J22" s="266"/>
      <c r="K22" s="266"/>
      <c r="L22" s="266"/>
      <c r="M22" s="266"/>
      <c r="N22" s="266"/>
      <c r="O22" s="193"/>
      <c r="P22" s="193"/>
      <c r="Q22" s="267"/>
    </row>
    <row r="23" spans="1:17" s="194" customFormat="1" ht="19.95" customHeight="1">
      <c r="A23" s="190"/>
      <c r="B23" s="191"/>
      <c r="C23" s="193"/>
      <c r="D23" s="193"/>
      <c r="E23" s="193"/>
      <c r="F23" s="168"/>
      <c r="G23" s="191"/>
      <c r="H23" s="265"/>
      <c r="I23" s="266"/>
      <c r="J23" s="266"/>
      <c r="K23" s="266"/>
      <c r="L23" s="266"/>
      <c r="M23" s="266"/>
      <c r="N23" s="266"/>
      <c r="O23" s="193"/>
      <c r="P23" s="193"/>
      <c r="Q23" s="267"/>
    </row>
    <row r="24" spans="1:17" s="194" customFormat="1" ht="19.95" customHeight="1">
      <c r="A24" s="193"/>
      <c r="B24" s="193"/>
      <c r="C24" s="193"/>
      <c r="D24" s="193"/>
      <c r="E24" s="193"/>
      <c r="F24" s="168"/>
      <c r="G24" s="193"/>
      <c r="H24" s="265"/>
      <c r="I24" s="266"/>
      <c r="J24" s="266"/>
      <c r="K24" s="266"/>
      <c r="L24" s="266"/>
      <c r="M24" s="266"/>
      <c r="N24" s="266"/>
      <c r="O24" s="193"/>
      <c r="P24" s="193"/>
      <c r="Q24" s="267"/>
    </row>
    <row r="25" spans="1:17" s="194" customFormat="1" ht="19.95" customHeight="1">
      <c r="A25" s="193"/>
      <c r="B25" s="193"/>
      <c r="C25" s="193"/>
      <c r="D25" s="193"/>
      <c r="E25" s="193"/>
      <c r="F25" s="168"/>
      <c r="G25" s="193"/>
      <c r="H25" s="193"/>
      <c r="I25" s="266"/>
      <c r="J25" s="266"/>
      <c r="K25" s="266"/>
      <c r="L25" s="266"/>
      <c r="M25" s="266"/>
      <c r="N25" s="266"/>
      <c r="O25" s="193"/>
      <c r="P25" s="193"/>
      <c r="Q25" s="193"/>
    </row>
    <row r="26" spans="1:17" s="322" customFormat="1" ht="19.95" customHeight="1">
      <c r="A26" s="390" t="s">
        <v>417</v>
      </c>
      <c r="B26" s="390"/>
      <c r="C26" s="390"/>
      <c r="D26" s="390"/>
      <c r="E26" s="319"/>
      <c r="F26" s="323">
        <f>SUM(F17:F25)</f>
        <v>0</v>
      </c>
      <c r="G26" s="323">
        <f>SUM(G17:G25)</f>
        <v>0</v>
      </c>
      <c r="H26" s="319"/>
      <c r="I26" s="319"/>
      <c r="J26" s="319"/>
      <c r="K26" s="320">
        <f>SUM(K17:K25)</f>
        <v>0</v>
      </c>
      <c r="L26" s="321"/>
      <c r="M26" s="319"/>
      <c r="N26" s="319"/>
      <c r="O26" s="319"/>
      <c r="P26" s="319"/>
      <c r="Q26" s="319"/>
    </row>
    <row r="27" spans="1:17" s="322" customFormat="1" ht="19.95" customHeight="1">
      <c r="A27" s="390" t="s">
        <v>418</v>
      </c>
      <c r="B27" s="390"/>
      <c r="C27" s="390"/>
      <c r="D27" s="390"/>
      <c r="E27" s="319"/>
      <c r="F27" s="324"/>
      <c r="G27" s="324"/>
      <c r="H27" s="319"/>
      <c r="I27" s="319"/>
      <c r="J27" s="319"/>
      <c r="K27" s="320"/>
      <c r="L27" s="321"/>
      <c r="M27" s="319"/>
      <c r="N27" s="319"/>
      <c r="O27" s="319"/>
      <c r="P27" s="319"/>
      <c r="Q27" s="319"/>
    </row>
    <row r="28" spans="1:17" s="322" customFormat="1" ht="19.95" customHeight="1">
      <c r="A28" s="390" t="s">
        <v>419</v>
      </c>
      <c r="B28" s="390"/>
      <c r="C28" s="390"/>
      <c r="D28" s="390"/>
      <c r="E28" s="319"/>
      <c r="F28" s="325" t="e">
        <f>F26/F27</f>
        <v>#DIV/0!</v>
      </c>
      <c r="G28" s="325" t="e">
        <f>G26/G27</f>
        <v>#DIV/0!</v>
      </c>
      <c r="H28" s="319"/>
      <c r="I28" s="319"/>
      <c r="J28" s="319"/>
      <c r="K28" s="320"/>
      <c r="L28" s="321"/>
      <c r="M28" s="319"/>
      <c r="N28" s="319"/>
      <c r="O28" s="319"/>
      <c r="P28" s="319"/>
      <c r="Q28" s="319"/>
    </row>
    <row r="29" spans="1:17" s="165" customFormat="1" ht="19.95" customHeight="1">
      <c r="A29" s="307" t="s">
        <v>339</v>
      </c>
      <c r="B29" s="318"/>
      <c r="C29" s="318"/>
      <c r="D29" s="318"/>
      <c r="E29" s="318"/>
      <c r="F29" s="318"/>
      <c r="G29" s="318"/>
      <c r="H29" s="318"/>
      <c r="I29" s="318"/>
      <c r="J29" s="318"/>
      <c r="K29" s="318"/>
      <c r="L29" s="318"/>
      <c r="M29" s="318"/>
      <c r="N29" s="318"/>
      <c r="O29" s="318"/>
      <c r="P29" s="318"/>
      <c r="Q29" s="263"/>
    </row>
    <row r="30" spans="1:17" s="165" customFormat="1" ht="19.95" customHeight="1">
      <c r="A30" s="292"/>
      <c r="B30" s="292"/>
      <c r="C30" s="293" t="s">
        <v>260</v>
      </c>
      <c r="D30" s="292"/>
      <c r="E30" s="292"/>
      <c r="F30" s="292"/>
      <c r="G30" s="294"/>
      <c r="H30" s="393" t="s">
        <v>340</v>
      </c>
      <c r="I30" s="401" t="s">
        <v>341</v>
      </c>
      <c r="J30" s="402"/>
      <c r="K30" s="402"/>
      <c r="L30" s="402"/>
      <c r="M30" s="402"/>
      <c r="N30" s="403"/>
      <c r="O30" s="395" t="s">
        <v>342</v>
      </c>
      <c r="P30" s="396" t="s">
        <v>261</v>
      </c>
      <c r="Q30" s="398" t="s">
        <v>343</v>
      </c>
    </row>
    <row r="31" spans="1:17" s="165" customFormat="1" ht="19.95" customHeight="1">
      <c r="A31" s="295" t="s">
        <v>262</v>
      </c>
      <c r="B31" s="295" t="s">
        <v>263</v>
      </c>
      <c r="C31" s="295" t="s">
        <v>264</v>
      </c>
      <c r="D31" s="295" t="s">
        <v>265</v>
      </c>
      <c r="E31" s="295" t="s">
        <v>344</v>
      </c>
      <c r="F31" s="296" t="s">
        <v>266</v>
      </c>
      <c r="G31" s="296" t="s">
        <v>268</v>
      </c>
      <c r="H31" s="394"/>
      <c r="I31" s="297">
        <v>1</v>
      </c>
      <c r="J31" s="297">
        <v>2</v>
      </c>
      <c r="K31" s="297">
        <v>3</v>
      </c>
      <c r="L31" s="297">
        <v>4</v>
      </c>
      <c r="M31" s="297">
        <v>5</v>
      </c>
      <c r="N31" s="297">
        <v>6</v>
      </c>
      <c r="O31" s="395"/>
      <c r="P31" s="397"/>
      <c r="Q31" s="399"/>
    </row>
    <row r="32" spans="1:17" s="165" customFormat="1" ht="19.95" customHeight="1">
      <c r="A32" s="302"/>
      <c r="B32" s="303"/>
      <c r="C32" s="304"/>
      <c r="D32" s="305"/>
      <c r="E32" s="305"/>
      <c r="F32" s="306"/>
      <c r="G32" s="306"/>
      <c r="H32" s="265"/>
      <c r="I32" s="266"/>
      <c r="J32" s="266"/>
      <c r="K32" s="266"/>
      <c r="L32" s="266"/>
      <c r="M32" s="266"/>
      <c r="N32" s="266"/>
      <c r="O32" s="265"/>
      <c r="P32" s="267"/>
      <c r="Q32" s="267"/>
    </row>
    <row r="33" spans="1:17" s="165" customFormat="1" ht="19.95" customHeight="1">
      <c r="A33" s="302"/>
      <c r="B33" s="303"/>
      <c r="C33" s="305"/>
      <c r="D33" s="305"/>
      <c r="E33" s="305"/>
      <c r="F33" s="306"/>
      <c r="G33" s="306"/>
      <c r="H33" s="265"/>
      <c r="I33" s="266"/>
      <c r="J33" s="266"/>
      <c r="K33" s="266"/>
      <c r="L33" s="266"/>
      <c r="M33" s="266"/>
      <c r="N33" s="266"/>
      <c r="O33" s="265"/>
      <c r="P33" s="267"/>
      <c r="Q33" s="267"/>
    </row>
    <row r="34" spans="1:17" s="165" customFormat="1" ht="19.95" customHeight="1">
      <c r="A34" s="302"/>
      <c r="B34" s="303"/>
      <c r="C34" s="305"/>
      <c r="D34" s="305"/>
      <c r="E34" s="305"/>
      <c r="F34" s="306"/>
      <c r="G34" s="306"/>
      <c r="H34" s="265"/>
      <c r="I34" s="266"/>
      <c r="J34" s="266"/>
      <c r="K34" s="266"/>
      <c r="L34" s="266"/>
      <c r="M34" s="266"/>
      <c r="N34" s="266"/>
      <c r="O34" s="265"/>
      <c r="P34" s="267"/>
      <c r="Q34" s="267"/>
    </row>
    <row r="35" spans="1:17" s="165" customFormat="1" ht="19.95" customHeight="1">
      <c r="A35" s="302"/>
      <c r="B35" s="303"/>
      <c r="C35" s="305"/>
      <c r="D35" s="305"/>
      <c r="E35" s="305"/>
      <c r="F35" s="306"/>
      <c r="G35" s="306"/>
      <c r="H35" s="265"/>
      <c r="I35" s="266"/>
      <c r="J35" s="266"/>
      <c r="K35" s="266"/>
      <c r="L35" s="266"/>
      <c r="M35" s="266"/>
      <c r="N35" s="266"/>
      <c r="O35" s="265"/>
      <c r="P35" s="267"/>
      <c r="Q35" s="267"/>
    </row>
    <row r="36" spans="1:17" s="165" customFormat="1" ht="19.95" customHeight="1">
      <c r="A36" s="302"/>
      <c r="B36" s="303"/>
      <c r="C36" s="305"/>
      <c r="D36" s="305"/>
      <c r="E36" s="305"/>
      <c r="F36" s="306"/>
      <c r="G36" s="306"/>
      <c r="H36" s="265"/>
      <c r="I36" s="266"/>
      <c r="J36" s="266"/>
      <c r="K36" s="266"/>
      <c r="L36" s="266"/>
      <c r="M36" s="266"/>
      <c r="N36" s="266"/>
      <c r="O36" s="265"/>
      <c r="P36" s="267"/>
      <c r="Q36" s="267"/>
    </row>
    <row r="37" spans="1:17" ht="19.95" customHeight="1">
      <c r="A37" s="295" t="s">
        <v>267</v>
      </c>
      <c r="B37" s="298"/>
      <c r="C37" s="299"/>
      <c r="D37" s="299"/>
      <c r="E37" s="299"/>
      <c r="F37" s="300">
        <f>SUM(F32:F36)</f>
        <v>0</v>
      </c>
      <c r="G37" s="300">
        <f>SUM(G32:G36)</f>
        <v>0</v>
      </c>
      <c r="H37" s="301"/>
      <c r="I37" s="268"/>
      <c r="J37" s="268"/>
      <c r="K37" s="269"/>
      <c r="L37" s="268"/>
      <c r="M37" s="268"/>
      <c r="N37" s="268"/>
      <c r="O37" s="269"/>
      <c r="P37" s="268"/>
      <c r="Q37" s="268"/>
    </row>
    <row r="38" spans="1:17" ht="19.95" customHeight="1">
      <c r="A38" s="270" t="s">
        <v>345</v>
      </c>
      <c r="H38" s="206"/>
      <c r="I38" s="207"/>
      <c r="J38" s="206"/>
      <c r="K38" s="207"/>
      <c r="L38" s="207"/>
      <c r="M38" s="206"/>
      <c r="N38" s="33"/>
      <c r="O38" s="11"/>
    </row>
    <row r="39" spans="1:17" ht="19.95" customHeight="1">
      <c r="A39" s="24"/>
      <c r="B39" s="24"/>
      <c r="C39" s="24"/>
      <c r="D39" s="24"/>
      <c r="E39" s="24"/>
      <c r="F39" s="24"/>
      <c r="G39" s="24"/>
      <c r="H39" s="206"/>
      <c r="I39" s="208"/>
      <c r="J39" s="206"/>
      <c r="K39" s="209"/>
      <c r="L39" s="209"/>
      <c r="M39" s="206"/>
      <c r="N39" s="37"/>
      <c r="O39" s="37"/>
    </row>
    <row r="40" spans="1:17" ht="19.95" customHeight="1">
      <c r="A40" s="24" t="s">
        <v>33</v>
      </c>
      <c r="I40" s="11"/>
      <c r="J40" s="11"/>
      <c r="K40" s="11"/>
      <c r="L40" s="11"/>
      <c r="M40" s="11"/>
      <c r="N40" s="11"/>
      <c r="O40" s="11"/>
    </row>
    <row r="41" spans="1:17" ht="19.95" customHeight="1">
      <c r="I41" s="11"/>
      <c r="J41" s="11"/>
      <c r="K41" s="11"/>
      <c r="L41" s="11"/>
      <c r="M41" s="11"/>
      <c r="N41" s="11"/>
      <c r="O41" s="11"/>
    </row>
    <row r="42" spans="1:17" ht="19.95" customHeight="1">
      <c r="A42" s="11"/>
      <c r="B42" s="11"/>
      <c r="C42" s="11"/>
      <c r="D42" s="11"/>
      <c r="E42" s="11"/>
      <c r="F42" s="11"/>
      <c r="G42" s="11"/>
      <c r="H42" s="11"/>
      <c r="I42" s="11"/>
      <c r="J42" s="11"/>
      <c r="K42" s="11"/>
      <c r="L42" s="11"/>
      <c r="M42" s="11"/>
      <c r="N42" s="11"/>
      <c r="O42" s="11"/>
    </row>
    <row r="43" spans="1:17" ht="24.75" customHeight="1">
      <c r="A43" s="11"/>
      <c r="B43" s="11"/>
      <c r="C43" s="11"/>
      <c r="D43" s="11"/>
      <c r="E43" s="11"/>
      <c r="F43" s="11"/>
      <c r="G43" s="11"/>
      <c r="H43" s="11"/>
      <c r="I43" s="11"/>
      <c r="J43" s="11"/>
      <c r="K43" s="11"/>
      <c r="L43" s="11"/>
      <c r="M43" s="11"/>
      <c r="N43" s="11"/>
      <c r="O43" s="11"/>
    </row>
    <row r="44" spans="1:17" ht="18" customHeight="1">
      <c r="A44" s="38" t="s">
        <v>34</v>
      </c>
      <c r="C44" s="11"/>
      <c r="D44" s="11"/>
      <c r="E44" s="11"/>
      <c r="F44" s="11"/>
      <c r="G44" s="11"/>
      <c r="H44" s="11"/>
      <c r="I44" s="11"/>
      <c r="J44" s="11"/>
      <c r="K44" s="11"/>
      <c r="L44" s="11"/>
      <c r="M44" s="11"/>
      <c r="N44" s="11"/>
      <c r="O44" s="11"/>
    </row>
    <row r="45" spans="1:17" ht="18" customHeight="1">
      <c r="A45" s="13" t="s">
        <v>3</v>
      </c>
      <c r="B45" s="13"/>
      <c r="C45" s="11"/>
      <c r="D45" s="11"/>
      <c r="E45" s="11"/>
      <c r="F45" s="11"/>
      <c r="G45" s="11"/>
      <c r="H45" s="11"/>
      <c r="I45" s="11"/>
      <c r="J45" s="11"/>
      <c r="K45" s="11"/>
      <c r="L45" s="11"/>
      <c r="M45" s="11"/>
      <c r="N45" s="11"/>
      <c r="O45" s="11"/>
    </row>
    <row r="46" spans="1:17" ht="18" customHeight="1">
      <c r="A46" s="12" t="s">
        <v>2</v>
      </c>
      <c r="B46" s="12"/>
      <c r="C46" s="11"/>
      <c r="D46" s="11"/>
      <c r="E46" s="11"/>
      <c r="F46" s="11"/>
      <c r="G46" s="11"/>
      <c r="H46" s="11"/>
      <c r="I46" s="11"/>
      <c r="J46" s="11"/>
      <c r="K46" s="11"/>
      <c r="L46" s="11"/>
      <c r="M46" s="11"/>
      <c r="N46" s="11"/>
      <c r="O46" s="11"/>
    </row>
    <row r="47" spans="1:17" ht="18" customHeight="1">
      <c r="A47" s="39" t="s">
        <v>35</v>
      </c>
      <c r="B47" s="12"/>
      <c r="C47" s="11"/>
      <c r="D47" s="11"/>
      <c r="E47" s="11"/>
      <c r="F47" s="11"/>
      <c r="G47" s="11"/>
      <c r="H47" s="11"/>
      <c r="I47" s="11"/>
      <c r="J47" s="11"/>
      <c r="K47" s="11"/>
      <c r="L47" s="11"/>
      <c r="M47" s="11"/>
      <c r="N47" s="11"/>
      <c r="O47" s="11"/>
    </row>
    <row r="48" spans="1:17" ht="18" customHeight="1">
      <c r="A48" s="14" t="s">
        <v>27</v>
      </c>
      <c r="B48" s="12" t="s">
        <v>36</v>
      </c>
    </row>
    <row r="49" spans="1:3" ht="18" customHeight="1">
      <c r="A49" s="14" t="s">
        <v>29</v>
      </c>
      <c r="B49" s="12" t="s">
        <v>37</v>
      </c>
    </row>
    <row r="50" spans="1:3" ht="18" customHeight="1">
      <c r="A50" s="14" t="s">
        <v>31</v>
      </c>
      <c r="B50" s="12" t="s">
        <v>38</v>
      </c>
    </row>
    <row r="51" spans="1:3" ht="15.75" customHeight="1"/>
    <row r="52" spans="1:3">
      <c r="A52" s="13" t="s">
        <v>39</v>
      </c>
    </row>
    <row r="53" spans="1:3" s="13" customFormat="1">
      <c r="A53" s="40" t="s">
        <v>40</v>
      </c>
      <c r="B53" s="13" t="s">
        <v>41</v>
      </c>
    </row>
    <row r="54" spans="1:3" s="13" customFormat="1">
      <c r="A54" s="40"/>
      <c r="B54" s="13" t="s">
        <v>42</v>
      </c>
    </row>
    <row r="55" spans="1:3" s="13" customFormat="1">
      <c r="A55" s="40"/>
      <c r="B55" s="13" t="s">
        <v>43</v>
      </c>
    </row>
    <row r="56" spans="1:3" s="13" customFormat="1">
      <c r="A56" s="40"/>
      <c r="B56" s="13" t="s">
        <v>44</v>
      </c>
    </row>
    <row r="57" spans="1:3" s="13" customFormat="1">
      <c r="A57" s="40"/>
    </row>
    <row r="58" spans="1:3" s="13" customFormat="1">
      <c r="A58" s="40"/>
      <c r="B58" s="41" t="s">
        <v>45</v>
      </c>
      <c r="C58" s="42"/>
    </row>
    <row r="59" spans="1:3" s="13" customFormat="1">
      <c r="A59" s="40"/>
      <c r="B59" s="42" t="s">
        <v>46</v>
      </c>
      <c r="C59" s="42"/>
    </row>
    <row r="60" spans="1:3" s="13" customFormat="1">
      <c r="A60" s="40"/>
      <c r="B60" s="42" t="s">
        <v>47</v>
      </c>
      <c r="C60" s="42"/>
    </row>
    <row r="61" spans="1:3" s="13" customFormat="1">
      <c r="A61" s="43"/>
      <c r="B61" s="42" t="s">
        <v>48</v>
      </c>
      <c r="C61" s="20"/>
    </row>
    <row r="62" spans="1:3" s="13" customFormat="1">
      <c r="B62" s="42" t="s">
        <v>49</v>
      </c>
      <c r="C62" s="20"/>
    </row>
    <row r="63" spans="1:3" s="13" customFormat="1"/>
    <row r="64" spans="1:3">
      <c r="A64" s="40" t="s">
        <v>50</v>
      </c>
      <c r="B64" s="13" t="s">
        <v>51</v>
      </c>
    </row>
    <row r="65" spans="1:3">
      <c r="B65" s="13" t="s">
        <v>52</v>
      </c>
    </row>
    <row r="66" spans="1:3">
      <c r="B66" s="13" t="s">
        <v>53</v>
      </c>
    </row>
    <row r="67" spans="1:3">
      <c r="B67" s="13" t="s">
        <v>54</v>
      </c>
    </row>
    <row r="68" spans="1:3">
      <c r="B68" s="13" t="s">
        <v>55</v>
      </c>
    </row>
    <row r="69" spans="1:3">
      <c r="B69" s="13" t="s">
        <v>56</v>
      </c>
    </row>
    <row r="70" spans="1:3">
      <c r="B70" s="13" t="s">
        <v>57</v>
      </c>
    </row>
    <row r="72" spans="1:3">
      <c r="B72" s="44" t="s">
        <v>58</v>
      </c>
    </row>
    <row r="73" spans="1:3">
      <c r="B73" s="13" t="s">
        <v>59</v>
      </c>
    </row>
    <row r="74" spans="1:3">
      <c r="B74" s="13" t="s">
        <v>60</v>
      </c>
    </row>
    <row r="76" spans="1:3">
      <c r="A76" s="40" t="s">
        <v>61</v>
      </c>
      <c r="B76" s="13" t="s">
        <v>62</v>
      </c>
      <c r="C76" s="13"/>
    </row>
    <row r="77" spans="1:3">
      <c r="B77" s="13" t="s">
        <v>63</v>
      </c>
      <c r="C77" s="13"/>
    </row>
    <row r="78" spans="1:3">
      <c r="B78" s="13" t="s">
        <v>64</v>
      </c>
      <c r="C78" s="13"/>
    </row>
    <row r="79" spans="1:3">
      <c r="B79" s="13" t="s">
        <v>65</v>
      </c>
      <c r="C79" s="13"/>
    </row>
    <row r="80" spans="1:3">
      <c r="B80" s="13" t="s">
        <v>66</v>
      </c>
      <c r="C80" s="13"/>
    </row>
    <row r="81" spans="2:3">
      <c r="B81" s="13"/>
      <c r="C81" s="13"/>
    </row>
    <row r="82" spans="2:3">
      <c r="B82" s="13" t="s">
        <v>67</v>
      </c>
    </row>
    <row r="83" spans="2:3">
      <c r="B83" s="13" t="s">
        <v>68</v>
      </c>
    </row>
    <row r="84" spans="2:3">
      <c r="B84" s="13"/>
    </row>
    <row r="85" spans="2:3">
      <c r="B85" s="44" t="s">
        <v>69</v>
      </c>
      <c r="C85" s="13"/>
    </row>
    <row r="86" spans="2:3">
      <c r="B86" s="13" t="s">
        <v>70</v>
      </c>
      <c r="C86" s="13"/>
    </row>
    <row r="87" spans="2:3">
      <c r="B87" s="13"/>
      <c r="C87" s="13"/>
    </row>
    <row r="88" spans="2:3">
      <c r="B88" s="13" t="s">
        <v>71</v>
      </c>
      <c r="C88" s="13"/>
    </row>
    <row r="89" spans="2:3">
      <c r="B89" s="13" t="s">
        <v>72</v>
      </c>
      <c r="C89" s="13"/>
    </row>
    <row r="90" spans="2:3">
      <c r="B90" s="13"/>
      <c r="C90" s="13"/>
    </row>
    <row r="91" spans="2:3">
      <c r="B91" s="13" t="s">
        <v>73</v>
      </c>
      <c r="C91" s="13"/>
    </row>
    <row r="92" spans="2:3">
      <c r="B92" s="13" t="s">
        <v>74</v>
      </c>
      <c r="C92" s="13"/>
    </row>
    <row r="93" spans="2:3">
      <c r="B93" s="13" t="s">
        <v>75</v>
      </c>
      <c r="C93" s="13"/>
    </row>
    <row r="94" spans="2:3">
      <c r="B94" s="13"/>
      <c r="C94" s="13"/>
    </row>
    <row r="95" spans="2:3">
      <c r="B95" s="44" t="s">
        <v>76</v>
      </c>
      <c r="C95" s="13"/>
    </row>
    <row r="96" spans="2:3" ht="25.8">
      <c r="B96" s="45" t="s">
        <v>77</v>
      </c>
      <c r="C96" s="45" t="s">
        <v>78</v>
      </c>
    </row>
    <row r="97" spans="2:3">
      <c r="B97" s="46">
        <v>1</v>
      </c>
      <c r="C97" s="46">
        <v>1.9</v>
      </c>
    </row>
    <row r="98" spans="2:3">
      <c r="B98" s="46">
        <v>5</v>
      </c>
      <c r="C98" s="46">
        <v>1.6</v>
      </c>
    </row>
    <row r="99" spans="2:3">
      <c r="B99" s="46">
        <v>10</v>
      </c>
      <c r="C99" s="46">
        <v>1.5</v>
      </c>
    </row>
  </sheetData>
  <mergeCells count="17">
    <mergeCell ref="A27:D27"/>
    <mergeCell ref="A28:D28"/>
    <mergeCell ref="Q15:Q16"/>
    <mergeCell ref="H30:H31"/>
    <mergeCell ref="O30:O31"/>
    <mergeCell ref="P30:P31"/>
    <mergeCell ref="Q30:Q31"/>
    <mergeCell ref="O15:O16"/>
    <mergeCell ref="P15:P16"/>
    <mergeCell ref="I30:N30"/>
    <mergeCell ref="A15:G15"/>
    <mergeCell ref="H15:H16"/>
    <mergeCell ref="A8:K8"/>
    <mergeCell ref="I15:N15"/>
    <mergeCell ref="A1:Q1"/>
    <mergeCell ref="A2:Q2"/>
    <mergeCell ref="A26:D26"/>
  </mergeCells>
  <phoneticPr fontId="4" type="noConversion"/>
  <dataValidations count="1">
    <dataValidation type="list" allowBlank="1" showInputMessage="1" showErrorMessage="1" sqref="I32:N36 I17:N25">
      <formula1>"√,X"</formula1>
    </dataValidation>
  </dataValidations>
  <hyperlinks>
    <hyperlink ref="Q3" location="底稿目录!F11" display="底稿目录!F11"/>
  </hyperlinks>
  <printOptions horizontalCentered="1"/>
  <pageMargins left="0.70866141732283472" right="0.70866141732283472" top="0.74803149606299213" bottom="0.74803149606299213" header="0.31496062992125984" footer="0.31496062992125984"/>
  <pageSetup paperSize="9" scale="72"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10</vt:i4>
      </vt:variant>
    </vt:vector>
  </HeadingPairs>
  <TitlesOfParts>
    <vt:vector size="20" baseType="lpstr">
      <vt:lpstr>底稿目录</vt:lpstr>
      <vt:lpstr>其他非流动金融资产实质性程序表G9A</vt:lpstr>
      <vt:lpstr>审定表G9-1</vt:lpstr>
      <vt:lpstr>附注披露信息（上市公司）</vt:lpstr>
      <vt:lpstr>附注披露信息（国企）</vt:lpstr>
      <vt:lpstr>明细表G9-2</vt:lpstr>
      <vt:lpstr>调整分录汇总G9-3</vt:lpstr>
      <vt:lpstr>公允价值测试表G9-4</vt:lpstr>
      <vt:lpstr>第三层次公允价值计量的调节表G9-5</vt:lpstr>
      <vt:lpstr>凭证检查表G9-6</vt:lpstr>
      <vt:lpstr>'调整分录汇总G9-3'!Print_Area</vt:lpstr>
      <vt:lpstr>'附注披露信息（国企）'!Print_Area</vt:lpstr>
      <vt:lpstr>'附注披露信息（上市公司）'!Print_Area</vt:lpstr>
      <vt:lpstr>'公允价值测试表G9-4'!Print_Area</vt:lpstr>
      <vt:lpstr>'明细表G9-2'!Print_Area</vt:lpstr>
      <vt:lpstr>'凭证检查表G9-6'!Print_Area</vt:lpstr>
      <vt:lpstr>其他非流动金融资产实质性程序表G9A!Print_Area</vt:lpstr>
      <vt:lpstr>'审定表G9-1'!Print_Area</vt:lpstr>
      <vt:lpstr>其他非流动金融资产实质性程序表G9A!Print_Titles</vt:lpstr>
      <vt:lpstr>'审定表G9-1'!Print_Titles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2025-10-27T03:35:17Z</cp:lastPrinted>
  <dcterms:created xsi:type="dcterms:W3CDTF">2014-10-22T07:25:05Z</dcterms:created>
  <dcterms:modified xsi:type="dcterms:W3CDTF">2025-11-04T08:51:48Z</dcterms:modified>
</cp:coreProperties>
</file>