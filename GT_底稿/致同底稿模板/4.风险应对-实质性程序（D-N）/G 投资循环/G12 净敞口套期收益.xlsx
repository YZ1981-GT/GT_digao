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96" yWindow="-96" windowWidth="19092" windowHeight="12072" tabRatio="841"/>
  </bookViews>
  <sheets>
    <sheet name="底稿目录" sheetId="11" r:id="rId1"/>
    <sheet name="净敞口套期收益审计程序表G12A" sheetId="28" r:id="rId2"/>
    <sheet name="净敞口套期收益审计程序表G12A-修订前" sheetId="31" state="hidden" r:id="rId3"/>
    <sheet name="审定表G12-1" sheetId="16" r:id="rId4"/>
    <sheet name="附注披露信息（上市公司）" sheetId="2" r:id="rId5"/>
    <sheet name="附注披露信息（国企）" sheetId="24" r:id="rId6"/>
    <sheet name="明细表G12-2" sheetId="27" r:id="rId7"/>
    <sheet name="调整分录汇总G12-3" sheetId="30" r:id="rId8"/>
    <sheet name="公允价值测试表G12-4" sheetId="26" r:id="rId9"/>
    <sheet name="风险净敞口检查表G12-5" sheetId="29" r:id="rId10"/>
    <sheet name="凭证检查表G12-6" sheetId="9" r:id="rId11"/>
  </sheets>
  <definedNames>
    <definedName name="_xlnm.Print_Area" localSheetId="7">'调整分录汇总G12-3'!$A$1:$J$23</definedName>
    <definedName name="_xlnm.Print_Area" localSheetId="9">'风险净敞口检查表G12-5'!$A$1:$I$21</definedName>
    <definedName name="_xlnm.Print_Area" localSheetId="5">'附注披露信息（国企）'!$A$1:$E$11</definedName>
    <definedName name="_xlnm.Print_Area" localSheetId="4">'附注披露信息（上市公司）'!$A$1:$E$12</definedName>
    <definedName name="_xlnm.Print_Area" localSheetId="8">'公允价值测试表G12-4'!$A$1:$R$22</definedName>
    <definedName name="_xlnm.Print_Area" localSheetId="1">净敞口套期收益审计程序表G12A!$A$1:$I$28</definedName>
    <definedName name="_xlnm.Print_Area" localSheetId="2">'净敞口套期收益审计程序表G12A-修订前'!$A$1:$I$63</definedName>
    <definedName name="_xlnm.Print_Area" localSheetId="6">'明细表G12-2'!$A$1:$J$19</definedName>
    <definedName name="_xlnm.Print_Area" localSheetId="10">'凭证检查表G12-6'!$A$1:$P$32</definedName>
    <definedName name="_xlnm.Print_Area" localSheetId="3">'审定表G12-1'!$A$1:$J$23</definedName>
    <definedName name="_xlnm.Print_Titles" localSheetId="1">净敞口套期收益审计程序表G12A!$16:$16</definedName>
    <definedName name="_xlnm.Print_Titles" localSheetId="2">'净敞口套期收益审计程序表G12A-修订前'!$16:$16</definedName>
    <definedName name="_xlnm.Print_Titles" localSheetId="3">'审定表G12-1'!$2:$6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9" l="1"/>
  <c r="F26" i="9" s="1"/>
  <c r="F24" i="9"/>
  <c r="H18" i="26" l="1"/>
  <c r="J18" i="26" s="1"/>
  <c r="H17" i="26"/>
  <c r="J17" i="26" s="1"/>
  <c r="H16" i="26"/>
  <c r="J16" i="26" s="1"/>
  <c r="H15" i="26"/>
  <c r="J15" i="26" s="1"/>
  <c r="H14" i="26"/>
  <c r="J14" i="26" s="1"/>
  <c r="H13" i="26"/>
  <c r="J13" i="26" s="1"/>
  <c r="H12" i="26"/>
  <c r="J12" i="26" s="1"/>
  <c r="H11" i="26"/>
  <c r="J11" i="26" s="1"/>
  <c r="H10" i="26"/>
  <c r="D10" i="26"/>
  <c r="H9" i="26"/>
  <c r="D9" i="26"/>
  <c r="D19" i="26" s="1"/>
  <c r="H19" i="26" l="1"/>
  <c r="J10" i="26"/>
  <c r="J9" i="26"/>
  <c r="J19" i="26" s="1"/>
  <c r="F4" i="31" l="1"/>
  <c r="C4" i="31"/>
  <c r="A4" i="31"/>
  <c r="I3" i="31"/>
  <c r="F3" i="31"/>
  <c r="C3" i="31"/>
  <c r="A3" i="31"/>
  <c r="I9" i="27" l="1"/>
  <c r="G9" i="27"/>
  <c r="P3" i="9"/>
  <c r="I3" i="29"/>
  <c r="Q3" i="26"/>
  <c r="J3" i="30"/>
  <c r="J3" i="27"/>
  <c r="E3" i="24"/>
  <c r="E3" i="2"/>
  <c r="J3" i="16"/>
  <c r="I3" i="28"/>
  <c r="F4" i="28"/>
  <c r="C4" i="28"/>
  <c r="C10" i="24" l="1"/>
  <c r="B10" i="24"/>
  <c r="C11" i="2"/>
  <c r="B11" i="2"/>
  <c r="G4" i="30" l="1"/>
  <c r="D4" i="30"/>
  <c r="G3" i="30"/>
  <c r="D3" i="30"/>
  <c r="A4" i="30"/>
  <c r="A3" i="30"/>
  <c r="I4" i="26"/>
  <c r="E4" i="26"/>
  <c r="E4" i="27"/>
  <c r="C4" i="27"/>
  <c r="C4" i="24"/>
  <c r="B4" i="24"/>
  <c r="C4" i="2"/>
  <c r="B4" i="2"/>
  <c r="G4" i="16"/>
  <c r="D4" i="16"/>
  <c r="D4" i="9"/>
  <c r="G4" i="9"/>
  <c r="F4" i="29"/>
  <c r="D4" i="29"/>
  <c r="A4" i="29"/>
  <c r="F3" i="29"/>
  <c r="D3" i="29"/>
  <c r="A3" i="29"/>
  <c r="G8" i="16" l="1"/>
  <c r="G9" i="16"/>
  <c r="G10" i="16"/>
  <c r="G11" i="16"/>
  <c r="G7" i="16"/>
  <c r="D8" i="16"/>
  <c r="D9" i="16"/>
  <c r="D10" i="16"/>
  <c r="D11" i="16"/>
  <c r="D7" i="16"/>
  <c r="F3" i="28" l="1"/>
  <c r="C3" i="28"/>
  <c r="A4" i="28"/>
  <c r="A3" i="28"/>
  <c r="I10" i="27" l="1"/>
  <c r="I14" i="27" s="1"/>
  <c r="G14" i="27"/>
  <c r="F14" i="27"/>
  <c r="J14" i="27"/>
  <c r="E3" i="27"/>
  <c r="C3" i="27"/>
  <c r="A4" i="27"/>
  <c r="A3" i="27"/>
  <c r="D14" i="27"/>
  <c r="C14" i="27"/>
  <c r="B14" i="27"/>
  <c r="E14" i="27" l="1"/>
  <c r="A4" i="26" l="1"/>
  <c r="I3" i="26"/>
  <c r="E3" i="26"/>
  <c r="A3" i="26"/>
  <c r="A4" i="24" l="1"/>
  <c r="C3" i="24"/>
  <c r="B3" i="24"/>
  <c r="A3" i="24"/>
  <c r="F12" i="16"/>
  <c r="B12" i="16"/>
  <c r="C12" i="16"/>
  <c r="E12" i="16"/>
  <c r="H11" i="16" l="1"/>
  <c r="H10" i="16"/>
  <c r="I11" i="16"/>
  <c r="I10" i="16"/>
  <c r="G12" i="16" l="1"/>
  <c r="G14" i="16" s="1"/>
  <c r="D12" i="16"/>
  <c r="D14" i="16" s="1"/>
  <c r="I8" i="16"/>
  <c r="I9" i="16"/>
  <c r="H9" i="16"/>
  <c r="H8" i="16"/>
  <c r="H7" i="16"/>
  <c r="I7" i="16" l="1"/>
  <c r="H12" i="16"/>
  <c r="I12" i="16" s="1"/>
  <c r="D16" i="16"/>
  <c r="G3" i="16" l="1"/>
  <c r="D3" i="16"/>
  <c r="A4" i="16"/>
  <c r="A3" i="16"/>
  <c r="A4" i="9" l="1"/>
  <c r="G3" i="9"/>
  <c r="D3" i="9"/>
  <c r="A3" i="9"/>
  <c r="A4" i="2"/>
  <c r="C3" i="2"/>
  <c r="B3" i="2"/>
  <c r="A3" i="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A7" authorId="0" shapeId="0">
      <text>
        <r>
          <rPr>
            <b/>
            <sz val="9"/>
            <color indexed="81"/>
            <rFont val="宋体"/>
            <family val="3"/>
            <charset val="134"/>
          </rPr>
          <t>技术部:</t>
        </r>
        <r>
          <rPr>
            <sz val="9"/>
            <color indexed="81"/>
            <rFont val="宋体"/>
            <family val="3"/>
            <charset val="134"/>
          </rPr>
          <t xml:space="preserve">
可按套期关系进行明细核算</t>
        </r>
      </text>
    </comment>
  </commentList>
</comments>
</file>

<file path=xl/sharedStrings.xml><?xml version="1.0" encoding="utf-8"?>
<sst xmlns="http://schemas.openxmlformats.org/spreadsheetml/2006/main" count="685" uniqueCount="440">
  <si>
    <t>索引号：</t>
  </si>
  <si>
    <t>编制说明：</t>
    <phoneticPr fontId="7" type="noConversion"/>
  </si>
  <si>
    <t>（2）拟调整事项及其调整分录、未调整事项及其影响，审计范围受到限制情况及其影响。</t>
  </si>
  <si>
    <r>
      <t>参考结论：</t>
    </r>
    <r>
      <rPr>
        <sz val="12"/>
        <rFont val="Arial Narrow"/>
        <family val="2"/>
      </rPr>
      <t/>
    </r>
    <phoneticPr fontId="7" type="noConversion"/>
  </si>
  <si>
    <r>
      <t>A</t>
    </r>
    <r>
      <rPr>
        <sz val="10"/>
        <color indexed="12"/>
        <rFont val="宋体"/>
        <family val="3"/>
        <charset val="134"/>
      </rPr>
      <t>、</t>
    </r>
    <phoneticPr fontId="7" type="noConversion"/>
  </si>
  <si>
    <t>未见异常。</t>
    <phoneticPr fontId="7" type="noConversion"/>
  </si>
  <si>
    <r>
      <t>B</t>
    </r>
    <r>
      <rPr>
        <sz val="10"/>
        <color indexed="12"/>
        <rFont val="宋体"/>
        <family val="3"/>
        <charset val="134"/>
      </rPr>
      <t>、</t>
    </r>
    <phoneticPr fontId="7" type="noConversion"/>
  </si>
  <si>
    <t>除以下重大不符事项应当作为调整事项予以调整外，其余未见异常。</t>
    <phoneticPr fontId="7" type="noConversion"/>
  </si>
  <si>
    <r>
      <t>C</t>
    </r>
    <r>
      <rPr>
        <sz val="10"/>
        <color indexed="12"/>
        <rFont val="宋体"/>
        <family val="3"/>
        <charset val="134"/>
      </rPr>
      <t>、</t>
    </r>
    <phoneticPr fontId="7" type="noConversion"/>
  </si>
  <si>
    <t>由于存在以下重大未调整事项（或审计范围受到限制无法获取充分、适当证据），不可确认。</t>
    <phoneticPr fontId="7" type="noConversion"/>
  </si>
  <si>
    <t>1、概述：（1）程序的测试情况、结果；</t>
  </si>
  <si>
    <t>2、选取测试项目的方法：包括选取全部项目、选取特定项目和审计抽样。</t>
  </si>
  <si>
    <t>底稿开列时，可先在以下单元格填写有关内容，以便其他底稿引用有关数据：</t>
    <phoneticPr fontId="7" type="noConversion"/>
  </si>
  <si>
    <t>编制人：</t>
    <phoneticPr fontId="7" type="noConversion"/>
  </si>
  <si>
    <t>一、审计目标</t>
    <phoneticPr fontId="3" type="noConversion"/>
  </si>
  <si>
    <t>二、审计过程</t>
    <phoneticPr fontId="3" type="noConversion"/>
  </si>
  <si>
    <t>三、审计说明：</t>
    <phoneticPr fontId="7" type="noConversion"/>
  </si>
  <si>
    <t>四、审计结论：</t>
    <phoneticPr fontId="7" type="noConversion"/>
  </si>
  <si>
    <t>致同会计师事务所</t>
    <phoneticPr fontId="3" type="noConversion"/>
  </si>
  <si>
    <t>页  次：</t>
    <phoneticPr fontId="3" type="noConversion"/>
  </si>
  <si>
    <t>合计</t>
    <phoneticPr fontId="3"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</si>
  <si>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</si>
  <si>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</si>
  <si>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选取的特定项目可能包括：</t>
    </r>
  </si>
  <si>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</si>
  <si>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</si>
  <si>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统计抽样是指同时具备下列特征的抽样方法：</t>
    </r>
  </si>
  <si>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</si>
  <si>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</si>
  <si>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r>
      <rPr>
        <b/>
        <sz val="10"/>
        <rFont val="宋体"/>
        <family val="3"/>
        <charset val="134"/>
      </rPr>
      <t>一、测试目标：</t>
    </r>
    <phoneticPr fontId="59" type="noConversion"/>
  </si>
  <si>
    <r>
      <rPr>
        <b/>
        <sz val="10"/>
        <rFont val="宋体"/>
        <family val="3"/>
        <charset val="134"/>
      </rPr>
      <t>三、测试：</t>
    </r>
    <phoneticPr fontId="59" type="noConversion"/>
  </si>
  <si>
    <r>
      <rPr>
        <b/>
        <sz val="10"/>
        <rFont val="宋体"/>
        <family val="3"/>
        <charset val="134"/>
      </rPr>
      <t>四、审计说明：</t>
    </r>
    <phoneticPr fontId="59" type="noConversion"/>
  </si>
  <si>
    <r>
      <rPr>
        <b/>
        <sz val="10"/>
        <rFont val="宋体"/>
        <family val="3"/>
        <charset val="134"/>
      </rPr>
      <t>五、审计结论：</t>
    </r>
    <phoneticPr fontId="7" type="noConversion"/>
  </si>
  <si>
    <r>
      <rPr>
        <i/>
        <sz val="10"/>
        <color indexed="12"/>
        <rFont val="宋体"/>
        <family val="3"/>
        <charset val="134"/>
      </rPr>
      <t>编制说明：</t>
    </r>
    <phoneticPr fontId="7" type="noConversion"/>
  </si>
  <si>
    <r>
      <rPr>
        <b/>
        <sz val="10"/>
        <color indexed="12"/>
        <rFont val="宋体"/>
        <family val="3"/>
        <charset val="134"/>
      </rPr>
      <t>参考结论：</t>
    </r>
    <r>
      <rPr>
        <sz val="12"/>
        <rFont val="Arial Narrow"/>
        <family val="2"/>
      </rPr>
      <t/>
    </r>
    <phoneticPr fontId="7" type="noConversion"/>
  </si>
  <si>
    <r>
      <rPr>
        <sz val="10"/>
        <color indexed="12"/>
        <rFont val="宋体"/>
        <family val="3"/>
        <charset val="134"/>
      </rPr>
      <t>未见异常。</t>
    </r>
    <phoneticPr fontId="7" type="noConversion"/>
  </si>
  <si>
    <r>
      <rPr>
        <sz val="10"/>
        <color indexed="12"/>
        <rFont val="宋体"/>
        <family val="3"/>
        <charset val="134"/>
      </rPr>
      <t>除以下重大不符事项应当作为调整事项予以调整外，其余未见异常。</t>
    </r>
    <phoneticPr fontId="7" type="noConversion"/>
  </si>
  <si>
    <r>
      <rPr>
        <sz val="10"/>
        <color indexed="12"/>
        <rFont val="宋体"/>
        <family val="3"/>
        <charset val="134"/>
      </rPr>
      <t>由于存在以下重大未调整事项（或审计范围受到限制无法获取充分、适当证据），不可确认。</t>
    </r>
    <phoneticPr fontId="7" type="noConversion"/>
  </si>
  <si>
    <r>
      <rPr>
        <sz val="10"/>
        <color indexed="12"/>
        <rFont val="宋体"/>
        <family val="3"/>
        <charset val="134"/>
      </rPr>
      <t>（</t>
    </r>
    <r>
      <rPr>
        <sz val="10"/>
        <color indexed="12"/>
        <rFont val="Arial Narrow"/>
        <family val="2"/>
      </rPr>
      <t>1</t>
    </r>
    <r>
      <rPr>
        <sz val="10"/>
        <color indexed="12"/>
        <rFont val="宋体"/>
        <family val="3"/>
        <charset val="134"/>
      </rPr>
      <t>）</t>
    </r>
    <phoneticPr fontId="7" type="noConversion"/>
  </si>
  <si>
    <r>
      <rPr>
        <sz val="10"/>
        <color indexed="12"/>
        <rFont val="宋体"/>
        <family val="3"/>
        <charset val="134"/>
      </rPr>
      <t>当存在下列情形之一时，注册会计师应当考虑选取全部项目进行测试：</t>
    </r>
    <phoneticPr fontId="7" type="noConversion"/>
  </si>
  <si>
    <r>
      <rPr>
        <sz val="10"/>
        <color indexed="12"/>
        <rFont val="宋体"/>
        <family val="3"/>
        <charset val="134"/>
      </rPr>
      <t>（一）总体由少量的大额项目构成；</t>
    </r>
    <phoneticPr fontId="7" type="noConversion"/>
  </si>
  <si>
    <r>
      <rPr>
        <sz val="10"/>
        <color indexed="12"/>
        <rFont val="宋体"/>
        <family val="3"/>
        <charset val="134"/>
      </rPr>
      <t>（二）存在特别风险且其他方法未提供充分、适当的审计证据；</t>
    </r>
    <phoneticPr fontId="7" type="noConversion"/>
  </si>
  <si>
    <r>
      <rPr>
        <sz val="10"/>
        <color indexed="12"/>
        <rFont val="宋体"/>
        <family val="3"/>
        <charset val="134"/>
      </rPr>
      <t>（三）由于信息系统自动执行的计算或其他程序具有重复性，对全部项目进行检查符合成本效益原则。</t>
    </r>
    <phoneticPr fontId="7" type="noConversion"/>
  </si>
  <si>
    <r>
      <rPr>
        <b/>
        <sz val="10"/>
        <color indexed="12"/>
        <rFont val="宋体"/>
        <family val="3"/>
        <charset val="134"/>
      </rPr>
      <t>特别风险涉及的事项包括但不限于：</t>
    </r>
    <r>
      <rPr>
        <sz val="10"/>
        <color indexed="12"/>
        <rFont val="Arial Narrow"/>
        <family val="2"/>
      </rPr>
      <t/>
    </r>
    <phoneticPr fontId="7"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</si>
  <si>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7" type="noConversion"/>
  </si>
  <si>
    <r>
      <rPr>
        <sz val="10"/>
        <color indexed="12"/>
        <rFont val="宋体"/>
        <family val="3"/>
        <charset val="134"/>
      </rPr>
      <t>高度自动化处理）等等。</t>
    </r>
    <phoneticPr fontId="7" type="noConversion"/>
  </si>
  <si>
    <r>
      <rPr>
        <sz val="10"/>
        <color indexed="12"/>
        <rFont val="宋体"/>
        <family val="3"/>
        <charset val="134"/>
      </rPr>
      <t>（</t>
    </r>
    <r>
      <rPr>
        <sz val="10"/>
        <color indexed="12"/>
        <rFont val="Arial Narrow"/>
        <family val="2"/>
      </rPr>
      <t>2</t>
    </r>
    <r>
      <rPr>
        <sz val="10"/>
        <color indexed="12"/>
        <rFont val="宋体"/>
        <family val="3"/>
        <charset val="134"/>
      </rPr>
      <t>）</t>
    </r>
    <phoneticPr fontId="7" type="noConversion"/>
  </si>
  <si>
    <r>
      <rPr>
        <sz val="10"/>
        <color indexed="12"/>
        <rFont val="宋体"/>
        <family val="3"/>
        <charset val="134"/>
      </rPr>
      <t>（一）大额或关键项目；</t>
    </r>
    <phoneticPr fontId="7" type="noConversion"/>
  </si>
  <si>
    <r>
      <rPr>
        <sz val="10"/>
        <color indexed="12"/>
        <rFont val="宋体"/>
        <family val="3"/>
        <charset val="134"/>
      </rPr>
      <t>（二）超过某一金额的全部项目；</t>
    </r>
    <phoneticPr fontId="7" type="noConversion"/>
  </si>
  <si>
    <r>
      <rPr>
        <sz val="10"/>
        <color indexed="12"/>
        <rFont val="宋体"/>
        <family val="3"/>
        <charset val="134"/>
      </rPr>
      <t>（三）被用于获取某些信息的项目；</t>
    </r>
    <phoneticPr fontId="7" type="noConversion"/>
  </si>
  <si>
    <r>
      <rPr>
        <sz val="10"/>
        <color indexed="12"/>
        <rFont val="宋体"/>
        <family val="3"/>
        <charset val="134"/>
      </rPr>
      <t>（四）被用于测试控制活动的项目。</t>
    </r>
    <phoneticPr fontId="7" type="noConversion"/>
  </si>
  <si>
    <r>
      <rPr>
        <sz val="10"/>
        <color indexed="12"/>
        <rFont val="宋体"/>
        <family val="3"/>
        <charset val="134"/>
      </rPr>
      <t>根据判断选取特定项目，容易产生非抽样风险。</t>
    </r>
    <phoneticPr fontId="7" type="noConversion"/>
  </si>
  <si>
    <r>
      <rPr>
        <sz val="10"/>
        <color indexed="12"/>
        <rFont val="宋体"/>
        <family val="3"/>
        <charset val="134"/>
      </rPr>
      <t>选取特定项目实施检查，通常是获取审计证据的有效手段，但并不构成审计抽样。</t>
    </r>
    <phoneticPr fontId="7" type="noConversion"/>
  </si>
  <si>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phoneticPr fontId="7" type="noConversion"/>
  </si>
  <si>
    <r>
      <rPr>
        <sz val="10"/>
        <color indexed="12"/>
        <rFont val="宋体"/>
        <family val="3"/>
        <charset val="134"/>
      </rPr>
      <t>（</t>
    </r>
    <r>
      <rPr>
        <sz val="10"/>
        <color indexed="12"/>
        <rFont val="Arial Narrow"/>
        <family val="2"/>
      </rPr>
      <t>3</t>
    </r>
    <r>
      <rPr>
        <sz val="10"/>
        <color indexed="12"/>
        <rFont val="宋体"/>
        <family val="3"/>
        <charset val="134"/>
      </rPr>
      <t>）</t>
    </r>
    <phoneticPr fontId="7" type="noConversion"/>
  </si>
  <si>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phoneticPr fontId="7" type="noConversion"/>
  </si>
  <si>
    <r>
      <rPr>
        <sz val="10"/>
        <color indexed="12"/>
        <rFont val="宋体"/>
        <family val="3"/>
        <charset val="134"/>
      </rPr>
      <t>（一）随机选取样本；</t>
    </r>
    <phoneticPr fontId="7" type="noConversion"/>
  </si>
  <si>
    <r>
      <rPr>
        <sz val="10"/>
        <color indexed="12"/>
        <rFont val="宋体"/>
        <family val="3"/>
        <charset val="134"/>
      </rPr>
      <t>（二）运用概率论评价样本结果，包括计量抽样风险。</t>
    </r>
    <phoneticPr fontId="7" type="noConversion"/>
  </si>
  <si>
    <r>
      <rPr>
        <sz val="10"/>
        <color indexed="12"/>
        <rFont val="宋体"/>
        <family val="3"/>
        <charset val="134"/>
      </rPr>
      <t>不同时具备上述两个特征的抽样方法为非统计抽样。</t>
    </r>
    <phoneticPr fontId="7" type="noConversion"/>
  </si>
  <si>
    <r>
      <rPr>
        <sz val="10"/>
        <color indexed="12"/>
        <rFont val="宋体"/>
        <family val="3"/>
        <charset val="134"/>
      </rPr>
      <t>在实施细节测试时，特别是测试高估时，将构成某类交易或账户余额的每一货币单位（如人民币元）作为抽样单元，通常效率很高。</t>
    </r>
    <phoneticPr fontId="7" type="noConversion"/>
  </si>
  <si>
    <r>
      <rPr>
        <sz val="10"/>
        <color indexed="12"/>
        <rFont val="宋体"/>
        <family val="3"/>
        <charset val="134"/>
      </rPr>
      <t>即在测试存在性时，选择大额项目的效率较高。</t>
    </r>
    <phoneticPr fontId="7" type="noConversion"/>
  </si>
  <si>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phoneticPr fontId="7" type="noConversion"/>
  </si>
  <si>
    <r>
      <rPr>
        <sz val="10"/>
        <color indexed="12"/>
        <rFont val="宋体"/>
        <family val="3"/>
        <charset val="134"/>
      </rPr>
      <t>当实施细节测试时，注册会计师通常按照货币金额对某类交易或账户余额进行分层，以将更多的审计资源投入到大额项目中。</t>
    </r>
    <phoneticPr fontId="7" type="noConversion"/>
  </si>
  <si>
    <r>
      <rPr>
        <sz val="10"/>
        <color indexed="12"/>
        <rFont val="宋体"/>
        <family val="3"/>
        <charset val="134"/>
      </rPr>
      <t>在统计抽样中，注册会计师应当随机选取样本项目，以使每一抽样单元以已知的机会被选中。</t>
    </r>
    <phoneticPr fontId="7" type="noConversion"/>
  </si>
  <si>
    <r>
      <rPr>
        <sz val="10"/>
        <color indexed="12"/>
        <rFont val="宋体"/>
        <family val="3"/>
        <charset val="134"/>
      </rPr>
      <t>在非统计抽样中，注册会计师应当运用职业判断选取样本项目。</t>
    </r>
    <phoneticPr fontId="7" type="noConversion"/>
  </si>
  <si>
    <r>
      <rPr>
        <sz val="10"/>
        <color indexed="12"/>
        <rFont val="宋体"/>
        <family val="3"/>
        <charset val="134"/>
      </rPr>
      <t>注册会计师可以使用统计学公式或运用职业判断，确定样本规模。</t>
    </r>
    <phoneticPr fontId="7" type="noConversion"/>
  </si>
  <si>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phoneticPr fontId="7" type="noConversion"/>
  </si>
  <si>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phoneticPr fontId="7" type="noConversion"/>
  </si>
  <si>
    <r>
      <rPr>
        <b/>
        <sz val="10"/>
        <color indexed="12"/>
        <rFont val="宋体"/>
        <family val="3"/>
        <charset val="134"/>
      </rPr>
      <t>预计错报的扩展系数</t>
    </r>
    <phoneticPr fontId="7" type="noConversion"/>
  </si>
  <si>
    <r>
      <rPr>
        <sz val="12"/>
        <color theme="1"/>
        <rFont val="仿宋_GB2312"/>
        <family val="3"/>
        <charset val="134"/>
      </rPr>
      <t>附注披露信息</t>
    </r>
    <phoneticPr fontId="7" type="noConversion"/>
  </si>
  <si>
    <t>索引号</t>
    <phoneticPr fontId="3" type="noConversion"/>
  </si>
  <si>
    <t>项目</t>
    <phoneticPr fontId="7" type="noConversion"/>
  </si>
  <si>
    <t>本期与上期审定数比较</t>
    <phoneticPr fontId="7" type="noConversion"/>
  </si>
  <si>
    <r>
      <rPr>
        <b/>
        <sz val="10"/>
        <color indexed="8"/>
        <rFont val="宋体"/>
        <family val="3"/>
        <charset val="134"/>
      </rPr>
      <t>原因分析</t>
    </r>
    <phoneticPr fontId="7" type="noConversion"/>
  </si>
  <si>
    <r>
      <rPr>
        <b/>
        <sz val="10"/>
        <rFont val="宋体"/>
        <family val="3"/>
        <charset val="134"/>
      </rPr>
      <t>未审数</t>
    </r>
    <phoneticPr fontId="7" type="noConversion"/>
  </si>
  <si>
    <r>
      <rPr>
        <b/>
        <sz val="10"/>
        <rFont val="宋体"/>
        <family val="3"/>
        <charset val="134"/>
      </rPr>
      <t>审定数</t>
    </r>
    <phoneticPr fontId="7" type="noConversion"/>
  </si>
  <si>
    <r>
      <rPr>
        <b/>
        <sz val="10"/>
        <rFont val="宋体"/>
        <family val="3"/>
        <charset val="134"/>
      </rPr>
      <t>变动额</t>
    </r>
    <phoneticPr fontId="7" type="noConversion"/>
  </si>
  <si>
    <r>
      <rPr>
        <b/>
        <sz val="10"/>
        <color indexed="8"/>
        <rFont val="宋体"/>
        <family val="3"/>
        <charset val="134"/>
      </rPr>
      <t>变动率</t>
    </r>
    <phoneticPr fontId="7" type="noConversion"/>
  </si>
  <si>
    <r>
      <t>1</t>
    </r>
    <r>
      <rPr>
        <b/>
        <sz val="10"/>
        <rFont val="宋体"/>
        <family val="3"/>
        <charset val="134"/>
      </rPr>
      <t>、审计说明</t>
    </r>
    <r>
      <rPr>
        <sz val="10"/>
        <color indexed="12"/>
        <rFont val="宋体"/>
        <family val="3"/>
        <charset val="134"/>
      </rPr>
      <t/>
    </r>
    <phoneticPr fontId="7"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</si>
  <si>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7" type="noConversion"/>
  </si>
  <si>
    <r>
      <t>2</t>
    </r>
    <r>
      <rPr>
        <b/>
        <sz val="10"/>
        <rFont val="宋体"/>
        <family val="3"/>
        <charset val="134"/>
      </rPr>
      <t>、审计结论</t>
    </r>
    <phoneticPr fontId="7" type="noConversion"/>
  </si>
  <si>
    <r>
      <rPr>
        <sz val="10"/>
        <rFont val="宋体"/>
        <family val="3"/>
        <charset val="134"/>
      </rPr>
      <t>（</t>
    </r>
    <r>
      <rPr>
        <sz val="10"/>
        <rFont val="Arial Narrow"/>
        <family val="2"/>
      </rPr>
      <t>2</t>
    </r>
    <r>
      <rPr>
        <sz val="10"/>
        <rFont val="宋体"/>
        <family val="3"/>
        <charset val="134"/>
      </rPr>
      <t>）情况说明</t>
    </r>
    <phoneticPr fontId="7" type="noConversion"/>
  </si>
  <si>
    <t>无需打印</t>
    <phoneticPr fontId="3" type="noConversion"/>
  </si>
  <si>
    <t>附注披露信息（国企）</t>
    <phoneticPr fontId="7" type="noConversion"/>
  </si>
  <si>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7" type="noConversion"/>
  </si>
  <si>
    <t>上期数</t>
    <phoneticPr fontId="7" type="noConversion"/>
  </si>
  <si>
    <t>本期数</t>
    <phoneticPr fontId="7" type="noConversion"/>
  </si>
  <si>
    <t>净敞口套期收益审定表</t>
    <phoneticPr fontId="7" type="noConversion"/>
  </si>
  <si>
    <r>
      <rPr>
        <sz val="10"/>
        <rFont val="宋体"/>
        <family val="3"/>
        <charset val="134"/>
      </rPr>
      <t>（</t>
    </r>
    <r>
      <rPr>
        <sz val="10"/>
        <rFont val="Arial Narrow"/>
        <family val="2"/>
      </rPr>
      <t>1</t>
    </r>
    <r>
      <rPr>
        <sz val="10"/>
        <rFont val="宋体"/>
        <family val="3"/>
        <charset val="134"/>
      </rPr>
      <t>）净敞口套期收益本期较上期增加（负数为减少）：</t>
    </r>
    <phoneticPr fontId="7" type="noConversion"/>
  </si>
  <si>
    <t>净敞口套期收益</t>
    <phoneticPr fontId="3" type="noConversion"/>
  </si>
  <si>
    <t xml:space="preserve">页  次：  </t>
    <phoneticPr fontId="7" type="noConversion"/>
  </si>
  <si>
    <r>
      <rPr>
        <b/>
        <sz val="10"/>
        <color indexed="8"/>
        <rFont val="宋体"/>
        <family val="3"/>
        <charset val="134"/>
      </rPr>
      <t>一、审计目标</t>
    </r>
    <r>
      <rPr>
        <b/>
        <sz val="10"/>
        <color indexed="8"/>
        <rFont val="Arial Narrow"/>
        <family val="2"/>
      </rPr>
      <t>:</t>
    </r>
    <phoneticPr fontId="15" type="noConversion"/>
  </si>
  <si>
    <r>
      <rPr>
        <b/>
        <sz val="10"/>
        <rFont val="宋体"/>
        <family val="3"/>
        <charset val="134"/>
      </rPr>
      <t>二、审计过程：</t>
    </r>
    <phoneticPr fontId="15" type="noConversion"/>
  </si>
  <si>
    <r>
      <rPr>
        <b/>
        <sz val="10"/>
        <rFont val="宋体"/>
        <family val="3"/>
        <charset val="134"/>
      </rPr>
      <t>项目</t>
    </r>
    <phoneticPr fontId="7" type="noConversion"/>
  </si>
  <si>
    <r>
      <rPr>
        <b/>
        <sz val="10"/>
        <rFont val="宋体"/>
        <family val="3"/>
        <charset val="134"/>
      </rPr>
      <t>三、审计说明：</t>
    </r>
    <phoneticPr fontId="7" type="noConversion"/>
  </si>
  <si>
    <r>
      <rPr>
        <b/>
        <sz val="10"/>
        <rFont val="宋体"/>
        <family val="3"/>
        <charset val="134"/>
      </rPr>
      <t>四、审计结论：</t>
    </r>
    <phoneticPr fontId="3" type="noConversion"/>
  </si>
  <si>
    <r>
      <rPr>
        <sz val="10"/>
        <color indexed="12"/>
        <rFont val="宋体"/>
        <family val="3"/>
        <charset val="134"/>
      </rPr>
      <t>编制说明：</t>
    </r>
    <phoneticPr fontId="7" type="noConversion"/>
  </si>
  <si>
    <t>净敞口套期收益明细表</t>
    <phoneticPr fontId="7" type="noConversion"/>
  </si>
  <si>
    <r>
      <rPr>
        <b/>
        <sz val="10"/>
        <rFont val="宋体"/>
        <family val="3"/>
        <charset val="134"/>
      </rPr>
      <t>合计</t>
    </r>
    <phoneticPr fontId="3" type="noConversion"/>
  </si>
  <si>
    <r>
      <t>1</t>
    </r>
    <r>
      <rPr>
        <sz val="10"/>
        <color indexed="12"/>
        <rFont val="宋体"/>
        <family val="3"/>
        <charset val="134"/>
      </rPr>
      <t>、本科目核算净敞口套期下被套期项目累计公允价值变动转入当期损益的金额或现金流量套期储备转入当期损益的金额。</t>
    </r>
    <phoneticPr fontId="7" type="noConversion"/>
  </si>
  <si>
    <r>
      <t>3</t>
    </r>
    <r>
      <rPr>
        <sz val="10"/>
        <color indexed="12"/>
        <rFont val="宋体"/>
        <family val="3"/>
        <charset val="134"/>
      </rPr>
      <t>、对于净敞口现金流量套期，应当在将相关现金流量套期储备转入当期损益时，借记或贷记“其他综合收益——套期储备”贷记或借记本科目；将相关现金流量套期储备转入资产或负债的，当资产和负债影响损益时，借记或贷记资产（或其备抵科目）、负债科目，贷记或借记本科目。</t>
    </r>
    <phoneticPr fontId="3" type="noConversion"/>
  </si>
  <si>
    <t>2、对于净敞口公允价值套期，应当在被套期项目影响损益时，将被套期项目因被套期风险敞口形成的累计利得或损失转出，贷记或借记“被套期项目”等科目，借记或贷记本科目。</t>
    <phoneticPr fontId="7" type="noConversion"/>
  </si>
  <si>
    <t>预期销售和预期采购的外汇净头寸</t>
  </si>
  <si>
    <t>预期销售和预期采购的外汇净头寸</t>
    <phoneticPr fontId="3" type="noConversion"/>
  </si>
  <si>
    <t>净头寸</t>
    <phoneticPr fontId="7" type="noConversion"/>
  </si>
  <si>
    <t>套期工具</t>
    <phoneticPr fontId="3" type="noConversion"/>
  </si>
  <si>
    <t>套期工具</t>
    <phoneticPr fontId="3" type="noConversion"/>
  </si>
  <si>
    <t>套期工具公允价值</t>
    <phoneticPr fontId="3" type="noConversion"/>
  </si>
  <si>
    <t>套期工具累计公允价值变动</t>
    <phoneticPr fontId="3" type="noConversion"/>
  </si>
  <si>
    <t>对应预期销售的部分（计入净敞口套期损益）</t>
    <phoneticPr fontId="3" type="noConversion"/>
  </si>
  <si>
    <t>校验</t>
    <phoneticPr fontId="3" type="noConversion"/>
  </si>
  <si>
    <t>净敞口套期损益</t>
    <phoneticPr fontId="3" type="noConversion"/>
  </si>
  <si>
    <t>索引号</t>
    <phoneticPr fontId="3" type="noConversion"/>
  </si>
  <si>
    <t>对应预期采购的部分（套期调整）</t>
    <phoneticPr fontId="3" type="noConversion"/>
  </si>
  <si>
    <t>套期调整摊销（计入净敞口套期损益）</t>
    <phoneticPr fontId="3" type="noConversion"/>
  </si>
  <si>
    <t>套期工具投资公允价值测试表</t>
    <phoneticPr fontId="7" type="noConversion"/>
  </si>
  <si>
    <t>确定被审计单位套期工具投资以公允价值计量。</t>
    <phoneticPr fontId="3" type="noConversion"/>
  </si>
  <si>
    <t>风险净敞口检查表</t>
    <phoneticPr fontId="7" type="noConversion"/>
  </si>
  <si>
    <t>项目</t>
    <phoneticPr fontId="3" type="noConversion"/>
  </si>
  <si>
    <t>头寸</t>
    <phoneticPr fontId="3" type="noConversion"/>
  </si>
  <si>
    <t>预期外币销售收入</t>
    <phoneticPr fontId="3" type="noConversion"/>
  </si>
  <si>
    <t>头寸1</t>
    <phoneticPr fontId="3" type="noConversion"/>
  </si>
  <si>
    <t>头寸2</t>
    <phoneticPr fontId="3" type="noConversion"/>
  </si>
  <si>
    <t>金额</t>
    <phoneticPr fontId="3" type="noConversion"/>
  </si>
  <si>
    <t>1 000万美元</t>
    <phoneticPr fontId="3" type="noConversion"/>
  </si>
  <si>
    <t>预期外币固定资产采购</t>
    <phoneticPr fontId="3" type="noConversion"/>
  </si>
  <si>
    <t>净头寸</t>
    <phoneticPr fontId="3" type="noConversion"/>
  </si>
  <si>
    <t>页  次：</t>
    <phoneticPr fontId="3" type="noConversion"/>
  </si>
  <si>
    <r>
      <rPr>
        <b/>
        <sz val="10"/>
        <rFont val="宋体"/>
        <family val="3"/>
        <charset val="134"/>
      </rPr>
      <t>一、本账户涉及的科目</t>
    </r>
    <phoneticPr fontId="7" type="noConversion"/>
  </si>
  <si>
    <r>
      <rPr>
        <b/>
        <sz val="10"/>
        <rFont val="宋体"/>
        <family val="3"/>
        <charset val="134"/>
      </rPr>
      <t>二、重大错报风险需从实质性程序获取的保证程度</t>
    </r>
    <phoneticPr fontId="7" type="noConversion"/>
  </si>
  <si>
    <r>
      <rPr>
        <b/>
        <sz val="10"/>
        <rFont val="宋体"/>
        <family val="3"/>
        <charset val="134"/>
      </rPr>
      <t>审计目标与认定对应关系</t>
    </r>
    <phoneticPr fontId="7" type="noConversion"/>
  </si>
  <si>
    <r>
      <rPr>
        <b/>
        <sz val="10"/>
        <rFont val="宋体"/>
        <family val="3"/>
        <charset val="134"/>
      </rPr>
      <t>财务报表的认定　</t>
    </r>
  </si>
  <si>
    <t>信赖/不信赖/不适用</t>
    <phoneticPr fontId="7" type="noConversion"/>
  </si>
  <si>
    <r>
      <rPr>
        <sz val="10"/>
        <rFont val="宋体"/>
        <family val="3"/>
        <charset val="134"/>
      </rPr>
      <t>索引号</t>
    </r>
  </si>
  <si>
    <t>发生</t>
    <phoneticPr fontId="7" type="noConversion"/>
  </si>
  <si>
    <r>
      <rPr>
        <sz val="10"/>
        <rFont val="宋体"/>
        <family val="3"/>
        <charset val="134"/>
      </rPr>
      <t>完整性</t>
    </r>
    <phoneticPr fontId="7" type="noConversion"/>
  </si>
  <si>
    <t>准确性</t>
    <phoneticPr fontId="7" type="noConversion"/>
  </si>
  <si>
    <t>分类</t>
    <phoneticPr fontId="7" type="noConversion"/>
  </si>
  <si>
    <r>
      <rPr>
        <sz val="10"/>
        <rFont val="宋体"/>
        <family val="3"/>
        <charset val="134"/>
      </rPr>
      <t>列报与披露</t>
    </r>
    <phoneticPr fontId="7" type="noConversion"/>
  </si>
  <si>
    <r>
      <rPr>
        <sz val="10"/>
        <rFont val="宋体"/>
        <family val="3"/>
        <charset val="134"/>
      </rPr>
      <t>√</t>
    </r>
    <phoneticPr fontId="7" type="noConversion"/>
  </si>
  <si>
    <t>三、计划实施的实质性程序</t>
    <phoneticPr fontId="7" type="noConversion"/>
  </si>
  <si>
    <r>
      <rPr>
        <b/>
        <sz val="10"/>
        <rFont val="宋体"/>
        <family val="3"/>
        <charset val="134"/>
      </rPr>
      <t>序号</t>
    </r>
    <phoneticPr fontId="7" type="noConversion"/>
  </si>
  <si>
    <r>
      <rPr>
        <b/>
        <sz val="10"/>
        <rFont val="宋体"/>
        <family val="3"/>
        <charset val="134"/>
      </rPr>
      <t>审计程序</t>
    </r>
  </si>
  <si>
    <r>
      <rPr>
        <b/>
        <sz val="10"/>
        <rFont val="宋体"/>
        <family val="3"/>
        <charset val="134"/>
      </rPr>
      <t>程序分类</t>
    </r>
    <phoneticPr fontId="7" type="noConversion"/>
  </si>
  <si>
    <r>
      <rPr>
        <b/>
        <sz val="10"/>
        <rFont val="宋体"/>
        <family val="3"/>
        <charset val="134"/>
      </rPr>
      <t>审计目标</t>
    </r>
    <phoneticPr fontId="7" type="noConversion"/>
  </si>
  <si>
    <r>
      <rPr>
        <b/>
        <sz val="10"/>
        <rFont val="宋体"/>
        <family val="3"/>
        <charset val="134"/>
      </rPr>
      <t>执行情况说明
（含底稿索引）</t>
    </r>
    <phoneticPr fontId="7" type="noConversion"/>
  </si>
  <si>
    <t>（一）</t>
    <phoneticPr fontId="7" type="noConversion"/>
  </si>
  <si>
    <r>
      <rPr>
        <b/>
        <sz val="10"/>
        <rFont val="宋体"/>
        <family val="3"/>
        <charset val="134"/>
      </rPr>
      <t>编制审定表</t>
    </r>
    <phoneticPr fontId="3" type="noConversion"/>
  </si>
  <si>
    <r>
      <rPr>
        <sz val="10"/>
        <color theme="1"/>
        <rFont val="宋体"/>
        <family val="3"/>
        <charset val="134"/>
      </rPr>
      <t>常规★</t>
    </r>
    <phoneticPr fontId="3" type="noConversion"/>
  </si>
  <si>
    <t>D</t>
    <phoneticPr fontId="7" type="noConversion"/>
  </si>
  <si>
    <t>（二）</t>
    <phoneticPr fontId="3" type="noConversion"/>
  </si>
  <si>
    <t>获取或编制明细并执行下列程序：</t>
    <phoneticPr fontId="3" type="noConversion"/>
  </si>
  <si>
    <t>1</t>
    <phoneticPr fontId="3" type="noConversion"/>
  </si>
  <si>
    <r>
      <rPr>
        <sz val="10"/>
        <color theme="1"/>
        <rFont val="宋体"/>
        <family val="3"/>
        <charset val="134"/>
      </rPr>
      <t>复核加计正确</t>
    </r>
    <r>
      <rPr>
        <sz val="10"/>
        <color theme="1"/>
        <rFont val="Arial Narrow"/>
        <family val="2"/>
      </rPr>
      <t xml:space="preserve"> </t>
    </r>
    <r>
      <rPr>
        <sz val="10"/>
        <color theme="1"/>
        <rFont val="宋体"/>
        <family val="3"/>
        <charset val="134"/>
      </rPr>
      <t>。</t>
    </r>
    <r>
      <rPr>
        <sz val="10"/>
        <color theme="1"/>
        <rFont val="Arial Narrow"/>
        <family val="2"/>
      </rPr>
      <t xml:space="preserve"> </t>
    </r>
    <phoneticPr fontId="3" type="noConversion"/>
  </si>
  <si>
    <t>常规★</t>
    <phoneticPr fontId="3" type="noConversion"/>
  </si>
  <si>
    <t>BD</t>
  </si>
  <si>
    <t>2</t>
  </si>
  <si>
    <r>
      <rPr>
        <sz val="10"/>
        <color theme="1"/>
        <rFont val="宋体"/>
        <family val="3"/>
        <charset val="134"/>
      </rPr>
      <t>将总金额与总账、明细账合计数核对相符。</t>
    </r>
    <r>
      <rPr>
        <sz val="10"/>
        <color theme="1"/>
        <rFont val="Arial Narrow"/>
        <family val="2"/>
      </rPr>
      <t xml:space="preserve"> </t>
    </r>
    <phoneticPr fontId="3" type="noConversion"/>
  </si>
  <si>
    <t>3</t>
  </si>
  <si>
    <t>将上期发生额与上期经审计的财务报表核对。</t>
    <phoneticPr fontId="3" type="noConversion"/>
  </si>
  <si>
    <t>常规</t>
  </si>
  <si>
    <t>4</t>
  </si>
  <si>
    <t>追查明细表至调节表。</t>
    <phoneticPr fontId="3" type="noConversion"/>
  </si>
  <si>
    <t>5</t>
  </si>
  <si>
    <r>
      <rPr>
        <sz val="10"/>
        <color theme="1"/>
        <rFont val="宋体"/>
        <family val="3"/>
        <charset val="134"/>
      </rPr>
      <t>与上年明细项目进行比较，确定与上年分类相同。</t>
    </r>
    <phoneticPr fontId="3" type="noConversion"/>
  </si>
  <si>
    <t>6</t>
  </si>
  <si>
    <t>7</t>
  </si>
  <si>
    <r>
      <rPr>
        <sz val="10"/>
        <color theme="1"/>
        <rFont val="宋体"/>
        <family val="3"/>
        <charset val="134"/>
      </rPr>
      <t>调查重大或者异常的调节项目。</t>
    </r>
    <r>
      <rPr>
        <sz val="10"/>
        <color theme="1"/>
        <rFont val="Arial Narrow"/>
        <family val="2"/>
      </rPr>
      <t xml:space="preserve"> </t>
    </r>
    <phoneticPr fontId="3" type="noConversion"/>
  </si>
  <si>
    <t>8</t>
  </si>
  <si>
    <r>
      <rPr>
        <sz val="10"/>
        <color theme="1"/>
        <rFont val="宋体"/>
        <family val="3"/>
        <charset val="134"/>
      </rPr>
      <t>与客户的适当人员讨论差异。</t>
    </r>
    <r>
      <rPr>
        <sz val="10"/>
        <color theme="1"/>
        <rFont val="Arial Narrow"/>
        <family val="2"/>
      </rPr>
      <t xml:space="preserve"> </t>
    </r>
    <phoneticPr fontId="3" type="noConversion"/>
  </si>
  <si>
    <t>9</t>
  </si>
  <si>
    <t>考虑回复的可信度并确认相关解释，以及采取适当的措施。</t>
    <phoneticPr fontId="3" type="noConversion"/>
  </si>
  <si>
    <t>（三）</t>
    <phoneticPr fontId="3" type="noConversion"/>
  </si>
  <si>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phoneticPr fontId="3" type="noConversion"/>
  </si>
  <si>
    <r>
      <rPr>
        <b/>
        <sz val="10"/>
        <color theme="1"/>
        <rFont val="宋体"/>
        <family val="3"/>
        <charset val="134"/>
      </rPr>
      <t>常规★</t>
    </r>
    <phoneticPr fontId="3" type="noConversion"/>
  </si>
  <si>
    <t>B</t>
    <phoneticPr fontId="7" type="noConversion"/>
  </si>
  <si>
    <t>T1</t>
    <phoneticPr fontId="7" type="noConversion"/>
  </si>
  <si>
    <t>1</t>
    <phoneticPr fontId="7" type="noConversion"/>
  </si>
  <si>
    <r>
      <rPr>
        <sz val="10"/>
        <rFont val="宋体"/>
        <family val="3"/>
        <charset val="134"/>
      </rPr>
      <t>获取有关信息准确性和完整性的审计证据。</t>
    </r>
    <phoneticPr fontId="7" type="noConversion"/>
  </si>
  <si>
    <t>2</t>
    <phoneticPr fontId="7" type="noConversion"/>
  </si>
  <si>
    <r>
      <rPr>
        <sz val="10"/>
        <rFont val="宋体"/>
        <family val="3"/>
        <charset val="134"/>
      </rPr>
      <t>评价信息对实现审计目的是否足够准确和详细。</t>
    </r>
    <phoneticPr fontId="7" type="noConversion"/>
  </si>
  <si>
    <t>（四）</t>
    <phoneticPr fontId="3" type="noConversion"/>
  </si>
  <si>
    <r>
      <rPr>
        <b/>
        <sz val="10"/>
        <color theme="1"/>
        <rFont val="宋体"/>
        <family val="3"/>
        <charset val="134"/>
      </rPr>
      <t>若系首次承接，获取前期期末各科目明细表，执行下列程序：（</t>
    </r>
    <r>
      <rPr>
        <b/>
        <sz val="10"/>
        <color rgb="FFFF0000"/>
        <rFont val="宋体"/>
        <family val="3"/>
        <charset val="134"/>
      </rPr>
      <t>适用于首次审计时对期初余额的审计）</t>
    </r>
    <phoneticPr fontId="3" type="noConversion"/>
  </si>
  <si>
    <r>
      <rPr>
        <sz val="10"/>
        <color theme="1"/>
        <rFont val="宋体"/>
        <family val="3"/>
        <charset val="134"/>
      </rPr>
      <t>备选</t>
    </r>
    <phoneticPr fontId="3" type="noConversion"/>
  </si>
  <si>
    <t>B</t>
  </si>
  <si>
    <r>
      <rPr>
        <sz val="10"/>
        <color theme="1"/>
        <rFont val="宋体"/>
        <family val="3"/>
        <charset val="134"/>
      </rPr>
      <t>确定计算的准确性。</t>
    </r>
    <r>
      <rPr>
        <sz val="10"/>
        <color theme="1"/>
        <rFont val="Arial Narrow"/>
        <family val="2"/>
      </rPr>
      <t xml:space="preserve"> </t>
    </r>
    <phoneticPr fontId="3" type="noConversion"/>
  </si>
  <si>
    <r>
      <rPr>
        <sz val="10"/>
        <color theme="1"/>
        <rFont val="宋体"/>
        <family val="3"/>
        <charset val="134"/>
      </rPr>
      <t>与总账核对一致。</t>
    </r>
    <r>
      <rPr>
        <sz val="10"/>
        <color theme="1"/>
        <rFont val="Arial Narrow"/>
        <family val="2"/>
      </rPr>
      <t xml:space="preserve"> </t>
    </r>
    <phoneticPr fontId="3" type="noConversion"/>
  </si>
  <si>
    <t>3</t>
    <phoneticPr fontId="3" type="noConversion"/>
  </si>
  <si>
    <t>确定是否需要补充必要的程序，如果是，执行适当的应对程序。</t>
    <phoneticPr fontId="3" type="noConversion"/>
  </si>
  <si>
    <t>根据实际情况，实施以下分析程序：</t>
    <phoneticPr fontId="3" type="noConversion"/>
  </si>
  <si>
    <t>A</t>
  </si>
  <si>
    <r>
      <rPr>
        <sz val="10"/>
        <color theme="1"/>
        <rFont val="宋体"/>
        <family val="3"/>
        <charset val="134"/>
      </rPr>
      <t>获取或编制增、减分析表，确定增加内容及减少方式、对损益的影响；</t>
    </r>
    <phoneticPr fontId="3" type="noConversion"/>
  </si>
  <si>
    <t>（五）</t>
    <phoneticPr fontId="3" type="noConversion"/>
  </si>
  <si>
    <r>
      <rPr>
        <sz val="10"/>
        <color theme="1"/>
        <rFont val="宋体"/>
        <family val="3"/>
        <charset val="134"/>
      </rPr>
      <t>常规</t>
    </r>
    <phoneticPr fontId="3" type="noConversion"/>
  </si>
  <si>
    <r>
      <rPr>
        <b/>
        <sz val="10"/>
        <color theme="1"/>
        <rFont val="宋体"/>
        <family val="3"/>
        <charset val="134"/>
      </rPr>
      <t>根据评估的舞弊风险等因素增加审计程序，例如：</t>
    </r>
    <phoneticPr fontId="3" type="noConversion"/>
  </si>
  <si>
    <t>针对识别的特别风险（包括舞弊风险）考虑以下方面：期末或接近期末时的大额记录；在期末或接近期末增加的交易数量；异常的过账分录；期末或接近期末时的大笔日记账分录；会计处理方法或其他方面存在重大调整的项目；与复杂交易有关的项目；涉及重大判断或估计、计量结果具有高度不确定性的项目；涉及重大关联交易的项目；其他特殊项目。</t>
  </si>
  <si>
    <t>询问会计部门以外的负责发起执行投资交易的人员如下内容：存在舞弊或舞弊嫌疑；未披露的附加协议；企业的异常活动或指令。</t>
    <phoneticPr fontId="3" type="noConversion"/>
  </si>
  <si>
    <r>
      <rPr>
        <sz val="10"/>
        <color theme="1"/>
        <rFont val="宋体"/>
        <family val="3"/>
        <charset val="134"/>
      </rPr>
      <t>向被审计单位的具体操作人员或内部法律人员询问：对接近期末进行上述交易的意图；对上述交易存在的任何不正常条款或条件的认知；合同条款完整性的确认，是否存在未提供的补充协议或口头约定。</t>
    </r>
    <phoneticPr fontId="3" type="noConversion"/>
  </si>
  <si>
    <t>获取有关账户交易流水单，追查至被审计单位账面记录是否完整。</t>
    <phoneticPr fontId="3" type="noConversion"/>
  </si>
  <si>
    <r>
      <rPr>
        <sz val="10"/>
        <color theme="1"/>
        <rFont val="宋体"/>
        <family val="3"/>
        <charset val="134"/>
      </rPr>
      <t>查询上述交易对手的工商登记资料和财务资料，判断是否属于关联方，与被审计单位的交易是否为交易对方生产经营所需，交易价格是否公允，交易对方是否有能力履行交易约定。</t>
    </r>
    <phoneticPr fontId="3" type="noConversion"/>
  </si>
  <si>
    <r>
      <rPr>
        <sz val="10"/>
        <color theme="1"/>
        <rFont val="宋体"/>
        <family val="3"/>
        <charset val="134"/>
      </rPr>
      <t>基于对被审计单位及其环境的了解以及在审计过程中获取的其他信息，对于异常的交易应当评价其商业理由（或缺乏商业理由）是否表明被审计单位从事交易的目的是为了对财务信息作出虚假报告或掩盖侵占资产的行为。</t>
    </r>
    <phoneticPr fontId="3" type="noConversion"/>
  </si>
  <si>
    <t>7</t>
    <phoneticPr fontId="3" type="noConversion"/>
  </si>
  <si>
    <r>
      <rPr>
        <sz val="10"/>
        <color theme="1"/>
        <rFont val="宋体"/>
        <family val="3"/>
        <charset val="134"/>
      </rPr>
      <t>取得管理层局声明书，确认合同协议是否已经完整提供。</t>
    </r>
    <phoneticPr fontId="3" type="noConversion"/>
  </si>
  <si>
    <t>确定需在财务报表中单独披露的信息已被记录。</t>
    <phoneticPr fontId="3" type="noConversion"/>
  </si>
  <si>
    <t>常规★</t>
  </si>
  <si>
    <t>E</t>
  </si>
  <si>
    <t>净敞口套期收益实质性程序表</t>
    <phoneticPr fontId="3" type="noConversion"/>
  </si>
  <si>
    <t>净敞口套期收益</t>
  </si>
  <si>
    <t>A. 利润表中记录的净敞口套期收益已发生，且与被审计单位有关。</t>
  </si>
  <si>
    <t>B. 所有应当记录的净敞口套期收益均已记录。</t>
  </si>
  <si>
    <t>C. 与净敞口套期收益有关的金额及其他数据已恰当记录于正确的会计期间。</t>
  </si>
  <si>
    <t>D. 净敞口套期收益已记录于恰当的账户。</t>
  </si>
  <si>
    <t>E. 净敞口套期收益已按照企业会计准则的规定在财务报表中作出恰当的列报和披露。</t>
  </si>
  <si>
    <t>结合交易性金融资产、交易性金融负债等科目的审计，复核其勾稽关系。</t>
    <phoneticPr fontId="3" type="noConversion"/>
  </si>
  <si>
    <t>检查审计日所有尚未平仓商品的后续清算明细表。</t>
    <phoneticPr fontId="3" type="noConversion"/>
  </si>
  <si>
    <t>确定对套利交易的会计处理是否得当。</t>
    <phoneticPr fontId="3" type="noConversion"/>
  </si>
  <si>
    <t>D</t>
  </si>
  <si>
    <r>
      <rPr>
        <b/>
        <sz val="10"/>
        <rFont val="宋体"/>
        <family val="3"/>
        <charset val="134"/>
      </rPr>
      <t>获取审计日未结算证券头寸的明细信息。</t>
    </r>
    <r>
      <rPr>
        <b/>
        <sz val="10"/>
        <rFont val="Arial Narrow"/>
        <family val="2"/>
      </rPr>
      <t xml:space="preserve"> </t>
    </r>
    <phoneticPr fontId="3" type="noConversion"/>
  </si>
  <si>
    <t>核实审计日后结算的交易。</t>
    <phoneticPr fontId="3" type="noConversion"/>
  </si>
  <si>
    <t>2</t>
    <phoneticPr fontId="3" type="noConversion"/>
  </si>
  <si>
    <t>考虑对财务报表的影响。</t>
    <phoneticPr fontId="3" type="noConversion"/>
  </si>
  <si>
    <r>
      <rPr>
        <b/>
        <sz val="10"/>
        <color theme="1"/>
        <rFont val="宋体"/>
        <family val="3"/>
        <charset val="134"/>
      </rPr>
      <t>对于未平仓合同预提的佣金和费用，执行以下程序：</t>
    </r>
    <phoneticPr fontId="3" type="noConversion"/>
  </si>
  <si>
    <t>确定对未平仓合同预提的佣金和费用是否合理。</t>
    <phoneticPr fontId="3" type="noConversion"/>
  </si>
  <si>
    <t>将预提手续费与清算机构（券商或期货公司）的对账单进行核对，并追查至现金日记账的期后付款。</t>
    <phoneticPr fontId="3" type="noConversion"/>
  </si>
  <si>
    <t>（六）</t>
    <phoneticPr fontId="3" type="noConversion"/>
  </si>
  <si>
    <t>（七）</t>
    <phoneticPr fontId="3" type="noConversion"/>
  </si>
  <si>
    <t>（八）</t>
    <phoneticPr fontId="3" type="noConversion"/>
  </si>
  <si>
    <t>（九）</t>
    <phoneticPr fontId="3" type="noConversion"/>
  </si>
  <si>
    <t>（十）</t>
    <phoneticPr fontId="3" type="noConversion"/>
  </si>
  <si>
    <t>（十一）</t>
    <phoneticPr fontId="3" type="noConversion"/>
  </si>
  <si>
    <t>（十二）</t>
    <phoneticPr fontId="3" type="noConversion"/>
  </si>
  <si>
    <t>I11</t>
  </si>
  <si>
    <t>I11-1</t>
  </si>
  <si>
    <t>I11-2</t>
  </si>
  <si>
    <t>I11-9</t>
  </si>
  <si>
    <t>调整数</t>
    <phoneticPr fontId="7" type="noConversion"/>
  </si>
  <si>
    <t>编制日期：</t>
    <phoneticPr fontId="7" type="noConversion"/>
  </si>
  <si>
    <t>复核人：</t>
    <phoneticPr fontId="7" type="noConversion"/>
  </si>
  <si>
    <t>复核日期：</t>
    <phoneticPr fontId="7" type="noConversion"/>
  </si>
  <si>
    <t>检查风险净敞口的支持性证据，</t>
    <phoneticPr fontId="7" type="noConversion"/>
  </si>
  <si>
    <t>支持性证据</t>
    <phoneticPr fontId="3" type="noConversion"/>
  </si>
  <si>
    <t>净敞口套期收益凭证检查表</t>
    <phoneticPr fontId="7" type="noConversion"/>
  </si>
  <si>
    <t>试算平衡表数</t>
    <phoneticPr fontId="7" type="noConversion"/>
  </si>
  <si>
    <t>差异数</t>
    <phoneticPr fontId="7" type="noConversion"/>
  </si>
  <si>
    <t>调整事项说明</t>
    <phoneticPr fontId="7" type="noConversion"/>
  </si>
  <si>
    <t>类别（报表调整/账项调整/其他）</t>
    <phoneticPr fontId="7" type="noConversion"/>
  </si>
  <si>
    <t>科目名称</t>
    <phoneticPr fontId="7" type="noConversion"/>
  </si>
  <si>
    <t>附注项目</t>
    <phoneticPr fontId="7" type="noConversion"/>
  </si>
  <si>
    <t>……</t>
    <phoneticPr fontId="7" type="noConversion"/>
  </si>
  <si>
    <t>借方调整金额</t>
    <phoneticPr fontId="7" type="noConversion"/>
  </si>
  <si>
    <t>贷方调整金额</t>
    <phoneticPr fontId="7" type="noConversion"/>
  </si>
  <si>
    <t>索引</t>
    <phoneticPr fontId="7" type="noConversion"/>
  </si>
  <si>
    <t>备注</t>
    <phoneticPr fontId="7" type="noConversion"/>
  </si>
  <si>
    <t>净敞口套期收益调整分录汇总表</t>
    <phoneticPr fontId="7" type="noConversion"/>
  </si>
  <si>
    <t>净敞口套期下被套期项目累计公允价值变动转入当期损益的金额</t>
  </si>
  <si>
    <t>净敞口套期下现金流量套期储备转入当期损益的金额</t>
  </si>
  <si>
    <t>本期发生额</t>
  </si>
  <si>
    <t>上期发生额</t>
  </si>
  <si>
    <t>产生净敞口套期收益的来源</t>
  </si>
  <si>
    <r>
      <t>合</t>
    </r>
    <r>
      <rPr>
        <b/>
        <sz val="12"/>
        <color rgb="FF000000"/>
        <rFont val="Arial Narrow"/>
        <family val="2"/>
      </rPr>
      <t xml:space="preserve">  </t>
    </r>
    <r>
      <rPr>
        <b/>
        <sz val="12"/>
        <color rgb="FF000000"/>
        <rFont val="仿宋_GB2312"/>
        <family val="3"/>
        <charset val="134"/>
      </rPr>
      <t>计</t>
    </r>
  </si>
  <si>
    <r>
      <t>项</t>
    </r>
    <r>
      <rPr>
        <b/>
        <sz val="12"/>
        <color theme="1"/>
        <rFont val="Arial Narrow"/>
        <family val="2"/>
      </rPr>
      <t xml:space="preserve">  </t>
    </r>
    <r>
      <rPr>
        <b/>
        <sz val="12"/>
        <color theme="1"/>
        <rFont val="仿宋_GB2312"/>
        <family val="3"/>
        <charset val="134"/>
      </rPr>
      <t>目</t>
    </r>
  </si>
  <si>
    <r>
      <t>合</t>
    </r>
    <r>
      <rPr>
        <b/>
        <sz val="12"/>
        <color theme="1"/>
        <rFont val="Arial Narrow"/>
        <family val="2"/>
      </rPr>
      <t xml:space="preserve">  </t>
    </r>
    <r>
      <rPr>
        <b/>
        <sz val="12"/>
        <color theme="1"/>
        <rFont val="仿宋_GB2312"/>
        <family val="3"/>
        <charset val="134"/>
      </rPr>
      <t>计</t>
    </r>
  </si>
  <si>
    <t>被审计单位：</t>
    <phoneticPr fontId="7" type="noConversion"/>
  </si>
  <si>
    <t>G12A</t>
  </si>
  <si>
    <t>G12-2</t>
  </si>
  <si>
    <t>G12-4</t>
  </si>
  <si>
    <t>索引号：</t>
    <phoneticPr fontId="3" type="noConversion"/>
  </si>
  <si>
    <t>索引号：</t>
    <phoneticPr fontId="3" type="noConversion"/>
  </si>
  <si>
    <t>记账凭证</t>
    <phoneticPr fontId="7" type="noConversion"/>
  </si>
  <si>
    <t>索引号</t>
    <phoneticPr fontId="7" type="noConversion"/>
  </si>
  <si>
    <t>是否异常</t>
    <phoneticPr fontId="7" type="noConversion"/>
  </si>
  <si>
    <t>日期</t>
  </si>
  <si>
    <t>凭证编号</t>
  </si>
  <si>
    <t>业务内容</t>
    <phoneticPr fontId="7" type="noConversion"/>
  </si>
  <si>
    <t>对方科目</t>
    <phoneticPr fontId="7" type="noConversion"/>
  </si>
  <si>
    <t>明细科目</t>
  </si>
  <si>
    <t>贷方金额</t>
    <phoneticPr fontId="7" type="noConversion"/>
  </si>
  <si>
    <t>二、审计目标与认定的对应关系</t>
    <phoneticPr fontId="7" type="noConversion"/>
  </si>
  <si>
    <t>底稿索引号</t>
    <phoneticPr fontId="7" type="noConversion"/>
  </si>
  <si>
    <t>1</t>
    <phoneticPr fontId="3" type="noConversion"/>
  </si>
  <si>
    <t>常规★</t>
    <phoneticPr fontId="3" type="noConversion"/>
  </si>
  <si>
    <t>2</t>
    <phoneticPr fontId="7"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</si>
  <si>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 type="noConversion"/>
  </si>
  <si>
    <t>常规★</t>
    <phoneticPr fontId="3" type="noConversion"/>
  </si>
  <si>
    <t>√</t>
    <phoneticPr fontId="7" type="noConversion"/>
  </si>
  <si>
    <t>考虑获取增、减分析表，确定增加内容及减少方式、对损益的影响。</t>
    <phoneticPr fontId="3" type="noConversion"/>
  </si>
  <si>
    <t>获取审计日未结算证券头寸的明细信息，核实审计日后结算的交易，考虑对财务报表的影响。</t>
    <phoneticPr fontId="3" type="noConversion"/>
  </si>
  <si>
    <t>对于未平仓合同预提的佣金和费用，确定对未平仓合同预提的佣金和费用是否合理，将预提手续费与清算机构（券商或期货公司）的对账单进行核对，并追查至现金日记账的期后付款。</t>
    <phoneticPr fontId="3" type="noConversion"/>
  </si>
  <si>
    <r>
      <rPr>
        <sz val="10"/>
        <color theme="1"/>
        <rFont val="宋体"/>
        <family val="3"/>
        <charset val="134"/>
      </rPr>
      <t>根据评估的舞弊风险等因素增加的审计程序。</t>
    </r>
    <phoneticPr fontId="3" type="noConversion"/>
  </si>
  <si>
    <t>10</t>
  </si>
  <si>
    <r>
      <rPr>
        <sz val="10"/>
        <rFont val="宋体"/>
        <family val="3"/>
        <charset val="134"/>
      </rPr>
      <t>整合为</t>
    </r>
    <r>
      <rPr>
        <sz val="10"/>
        <rFont val="Arial"/>
        <family val="2"/>
      </rPr>
      <t>1</t>
    </r>
    <phoneticPr fontId="3" type="noConversion"/>
  </si>
  <si>
    <r>
      <rPr>
        <sz val="10"/>
        <rFont val="宋体"/>
        <family val="3"/>
        <charset val="134"/>
      </rPr>
      <t>获取或编制净敞口套期收益的明细表，完成以下工作，并编制审定表
（</t>
    </r>
    <r>
      <rPr>
        <sz val="10"/>
        <rFont val="Arial"/>
        <family val="2"/>
      </rPr>
      <t>1</t>
    </r>
    <r>
      <rPr>
        <sz val="10"/>
        <rFont val="宋体"/>
        <family val="3"/>
        <charset val="134"/>
      </rPr>
      <t>）复核加计是否正确，与总账、明细账合计数核对是否相符；
（</t>
    </r>
    <r>
      <rPr>
        <sz val="10"/>
        <rFont val="Arial"/>
        <family val="2"/>
      </rPr>
      <t>2</t>
    </r>
    <r>
      <rPr>
        <sz val="10"/>
        <rFont val="宋体"/>
        <family val="3"/>
        <charset val="134"/>
      </rPr>
      <t>）将上期发生额与上期经审计的财务报表核对；
（</t>
    </r>
    <r>
      <rPr>
        <sz val="10"/>
        <rFont val="Arial"/>
        <family val="2"/>
      </rPr>
      <t>3</t>
    </r>
    <r>
      <rPr>
        <sz val="10"/>
        <rFont val="宋体"/>
        <family val="3"/>
        <charset val="134"/>
      </rPr>
      <t>）追查明细表至调节表</t>
    </r>
    <r>
      <rPr>
        <sz val="10"/>
        <rFont val="Arial"/>
        <family val="2"/>
      </rPr>
      <t xml:space="preserve">;
</t>
    </r>
    <r>
      <rPr>
        <sz val="10"/>
        <rFont val="宋体"/>
        <family val="3"/>
        <charset val="134"/>
      </rPr>
      <t>（</t>
    </r>
    <r>
      <rPr>
        <sz val="10"/>
        <rFont val="Arial"/>
        <family val="2"/>
      </rPr>
      <t>4</t>
    </r>
    <r>
      <rPr>
        <sz val="10"/>
        <rFont val="宋体"/>
        <family val="3"/>
        <charset val="134"/>
      </rPr>
      <t>）与上年明细项目进行比较，确定与上年分类相同；
（</t>
    </r>
    <r>
      <rPr>
        <sz val="10"/>
        <rFont val="Arial"/>
        <family val="2"/>
      </rPr>
      <t>5</t>
    </r>
    <r>
      <rPr>
        <sz val="10"/>
        <rFont val="宋体"/>
        <family val="3"/>
        <charset val="134"/>
      </rPr>
      <t>）结合净敞口套期收益、交易性金融负债等科目的审计，复核其勾稽关系；
（</t>
    </r>
    <r>
      <rPr>
        <sz val="10"/>
        <rFont val="Arial"/>
        <family val="2"/>
      </rPr>
      <t>6</t>
    </r>
    <r>
      <rPr>
        <sz val="10"/>
        <rFont val="宋体"/>
        <family val="3"/>
        <charset val="134"/>
      </rPr>
      <t>）调查重大或者异常的调节项目，并与客户的适当人员讨论差异，考虑回复的可信度并确认相关解释，以及采取适当的措施。</t>
    </r>
    <phoneticPr fontId="3"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</si>
  <si>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 type="noConversion"/>
  </si>
  <si>
    <r>
      <rPr>
        <b/>
        <sz val="10"/>
        <rFont val="宋体"/>
        <family val="3"/>
        <charset val="134"/>
      </rPr>
      <t>保留修改为</t>
    </r>
    <r>
      <rPr>
        <b/>
        <sz val="10"/>
        <rFont val="Arial"/>
        <family val="2"/>
      </rPr>
      <t>2</t>
    </r>
    <phoneticPr fontId="3" type="noConversion"/>
  </si>
  <si>
    <r>
      <rPr>
        <b/>
        <sz val="10"/>
        <rFont val="宋体"/>
        <family val="3"/>
        <charset val="134"/>
      </rPr>
      <t>保留修改为</t>
    </r>
    <r>
      <rPr>
        <b/>
        <sz val="10"/>
        <rFont val="Arial"/>
        <family val="2"/>
      </rPr>
      <t>3</t>
    </r>
    <r>
      <rPr>
        <sz val="11"/>
        <color theme="1"/>
        <rFont val="宋体"/>
        <family val="2"/>
        <charset val="134"/>
        <scheme val="minor"/>
      </rPr>
      <t/>
    </r>
  </si>
  <si>
    <t>对上期数的审计，取得净敞口套期收益上期明细表复核加计是否正确，与总账、明细账合计数是否相符，确定会计政策及程序是否适当，确定计算的准确性；确定是否需要补充必要的程序，如果是，执行适当的应对程序。（适用于首次承接）</t>
    <phoneticPr fontId="3" type="noConversion"/>
  </si>
  <si>
    <r>
      <rPr>
        <sz val="10"/>
        <rFont val="宋体"/>
        <family val="3"/>
        <charset val="134"/>
      </rPr>
      <t>保留</t>
    </r>
    <r>
      <rPr>
        <sz val="10"/>
        <rFont val="Arial"/>
        <family val="2"/>
      </rPr>
      <t>4</t>
    </r>
    <phoneticPr fontId="3" type="noConversion"/>
  </si>
  <si>
    <t>删除</t>
    <phoneticPr fontId="3" type="noConversion"/>
  </si>
  <si>
    <t>若企业存在期货交易，获取仓库的商品期货头寸清单，执行下列审计程序：</t>
    <phoneticPr fontId="3" type="noConversion"/>
  </si>
  <si>
    <t>确定计算的准确性。</t>
    <phoneticPr fontId="3" type="noConversion"/>
  </si>
  <si>
    <t>将总金额与总账、明细账合计数核对相符。</t>
    <phoneticPr fontId="3" type="noConversion"/>
  </si>
  <si>
    <t>查核至仓库收据。</t>
    <phoneticPr fontId="3" type="noConversion"/>
  </si>
  <si>
    <r>
      <rPr>
        <sz val="10"/>
        <color theme="1"/>
        <rFont val="宋体"/>
        <family val="3"/>
        <charset val="134"/>
      </rPr>
      <t>函证确认每个仓库商品期货的存在性（可参考货币资金循环中的函证要求）。</t>
    </r>
    <r>
      <rPr>
        <sz val="10"/>
        <color theme="1"/>
        <rFont val="Arial Narrow"/>
        <family val="2"/>
      </rPr>
      <t xml:space="preserve"> </t>
    </r>
    <phoneticPr fontId="3" type="noConversion"/>
  </si>
  <si>
    <t>对于未回函的仓库，核对该商品期货与支持文件一致。</t>
    <phoneticPr fontId="3" type="noConversion"/>
  </si>
  <si>
    <t>追查审计日的在途物资至企业的记录。</t>
    <phoneticPr fontId="3" type="noConversion"/>
  </si>
  <si>
    <t>与客户的适当人员讨论差异。</t>
    <phoneticPr fontId="3" type="noConversion"/>
  </si>
  <si>
    <t>考虑回函的可信度并确认相关解释，以及采取适当的措施。</t>
    <phoneticPr fontId="3" type="noConversion"/>
  </si>
  <si>
    <t>确定是否需要补充必要的程序，如果是，执行适当的应对程序。</t>
    <phoneticPr fontId="3" type="noConversion"/>
  </si>
  <si>
    <t>若企业存在期货交易，获取仓库的商品期货头寸清单，执行下列审计程序：
（1）确定计算的准确性，将总金额与总账、明细账合计数核对相符；
（2）查核至仓库收据；
（3）函证确认每个仓库商品期货的存在性（可参考货币资金循环中的函证要求），对于未回函的仓库，核对该商品期货与支持文件一致；
（4）追查审计日的在途物资至企业的记录，与客户的适当人员讨论差异，考虑回函的可信度并确认相关解释，以及采取适当的措施；
（5）确定是否需要补充必要的程序，如果是，执行适当的应对程序。</t>
    <phoneticPr fontId="3" type="noConversion"/>
  </si>
  <si>
    <t>11</t>
  </si>
  <si>
    <t>获取或编制净敞口套期收益的明细表，完成以下工作，并编制审定表
（1）复核加计是否正确，与总账、明细账合计数核对是否相符；
（2）将上期发生额与上期经审计的财务报表核对；
（3）追查明细表至调节表;
（4）与上年明细项目进行比较，确定与上年分类相同；
（5）结合净敞口套期收益、交易性金融负债等科目的审计，复核其勾稽关系；
（6）调查重大或者异常的调节项目，并与客户的适当人员讨论差异，考虑回复的可信度并确认相关解释，以及采取适当的措施。</t>
    <phoneticPr fontId="3" type="noConversion"/>
  </si>
  <si>
    <t>二、样本选取方法与规模：</t>
    <phoneticPr fontId="59" type="noConversion"/>
  </si>
  <si>
    <t>报表项目</t>
    <phoneticPr fontId="3" type="noConversion"/>
  </si>
  <si>
    <t>审计目标</t>
    <phoneticPr fontId="7" type="noConversion"/>
  </si>
  <si>
    <t>发生</t>
  </si>
  <si>
    <t>完整性</t>
    <phoneticPr fontId="7" type="noConversion"/>
  </si>
  <si>
    <t>准确性</t>
  </si>
  <si>
    <t>截止</t>
    <phoneticPr fontId="7" type="noConversion"/>
  </si>
  <si>
    <t>列报</t>
    <phoneticPr fontId="7" type="noConversion"/>
  </si>
  <si>
    <r>
      <rPr>
        <b/>
        <sz val="10"/>
        <rFont val="宋体"/>
        <family val="3"/>
        <charset val="134"/>
      </rPr>
      <t>序号</t>
    </r>
    <phoneticPr fontId="7" type="noConversion"/>
  </si>
  <si>
    <r>
      <rPr>
        <b/>
        <sz val="10"/>
        <rFont val="宋体"/>
        <family val="3"/>
        <charset val="134"/>
      </rPr>
      <t>程序分类</t>
    </r>
    <phoneticPr fontId="7" type="noConversion"/>
  </si>
  <si>
    <t>财务报表的认定</t>
    <phoneticPr fontId="7" type="noConversion"/>
  </si>
  <si>
    <t>完整性</t>
  </si>
  <si>
    <t>截止</t>
  </si>
  <si>
    <t>列报</t>
  </si>
  <si>
    <t xml:space="preserve"> </t>
    <phoneticPr fontId="3" type="noConversion"/>
  </si>
  <si>
    <t>保留</t>
    <phoneticPr fontId="3" type="noConversion"/>
  </si>
  <si>
    <t>删除</t>
    <phoneticPr fontId="3" type="noConversion"/>
  </si>
  <si>
    <t>所有应记录的净敞口套期收益均已记录，所有应当包括在财务报表中的相关披露均已包括</t>
    <phoneticPr fontId="3" type="noConversion"/>
  </si>
  <si>
    <t>单位公允价值</t>
    <phoneticPr fontId="3" type="noConversion"/>
  </si>
  <si>
    <t>G12-1</t>
    <phoneticPr fontId="3" type="noConversion"/>
  </si>
  <si>
    <t>G12-3</t>
  </si>
  <si>
    <t>G12-5</t>
  </si>
  <si>
    <t>G12-6</t>
  </si>
  <si>
    <t>G12-2</t>
    <phoneticPr fontId="3" type="noConversion"/>
  </si>
  <si>
    <t>致同会计师事务所</t>
  </si>
  <si>
    <t>致同会计师事务所</t>
    <phoneticPr fontId="3" type="noConversion"/>
  </si>
  <si>
    <t>致同会计师事务所</t>
    <phoneticPr fontId="3" type="noConversion"/>
  </si>
  <si>
    <t>附注披露信息（上市公司）</t>
    <phoneticPr fontId="7" type="noConversion"/>
  </si>
  <si>
    <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3" type="noConversion"/>
  </si>
  <si>
    <r>
      <rPr>
        <sz val="10"/>
        <rFont val="Arial Narrow"/>
        <family val="2"/>
      </rPr>
      <t>5</t>
    </r>
    <r>
      <rPr>
        <sz val="10"/>
        <rFont val="宋体"/>
        <family val="3"/>
        <charset val="134"/>
      </rPr>
      <t>、审计结论可参考：</t>
    </r>
    <r>
      <rPr>
        <sz val="10"/>
        <rFont val="Arial Narrow"/>
        <family val="2"/>
      </rPr>
      <t>A</t>
    </r>
    <r>
      <rPr>
        <sz val="10"/>
        <rFont val="宋体"/>
        <family val="3"/>
        <charset val="134"/>
      </rPr>
      <t>、未见异常。</t>
    </r>
    <r>
      <rPr>
        <sz val="10"/>
        <rFont val="Arial Narrow"/>
        <family val="2"/>
      </rPr>
      <t xml:space="preserve"> B</t>
    </r>
    <r>
      <rPr>
        <sz val="10"/>
        <rFont val="宋体"/>
        <family val="3"/>
        <charset val="134"/>
      </rPr>
      <t xml:space="preserve">、除上述重大不符事项应当作为调整事项予以调整外，其余未见异常。
</t>
    </r>
    <r>
      <rPr>
        <sz val="10"/>
        <rFont val="Arial Narrow"/>
        <family val="2"/>
      </rPr>
      <t>C</t>
    </r>
    <r>
      <rPr>
        <sz val="10"/>
        <rFont val="宋体"/>
        <family val="3"/>
        <charset val="134"/>
      </rPr>
      <t>、由于存在以下重大未调整事项</t>
    </r>
    <r>
      <rPr>
        <sz val="10"/>
        <rFont val="Arial Narrow"/>
        <family val="2"/>
      </rPr>
      <t>(</t>
    </r>
    <r>
      <rPr>
        <sz val="10"/>
        <rFont val="宋体"/>
        <family val="3"/>
        <charset val="134"/>
      </rPr>
      <t>或审计范围受到限制无法获取充分、适当证据</t>
    </r>
    <r>
      <rPr>
        <sz val="10"/>
        <rFont val="Arial Narrow"/>
        <family val="2"/>
      </rPr>
      <t>)</t>
    </r>
    <r>
      <rPr>
        <sz val="10"/>
        <rFont val="宋体"/>
        <family val="3"/>
        <charset val="134"/>
      </rPr>
      <t>，不可确认。</t>
    </r>
    <phoneticPr fontId="3" type="noConversion"/>
  </si>
  <si>
    <t>测试总体：</t>
    <phoneticPr fontId="7" type="noConversion"/>
  </si>
  <si>
    <t>特定样本：</t>
    <phoneticPr fontId="7" type="noConversion"/>
  </si>
  <si>
    <t>XX金额以上（大额）、关联方/关联交易形成的款项、XX异常款项全部测试，共XX笔；</t>
    <phoneticPr fontId="7" type="noConversion"/>
  </si>
  <si>
    <t>抽样总体：</t>
    <phoneticPr fontId="7" type="noConversion"/>
  </si>
  <si>
    <t>测试总体扣除特定样本以外的样本，共XX笔、金额XX</t>
    <phoneticPr fontId="7" type="noConversion"/>
  </si>
  <si>
    <t>确定的抽样样本量：</t>
    <phoneticPr fontId="7" type="noConversion"/>
  </si>
  <si>
    <t>抽样方法：</t>
    <phoneticPr fontId="7" type="noConversion"/>
  </si>
  <si>
    <t>抽样过程：</t>
    <phoneticPr fontId="7" type="noConversion"/>
  </si>
  <si>
    <t>使用IDEA（XX抽样工具）选择XX数量、金额XX的样本进行测试，抽样工具中的样本选择过程和结果见&lt;XX&gt;底稿</t>
    <phoneticPr fontId="7" type="noConversion"/>
  </si>
  <si>
    <t>如本期发生额所有凭证共XX笔金额XX</t>
    <phoneticPr fontId="7" type="noConversion"/>
  </si>
  <si>
    <r>
      <rPr>
        <b/>
        <sz val="10"/>
        <rFont val="宋体"/>
        <family val="3"/>
        <charset val="134"/>
      </rPr>
      <t>二、样本选取标准与规模：</t>
    </r>
    <phoneticPr fontId="59" type="noConversion"/>
  </si>
  <si>
    <t>运用风险净敞口套期的风险净敞口</t>
    <phoneticPr fontId="3" type="noConversion"/>
  </si>
  <si>
    <t>三、测试：</t>
    <phoneticPr fontId="59" type="noConversion"/>
  </si>
  <si>
    <t>四、审计说明：</t>
    <phoneticPr fontId="59" type="noConversion"/>
  </si>
  <si>
    <t>五、审计结论：</t>
    <phoneticPr fontId="7" type="noConversion"/>
  </si>
  <si>
    <t>差异</t>
    <phoneticPr fontId="3" type="noConversion"/>
  </si>
  <si>
    <t>数量（张/股）</t>
    <phoneticPr fontId="3" type="noConversion"/>
  </si>
  <si>
    <t>公允价值</t>
    <phoneticPr fontId="3" type="noConversion"/>
  </si>
  <si>
    <t>第二层次</t>
    <phoneticPr fontId="3" type="noConversion"/>
  </si>
  <si>
    <t>第三层次</t>
    <phoneticPr fontId="3" type="noConversion"/>
  </si>
  <si>
    <t>期末未审数</t>
    <phoneticPr fontId="15" type="noConversion"/>
  </si>
  <si>
    <t>期末审定数</t>
    <phoneticPr fontId="15" type="noConversion"/>
  </si>
  <si>
    <t>估值方法</t>
    <phoneticPr fontId="3" type="noConversion"/>
  </si>
  <si>
    <t>估值方法与上期是否一致</t>
    <phoneticPr fontId="3" type="noConversion"/>
  </si>
  <si>
    <t>第一层次</t>
    <phoneticPr fontId="3" type="noConversion"/>
  </si>
  <si>
    <t>估值文件索引号</t>
    <phoneticPr fontId="3" type="noConversion"/>
  </si>
  <si>
    <t>公允价值</t>
    <phoneticPr fontId="3" type="noConversion"/>
  </si>
  <si>
    <t>公允价值层次</t>
    <phoneticPr fontId="3" type="noConversion"/>
  </si>
  <si>
    <t>公允价值层次</t>
    <phoneticPr fontId="3" type="noConversion"/>
  </si>
  <si>
    <t>公允价值来源机构</t>
    <phoneticPr fontId="3" type="noConversion"/>
  </si>
  <si>
    <t>输入值来源及调整考虑因素</t>
    <phoneticPr fontId="3" type="noConversion"/>
  </si>
  <si>
    <r>
      <rPr>
        <b/>
        <sz val="10"/>
        <color theme="1"/>
        <rFont val="宋体"/>
        <family val="3"/>
        <charset val="134"/>
      </rPr>
      <t>估值技术</t>
    </r>
    <phoneticPr fontId="3" type="noConversion"/>
  </si>
  <si>
    <r>
      <rPr>
        <b/>
        <sz val="10"/>
        <color theme="1"/>
        <rFont val="宋体"/>
        <family val="3"/>
        <charset val="134"/>
      </rPr>
      <t>不可观察输入值</t>
    </r>
    <phoneticPr fontId="3" type="noConversion"/>
  </si>
  <si>
    <t>数值</t>
    <phoneticPr fontId="3" type="noConversion"/>
  </si>
  <si>
    <t>以合同规定的未来现金流量按照市场上具有可比信用等级并在相同条件下提供几乎相同现金流量的利率进行折现后的现值确定</t>
    <phoneticPr fontId="3" type="noConversion"/>
  </si>
  <si>
    <t>第三层次</t>
    <phoneticPr fontId="3" type="noConversion"/>
  </si>
  <si>
    <t>合计</t>
    <phoneticPr fontId="15" type="noConversion"/>
  </si>
  <si>
    <t>套期工具</t>
    <phoneticPr fontId="7" type="noConversion"/>
  </si>
  <si>
    <t>页  次：</t>
    <phoneticPr fontId="3" type="noConversion"/>
  </si>
  <si>
    <t>页次：</t>
  </si>
  <si>
    <t>页  次：</t>
    <phoneticPr fontId="3" type="noConversion"/>
  </si>
  <si>
    <t>页 次：</t>
    <phoneticPr fontId="7" type="noConversion"/>
  </si>
  <si>
    <t>索引号：</t>
    <phoneticPr fontId="7" type="noConversion"/>
  </si>
  <si>
    <t>页 次：1</t>
    <phoneticPr fontId="3" type="noConversion"/>
  </si>
  <si>
    <t>1.利润表中记录的投资收益已发生，且与被审计单位有关，已记录于恰当的账户；2.所有应记录的投资收益均已记录，所有应当包括在财务报表中的相关披露均已包括；</t>
    <phoneticPr fontId="3" type="noConversion"/>
  </si>
  <si>
    <t>3.与投资收益有关的金额及其他数据已恰当记录，相关披露已得到恰当计量和描述</t>
    <phoneticPr fontId="3" type="noConversion"/>
  </si>
  <si>
    <t>支持性文件</t>
    <phoneticPr fontId="7" type="noConversion"/>
  </si>
  <si>
    <r>
      <rPr>
        <b/>
        <sz val="10"/>
        <rFont val="宋体"/>
        <family val="3"/>
        <charset val="134"/>
      </rPr>
      <t>核对内容</t>
    </r>
  </si>
  <si>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原始凭证内容完整；</t>
    </r>
    <r>
      <rPr>
        <sz val="10"/>
        <color rgb="FFFF0000"/>
        <rFont val="Arial Narrow"/>
        <family val="2"/>
      </rPr>
      <t xml:space="preserve"> 2</t>
    </r>
    <r>
      <rPr>
        <sz val="10"/>
        <color rgb="FFFF0000"/>
        <rFont val="宋体"/>
        <family val="2"/>
        <charset val="134"/>
      </rPr>
      <t>.有授权批准；</t>
    </r>
    <r>
      <rPr>
        <sz val="10"/>
        <color rgb="FFFF0000"/>
        <rFont val="Arial Narrow"/>
        <family val="2"/>
      </rPr>
      <t>3</t>
    </r>
    <r>
      <rPr>
        <sz val="10"/>
        <color rgb="FFFF0000"/>
        <rFont val="宋体"/>
        <family val="2"/>
        <charset val="134"/>
      </rPr>
      <t>.账务处理正确；4.初始成本计算准确；</t>
    </r>
    <r>
      <rPr>
        <sz val="10"/>
        <color rgb="FFFF0000"/>
        <rFont val="Arial Narrow"/>
        <family val="2"/>
      </rPr>
      <t>5.</t>
    </r>
    <r>
      <rPr>
        <sz val="10"/>
        <color rgb="FFFF0000"/>
        <rFont val="宋体"/>
        <family val="2"/>
        <charset val="134"/>
      </rPr>
      <t>符合套期会计要求；</t>
    </r>
    <r>
      <rPr>
        <sz val="10"/>
        <color rgb="FFFF0000"/>
        <rFont val="Arial Narrow"/>
        <family val="2"/>
      </rPr>
      <t>6</t>
    </r>
    <r>
      <rPr>
        <sz val="10"/>
        <color rgb="FFFF0000"/>
        <rFont val="宋体"/>
        <family val="2"/>
        <charset val="134"/>
      </rPr>
      <t>、公允价值符合准则要求。</t>
    </r>
    <phoneticPr fontId="7" type="noConversion"/>
  </si>
  <si>
    <t>备注说明</t>
    <phoneticPr fontId="7" type="noConversion"/>
  </si>
  <si>
    <r>
      <rPr>
        <b/>
        <sz val="10"/>
        <rFont val="宋体"/>
        <family val="3"/>
        <charset val="134"/>
      </rPr>
      <t>内容</t>
    </r>
  </si>
  <si>
    <r>
      <rPr>
        <b/>
        <sz val="10"/>
        <rFont val="宋体"/>
        <family val="3"/>
        <charset val="134"/>
      </rPr>
      <t>索引号</t>
    </r>
    <phoneticPr fontId="3" type="noConversion"/>
  </si>
  <si>
    <r>
      <rPr>
        <u/>
        <sz val="10"/>
        <color theme="10"/>
        <rFont val="宋体"/>
        <family val="3"/>
        <charset val="134"/>
      </rPr>
      <t>净敞口套期收益实质性程序表</t>
    </r>
  </si>
  <si>
    <r>
      <rPr>
        <u/>
        <sz val="10"/>
        <color theme="10"/>
        <rFont val="宋体"/>
        <family val="3"/>
        <charset val="134"/>
      </rPr>
      <t>审定表</t>
    </r>
    <phoneticPr fontId="3" type="noConversion"/>
  </si>
  <si>
    <r>
      <rPr>
        <u/>
        <sz val="10"/>
        <color theme="10"/>
        <rFont val="宋体"/>
        <family val="3"/>
        <charset val="134"/>
      </rPr>
      <t>附注披露信息（上市公司）</t>
    </r>
    <phoneticPr fontId="3" type="noConversion"/>
  </si>
  <si>
    <r>
      <rPr>
        <u/>
        <sz val="10"/>
        <color theme="10"/>
        <rFont val="宋体"/>
        <family val="3"/>
        <charset val="134"/>
      </rPr>
      <t>附注披露信息（国企）</t>
    </r>
    <phoneticPr fontId="3" type="noConversion"/>
  </si>
  <si>
    <r>
      <rPr>
        <u/>
        <sz val="10"/>
        <color theme="10"/>
        <rFont val="宋体"/>
        <family val="3"/>
        <charset val="134"/>
      </rPr>
      <t>明细表</t>
    </r>
    <phoneticPr fontId="3" type="noConversion"/>
  </si>
  <si>
    <r>
      <rPr>
        <u/>
        <sz val="10"/>
        <color theme="10"/>
        <rFont val="宋体"/>
        <family val="3"/>
        <charset val="134"/>
      </rPr>
      <t>调整分录汇总</t>
    </r>
  </si>
  <si>
    <r>
      <rPr>
        <u/>
        <sz val="10"/>
        <color theme="10"/>
        <rFont val="宋体"/>
        <family val="3"/>
        <charset val="134"/>
      </rPr>
      <t>公允价值测试表</t>
    </r>
    <phoneticPr fontId="3" type="noConversion"/>
  </si>
  <si>
    <r>
      <rPr>
        <u/>
        <sz val="10"/>
        <color theme="10"/>
        <rFont val="宋体"/>
        <family val="3"/>
        <charset val="134"/>
      </rPr>
      <t>风险净敞口检查表</t>
    </r>
  </si>
  <si>
    <r>
      <rPr>
        <u/>
        <sz val="10"/>
        <color theme="10"/>
        <rFont val="宋体"/>
        <family val="3"/>
        <charset val="134"/>
      </rPr>
      <t>凭证检查表</t>
    </r>
  </si>
  <si>
    <t>三、计划实施的实质性程序</t>
    <phoneticPr fontId="7" type="noConversion"/>
  </si>
  <si>
    <r>
      <t xml:space="preserve">A. </t>
    </r>
    <r>
      <rPr>
        <sz val="10"/>
        <rFont val="宋体"/>
        <family val="3"/>
        <charset val="134"/>
      </rPr>
      <t>利润表中记录的净敞口套期收益已发生，且与被审计单位有关，已记录于恰当的账户</t>
    </r>
  </si>
  <si>
    <r>
      <t xml:space="preserve">C. </t>
    </r>
    <r>
      <rPr>
        <sz val="10"/>
        <rFont val="宋体"/>
        <family val="3"/>
        <charset val="134"/>
      </rPr>
      <t>与净敞口套期收益有关的金额及其他数据已恰当记录，相关披露已得到恰当计量和描述</t>
    </r>
  </si>
  <si>
    <r>
      <t xml:space="preserve">D. </t>
    </r>
    <r>
      <rPr>
        <sz val="10"/>
        <rFont val="宋体"/>
        <family val="3"/>
        <charset val="134"/>
      </rPr>
      <t>净敞口套期收益已记录于正确的会计期间</t>
    </r>
  </si>
  <si>
    <r>
      <t xml:space="preserve">E. </t>
    </r>
    <r>
      <rPr>
        <sz val="10"/>
        <rFont val="宋体"/>
        <family val="3"/>
        <charset val="134"/>
      </rPr>
      <t>净敞口套期收益已被恰当地汇总或分解且表述清楚，相关披露在按照企业会计准则的编制基础下是相关的、可理解的</t>
    </r>
  </si>
  <si>
    <r>
      <t xml:space="preserve">B. </t>
    </r>
    <r>
      <rPr>
        <sz val="10"/>
        <rFont val="宋体"/>
        <family val="3"/>
        <charset val="134"/>
      </rPr>
      <t>所有应记录的净敞口套期收益均已记录，所有应当包括在财务报表中的相关披露均已包括</t>
    </r>
    <phoneticPr fontId="3" type="noConversion"/>
  </si>
  <si>
    <t>备选</t>
    <phoneticPr fontId="3" type="noConversion"/>
  </si>
  <si>
    <t>备选</t>
    <phoneticPr fontId="3" type="noConversion"/>
  </si>
  <si>
    <r>
      <t>对上期数的审计，取得净敞口套期收益上期明细表复核加计是否正确，与总账、明细账合计数是否相符，确定会计政策及程序是否适当，确定计算的准确性；确定是否需要补充必要的程序，如果是，执行适当的应对程序。</t>
    </r>
    <r>
      <rPr>
        <sz val="10"/>
        <color rgb="FFFF0000"/>
        <rFont val="宋体"/>
        <family val="3"/>
        <charset val="134"/>
      </rPr>
      <t>（适用于首次承接）</t>
    </r>
    <phoneticPr fontId="3" type="noConversion"/>
  </si>
  <si>
    <t>检查净敞口套期收益是否已按企业会计准则或其他适用的规定在财务报表中做出恰当列报和披露。</t>
    <phoneticPr fontId="7" type="noConversion"/>
  </si>
  <si>
    <t>IPO/上市/新三板/重组/舞弊应对</t>
    <phoneticPr fontId="3" type="noConversion"/>
  </si>
  <si>
    <t>√</t>
    <phoneticPr fontId="7" type="noConversion"/>
  </si>
  <si>
    <t>√</t>
    <phoneticPr fontId="7" type="noConversion"/>
  </si>
  <si>
    <r>
      <t>A1-1/</t>
    </r>
    <r>
      <rPr>
        <sz val="10"/>
        <color rgb="FFFF0000"/>
        <rFont val="Arial Narrow"/>
        <family val="2"/>
      </rPr>
      <t>A1-15 /A1-16</t>
    </r>
    <phoneticPr fontId="7" type="noConversion"/>
  </si>
  <si>
    <t>G12-1
/G12-2</t>
    <phoneticPr fontId="3" type="noConversion"/>
  </si>
  <si>
    <t>T1
/G0-2</t>
    <phoneticPr fontId="3" type="noConversion"/>
  </si>
  <si>
    <t>G12-2
/G12-5</t>
    <phoneticPr fontId="3" type="noConversion"/>
  </si>
  <si>
    <t>G12-2
/G12-5</t>
    <phoneticPr fontId="3" type="noConversion"/>
  </si>
  <si>
    <t>检查与净敞口套期收益有关的的记账凭证和相应的支持性证据以确定交易的真实性，是否按规定进行相应的会计处理和披露。</t>
    <phoneticPr fontId="7" type="noConversion"/>
  </si>
  <si>
    <t>√</t>
    <phoneticPr fontId="7" type="noConversion"/>
  </si>
  <si>
    <t>G12-2
/G12-5</t>
    <phoneticPr fontId="3" type="noConversion"/>
  </si>
  <si>
    <t>G12-6</t>
    <phoneticPr fontId="3" type="noConversion"/>
  </si>
  <si>
    <r>
      <rPr>
        <sz val="10"/>
        <color rgb="FFFF0000"/>
        <rFont val="宋体"/>
        <family val="3"/>
        <charset val="134"/>
      </rPr>
      <t>支付</t>
    </r>
    <r>
      <rPr>
        <sz val="10"/>
        <color rgb="FFFF0000"/>
        <rFont val="Arial Narrow"/>
        <family val="2"/>
      </rPr>
      <t>200</t>
    </r>
    <r>
      <rPr>
        <sz val="10"/>
        <color rgb="FFFF0000"/>
        <rFont val="宋体"/>
        <family val="3"/>
        <charset val="134"/>
      </rPr>
      <t>万美元</t>
    </r>
    <phoneticPr fontId="3" type="noConversion"/>
  </si>
  <si>
    <r>
      <rPr>
        <sz val="10"/>
        <color rgb="FFFF0000"/>
        <rFont val="宋体"/>
        <family val="3"/>
        <charset val="134"/>
      </rPr>
      <t>购入</t>
    </r>
    <r>
      <rPr>
        <sz val="10"/>
        <color rgb="FFFF0000"/>
        <rFont val="Arial Narrow"/>
        <family val="2"/>
      </rPr>
      <t>200</t>
    </r>
    <r>
      <rPr>
        <sz val="10"/>
        <color rgb="FFFF0000"/>
        <rFont val="宋体"/>
        <family val="3"/>
        <charset val="134"/>
      </rPr>
      <t>万美元的外汇远期合同</t>
    </r>
    <phoneticPr fontId="3" type="noConversion"/>
  </si>
  <si>
    <r>
      <t>1 200</t>
    </r>
    <r>
      <rPr>
        <sz val="10"/>
        <color rgb="FFFF0000"/>
        <rFont val="宋体"/>
        <family val="3"/>
        <charset val="134"/>
      </rPr>
      <t>万美元</t>
    </r>
    <phoneticPr fontId="3" type="noConversion"/>
  </si>
  <si>
    <r>
      <rPr>
        <sz val="10"/>
        <color rgb="FFFF0000"/>
        <rFont val="宋体"/>
        <family val="3"/>
        <charset val="134"/>
      </rPr>
      <t>支付</t>
    </r>
    <r>
      <rPr>
        <sz val="10"/>
        <color rgb="FFFF0000"/>
        <rFont val="Arial Narrow"/>
        <family val="2"/>
      </rPr>
      <t>200</t>
    </r>
    <r>
      <rPr>
        <sz val="10"/>
        <color rgb="FFFF0000"/>
        <rFont val="宋体"/>
        <family val="3"/>
        <charset val="134"/>
      </rPr>
      <t>万美元</t>
    </r>
    <phoneticPr fontId="3" type="noConversion"/>
  </si>
  <si>
    <r>
      <rPr>
        <sz val="10"/>
        <rFont val="宋体"/>
        <family val="3"/>
        <charset val="134"/>
      </rPr>
      <t>会计期间：</t>
    </r>
    <r>
      <rPr>
        <sz val="10"/>
        <rFont val="Arial Narrow"/>
        <family val="2"/>
      </rPr>
      <t>202X</t>
    </r>
    <r>
      <rPr>
        <sz val="10"/>
        <rFont val="宋体"/>
        <family val="3"/>
        <charset val="134"/>
      </rPr>
      <t>年度</t>
    </r>
    <phoneticPr fontId="7" type="noConversion"/>
  </si>
  <si>
    <t>关于工作底稿与审计程序索引号对应的说明</t>
    <phoneticPr fontId="7"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</si>
  <si>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7"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</si>
  <si>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7"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</si>
  <si>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7" type="noConversion"/>
  </si>
  <si>
    <t>根据被审计单位实际情况和风险评估情况裁剪、修改或增加审计程序</t>
    <phoneticPr fontId="7" type="noConversion"/>
  </si>
  <si>
    <t>审计程序</t>
    <phoneticPr fontId="3" type="noConversion"/>
  </si>
  <si>
    <t>随机选样/系统选样/货币单元抽样/随意选样（非统计抽样适用）</t>
    <phoneticPr fontId="7" type="noConversion"/>
  </si>
  <si>
    <t>抽取XX笔（如果使用了样本计算器计算样本量，样本量计算过程见&lt;XX&gt;底稿）</t>
    <phoneticPr fontId="7" type="noConversion"/>
  </si>
  <si>
    <t>合计</t>
    <phoneticPr fontId="7" type="noConversion"/>
  </si>
  <si>
    <t>本期发生额</t>
    <phoneticPr fontId="7" type="noConversion"/>
  </si>
  <si>
    <t>检查比例</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</si>
</sst>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quot;¥&quot;#,##0;\-&quot;¥&quot;#,##0"/>
    <numFmt numFmtId="219" formatCode="#,##0.00&quot;¥&quot;;\-#,##0.00&quot;¥&quot;"/>
    <numFmt numFmtId="220" formatCode="_-* #,##0.00&quot;¥&quot;_-;\-* #,##0.00&quot;¥&quot;_-;_-* &quot;-&quot;??&quot;¥&quot;_-;_-@_-"/>
    <numFmt numFmtId="221" formatCode="0.000%"/>
    <numFmt numFmtId="222" formatCode="_-* #,##0&quot;¥&quot;_-;\-* #,##0&quot;¥&quot;_-;_-* &quot;-&quot;&quot;¥&quot;_-;_-@_-"/>
    <numFmt numFmtId="223" formatCode="#,##0.00&quot;¥&quot;;[Red]\-#,##0.00&quot;¥&quot;"/>
    <numFmt numFmtId="224" formatCode="&quot;\&quot;#,##0.00;[Red]&quot;\&quot;&quot;\&quot;&quot;\&quot;&quot;\&quot;&quot;\&quot;&quot;\&quot;\-#,##0.00"/>
    <numFmt numFmtId="225" formatCode="&quot;\&quot;#,##0.00;[Red]&quot;\&quot;\-#,##0.00"/>
    <numFmt numFmtId="226" formatCode="&quot;\&quot;#,##0;[Red]&quot;\&quot;\-#,##0"/>
  </numFmts>
  <fonts count="145">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sz val="12"/>
      <name val="Arial Narrow"/>
      <family val="2"/>
    </font>
    <font>
      <sz val="10"/>
      <name val="宋体"/>
      <family val="3"/>
      <charset val="134"/>
    </font>
    <font>
      <b/>
      <sz val="10"/>
      <color indexed="12"/>
      <name val="宋体"/>
      <family val="3"/>
      <charset val="134"/>
    </font>
    <font>
      <i/>
      <sz val="10"/>
      <color indexed="12"/>
      <name val="宋体"/>
      <family val="3"/>
      <charset val="134"/>
    </font>
    <font>
      <sz val="10"/>
      <color indexed="12"/>
      <name val="Arial Narrow"/>
      <family val="2"/>
    </font>
    <font>
      <sz val="10"/>
      <color indexed="12"/>
      <name val="宋体"/>
      <family val="3"/>
      <charset val="134"/>
    </font>
    <font>
      <sz val="10"/>
      <name val="Arial"/>
      <family val="2"/>
    </font>
    <font>
      <sz val="10"/>
      <name val="Times New Roman"/>
      <family val="1"/>
    </font>
    <font>
      <sz val="10"/>
      <color indexed="8"/>
      <name val="Arial"/>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1"/>
      <name val="ＭＳ Ｐゴシック"/>
      <family val="2"/>
    </font>
    <font>
      <sz val="12"/>
      <name val="바탕체"/>
      <family val="3"/>
    </font>
    <font>
      <sz val="10"/>
      <color indexed="8"/>
      <name val="Arial Narrow"/>
      <family val="2"/>
    </font>
    <font>
      <sz val="10"/>
      <color indexed="8"/>
      <name val="宋体"/>
      <family val="3"/>
      <charset val="134"/>
    </font>
    <font>
      <sz val="10"/>
      <color indexed="10"/>
      <name val="宋体"/>
      <family val="3"/>
      <charset val="134"/>
    </font>
    <font>
      <b/>
      <sz val="10"/>
      <color indexed="8"/>
      <name val="宋体"/>
      <family val="3"/>
      <charset val="134"/>
    </font>
    <font>
      <sz val="18"/>
      <color indexed="48"/>
      <name val="魏碑"/>
      <family val="3"/>
      <charset val="134"/>
    </font>
    <font>
      <sz val="12"/>
      <name val="Arial"/>
      <family val="2"/>
    </font>
    <font>
      <sz val="10.5"/>
      <name val="Arial"/>
      <family val="2"/>
    </font>
    <font>
      <sz val="10.5"/>
      <name val="宋体"/>
      <family val="3"/>
      <charset val="134"/>
    </font>
    <font>
      <sz val="10.5"/>
      <name val="Times New Roman"/>
      <family val="1"/>
    </font>
    <font>
      <u/>
      <sz val="11"/>
      <color theme="10"/>
      <name val="宋体"/>
      <family val="3"/>
      <charset val="134"/>
    </font>
    <font>
      <sz val="12"/>
      <color theme="1"/>
      <name val="仿宋_GB2312"/>
      <family val="3"/>
      <charset val="134"/>
    </font>
    <font>
      <sz val="12"/>
      <color theme="1"/>
      <name val="Arial Narrow"/>
      <family val="2"/>
    </font>
    <font>
      <b/>
      <sz val="12"/>
      <color rgb="FF000000"/>
      <name val="仿宋_GB2312"/>
      <family val="3"/>
      <charset val="134"/>
    </font>
    <font>
      <sz val="11"/>
      <color theme="1"/>
      <name val="宋体"/>
      <family val="2"/>
      <charset val="134"/>
      <scheme val="minor"/>
    </font>
    <font>
      <sz val="10"/>
      <color rgb="FFFF0000"/>
      <name val="宋体"/>
      <family val="3"/>
      <charset val="134"/>
    </font>
    <font>
      <sz val="10"/>
      <color theme="1"/>
      <name val="Arial Narrow"/>
      <family val="2"/>
    </font>
    <font>
      <b/>
      <sz val="10"/>
      <color theme="1"/>
      <name val="Arial Narrow"/>
      <family val="2"/>
    </font>
    <font>
      <b/>
      <sz val="10"/>
      <color theme="1"/>
      <name val="宋体"/>
      <family val="3"/>
      <charset val="134"/>
    </font>
    <font>
      <sz val="10"/>
      <color theme="1"/>
      <name val="宋体"/>
      <family val="3"/>
      <charset val="134"/>
    </font>
    <font>
      <sz val="11"/>
      <color theme="1"/>
      <name val="宋体"/>
      <family val="3"/>
      <charset val="134"/>
      <scheme val="minor"/>
    </font>
    <font>
      <b/>
      <sz val="10"/>
      <color indexed="8"/>
      <name val="Arial Narrow"/>
      <family val="2"/>
    </font>
    <font>
      <sz val="10"/>
      <color indexed="10"/>
      <name val="Arial Narrow"/>
      <family val="2"/>
    </font>
    <font>
      <b/>
      <sz val="10"/>
      <color indexed="12"/>
      <name val="Arial Narrow"/>
      <family val="2"/>
    </font>
    <font>
      <i/>
      <sz val="10"/>
      <color indexed="12"/>
      <name val="Arial Narrow"/>
      <family val="2"/>
    </font>
    <font>
      <sz val="12"/>
      <name val="???"/>
      <family val="1"/>
    </font>
    <font>
      <sz val="8"/>
      <name val="Times New Roman"/>
      <family val="1"/>
    </font>
    <font>
      <sz val="10"/>
      <name val="MS Serif"/>
      <family val="1"/>
    </font>
    <font>
      <sz val="12"/>
      <name val="Tms Rmn"/>
      <family val="1"/>
    </font>
    <font>
      <sz val="10"/>
      <color indexed="16"/>
      <name val="MS Serif"/>
      <family val="1"/>
    </font>
    <font>
      <sz val="10"/>
      <name val="Tms Rmn"/>
      <family val="1"/>
    </font>
    <font>
      <sz val="9"/>
      <color indexed="8"/>
      <name val="宋体"/>
      <family val="3"/>
      <charset val="134"/>
    </font>
    <font>
      <b/>
      <sz val="8"/>
      <color indexed="8"/>
      <name val="Helv"/>
      <family val="2"/>
    </font>
    <font>
      <sz val="14"/>
      <name val="柧挬"/>
      <family val="2"/>
    </font>
    <font>
      <sz val="11"/>
      <color rgb="FF9C0006"/>
      <name val="宋体"/>
      <family val="3"/>
      <charset val="134"/>
      <scheme val="minor"/>
    </font>
    <font>
      <sz val="10"/>
      <color indexed="20"/>
      <name val="Times New Roman"/>
      <family val="1"/>
    </font>
    <font>
      <sz val="11"/>
      <color rgb="FF006100"/>
      <name val="宋体"/>
      <family val="3"/>
      <charset val="134"/>
      <scheme val="minor"/>
    </font>
    <font>
      <sz val="12"/>
      <name val="官帕眉"/>
      <family val="2"/>
    </font>
    <font>
      <sz val="10"/>
      <name val="奔覆眉"/>
      <family val="2"/>
    </font>
    <font>
      <sz val="12"/>
      <name val="柧挬"/>
      <family val="2"/>
    </font>
    <font>
      <sz val="12"/>
      <color rgb="FF000000"/>
      <name val="仿宋_GB2312"/>
      <family val="3"/>
      <charset val="134"/>
    </font>
    <font>
      <sz val="9"/>
      <color indexed="81"/>
      <name val="宋体"/>
      <family val="3"/>
      <charset val="134"/>
    </font>
    <font>
      <b/>
      <sz val="9"/>
      <color indexed="81"/>
      <name val="宋体"/>
      <family val="3"/>
      <charset val="134"/>
    </font>
    <font>
      <i/>
      <u/>
      <sz val="10"/>
      <color indexed="12"/>
      <name val="Arial Narrow"/>
      <family val="2"/>
    </font>
    <font>
      <u/>
      <sz val="10"/>
      <name val="Arial Narrow"/>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9"/>
      <name val="Arial Narrow"/>
      <family val="2"/>
    </font>
    <font>
      <b/>
      <sz val="9"/>
      <name val="宋体"/>
      <family val="3"/>
      <charset val="134"/>
    </font>
    <font>
      <sz val="11"/>
      <name val="宋体"/>
      <family val="3"/>
      <charset val="134"/>
    </font>
    <font>
      <sz val="10"/>
      <color theme="1"/>
      <name val="宋体"/>
      <family val="2"/>
      <charset val="134"/>
    </font>
    <font>
      <sz val="10"/>
      <color indexed="10"/>
      <name val="Arial"/>
      <family val="2"/>
    </font>
    <font>
      <sz val="10"/>
      <color theme="1"/>
      <name val="Arial"/>
      <family val="2"/>
    </font>
    <font>
      <b/>
      <sz val="10"/>
      <color theme="1"/>
      <name val="Arial"/>
      <family val="2"/>
    </font>
    <font>
      <b/>
      <sz val="10"/>
      <color rgb="FFFF0000"/>
      <name val="宋体"/>
      <family val="3"/>
      <charset val="134"/>
    </font>
    <font>
      <sz val="12"/>
      <color indexed="8"/>
      <name val="宋体"/>
      <family val="3"/>
      <charset val="134"/>
    </font>
    <font>
      <b/>
      <sz val="10"/>
      <color rgb="FFE92841"/>
      <name val="Arial Narrow"/>
      <family val="2"/>
    </font>
    <font>
      <b/>
      <sz val="12"/>
      <color theme="1"/>
      <name val="仿宋_GB2312"/>
      <family val="3"/>
      <charset val="134"/>
    </font>
    <font>
      <b/>
      <sz val="12"/>
      <color rgb="FF000000"/>
      <name val="Arial Narrow"/>
      <family val="2"/>
    </font>
    <font>
      <b/>
      <sz val="12"/>
      <color theme="1"/>
      <name val="Arial Narrow"/>
      <family val="2"/>
    </font>
    <font>
      <sz val="10"/>
      <name val="宋体"/>
      <family val="3"/>
      <charset val="134"/>
      <scheme val="minor"/>
    </font>
    <font>
      <sz val="10"/>
      <color rgb="FF0000FF"/>
      <name val="宋体"/>
      <family val="3"/>
      <charset val="134"/>
    </font>
    <font>
      <sz val="12"/>
      <name val="宋体"/>
      <family val="3"/>
      <charset val="134"/>
      <scheme val="minor"/>
    </font>
    <font>
      <b/>
      <sz val="12"/>
      <name val="宋体"/>
      <family val="3"/>
      <charset val="134"/>
      <scheme val="minor"/>
    </font>
    <font>
      <b/>
      <sz val="14"/>
      <name val="宋体"/>
      <family val="3"/>
      <charset val="134"/>
      <scheme val="minor"/>
    </font>
    <font>
      <sz val="14"/>
      <name val="宋体"/>
      <family val="3"/>
      <charset val="134"/>
      <scheme val="minor"/>
    </font>
    <font>
      <sz val="10"/>
      <color rgb="FF0000FF"/>
      <name val="Arial Narrow"/>
      <family val="2"/>
    </font>
    <font>
      <u/>
      <sz val="10"/>
      <color theme="10"/>
      <name val="宋体"/>
      <family val="3"/>
      <charset val="134"/>
    </font>
    <font>
      <sz val="10"/>
      <color rgb="FFFF0000"/>
      <name val="Arial Narrow"/>
      <family val="3"/>
      <charset val="134"/>
    </font>
    <font>
      <sz val="10"/>
      <color rgb="FFFF0000"/>
      <name val="Arial Narrow"/>
      <family val="2"/>
    </font>
    <font>
      <sz val="10"/>
      <color rgb="FFFF0000"/>
      <name val="宋体"/>
      <family val="2"/>
      <charset val="134"/>
    </font>
    <font>
      <u/>
      <sz val="10"/>
      <color theme="10"/>
      <name val="Arial Narrow"/>
      <family val="2"/>
    </font>
    <font>
      <sz val="10"/>
      <color theme="10"/>
      <name val="Arial Narrow"/>
      <family val="2"/>
    </font>
    <font>
      <sz val="10"/>
      <color rgb="FFFF0000"/>
      <name val="宋体"/>
      <family val="3"/>
      <charset val="134"/>
      <scheme val="minor"/>
    </font>
    <font>
      <b/>
      <sz val="14"/>
      <name val="宋体"/>
      <family val="3"/>
      <charset val="134"/>
    </font>
    <font>
      <b/>
      <sz val="12"/>
      <name val="Arial Narrow"/>
      <family val="2"/>
    </font>
    <font>
      <sz val="10"/>
      <color theme="1"/>
      <name val="宋体"/>
      <family val="3"/>
      <charset val="134"/>
      <scheme val="minor"/>
    </font>
  </fonts>
  <fills count="39">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indexed="15"/>
      </patternFill>
    </fill>
    <fill>
      <patternFill patternType="solid">
        <fgColor indexed="12"/>
      </patternFill>
    </fill>
    <fill>
      <patternFill patternType="solid">
        <fgColor indexed="9"/>
      </patternFill>
    </fill>
    <fill>
      <patternFill patternType="solid">
        <fgColor indexed="46"/>
      </patternFill>
    </fill>
    <fill>
      <patternFill patternType="solid">
        <fgColor indexed="27"/>
      </patternFill>
    </fill>
    <fill>
      <patternFill patternType="solid">
        <fgColor indexed="31"/>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E4DFEC"/>
        <bgColor indexed="64"/>
      </patternFill>
    </fill>
    <fill>
      <patternFill patternType="solid">
        <fgColor rgb="FFE4DFEC"/>
        <bgColor rgb="FFB7DEE8"/>
      </patternFill>
    </fill>
  </fills>
  <borders count="28">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style="hair">
        <color indexed="64"/>
      </top>
      <bottom/>
      <diagonal/>
    </border>
    <border>
      <left style="hair">
        <color indexed="64"/>
      </left>
      <right/>
      <top/>
      <bottom style="hair">
        <color indexed="64"/>
      </bottom>
      <diagonal/>
    </border>
    <border>
      <left/>
      <right style="hair">
        <color indexed="64"/>
      </right>
      <top style="hair">
        <color indexed="64"/>
      </top>
      <bottom/>
      <diagonal/>
    </border>
    <border>
      <left/>
      <right/>
      <top/>
      <bottom style="hair">
        <color indexed="64"/>
      </bottom>
      <diagonal/>
    </border>
  </borders>
  <cellStyleXfs count="387">
    <xf numFmtId="0" fontId="0" fillId="0" borderId="0">
      <alignment vertical="center"/>
    </xf>
    <xf numFmtId="0" fontId="1" fillId="0" borderId="0">
      <alignment vertical="center"/>
    </xf>
    <xf numFmtId="0" fontId="1" fillId="0" borderId="0">
      <alignment vertical="center"/>
    </xf>
    <xf numFmtId="0" fontId="1" fillId="0" borderId="0" applyFill="0" applyBorder="0"/>
    <xf numFmtId="0" fontId="14" fillId="0" borderId="0"/>
    <xf numFmtId="0" fontId="14" fillId="0" borderId="0"/>
    <xf numFmtId="0" fontId="14" fillId="0" borderId="0"/>
    <xf numFmtId="0" fontId="14" fillId="0" borderId="0"/>
    <xf numFmtId="0" fontId="14" fillId="0" borderId="0"/>
    <xf numFmtId="49" fontId="15" fillId="0" borderId="0" applyProtection="0">
      <alignment horizontal="left"/>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7" fillId="0" borderId="0"/>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176" fontId="15" fillId="0" borderId="0" applyFill="0" applyBorder="0" applyProtection="0">
      <alignment horizontal="right"/>
    </xf>
    <xf numFmtId="177" fontId="15" fillId="0" borderId="0" applyFill="0" applyBorder="0" applyProtection="0">
      <alignment horizontal="right"/>
    </xf>
    <xf numFmtId="178" fontId="18" fillId="0" borderId="0" applyFill="0" applyBorder="0" applyProtection="0">
      <alignment horizontal="center"/>
    </xf>
    <xf numFmtId="179" fontId="18" fillId="0" borderId="0" applyFill="0" applyBorder="0" applyProtection="0">
      <alignment horizontal="center"/>
    </xf>
    <xf numFmtId="180" fontId="19" fillId="0" borderId="0" applyFill="0" applyBorder="0" applyProtection="0">
      <alignment horizontal="right"/>
    </xf>
    <xf numFmtId="181" fontId="15"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20" fillId="0" borderId="0" applyFont="0" applyFill="0" applyBorder="0" applyAlignment="0" applyProtection="0"/>
    <xf numFmtId="0" fontId="17" fillId="0" borderId="0"/>
    <xf numFmtId="186" fontId="20" fillId="0" borderId="0" applyFont="0" applyFill="0" applyBorder="0" applyAlignment="0" applyProtection="0"/>
    <xf numFmtId="10" fontId="20" fillId="0" borderId="0" applyFont="0" applyFill="0" applyBorder="0" applyAlignment="0" applyProtection="0"/>
    <xf numFmtId="3" fontId="21" fillId="0" borderId="0"/>
    <xf numFmtId="187" fontId="22" fillId="0" borderId="3" applyAlignment="0" applyProtection="0"/>
    <xf numFmtId="188" fontId="16" fillId="0" borderId="0" applyFill="0" applyBorder="0" applyAlignment="0"/>
    <xf numFmtId="189" fontId="14" fillId="0" borderId="0" applyFill="0" applyBorder="0" applyAlignment="0"/>
    <xf numFmtId="190" fontId="14" fillId="0" borderId="0" applyFill="0" applyBorder="0" applyAlignment="0"/>
    <xf numFmtId="191" fontId="14" fillId="0" borderId="0" applyFill="0" applyBorder="0" applyAlignment="0"/>
    <xf numFmtId="192"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3" fillId="0" borderId="0"/>
    <xf numFmtId="0" fontId="24" fillId="0" borderId="4" applyNumberFormat="0" applyFill="0" applyProtection="0">
      <alignment horizontal="center"/>
    </xf>
    <xf numFmtId="0" fontId="25" fillId="0" borderId="5">
      <alignment horizontal="center"/>
    </xf>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38" fontId="26" fillId="0" borderId="0" applyFont="0" applyFill="0" applyBorder="0" applyAlignment="0" applyProtection="0"/>
    <xf numFmtId="193" fontId="14" fillId="0" borderId="0" applyFont="0" applyFill="0" applyBorder="0" applyAlignment="0" applyProtection="0"/>
    <xf numFmtId="43" fontId="1" fillId="0" borderId="0" applyFont="0" applyFill="0" applyBorder="0" applyAlignment="0" applyProtection="0"/>
    <xf numFmtId="196" fontId="15" fillId="0" borderId="0"/>
    <xf numFmtId="37" fontId="20" fillId="0" borderId="0" applyFont="0" applyFill="0" applyBorder="0" applyAlignment="0" applyProtection="0"/>
    <xf numFmtId="197" fontId="20" fillId="0" borderId="0" applyFont="0" applyFill="0" applyBorder="0" applyAlignment="0" applyProtection="0"/>
    <xf numFmtId="39" fontId="20" fillId="0" borderId="0" applyFont="0" applyFill="0" applyBorder="0" applyAlignment="0" applyProtection="0"/>
    <xf numFmtId="40" fontId="26" fillId="0" borderId="0" applyFont="0" applyFill="0" applyBorder="0" applyAlignment="0" applyProtection="0"/>
    <xf numFmtId="198" fontId="1" fillId="0" borderId="0" applyFont="0" applyFill="0" applyBorder="0" applyAlignment="0" applyProtection="0"/>
    <xf numFmtId="189" fontId="14" fillId="0" borderId="0" applyFont="0" applyFill="0" applyBorder="0" applyAlignment="0" applyProtection="0"/>
    <xf numFmtId="187" fontId="20" fillId="0" borderId="0" applyFont="0" applyFill="0" applyBorder="0" applyAlignment="0" applyProtection="0"/>
    <xf numFmtId="199" fontId="20" fillId="0" borderId="0" applyFont="0" applyFill="0" applyBorder="0" applyAlignment="0" applyProtection="0"/>
    <xf numFmtId="200" fontId="1" fillId="0" borderId="0" applyFont="0" applyFill="0" applyBorder="0" applyAlignment="0" applyProtection="0"/>
    <xf numFmtId="201" fontId="15" fillId="0" borderId="0"/>
    <xf numFmtId="14" fontId="16"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202" fontId="15" fillId="0" borderId="0"/>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0" fontId="27" fillId="0" borderId="0">
      <alignment horizontal="left"/>
    </xf>
    <xf numFmtId="0" fontId="28" fillId="2" borderId="6"/>
    <xf numFmtId="203" fontId="15" fillId="0" borderId="0" applyFont="0" applyFill="0" applyBorder="0" applyAlignment="0" applyProtection="0"/>
    <xf numFmtId="0" fontId="29" fillId="0" borderId="0" applyNumberFormat="0" applyFill="0" applyBorder="0" applyAlignment="0" applyProtection="0">
      <alignment vertical="top"/>
      <protection locked="0"/>
    </xf>
    <xf numFmtId="38" fontId="28" fillId="3" borderId="0" applyNumberFormat="0" applyBorder="0" applyAlignment="0" applyProtection="0"/>
    <xf numFmtId="0" fontId="30" fillId="0" borderId="0">
      <alignment horizontal="left"/>
    </xf>
    <xf numFmtId="0" fontId="31" fillId="0" borderId="7" applyNumberFormat="0" applyAlignment="0" applyProtection="0">
      <alignment horizontal="left" vertical="center"/>
    </xf>
    <xf numFmtId="0" fontId="31" fillId="0" borderId="8">
      <alignment horizontal="left" vertical="center"/>
    </xf>
    <xf numFmtId="14" fontId="32" fillId="4" borderId="9">
      <alignment horizontal="center" vertical="center" wrapText="1"/>
    </xf>
    <xf numFmtId="0" fontId="33" fillId="0" borderId="0" applyNumberFormat="0" applyFill="0" applyBorder="0" applyAlignment="0" applyProtection="0">
      <alignment vertical="top"/>
      <protection locked="0"/>
    </xf>
    <xf numFmtId="10" fontId="28" fillId="5" borderId="6" applyNumberFormat="0" applyBorder="0" applyAlignment="0" applyProtection="0"/>
    <xf numFmtId="0" fontId="15" fillId="0" borderId="0" applyNumberFormat="0" applyFont="0" applyFill="0" applyBorder="0" applyProtection="0">
      <alignment horizontal="left" vertical="center"/>
    </xf>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1" fontId="14" fillId="0" borderId="0" applyFont="0" applyFill="0" applyBorder="0" applyAlignment="0" applyProtection="0"/>
    <xf numFmtId="43" fontId="14" fillId="0" borderId="0" applyFont="0" applyFill="0" applyBorder="0" applyAlignment="0" applyProtection="0"/>
    <xf numFmtId="0" fontId="34" fillId="0" borderId="9"/>
    <xf numFmtId="205" fontId="14" fillId="0" borderId="0" applyFont="0" applyFill="0" applyBorder="0" applyAlignment="0" applyProtection="0"/>
    <xf numFmtId="206" fontId="14" fillId="0" borderId="0" applyFont="0" applyFill="0" applyBorder="0" applyAlignment="0" applyProtection="0"/>
    <xf numFmtId="207" fontId="14" fillId="0" borderId="0" applyFont="0" applyFill="0" applyBorder="0" applyAlignment="0" applyProtection="0"/>
    <xf numFmtId="208" fontId="1" fillId="0" borderId="0" applyFont="0" applyFill="0" applyBorder="0" applyAlignment="0" applyProtection="0"/>
    <xf numFmtId="37" fontId="35" fillId="0" borderId="0"/>
    <xf numFmtId="0" fontId="36" fillId="0" borderId="0"/>
    <xf numFmtId="209" fontId="1" fillId="0" borderId="0"/>
    <xf numFmtId="0" fontId="1" fillId="0" borderId="0"/>
    <xf numFmtId="0" fontId="26" fillId="0" borderId="0"/>
    <xf numFmtId="0" fontId="37" fillId="0" borderId="0"/>
    <xf numFmtId="210" fontId="14" fillId="0" borderId="0" applyFont="0" applyFill="0" applyBorder="0" applyAlignment="0" applyProtection="0"/>
    <xf numFmtId="192" fontId="14" fillId="0" borderId="0" applyFont="0" applyFill="0" applyBorder="0" applyAlignment="0" applyProtection="0"/>
    <xf numFmtId="185" fontId="14" fillId="0" borderId="0" applyFont="0" applyFill="0" applyBorder="0" applyAlignment="0" applyProtection="0"/>
    <xf numFmtId="10" fontId="14" fillId="0" borderId="0" applyFont="0" applyFill="0" applyBorder="0" applyAlignment="0" applyProtection="0"/>
    <xf numFmtId="0" fontId="28" fillId="3" borderId="6"/>
    <xf numFmtId="193" fontId="14" fillId="0" borderId="0" applyFill="0" applyBorder="0" applyAlignment="0"/>
    <xf numFmtId="189" fontId="14" fillId="0" borderId="0" applyFill="0" applyBorder="0" applyAlignment="0"/>
    <xf numFmtId="193" fontId="14" fillId="0" borderId="0" applyFill="0" applyBorder="0" applyAlignment="0"/>
    <xf numFmtId="194" fontId="14" fillId="0" borderId="0" applyFill="0" applyBorder="0" applyAlignment="0"/>
    <xf numFmtId="189" fontId="14" fillId="0" borderId="0" applyFill="0" applyBorder="0" applyAlignment="0"/>
    <xf numFmtId="4" fontId="27" fillId="0" borderId="0">
      <alignment horizontal="right"/>
    </xf>
    <xf numFmtId="3" fontId="38" fillId="0" borderId="0"/>
    <xf numFmtId="4" fontId="39" fillId="0" borderId="0">
      <alignment horizontal="right"/>
    </xf>
    <xf numFmtId="0" fontId="40" fillId="0" borderId="0">
      <alignment horizontal="left"/>
    </xf>
    <xf numFmtId="43" fontId="28" fillId="0" borderId="1"/>
    <xf numFmtId="0" fontId="41" fillId="0" borderId="6">
      <alignment horizontal="center"/>
    </xf>
    <xf numFmtId="0" fontId="41" fillId="0" borderId="0">
      <alignment horizontal="center" vertical="center"/>
    </xf>
    <xf numFmtId="0" fontId="42" fillId="6" borderId="0" applyNumberFormat="0" applyFill="0">
      <alignment horizontal="left" vertical="center"/>
    </xf>
    <xf numFmtId="0" fontId="34" fillId="0" borderId="0"/>
    <xf numFmtId="49" fontId="16" fillId="0" borderId="0" applyFill="0" applyBorder="0" applyAlignment="0"/>
    <xf numFmtId="211" fontId="16" fillId="0" borderId="0" applyFill="0" applyBorder="0" applyAlignment="0"/>
    <xf numFmtId="212" fontId="14" fillId="0" borderId="0" applyFill="0" applyBorder="0" applyAlignment="0"/>
    <xf numFmtId="0" fontId="43" fillId="0" borderId="0" applyFill="0" applyBorder="0" applyProtection="0">
      <alignment horizontal="left" vertical="top"/>
    </xf>
    <xf numFmtId="0" fontId="44" fillId="0" borderId="0">
      <alignment horizontal="center"/>
    </xf>
    <xf numFmtId="0" fontId="45" fillId="0" borderId="0" applyNumberFormat="0" applyFont="0" applyFill="0" applyBorder="0" applyProtection="0">
      <alignment horizontal="center" vertical="center" wrapText="1"/>
    </xf>
    <xf numFmtId="9" fontId="46" fillId="0" borderId="0" applyFont="0" applyFill="0" applyBorder="0" applyAlignment="0" applyProtection="0"/>
    <xf numFmtId="0" fontId="17" fillId="0" borderId="0"/>
    <xf numFmtId="213" fontId="17" fillId="0" borderId="0" applyFont="0" applyFill="0" applyBorder="0" applyAlignment="0" applyProtection="0"/>
    <xf numFmtId="214" fontId="17" fillId="0" borderId="0" applyFont="0" applyFill="0" applyBorder="0" applyAlignment="0" applyProtection="0"/>
    <xf numFmtId="41" fontId="14"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4" fontId="47" fillId="0" borderId="0">
      <alignment horizontal="right"/>
    </xf>
    <xf numFmtId="0" fontId="48" fillId="7" borderId="0" applyNumberFormat="0" applyBorder="0" applyAlignment="0" applyProtection="0">
      <alignment vertical="center"/>
    </xf>
    <xf numFmtId="0" fontId="1" fillId="0" borderId="0">
      <protection locked="0"/>
    </xf>
    <xf numFmtId="0" fontId="1" fillId="0" borderId="0">
      <alignment vertical="center"/>
      <protection locked="0"/>
    </xf>
    <xf numFmtId="0" fontId="1" fillId="0" borderId="0">
      <protection locked="0"/>
    </xf>
    <xf numFmtId="0" fontId="49" fillId="0" borderId="0">
      <alignment vertical="center"/>
    </xf>
    <xf numFmtId="0" fontId="14" fillId="0" borderId="0"/>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22" fillId="0" borderId="0" applyNumberFormat="0" applyFill="0" applyBorder="0" applyAlignment="0" applyProtection="0"/>
    <xf numFmtId="0" fontId="52" fillId="8" borderId="0" applyNumberFormat="0" applyBorder="0" applyAlignment="0" applyProtection="0">
      <alignment vertical="center"/>
    </xf>
    <xf numFmtId="4" fontId="45" fillId="0" borderId="0" applyFont="0" applyFill="0" applyBorder="0" applyAlignment="0" applyProtection="0"/>
    <xf numFmtId="41" fontId="14" fillId="0" borderId="0" applyFont="0" applyFill="0" applyBorder="0" applyAlignment="0" applyProtection="0"/>
    <xf numFmtId="215" fontId="17" fillId="0" borderId="0" applyFont="0" applyFill="0" applyBorder="0" applyAlignment="0" applyProtection="0"/>
    <xf numFmtId="216" fontId="17" fillId="0" borderId="0" applyFont="0" applyFill="0" applyBorder="0" applyAlignment="0" applyProtection="0"/>
    <xf numFmtId="0" fontId="15" fillId="0" borderId="0"/>
    <xf numFmtId="41" fontId="15" fillId="0" borderId="0" applyFont="0" applyFill="0" applyBorder="0" applyAlignment="0" applyProtection="0"/>
    <xf numFmtId="43" fontId="15"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alignment vertical="center"/>
    </xf>
    <xf numFmtId="206" fontId="14" fillId="0" borderId="0" applyFont="0" applyFill="0" applyBorder="0" applyAlignment="0" applyProtection="0"/>
    <xf numFmtId="217" fontId="45" fillId="0" borderId="0" applyFont="0" applyFill="0" applyBorder="0" applyAlignment="0" applyProtection="0"/>
    <xf numFmtId="0" fontId="16" fillId="0" borderId="0">
      <alignment vertical="top"/>
    </xf>
    <xf numFmtId="38" fontId="53" fillId="0" borderId="0" applyFont="0" applyFill="0" applyBorder="0" applyAlignment="0" applyProtection="0"/>
    <xf numFmtId="40" fontId="53"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0" fontId="54" fillId="0" borderId="0"/>
    <xf numFmtId="0" fontId="17" fillId="0" borderId="0"/>
    <xf numFmtId="0" fontId="17" fillId="0" borderId="0"/>
    <xf numFmtId="0" fontId="1" fillId="0" borderId="0"/>
    <xf numFmtId="0" fontId="64" fillId="0" borderId="0" applyNumberFormat="0" applyFill="0" applyBorder="0" applyAlignment="0" applyProtection="0">
      <alignment vertical="top"/>
      <protection locked="0"/>
    </xf>
    <xf numFmtId="43" fontId="68" fillId="0" borderId="0" applyFont="0" applyFill="0" applyBorder="0" applyAlignment="0" applyProtection="0">
      <alignment vertical="center"/>
    </xf>
    <xf numFmtId="0" fontId="74" fillId="0" borderId="0">
      <alignment vertical="center"/>
    </xf>
    <xf numFmtId="43" fontId="1" fillId="0" borderId="0" applyFont="0" applyFill="0" applyBorder="0" applyAlignment="0" applyProtection="0"/>
    <xf numFmtId="43" fontId="1" fillId="0" borderId="0" applyFont="0" applyFill="0" applyBorder="0" applyAlignment="0" applyProtection="0">
      <alignment vertical="center"/>
    </xf>
    <xf numFmtId="9" fontId="68" fillId="0" borderId="0" applyFont="0" applyFill="0" applyBorder="0" applyAlignment="0" applyProtection="0">
      <alignment vertical="center"/>
    </xf>
    <xf numFmtId="0" fontId="1" fillId="0" borderId="0" applyNumberForma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0" fontId="79" fillId="0" borderId="0"/>
    <xf numFmtId="49" fontId="15" fillId="0" borderId="0" applyProtection="0">
      <alignment horizontal="left"/>
    </xf>
    <xf numFmtId="0" fontId="16" fillId="0" borderId="0">
      <alignment vertical="top"/>
      <protection locked="0"/>
    </xf>
    <xf numFmtId="0" fontId="16" fillId="0" borderId="0">
      <alignment vertical="top"/>
    </xf>
    <xf numFmtId="0" fontId="14" fillId="0" borderId="0" applyNumberFormat="0" applyFill="0" applyBorder="0" applyAlignment="0">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4" fillId="0" borderId="0" applyNumberFormat="0" applyFill="0" applyBorder="0" applyAlignment="0">
      <protection locked="0"/>
    </xf>
    <xf numFmtId="0" fontId="16" fillId="0" borderId="0">
      <alignment vertical="top"/>
    </xf>
    <xf numFmtId="0" fontId="16" fillId="0" borderId="0">
      <alignment vertical="top"/>
    </xf>
    <xf numFmtId="0" fontId="14" fillId="0" borderId="0" applyNumberFormat="0" applyFill="0" applyBorder="0" applyAlignment="0" applyProtection="0"/>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218" fontId="1" fillId="0" borderId="0" applyFont="0" applyFill="0" applyBorder="0" applyAlignment="0" applyProtection="0"/>
    <xf numFmtId="0" fontId="80" fillId="0" borderId="0">
      <alignment horizontal="center" wrapText="1"/>
      <protection locked="0"/>
    </xf>
    <xf numFmtId="0" fontId="81" fillId="0" borderId="0" applyNumberFormat="0" applyAlignment="0">
      <alignment horizontal="left"/>
    </xf>
    <xf numFmtId="0" fontId="36" fillId="0" borderId="0" applyNumberFormat="0" applyAlignment="0"/>
    <xf numFmtId="15" fontId="26" fillId="0" borderId="0"/>
    <xf numFmtId="0" fontId="82" fillId="0" borderId="0" applyNumberFormat="0" applyFill="0" applyBorder="0" applyAlignment="0" applyProtection="0"/>
    <xf numFmtId="0" fontId="83" fillId="0" borderId="0" applyNumberFormat="0" applyAlignment="0">
      <alignment horizontal="left"/>
    </xf>
    <xf numFmtId="219" fontId="1" fillId="14" borderId="0"/>
    <xf numFmtId="219" fontId="1" fillId="15" borderId="0"/>
    <xf numFmtId="220"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186" fontId="1" fillId="0" borderId="0" applyFont="0" applyFill="0" applyBorder="0" applyAlignment="0" applyProtection="0"/>
    <xf numFmtId="0" fontId="15" fillId="0" borderId="0"/>
    <xf numFmtId="214" fontId="14" fillId="0" borderId="0" applyFont="0" applyFill="0" applyBorder="0" applyAlignment="0" applyProtection="0"/>
    <xf numFmtId="213" fontId="14" fillId="0" borderId="0" applyFont="0" applyFill="0" applyBorder="0" applyAlignment="0" applyProtection="0"/>
    <xf numFmtId="14" fontId="80" fillId="0" borderId="0">
      <alignment horizontal="center" wrapText="1"/>
      <protection locked="0"/>
    </xf>
    <xf numFmtId="218" fontId="84" fillId="0" borderId="0"/>
    <xf numFmtId="0" fontId="26" fillId="0" borderId="0" applyNumberFormat="0" applyFont="0" applyFill="0" applyBorder="0" applyAlignment="0" applyProtection="0">
      <alignment horizontal="left"/>
    </xf>
    <xf numFmtId="223" fontId="1" fillId="0" borderId="0" applyNumberFormat="0" applyFill="0" applyBorder="0" applyAlignment="0" applyProtection="0">
      <alignment horizontal="left"/>
    </xf>
    <xf numFmtId="41" fontId="15" fillId="0" borderId="0" applyFont="0" applyFill="0" applyBorder="0" applyAlignment="0" applyProtection="0"/>
    <xf numFmtId="0" fontId="85" fillId="16" borderId="0">
      <alignment horizontal="left" vertical="center"/>
    </xf>
    <xf numFmtId="0" fontId="85" fillId="16" borderId="0">
      <alignment horizontal="right" vertical="center"/>
    </xf>
    <xf numFmtId="40" fontId="86" fillId="0" borderId="0" applyBorder="0">
      <alignment horizontal="right"/>
    </xf>
    <xf numFmtId="0" fontId="5" fillId="0" borderId="0"/>
    <xf numFmtId="9" fontId="17" fillId="0" borderId="0" applyFont="0" applyFill="0" applyBorder="0" applyAlignment="0" applyProtection="0"/>
    <xf numFmtId="0" fontId="87" fillId="0" borderId="0" applyFont="0" applyFill="0" applyBorder="0" applyAlignment="0" applyProtection="0"/>
    <xf numFmtId="0" fontId="87" fillId="0" borderId="0" applyFont="0" applyFill="0" applyBorder="0" applyAlignment="0" applyProtection="0"/>
    <xf numFmtId="0" fontId="88" fillId="13" borderId="0" applyNumberFormat="0" applyBorder="0" applyAlignment="0" applyProtection="0">
      <alignment vertical="center"/>
    </xf>
    <xf numFmtId="0" fontId="89" fillId="17" borderId="0" applyNumberFormat="0" applyBorder="0" applyAlignment="0" applyProtection="0">
      <alignment vertical="center"/>
    </xf>
    <xf numFmtId="0" fontId="74" fillId="0" borderId="0">
      <alignment vertical="center"/>
    </xf>
    <xf numFmtId="0" fontId="1" fillId="0" borderId="0" applyNumberFormat="0" applyFill="0" applyBorder="0" applyAlignment="0" applyProtection="0"/>
    <xf numFmtId="0" fontId="68" fillId="0" borderId="0">
      <alignment vertical="center"/>
    </xf>
    <xf numFmtId="0" fontId="90" fillId="12" borderId="0" applyNumberFormat="0" applyBorder="0" applyAlignment="0" applyProtection="0">
      <alignment vertical="center"/>
    </xf>
    <xf numFmtId="0" fontId="52" fillId="18" borderId="0" applyNumberFormat="0" applyBorder="0" applyAlignment="0" applyProtection="0">
      <alignment vertical="center"/>
    </xf>
    <xf numFmtId="204" fontId="14" fillId="0" borderId="0" applyFont="0" applyFill="0" applyBorder="0" applyAlignment="0" applyProtection="0"/>
    <xf numFmtId="224" fontId="14" fillId="0" borderId="0" applyFont="0" applyFill="0" applyBorder="0" applyAlignment="0" applyProtection="0"/>
    <xf numFmtId="225" fontId="91" fillId="0" borderId="0" applyFont="0" applyFill="0" applyBorder="0" applyAlignment="0" applyProtection="0"/>
    <xf numFmtId="226" fontId="91" fillId="0" borderId="0" applyFont="0" applyFill="0" applyBorder="0" applyAlignment="0" applyProtection="0"/>
    <xf numFmtId="41" fontId="1" fillId="0" borderId="0" applyFont="0" applyFill="0" applyBorder="0" applyAlignment="0" applyProtection="0"/>
    <xf numFmtId="0" fontId="92" fillId="0" borderId="0"/>
    <xf numFmtId="0" fontId="93" fillId="0" borderId="0"/>
    <xf numFmtId="40" fontId="87" fillId="0" borderId="0" applyFont="0" applyFill="0" applyBorder="0" applyAlignment="0" applyProtection="0"/>
    <xf numFmtId="38" fontId="87" fillId="0" borderId="0" applyFont="0" applyFill="0" applyBorder="0" applyAlignment="0" applyProtection="0"/>
    <xf numFmtId="214" fontId="14" fillId="0" borderId="6" applyNumberFormat="0"/>
    <xf numFmtId="0" fontId="1" fillId="0" borderId="0">
      <protection locked="0"/>
    </xf>
    <xf numFmtId="203" fontId="1" fillId="0" borderId="0"/>
    <xf numFmtId="0" fontId="1" fillId="0" borderId="0">
      <protection locked="0"/>
    </xf>
    <xf numFmtId="203" fontId="99" fillId="19" borderId="0" applyNumberFormat="0" applyBorder="0" applyAlignment="0" applyProtection="0"/>
    <xf numFmtId="203" fontId="99" fillId="7" borderId="0" applyNumberFormat="0" applyBorder="0" applyAlignment="0" applyProtection="0"/>
    <xf numFmtId="203" fontId="99" fillId="8" borderId="0" applyNumberFormat="0" applyBorder="0" applyAlignment="0" applyProtection="0"/>
    <xf numFmtId="203" fontId="99" fillId="17" borderId="0" applyNumberFormat="0" applyBorder="0" applyAlignment="0" applyProtection="0"/>
    <xf numFmtId="203" fontId="99" fillId="18" borderId="0" applyNumberFormat="0" applyBorder="0" applyAlignment="0" applyProtection="0"/>
    <xf numFmtId="203" fontId="99" fillId="20" borderId="0" applyNumberFormat="0" applyBorder="0" applyAlignment="0" applyProtection="0"/>
    <xf numFmtId="203" fontId="99" fillId="21" borderId="0" applyNumberFormat="0" applyBorder="0" applyAlignment="0" applyProtection="0"/>
    <xf numFmtId="203" fontId="99" fillId="22" borderId="0" applyNumberFormat="0" applyBorder="0" applyAlignment="0" applyProtection="0"/>
    <xf numFmtId="203" fontId="99" fillId="23" borderId="0" applyNumberFormat="0" applyBorder="0" applyAlignment="0" applyProtection="0"/>
    <xf numFmtId="203" fontId="99" fillId="17" borderId="0" applyNumberFormat="0" applyBorder="0" applyAlignment="0" applyProtection="0"/>
    <xf numFmtId="203" fontId="99" fillId="21" borderId="0" applyNumberFormat="0" applyBorder="0" applyAlignment="0" applyProtection="0"/>
    <xf numFmtId="203" fontId="99" fillId="24" borderId="0" applyNumberFormat="0" applyBorder="0" applyAlignment="0" applyProtection="0"/>
    <xf numFmtId="203" fontId="100" fillId="25" borderId="0" applyNumberFormat="0" applyBorder="0" applyAlignment="0" applyProtection="0"/>
    <xf numFmtId="203" fontId="100" fillId="22" borderId="0" applyNumberFormat="0" applyBorder="0" applyAlignment="0" applyProtection="0"/>
    <xf numFmtId="203" fontId="100" fillId="23" borderId="0" applyNumberFormat="0" applyBorder="0" applyAlignment="0" applyProtection="0"/>
    <xf numFmtId="203" fontId="100" fillId="26" borderId="0" applyNumberFormat="0" applyBorder="0" applyAlignment="0" applyProtection="0"/>
    <xf numFmtId="203" fontId="100" fillId="27" borderId="0" applyNumberFormat="0" applyBorder="0" applyAlignment="0" applyProtection="0"/>
    <xf numFmtId="203" fontId="100" fillId="28" borderId="0" applyNumberFormat="0" applyBorder="0" applyAlignment="0" applyProtection="0"/>
    <xf numFmtId="203" fontId="100" fillId="29" borderId="0" applyNumberFormat="0" applyBorder="0" applyAlignment="0" applyProtection="0"/>
    <xf numFmtId="203" fontId="100" fillId="30" borderId="0" applyNumberFormat="0" applyBorder="0" applyAlignment="0" applyProtection="0"/>
    <xf numFmtId="203" fontId="100" fillId="31" borderId="0" applyNumberFormat="0" applyBorder="0" applyAlignment="0" applyProtection="0"/>
    <xf numFmtId="203" fontId="100" fillId="26" borderId="0" applyNumberFormat="0" applyBorder="0" applyAlignment="0" applyProtection="0"/>
    <xf numFmtId="203" fontId="100" fillId="27" borderId="0" applyNumberFormat="0" applyBorder="0" applyAlignment="0" applyProtection="0"/>
    <xf numFmtId="203" fontId="100" fillId="32" borderId="0" applyNumberFormat="0" applyBorder="0" applyAlignment="0" applyProtection="0"/>
    <xf numFmtId="203" fontId="101" fillId="7" borderId="0" applyNumberFormat="0" applyBorder="0" applyAlignment="0" applyProtection="0"/>
    <xf numFmtId="203" fontId="102" fillId="33" borderId="15" applyNumberFormat="0" applyAlignment="0" applyProtection="0"/>
    <xf numFmtId="203" fontId="103" fillId="34" borderId="16" applyNumberFormat="0" applyAlignment="0" applyProtection="0"/>
    <xf numFmtId="203" fontId="104" fillId="0" borderId="0" applyNumberFormat="0" applyFill="0" applyBorder="0" applyAlignment="0" applyProtection="0"/>
    <xf numFmtId="203" fontId="105" fillId="8" borderId="0" applyNumberFormat="0" applyBorder="0" applyAlignment="0" applyProtection="0"/>
    <xf numFmtId="203" fontId="106" fillId="0" borderId="17" applyNumberFormat="0" applyFill="0" applyAlignment="0" applyProtection="0"/>
    <xf numFmtId="203" fontId="107" fillId="0" borderId="18" applyNumberFormat="0" applyFill="0" applyAlignment="0" applyProtection="0"/>
    <xf numFmtId="203" fontId="108" fillId="0" borderId="19" applyNumberFormat="0" applyFill="0" applyAlignment="0" applyProtection="0"/>
    <xf numFmtId="203" fontId="108" fillId="0" borderId="0" applyNumberFormat="0" applyFill="0" applyBorder="0" applyAlignment="0" applyProtection="0"/>
    <xf numFmtId="203" fontId="109" fillId="20" borderId="15" applyNumberFormat="0" applyAlignment="0" applyProtection="0"/>
    <xf numFmtId="203" fontId="110" fillId="0" borderId="20" applyNumberFormat="0" applyFill="0" applyAlignment="0" applyProtection="0"/>
    <xf numFmtId="203" fontId="111" fillId="35" borderId="0" applyNumberFormat="0" applyBorder="0" applyAlignment="0" applyProtection="0"/>
    <xf numFmtId="0" fontId="14" fillId="0" borderId="0"/>
    <xf numFmtId="0" fontId="14" fillId="0" borderId="0"/>
    <xf numFmtId="0" fontId="1" fillId="0" borderId="0">
      <alignment vertical="center"/>
    </xf>
    <xf numFmtId="203" fontId="14" fillId="36" borderId="21" applyNumberFormat="0" applyFont="0" applyAlignment="0" applyProtection="0"/>
    <xf numFmtId="203" fontId="112" fillId="33" borderId="22" applyNumberFormat="0" applyAlignment="0" applyProtection="0"/>
    <xf numFmtId="203" fontId="113" fillId="0" borderId="23" applyNumberFormat="0" applyFill="0" applyAlignment="0" applyProtection="0"/>
    <xf numFmtId="203" fontId="114" fillId="0" borderId="0" applyNumberFormat="0" applyFill="0" applyBorder="0" applyAlignment="0" applyProtection="0"/>
    <xf numFmtId="0" fontId="14" fillId="0" borderId="0"/>
    <xf numFmtId="203" fontId="1" fillId="0" borderId="0">
      <protection locked="0"/>
    </xf>
    <xf numFmtId="0" fontId="1" fillId="0" borderId="0">
      <protection locked="0"/>
    </xf>
    <xf numFmtId="0" fontId="74" fillId="0" borderId="0">
      <alignment vertical="center"/>
    </xf>
    <xf numFmtId="203" fontId="51"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15" fillId="0" borderId="0">
      <protection locked="0"/>
    </xf>
    <xf numFmtId="0" fontId="16" fillId="0" borderId="0">
      <alignment vertical="top"/>
      <protection locked="0"/>
    </xf>
    <xf numFmtId="0" fontId="1" fillId="0" borderId="0"/>
    <xf numFmtId="0" fontId="16" fillId="0" borderId="0">
      <alignment vertical="top"/>
      <protection locked="0"/>
    </xf>
    <xf numFmtId="203" fontId="1" fillId="0" borderId="0">
      <alignment vertical="center"/>
    </xf>
    <xf numFmtId="203" fontId="1" fillId="0" borderId="0">
      <alignment vertical="center"/>
      <protection locked="0"/>
    </xf>
    <xf numFmtId="203" fontId="1"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1" fillId="0" borderId="0">
      <alignment vertical="center"/>
    </xf>
    <xf numFmtId="0" fontId="1" fillId="0" borderId="0">
      <alignment vertical="center"/>
    </xf>
    <xf numFmtId="0" fontId="1"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1" fillId="0" borderId="0">
      <protection locked="0"/>
    </xf>
    <xf numFmtId="0" fontId="1" fillId="0" borderId="0">
      <protection locked="0"/>
    </xf>
    <xf numFmtId="0" fontId="1" fillId="0" borderId="0">
      <alignment vertical="center"/>
    </xf>
    <xf numFmtId="0" fontId="1" fillId="0" borderId="0">
      <alignment vertical="center"/>
    </xf>
    <xf numFmtId="0" fontId="49" fillId="0" borderId="0" applyNumberFormat="0" applyBorder="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4" fillId="0" borderId="0">
      <alignment vertical="center"/>
    </xf>
    <xf numFmtId="0" fontId="74" fillId="0" borderId="0">
      <alignment vertical="center"/>
    </xf>
    <xf numFmtId="0" fontId="123" fillId="0" borderId="0" applyNumberFormat="0" applyBorder="0" applyAlignment="0" applyProtection="0">
      <alignment vertical="center"/>
    </xf>
    <xf numFmtId="0" fontId="74" fillId="0" borderId="0">
      <alignment vertical="center"/>
    </xf>
    <xf numFmtId="0" fontId="68"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0" fontId="74" fillId="0" borderId="0">
      <alignment vertical="center"/>
    </xf>
    <xf numFmtId="43" fontId="1" fillId="0" borderId="0" applyFont="0" applyFill="0" applyBorder="0" applyAlignment="0" applyProtection="0"/>
    <xf numFmtId="9" fontId="1" fillId="0" borderId="0" applyFont="0" applyFill="0" applyBorder="0" applyAlignment="0" applyProtection="0"/>
    <xf numFmtId="0" fontId="1" fillId="0" borderId="0">
      <protection locked="0"/>
    </xf>
    <xf numFmtId="203" fontId="1" fillId="0" borderId="0">
      <alignment vertical="center"/>
      <protection locked="0"/>
    </xf>
    <xf numFmtId="203" fontId="1" fillId="0" borderId="0">
      <alignment vertical="center"/>
    </xf>
    <xf numFmtId="203" fontId="1" fillId="0" borderId="0">
      <alignment vertical="center"/>
      <protection locked="0"/>
    </xf>
    <xf numFmtId="203" fontId="1" fillId="0" borderId="0">
      <protection locked="0"/>
    </xf>
    <xf numFmtId="43" fontId="1" fillId="0" borderId="0" applyFont="0" applyFill="0" applyBorder="0" applyAlignment="0" applyProtection="0">
      <alignment vertical="center"/>
    </xf>
    <xf numFmtId="203" fontId="68" fillId="0" borderId="0">
      <alignment vertical="center"/>
    </xf>
  </cellStyleXfs>
  <cellXfs count="388">
    <xf numFmtId="0" fontId="0" fillId="0" borderId="0" xfId="0">
      <alignment vertical="center"/>
    </xf>
    <xf numFmtId="43" fontId="12" fillId="0" borderId="0" xfId="3" applyNumberFormat="1" applyFont="1" applyBorder="1" applyAlignment="1">
      <alignment vertical="center"/>
    </xf>
    <xf numFmtId="43" fontId="5" fillId="0" borderId="0" xfId="3" applyNumberFormat="1" applyFont="1" applyBorder="1" applyAlignment="1">
      <alignment vertical="center"/>
    </xf>
    <xf numFmtId="0" fontId="5" fillId="0" borderId="0" xfId="162" applyFont="1" applyAlignment="1">
      <alignment vertical="center"/>
      <protection locked="0"/>
    </xf>
    <xf numFmtId="0" fontId="5" fillId="0" borderId="0" xfId="162" applyFont="1" applyAlignment="1">
      <alignment horizontal="left" vertical="center"/>
      <protection locked="0"/>
    </xf>
    <xf numFmtId="0" fontId="9" fillId="0" borderId="0" xfId="162" applyFont="1" applyAlignment="1">
      <alignment horizontal="left" vertical="center"/>
      <protection locked="0"/>
    </xf>
    <xf numFmtId="0" fontId="4" fillId="0" borderId="0" xfId="162" applyFont="1" applyAlignment="1">
      <alignment vertical="center"/>
      <protection locked="0"/>
    </xf>
    <xf numFmtId="0" fontId="12" fillId="0" borderId="0" xfId="162" applyFont="1" applyAlignment="1">
      <alignment vertical="center"/>
      <protection locked="0"/>
    </xf>
    <xf numFmtId="0" fontId="12" fillId="0" borderId="0" xfId="162" applyFont="1">
      <protection locked="0"/>
    </xf>
    <xf numFmtId="0" fontId="10" fillId="0" borderId="0" xfId="162" applyFont="1" applyAlignment="1">
      <alignment horizontal="right"/>
      <protection locked="0"/>
    </xf>
    <xf numFmtId="0" fontId="12" fillId="0" borderId="0" xfId="162" applyFont="1" applyAlignment="1">
      <alignment horizontal="right"/>
      <protection locked="0"/>
    </xf>
    <xf numFmtId="0" fontId="13" fillId="0" borderId="0" xfId="162" applyFont="1">
      <protection locked="0"/>
    </xf>
    <xf numFmtId="0" fontId="5" fillId="0" borderId="0" xfId="191" applyFont="1" applyAlignment="1" applyProtection="1">
      <alignment vertical="center"/>
      <protection locked="0"/>
    </xf>
    <xf numFmtId="0" fontId="12" fillId="0" borderId="0" xfId="191" applyFont="1" applyAlignment="1" applyProtection="1">
      <alignment horizontal="center" vertical="center"/>
      <protection hidden="1"/>
    </xf>
    <xf numFmtId="0" fontId="5" fillId="0" borderId="0" xfId="191" applyFont="1" applyAlignment="1" applyProtection="1">
      <alignment horizontal="left" vertical="center"/>
      <protection hidden="1"/>
    </xf>
    <xf numFmtId="0" fontId="12" fillId="0" borderId="0" xfId="191" applyFont="1" applyAlignment="1" applyProtection="1">
      <alignment horizontal="left" vertical="center"/>
      <protection locked="0"/>
    </xf>
    <xf numFmtId="0" fontId="5" fillId="0" borderId="0" xfId="162" applyFont="1" applyAlignment="1">
      <alignment horizontal="center" vertical="center"/>
      <protection locked="0"/>
    </xf>
    <xf numFmtId="0" fontId="13" fillId="0" borderId="0" xfId="162" applyFont="1" applyAlignment="1">
      <alignment vertical="center"/>
      <protection locked="0"/>
    </xf>
    <xf numFmtId="0" fontId="6" fillId="0" borderId="0" xfId="162" applyFont="1" applyAlignment="1">
      <alignment vertical="center"/>
      <protection locked="0"/>
    </xf>
    <xf numFmtId="0" fontId="60" fillId="0" borderId="0" xfId="162" applyFont="1" applyAlignment="1">
      <alignment vertical="center"/>
      <protection locked="0"/>
    </xf>
    <xf numFmtId="0" fontId="1" fillId="0" borderId="0" xfId="162" applyAlignment="1">
      <alignment vertical="center"/>
      <protection locked="0"/>
    </xf>
    <xf numFmtId="0" fontId="9" fillId="9" borderId="0" xfId="162" applyFont="1" applyFill="1" applyAlignment="1">
      <alignment horizontal="justify" vertical="center" wrapText="1"/>
      <protection locked="0"/>
    </xf>
    <xf numFmtId="0" fontId="61" fillId="0" borderId="0" xfId="162" applyFont="1" applyAlignment="1">
      <alignment horizontal="justify" wrapText="1"/>
      <protection locked="0"/>
    </xf>
    <xf numFmtId="0" fontId="14" fillId="0" borderId="0" xfId="162" applyFont="1">
      <protection locked="0"/>
    </xf>
    <xf numFmtId="0" fontId="62" fillId="0" borderId="0" xfId="162" applyFont="1" applyAlignment="1">
      <alignment horizontal="justify" wrapText="1"/>
      <protection locked="0"/>
    </xf>
    <xf numFmtId="0" fontId="1" fillId="0" borderId="0" xfId="162">
      <protection locked="0"/>
    </xf>
    <xf numFmtId="0" fontId="62" fillId="0" borderId="0" xfId="162" applyFont="1" applyAlignment="1">
      <alignment horizontal="justify" vertical="top" wrapText="1"/>
      <protection locked="0"/>
    </xf>
    <xf numFmtId="0" fontId="60" fillId="0" borderId="0" xfId="162" applyFont="1">
      <protection locked="0"/>
    </xf>
    <xf numFmtId="0" fontId="63" fillId="0" borderId="0" xfId="162" applyFont="1" applyAlignment="1">
      <alignment horizontal="justify" wrapText="1"/>
      <protection locked="0"/>
    </xf>
    <xf numFmtId="0" fontId="60" fillId="0" borderId="0" xfId="162" applyFont="1" applyAlignment="1">
      <alignment horizontal="center"/>
      <protection locked="0"/>
    </xf>
    <xf numFmtId="0" fontId="51" fillId="0" borderId="0" xfId="168" quotePrefix="1" applyBorder="1" applyAlignment="1">
      <protection locked="0"/>
    </xf>
    <xf numFmtId="0" fontId="51" fillId="0" borderId="0" xfId="168" quotePrefix="1" applyAlignment="1">
      <protection locked="0"/>
    </xf>
    <xf numFmtId="0" fontId="1" fillId="0" borderId="0" xfId="162" applyAlignment="1">
      <alignment horizontal="left"/>
      <protection locked="0"/>
    </xf>
    <xf numFmtId="0" fontId="65" fillId="0" borderId="0" xfId="0" applyFont="1" applyAlignment="1">
      <alignment horizontal="justify" vertical="center"/>
    </xf>
    <xf numFmtId="0" fontId="65" fillId="0" borderId="0" xfId="0" applyFont="1">
      <alignment vertical="center"/>
    </xf>
    <xf numFmtId="0" fontId="2" fillId="0" borderId="0" xfId="2" applyFont="1" applyAlignment="1">
      <alignment horizontal="left" vertical="center"/>
    </xf>
    <xf numFmtId="0" fontId="5" fillId="0" borderId="0" xfId="164" applyFont="1" applyAlignment="1">
      <alignment vertical="center"/>
      <protection locked="0"/>
    </xf>
    <xf numFmtId="0" fontId="9" fillId="0" borderId="0" xfId="2" applyFont="1" applyAlignment="1">
      <alignment horizontal="left" vertical="center" indent="1"/>
    </xf>
    <xf numFmtId="0" fontId="2" fillId="0" borderId="0" xfId="162" applyFont="1" applyAlignment="1">
      <alignment vertical="center"/>
      <protection locked="0"/>
    </xf>
    <xf numFmtId="0" fontId="4" fillId="0" borderId="0" xfId="191" applyFont="1" applyAlignment="1">
      <alignment vertical="center"/>
    </xf>
    <xf numFmtId="0" fontId="78" fillId="0" borderId="0" xfId="162" applyFont="1" applyAlignment="1">
      <alignment vertical="center"/>
      <protection locked="0"/>
    </xf>
    <xf numFmtId="0" fontId="77" fillId="0" borderId="0" xfId="162" applyFont="1" applyAlignment="1">
      <alignment horizontal="left"/>
      <protection locked="0"/>
    </xf>
    <xf numFmtId="43" fontId="77" fillId="0" borderId="0" xfId="3" applyNumberFormat="1" applyFont="1" applyBorder="1" applyAlignment="1">
      <alignment vertical="center"/>
    </xf>
    <xf numFmtId="10" fontId="70" fillId="0" borderId="1" xfId="197" applyNumberFormat="1" applyFont="1" applyBorder="1" applyAlignment="1">
      <alignment horizontal="right" vertical="center" wrapText="1"/>
    </xf>
    <xf numFmtId="0" fontId="8" fillId="0" borderId="0" xfId="162" applyFont="1">
      <protection locked="0"/>
    </xf>
    <xf numFmtId="0" fontId="5" fillId="0" borderId="0" xfId="162" applyFont="1">
      <protection locked="0"/>
    </xf>
    <xf numFmtId="0" fontId="4" fillId="0" borderId="0" xfId="191" applyFont="1" applyAlignment="1">
      <alignment vertical="center" wrapText="1"/>
    </xf>
    <xf numFmtId="49" fontId="12" fillId="0" borderId="0" xfId="162" applyNumberFormat="1" applyFont="1" applyAlignment="1">
      <alignment horizontal="right" vertical="center"/>
      <protection locked="0"/>
    </xf>
    <xf numFmtId="0" fontId="12" fillId="0" borderId="0" xfId="162" applyFont="1" applyAlignment="1">
      <alignment horizontal="right" vertical="center"/>
      <protection locked="0"/>
    </xf>
    <xf numFmtId="0" fontId="77" fillId="0" borderId="0" xfId="162" applyFont="1" applyAlignment="1">
      <alignment vertical="center"/>
      <protection locked="0"/>
    </xf>
    <xf numFmtId="0" fontId="77" fillId="0" borderId="0" xfId="162" applyFont="1" applyAlignment="1">
      <alignment horizontal="center" vertical="center" wrapText="1"/>
      <protection locked="0"/>
    </xf>
    <xf numFmtId="0" fontId="12" fillId="0" borderId="0" xfId="162" applyFont="1" applyAlignment="1">
      <alignment horizontal="center" wrapText="1"/>
      <protection locked="0"/>
    </xf>
    <xf numFmtId="0" fontId="71" fillId="0" borderId="1" xfId="0" applyFont="1" applyBorder="1" applyAlignment="1">
      <alignment vertical="center" wrapText="1"/>
    </xf>
    <xf numFmtId="0" fontId="66" fillId="0" borderId="0" xfId="0" applyFont="1" applyAlignment="1">
      <alignment horizontal="justify" vertical="center"/>
    </xf>
    <xf numFmtId="0" fontId="66" fillId="0" borderId="0" xfId="0" applyFont="1">
      <alignment vertical="center"/>
    </xf>
    <xf numFmtId="43" fontId="5" fillId="0" borderId="0" xfId="3" applyNumberFormat="1" applyFont="1" applyBorder="1" applyAlignment="1">
      <alignment horizontal="left" vertical="center"/>
    </xf>
    <xf numFmtId="49" fontId="5" fillId="0" borderId="0" xfId="3" applyNumberFormat="1" applyFont="1" applyBorder="1" applyAlignment="1">
      <alignment vertical="center"/>
    </xf>
    <xf numFmtId="203" fontId="4" fillId="10" borderId="1" xfId="282" applyFont="1" applyFill="1" applyBorder="1" applyAlignment="1" applyProtection="1">
      <alignment horizontal="center" vertical="center" wrapText="1"/>
      <protection locked="0"/>
    </xf>
    <xf numFmtId="203" fontId="4" fillId="10" borderId="1" xfId="283" applyNumberFormat="1" applyFont="1" applyFill="1" applyBorder="1" applyAlignment="1">
      <alignment horizontal="center" vertical="center"/>
      <protection locked="0"/>
    </xf>
    <xf numFmtId="203" fontId="75" fillId="10" borderId="1" xfId="283" applyNumberFormat="1" applyFont="1" applyFill="1" applyBorder="1" applyAlignment="1">
      <alignment horizontal="center" vertical="center" wrapText="1"/>
      <protection locked="0"/>
    </xf>
    <xf numFmtId="43" fontId="4" fillId="0" borderId="0" xfId="3" applyNumberFormat="1" applyFont="1" applyBorder="1" applyAlignment="1">
      <alignment vertical="center"/>
    </xf>
    <xf numFmtId="0" fontId="56" fillId="0" borderId="1" xfId="281" applyFont="1" applyBorder="1" applyAlignment="1" applyProtection="1">
      <alignment vertical="center"/>
    </xf>
    <xf numFmtId="43" fontId="55" fillId="0" borderId="1" xfId="195" applyFont="1" applyFill="1" applyBorder="1" applyAlignment="1">
      <alignment horizontal="right" vertical="center"/>
    </xf>
    <xf numFmtId="43" fontId="5" fillId="0" borderId="1" xfId="195" applyFont="1" applyFill="1" applyBorder="1" applyAlignment="1">
      <alignment horizontal="right" vertical="center" wrapText="1"/>
    </xf>
    <xf numFmtId="0" fontId="69" fillId="0" borderId="1" xfId="281" applyFont="1" applyBorder="1" applyAlignment="1" applyProtection="1">
      <alignment horizontal="left" vertical="center" indent="1"/>
    </xf>
    <xf numFmtId="43" fontId="4" fillId="0" borderId="2" xfId="3" applyNumberFormat="1" applyFont="1" applyBorder="1" applyAlignment="1">
      <alignment horizontal="left" vertical="center"/>
    </xf>
    <xf numFmtId="43" fontId="5" fillId="0" borderId="2" xfId="3" applyNumberFormat="1" applyFont="1" applyBorder="1" applyAlignment="1">
      <alignment horizontal="left" vertical="center"/>
    </xf>
    <xf numFmtId="43" fontId="97" fillId="0" borderId="2" xfId="168" applyNumberFormat="1" applyFont="1" applyBorder="1" applyAlignment="1" applyProtection="1">
      <alignment horizontal="center" vertical="center"/>
    </xf>
    <xf numFmtId="43" fontId="5" fillId="0" borderId="2" xfId="3" applyNumberFormat="1" applyFont="1" applyBorder="1" applyAlignment="1">
      <alignment vertical="center"/>
    </xf>
    <xf numFmtId="43" fontId="4" fillId="0" borderId="0" xfId="3" applyNumberFormat="1" applyFont="1" applyFill="1" applyBorder="1" applyAlignment="1">
      <alignment vertical="center"/>
    </xf>
    <xf numFmtId="0" fontId="5" fillId="0" borderId="0" xfId="189" applyFont="1" applyAlignment="1">
      <alignment vertical="center"/>
    </xf>
    <xf numFmtId="10" fontId="98" fillId="0" borderId="0" xfId="159" applyNumberFormat="1" applyFont="1" applyBorder="1" applyAlignment="1">
      <alignment horizontal="left" vertical="center"/>
    </xf>
    <xf numFmtId="0" fontId="5" fillId="0" borderId="0" xfId="189" applyFont="1" applyAlignment="1">
      <alignment horizontal="left" vertical="center"/>
    </xf>
    <xf numFmtId="43" fontId="5" fillId="0" borderId="0" xfId="3" applyNumberFormat="1" applyFont="1" applyFill="1" applyBorder="1" applyAlignment="1">
      <alignment vertical="center"/>
    </xf>
    <xf numFmtId="0" fontId="4" fillId="0" borderId="0" xfId="189" applyFont="1" applyAlignment="1">
      <alignment vertical="center"/>
    </xf>
    <xf numFmtId="0" fontId="5" fillId="0" borderId="0" xfId="333" applyFont="1">
      <protection locked="0"/>
    </xf>
    <xf numFmtId="43" fontId="115" fillId="0" borderId="1" xfId="281" applyNumberFormat="1" applyFont="1" applyBorder="1" applyAlignment="1" applyProtection="1">
      <alignment horizontal="right" vertical="center" shrinkToFit="1"/>
    </xf>
    <xf numFmtId="0" fontId="5" fillId="11" borderId="0" xfId="333" applyFont="1" applyFill="1">
      <protection locked="0"/>
    </xf>
    <xf numFmtId="0" fontId="117" fillId="0" borderId="0" xfId="162" applyFont="1" applyAlignment="1">
      <alignment horizontal="justify" wrapText="1"/>
      <protection locked="0"/>
    </xf>
    <xf numFmtId="0" fontId="117" fillId="0" borderId="0" xfId="162" applyFont="1">
      <protection locked="0"/>
    </xf>
    <xf numFmtId="0" fontId="71" fillId="10" borderId="1" xfId="0" applyFont="1" applyFill="1" applyBorder="1" applyAlignment="1">
      <alignment horizontal="center" vertical="center" wrapText="1"/>
    </xf>
    <xf numFmtId="0" fontId="72" fillId="10" borderId="1" xfId="0" applyFont="1" applyFill="1" applyBorder="1" applyAlignment="1">
      <alignment horizontal="center" vertical="center" wrapText="1"/>
    </xf>
    <xf numFmtId="0" fontId="5" fillId="0" borderId="0" xfId="164" applyFont="1" applyAlignment="1">
      <alignment horizontal="left" vertical="center" indent="1"/>
      <protection locked="0"/>
    </xf>
    <xf numFmtId="43" fontId="115" fillId="0" borderId="1" xfId="281" applyNumberFormat="1" applyFont="1" applyBorder="1" applyAlignment="1" applyProtection="1">
      <alignment horizontal="center" vertical="center" shrinkToFit="1"/>
    </xf>
    <xf numFmtId="0" fontId="2" fillId="10" borderId="1" xfId="162" applyFont="1" applyFill="1" applyBorder="1" applyAlignment="1">
      <alignment horizontal="center" vertical="center" wrapText="1"/>
      <protection locked="0"/>
    </xf>
    <xf numFmtId="0" fontId="75" fillId="0" borderId="0" xfId="0" applyFont="1">
      <alignment vertical="center"/>
    </xf>
    <xf numFmtId="0" fontId="5" fillId="0" borderId="0" xfId="162" applyFont="1" applyAlignment="1">
      <alignment horizontal="justify" vertical="center" wrapText="1"/>
      <protection locked="0"/>
    </xf>
    <xf numFmtId="0" fontId="4" fillId="0" borderId="0" xfId="0" applyFont="1" applyProtection="1">
      <alignment vertical="center"/>
      <protection locked="0"/>
    </xf>
    <xf numFmtId="0" fontId="4" fillId="0" borderId="0" xfId="162" applyFont="1" applyAlignment="1">
      <alignment horizontal="center" vertical="center" wrapText="1"/>
      <protection locked="0"/>
    </xf>
    <xf numFmtId="0" fontId="9" fillId="0" borderId="0" xfId="0" applyFont="1" applyAlignment="1">
      <alignment horizontal="left" vertical="center" indent="1"/>
    </xf>
    <xf numFmtId="43" fontId="5" fillId="0" borderId="1" xfId="195" applyFont="1" applyBorder="1" applyAlignment="1">
      <alignment vertical="center" wrapText="1"/>
    </xf>
    <xf numFmtId="43" fontId="70" fillId="0" borderId="1" xfId="193" applyFont="1" applyBorder="1" applyAlignment="1">
      <alignment horizontal="left" vertical="center" wrapText="1"/>
    </xf>
    <xf numFmtId="203" fontId="14" fillId="0" borderId="0" xfId="338" applyFont="1">
      <alignment vertical="center"/>
      <protection locked="0"/>
    </xf>
    <xf numFmtId="203" fontId="14" fillId="0" borderId="0" xfId="339" applyFont="1">
      <alignment vertical="center"/>
    </xf>
    <xf numFmtId="49" fontId="32" fillId="0" borderId="0" xfId="338" applyNumberFormat="1" applyFont="1" applyAlignment="1">
      <alignment horizontal="left" vertical="center"/>
      <protection locked="0"/>
    </xf>
    <xf numFmtId="203" fontId="32" fillId="0" borderId="0" xfId="338" applyFont="1" applyAlignment="1">
      <alignment horizontal="justify" vertical="center"/>
      <protection locked="0"/>
    </xf>
    <xf numFmtId="203" fontId="9" fillId="0" borderId="1" xfId="338" applyFont="1" applyBorder="1" applyAlignment="1">
      <alignment horizontal="center" vertical="center" wrapText="1"/>
      <protection locked="0"/>
    </xf>
    <xf numFmtId="203" fontId="14" fillId="0" borderId="1" xfId="338" applyFont="1" applyBorder="1" applyAlignment="1">
      <alignment horizontal="center" vertical="center" wrapText="1"/>
      <protection locked="0"/>
    </xf>
    <xf numFmtId="203" fontId="119" fillId="0" borderId="1" xfId="338" applyFont="1" applyBorder="1" applyAlignment="1">
      <alignment horizontal="center" vertical="center" wrapText="1"/>
      <protection locked="0"/>
    </xf>
    <xf numFmtId="49" fontId="32" fillId="10" borderId="1" xfId="338" applyNumberFormat="1" applyFont="1" applyFill="1" applyBorder="1" applyAlignment="1">
      <alignment horizontal="left" vertical="center"/>
      <protection locked="0"/>
    </xf>
    <xf numFmtId="49" fontId="2" fillId="10" borderId="1" xfId="338" applyNumberFormat="1" applyFont="1" applyFill="1" applyBorder="1" applyAlignment="1">
      <alignment horizontal="left" vertical="center"/>
      <protection locked="0"/>
    </xf>
    <xf numFmtId="203" fontId="32" fillId="10" borderId="1" xfId="338" applyFont="1" applyFill="1" applyBorder="1" applyAlignment="1">
      <alignment horizontal="left" vertical="center" wrapText="1"/>
      <protection locked="0"/>
    </xf>
    <xf numFmtId="203" fontId="120" fillId="10" borderId="1" xfId="338" applyFont="1" applyFill="1" applyBorder="1" applyAlignment="1" applyProtection="1">
      <alignment horizontal="center" vertical="center" wrapText="1"/>
    </xf>
    <xf numFmtId="49" fontId="2" fillId="10" borderId="1" xfId="339" applyNumberFormat="1" applyFont="1" applyFill="1" applyBorder="1" applyAlignment="1">
      <alignment horizontal="left" vertical="center"/>
    </xf>
    <xf numFmtId="203" fontId="2" fillId="10" borderId="1" xfId="338" applyFont="1" applyFill="1" applyBorder="1" applyAlignment="1">
      <alignment horizontal="left" vertical="center" wrapText="1"/>
      <protection locked="0"/>
    </xf>
    <xf numFmtId="49" fontId="5" fillId="0" borderId="1" xfId="0" applyNumberFormat="1" applyFont="1" applyBorder="1" applyAlignment="1" applyProtection="1">
      <alignment horizontal="left" vertical="center" indent="1"/>
      <protection locked="0"/>
    </xf>
    <xf numFmtId="0" fontId="70" fillId="0" borderId="1" xfId="0" applyFont="1" applyBorder="1" applyAlignment="1">
      <alignment vertical="center" wrapText="1"/>
    </xf>
    <xf numFmtId="0" fontId="70" fillId="0" borderId="1" xfId="0" applyFont="1" applyBorder="1" applyAlignment="1">
      <alignment horizontal="center" vertical="center" wrapText="1"/>
    </xf>
    <xf numFmtId="0" fontId="118" fillId="0" borderId="1" xfId="0" applyFont="1" applyBorder="1" applyAlignment="1">
      <alignment vertical="center" wrapText="1"/>
    </xf>
    <xf numFmtId="0" fontId="73" fillId="0" borderId="1" xfId="0" applyFont="1" applyBorder="1" applyAlignment="1">
      <alignment vertical="center" wrapText="1"/>
    </xf>
    <xf numFmtId="49" fontId="2" fillId="10" borderId="1" xfId="0" applyNumberFormat="1" applyFont="1" applyFill="1" applyBorder="1" applyAlignment="1" applyProtection="1">
      <alignment horizontal="left" vertical="center"/>
      <protection locked="0"/>
    </xf>
    <xf numFmtId="203" fontId="121" fillId="10" borderId="1" xfId="338" applyFont="1" applyFill="1" applyBorder="1" applyAlignment="1" applyProtection="1">
      <alignment horizontal="center" vertical="center" wrapText="1"/>
    </xf>
    <xf numFmtId="203" fontId="32" fillId="0" borderId="0" xfId="339" applyFont="1">
      <alignment vertical="center"/>
    </xf>
    <xf numFmtId="49" fontId="32" fillId="0" borderId="1" xfId="339" applyNumberFormat="1" applyFont="1" applyBorder="1" applyAlignment="1">
      <alignment horizontal="left" vertical="center" indent="1"/>
    </xf>
    <xf numFmtId="0" fontId="72" fillId="10" borderId="1" xfId="0" applyFont="1" applyFill="1" applyBorder="1" applyAlignment="1">
      <alignment vertical="center" wrapText="1"/>
    </xf>
    <xf numFmtId="0" fontId="70" fillId="10" borderId="1" xfId="0" applyFont="1" applyFill="1" applyBorder="1" applyAlignment="1">
      <alignment horizontal="center" vertical="center" wrapText="1"/>
    </xf>
    <xf numFmtId="0" fontId="71" fillId="10" borderId="1" xfId="0" applyFont="1" applyFill="1" applyBorder="1" applyAlignment="1">
      <alignment vertical="center" wrapText="1"/>
    </xf>
    <xf numFmtId="49" fontId="32" fillId="0" borderId="0" xfId="339" applyNumberFormat="1" applyFont="1" applyAlignment="1">
      <alignment horizontal="left" vertical="center"/>
    </xf>
    <xf numFmtId="0" fontId="4" fillId="10" borderId="1" xfId="0" applyFont="1" applyFill="1" applyBorder="1" applyAlignment="1">
      <alignment vertical="center" wrapText="1"/>
    </xf>
    <xf numFmtId="0" fontId="9" fillId="0" borderId="1" xfId="0" applyFont="1" applyBorder="1" applyAlignment="1">
      <alignment vertical="center" wrapText="1"/>
    </xf>
    <xf numFmtId="203" fontId="2" fillId="10" borderId="1" xfId="282" applyFont="1" applyFill="1" applyBorder="1" applyAlignment="1" applyProtection="1">
      <alignment horizontal="center" vertical="center" wrapText="1"/>
      <protection locked="0"/>
    </xf>
    <xf numFmtId="0" fontId="70" fillId="0" borderId="10" xfId="0" applyFont="1" applyBorder="1" applyAlignment="1">
      <alignment horizontal="justify" vertical="center" wrapText="1"/>
    </xf>
    <xf numFmtId="0" fontId="72" fillId="10" borderId="13" xfId="0" applyFont="1" applyFill="1" applyBorder="1" applyAlignment="1">
      <alignment horizontal="center" vertical="center" wrapText="1"/>
    </xf>
    <xf numFmtId="0" fontId="70" fillId="0" borderId="10" xfId="0" applyFont="1" applyBorder="1" applyAlignment="1">
      <alignment horizontal="left" vertical="center"/>
    </xf>
    <xf numFmtId="0" fontId="71" fillId="0" borderId="1" xfId="0" applyFont="1" applyBorder="1" applyAlignment="1">
      <alignment horizontal="center" vertical="center" wrapText="1"/>
    </xf>
    <xf numFmtId="0" fontId="4" fillId="0" borderId="0" xfId="191" applyFont="1" applyAlignment="1">
      <alignment horizontal="left" vertical="center"/>
    </xf>
    <xf numFmtId="0" fontId="9" fillId="9" borderId="0" xfId="0" applyFont="1" applyFill="1" applyAlignment="1" applyProtection="1">
      <alignment horizontal="justify" vertical="center" wrapText="1"/>
      <protection locked="0"/>
    </xf>
    <xf numFmtId="0" fontId="9" fillId="0" borderId="0" xfId="191" applyFont="1" applyAlignment="1">
      <alignment vertical="center"/>
    </xf>
    <xf numFmtId="43" fontId="2" fillId="0" borderId="0" xfId="3" applyNumberFormat="1" applyFont="1" applyFill="1" applyBorder="1" applyAlignment="1">
      <alignment vertical="center"/>
    </xf>
    <xf numFmtId="0" fontId="5" fillId="0" borderId="2" xfId="189" applyFont="1" applyBorder="1" applyAlignment="1">
      <alignment vertical="center"/>
    </xf>
    <xf numFmtId="0" fontId="1" fillId="0" borderId="0" xfId="353">
      <protection locked="0"/>
    </xf>
    <xf numFmtId="0" fontId="58" fillId="10" borderId="1" xfId="353" applyFont="1" applyFill="1" applyBorder="1" applyAlignment="1" applyProtection="1">
      <alignment horizontal="center" vertical="center"/>
    </xf>
    <xf numFmtId="0" fontId="58" fillId="10" borderId="1" xfId="353" applyFont="1" applyFill="1" applyBorder="1" applyAlignment="1" applyProtection="1">
      <alignment horizontal="center" vertical="center" wrapText="1"/>
    </xf>
    <xf numFmtId="203" fontId="124" fillId="10" borderId="1" xfId="282" applyFont="1" applyFill="1" applyBorder="1" applyAlignment="1" applyProtection="1">
      <alignment horizontal="center" vertical="center" wrapText="1"/>
      <protection locked="0"/>
    </xf>
    <xf numFmtId="0" fontId="56" fillId="0" borderId="1" xfId="353" applyFont="1" applyBorder="1" applyAlignment="1" applyProtection="1">
      <alignment vertical="center"/>
    </xf>
    <xf numFmtId="0" fontId="9" fillId="0" borderId="1" xfId="353" applyFont="1" applyBorder="1" applyAlignment="1" applyProtection="1">
      <alignment vertical="center"/>
    </xf>
    <xf numFmtId="0" fontId="69" fillId="0" borderId="1" xfId="353" applyFont="1" applyBorder="1" applyAlignment="1" applyProtection="1">
      <alignment horizontal="left" vertical="center" indent="1"/>
    </xf>
    <xf numFmtId="0" fontId="75" fillId="0" borderId="1" xfId="353" applyFont="1" applyBorder="1" applyAlignment="1" applyProtection="1">
      <alignment horizontal="center" vertical="center"/>
    </xf>
    <xf numFmtId="9" fontId="98" fillId="0" borderId="0" xfId="379" applyFont="1" applyBorder="1" applyAlignment="1">
      <alignment horizontal="left" vertical="center"/>
    </xf>
    <xf numFmtId="10" fontId="98" fillId="0" borderId="0" xfId="379" applyNumberFormat="1" applyFont="1" applyBorder="1" applyAlignment="1">
      <alignment horizontal="left" vertical="center"/>
    </xf>
    <xf numFmtId="43" fontId="94" fillId="0" borderId="0" xfId="0" applyNumberFormat="1" applyFont="1">
      <alignment vertical="center"/>
    </xf>
    <xf numFmtId="0" fontId="125" fillId="0" borderId="7" xfId="0" applyFont="1" applyBorder="1" applyAlignment="1">
      <alignment horizontal="justify" vertical="center" wrapText="1"/>
    </xf>
    <xf numFmtId="0" fontId="67" fillId="0" borderId="7" xfId="0" applyFont="1" applyBorder="1" applyAlignment="1">
      <alignment horizontal="right" vertical="center" wrapText="1"/>
    </xf>
    <xf numFmtId="43" fontId="127" fillId="0" borderId="7" xfId="0" applyNumberFormat="1" applyFont="1" applyBorder="1" applyAlignment="1">
      <alignment horizontal="right" vertical="center" wrapText="1"/>
    </xf>
    <xf numFmtId="203" fontId="4" fillId="37" borderId="1" xfId="282" applyFont="1" applyFill="1" applyBorder="1" applyAlignment="1" applyProtection="1">
      <alignment horizontal="center" vertical="center" wrapText="1"/>
      <protection locked="0"/>
    </xf>
    <xf numFmtId="43" fontId="55" fillId="37" borderId="1" xfId="195" applyFont="1" applyFill="1" applyBorder="1" applyAlignment="1">
      <alignment horizontal="right" vertical="center"/>
    </xf>
    <xf numFmtId="43" fontId="55" fillId="37" borderId="1" xfId="195" applyFont="1" applyFill="1" applyBorder="1" applyAlignment="1" applyProtection="1">
      <alignment horizontal="right" vertical="center"/>
    </xf>
    <xf numFmtId="43" fontId="55" fillId="37" borderId="1" xfId="378" applyFont="1" applyFill="1" applyBorder="1" applyAlignment="1" applyProtection="1">
      <alignment horizontal="right" vertical="center"/>
    </xf>
    <xf numFmtId="0" fontId="58" fillId="37" borderId="1" xfId="281" applyFont="1" applyFill="1" applyBorder="1" applyAlignment="1" applyProtection="1">
      <alignment horizontal="center" vertical="center"/>
    </xf>
    <xf numFmtId="10" fontId="5" fillId="37" borderId="1" xfId="159" applyNumberFormat="1" applyFont="1" applyFill="1" applyBorder="1" applyAlignment="1">
      <alignment horizontal="right" vertical="center" wrapText="1"/>
    </xf>
    <xf numFmtId="43" fontId="5" fillId="37" borderId="1" xfId="195" applyFont="1" applyFill="1" applyBorder="1" applyAlignment="1">
      <alignment horizontal="right" vertical="center" wrapText="1"/>
    </xf>
    <xf numFmtId="10" fontId="98" fillId="37" borderId="0" xfId="159" applyNumberFormat="1" applyFont="1" applyFill="1" applyBorder="1" applyAlignment="1">
      <alignment horizontal="center" vertical="center"/>
    </xf>
    <xf numFmtId="43" fontId="4" fillId="37" borderId="1" xfId="195" applyFont="1" applyFill="1" applyBorder="1" applyAlignment="1">
      <alignment vertical="center"/>
    </xf>
    <xf numFmtId="0" fontId="71" fillId="37" borderId="1" xfId="0" applyFont="1" applyFill="1" applyBorder="1" applyAlignment="1">
      <alignment horizontal="center" vertical="center" wrapText="1"/>
    </xf>
    <xf numFmtId="43" fontId="71" fillId="37" borderId="1" xfId="193" applyFont="1" applyFill="1" applyBorder="1" applyAlignment="1">
      <alignment horizontal="right" vertical="center" wrapText="1"/>
    </xf>
    <xf numFmtId="10" fontId="71" fillId="37" borderId="1" xfId="197" applyNumberFormat="1" applyFont="1" applyFill="1" applyBorder="1" applyAlignment="1">
      <alignment horizontal="center" vertical="center" wrapText="1"/>
    </xf>
    <xf numFmtId="0" fontId="71" fillId="37" borderId="10" xfId="0" applyFont="1" applyFill="1" applyBorder="1" applyAlignment="1">
      <alignment horizontal="right" vertical="center" wrapText="1"/>
    </xf>
    <xf numFmtId="0" fontId="71" fillId="37" borderId="1" xfId="0" applyFont="1" applyFill="1" applyBorder="1" applyAlignment="1">
      <alignment vertical="center" wrapText="1"/>
    </xf>
    <xf numFmtId="43" fontId="75" fillId="37" borderId="1" xfId="195" applyFont="1" applyFill="1" applyBorder="1" applyAlignment="1" applyProtection="1">
      <alignment horizontal="right" vertical="center"/>
    </xf>
    <xf numFmtId="0" fontId="2" fillId="10" borderId="1" xfId="353" applyFont="1" applyFill="1" applyBorder="1" applyAlignment="1">
      <alignment horizontal="center" vertical="center"/>
      <protection locked="0"/>
    </xf>
    <xf numFmtId="0" fontId="2" fillId="10" borderId="1" xfId="353" applyFont="1" applyFill="1" applyBorder="1" applyAlignment="1">
      <alignment horizontal="center" vertical="center" wrapText="1"/>
      <protection locked="0"/>
    </xf>
    <xf numFmtId="203" fontId="32" fillId="0" borderId="0" xfId="338" applyFont="1" applyAlignment="1">
      <alignment horizontal="left" vertical="center"/>
      <protection locked="0"/>
    </xf>
    <xf numFmtId="203" fontId="32" fillId="10" borderId="1" xfId="338" applyFont="1" applyFill="1" applyBorder="1" applyAlignment="1">
      <alignment horizontal="center" vertical="center" wrapText="1"/>
      <protection locked="0"/>
    </xf>
    <xf numFmtId="203" fontId="14" fillId="0" borderId="1" xfId="338" applyFont="1" applyBorder="1" applyAlignment="1">
      <alignment horizontal="left" vertical="center" wrapText="1"/>
      <protection locked="0"/>
    </xf>
    <xf numFmtId="0" fontId="9" fillId="0" borderId="0" xfId="0" applyFont="1" applyAlignment="1" applyProtection="1">
      <protection locked="0"/>
    </xf>
    <xf numFmtId="0" fontId="9" fillId="0" borderId="0" xfId="0" applyFont="1" applyAlignment="1" applyProtection="1">
      <alignment horizontal="center"/>
      <protection locked="0"/>
    </xf>
    <xf numFmtId="43" fontId="5" fillId="0" borderId="1" xfId="180" applyFont="1" applyBorder="1" applyAlignment="1" applyProtection="1">
      <protection locked="0"/>
    </xf>
    <xf numFmtId="0" fontId="0" fillId="0" borderId="0" xfId="0" applyAlignment="1" applyProtection="1">
      <protection locked="0"/>
    </xf>
    <xf numFmtId="203" fontId="14" fillId="0" borderId="0" xfId="381" applyFont="1">
      <alignment vertical="center"/>
      <protection locked="0"/>
    </xf>
    <xf numFmtId="49" fontId="5" fillId="0" borderId="1" xfId="382" applyNumberFormat="1" applyFont="1" applyBorder="1" applyAlignment="1">
      <alignment horizontal="center" vertical="center"/>
    </xf>
    <xf numFmtId="0" fontId="73" fillId="0" borderId="1" xfId="268" applyFont="1" applyBorder="1" applyAlignment="1">
      <alignment vertical="center" wrapText="1"/>
    </xf>
    <xf numFmtId="0" fontId="73" fillId="0" borderId="1" xfId="268" applyFont="1" applyBorder="1" applyAlignment="1">
      <alignment horizontal="center" vertical="center" wrapText="1"/>
    </xf>
    <xf numFmtId="0" fontId="72" fillId="0" borderId="1" xfId="268" applyFont="1" applyBorder="1" applyAlignment="1">
      <alignment horizontal="center" vertical="center" wrapText="1"/>
    </xf>
    <xf numFmtId="203" fontId="14" fillId="0" borderId="0" xfId="382" applyFont="1">
      <alignment vertical="center"/>
    </xf>
    <xf numFmtId="203" fontId="14" fillId="0" borderId="0" xfId="338" applyFont="1" applyAlignment="1">
      <alignment vertical="center" wrapText="1"/>
      <protection locked="0"/>
    </xf>
    <xf numFmtId="203" fontId="14" fillId="0" borderId="0" xfId="339" applyFont="1" applyAlignment="1">
      <alignment vertical="center" wrapText="1"/>
    </xf>
    <xf numFmtId="203" fontId="9" fillId="0" borderId="0" xfId="339" applyFont="1">
      <alignment vertical="center"/>
    </xf>
    <xf numFmtId="0" fontId="73" fillId="0" borderId="1" xfId="0" applyFont="1" applyBorder="1" applyAlignment="1">
      <alignment horizontal="center" vertical="center" wrapText="1"/>
    </xf>
    <xf numFmtId="0" fontId="2" fillId="0" borderId="0" xfId="191" applyFont="1" applyAlignment="1">
      <alignment vertical="center" wrapText="1"/>
    </xf>
    <xf numFmtId="0" fontId="9" fillId="0" borderId="0" xfId="191" applyFont="1" applyAlignment="1">
      <alignment horizontal="left" vertical="center"/>
    </xf>
    <xf numFmtId="0" fontId="129" fillId="0" borderId="0" xfId="191" applyFont="1" applyAlignment="1">
      <alignment horizontal="left" vertical="center"/>
    </xf>
    <xf numFmtId="0" fontId="2" fillId="0" borderId="0" xfId="191" applyFont="1" applyAlignment="1">
      <alignment vertical="center"/>
    </xf>
    <xf numFmtId="0" fontId="130" fillId="0" borderId="0" xfId="353" applyFont="1">
      <protection locked="0"/>
    </xf>
    <xf numFmtId="43" fontId="130" fillId="0" borderId="0" xfId="3" applyNumberFormat="1" applyFont="1" applyBorder="1" applyAlignment="1">
      <alignment vertical="center"/>
    </xf>
    <xf numFmtId="203" fontId="130" fillId="0" borderId="0" xfId="337" applyFont="1">
      <alignment vertical="center"/>
    </xf>
    <xf numFmtId="0" fontId="130" fillId="0" borderId="0" xfId="1" applyFont="1">
      <alignment vertical="center"/>
    </xf>
    <xf numFmtId="0" fontId="131" fillId="0" borderId="0" xfId="162" applyFont="1" applyAlignment="1">
      <alignment vertical="center"/>
      <protection locked="0"/>
    </xf>
    <xf numFmtId="203" fontId="130" fillId="0" borderId="0" xfId="337" applyFont="1" applyAlignment="1">
      <alignment vertical="center" wrapText="1"/>
    </xf>
    <xf numFmtId="203" fontId="133" fillId="0" borderId="0" xfId="337" applyFont="1">
      <alignment vertical="center"/>
    </xf>
    <xf numFmtId="0" fontId="133" fillId="0" borderId="0" xfId="1" applyFont="1">
      <alignment vertical="center"/>
    </xf>
    <xf numFmtId="0" fontId="133" fillId="0" borderId="0" xfId="353" applyFont="1">
      <protection locked="0"/>
    </xf>
    <xf numFmtId="0" fontId="132" fillId="0" borderId="0" xfId="162" applyFont="1" applyAlignment="1">
      <alignment vertical="center"/>
      <protection locked="0"/>
    </xf>
    <xf numFmtId="43" fontId="133" fillId="0" borderId="0" xfId="3" applyNumberFormat="1" applyFont="1" applyBorder="1" applyAlignment="1">
      <alignment vertical="center"/>
    </xf>
    <xf numFmtId="203" fontId="133" fillId="0" borderId="0" xfId="337" applyFont="1" applyAlignment="1">
      <alignment vertical="center" wrapText="1"/>
    </xf>
    <xf numFmtId="14" fontId="5" fillId="0" borderId="1" xfId="0" applyNumberFormat="1"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1" xfId="0" applyFont="1" applyBorder="1" applyProtection="1">
      <alignment vertical="center"/>
      <protection locked="0"/>
    </xf>
    <xf numFmtId="43" fontId="5" fillId="0" borderId="1" xfId="180" applyFont="1" applyBorder="1" applyAlignment="1" applyProtection="1">
      <alignment vertical="center"/>
      <protection locked="0"/>
    </xf>
    <xf numFmtId="0" fontId="5" fillId="0" borderId="1" xfId="0" applyFont="1" applyBorder="1" applyAlignment="1" applyProtection="1">
      <protection locked="0"/>
    </xf>
    <xf numFmtId="0" fontId="5" fillId="0" borderId="0" xfId="0" applyFont="1" applyAlignment="1" applyProtection="1">
      <protection locked="0"/>
    </xf>
    <xf numFmtId="14" fontId="5" fillId="0" borderId="1" xfId="0" applyNumberFormat="1" applyFont="1" applyBorder="1" applyAlignment="1" applyProtection="1">
      <protection locked="0"/>
    </xf>
    <xf numFmtId="0" fontId="69" fillId="0" borderId="0" xfId="162" applyFont="1" applyAlignment="1">
      <alignment vertical="center"/>
      <protection locked="0"/>
    </xf>
    <xf numFmtId="0" fontId="5" fillId="0" borderId="0" xfId="191" applyFont="1" applyAlignment="1">
      <alignment vertical="center"/>
    </xf>
    <xf numFmtId="43" fontId="115" fillId="0" borderId="1" xfId="281" applyNumberFormat="1" applyFont="1" applyBorder="1" applyAlignment="1" applyProtection="1">
      <alignment horizontal="center" vertical="center" wrapText="1" shrinkToFit="1"/>
    </xf>
    <xf numFmtId="0" fontId="4" fillId="0" borderId="0" xfId="333" applyFont="1">
      <protection locked="0"/>
    </xf>
    <xf numFmtId="0" fontId="116" fillId="37" borderId="10" xfId="281" applyFont="1" applyFill="1" applyBorder="1" applyAlignment="1" applyProtection="1">
      <alignment horizontal="center" vertical="center" wrapText="1"/>
    </xf>
    <xf numFmtId="43" fontId="75" fillId="37" borderId="1" xfId="195" applyFont="1" applyFill="1" applyBorder="1" applyAlignment="1">
      <alignment horizontal="right" vertical="center"/>
    </xf>
    <xf numFmtId="0" fontId="129" fillId="0" borderId="0" xfId="162" applyFont="1" applyAlignment="1">
      <alignment horizontal="left" vertical="center"/>
      <protection locked="0"/>
    </xf>
    <xf numFmtId="0" fontId="134" fillId="0" borderId="0" xfId="162" applyFont="1" applyAlignment="1">
      <alignment vertical="center"/>
      <protection locked="0"/>
    </xf>
    <xf numFmtId="0" fontId="134" fillId="0" borderId="0" xfId="162" applyFont="1" applyAlignment="1">
      <alignment horizontal="center" vertical="center"/>
      <protection locked="0"/>
    </xf>
    <xf numFmtId="0" fontId="2" fillId="0" borderId="0" xfId="191" applyFont="1" applyAlignment="1">
      <alignment horizontal="left" vertical="center" wrapText="1"/>
    </xf>
    <xf numFmtId="203" fontId="128" fillId="0" borderId="0" xfId="338" applyFont="1" applyAlignment="1">
      <alignment horizontal="left" vertical="center"/>
      <protection locked="0"/>
    </xf>
    <xf numFmtId="203" fontId="128" fillId="0" borderId="0" xfId="338" applyFont="1">
      <alignment vertical="center"/>
      <protection locked="0"/>
    </xf>
    <xf numFmtId="0" fontId="128" fillId="0" borderId="0" xfId="162" applyFont="1" applyAlignment="1">
      <alignment vertical="center"/>
      <protection locked="0"/>
    </xf>
    <xf numFmtId="0" fontId="128" fillId="0" borderId="0" xfId="190" applyFont="1" applyAlignment="1">
      <alignment vertical="center"/>
    </xf>
    <xf numFmtId="0" fontId="128" fillId="0" borderId="0" xfId="162" applyFont="1" applyAlignment="1">
      <alignment horizontal="left" vertical="center"/>
      <protection locked="0"/>
    </xf>
    <xf numFmtId="14" fontId="128" fillId="0" borderId="0" xfId="162" applyNumberFormat="1" applyFont="1" applyAlignment="1">
      <alignment horizontal="left" vertical="center"/>
      <protection locked="0"/>
    </xf>
    <xf numFmtId="14" fontId="128" fillId="0" borderId="0" xfId="162" applyNumberFormat="1" applyFont="1" applyAlignment="1">
      <alignment vertical="center"/>
      <protection locked="0"/>
    </xf>
    <xf numFmtId="0" fontId="128" fillId="0" borderId="0" xfId="2" applyFont="1" applyAlignment="1">
      <alignment horizontal="left" vertical="center"/>
    </xf>
    <xf numFmtId="0" fontId="128" fillId="0" borderId="0" xfId="162" applyFont="1" applyAlignment="1">
      <alignment horizontal="right" vertical="center"/>
      <protection locked="0"/>
    </xf>
    <xf numFmtId="0" fontId="128" fillId="0" borderId="0" xfId="162" applyFont="1" applyAlignment="1">
      <alignment horizontal="center" vertical="center"/>
      <protection locked="0"/>
    </xf>
    <xf numFmtId="43" fontId="128" fillId="0" borderId="0" xfId="3" applyNumberFormat="1" applyFont="1" applyBorder="1" applyAlignment="1">
      <alignment vertical="center"/>
    </xf>
    <xf numFmtId="43" fontId="128" fillId="0" borderId="0" xfId="3" applyNumberFormat="1" applyFont="1" applyBorder="1" applyAlignment="1">
      <alignment horizontal="left" vertical="center"/>
    </xf>
    <xf numFmtId="14" fontId="128" fillId="0" borderId="0" xfId="3" applyNumberFormat="1" applyFont="1" applyBorder="1" applyAlignment="1">
      <alignment vertical="center"/>
    </xf>
    <xf numFmtId="49" fontId="128" fillId="0" borderId="0" xfId="3" applyNumberFormat="1" applyFont="1" applyBorder="1" applyAlignment="1">
      <alignment vertical="center"/>
    </xf>
    <xf numFmtId="0" fontId="128" fillId="0" borderId="0" xfId="2" applyFont="1" applyAlignment="1">
      <alignment horizontal="justify" vertical="center" wrapText="1"/>
    </xf>
    <xf numFmtId="203" fontId="128" fillId="0" borderId="0" xfId="338" applyFont="1" applyAlignment="1">
      <alignment vertical="center" wrapText="1"/>
      <protection locked="0"/>
    </xf>
    <xf numFmtId="0" fontId="5" fillId="0" borderId="1" xfId="268" applyFont="1" applyBorder="1" applyAlignment="1">
      <alignment horizontal="center" vertical="center" wrapText="1"/>
    </xf>
    <xf numFmtId="49" fontId="2" fillId="0" borderId="0" xfId="367" applyNumberFormat="1" applyFont="1" applyBorder="1" applyAlignment="1" applyProtection="1">
      <alignment horizontal="left" vertical="center"/>
      <protection locked="0"/>
    </xf>
    <xf numFmtId="203" fontId="32" fillId="0" borderId="0" xfId="381" applyFont="1" applyBorder="1" applyAlignment="1">
      <alignment horizontal="left" vertical="center"/>
      <protection locked="0"/>
    </xf>
    <xf numFmtId="203" fontId="32" fillId="0" borderId="0" xfId="381" applyFont="1" applyBorder="1" applyAlignment="1">
      <alignment horizontal="justify" vertical="center"/>
      <protection locked="0"/>
    </xf>
    <xf numFmtId="203" fontId="14" fillId="0" borderId="0" xfId="381" applyFont="1" applyBorder="1">
      <alignment vertical="center"/>
      <protection locked="0"/>
    </xf>
    <xf numFmtId="203" fontId="14" fillId="0" borderId="0" xfId="381" applyFont="1" applyBorder="1" applyAlignment="1">
      <alignment horizontal="center" vertical="center" wrapText="1"/>
      <protection locked="0"/>
    </xf>
    <xf numFmtId="203" fontId="14" fillId="0" borderId="0" xfId="381" applyFont="1" applyBorder="1" applyAlignment="1">
      <alignment horizontal="left" vertical="center" wrapText="1"/>
      <protection locked="0"/>
    </xf>
    <xf numFmtId="0" fontId="5" fillId="0" borderId="1" xfId="195" applyNumberFormat="1" applyFont="1" applyBorder="1" applyAlignment="1">
      <alignment vertical="center" wrapText="1"/>
    </xf>
    <xf numFmtId="0" fontId="128" fillId="0" borderId="0" xfId="353" applyFont="1" applyAlignment="1">
      <alignment horizontal="left"/>
      <protection locked="0"/>
    </xf>
    <xf numFmtId="0" fontId="55" fillId="0" borderId="1" xfId="195" applyNumberFormat="1" applyFont="1" applyFill="1" applyBorder="1" applyAlignment="1">
      <alignment horizontal="right" vertical="center"/>
    </xf>
    <xf numFmtId="0" fontId="5" fillId="0" borderId="0" xfId="333" applyNumberFormat="1" applyFont="1">
      <protection locked="0"/>
    </xf>
    <xf numFmtId="0" fontId="7" fillId="0" borderId="1" xfId="281" applyNumberFormat="1" applyFont="1" applyBorder="1" applyAlignment="1" applyProtection="1">
      <alignment horizontal="center" vertical="center" shrinkToFit="1"/>
    </xf>
    <xf numFmtId="0" fontId="7" fillId="0" borderId="1" xfId="281" applyNumberFormat="1" applyFont="1" applyBorder="1" applyAlignment="1" applyProtection="1">
      <alignment vertical="center" wrapText="1" shrinkToFit="1"/>
    </xf>
    <xf numFmtId="0" fontId="7" fillId="0" borderId="1" xfId="281" applyNumberFormat="1" applyFont="1" applyBorder="1" applyAlignment="1" applyProtection="1">
      <alignment horizontal="center" vertical="center" wrapText="1" shrinkToFit="1"/>
    </xf>
    <xf numFmtId="0" fontId="115" fillId="0" borderId="1" xfId="281" applyNumberFormat="1" applyFont="1" applyBorder="1" applyAlignment="1" applyProtection="1">
      <alignment horizontal="center" vertical="center" wrapText="1" shrinkToFit="1"/>
    </xf>
    <xf numFmtId="0" fontId="115" fillId="0" borderId="1" xfId="281" applyNumberFormat="1" applyFont="1" applyBorder="1" applyAlignment="1" applyProtection="1">
      <alignment horizontal="center" vertical="center" shrinkToFit="1"/>
    </xf>
    <xf numFmtId="0" fontId="5" fillId="0" borderId="1" xfId="333" applyNumberFormat="1" applyFont="1" applyBorder="1">
      <protection locked="0"/>
    </xf>
    <xf numFmtId="0" fontId="4" fillId="0" borderId="1" xfId="333" applyNumberFormat="1" applyFont="1" applyBorder="1">
      <protection locked="0"/>
    </xf>
    <xf numFmtId="0" fontId="4" fillId="37" borderId="1" xfId="333" applyNumberFormat="1" applyFont="1" applyFill="1" applyBorder="1">
      <protection locked="0"/>
    </xf>
    <xf numFmtId="0" fontId="115" fillId="0" borderId="1" xfId="281" quotePrefix="1" applyNumberFormat="1" applyFont="1" applyBorder="1" applyAlignment="1" applyProtection="1">
      <alignment horizontal="left" vertical="center" shrinkToFit="1"/>
    </xf>
    <xf numFmtId="0" fontId="4" fillId="10" borderId="1" xfId="355" applyFont="1" applyFill="1" applyBorder="1" applyAlignment="1" applyProtection="1">
      <alignment horizontal="center" vertical="center"/>
      <protection locked="0"/>
    </xf>
    <xf numFmtId="0" fontId="5" fillId="0" borderId="1" xfId="355" applyFont="1" applyBorder="1" applyAlignment="1" applyProtection="1">
      <alignment horizontal="center" vertical="center"/>
      <protection locked="0"/>
    </xf>
    <xf numFmtId="0" fontId="136" fillId="0" borderId="0" xfId="355" applyFont="1" applyAlignment="1" applyProtection="1">
      <alignment horizontal="left" vertical="center"/>
      <protection locked="0"/>
    </xf>
    <xf numFmtId="0" fontId="4" fillId="0" borderId="0" xfId="162" applyFont="1" applyAlignment="1">
      <alignment horizontal="center" vertical="center"/>
      <protection locked="0"/>
    </xf>
    <xf numFmtId="0" fontId="5" fillId="0" borderId="6" xfId="162" applyFont="1" applyBorder="1" applyAlignment="1">
      <alignment horizontal="center" vertical="center" wrapText="1"/>
      <protection locked="0"/>
    </xf>
    <xf numFmtId="0" fontId="139" fillId="0" borderId="6" xfId="192" applyFont="1" applyBorder="1" applyAlignment="1">
      <alignment vertical="center"/>
      <protection locked="0"/>
    </xf>
    <xf numFmtId="0" fontId="5" fillId="0" borderId="6" xfId="162" applyFont="1" applyBorder="1" applyAlignment="1">
      <alignment horizontal="center" vertical="center"/>
      <protection locked="0"/>
    </xf>
    <xf numFmtId="0" fontId="139" fillId="0" borderId="6" xfId="192" quotePrefix="1" applyFont="1" applyBorder="1" applyAlignment="1">
      <alignment vertical="center"/>
      <protection locked="0"/>
    </xf>
    <xf numFmtId="0" fontId="9" fillId="0" borderId="1" xfId="0" applyFont="1" applyBorder="1" applyProtection="1">
      <alignment vertical="center"/>
      <protection locked="0"/>
    </xf>
    <xf numFmtId="0" fontId="73" fillId="0" borderId="1" xfId="367" applyFont="1" applyFill="1" applyBorder="1" applyAlignment="1">
      <alignment horizontal="center" vertical="center" wrapText="1"/>
    </xf>
    <xf numFmtId="203" fontId="9" fillId="0" borderId="1" xfId="383" applyFont="1" applyFill="1" applyBorder="1" applyAlignment="1">
      <alignment horizontal="left" vertical="center" wrapText="1"/>
      <protection locked="0"/>
    </xf>
    <xf numFmtId="0" fontId="9" fillId="0" borderId="1" xfId="353" applyFont="1" applyBorder="1" applyAlignment="1">
      <alignment horizontal="center" vertical="center" wrapText="1"/>
      <protection locked="0"/>
    </xf>
    <xf numFmtId="0" fontId="2" fillId="0" borderId="1" xfId="353" applyFont="1" applyBorder="1" applyAlignment="1">
      <alignment horizontal="center" vertical="center" wrapText="1"/>
      <protection locked="0"/>
    </xf>
    <xf numFmtId="203" fontId="14" fillId="0" borderId="1" xfId="383" applyFont="1" applyFill="1" applyBorder="1" applyAlignment="1">
      <alignment vertical="center" wrapText="1"/>
      <protection locked="0"/>
    </xf>
    <xf numFmtId="0" fontId="9" fillId="0" borderId="1" xfId="367" applyFont="1" applyFill="1" applyBorder="1" applyAlignment="1" applyProtection="1">
      <alignment horizontal="center" vertical="center"/>
      <protection locked="0"/>
    </xf>
    <xf numFmtId="0" fontId="5" fillId="0" borderId="1" xfId="281" applyFont="1" applyBorder="1" applyAlignment="1">
      <alignment horizontal="center" vertical="center" wrapText="1"/>
      <protection locked="0"/>
    </xf>
    <xf numFmtId="0" fontId="137" fillId="0" borderId="1" xfId="268" applyFont="1" applyBorder="1" applyAlignment="1">
      <alignment horizontal="center" vertical="center" wrapText="1"/>
    </xf>
    <xf numFmtId="43" fontId="4" fillId="0" borderId="0" xfId="3" applyNumberFormat="1" applyFont="1" applyBorder="1" applyAlignment="1">
      <alignment horizontal="left" vertical="center"/>
    </xf>
    <xf numFmtId="43" fontId="97" fillId="0" borderId="0" xfId="168" applyNumberFormat="1" applyFont="1" applyBorder="1" applyAlignment="1" applyProtection="1">
      <alignment horizontal="center" vertical="center"/>
    </xf>
    <xf numFmtId="0" fontId="5" fillId="0" borderId="0" xfId="189" applyFont="1" applyBorder="1" applyAlignment="1">
      <alignment vertical="center"/>
    </xf>
    <xf numFmtId="0" fontId="9" fillId="0" borderId="1" xfId="281" applyFont="1" applyFill="1" applyBorder="1" applyAlignment="1">
      <alignment horizontal="left" vertical="center" wrapText="1"/>
      <protection locked="0"/>
    </xf>
    <xf numFmtId="203" fontId="140" fillId="0" borderId="0" xfId="192" applyNumberFormat="1" applyFont="1" applyAlignment="1">
      <alignment vertical="center"/>
      <protection locked="0"/>
    </xf>
    <xf numFmtId="0" fontId="2" fillId="10" borderId="1" xfId="367" applyFont="1" applyFill="1" applyBorder="1" applyAlignment="1" applyProtection="1">
      <alignment horizontal="center" vertical="center"/>
      <protection locked="0"/>
    </xf>
    <xf numFmtId="0" fontId="2" fillId="10" borderId="1" xfId="367" applyFont="1" applyFill="1" applyBorder="1" applyAlignment="1" applyProtection="1">
      <alignment horizontal="center" vertical="center" wrapText="1"/>
      <protection locked="0"/>
    </xf>
    <xf numFmtId="0" fontId="69" fillId="0" borderId="1" xfId="195" applyNumberFormat="1" applyFont="1" applyBorder="1" applyAlignment="1">
      <alignment vertical="center" wrapText="1"/>
    </xf>
    <xf numFmtId="0" fontId="137" fillId="0" borderId="1" xfId="195" applyNumberFormat="1" applyFont="1" applyBorder="1" applyAlignment="1">
      <alignment vertical="center" wrapText="1"/>
    </xf>
    <xf numFmtId="43" fontId="137" fillId="0" borderId="1" xfId="195" applyFont="1" applyBorder="1" applyAlignment="1">
      <alignment vertical="center" wrapText="1"/>
    </xf>
    <xf numFmtId="0" fontId="2" fillId="37" borderId="1" xfId="281" applyFont="1" applyFill="1" applyBorder="1" applyAlignment="1">
      <alignment horizontal="center" vertical="center" wrapText="1"/>
      <protection locked="0"/>
    </xf>
    <xf numFmtId="0" fontId="2" fillId="37" borderId="10" xfId="281" applyFont="1" applyFill="1" applyBorder="1" applyAlignment="1">
      <alignment horizontal="center" vertical="center" wrapText="1"/>
      <protection locked="0"/>
    </xf>
    <xf numFmtId="0" fontId="2" fillId="37" borderId="14" xfId="281" applyFont="1" applyFill="1" applyBorder="1" applyAlignment="1">
      <alignment horizontal="center" vertical="center" wrapText="1"/>
      <protection locked="0"/>
    </xf>
    <xf numFmtId="0" fontId="141" fillId="0" borderId="10" xfId="0" applyFont="1" applyBorder="1" applyAlignment="1">
      <alignment horizontal="justify" vertical="center" wrapText="1"/>
    </xf>
    <xf numFmtId="43" fontId="69" fillId="0" borderId="1" xfId="193" applyFont="1" applyBorder="1" applyAlignment="1">
      <alignment horizontal="left" vertical="center" wrapText="1"/>
    </xf>
    <xf numFmtId="10" fontId="137" fillId="0" borderId="1" xfId="197" applyNumberFormat="1" applyFont="1" applyBorder="1" applyAlignment="1">
      <alignment horizontal="right" vertical="center" wrapText="1"/>
    </xf>
    <xf numFmtId="0" fontId="5" fillId="0" borderId="1" xfId="0" applyFont="1" applyBorder="1" applyAlignment="1">
      <alignment horizontal="center" vertical="center" wrapText="1"/>
    </xf>
    <xf numFmtId="0" fontId="5" fillId="9" borderId="0" xfId="0" applyFont="1" applyFill="1" applyAlignment="1" applyProtection="1">
      <alignment horizontal="justify" vertical="center" wrapText="1"/>
      <protection locked="0"/>
    </xf>
    <xf numFmtId="0" fontId="142" fillId="0" borderId="0" xfId="0" applyFont="1" applyAlignment="1" applyProtection="1">
      <alignment horizontal="center" vertical="center"/>
      <protection locked="0"/>
    </xf>
    <xf numFmtId="203" fontId="129" fillId="0" borderId="0" xfId="386" applyFont="1" applyFill="1" applyAlignment="1">
      <alignment horizontal="left" vertical="center"/>
    </xf>
    <xf numFmtId="0" fontId="2" fillId="10" borderId="1" xfId="0" applyFont="1" applyFill="1" applyBorder="1" applyAlignment="1" applyProtection="1">
      <protection locked="0"/>
    </xf>
    <xf numFmtId="43" fontId="4" fillId="10" borderId="1" xfId="180" applyFont="1" applyFill="1" applyBorder="1" applyAlignment="1" applyProtection="1">
      <protection locked="0"/>
    </xf>
    <xf numFmtId="14" fontId="2" fillId="10" borderId="1" xfId="0" applyNumberFormat="1" applyFont="1" applyFill="1" applyBorder="1" applyAlignment="1" applyProtection="1">
      <protection locked="0"/>
    </xf>
    <xf numFmtId="0" fontId="2" fillId="0" borderId="0" xfId="0" applyFont="1" applyAlignment="1" applyProtection="1">
      <protection locked="0"/>
    </xf>
    <xf numFmtId="10" fontId="4" fillId="10" borderId="1" xfId="197" applyNumberFormat="1" applyFont="1" applyFill="1" applyBorder="1" applyAlignment="1" applyProtection="1">
      <alignment horizontal="right"/>
      <protection locked="0"/>
    </xf>
    <xf numFmtId="0" fontId="143" fillId="0" borderId="0" xfId="0" applyFont="1" applyAlignment="1" applyProtection="1">
      <alignment horizontal="left" vertical="center" wrapText="1"/>
      <protection locked="0"/>
    </xf>
    <xf numFmtId="0" fontId="8" fillId="0" borderId="0" xfId="0" applyFont="1" applyAlignment="1" applyProtection="1">
      <alignment horizontal="left" vertical="center" wrapText="1"/>
      <protection locked="0"/>
    </xf>
    <xf numFmtId="203" fontId="9" fillId="0" borderId="0" xfId="338" applyFont="1" applyBorder="1" applyAlignment="1">
      <alignment horizontal="left" vertical="center" wrapText="1"/>
      <protection locked="0"/>
    </xf>
    <xf numFmtId="203" fontId="14" fillId="0" borderId="0" xfId="338" applyFont="1" applyBorder="1" applyAlignment="1">
      <alignment horizontal="left" vertical="center" wrapText="1"/>
      <protection locked="0"/>
    </xf>
    <xf numFmtId="0" fontId="2" fillId="0" borderId="27" xfId="367" applyFont="1" applyFill="1" applyBorder="1" applyAlignment="1" applyProtection="1">
      <alignment horizontal="left" vertical="center" wrapText="1"/>
      <protection locked="0"/>
    </xf>
    <xf numFmtId="203" fontId="131" fillId="0" borderId="0" xfId="337" applyFont="1" applyAlignment="1">
      <alignment horizontal="center" vertical="center"/>
    </xf>
    <xf numFmtId="203" fontId="132" fillId="0" borderId="0" xfId="337" applyFont="1" applyAlignment="1">
      <alignment horizontal="center" vertical="center"/>
    </xf>
    <xf numFmtId="203" fontId="128" fillId="0" borderId="0" xfId="338" applyFont="1" applyAlignment="1">
      <alignment horizontal="left" vertical="center"/>
      <protection locked="0"/>
    </xf>
    <xf numFmtId="203" fontId="32" fillId="0" borderId="0" xfId="338" applyFont="1" applyAlignment="1">
      <alignment horizontal="left" vertical="center"/>
      <protection locked="0"/>
    </xf>
    <xf numFmtId="0" fontId="9" fillId="0" borderId="1" xfId="367" applyFont="1" applyBorder="1" applyAlignment="1" applyProtection="1">
      <alignment horizontal="center" vertical="center" wrapText="1"/>
      <protection locked="0"/>
    </xf>
    <xf numFmtId="49" fontId="32" fillId="10" borderId="1" xfId="381" applyNumberFormat="1" applyFont="1" applyFill="1" applyBorder="1" applyAlignment="1">
      <alignment horizontal="center" vertical="center"/>
      <protection locked="0"/>
    </xf>
    <xf numFmtId="0" fontId="2" fillId="10" borderId="1" xfId="268" applyFont="1" applyFill="1" applyBorder="1" applyAlignment="1" applyProtection="1">
      <alignment horizontal="center" vertical="center" wrapText="1"/>
      <protection locked="0"/>
    </xf>
    <xf numFmtId="203" fontId="32" fillId="10" borderId="1" xfId="381" applyFont="1" applyFill="1" applyBorder="1" applyAlignment="1">
      <alignment horizontal="center" vertical="center" wrapText="1"/>
      <protection locked="0"/>
    </xf>
    <xf numFmtId="0" fontId="2" fillId="10" borderId="1" xfId="367" applyFont="1" applyFill="1" applyBorder="1" applyAlignment="1" applyProtection="1">
      <alignment horizontal="center" vertical="center"/>
      <protection locked="0"/>
    </xf>
    <xf numFmtId="0" fontId="4" fillId="10" borderId="1" xfId="367" applyFont="1" applyFill="1" applyBorder="1" applyAlignment="1" applyProtection="1">
      <alignment horizontal="center" vertical="center"/>
      <protection locked="0"/>
    </xf>
    <xf numFmtId="0" fontId="2" fillId="10" borderId="1" xfId="367" applyFont="1" applyFill="1" applyBorder="1" applyAlignment="1" applyProtection="1">
      <alignment horizontal="center" vertical="center" wrapText="1"/>
      <protection locked="0"/>
    </xf>
    <xf numFmtId="0" fontId="32" fillId="10" borderId="1" xfId="367" applyFont="1" applyFill="1" applyBorder="1" applyAlignment="1" applyProtection="1">
      <alignment horizontal="center" vertical="center"/>
      <protection locked="0"/>
    </xf>
    <xf numFmtId="0" fontId="5" fillId="0" borderId="1" xfId="367" applyFont="1" applyBorder="1" applyAlignment="1" applyProtection="1">
      <alignment horizontal="left" vertical="center" wrapText="1"/>
      <protection locked="0"/>
    </xf>
    <xf numFmtId="203" fontId="9" fillId="0" borderId="10" xfId="338" applyFont="1" applyBorder="1" applyAlignment="1">
      <alignment horizontal="left" vertical="center" wrapText="1"/>
      <protection locked="0"/>
    </xf>
    <xf numFmtId="203" fontId="14" fillId="0" borderId="11" xfId="338" applyFont="1" applyBorder="1" applyAlignment="1">
      <alignment horizontal="left" vertical="center" wrapText="1"/>
      <protection locked="0"/>
    </xf>
    <xf numFmtId="203" fontId="14" fillId="0" borderId="12" xfId="338" applyFont="1" applyBorder="1" applyAlignment="1">
      <alignment horizontal="left" vertical="center" wrapText="1"/>
      <protection locked="0"/>
    </xf>
    <xf numFmtId="203" fontId="14" fillId="0" borderId="1" xfId="338" applyFont="1" applyBorder="1" applyAlignment="1">
      <alignment horizontal="left" vertical="center" wrapText="1"/>
      <protection locked="0"/>
    </xf>
    <xf numFmtId="203" fontId="2" fillId="0" borderId="0" xfId="338" applyFont="1" applyAlignment="1">
      <alignment horizontal="left" vertical="center"/>
      <protection locked="0"/>
    </xf>
    <xf numFmtId="203" fontId="32" fillId="10" borderId="10" xfId="338" applyFont="1" applyFill="1" applyBorder="1" applyAlignment="1">
      <alignment horizontal="center" vertical="center"/>
      <protection locked="0"/>
    </xf>
    <xf numFmtId="203" fontId="32" fillId="10" borderId="11" xfId="338" applyFont="1" applyFill="1" applyBorder="1" applyAlignment="1">
      <alignment horizontal="center" vertical="center"/>
      <protection locked="0"/>
    </xf>
    <xf numFmtId="203" fontId="32" fillId="10" borderId="12" xfId="338" applyFont="1" applyFill="1" applyBorder="1" applyAlignment="1">
      <alignment horizontal="center" vertical="center"/>
      <protection locked="0"/>
    </xf>
    <xf numFmtId="203" fontId="32" fillId="10" borderId="1" xfId="338" applyFont="1" applyFill="1" applyBorder="1" applyAlignment="1">
      <alignment horizontal="center" vertical="center" wrapText="1"/>
      <protection locked="0"/>
    </xf>
    <xf numFmtId="203" fontId="32" fillId="0" borderId="1" xfId="338" applyFont="1" applyBorder="1" applyAlignment="1">
      <alignment horizontal="left" vertical="center" wrapText="1"/>
      <protection locked="0"/>
    </xf>
    <xf numFmtId="203" fontId="32" fillId="0" borderId="1" xfId="338" applyFont="1" applyBorder="1" applyAlignment="1">
      <alignment horizontal="center" vertical="center"/>
      <protection locked="0"/>
    </xf>
    <xf numFmtId="203" fontId="9" fillId="0" borderId="1" xfId="338" applyFont="1" applyBorder="1" applyAlignment="1">
      <alignment horizontal="center" vertical="center" wrapText="1"/>
      <protection locked="0"/>
    </xf>
    <xf numFmtId="203" fontId="14" fillId="0" borderId="1" xfId="338" applyFont="1" applyBorder="1" applyAlignment="1">
      <alignment horizontal="center" vertical="center" wrapText="1"/>
      <protection locked="0"/>
    </xf>
    <xf numFmtId="0" fontId="70" fillId="0" borderId="10" xfId="0" applyFont="1" applyBorder="1" applyAlignment="1">
      <alignment horizontal="center" vertical="center" wrapText="1"/>
    </xf>
    <xf numFmtId="0" fontId="70" fillId="0" borderId="11" xfId="0" applyFont="1" applyBorder="1" applyAlignment="1">
      <alignment horizontal="center" vertical="center" wrapText="1"/>
    </xf>
    <xf numFmtId="0" fontId="70"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2" xfId="0" applyFont="1" applyBorder="1" applyAlignment="1">
      <alignment horizontal="center" vertical="center" wrapText="1"/>
    </xf>
    <xf numFmtId="203" fontId="14" fillId="10" borderId="1" xfId="338" applyFont="1" applyFill="1" applyBorder="1" applyAlignment="1">
      <alignment horizontal="center" vertical="center" wrapText="1"/>
      <protection locked="0"/>
    </xf>
    <xf numFmtId="203" fontId="14" fillId="0" borderId="10" xfId="338" applyFont="1" applyBorder="1" applyAlignment="1">
      <alignment horizontal="center" vertical="center" wrapText="1"/>
      <protection locked="0"/>
    </xf>
    <xf numFmtId="203" fontId="14" fillId="0" borderId="12" xfId="338" applyFont="1" applyBorder="1" applyAlignment="1">
      <alignment horizontal="center" vertical="center" wrapText="1"/>
      <protection locked="0"/>
    </xf>
    <xf numFmtId="0" fontId="70" fillId="10" borderId="10" xfId="0" applyFont="1" applyFill="1" applyBorder="1" applyAlignment="1">
      <alignment horizontal="center" vertical="center" wrapText="1"/>
    </xf>
    <xf numFmtId="0" fontId="70" fillId="10" borderId="11" xfId="0" applyFont="1" applyFill="1" applyBorder="1" applyAlignment="1">
      <alignment horizontal="center" vertical="center" wrapText="1"/>
    </xf>
    <xf numFmtId="0" fontId="70" fillId="10" borderId="12" xfId="0" applyFont="1" applyFill="1" applyBorder="1" applyAlignment="1">
      <alignment horizontal="center" vertical="center" wrapText="1"/>
    </xf>
    <xf numFmtId="0" fontId="5" fillId="10" borderId="10" xfId="0" applyFont="1" applyFill="1" applyBorder="1" applyAlignment="1">
      <alignment horizontal="center" vertical="center" wrapText="1"/>
    </xf>
    <xf numFmtId="0" fontId="5" fillId="10" borderId="12" xfId="0" applyFont="1" applyFill="1" applyBorder="1" applyAlignment="1">
      <alignment horizontal="center" vertical="center" wrapText="1"/>
    </xf>
    <xf numFmtId="203" fontId="14" fillId="0" borderId="0" xfId="338" applyFont="1" applyAlignment="1">
      <alignment horizontal="center" vertical="center" wrapText="1"/>
      <protection locked="0"/>
    </xf>
    <xf numFmtId="203" fontId="9" fillId="0" borderId="0" xfId="339" applyFont="1" applyAlignment="1">
      <alignment horizontal="center" vertical="center" wrapText="1"/>
    </xf>
    <xf numFmtId="203" fontId="14" fillId="0" borderId="0" xfId="339" applyFont="1" applyAlignment="1">
      <alignment horizontal="center" vertical="center" wrapText="1"/>
    </xf>
    <xf numFmtId="43" fontId="131" fillId="0" borderId="0" xfId="3" applyNumberFormat="1" applyFont="1" applyBorder="1" applyAlignment="1">
      <alignment horizontal="center" vertical="center"/>
    </xf>
    <xf numFmtId="43" fontId="132" fillId="0" borderId="0" xfId="3" applyNumberFormat="1" applyFont="1" applyBorder="1" applyAlignment="1">
      <alignment horizontal="center" vertical="center"/>
    </xf>
    <xf numFmtId="0" fontId="58" fillId="10" borderId="13" xfId="281" applyFont="1" applyFill="1" applyBorder="1" applyAlignment="1" applyProtection="1">
      <alignment horizontal="center" vertical="center" wrapText="1"/>
    </xf>
    <xf numFmtId="0" fontId="75" fillId="10" borderId="14" xfId="281" applyFont="1" applyFill="1" applyBorder="1" applyAlignment="1" applyProtection="1">
      <alignment vertical="center" wrapText="1"/>
    </xf>
    <xf numFmtId="203" fontId="2" fillId="10" borderId="10" xfId="282" applyFont="1" applyFill="1" applyBorder="1" applyAlignment="1" applyProtection="1">
      <alignment horizontal="center" vertical="center" wrapText="1"/>
      <protection locked="0"/>
    </xf>
    <xf numFmtId="0" fontId="0" fillId="0" borderId="11" xfId="0" applyBorder="1" applyAlignment="1">
      <alignment horizontal="center" vertical="center" wrapText="1"/>
    </xf>
    <xf numFmtId="0" fontId="0" fillId="0" borderId="12" xfId="0" applyBorder="1" applyAlignment="1">
      <alignment horizontal="center" vertical="center" wrapText="1"/>
    </xf>
    <xf numFmtId="203" fontId="58" fillId="10" borderId="1" xfId="283" applyNumberFormat="1" applyFont="1" applyFill="1" applyBorder="1" applyAlignment="1">
      <alignment horizontal="center" vertical="center" wrapText="1"/>
      <protection locked="0"/>
    </xf>
    <xf numFmtId="0" fontId="4" fillId="10" borderId="1" xfId="283" applyFont="1" applyFill="1" applyBorder="1" applyAlignment="1">
      <alignment horizontal="center" vertical="center" wrapText="1"/>
      <protection locked="0"/>
    </xf>
    <xf numFmtId="0" fontId="75" fillId="10" borderId="1" xfId="281" applyFont="1" applyFill="1" applyBorder="1" applyAlignment="1" applyProtection="1">
      <alignment horizontal="center" vertical="center"/>
    </xf>
    <xf numFmtId="0" fontId="55" fillId="10" borderId="1" xfId="281" applyFont="1" applyFill="1" applyBorder="1" applyAlignment="1" applyProtection="1">
      <alignment vertical="center"/>
    </xf>
    <xf numFmtId="0" fontId="131" fillId="0" borderId="0" xfId="162" applyFont="1" applyAlignment="1">
      <alignment horizontal="center" vertical="center"/>
      <protection locked="0"/>
    </xf>
    <xf numFmtId="0" fontId="132" fillId="0" borderId="0" xfId="162" applyFont="1" applyAlignment="1">
      <alignment horizontal="center" vertical="center"/>
      <protection locked="0"/>
    </xf>
    <xf numFmtId="0" fontId="2" fillId="10" borderId="13" xfId="162" applyFont="1" applyFill="1" applyBorder="1" applyAlignment="1">
      <alignment horizontal="center" vertical="center" wrapText="1"/>
      <protection locked="0"/>
    </xf>
    <xf numFmtId="0" fontId="2" fillId="10" borderId="14" xfId="162" applyFont="1" applyFill="1" applyBorder="1" applyAlignment="1">
      <alignment horizontal="center" vertical="center" wrapText="1"/>
      <protection locked="0"/>
    </xf>
    <xf numFmtId="0" fontId="131" fillId="0" borderId="0" xfId="1" applyFont="1" applyAlignment="1">
      <alignment horizontal="center" vertical="center"/>
    </xf>
    <xf numFmtId="0" fontId="132" fillId="0" borderId="0" xfId="1" applyFont="1" applyAlignment="1">
      <alignment horizontal="center" vertical="center"/>
    </xf>
    <xf numFmtId="0" fontId="4" fillId="10" borderId="13" xfId="162" applyFont="1" applyFill="1" applyBorder="1" applyAlignment="1">
      <alignment horizontal="center" vertical="center" wrapText="1"/>
      <protection locked="0"/>
    </xf>
    <xf numFmtId="0" fontId="4" fillId="10" borderId="14" xfId="162" applyFont="1" applyFill="1" applyBorder="1" applyAlignment="1">
      <alignment horizontal="center" vertical="center" wrapText="1"/>
      <protection locked="0"/>
    </xf>
    <xf numFmtId="0" fontId="2" fillId="10" borderId="10" xfId="162" applyFont="1" applyFill="1" applyBorder="1" applyAlignment="1">
      <alignment horizontal="center" vertical="center" wrapText="1"/>
      <protection locked="0"/>
    </xf>
    <xf numFmtId="0" fontId="2" fillId="10" borderId="11" xfId="162" applyFont="1" applyFill="1" applyBorder="1" applyAlignment="1">
      <alignment horizontal="center" vertical="center" wrapText="1"/>
      <protection locked="0"/>
    </xf>
    <xf numFmtId="0" fontId="2" fillId="10" borderId="13" xfId="281" applyFont="1" applyFill="1" applyBorder="1" applyAlignment="1">
      <alignment horizontal="center" vertical="center" wrapText="1"/>
      <protection locked="0"/>
    </xf>
    <xf numFmtId="0" fontId="2" fillId="10" borderId="14" xfId="281" applyFont="1" applyFill="1" applyBorder="1" applyAlignment="1">
      <alignment horizontal="center" vertical="center" wrapText="1"/>
      <protection locked="0"/>
    </xf>
    <xf numFmtId="0" fontId="2" fillId="37" borderId="13" xfId="380" applyFont="1" applyFill="1" applyBorder="1" applyAlignment="1">
      <alignment horizontal="center" vertical="center" wrapText="1"/>
      <protection locked="0"/>
    </xf>
    <xf numFmtId="0" fontId="0" fillId="37" borderId="14" xfId="0" applyFill="1" applyBorder="1" applyAlignment="1">
      <alignment horizontal="center" vertical="center" wrapText="1"/>
    </xf>
    <xf numFmtId="0" fontId="2" fillId="37" borderId="10" xfId="281" applyFont="1" applyFill="1" applyBorder="1" applyAlignment="1">
      <alignment horizontal="center" vertical="center" wrapText="1"/>
      <protection locked="0"/>
    </xf>
    <xf numFmtId="0" fontId="0" fillId="37" borderId="11" xfId="0" applyFill="1" applyBorder="1" applyAlignment="1">
      <alignment horizontal="center" vertical="center" wrapText="1"/>
    </xf>
    <xf numFmtId="0" fontId="0" fillId="37" borderId="12" xfId="0" applyFill="1" applyBorder="1" applyAlignment="1">
      <alignment horizontal="center" vertical="center" wrapText="1"/>
    </xf>
    <xf numFmtId="0" fontId="2" fillId="37" borderId="11" xfId="281" applyFont="1" applyFill="1" applyBorder="1" applyAlignment="1">
      <alignment horizontal="center" vertical="center" wrapText="1"/>
      <protection locked="0"/>
    </xf>
    <xf numFmtId="0" fontId="2" fillId="37" borderId="13" xfId="281" applyFont="1" applyFill="1" applyBorder="1" applyAlignment="1">
      <alignment horizontal="center" vertical="center" wrapText="1"/>
      <protection locked="0"/>
    </xf>
    <xf numFmtId="0" fontId="2" fillId="37" borderId="14" xfId="281" applyFont="1" applyFill="1" applyBorder="1" applyAlignment="1">
      <alignment horizontal="center" vertical="center" wrapText="1"/>
      <protection locked="0"/>
    </xf>
    <xf numFmtId="0" fontId="2" fillId="10" borderId="1" xfId="281" applyFont="1" applyFill="1" applyBorder="1" applyAlignment="1">
      <alignment horizontal="center" vertical="center" wrapText="1"/>
      <protection locked="0"/>
    </xf>
    <xf numFmtId="0" fontId="0" fillId="0" borderId="1" xfId="0" applyBorder="1" applyAlignment="1">
      <alignment horizontal="center" vertical="center" wrapText="1"/>
    </xf>
    <xf numFmtId="0" fontId="72" fillId="10" borderId="24" xfId="0" applyFont="1" applyFill="1" applyBorder="1" applyAlignment="1">
      <alignment horizontal="center" vertical="center" wrapText="1"/>
    </xf>
    <xf numFmtId="0" fontId="0" fillId="0" borderId="25" xfId="0" applyBorder="1" applyAlignment="1">
      <alignment horizontal="center" vertical="center" wrapText="1"/>
    </xf>
    <xf numFmtId="0" fontId="72" fillId="10" borderId="10" xfId="0" applyFont="1" applyFill="1" applyBorder="1" applyAlignment="1">
      <alignment horizontal="center" vertical="center" wrapText="1"/>
    </xf>
    <xf numFmtId="0" fontId="72" fillId="10" borderId="12" xfId="0" applyFont="1" applyFill="1" applyBorder="1" applyAlignment="1">
      <alignment horizontal="center" vertical="center" wrapText="1"/>
    </xf>
    <xf numFmtId="0" fontId="72" fillId="10" borderId="13" xfId="0" applyFont="1" applyFill="1" applyBorder="1" applyAlignment="1">
      <alignment horizontal="center" vertical="center" wrapText="1"/>
    </xf>
    <xf numFmtId="0" fontId="0" fillId="0" borderId="14" xfId="0" applyBorder="1" applyAlignment="1">
      <alignment horizontal="center" vertical="center" wrapText="1"/>
    </xf>
    <xf numFmtId="0" fontId="4" fillId="0" borderId="0" xfId="191" applyFont="1" applyAlignment="1">
      <alignment horizontal="left" vertical="center"/>
    </xf>
    <xf numFmtId="14" fontId="2" fillId="37" borderId="1" xfId="384" applyNumberFormat="1" applyFont="1" applyFill="1" applyBorder="1" applyAlignment="1">
      <alignment horizontal="center" vertical="center"/>
      <protection locked="0"/>
    </xf>
    <xf numFmtId="0" fontId="2" fillId="10" borderId="1" xfId="353" applyFont="1" applyFill="1" applyBorder="1" applyAlignment="1">
      <alignment horizontal="center" vertical="center"/>
      <protection locked="0"/>
    </xf>
    <xf numFmtId="0" fontId="2" fillId="38" borderId="13" xfId="380" applyFont="1" applyFill="1" applyBorder="1" applyAlignment="1" applyProtection="1">
      <alignment horizontal="center" vertical="center" wrapText="1"/>
    </xf>
    <xf numFmtId="0" fontId="2" fillId="38" borderId="14" xfId="380" applyFont="1" applyFill="1" applyBorder="1" applyAlignment="1" applyProtection="1">
      <alignment horizontal="center" vertical="center" wrapText="1"/>
    </xf>
    <xf numFmtId="0" fontId="2" fillId="0" borderId="0" xfId="191" applyFont="1" applyAlignment="1">
      <alignment horizontal="left" vertical="center"/>
    </xf>
    <xf numFmtId="203" fontId="2" fillId="37" borderId="1" xfId="383" applyFont="1" applyFill="1" applyBorder="1" applyAlignment="1">
      <alignment horizontal="center" vertical="center" wrapText="1"/>
      <protection locked="0"/>
    </xf>
    <xf numFmtId="203" fontId="4" fillId="37" borderId="1" xfId="383" applyFont="1" applyFill="1" applyBorder="1" applyAlignment="1">
      <alignment horizontal="center" vertical="center" wrapText="1"/>
      <protection locked="0"/>
    </xf>
    <xf numFmtId="0" fontId="4" fillId="10" borderId="24" xfId="355" applyFont="1" applyFill="1" applyBorder="1" applyAlignment="1" applyProtection="1">
      <alignment horizontal="center" vertical="center"/>
      <protection locked="0"/>
    </xf>
    <xf numFmtId="0" fontId="4" fillId="10" borderId="2" xfId="355" applyFont="1" applyFill="1" applyBorder="1" applyAlignment="1" applyProtection="1">
      <alignment horizontal="center" vertical="center"/>
      <protection locked="0"/>
    </xf>
    <xf numFmtId="0" fontId="4" fillId="10" borderId="26" xfId="355" applyFont="1" applyFill="1" applyBorder="1" applyAlignment="1" applyProtection="1">
      <alignment horizontal="center" vertical="center"/>
      <protection locked="0"/>
    </xf>
  </cellXfs>
  <cellStyles count="387">
    <cellStyle name="%" xfId="4"/>
    <cellStyle name="% 2" xfId="198"/>
    <cellStyle name="?" xfId="5"/>
    <cellStyle name="??" xfId="199"/>
    <cellStyle name="?? [0]" xfId="200"/>
    <cellStyle name="??_0N-HANDLING " xfId="201"/>
    <cellStyle name="?餡_x000c_k" xfId="6"/>
    <cellStyle name="?餡_x000c_k?_x000d_^" xfId="7"/>
    <cellStyle name="?餡_x000c_k?_x000d_^黇_x0001_??_x0007__x0001__x0001_" xfId="8"/>
    <cellStyle name="@_text" xfId="9"/>
    <cellStyle name="@_text_子公司附注汇总(房开公司)" xfId="202"/>
    <cellStyle name="_(本部)2006年年报审计PBC表" xfId="203"/>
    <cellStyle name="_07930建造合同" xfId="204"/>
    <cellStyle name="_12月项目部访问及审计-德勤" xfId="205"/>
    <cellStyle name="_2005-08-31审计底稿－李" xfId="206"/>
    <cellStyle name="_2005审计报表及附注-中国建材股份模板（房屋）" xfId="10"/>
    <cellStyle name="_2006年年报审计PBC表（合并）" xfId="207"/>
    <cellStyle name="_2006年年报审计PBC表-XX" xfId="208"/>
    <cellStyle name="_2006年年报审计PBC表-XXX" xfId="11"/>
    <cellStyle name="_2006年年报审计PBC表-福州分公司" xfId="209"/>
    <cellStyle name="_2006年年报审计PBC表-云南分公司" xfId="210"/>
    <cellStyle name="_2006年年报审计填报资料" xfId="12"/>
    <cellStyle name="_2007调整分录-鲁佳" xfId="211"/>
    <cellStyle name="_Book1" xfId="13"/>
    <cellStyle name="_CREC(Huo" xfId="212"/>
    <cellStyle name="_ET_STYLE_NoName_00_" xfId="213"/>
    <cellStyle name="_ET_STYLE_NoName_00__2007调整分录-鲁佳" xfId="214"/>
    <cellStyle name="_ET_STYLE_NoName_00__股份本部" xfId="215"/>
    <cellStyle name="_ET_STYLE_NoName_00__股份本部_1" xfId="216"/>
    <cellStyle name="_ET_STYLE_NoName_00__股份本部_3" xfId="217"/>
    <cellStyle name="_ET_STYLE_NoName_00__股份本部_6_股份本部_2" xfId="218"/>
    <cellStyle name="_ET_STYLE_NoName_00__股份本部_7_股份本部_3" xfId="219"/>
    <cellStyle name="_J1000-存货-ZHHG" xfId="14"/>
    <cellStyle name="_PBC审核提示" xfId="15"/>
    <cellStyle name="_宝丽华房地产20051231" xfId="16"/>
    <cellStyle name="_保证金-企业填写部分" xfId="17"/>
    <cellStyle name="_北新房屋2004年审-刘" xfId="18"/>
    <cellStyle name="_北新股份2005年审工作底稿" xfId="19"/>
    <cellStyle name="_北新建材关连交易基础表051230（10－12月版）更新稿" xfId="20"/>
    <cellStyle name="_北新建材-会计报表附注模版" xfId="21"/>
    <cellStyle name="_北新龙之星2004年审工作底稿" xfId="22"/>
    <cellStyle name="_北新物流2005底稿-刘" xfId="23"/>
    <cellStyle name="_北新置换memo" xfId="24"/>
    <cellStyle name="_本部其他应收应付年审底稿--鲁佳pb" xfId="220"/>
    <cellStyle name="_存货结转测试" xfId="25"/>
    <cellStyle name="_存货数量与明细05.12" xfId="26"/>
    <cellStyle name="_动力厂2004年审工作底稿-刘" xfId="27"/>
    <cellStyle name="_分工" xfId="28"/>
    <cellStyle name="_工程施工项目现场审计提示" xfId="29"/>
    <cellStyle name="_关联交易" xfId="30"/>
    <cellStyle name="_关联交易、往来统计表" xfId="31"/>
    <cellStyle name="_合并报表审计调整模板(CREC)" xfId="221"/>
    <cellStyle name="_合并公司2006年度科目明细表(定稿)" xfId="222"/>
    <cellStyle name="_建造合同-宜万指（正式版）" xfId="32"/>
    <cellStyle name="_科目核对表" xfId="33"/>
    <cellStyle name="_刘青分工填列信息统计" xfId="223"/>
    <cellStyle name="_刘青分工－子公司审计模板-电务" xfId="224"/>
    <cellStyle name="_刘青分工－子公司审计模板－铁达本部" xfId="225"/>
    <cellStyle name="_母PL" xfId="34"/>
    <cellStyle name="_母公司底稿-鲁佳" xfId="226"/>
    <cellStyle name="_年审筹资循环资料清单" xfId="227"/>
    <cellStyle name="_人员分工备忘录" xfId="35"/>
    <cellStyle name="_审计底稿-轩" xfId="228"/>
    <cellStyle name="_审计所需资料清单－子公司" xfId="36"/>
    <cellStyle name="_审计提示模版" xfId="229"/>
    <cellStyle name="_审计提示模版-母公司部分" xfId="230"/>
    <cellStyle name="_铁鸿源－刘青分工－子公司审计模板" xfId="231"/>
    <cellStyle name="_兴华审计成本" xfId="232"/>
    <cellStyle name="_岩土长投--急0121报王占学" xfId="233"/>
    <cellStyle name="_一公司建造合同前5名" xfId="37"/>
    <cellStyle name="_一公司－刘丰收" xfId="38"/>
    <cellStyle name="_银行询证函统计－大表" xfId="234"/>
    <cellStyle name="_长期借款－江阴" xfId="39"/>
    <cellStyle name="_子公司筹资循环－刘青" xfId="235"/>
    <cellStyle name="_子公司审计提示模版-Liufs" xfId="40"/>
    <cellStyle name="{Comma [0]}" xfId="41"/>
    <cellStyle name="{Comma}" xfId="42"/>
    <cellStyle name="{Date}" xfId="43"/>
    <cellStyle name="{Month}" xfId="44"/>
    <cellStyle name="{Percent}" xfId="45"/>
    <cellStyle name="{Thousand [0]}" xfId="46"/>
    <cellStyle name="{Thousand}" xfId="47"/>
    <cellStyle name="{Z'0000(1 dec)}" xfId="48"/>
    <cellStyle name="{Z'0000(4 dec)}" xfId="49"/>
    <cellStyle name="0%" xfId="50"/>
    <cellStyle name="0,0_x000d__x000a_NA_x000d__x000a_" xfId="51"/>
    <cellStyle name="0,0_x000d__x000a_NA_x000d__x000a_ 2" xfId="334"/>
    <cellStyle name="0.0%" xfId="52"/>
    <cellStyle name="0.00%" xfId="53"/>
    <cellStyle name="00" xfId="236"/>
    <cellStyle name="20% - Accent1" xfId="284"/>
    <cellStyle name="20% - Accent2" xfId="285"/>
    <cellStyle name="20% - Accent3" xfId="286"/>
    <cellStyle name="20% - Accent4" xfId="287"/>
    <cellStyle name="20% - Accent5" xfId="288"/>
    <cellStyle name="20% - Accent6" xfId="289"/>
    <cellStyle name="40% - Accent1" xfId="290"/>
    <cellStyle name="40% - Accent2" xfId="291"/>
    <cellStyle name="40% - Accent3" xfId="292"/>
    <cellStyle name="40% - Accent4" xfId="293"/>
    <cellStyle name="40% - Accent5" xfId="294"/>
    <cellStyle name="40% - Accent6" xfId="295"/>
    <cellStyle name="60% - Accent1" xfId="296"/>
    <cellStyle name="60% - Accent2" xfId="297"/>
    <cellStyle name="60% - Accent3" xfId="298"/>
    <cellStyle name="60% - Accent4" xfId="299"/>
    <cellStyle name="60% - Accent5" xfId="300"/>
    <cellStyle name="60% - Accent6" xfId="301"/>
    <cellStyle name="Accent1" xfId="302"/>
    <cellStyle name="Accent2" xfId="303"/>
    <cellStyle name="Accent3" xfId="304"/>
    <cellStyle name="Accent4" xfId="305"/>
    <cellStyle name="Accent5" xfId="306"/>
    <cellStyle name="Accent6" xfId="307"/>
    <cellStyle name="args.style" xfId="237"/>
    <cellStyle name="Bad" xfId="308"/>
    <cellStyle name="Black" xfId="54"/>
    <cellStyle name="Border" xfId="55"/>
    <cellStyle name="Calc Currency (0)" xfId="56"/>
    <cellStyle name="Calc Currency (2)" xfId="57"/>
    <cellStyle name="Calc Percent (0)" xfId="58"/>
    <cellStyle name="Calc Percent (1)" xfId="59"/>
    <cellStyle name="Calc Percent (2)" xfId="60"/>
    <cellStyle name="Calc Units (0)" xfId="61"/>
    <cellStyle name="Calc Units (1)" xfId="62"/>
    <cellStyle name="Calc Units (2)" xfId="63"/>
    <cellStyle name="Calculation" xfId="309"/>
    <cellStyle name="category" xfId="64"/>
    <cellStyle name="Check Cell" xfId="310"/>
    <cellStyle name="Col Heads" xfId="65"/>
    <cellStyle name="Column_Title" xfId="66"/>
    <cellStyle name="Comma  - Style1" xfId="67"/>
    <cellStyle name="Comma  - Style2" xfId="68"/>
    <cellStyle name="Comma  - Style3" xfId="69"/>
    <cellStyle name="Comma  - Style4" xfId="70"/>
    <cellStyle name="Comma  - Style5" xfId="71"/>
    <cellStyle name="Comma  - Style6" xfId="72"/>
    <cellStyle name="Comma  - Style7" xfId="73"/>
    <cellStyle name="Comma  - Style8" xfId="74"/>
    <cellStyle name="Comma [0]_ rislugp" xfId="75"/>
    <cellStyle name="Comma [00]" xfId="76"/>
    <cellStyle name="Comma 28" xfId="77"/>
    <cellStyle name="comma zerodec" xfId="78"/>
    <cellStyle name="Comma,0" xfId="79"/>
    <cellStyle name="Comma,1" xfId="80"/>
    <cellStyle name="Comma,2" xfId="81"/>
    <cellStyle name="Comma_ rislugp" xfId="82"/>
    <cellStyle name="Copied" xfId="238"/>
    <cellStyle name="COST1" xfId="239"/>
    <cellStyle name="Currency [0]_ rislugp" xfId="83"/>
    <cellStyle name="Currency [00]" xfId="84"/>
    <cellStyle name="Currency,0" xfId="85"/>
    <cellStyle name="Currency,2" xfId="86"/>
    <cellStyle name="Currency_ rislugp" xfId="87"/>
    <cellStyle name="Currency1" xfId="88"/>
    <cellStyle name="Date" xfId="240"/>
    <cellStyle name="Date Short" xfId="89"/>
    <cellStyle name="Dezimal [0]_laroux" xfId="90"/>
    <cellStyle name="Dezimal_laroux" xfId="91"/>
    <cellStyle name="Dollar (zero dec)" xfId="92"/>
    <cellStyle name="E&amp;Y House" xfId="241"/>
    <cellStyle name="Enter Currency (0)" xfId="93"/>
    <cellStyle name="Enter Currency (2)" xfId="94"/>
    <cellStyle name="Enter Units (0)" xfId="95"/>
    <cellStyle name="Enter Units (1)" xfId="96"/>
    <cellStyle name="Enter Units (2)" xfId="97"/>
    <cellStyle name="Entered" xfId="242"/>
    <cellStyle name="entry" xfId="98"/>
    <cellStyle name="entry box" xfId="99"/>
    <cellStyle name="Euro" xfId="100"/>
    <cellStyle name="Explanatory Text" xfId="311"/>
    <cellStyle name="Followed Hyperlink_AheadBehind.xls Chart 23" xfId="101"/>
    <cellStyle name="Good" xfId="312"/>
    <cellStyle name="Grey" xfId="102"/>
    <cellStyle name="HEADER" xfId="103"/>
    <cellStyle name="Header1" xfId="104"/>
    <cellStyle name="Header2" xfId="105"/>
    <cellStyle name="Heading" xfId="106"/>
    <cellStyle name="Heading 1" xfId="313"/>
    <cellStyle name="Heading 2" xfId="314"/>
    <cellStyle name="Heading 3" xfId="315"/>
    <cellStyle name="Heading 4" xfId="316"/>
    <cellStyle name="Hyperlink_AheadBehind.xls Chart 23" xfId="107"/>
    <cellStyle name="Input" xfId="317"/>
    <cellStyle name="Input [yellow]" xfId="108"/>
    <cellStyle name="Input Cells" xfId="243"/>
    <cellStyle name="left" xfId="109"/>
    <cellStyle name="Link Currency (0)" xfId="110"/>
    <cellStyle name="Link Currency (2)" xfId="111"/>
    <cellStyle name="Link Units (0)" xfId="112"/>
    <cellStyle name="Link Units (1)" xfId="113"/>
    <cellStyle name="Link Units (2)" xfId="114"/>
    <cellStyle name="Linked Cell" xfId="318"/>
    <cellStyle name="Linked Cells" xfId="244"/>
    <cellStyle name="Millares [0]_laroux" xfId="115"/>
    <cellStyle name="Millares_laroux" xfId="116"/>
    <cellStyle name="Milliers [0]_!!!GO" xfId="245"/>
    <cellStyle name="Milliers_!!!GO" xfId="246"/>
    <cellStyle name="Model" xfId="117"/>
    <cellStyle name="Moneda [0]_laroux" xfId="118"/>
    <cellStyle name="Moneda_laroux" xfId="119"/>
    <cellStyle name="Monétaire [0]_!!!GO" xfId="247"/>
    <cellStyle name="Monétaire_!!!GO" xfId="248"/>
    <cellStyle name="Mon閠aire [0]_laroux" xfId="120"/>
    <cellStyle name="Mon閠aire_laroux" xfId="121"/>
    <cellStyle name="Neutral" xfId="319"/>
    <cellStyle name="New Times Roman" xfId="249"/>
    <cellStyle name="no dec" xfId="122"/>
    <cellStyle name="Non défini" xfId="123"/>
    <cellStyle name="Normal - Style1" xfId="124"/>
    <cellStyle name="Normal 2" xfId="320"/>
    <cellStyle name="Normal 2 2" xfId="321"/>
    <cellStyle name="Normal 21" xfId="125"/>
    <cellStyle name="Normal 3 2" xfId="322"/>
    <cellStyle name="Normal_ rislugp" xfId="126"/>
    <cellStyle name="Normalny_Arkusz1" xfId="127"/>
    <cellStyle name="Note" xfId="323"/>
    <cellStyle name="Œ…‹æØ‚è [0.00]_Region Orders (2)" xfId="250"/>
    <cellStyle name="Œ…‹æØ‚è_Region Orders (2)" xfId="251"/>
    <cellStyle name="Output" xfId="324"/>
    <cellStyle name="per.style" xfId="252"/>
    <cellStyle name="Percent (0)" xfId="128"/>
    <cellStyle name="Percent [0]" xfId="129"/>
    <cellStyle name="Percent [00]" xfId="130"/>
    <cellStyle name="Percent [2]" xfId="131"/>
    <cellStyle name="Prefilled" xfId="132"/>
    <cellStyle name="PrePop Currency (0)" xfId="133"/>
    <cellStyle name="PrePop Currency (2)" xfId="134"/>
    <cellStyle name="PrePop Units (0)" xfId="135"/>
    <cellStyle name="PrePop Units (1)" xfId="136"/>
    <cellStyle name="PrePop Units (2)" xfId="137"/>
    <cellStyle name="price" xfId="138"/>
    <cellStyle name="pricing" xfId="253"/>
    <cellStyle name="PSChar" xfId="254"/>
    <cellStyle name="Red" xfId="139"/>
    <cellStyle name="revised" xfId="140"/>
    <cellStyle name="RevList" xfId="255"/>
    <cellStyle name="row_def_array" xfId="256"/>
    <cellStyle name="S4" xfId="257"/>
    <cellStyle name="S5" xfId="258"/>
    <cellStyle name="section" xfId="141"/>
    <cellStyle name="SOR" xfId="142"/>
    <cellStyle name="style" xfId="143"/>
    <cellStyle name="style1" xfId="144"/>
    <cellStyle name="style2" xfId="145"/>
    <cellStyle name="subhead" xfId="146"/>
    <cellStyle name="Subtotal" xfId="259"/>
    <cellStyle name="Text Indent A" xfId="147"/>
    <cellStyle name="Text Indent B" xfId="148"/>
    <cellStyle name="Text Indent C" xfId="149"/>
    <cellStyle name="Tickmark" xfId="150"/>
    <cellStyle name="title" xfId="151"/>
    <cellStyle name="Total" xfId="325"/>
    <cellStyle name="Warning Text" xfId="326"/>
    <cellStyle name="wrap" xfId="152"/>
    <cellStyle name="パーセント_laroux" xfId="153"/>
    <cellStyle name="_PLDT" xfId="154"/>
    <cellStyle name="_laroux" xfId="260"/>
    <cellStyle name="だ[0]_PLDT" xfId="155"/>
    <cellStyle name="だ_PLDT" xfId="156"/>
    <cellStyle name="だ[0]_Total (2)" xfId="157"/>
    <cellStyle name="だ_laroux" xfId="261"/>
    <cellStyle name="百分比" xfId="197" builtinId="5"/>
    <cellStyle name="百分比 2" xfId="158"/>
    <cellStyle name="百分比 2 2" xfId="379"/>
    <cellStyle name="百分比 3" xfId="159"/>
    <cellStyle name="捠壿 [0.00]_PRODUCT DETAIL Q1" xfId="262"/>
    <cellStyle name="捠壿_PRODUCT DETAIL Q1" xfId="263"/>
    <cellStyle name="標準_１１月価格表" xfId="160"/>
    <cellStyle name="差_StartUp" xfId="264"/>
    <cellStyle name="差_T1000-主营业务收入-LJCH" xfId="161"/>
    <cellStyle name="差_子公司附注汇总(房开公司)" xfId="265"/>
    <cellStyle name="常规" xfId="0" builtinId="0"/>
    <cellStyle name="常规 10" xfId="340"/>
    <cellStyle name="常规 10 2" xfId="341"/>
    <cellStyle name="常规 10 3" xfId="342"/>
    <cellStyle name="常规 10 4" xfId="343"/>
    <cellStyle name="常规 11 2" xfId="344"/>
    <cellStyle name="常规 11 3" xfId="345"/>
    <cellStyle name="常规 11 4" xfId="346"/>
    <cellStyle name="常规 11 5" xfId="386"/>
    <cellStyle name="常规 12 2" xfId="347"/>
    <cellStyle name="常规 12 3" xfId="348"/>
    <cellStyle name="常规 12 4" xfId="349"/>
    <cellStyle name="常规 13 2" xfId="350"/>
    <cellStyle name="常规 13 3" xfId="351"/>
    <cellStyle name="常规 13 4" xfId="352"/>
    <cellStyle name="常规 2" xfId="162"/>
    <cellStyle name="常规 2 2" xfId="194"/>
    <cellStyle name="常规 2 2 2" xfId="327"/>
    <cellStyle name="常规 2 2 3" xfId="335"/>
    <cellStyle name="常规 2 2 3 3" xfId="380"/>
    <cellStyle name="常规 2 2 4" xfId="353"/>
    <cellStyle name="常规 2 2 5" xfId="383"/>
    <cellStyle name="常规 2 3" xfId="266"/>
    <cellStyle name="常规 2 3 2" xfId="354"/>
    <cellStyle name="常规 2 3 4" xfId="381"/>
    <cellStyle name="常规 2 4" xfId="338"/>
    <cellStyle name="常规 2 5" xfId="355"/>
    <cellStyle name="常规 2 6" xfId="356"/>
    <cellStyle name="常规 2 7" xfId="357"/>
    <cellStyle name="常规 2 8" xfId="281"/>
    <cellStyle name="常规 2 8 2" xfId="384"/>
    <cellStyle name="常规 2_经销商信息-1-原始表" xfId="358"/>
    <cellStyle name="常规 3" xfId="163"/>
    <cellStyle name="常规 3 2" xfId="328"/>
    <cellStyle name="常规 3 2 2" xfId="283"/>
    <cellStyle name="常规 3 3" xfId="329"/>
    <cellStyle name="常规 3 4" xfId="359"/>
    <cellStyle name="常规 4" xfId="164"/>
    <cellStyle name="常规 4 2" xfId="282"/>
    <cellStyle name="常规 4 3" xfId="360"/>
    <cellStyle name="常规 4 4" xfId="361"/>
    <cellStyle name="常规 5" xfId="165"/>
    <cellStyle name="常规 5 2" xfId="330"/>
    <cellStyle name="常规 5 3" xfId="362"/>
    <cellStyle name="常规 5 4" xfId="363"/>
    <cellStyle name="常规 6" xfId="166"/>
    <cellStyle name="常规 6 2" xfId="267"/>
    <cellStyle name="常规 6 3" xfId="364"/>
    <cellStyle name="常规 6 4" xfId="365"/>
    <cellStyle name="常规 6 5" xfId="366"/>
    <cellStyle name="常规 7" xfId="268"/>
    <cellStyle name="常规 7 2" xfId="367"/>
    <cellStyle name="常规 7 3" xfId="368"/>
    <cellStyle name="常规 7 4" xfId="369"/>
    <cellStyle name="常规 8" xfId="370"/>
    <cellStyle name="常规 8 2" xfId="371"/>
    <cellStyle name="常规 8 3" xfId="372"/>
    <cellStyle name="常规 8 4" xfId="373"/>
    <cellStyle name="常规 9" xfId="374"/>
    <cellStyle name="常规 9 2" xfId="375"/>
    <cellStyle name="常规 9 3" xfId="376"/>
    <cellStyle name="常规 9 4" xfId="377"/>
    <cellStyle name="常规_2-1项目审定表－模板" xfId="2"/>
    <cellStyle name="常规_Book1" xfId="1"/>
    <cellStyle name="常规_Book1 2" xfId="337"/>
    <cellStyle name="常规_c-资产类" xfId="189"/>
    <cellStyle name="常规_F1短期投资及跌价准备" xfId="190"/>
    <cellStyle name="常规_sheet" xfId="333"/>
    <cellStyle name="常规_进一步审计程序--销售与收款循环" xfId="191"/>
    <cellStyle name="常规_新审定表" xfId="3"/>
    <cellStyle name="常规_制造费用" xfId="339"/>
    <cellStyle name="常规_制造费用 2" xfId="382"/>
    <cellStyle name="超级链接_B4-1审计项目工时预算与控制表(集团)" xfId="167"/>
    <cellStyle name="超链接" xfId="192" builtinId="8"/>
    <cellStyle name="超链接 2" xfId="168"/>
    <cellStyle name="超链接 2 2" xfId="331"/>
    <cellStyle name="超链接 3" xfId="332"/>
    <cellStyle name="分级显示行_1_4附件二凯旋评估表" xfId="169"/>
    <cellStyle name="好_StartUp" xfId="269"/>
    <cellStyle name="好_T1000-主营业务收入" xfId="170"/>
    <cellStyle name="好_子公司附注汇总(房开公司)" xfId="270"/>
    <cellStyle name="桁区切り [0.00]_１１月価格表" xfId="171"/>
    <cellStyle name="桁区切り_１１月価格表" xfId="172"/>
    <cellStyle name="霓付 [0]_1202" xfId="271"/>
    <cellStyle name="霓付_1202" xfId="272"/>
    <cellStyle name="烹拳 [0]_1202" xfId="273"/>
    <cellStyle name="烹拳_1202" xfId="274"/>
    <cellStyle name="砯刽 [0]_PLDT" xfId="173"/>
    <cellStyle name="砯刽_PLDT" xfId="174"/>
    <cellStyle name="普通_ 白土" xfId="175"/>
    <cellStyle name="千分位[0]_ 白土" xfId="176"/>
    <cellStyle name="千分位_ 白土" xfId="177"/>
    <cellStyle name="千位[0]_ 应交税金审定表" xfId="178"/>
    <cellStyle name="千位_ 应交税金审定表" xfId="179"/>
    <cellStyle name="千位分隔" xfId="193" builtinId="3"/>
    <cellStyle name="千位分隔 2" xfId="180"/>
    <cellStyle name="千位分隔 2 3" xfId="196"/>
    <cellStyle name="千位分隔 2 4" xfId="378"/>
    <cellStyle name="千位分隔 3" xfId="195"/>
    <cellStyle name="千位分隔 6" xfId="385"/>
    <cellStyle name="千位分隔[0] 2" xfId="275"/>
    <cellStyle name="钎霖_(沥焊何巩)岿喊牢盔拌裙" xfId="276"/>
    <cellStyle name="通貨 [0.00]_１１月価格表" xfId="181"/>
    <cellStyle name="通貨_１１月価格表" xfId="182"/>
    <cellStyle name="样式 1" xfId="183"/>
    <cellStyle name="样式 1 2" xfId="336"/>
    <cellStyle name="昗弨_BOOKSHIP" xfId="277"/>
    <cellStyle name="寘嬫愗傝 [0.00]_PRODUCT DETAIL Q1" xfId="278"/>
    <cellStyle name="寘嬫愗傝_PRODUCT DETAIL Q1" xfId="279"/>
    <cellStyle name="资产" xfId="280"/>
    <cellStyle name="콤마 [0]_BOILER-CO1" xfId="184"/>
    <cellStyle name="콤마_BOILER-CO1" xfId="185"/>
    <cellStyle name="통화 [0]_BOILER-CO1" xfId="186"/>
    <cellStyle name="통화_BOILER-CO1" xfId="187"/>
    <cellStyle name="표준_0N-HANDLING " xfId="188"/>
  </cellStyles>
  <dxfs count="0"/>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3"/>
  <sheetViews>
    <sheetView tabSelected="1" workbookViewId="0"/>
  </sheetViews>
  <sheetFormatPr defaultColWidth="9" defaultRowHeight="20.25" customHeight="1"/>
  <cols>
    <col min="1" max="1" width="77.5546875" style="27" customWidth="1"/>
    <col min="2" max="2" width="2" style="27" customWidth="1"/>
    <col min="3" max="3" width="2.109375" style="27" customWidth="1"/>
    <col min="4" max="4" width="6.109375" style="23" customWidth="1"/>
    <col min="5" max="5" width="33.33203125" style="23" customWidth="1"/>
    <col min="6" max="6" width="20.44140625" style="23" bestFit="1" customWidth="1"/>
    <col min="7" max="16384" width="9" style="25"/>
  </cols>
  <sheetData>
    <row r="1" spans="1:8" s="20" customFormat="1" ht="20.25" customHeight="1">
      <c r="A1" s="18" t="s">
        <v>12</v>
      </c>
      <c r="B1" s="19"/>
      <c r="C1" s="19"/>
    </row>
    <row r="2" spans="1:8" ht="20.25" customHeight="1">
      <c r="A2" s="21" t="s">
        <v>262</v>
      </c>
      <c r="B2" s="22"/>
      <c r="C2" s="22"/>
      <c r="G2" s="24"/>
      <c r="H2" s="24"/>
    </row>
    <row r="3" spans="1:8" ht="20.25" customHeight="1">
      <c r="A3" s="281" t="s">
        <v>428</v>
      </c>
      <c r="B3" s="22"/>
      <c r="C3" s="22"/>
      <c r="D3" s="250" t="s">
        <v>141</v>
      </c>
      <c r="E3" s="250" t="s">
        <v>391</v>
      </c>
      <c r="F3" s="250" t="s">
        <v>392</v>
      </c>
      <c r="G3" s="78"/>
      <c r="H3" s="26"/>
    </row>
    <row r="4" spans="1:8" ht="20.25" customHeight="1">
      <c r="A4" s="21" t="s">
        <v>13</v>
      </c>
      <c r="D4" s="251"/>
      <c r="E4" s="252" t="s">
        <v>393</v>
      </c>
      <c r="F4" s="253" t="s">
        <v>263</v>
      </c>
      <c r="G4" s="78"/>
      <c r="H4" s="28"/>
    </row>
    <row r="5" spans="1:8" ht="20.25" customHeight="1">
      <c r="A5" s="126" t="s">
        <v>236</v>
      </c>
      <c r="D5" s="251">
        <v>1</v>
      </c>
      <c r="E5" s="252" t="s">
        <v>394</v>
      </c>
      <c r="F5" s="253" t="s">
        <v>330</v>
      </c>
      <c r="G5" s="79"/>
    </row>
    <row r="6" spans="1:8" ht="20.25" customHeight="1">
      <c r="A6" s="126" t="s">
        <v>237</v>
      </c>
      <c r="D6" s="251">
        <v>2</v>
      </c>
      <c r="E6" s="254" t="s">
        <v>395</v>
      </c>
      <c r="F6" s="253"/>
      <c r="G6" s="79" t="s">
        <v>82</v>
      </c>
    </row>
    <row r="7" spans="1:8" ht="20.25" customHeight="1">
      <c r="A7" s="126" t="s">
        <v>238</v>
      </c>
      <c r="D7" s="251">
        <v>3</v>
      </c>
      <c r="E7" s="254" t="s">
        <v>396</v>
      </c>
      <c r="F7" s="253"/>
      <c r="G7" s="79" t="s">
        <v>82</v>
      </c>
    </row>
    <row r="8" spans="1:8" ht="20.25" customHeight="1">
      <c r="D8" s="251">
        <v>4</v>
      </c>
      <c r="E8" s="254" t="s">
        <v>397</v>
      </c>
      <c r="F8" s="253" t="s">
        <v>264</v>
      </c>
      <c r="G8" s="79"/>
    </row>
    <row r="9" spans="1:8" ht="20.25" customHeight="1">
      <c r="A9" s="282" t="s">
        <v>429</v>
      </c>
      <c r="D9" s="251">
        <v>5</v>
      </c>
      <c r="E9" s="254" t="s">
        <v>398</v>
      </c>
      <c r="F9" s="253" t="s">
        <v>331</v>
      </c>
      <c r="G9" s="79"/>
    </row>
    <row r="10" spans="1:8" ht="20.25" customHeight="1">
      <c r="A10" s="289" t="s">
        <v>430</v>
      </c>
      <c r="D10" s="251">
        <v>6</v>
      </c>
      <c r="E10" s="254" t="s">
        <v>399</v>
      </c>
      <c r="F10" s="253" t="s">
        <v>265</v>
      </c>
      <c r="G10" s="79"/>
    </row>
    <row r="11" spans="1:8" ht="20.25" customHeight="1">
      <c r="A11" s="289"/>
      <c r="D11" s="251">
        <v>7</v>
      </c>
      <c r="E11" s="254" t="s">
        <v>400</v>
      </c>
      <c r="F11" s="253" t="s">
        <v>332</v>
      </c>
      <c r="G11" s="79"/>
    </row>
    <row r="12" spans="1:8" ht="20.25" customHeight="1">
      <c r="A12" s="289"/>
      <c r="D12" s="251">
        <v>8</v>
      </c>
      <c r="E12" s="254" t="s">
        <v>401</v>
      </c>
      <c r="F12" s="253" t="s">
        <v>333</v>
      </c>
      <c r="G12" s="79"/>
    </row>
    <row r="13" spans="1:8" ht="20.25" customHeight="1">
      <c r="A13" s="289"/>
      <c r="D13" s="29"/>
      <c r="E13" s="30"/>
      <c r="G13" s="79"/>
    </row>
    <row r="14" spans="1:8" ht="20.25" customHeight="1">
      <c r="A14" s="289" t="s">
        <v>431</v>
      </c>
      <c r="D14" s="29"/>
      <c r="E14" s="30"/>
      <c r="G14" s="79"/>
    </row>
    <row r="15" spans="1:8" ht="20.25" customHeight="1">
      <c r="A15" s="289"/>
      <c r="D15" s="29"/>
      <c r="E15" s="30"/>
    </row>
    <row r="16" spans="1:8" ht="20.25" customHeight="1">
      <c r="A16" s="289"/>
      <c r="D16" s="29"/>
      <c r="E16" s="30"/>
    </row>
    <row r="17" spans="1:5" ht="20.25" customHeight="1">
      <c r="A17" s="290" t="s">
        <v>432</v>
      </c>
      <c r="D17" s="29"/>
      <c r="E17" s="30"/>
    </row>
    <row r="18" spans="1:5" ht="15.6">
      <c r="A18" s="290"/>
      <c r="D18" s="29"/>
      <c r="E18" s="30"/>
    </row>
    <row r="19" spans="1:5" ht="15.6">
      <c r="A19" s="290"/>
      <c r="D19" s="29"/>
      <c r="E19" s="30"/>
    </row>
    <row r="20" spans="1:5" ht="20.25" customHeight="1">
      <c r="A20" s="32"/>
      <c r="D20" s="29"/>
      <c r="E20" s="30"/>
    </row>
    <row r="21" spans="1:5" ht="20.25" customHeight="1">
      <c r="D21" s="29"/>
      <c r="E21" s="30"/>
    </row>
    <row r="22" spans="1:5" ht="20.25" customHeight="1">
      <c r="D22" s="29"/>
      <c r="E22" s="31"/>
    </row>
    <row r="23" spans="1:5" ht="20.25" customHeight="1">
      <c r="E23" s="31"/>
    </row>
  </sheetData>
  <mergeCells count="3">
    <mergeCell ref="A10:A13"/>
    <mergeCell ref="A14:A16"/>
    <mergeCell ref="A17:A19"/>
  </mergeCells>
  <phoneticPr fontId="3" type="noConversion"/>
  <hyperlinks>
    <hyperlink ref="E5" location="'审定表G12-1'!A1" display="审定表"/>
    <hyperlink ref="E6" location="'附注披露信息（上市公司）'!A1" display="附注披露信息（上市公司）"/>
    <hyperlink ref="E7" location="'附注披露信息（国企）'!A1" display="附注披露信息（国企）"/>
    <hyperlink ref="E8" location="'明细表G12-2'!A1" display="明细表"/>
    <hyperlink ref="E10" location="'公允价值测试表G12-4'!A1" display="公允价值测试表"/>
    <hyperlink ref="E12" location="'凭证检查表G12-6'!A1" display="凭证检查表"/>
    <hyperlink ref="E4" location="净敞口套期收益审计程序表G12A!A1" display="净敞口套期收益实质性程序表"/>
    <hyperlink ref="E11" location="'风险净敞口检查表G12-5'!A1" display="风险净敞口检查表"/>
    <hyperlink ref="E9" location="'调整分录汇总G12-3'!A1" display="调整分录汇总"/>
  </hyperlinks>
  <printOptions horizontalCentered="1"/>
  <pageMargins left="0.70866141732283472" right="0.70866141732283472" top="0.74803149606299213" bottom="0.74803149606299213" header="0.31496062992125984" footer="0.31496062992125984"/>
  <pageSetup paperSize="9" orientation="landscape" blackAndWhite="1" verticalDpi="0"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J35"/>
  <sheetViews>
    <sheetView view="pageBreakPreview" zoomScale="102" zoomScaleNormal="100" zoomScaleSheetLayoutView="102" workbookViewId="0">
      <selection sqref="A1:I1"/>
    </sheetView>
  </sheetViews>
  <sheetFormatPr defaultColWidth="9" defaultRowHeight="13.2"/>
  <cols>
    <col min="1" max="1" width="5.109375" style="117" customWidth="1"/>
    <col min="2" max="2" width="69.44140625" style="93" customWidth="1"/>
    <col min="3" max="3" width="11.33203125" style="93" customWidth="1"/>
    <col min="4" max="4" width="6.77734375" style="93" customWidth="1"/>
    <col min="5" max="5" width="7.5546875" style="93" customWidth="1"/>
    <col min="6" max="6" width="7.44140625" style="93" customWidth="1"/>
    <col min="7" max="7" width="5.77734375" style="93" customWidth="1"/>
    <col min="8" max="8" width="6.21875" style="93" customWidth="1"/>
    <col min="9" max="9" width="7.77734375" style="93" customWidth="1"/>
    <col min="10" max="16384" width="9" style="93"/>
  </cols>
  <sheetData>
    <row r="1" spans="1:10" s="184" customFormat="1" ht="19.95" customHeight="1">
      <c r="A1" s="294" t="s">
        <v>337</v>
      </c>
      <c r="B1" s="294"/>
      <c r="C1" s="294"/>
      <c r="D1" s="294"/>
      <c r="E1" s="294"/>
      <c r="F1" s="294"/>
      <c r="G1" s="294"/>
      <c r="H1" s="294"/>
      <c r="I1" s="294"/>
    </row>
    <row r="2" spans="1:10" s="188" customFormat="1" ht="19.95" customHeight="1">
      <c r="A2" s="295" t="s">
        <v>206</v>
      </c>
      <c r="B2" s="295"/>
      <c r="C2" s="295"/>
      <c r="D2" s="295"/>
      <c r="E2" s="295"/>
      <c r="F2" s="295"/>
      <c r="G2" s="295"/>
      <c r="H2" s="295"/>
      <c r="I2" s="295"/>
    </row>
    <row r="3" spans="1:10" s="212" customFormat="1" ht="19.95" customHeight="1">
      <c r="A3" s="296" t="str">
        <f>底稿目录!A2</f>
        <v>被审计单位：</v>
      </c>
      <c r="B3" s="296"/>
      <c r="C3" s="212" t="str">
        <f>底稿目录!A4</f>
        <v>编制人：</v>
      </c>
      <c r="F3" s="212" t="str">
        <f>底稿目录!A5</f>
        <v>编制日期：</v>
      </c>
      <c r="H3" s="212" t="s">
        <v>266</v>
      </c>
      <c r="I3" s="268" t="str">
        <f>底稿目录!F4</f>
        <v>G12A</v>
      </c>
    </row>
    <row r="4" spans="1:10" s="212" customFormat="1" ht="19.95" customHeight="1">
      <c r="A4" s="296" t="str">
        <f>底稿目录!A3</f>
        <v>会计期间：202X年度</v>
      </c>
      <c r="B4" s="296"/>
      <c r="C4" s="212" t="str">
        <f>底稿目录!A6</f>
        <v>复核人：</v>
      </c>
      <c r="F4" s="212" t="str">
        <f>底稿目录!A7</f>
        <v>复核日期：</v>
      </c>
      <c r="H4" s="211" t="s">
        <v>379</v>
      </c>
    </row>
    <row r="5" spans="1:10" ht="19.95" customHeight="1">
      <c r="A5" s="297" t="s">
        <v>128</v>
      </c>
      <c r="B5" s="297"/>
    </row>
    <row r="6" spans="1:10" ht="19.95" customHeight="1">
      <c r="A6" s="291" t="s">
        <v>207</v>
      </c>
      <c r="B6" s="292"/>
      <c r="C6" s="292"/>
      <c r="D6" s="292"/>
      <c r="E6" s="292"/>
      <c r="F6" s="292"/>
      <c r="G6" s="292"/>
      <c r="H6" s="292"/>
      <c r="I6" s="292"/>
    </row>
    <row r="7" spans="1:10" s="168" customFormat="1" ht="19.95" customHeight="1">
      <c r="A7" s="228" t="s">
        <v>277</v>
      </c>
      <c r="B7" s="229"/>
      <c r="C7" s="230"/>
      <c r="D7" s="231"/>
      <c r="E7" s="231"/>
      <c r="F7" s="231"/>
      <c r="G7" s="231"/>
      <c r="H7" s="231"/>
      <c r="I7" s="231"/>
    </row>
    <row r="8" spans="1:10" s="168" customFormat="1" ht="19.95" customHeight="1">
      <c r="A8" s="304" t="s">
        <v>313</v>
      </c>
      <c r="B8" s="304"/>
      <c r="C8" s="304"/>
      <c r="D8" s="304"/>
      <c r="E8" s="304"/>
      <c r="F8" s="304"/>
      <c r="G8" s="305" t="s">
        <v>131</v>
      </c>
      <c r="H8" s="305"/>
      <c r="I8" s="305"/>
    </row>
    <row r="9" spans="1:10" s="168" customFormat="1" ht="19.95" customHeight="1">
      <c r="A9" s="306" t="s">
        <v>403</v>
      </c>
      <c r="B9" s="306"/>
      <c r="C9" s="306"/>
      <c r="D9" s="306"/>
      <c r="E9" s="306"/>
      <c r="F9" s="306"/>
      <c r="G9" s="298" t="s">
        <v>314</v>
      </c>
      <c r="H9" s="298"/>
      <c r="I9" s="298"/>
    </row>
    <row r="10" spans="1:10" s="168" customFormat="1" ht="19.95" customHeight="1">
      <c r="A10" s="306" t="s">
        <v>407</v>
      </c>
      <c r="B10" s="306"/>
      <c r="C10" s="306"/>
      <c r="D10" s="306"/>
      <c r="E10" s="306"/>
      <c r="F10" s="306"/>
      <c r="G10" s="298" t="s">
        <v>315</v>
      </c>
      <c r="H10" s="298"/>
      <c r="I10" s="298"/>
    </row>
    <row r="11" spans="1:10" s="168" customFormat="1" ht="19.95" customHeight="1">
      <c r="A11" s="306" t="s">
        <v>404</v>
      </c>
      <c r="B11" s="306"/>
      <c r="C11" s="306"/>
      <c r="D11" s="306"/>
      <c r="E11" s="306"/>
      <c r="F11" s="306"/>
      <c r="G11" s="298" t="s">
        <v>316</v>
      </c>
      <c r="H11" s="298"/>
      <c r="I11" s="298"/>
    </row>
    <row r="12" spans="1:10" s="168" customFormat="1" ht="19.95" customHeight="1">
      <c r="A12" s="306" t="s">
        <v>405</v>
      </c>
      <c r="B12" s="306"/>
      <c r="C12" s="306"/>
      <c r="D12" s="306"/>
      <c r="E12" s="306"/>
      <c r="F12" s="306"/>
      <c r="G12" s="298" t="s">
        <v>317</v>
      </c>
      <c r="H12" s="298"/>
      <c r="I12" s="298"/>
    </row>
    <row r="13" spans="1:10" s="168" customFormat="1" ht="19.95" customHeight="1">
      <c r="A13" s="306" t="s">
        <v>406</v>
      </c>
      <c r="B13" s="306"/>
      <c r="C13" s="306"/>
      <c r="D13" s="306"/>
      <c r="E13" s="306"/>
      <c r="F13" s="306"/>
      <c r="G13" s="298" t="s">
        <v>318</v>
      </c>
      <c r="H13" s="298"/>
      <c r="I13" s="298"/>
    </row>
    <row r="14" spans="1:10" s="168" customFormat="1" ht="19.95" customHeight="1">
      <c r="A14" s="293" t="s">
        <v>402</v>
      </c>
      <c r="B14" s="293"/>
      <c r="C14" s="233"/>
      <c r="D14" s="232"/>
      <c r="E14" s="232"/>
      <c r="F14" s="232"/>
      <c r="G14" s="232"/>
      <c r="H14" s="232"/>
      <c r="I14" s="232"/>
    </row>
    <row r="15" spans="1:10" s="168" customFormat="1" ht="19.95" customHeight="1">
      <c r="A15" s="299" t="s">
        <v>319</v>
      </c>
      <c r="B15" s="300" t="s">
        <v>434</v>
      </c>
      <c r="C15" s="301" t="s">
        <v>320</v>
      </c>
      <c r="D15" s="302" t="s">
        <v>321</v>
      </c>
      <c r="E15" s="303"/>
      <c r="F15" s="303"/>
      <c r="G15" s="303"/>
      <c r="H15" s="303"/>
      <c r="I15" s="304" t="s">
        <v>278</v>
      </c>
    </row>
    <row r="16" spans="1:10" s="168" customFormat="1" ht="19.95" customHeight="1">
      <c r="A16" s="299"/>
      <c r="B16" s="300"/>
      <c r="C16" s="301"/>
      <c r="D16" s="269" t="s">
        <v>314</v>
      </c>
      <c r="E16" s="269" t="s">
        <v>322</v>
      </c>
      <c r="F16" s="270" t="s">
        <v>316</v>
      </c>
      <c r="G16" s="270" t="s">
        <v>323</v>
      </c>
      <c r="H16" s="270" t="s">
        <v>324</v>
      </c>
      <c r="I16" s="304"/>
      <c r="J16" s="283" t="s">
        <v>433</v>
      </c>
    </row>
    <row r="17" spans="1:9" s="173" customFormat="1" ht="97.8" customHeight="1">
      <c r="A17" s="169" t="s">
        <v>279</v>
      </c>
      <c r="B17" s="170" t="s">
        <v>310</v>
      </c>
      <c r="C17" s="177" t="s">
        <v>280</v>
      </c>
      <c r="D17" s="258" t="s">
        <v>413</v>
      </c>
      <c r="E17" s="258" t="s">
        <v>414</v>
      </c>
      <c r="F17" s="259" t="s">
        <v>414</v>
      </c>
      <c r="G17" s="260"/>
      <c r="H17" s="260"/>
      <c r="I17" s="227" t="s">
        <v>416</v>
      </c>
    </row>
    <row r="18" spans="1:9" s="173" customFormat="1" ht="48">
      <c r="A18" s="169" t="s">
        <v>281</v>
      </c>
      <c r="B18" s="170" t="s">
        <v>292</v>
      </c>
      <c r="C18" s="177" t="s">
        <v>283</v>
      </c>
      <c r="D18" s="260"/>
      <c r="E18" s="259" t="s">
        <v>414</v>
      </c>
      <c r="F18" s="258" t="s">
        <v>414</v>
      </c>
      <c r="G18" s="260"/>
      <c r="H18" s="260"/>
      <c r="I18" s="263" t="s">
        <v>417</v>
      </c>
    </row>
    <row r="19" spans="1:9" s="173" customFormat="1" ht="36" collapsed="1">
      <c r="A19" s="169" t="s">
        <v>158</v>
      </c>
      <c r="B19" s="109" t="s">
        <v>410</v>
      </c>
      <c r="C19" s="177" t="s">
        <v>408</v>
      </c>
      <c r="D19" s="171" t="s">
        <v>284</v>
      </c>
      <c r="E19" s="171"/>
      <c r="F19" s="171"/>
      <c r="G19" s="171" t="s">
        <v>284</v>
      </c>
      <c r="H19" s="280"/>
      <c r="I19" s="227"/>
    </row>
    <row r="20" spans="1:9" s="173" customFormat="1" ht="24.6" customHeight="1">
      <c r="A20" s="169" t="s">
        <v>161</v>
      </c>
      <c r="B20" s="109" t="s">
        <v>285</v>
      </c>
      <c r="C20" s="177" t="s">
        <v>283</v>
      </c>
      <c r="D20" s="259" t="s">
        <v>413</v>
      </c>
      <c r="E20" s="261"/>
      <c r="F20" s="259" t="s">
        <v>413</v>
      </c>
      <c r="G20" s="258" t="s">
        <v>413</v>
      </c>
      <c r="H20" s="260"/>
      <c r="I20" s="280" t="s">
        <v>334</v>
      </c>
    </row>
    <row r="21" spans="1:9" s="173" customFormat="1" ht="96">
      <c r="A21" s="169" t="s">
        <v>163</v>
      </c>
      <c r="B21" s="109" t="s">
        <v>308</v>
      </c>
      <c r="C21" s="177" t="s">
        <v>409</v>
      </c>
      <c r="D21" s="259" t="s">
        <v>413</v>
      </c>
      <c r="E21" s="261"/>
      <c r="F21" s="259" t="s">
        <v>413</v>
      </c>
      <c r="G21" s="258" t="s">
        <v>413</v>
      </c>
      <c r="H21" s="260"/>
      <c r="I21" s="280" t="s">
        <v>334</v>
      </c>
    </row>
    <row r="22" spans="1:9" ht="23.4" customHeight="1">
      <c r="A22" s="169" t="s">
        <v>165</v>
      </c>
      <c r="B22" s="109" t="s">
        <v>214</v>
      </c>
      <c r="C22" s="177" t="s">
        <v>408</v>
      </c>
      <c r="D22" s="259" t="s">
        <v>413</v>
      </c>
      <c r="E22" s="261"/>
      <c r="F22" s="259" t="s">
        <v>413</v>
      </c>
      <c r="G22" s="258" t="s">
        <v>413</v>
      </c>
      <c r="H22" s="260"/>
      <c r="I22" s="280" t="s">
        <v>334</v>
      </c>
    </row>
    <row r="23" spans="1:9" ht="24.6" customHeight="1">
      <c r="A23" s="169" t="s">
        <v>166</v>
      </c>
      <c r="B23" s="109" t="s">
        <v>215</v>
      </c>
      <c r="C23" s="177" t="s">
        <v>408</v>
      </c>
      <c r="D23" s="259" t="s">
        <v>413</v>
      </c>
      <c r="E23" s="261"/>
      <c r="F23" s="259" t="s">
        <v>413</v>
      </c>
      <c r="G23" s="258" t="s">
        <v>413</v>
      </c>
      <c r="H23" s="260"/>
      <c r="I23" s="280" t="s">
        <v>418</v>
      </c>
    </row>
    <row r="24" spans="1:9" ht="29.4" customHeight="1">
      <c r="A24" s="169" t="s">
        <v>168</v>
      </c>
      <c r="B24" s="119" t="s">
        <v>286</v>
      </c>
      <c r="C24" s="177" t="s">
        <v>283</v>
      </c>
      <c r="D24" s="259" t="s">
        <v>413</v>
      </c>
      <c r="E24" s="261"/>
      <c r="F24" s="259" t="s">
        <v>413</v>
      </c>
      <c r="G24" s="258" t="s">
        <v>413</v>
      </c>
      <c r="H24" s="260"/>
      <c r="I24" s="280" t="s">
        <v>419</v>
      </c>
    </row>
    <row r="25" spans="1:9" ht="43.2" customHeight="1">
      <c r="A25" s="169" t="s">
        <v>170</v>
      </c>
      <c r="B25" s="109" t="s">
        <v>287</v>
      </c>
      <c r="C25" s="177" t="s">
        <v>408</v>
      </c>
      <c r="D25" s="259" t="s">
        <v>413</v>
      </c>
      <c r="E25" s="261"/>
      <c r="F25" s="259" t="s">
        <v>413</v>
      </c>
      <c r="G25" s="258" t="s">
        <v>413</v>
      </c>
      <c r="H25" s="260"/>
      <c r="I25" s="280" t="s">
        <v>422</v>
      </c>
    </row>
    <row r="26" spans="1:9" ht="43.2" customHeight="1">
      <c r="A26" s="169" t="s">
        <v>289</v>
      </c>
      <c r="B26" s="267" t="s">
        <v>420</v>
      </c>
      <c r="C26" s="177" t="s">
        <v>283</v>
      </c>
      <c r="D26" s="259" t="s">
        <v>413</v>
      </c>
      <c r="E26" s="261"/>
      <c r="F26" s="259" t="s">
        <v>421</v>
      </c>
      <c r="G26" s="258" t="s">
        <v>421</v>
      </c>
      <c r="H26" s="260"/>
      <c r="I26" s="280" t="s">
        <v>423</v>
      </c>
    </row>
    <row r="27" spans="1:9" ht="41.55" customHeight="1">
      <c r="A27" s="169" t="s">
        <v>289</v>
      </c>
      <c r="B27" s="106" t="s">
        <v>288</v>
      </c>
      <c r="C27" s="256" t="s">
        <v>412</v>
      </c>
      <c r="D27" s="172"/>
      <c r="E27" s="171"/>
      <c r="F27" s="172"/>
      <c r="G27" s="171"/>
      <c r="H27" s="280"/>
      <c r="I27" s="280"/>
    </row>
    <row r="28" spans="1:9" ht="27.6" customHeight="1">
      <c r="A28" s="169" t="s">
        <v>309</v>
      </c>
      <c r="B28" s="257" t="s">
        <v>411</v>
      </c>
      <c r="C28" s="177" t="s">
        <v>204</v>
      </c>
      <c r="D28" s="107"/>
      <c r="E28" s="107"/>
      <c r="F28" s="107"/>
      <c r="G28" s="107"/>
      <c r="H28" s="171" t="s">
        <v>284</v>
      </c>
      <c r="I28" s="262" t="s">
        <v>415</v>
      </c>
    </row>
    <row r="35" spans="2:2">
      <c r="B35" s="93" t="s">
        <v>325</v>
      </c>
    </row>
  </sheetData>
  <mergeCells count="24">
    <mergeCell ref="A10:F10"/>
    <mergeCell ref="A11:F11"/>
    <mergeCell ref="A12:F12"/>
    <mergeCell ref="A15:A16"/>
    <mergeCell ref="B15:B16"/>
    <mergeCell ref="C15:C16"/>
    <mergeCell ref="D15:H15"/>
    <mergeCell ref="I15:I16"/>
    <mergeCell ref="A6:I6"/>
    <mergeCell ref="A14:B14"/>
    <mergeCell ref="A1:I1"/>
    <mergeCell ref="A2:I2"/>
    <mergeCell ref="A3:B3"/>
    <mergeCell ref="A4:B4"/>
    <mergeCell ref="A5:B5"/>
    <mergeCell ref="G13:I13"/>
    <mergeCell ref="G8:I8"/>
    <mergeCell ref="G9:I9"/>
    <mergeCell ref="G10:I10"/>
    <mergeCell ref="G11:I11"/>
    <mergeCell ref="G12:I12"/>
    <mergeCell ref="A13:F13"/>
    <mergeCell ref="A8:F8"/>
    <mergeCell ref="A9:F9"/>
  </mergeCells>
  <phoneticPr fontId="3" type="noConversion"/>
  <hyperlinks>
    <hyperlink ref="I3" location="底稿目录!F4" display="底稿目录!F4"/>
  </hyperlinks>
  <printOptions horizontalCentered="1"/>
  <pageMargins left="0.70866141732283472" right="0.70866141732283472" top="0.74803149606299213" bottom="0.74803149606299213" header="0.31496062992125984" footer="0.31496062992125984"/>
  <pageSetup paperSize="9" scale="70" fitToWidth="0" fitToHeight="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63"/>
  <sheetViews>
    <sheetView view="pageBreakPreview" topLeftCell="A16" zoomScaleNormal="100" zoomScaleSheetLayoutView="100" workbookViewId="0">
      <pane xSplit="1" ySplit="1" topLeftCell="B17" activePane="bottomRight" state="frozen"/>
      <selection activeCell="E4" sqref="E4"/>
      <selection pane="topRight" activeCell="E4" sqref="E4"/>
      <selection pane="bottomLeft" activeCell="E4" sqref="E4"/>
      <selection pane="bottomRight" activeCell="E4" sqref="E4"/>
    </sheetView>
  </sheetViews>
  <sheetFormatPr defaultColWidth="9" defaultRowHeight="30.75" customHeight="1" outlineLevelRow="1"/>
  <cols>
    <col min="1" max="1" width="5.77734375" style="117" customWidth="1"/>
    <col min="2" max="2" width="71.88671875" style="93" customWidth="1"/>
    <col min="3" max="3" width="9" style="93" customWidth="1"/>
    <col min="4" max="4" width="7.5546875" style="93" customWidth="1"/>
    <col min="5" max="6" width="9.109375" style="93" customWidth="1"/>
    <col min="7" max="7" width="0.5546875" style="93" customWidth="1"/>
    <col min="8" max="8" width="10" style="93" customWidth="1"/>
    <col min="9" max="9" width="11.21875" style="93" hidden="1" customWidth="1"/>
    <col min="10" max="10" width="9" style="93"/>
    <col min="11" max="11" width="16.5546875" style="175" customWidth="1"/>
    <col min="12" max="16384" width="9" style="93"/>
  </cols>
  <sheetData>
    <row r="1" spans="1:11" s="184" customFormat="1" ht="30.75" customHeight="1">
      <c r="A1" s="294" t="s">
        <v>336</v>
      </c>
      <c r="B1" s="294"/>
      <c r="C1" s="294"/>
      <c r="D1" s="294"/>
      <c r="E1" s="294"/>
      <c r="F1" s="294"/>
      <c r="G1" s="294"/>
      <c r="H1" s="294"/>
      <c r="I1" s="294"/>
      <c r="K1" s="187"/>
    </row>
    <row r="2" spans="1:11" s="188" customFormat="1" ht="30.75" customHeight="1">
      <c r="A2" s="295" t="s">
        <v>206</v>
      </c>
      <c r="B2" s="295"/>
      <c r="C2" s="295"/>
      <c r="D2" s="295"/>
      <c r="E2" s="295"/>
      <c r="F2" s="295"/>
      <c r="G2" s="295"/>
      <c r="H2" s="295"/>
      <c r="I2" s="295"/>
      <c r="K2" s="193"/>
    </row>
    <row r="3" spans="1:11" s="212" customFormat="1" ht="30.75" customHeight="1">
      <c r="A3" s="296" t="str">
        <f>底稿目录!A2</f>
        <v>被审计单位：</v>
      </c>
      <c r="B3" s="296"/>
      <c r="C3" s="212" t="str">
        <f>底稿目录!A4</f>
        <v>编制人：</v>
      </c>
      <c r="F3" s="212" t="str">
        <f>底稿目录!A5</f>
        <v>编制日期：</v>
      </c>
      <c r="H3" s="212" t="s">
        <v>266</v>
      </c>
      <c r="I3" s="212" t="str">
        <f>底稿目录!F4</f>
        <v>G12A</v>
      </c>
      <c r="K3" s="226"/>
    </row>
    <row r="4" spans="1:11" s="212" customFormat="1" ht="30.75" customHeight="1">
      <c r="A4" s="296" t="str">
        <f>底稿目录!A3</f>
        <v>会计期间：202X年度</v>
      </c>
      <c r="B4" s="296"/>
      <c r="C4" s="212" t="str">
        <f>底稿目录!A6</f>
        <v>复核人：</v>
      </c>
      <c r="F4" s="212" t="str">
        <f>底稿目录!A7</f>
        <v>复核日期：</v>
      </c>
      <c r="H4" s="211" t="s">
        <v>381</v>
      </c>
      <c r="K4" s="226"/>
    </row>
    <row r="5" spans="1:11" ht="30.75" customHeight="1">
      <c r="A5" s="297" t="s">
        <v>128</v>
      </c>
      <c r="B5" s="297"/>
    </row>
    <row r="6" spans="1:11" ht="30.75" customHeight="1">
      <c r="A6" s="307" t="s">
        <v>207</v>
      </c>
      <c r="B6" s="308"/>
      <c r="C6" s="308"/>
      <c r="D6" s="308"/>
      <c r="E6" s="308"/>
      <c r="F6" s="308"/>
      <c r="G6" s="308"/>
      <c r="H6" s="308"/>
      <c r="I6" s="309"/>
    </row>
    <row r="7" spans="1:11" s="92" customFormat="1" ht="30.75" customHeight="1">
      <c r="A7" s="94" t="s">
        <v>129</v>
      </c>
      <c r="B7" s="161"/>
      <c r="C7" s="95"/>
      <c r="K7" s="174"/>
    </row>
    <row r="8" spans="1:11" s="92" customFormat="1" ht="30.75" customHeight="1">
      <c r="A8" s="316" t="s">
        <v>130</v>
      </c>
      <c r="B8" s="316"/>
      <c r="C8" s="317" t="s">
        <v>131</v>
      </c>
      <c r="D8" s="317"/>
      <c r="E8" s="317"/>
      <c r="F8" s="317"/>
      <c r="G8" s="317"/>
      <c r="H8" s="318" t="s">
        <v>132</v>
      </c>
      <c r="I8" s="319" t="s">
        <v>133</v>
      </c>
      <c r="K8" s="174"/>
    </row>
    <row r="9" spans="1:11" s="92" customFormat="1" ht="30.75" customHeight="1">
      <c r="A9" s="316"/>
      <c r="B9" s="316"/>
      <c r="C9" s="96" t="s">
        <v>134</v>
      </c>
      <c r="D9" s="97" t="s">
        <v>135</v>
      </c>
      <c r="E9" s="96" t="s">
        <v>136</v>
      </c>
      <c r="F9" s="96" t="s">
        <v>137</v>
      </c>
      <c r="G9" s="97" t="s">
        <v>138</v>
      </c>
      <c r="H9" s="319"/>
      <c r="I9" s="319"/>
      <c r="K9" s="174"/>
    </row>
    <row r="10" spans="1:11" s="92" customFormat="1" ht="30.75" customHeight="1">
      <c r="A10" s="310" t="s">
        <v>208</v>
      </c>
      <c r="B10" s="310"/>
      <c r="C10" s="97" t="s">
        <v>139</v>
      </c>
      <c r="D10" s="97"/>
      <c r="E10" s="97"/>
      <c r="F10" s="97"/>
      <c r="G10" s="97"/>
      <c r="H10" s="97"/>
      <c r="I10" s="98"/>
      <c r="K10" s="174"/>
    </row>
    <row r="11" spans="1:11" s="92" customFormat="1" ht="30.75" customHeight="1">
      <c r="A11" s="310" t="s">
        <v>209</v>
      </c>
      <c r="B11" s="310"/>
      <c r="C11" s="163"/>
      <c r="D11" s="97" t="s">
        <v>139</v>
      </c>
      <c r="E11" s="97"/>
      <c r="F11" s="97"/>
      <c r="G11" s="97"/>
      <c r="H11" s="97"/>
      <c r="I11" s="98"/>
      <c r="K11" s="174"/>
    </row>
    <row r="12" spans="1:11" s="92" customFormat="1" ht="30.75" customHeight="1">
      <c r="A12" s="310" t="s">
        <v>210</v>
      </c>
      <c r="B12" s="310"/>
      <c r="C12" s="163"/>
      <c r="D12" s="97"/>
      <c r="E12" s="97" t="s">
        <v>139</v>
      </c>
      <c r="F12" s="97"/>
      <c r="G12" s="97"/>
      <c r="H12" s="97"/>
      <c r="I12" s="98"/>
      <c r="K12" s="174"/>
    </row>
    <row r="13" spans="1:11" s="92" customFormat="1" ht="30.75" customHeight="1">
      <c r="A13" s="310" t="s">
        <v>211</v>
      </c>
      <c r="B13" s="310"/>
      <c r="C13" s="163"/>
      <c r="D13" s="97"/>
      <c r="E13" s="97"/>
      <c r="F13" s="97" t="s">
        <v>139</v>
      </c>
      <c r="G13" s="97"/>
      <c r="H13" s="97"/>
      <c r="I13" s="98"/>
      <c r="K13" s="174"/>
    </row>
    <row r="14" spans="1:11" s="92" customFormat="1" ht="30.75" customHeight="1">
      <c r="A14" s="310" t="s">
        <v>212</v>
      </c>
      <c r="B14" s="310"/>
      <c r="C14" s="163"/>
      <c r="D14" s="97"/>
      <c r="E14" s="97"/>
      <c r="F14" s="97"/>
      <c r="G14" s="97" t="s">
        <v>139</v>
      </c>
      <c r="H14" s="97"/>
      <c r="I14" s="97"/>
      <c r="K14" s="174"/>
    </row>
    <row r="15" spans="1:11" s="92" customFormat="1" ht="30.75" customHeight="1">
      <c r="A15" s="311" t="s">
        <v>140</v>
      </c>
      <c r="B15" s="297"/>
      <c r="C15" s="95"/>
      <c r="K15" s="174"/>
    </row>
    <row r="16" spans="1:11" s="92" customFormat="1" ht="30.75" customHeight="1">
      <c r="A16" s="99" t="s">
        <v>141</v>
      </c>
      <c r="B16" s="162" t="s">
        <v>142</v>
      </c>
      <c r="C16" s="162" t="s">
        <v>143</v>
      </c>
      <c r="D16" s="312" t="s">
        <v>144</v>
      </c>
      <c r="E16" s="313"/>
      <c r="F16" s="313"/>
      <c r="G16" s="314"/>
      <c r="H16" s="315" t="s">
        <v>145</v>
      </c>
      <c r="I16" s="315"/>
      <c r="K16" s="174"/>
    </row>
    <row r="17" spans="1:11" s="92" customFormat="1" ht="30.75" customHeight="1">
      <c r="A17" s="100" t="s">
        <v>146</v>
      </c>
      <c r="B17" s="101" t="s">
        <v>147</v>
      </c>
      <c r="C17" s="102" t="s">
        <v>148</v>
      </c>
      <c r="D17" s="327" t="s">
        <v>149</v>
      </c>
      <c r="E17" s="327"/>
      <c r="F17" s="327"/>
      <c r="G17" s="327"/>
      <c r="H17" s="327" t="s">
        <v>231</v>
      </c>
      <c r="I17" s="327"/>
      <c r="J17" s="92" t="s">
        <v>290</v>
      </c>
      <c r="K17" s="335" t="s">
        <v>291</v>
      </c>
    </row>
    <row r="18" spans="1:11" ht="30.75" customHeight="1">
      <c r="A18" s="103" t="s">
        <v>150</v>
      </c>
      <c r="B18" s="104" t="s">
        <v>151</v>
      </c>
      <c r="C18" s="102" t="s">
        <v>148</v>
      </c>
      <c r="D18" s="327" t="s">
        <v>149</v>
      </c>
      <c r="E18" s="327"/>
      <c r="F18" s="327"/>
      <c r="G18" s="327"/>
      <c r="H18" s="327"/>
      <c r="I18" s="327"/>
      <c r="J18" s="92" t="s">
        <v>290</v>
      </c>
      <c r="K18" s="335"/>
    </row>
    <row r="19" spans="1:11" ht="30.75" customHeight="1" outlineLevel="1">
      <c r="A19" s="105" t="s">
        <v>152</v>
      </c>
      <c r="B19" s="106" t="s">
        <v>153</v>
      </c>
      <c r="C19" s="107" t="s">
        <v>154</v>
      </c>
      <c r="D19" s="320" t="s">
        <v>155</v>
      </c>
      <c r="E19" s="321"/>
      <c r="F19" s="321"/>
      <c r="G19" s="322"/>
      <c r="H19" s="323"/>
      <c r="I19" s="324"/>
      <c r="J19" s="92" t="s">
        <v>290</v>
      </c>
      <c r="K19" s="335"/>
    </row>
    <row r="20" spans="1:11" ht="30.75" customHeight="1" outlineLevel="1">
      <c r="A20" s="105" t="s">
        <v>156</v>
      </c>
      <c r="B20" s="106" t="s">
        <v>157</v>
      </c>
      <c r="C20" s="107" t="s">
        <v>154</v>
      </c>
      <c r="D20" s="320" t="s">
        <v>155</v>
      </c>
      <c r="E20" s="321"/>
      <c r="F20" s="321"/>
      <c r="G20" s="322"/>
      <c r="H20" s="323"/>
      <c r="I20" s="324"/>
      <c r="J20" s="92" t="s">
        <v>290</v>
      </c>
      <c r="K20" s="335"/>
    </row>
    <row r="21" spans="1:11" ht="30.75" customHeight="1" outlineLevel="1">
      <c r="A21" s="105" t="s">
        <v>158</v>
      </c>
      <c r="B21" s="108" t="s">
        <v>159</v>
      </c>
      <c r="C21" s="107" t="s">
        <v>160</v>
      </c>
      <c r="D21" s="320" t="s">
        <v>155</v>
      </c>
      <c r="E21" s="321"/>
      <c r="F21" s="321"/>
      <c r="G21" s="322"/>
      <c r="H21" s="325"/>
      <c r="I21" s="326"/>
      <c r="J21" s="92" t="s">
        <v>290</v>
      </c>
      <c r="K21" s="335"/>
    </row>
    <row r="22" spans="1:11" ht="30.75" customHeight="1" outlineLevel="1">
      <c r="A22" s="105" t="s">
        <v>161</v>
      </c>
      <c r="B22" s="109" t="s">
        <v>162</v>
      </c>
      <c r="C22" s="107" t="s">
        <v>160</v>
      </c>
      <c r="D22" s="320" t="s">
        <v>155</v>
      </c>
      <c r="E22" s="321"/>
      <c r="F22" s="321"/>
      <c r="G22" s="322"/>
      <c r="H22" s="325"/>
      <c r="I22" s="326"/>
      <c r="J22" s="92" t="s">
        <v>290</v>
      </c>
      <c r="K22" s="335"/>
    </row>
    <row r="23" spans="1:11" ht="30.75" customHeight="1" outlineLevel="1">
      <c r="A23" s="105" t="s">
        <v>163</v>
      </c>
      <c r="B23" s="106" t="s">
        <v>164</v>
      </c>
      <c r="C23" s="107" t="s">
        <v>160</v>
      </c>
      <c r="D23" s="320" t="s">
        <v>155</v>
      </c>
      <c r="E23" s="321"/>
      <c r="F23" s="321"/>
      <c r="G23" s="322"/>
      <c r="H23" s="325"/>
      <c r="I23" s="326"/>
      <c r="J23" s="92" t="s">
        <v>290</v>
      </c>
      <c r="K23" s="335"/>
    </row>
    <row r="24" spans="1:11" ht="30.75" customHeight="1" outlineLevel="1">
      <c r="A24" s="105" t="s">
        <v>165</v>
      </c>
      <c r="B24" s="109" t="s">
        <v>213</v>
      </c>
      <c r="C24" s="107" t="s">
        <v>154</v>
      </c>
      <c r="D24" s="320" t="s">
        <v>155</v>
      </c>
      <c r="E24" s="321"/>
      <c r="F24" s="321"/>
      <c r="G24" s="322"/>
      <c r="H24" s="325"/>
      <c r="I24" s="326"/>
      <c r="J24" s="92" t="s">
        <v>290</v>
      </c>
      <c r="K24" s="335"/>
    </row>
    <row r="25" spans="1:11" ht="30.75" customHeight="1" outlineLevel="1">
      <c r="A25" s="105" t="s">
        <v>166</v>
      </c>
      <c r="B25" s="106" t="s">
        <v>167</v>
      </c>
      <c r="C25" s="107" t="s">
        <v>160</v>
      </c>
      <c r="D25" s="320" t="s">
        <v>155</v>
      </c>
      <c r="E25" s="321"/>
      <c r="F25" s="321"/>
      <c r="G25" s="322"/>
      <c r="H25" s="325"/>
      <c r="I25" s="326"/>
      <c r="J25" s="92" t="s">
        <v>290</v>
      </c>
      <c r="K25" s="335"/>
    </row>
    <row r="26" spans="1:11" ht="30.75" customHeight="1" outlineLevel="1">
      <c r="A26" s="105" t="s">
        <v>168</v>
      </c>
      <c r="B26" s="106" t="s">
        <v>169</v>
      </c>
      <c r="C26" s="107" t="s">
        <v>160</v>
      </c>
      <c r="D26" s="320" t="s">
        <v>155</v>
      </c>
      <c r="E26" s="321"/>
      <c r="F26" s="321"/>
      <c r="G26" s="322"/>
      <c r="H26" s="325"/>
      <c r="I26" s="326"/>
      <c r="J26" s="92" t="s">
        <v>290</v>
      </c>
      <c r="K26" s="335"/>
    </row>
    <row r="27" spans="1:11" ht="30.75" customHeight="1" outlineLevel="1">
      <c r="A27" s="105" t="s">
        <v>170</v>
      </c>
      <c r="B27" s="109" t="s">
        <v>171</v>
      </c>
      <c r="C27" s="107" t="s">
        <v>160</v>
      </c>
      <c r="D27" s="320" t="s">
        <v>155</v>
      </c>
      <c r="E27" s="321"/>
      <c r="F27" s="321"/>
      <c r="G27" s="322"/>
      <c r="H27" s="325"/>
      <c r="I27" s="326"/>
      <c r="J27" s="92" t="s">
        <v>290</v>
      </c>
      <c r="K27" s="335"/>
    </row>
    <row r="28" spans="1:11" s="112" customFormat="1" ht="30.75" customHeight="1">
      <c r="A28" s="110" t="s">
        <v>172</v>
      </c>
      <c r="B28" s="101" t="s">
        <v>173</v>
      </c>
      <c r="C28" s="111" t="s">
        <v>174</v>
      </c>
      <c r="D28" s="327" t="s">
        <v>175</v>
      </c>
      <c r="E28" s="327"/>
      <c r="F28" s="327"/>
      <c r="G28" s="327"/>
      <c r="H28" s="327" t="s">
        <v>176</v>
      </c>
      <c r="I28" s="327"/>
      <c r="J28" s="112" t="s">
        <v>293</v>
      </c>
      <c r="K28" s="336" t="s">
        <v>282</v>
      </c>
    </row>
    <row r="29" spans="1:11" ht="30.75" customHeight="1" outlineLevel="1">
      <c r="A29" s="113" t="s">
        <v>177</v>
      </c>
      <c r="B29" s="163" t="s">
        <v>178</v>
      </c>
      <c r="C29" s="97"/>
      <c r="D29" s="319"/>
      <c r="E29" s="319"/>
      <c r="F29" s="319"/>
      <c r="G29" s="319"/>
      <c r="H29" s="328"/>
      <c r="I29" s="329"/>
      <c r="J29" s="112" t="s">
        <v>293</v>
      </c>
      <c r="K29" s="337"/>
    </row>
    <row r="30" spans="1:11" ht="30.75" customHeight="1" outlineLevel="1">
      <c r="A30" s="113" t="s">
        <v>179</v>
      </c>
      <c r="B30" s="163" t="s">
        <v>180</v>
      </c>
      <c r="C30" s="97"/>
      <c r="D30" s="319"/>
      <c r="E30" s="319"/>
      <c r="F30" s="319"/>
      <c r="G30" s="319"/>
      <c r="H30" s="328"/>
      <c r="I30" s="329"/>
      <c r="J30" s="112" t="s">
        <v>293</v>
      </c>
      <c r="K30" s="337"/>
    </row>
    <row r="31" spans="1:11" ht="30.75" customHeight="1">
      <c r="A31" s="110" t="s">
        <v>181</v>
      </c>
      <c r="B31" s="114" t="s">
        <v>182</v>
      </c>
      <c r="C31" s="115" t="s">
        <v>183</v>
      </c>
      <c r="D31" s="330" t="s">
        <v>184</v>
      </c>
      <c r="E31" s="331"/>
      <c r="F31" s="331"/>
      <c r="G31" s="332"/>
      <c r="H31" s="333" t="s">
        <v>233</v>
      </c>
      <c r="I31" s="334"/>
      <c r="J31" s="112" t="s">
        <v>294</v>
      </c>
      <c r="K31" s="336" t="s">
        <v>295</v>
      </c>
    </row>
    <row r="32" spans="1:11" ht="30.75" customHeight="1">
      <c r="A32" s="105" t="s">
        <v>152</v>
      </c>
      <c r="B32" s="106" t="s">
        <v>185</v>
      </c>
      <c r="C32" s="107" t="s">
        <v>183</v>
      </c>
      <c r="D32" s="320" t="s">
        <v>184</v>
      </c>
      <c r="E32" s="321"/>
      <c r="F32" s="321"/>
      <c r="G32" s="322"/>
      <c r="H32" s="325"/>
      <c r="I32" s="326"/>
      <c r="J32" s="112" t="s">
        <v>294</v>
      </c>
      <c r="K32" s="337"/>
    </row>
    <row r="33" spans="1:11" ht="30.75" customHeight="1">
      <c r="A33" s="105" t="s">
        <v>156</v>
      </c>
      <c r="B33" s="106" t="s">
        <v>186</v>
      </c>
      <c r="C33" s="107" t="s">
        <v>183</v>
      </c>
      <c r="D33" s="320" t="s">
        <v>184</v>
      </c>
      <c r="E33" s="321"/>
      <c r="F33" s="321"/>
      <c r="G33" s="322"/>
      <c r="H33" s="325"/>
      <c r="I33" s="326"/>
      <c r="J33" s="112" t="s">
        <v>294</v>
      </c>
      <c r="K33" s="337"/>
    </row>
    <row r="34" spans="1:11" ht="30.75" customHeight="1">
      <c r="A34" s="105" t="s">
        <v>187</v>
      </c>
      <c r="B34" s="109" t="s">
        <v>188</v>
      </c>
      <c r="C34" s="107" t="s">
        <v>183</v>
      </c>
      <c r="D34" s="320" t="s">
        <v>184</v>
      </c>
      <c r="E34" s="321"/>
      <c r="F34" s="321"/>
      <c r="G34" s="322"/>
      <c r="H34" s="325"/>
      <c r="I34" s="326"/>
      <c r="J34" s="112" t="s">
        <v>294</v>
      </c>
      <c r="K34" s="337"/>
    </row>
    <row r="35" spans="1:11" ht="30.75" customHeight="1">
      <c r="A35" s="110" t="s">
        <v>192</v>
      </c>
      <c r="B35" s="114" t="s">
        <v>189</v>
      </c>
      <c r="C35" s="115" t="s">
        <v>160</v>
      </c>
      <c r="D35" s="330" t="s">
        <v>190</v>
      </c>
      <c r="E35" s="331"/>
      <c r="F35" s="331"/>
      <c r="G35" s="332"/>
      <c r="H35" s="333" t="s">
        <v>233</v>
      </c>
      <c r="I35" s="334"/>
      <c r="J35" s="93" t="s">
        <v>296</v>
      </c>
    </row>
    <row r="36" spans="1:11" ht="30.75" customHeight="1">
      <c r="A36" s="105" t="s">
        <v>152</v>
      </c>
      <c r="B36" s="106" t="s">
        <v>191</v>
      </c>
      <c r="C36" s="107" t="s">
        <v>160</v>
      </c>
      <c r="D36" s="320" t="s">
        <v>190</v>
      </c>
      <c r="E36" s="321"/>
      <c r="F36" s="321"/>
      <c r="G36" s="322"/>
      <c r="H36" s="325"/>
      <c r="I36" s="326"/>
      <c r="J36" s="93" t="s">
        <v>296</v>
      </c>
    </row>
    <row r="37" spans="1:11" ht="30.75" customHeight="1">
      <c r="A37" s="110" t="s">
        <v>224</v>
      </c>
      <c r="B37" s="114" t="s">
        <v>298</v>
      </c>
      <c r="C37" s="115" t="s">
        <v>183</v>
      </c>
      <c r="D37" s="330" t="s">
        <v>190</v>
      </c>
      <c r="E37" s="331"/>
      <c r="F37" s="331"/>
      <c r="G37" s="332"/>
      <c r="H37" s="333" t="s">
        <v>234</v>
      </c>
      <c r="I37" s="334"/>
      <c r="J37" s="176" t="s">
        <v>297</v>
      </c>
    </row>
    <row r="38" spans="1:11" ht="30.75" customHeight="1">
      <c r="A38" s="105" t="s">
        <v>152</v>
      </c>
      <c r="B38" s="109" t="s">
        <v>299</v>
      </c>
      <c r="C38" s="107" t="s">
        <v>183</v>
      </c>
      <c r="D38" s="320" t="s">
        <v>190</v>
      </c>
      <c r="E38" s="321"/>
      <c r="F38" s="321"/>
      <c r="G38" s="322"/>
      <c r="H38" s="325"/>
      <c r="I38" s="326"/>
      <c r="J38" s="176" t="s">
        <v>297</v>
      </c>
    </row>
    <row r="39" spans="1:11" ht="30.75" customHeight="1">
      <c r="A39" s="105" t="s">
        <v>156</v>
      </c>
      <c r="B39" s="109" t="s">
        <v>300</v>
      </c>
      <c r="C39" s="107" t="s">
        <v>183</v>
      </c>
      <c r="D39" s="320" t="s">
        <v>190</v>
      </c>
      <c r="E39" s="321"/>
      <c r="F39" s="321"/>
      <c r="G39" s="322"/>
      <c r="H39" s="325"/>
      <c r="I39" s="326"/>
      <c r="J39" s="176" t="s">
        <v>297</v>
      </c>
    </row>
    <row r="40" spans="1:11" ht="30.75" customHeight="1">
      <c r="A40" s="105" t="s">
        <v>158</v>
      </c>
      <c r="B40" s="109" t="s">
        <v>301</v>
      </c>
      <c r="C40" s="107" t="s">
        <v>183</v>
      </c>
      <c r="D40" s="320" t="s">
        <v>190</v>
      </c>
      <c r="E40" s="321"/>
      <c r="F40" s="321"/>
      <c r="G40" s="322"/>
      <c r="H40" s="325"/>
      <c r="I40" s="326"/>
      <c r="J40" s="176" t="s">
        <v>297</v>
      </c>
    </row>
    <row r="41" spans="1:11" ht="30.75" customHeight="1">
      <c r="A41" s="105" t="s">
        <v>161</v>
      </c>
      <c r="B41" s="106" t="s">
        <v>302</v>
      </c>
      <c r="C41" s="107" t="s">
        <v>183</v>
      </c>
      <c r="D41" s="320" t="s">
        <v>190</v>
      </c>
      <c r="E41" s="321"/>
      <c r="F41" s="321"/>
      <c r="G41" s="322"/>
      <c r="H41" s="325"/>
      <c r="I41" s="326"/>
      <c r="J41" s="176" t="s">
        <v>297</v>
      </c>
    </row>
    <row r="42" spans="1:11" ht="30.75" customHeight="1">
      <c r="A42" s="105" t="s">
        <v>163</v>
      </c>
      <c r="B42" s="109" t="s">
        <v>303</v>
      </c>
      <c r="C42" s="107" t="s">
        <v>183</v>
      </c>
      <c r="D42" s="320" t="s">
        <v>190</v>
      </c>
      <c r="E42" s="321"/>
      <c r="F42" s="321"/>
      <c r="G42" s="322"/>
      <c r="H42" s="325"/>
      <c r="I42" s="326"/>
      <c r="J42" s="176" t="s">
        <v>297</v>
      </c>
    </row>
    <row r="43" spans="1:11" ht="30.75" customHeight="1">
      <c r="A43" s="105" t="s">
        <v>165</v>
      </c>
      <c r="B43" s="109" t="s">
        <v>304</v>
      </c>
      <c r="C43" s="107" t="s">
        <v>183</v>
      </c>
      <c r="D43" s="320" t="s">
        <v>190</v>
      </c>
      <c r="E43" s="321"/>
      <c r="F43" s="321"/>
      <c r="G43" s="322"/>
      <c r="H43" s="325"/>
      <c r="I43" s="326"/>
      <c r="J43" s="176" t="s">
        <v>297</v>
      </c>
    </row>
    <row r="44" spans="1:11" ht="30.75" customHeight="1">
      <c r="A44" s="105" t="s">
        <v>166</v>
      </c>
      <c r="B44" s="109" t="s">
        <v>305</v>
      </c>
      <c r="C44" s="107" t="s">
        <v>183</v>
      </c>
      <c r="D44" s="320" t="s">
        <v>190</v>
      </c>
      <c r="E44" s="321"/>
      <c r="F44" s="321"/>
      <c r="G44" s="322"/>
      <c r="H44" s="325"/>
      <c r="I44" s="326"/>
      <c r="J44" s="176" t="s">
        <v>297</v>
      </c>
    </row>
    <row r="45" spans="1:11" ht="30.75" customHeight="1">
      <c r="A45" s="105" t="s">
        <v>168</v>
      </c>
      <c r="B45" s="109" t="s">
        <v>306</v>
      </c>
      <c r="C45" s="107" t="s">
        <v>183</v>
      </c>
      <c r="D45" s="320" t="s">
        <v>190</v>
      </c>
      <c r="E45" s="321"/>
      <c r="F45" s="321"/>
      <c r="G45" s="322"/>
      <c r="H45" s="325"/>
      <c r="I45" s="326"/>
      <c r="J45" s="176" t="s">
        <v>297</v>
      </c>
    </row>
    <row r="46" spans="1:11" ht="30.75" customHeight="1">
      <c r="A46" s="105" t="s">
        <v>170</v>
      </c>
      <c r="B46" s="109" t="s">
        <v>307</v>
      </c>
      <c r="C46" s="107" t="s">
        <v>183</v>
      </c>
      <c r="D46" s="320" t="s">
        <v>190</v>
      </c>
      <c r="E46" s="321"/>
      <c r="F46" s="321"/>
      <c r="G46" s="322"/>
      <c r="H46" s="325"/>
      <c r="I46" s="326"/>
      <c r="J46" s="176" t="s">
        <v>297</v>
      </c>
    </row>
    <row r="47" spans="1:11" ht="30.75" customHeight="1">
      <c r="A47" s="110" t="s">
        <v>225</v>
      </c>
      <c r="B47" s="114" t="s">
        <v>214</v>
      </c>
      <c r="C47" s="115" t="s">
        <v>183</v>
      </c>
      <c r="D47" s="330" t="s">
        <v>190</v>
      </c>
      <c r="E47" s="331"/>
      <c r="F47" s="331"/>
      <c r="G47" s="332"/>
      <c r="H47" s="333" t="s">
        <v>234</v>
      </c>
      <c r="I47" s="334"/>
      <c r="J47" s="176" t="s">
        <v>326</v>
      </c>
    </row>
    <row r="48" spans="1:11" ht="30.75" customHeight="1">
      <c r="A48" s="110" t="s">
        <v>226</v>
      </c>
      <c r="B48" s="114" t="s">
        <v>215</v>
      </c>
      <c r="C48" s="115" t="s">
        <v>183</v>
      </c>
      <c r="D48" s="330" t="s">
        <v>216</v>
      </c>
      <c r="E48" s="331"/>
      <c r="F48" s="331"/>
      <c r="G48" s="332"/>
      <c r="H48" s="333" t="s">
        <v>234</v>
      </c>
      <c r="I48" s="334"/>
      <c r="J48" s="176" t="s">
        <v>326</v>
      </c>
    </row>
    <row r="49" spans="1:10" ht="30.75" customHeight="1">
      <c r="A49" s="110" t="s">
        <v>227</v>
      </c>
      <c r="B49" s="118" t="s">
        <v>217</v>
      </c>
      <c r="C49" s="115" t="s">
        <v>193</v>
      </c>
      <c r="D49" s="330" t="s">
        <v>216</v>
      </c>
      <c r="E49" s="331"/>
      <c r="F49" s="331"/>
      <c r="G49" s="332"/>
      <c r="H49" s="333" t="s">
        <v>234</v>
      </c>
      <c r="I49" s="334"/>
      <c r="J49" s="176" t="s">
        <v>326</v>
      </c>
    </row>
    <row r="50" spans="1:10" ht="30.75" customHeight="1">
      <c r="A50" s="105" t="s">
        <v>152</v>
      </c>
      <c r="B50" s="119" t="s">
        <v>218</v>
      </c>
      <c r="C50" s="107" t="s">
        <v>193</v>
      </c>
      <c r="D50" s="320" t="s">
        <v>216</v>
      </c>
      <c r="E50" s="321"/>
      <c r="F50" s="321"/>
      <c r="G50" s="322"/>
      <c r="H50" s="325"/>
      <c r="I50" s="326"/>
      <c r="J50" s="176" t="s">
        <v>326</v>
      </c>
    </row>
    <row r="51" spans="1:10" ht="30.75" customHeight="1">
      <c r="A51" s="105" t="s">
        <v>219</v>
      </c>
      <c r="B51" s="119" t="s">
        <v>220</v>
      </c>
      <c r="C51" s="107" t="s">
        <v>193</v>
      </c>
      <c r="D51" s="320" t="s">
        <v>216</v>
      </c>
      <c r="E51" s="321"/>
      <c r="F51" s="321"/>
      <c r="G51" s="322"/>
      <c r="H51" s="325"/>
      <c r="I51" s="326"/>
      <c r="J51" s="176" t="s">
        <v>326</v>
      </c>
    </row>
    <row r="52" spans="1:10" ht="30.75" customHeight="1">
      <c r="A52" s="110" t="s">
        <v>228</v>
      </c>
      <c r="B52" s="116" t="s">
        <v>221</v>
      </c>
      <c r="C52" s="115" t="s">
        <v>183</v>
      </c>
      <c r="D52" s="330" t="s">
        <v>216</v>
      </c>
      <c r="E52" s="331"/>
      <c r="F52" s="331"/>
      <c r="G52" s="332"/>
      <c r="H52" s="333" t="s">
        <v>234</v>
      </c>
      <c r="I52" s="334"/>
      <c r="J52" s="176" t="s">
        <v>326</v>
      </c>
    </row>
    <row r="53" spans="1:10" ht="30.75" customHeight="1">
      <c r="A53" s="105" t="s">
        <v>152</v>
      </c>
      <c r="B53" s="109" t="s">
        <v>222</v>
      </c>
      <c r="C53" s="107" t="s">
        <v>183</v>
      </c>
      <c r="D53" s="320" t="s">
        <v>216</v>
      </c>
      <c r="E53" s="321"/>
      <c r="F53" s="321"/>
      <c r="G53" s="322"/>
      <c r="H53" s="325"/>
      <c r="I53" s="326"/>
      <c r="J53" s="176" t="s">
        <v>326</v>
      </c>
    </row>
    <row r="54" spans="1:10" ht="30.75" customHeight="1">
      <c r="A54" s="105" t="s">
        <v>219</v>
      </c>
      <c r="B54" s="109" t="s">
        <v>223</v>
      </c>
      <c r="C54" s="107" t="s">
        <v>183</v>
      </c>
      <c r="D54" s="320" t="s">
        <v>216</v>
      </c>
      <c r="E54" s="321"/>
      <c r="F54" s="321"/>
      <c r="G54" s="322"/>
      <c r="H54" s="325"/>
      <c r="I54" s="326"/>
      <c r="J54" s="176" t="s">
        <v>326</v>
      </c>
    </row>
    <row r="55" spans="1:10" ht="30.75" customHeight="1">
      <c r="A55" s="110" t="s">
        <v>229</v>
      </c>
      <c r="B55" s="116" t="s">
        <v>194</v>
      </c>
      <c r="C55" s="115" t="s">
        <v>183</v>
      </c>
      <c r="D55" s="330" t="s">
        <v>190</v>
      </c>
      <c r="E55" s="331"/>
      <c r="F55" s="331"/>
      <c r="G55" s="332"/>
      <c r="H55" s="333" t="s">
        <v>233</v>
      </c>
      <c r="I55" s="334"/>
      <c r="J55" s="176" t="s">
        <v>326</v>
      </c>
    </row>
    <row r="56" spans="1:10" ht="30.75" customHeight="1">
      <c r="A56" s="105" t="s">
        <v>152</v>
      </c>
      <c r="B56" s="109" t="s">
        <v>195</v>
      </c>
      <c r="C56" s="107" t="s">
        <v>183</v>
      </c>
      <c r="D56" s="320" t="s">
        <v>190</v>
      </c>
      <c r="E56" s="321"/>
      <c r="F56" s="321"/>
      <c r="G56" s="322"/>
      <c r="H56" s="325"/>
      <c r="I56" s="326"/>
      <c r="J56" s="176" t="s">
        <v>327</v>
      </c>
    </row>
    <row r="57" spans="1:10" ht="30.75" customHeight="1">
      <c r="A57" s="105" t="s">
        <v>156</v>
      </c>
      <c r="B57" s="109" t="s">
        <v>196</v>
      </c>
      <c r="C57" s="107" t="s">
        <v>183</v>
      </c>
      <c r="D57" s="320" t="s">
        <v>190</v>
      </c>
      <c r="E57" s="321"/>
      <c r="F57" s="321"/>
      <c r="G57" s="322"/>
      <c r="H57" s="325"/>
      <c r="I57" s="326"/>
      <c r="J57" s="176" t="s">
        <v>327</v>
      </c>
    </row>
    <row r="58" spans="1:10" ht="30.75" customHeight="1">
      <c r="A58" s="105" t="s">
        <v>158</v>
      </c>
      <c r="B58" s="106" t="s">
        <v>197</v>
      </c>
      <c r="C58" s="107" t="s">
        <v>183</v>
      </c>
      <c r="D58" s="320" t="s">
        <v>190</v>
      </c>
      <c r="E58" s="321"/>
      <c r="F58" s="321"/>
      <c r="G58" s="322"/>
      <c r="H58" s="325"/>
      <c r="I58" s="326"/>
      <c r="J58" s="176" t="s">
        <v>327</v>
      </c>
    </row>
    <row r="59" spans="1:10" ht="30.75" customHeight="1">
      <c r="A59" s="105" t="s">
        <v>161</v>
      </c>
      <c r="B59" s="109" t="s">
        <v>198</v>
      </c>
      <c r="C59" s="107" t="s">
        <v>183</v>
      </c>
      <c r="D59" s="320" t="s">
        <v>190</v>
      </c>
      <c r="E59" s="321"/>
      <c r="F59" s="321"/>
      <c r="G59" s="322"/>
      <c r="H59" s="325"/>
      <c r="I59" s="326"/>
      <c r="J59" s="176" t="s">
        <v>327</v>
      </c>
    </row>
    <row r="60" spans="1:10" ht="30.75" customHeight="1">
      <c r="A60" s="105" t="s">
        <v>163</v>
      </c>
      <c r="B60" s="106" t="s">
        <v>199</v>
      </c>
      <c r="C60" s="107" t="s">
        <v>183</v>
      </c>
      <c r="D60" s="320" t="s">
        <v>190</v>
      </c>
      <c r="E60" s="321"/>
      <c r="F60" s="321"/>
      <c r="G60" s="322"/>
      <c r="H60" s="325"/>
      <c r="I60" s="326"/>
      <c r="J60" s="176" t="s">
        <v>327</v>
      </c>
    </row>
    <row r="61" spans="1:10" ht="30.75" customHeight="1">
      <c r="A61" s="105" t="s">
        <v>165</v>
      </c>
      <c r="B61" s="106" t="s">
        <v>200</v>
      </c>
      <c r="C61" s="107" t="s">
        <v>183</v>
      </c>
      <c r="D61" s="320" t="s">
        <v>190</v>
      </c>
      <c r="E61" s="321"/>
      <c r="F61" s="321"/>
      <c r="G61" s="322"/>
      <c r="H61" s="325"/>
      <c r="I61" s="326"/>
      <c r="J61" s="176" t="s">
        <v>327</v>
      </c>
    </row>
    <row r="62" spans="1:10" ht="30.75" customHeight="1">
      <c r="A62" s="105" t="s">
        <v>201</v>
      </c>
      <c r="B62" s="106" t="s">
        <v>202</v>
      </c>
      <c r="C62" s="107" t="s">
        <v>183</v>
      </c>
      <c r="D62" s="320" t="s">
        <v>190</v>
      </c>
      <c r="E62" s="321"/>
      <c r="F62" s="321"/>
      <c r="G62" s="322"/>
      <c r="H62" s="325"/>
      <c r="I62" s="326"/>
      <c r="J62" s="176" t="s">
        <v>327</v>
      </c>
    </row>
    <row r="63" spans="1:10" ht="30.75" customHeight="1">
      <c r="A63" s="110" t="s">
        <v>230</v>
      </c>
      <c r="B63" s="114" t="s">
        <v>203</v>
      </c>
      <c r="C63" s="115" t="s">
        <v>204</v>
      </c>
      <c r="D63" s="330" t="s">
        <v>205</v>
      </c>
      <c r="E63" s="331"/>
      <c r="F63" s="331"/>
      <c r="G63" s="332"/>
      <c r="H63" s="333" t="s">
        <v>232</v>
      </c>
      <c r="I63" s="334"/>
      <c r="J63" s="176" t="s">
        <v>326</v>
      </c>
    </row>
  </sheetData>
  <autoFilter ref="A16:I30">
    <filterColumn colId="3" showButton="0"/>
    <filterColumn colId="4" showButton="0"/>
    <filterColumn colId="5" showButton="0"/>
    <filterColumn colId="7" showButton="0"/>
  </autoFilter>
  <mergeCells count="115">
    <mergeCell ref="D62:G62"/>
    <mergeCell ref="H62:I62"/>
    <mergeCell ref="D63:G63"/>
    <mergeCell ref="H63:I63"/>
    <mergeCell ref="K17:K27"/>
    <mergeCell ref="K28:K30"/>
    <mergeCell ref="K31:K34"/>
    <mergeCell ref="D59:G59"/>
    <mergeCell ref="H59:I59"/>
    <mergeCell ref="D60:G60"/>
    <mergeCell ref="H60:I60"/>
    <mergeCell ref="D61:G61"/>
    <mergeCell ref="H61:I61"/>
    <mergeCell ref="D56:G56"/>
    <mergeCell ref="H56:I56"/>
    <mergeCell ref="D57:G57"/>
    <mergeCell ref="H57:I57"/>
    <mergeCell ref="D58:G58"/>
    <mergeCell ref="H58:I58"/>
    <mergeCell ref="D53:G53"/>
    <mergeCell ref="H53:I53"/>
    <mergeCell ref="D54:G54"/>
    <mergeCell ref="H54:I54"/>
    <mergeCell ref="D55:G55"/>
    <mergeCell ref="H55:I55"/>
    <mergeCell ref="D50:G50"/>
    <mergeCell ref="H50:I50"/>
    <mergeCell ref="D51:G51"/>
    <mergeCell ref="H51:I51"/>
    <mergeCell ref="D52:G52"/>
    <mergeCell ref="H52:I52"/>
    <mergeCell ref="D47:G47"/>
    <mergeCell ref="H47:I47"/>
    <mergeCell ref="D48:G48"/>
    <mergeCell ref="H48:I48"/>
    <mergeCell ref="D49:G49"/>
    <mergeCell ref="H49:I49"/>
    <mergeCell ref="D44:G44"/>
    <mergeCell ref="H44:I44"/>
    <mergeCell ref="D45:G45"/>
    <mergeCell ref="H45:I45"/>
    <mergeCell ref="D46:G46"/>
    <mergeCell ref="H46:I46"/>
    <mergeCell ref="D41:G41"/>
    <mergeCell ref="H41:I41"/>
    <mergeCell ref="D42:G42"/>
    <mergeCell ref="H42:I42"/>
    <mergeCell ref="D43:G43"/>
    <mergeCell ref="H43:I43"/>
    <mergeCell ref="D38:G38"/>
    <mergeCell ref="H38:I38"/>
    <mergeCell ref="D39:G39"/>
    <mergeCell ref="H39:I39"/>
    <mergeCell ref="D40:G40"/>
    <mergeCell ref="H40:I40"/>
    <mergeCell ref="D35:G35"/>
    <mergeCell ref="H35:I35"/>
    <mergeCell ref="D36:G36"/>
    <mergeCell ref="H36:I36"/>
    <mergeCell ref="D37:G37"/>
    <mergeCell ref="H37:I37"/>
    <mergeCell ref="D32:G32"/>
    <mergeCell ref="H32:I32"/>
    <mergeCell ref="D33:G33"/>
    <mergeCell ref="H33:I33"/>
    <mergeCell ref="D34:G34"/>
    <mergeCell ref="H34:I34"/>
    <mergeCell ref="D29:G29"/>
    <mergeCell ref="H29:I29"/>
    <mergeCell ref="D30:G30"/>
    <mergeCell ref="H30:I30"/>
    <mergeCell ref="D31:G31"/>
    <mergeCell ref="H31:I31"/>
    <mergeCell ref="D26:G26"/>
    <mergeCell ref="H26:I26"/>
    <mergeCell ref="D27:G27"/>
    <mergeCell ref="H27:I27"/>
    <mergeCell ref="D28:G28"/>
    <mergeCell ref="H28:I28"/>
    <mergeCell ref="D23:G23"/>
    <mergeCell ref="H23:I23"/>
    <mergeCell ref="D24:G24"/>
    <mergeCell ref="H24:I24"/>
    <mergeCell ref="D25:G25"/>
    <mergeCell ref="H25:I25"/>
    <mergeCell ref="D20:G20"/>
    <mergeCell ref="H20:I20"/>
    <mergeCell ref="D21:G21"/>
    <mergeCell ref="H21:I21"/>
    <mergeCell ref="D22:G22"/>
    <mergeCell ref="H22:I22"/>
    <mergeCell ref="D17:G17"/>
    <mergeCell ref="H17:I17"/>
    <mergeCell ref="D18:G18"/>
    <mergeCell ref="H18:I18"/>
    <mergeCell ref="D19:G19"/>
    <mergeCell ref="H19:I19"/>
    <mergeCell ref="A15:B15"/>
    <mergeCell ref="D16:G16"/>
    <mergeCell ref="H16:I16"/>
    <mergeCell ref="A8:B9"/>
    <mergeCell ref="C8:G8"/>
    <mergeCell ref="H8:H9"/>
    <mergeCell ref="I8:I9"/>
    <mergeCell ref="A10:B10"/>
    <mergeCell ref="A11:B11"/>
    <mergeCell ref="A1:I1"/>
    <mergeCell ref="A2:I2"/>
    <mergeCell ref="A3:B3"/>
    <mergeCell ref="A4:B4"/>
    <mergeCell ref="A5:B5"/>
    <mergeCell ref="A6:I6"/>
    <mergeCell ref="A12:B12"/>
    <mergeCell ref="A13:B13"/>
    <mergeCell ref="A14:B14"/>
  </mergeCells>
  <phoneticPr fontId="3" type="noConversion"/>
  <printOptions horizontalCentered="1"/>
  <pageMargins left="0.70866141732283472" right="0.70866141732283472" top="0.74803149606299213" bottom="0.74803149606299213" header="0.31496062992125984" footer="0.31496062992125984"/>
  <pageSetup paperSize="9" fitToHeight="50"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23"/>
  <sheetViews>
    <sheetView view="pageBreakPreview" zoomScaleSheetLayoutView="100" workbookViewId="0">
      <pane xSplit="1" ySplit="6" topLeftCell="B7" activePane="bottomRight" state="frozen"/>
      <selection activeCell="E4" sqref="E4"/>
      <selection pane="topRight" activeCell="E4" sqref="E4"/>
      <selection pane="bottomLeft" activeCell="E4" sqref="E4"/>
      <selection pane="bottomRight" sqref="A1:J1"/>
    </sheetView>
  </sheetViews>
  <sheetFormatPr defaultColWidth="9" defaultRowHeight="23.25" customHeight="1"/>
  <cols>
    <col min="1" max="1" width="25.77734375" style="2" customWidth="1"/>
    <col min="2" max="2" width="14.21875" style="2" customWidth="1"/>
    <col min="3" max="3" width="9.44140625" style="2" customWidth="1"/>
    <col min="4" max="4" width="14.33203125" style="2" bestFit="1" customWidth="1"/>
    <col min="5" max="5" width="13" style="2" customWidth="1"/>
    <col min="6" max="6" width="10.21875" style="2" customWidth="1"/>
    <col min="7" max="7" width="14.33203125" style="2" bestFit="1" customWidth="1"/>
    <col min="8" max="9" width="12" style="2" customWidth="1"/>
    <col min="10" max="11" width="13.44140625" style="2" customWidth="1"/>
    <col min="12" max="16384" width="9" style="2"/>
  </cols>
  <sheetData>
    <row r="1" spans="1:11" s="183" customFormat="1" ht="19.95" customHeight="1">
      <c r="A1" s="338" t="s">
        <v>335</v>
      </c>
      <c r="B1" s="338"/>
      <c r="C1" s="338"/>
      <c r="D1" s="338"/>
      <c r="E1" s="338"/>
      <c r="F1" s="338"/>
      <c r="G1" s="338"/>
      <c r="H1" s="338"/>
      <c r="I1" s="338"/>
      <c r="J1" s="338"/>
    </row>
    <row r="2" spans="1:11" s="192" customFormat="1" ht="19.95" customHeight="1">
      <c r="A2" s="339" t="s">
        <v>87</v>
      </c>
      <c r="B2" s="339"/>
      <c r="C2" s="339"/>
      <c r="D2" s="339"/>
      <c r="E2" s="339"/>
      <c r="F2" s="339"/>
      <c r="G2" s="339"/>
      <c r="H2" s="339"/>
      <c r="I2" s="339"/>
      <c r="J2" s="339"/>
    </row>
    <row r="3" spans="1:11" s="221" customFormat="1" ht="19.95" customHeight="1">
      <c r="A3" s="221" t="str">
        <f>底稿目录!A2</f>
        <v>被审计单位：</v>
      </c>
      <c r="D3" s="222" t="str">
        <f>底稿目录!A4</f>
        <v>编制人：</v>
      </c>
      <c r="G3" s="222" t="str">
        <f>底稿目录!A5</f>
        <v>编制日期：</v>
      </c>
      <c r="I3" s="222" t="s">
        <v>266</v>
      </c>
      <c r="J3" s="268" t="str">
        <f>底稿目录!F5</f>
        <v>G12-1</v>
      </c>
    </row>
    <row r="4" spans="1:11" s="221" customFormat="1" ht="19.95" customHeight="1">
      <c r="A4" s="221" t="str">
        <f>底稿目录!A3</f>
        <v>会计期间：202X年度</v>
      </c>
      <c r="B4" s="224"/>
      <c r="D4" s="222" t="str">
        <f>底稿目录!A6</f>
        <v>复核人：</v>
      </c>
      <c r="G4" s="222" t="str">
        <f>底稿目录!A7</f>
        <v>复核日期：</v>
      </c>
      <c r="I4" s="222" t="s">
        <v>382</v>
      </c>
    </row>
    <row r="5" spans="1:11" ht="19.95" customHeight="1">
      <c r="A5" s="340" t="s">
        <v>71</v>
      </c>
      <c r="B5" s="342" t="s">
        <v>86</v>
      </c>
      <c r="C5" s="343"/>
      <c r="D5" s="344"/>
      <c r="E5" s="342" t="s">
        <v>85</v>
      </c>
      <c r="F5" s="343"/>
      <c r="G5" s="344"/>
      <c r="H5" s="345" t="s">
        <v>72</v>
      </c>
      <c r="I5" s="346"/>
      <c r="J5" s="347" t="s">
        <v>73</v>
      </c>
    </row>
    <row r="6" spans="1:11" ht="19.95" customHeight="1">
      <c r="A6" s="341"/>
      <c r="B6" s="57" t="s">
        <v>74</v>
      </c>
      <c r="C6" s="120" t="s">
        <v>235</v>
      </c>
      <c r="D6" s="144" t="s">
        <v>75</v>
      </c>
      <c r="E6" s="57" t="s">
        <v>74</v>
      </c>
      <c r="F6" s="120" t="s">
        <v>235</v>
      </c>
      <c r="G6" s="57" t="s">
        <v>75</v>
      </c>
      <c r="H6" s="58" t="s">
        <v>76</v>
      </c>
      <c r="I6" s="59" t="s">
        <v>77</v>
      </c>
      <c r="J6" s="348"/>
    </row>
    <row r="7" spans="1:11" s="60" customFormat="1" ht="19.95" customHeight="1">
      <c r="A7" s="61" t="s">
        <v>102</v>
      </c>
      <c r="B7" s="62"/>
      <c r="C7" s="62"/>
      <c r="D7" s="145">
        <f>B7+C7</f>
        <v>0</v>
      </c>
      <c r="E7" s="62"/>
      <c r="F7" s="62"/>
      <c r="G7" s="146">
        <f>E7+F7</f>
        <v>0</v>
      </c>
      <c r="H7" s="150">
        <f>D7-G7</f>
        <v>0</v>
      </c>
      <c r="I7" s="149" t="str">
        <f t="shared" ref="I7:I12" si="0">IF(AND(G7=0,D7=0),"",IF(AND(G7=0,D7&gt;0),1,H7/G7))</f>
        <v/>
      </c>
      <c r="J7" s="63"/>
    </row>
    <row r="8" spans="1:11" s="60" customFormat="1" ht="19.95" customHeight="1">
      <c r="A8" s="64"/>
      <c r="B8" s="62"/>
      <c r="C8" s="62"/>
      <c r="D8" s="146">
        <f t="shared" ref="D8:D11" si="1">B8+C8</f>
        <v>0</v>
      </c>
      <c r="E8" s="62"/>
      <c r="F8" s="62"/>
      <c r="G8" s="146">
        <f t="shared" ref="G8:G11" si="2">E8+F8</f>
        <v>0</v>
      </c>
      <c r="H8" s="150">
        <f>D8-G8</f>
        <v>0</v>
      </c>
      <c r="I8" s="149" t="str">
        <f t="shared" si="0"/>
        <v/>
      </c>
      <c r="J8" s="63"/>
    </row>
    <row r="9" spans="1:11" s="60" customFormat="1" ht="19.95" customHeight="1">
      <c r="A9" s="64"/>
      <c r="B9" s="62"/>
      <c r="C9" s="62"/>
      <c r="D9" s="146">
        <f t="shared" si="1"/>
        <v>0</v>
      </c>
      <c r="E9" s="62"/>
      <c r="F9" s="62"/>
      <c r="G9" s="146">
        <f t="shared" si="2"/>
        <v>0</v>
      </c>
      <c r="H9" s="150">
        <f>D9-G9</f>
        <v>0</v>
      </c>
      <c r="I9" s="149" t="str">
        <f t="shared" si="0"/>
        <v/>
      </c>
      <c r="J9" s="63"/>
    </row>
    <row r="10" spans="1:11" s="60" customFormat="1" ht="19.95" customHeight="1">
      <c r="A10" s="64"/>
      <c r="B10" s="62"/>
      <c r="C10" s="62"/>
      <c r="D10" s="146">
        <f t="shared" si="1"/>
        <v>0</v>
      </c>
      <c r="E10" s="62"/>
      <c r="F10" s="62"/>
      <c r="G10" s="146">
        <f t="shared" si="2"/>
        <v>0</v>
      </c>
      <c r="H10" s="150">
        <f>D10-G10</f>
        <v>0</v>
      </c>
      <c r="I10" s="149" t="str">
        <f t="shared" si="0"/>
        <v/>
      </c>
      <c r="J10" s="63"/>
    </row>
    <row r="11" spans="1:11" s="60" customFormat="1" ht="19.95" customHeight="1">
      <c r="A11" s="64"/>
      <c r="B11" s="62"/>
      <c r="C11" s="62"/>
      <c r="D11" s="146">
        <f t="shared" si="1"/>
        <v>0</v>
      </c>
      <c r="E11" s="62"/>
      <c r="F11" s="62"/>
      <c r="G11" s="146">
        <f t="shared" si="2"/>
        <v>0</v>
      </c>
      <c r="H11" s="150">
        <f>D11-G11</f>
        <v>0</v>
      </c>
      <c r="I11" s="149" t="str">
        <f t="shared" si="0"/>
        <v/>
      </c>
      <c r="J11" s="63"/>
    </row>
    <row r="12" spans="1:11" s="60" customFormat="1" ht="19.95" customHeight="1">
      <c r="A12" s="148" t="s">
        <v>20</v>
      </c>
      <c r="B12" s="158">
        <f t="shared" ref="B12:H12" si="3">SUM(B7:B11)</f>
        <v>0</v>
      </c>
      <c r="C12" s="158">
        <f t="shared" si="3"/>
        <v>0</v>
      </c>
      <c r="D12" s="158">
        <f t="shared" si="3"/>
        <v>0</v>
      </c>
      <c r="E12" s="158">
        <f t="shared" si="3"/>
        <v>0</v>
      </c>
      <c r="F12" s="158">
        <f t="shared" si="3"/>
        <v>0</v>
      </c>
      <c r="G12" s="158">
        <f t="shared" si="3"/>
        <v>0</v>
      </c>
      <c r="H12" s="158">
        <f t="shared" si="3"/>
        <v>0</v>
      </c>
      <c r="I12" s="149" t="str">
        <f t="shared" si="0"/>
        <v/>
      </c>
      <c r="J12" s="149"/>
    </row>
    <row r="13" spans="1:11" s="60" customFormat="1" ht="19.95" customHeight="1">
      <c r="A13" s="128" t="s">
        <v>242</v>
      </c>
      <c r="B13" s="69"/>
      <c r="C13" s="129"/>
      <c r="D13" s="129"/>
      <c r="E13" s="129"/>
      <c r="F13" s="129"/>
      <c r="G13" s="129"/>
      <c r="H13" s="129"/>
      <c r="I13" s="129"/>
      <c r="J13" s="68"/>
    </row>
    <row r="14" spans="1:11" s="60" customFormat="1" ht="19.95" customHeight="1">
      <c r="A14" s="128" t="s">
        <v>243</v>
      </c>
      <c r="B14" s="69"/>
      <c r="C14" s="69"/>
      <c r="D14" s="147">
        <f>D12-D13</f>
        <v>0</v>
      </c>
      <c r="E14" s="69"/>
      <c r="F14" s="69"/>
      <c r="G14" s="147">
        <f>G12-G13</f>
        <v>0</v>
      </c>
      <c r="H14" s="266"/>
      <c r="I14" s="266"/>
      <c r="J14" s="2"/>
    </row>
    <row r="15" spans="1:11" s="69" customFormat="1" ht="19.95" customHeight="1">
      <c r="A15" s="264" t="s">
        <v>78</v>
      </c>
      <c r="B15" s="55"/>
      <c r="C15" s="55"/>
      <c r="D15" s="55"/>
      <c r="E15" s="265"/>
      <c r="F15" s="265"/>
      <c r="G15" s="74"/>
      <c r="H15" s="2"/>
      <c r="I15" s="2"/>
      <c r="J15" s="2"/>
      <c r="K15" s="2"/>
    </row>
    <row r="16" spans="1:11" s="73" customFormat="1" ht="19.95" customHeight="1">
      <c r="A16" s="70" t="s">
        <v>88</v>
      </c>
      <c r="B16" s="70"/>
      <c r="C16" s="70"/>
      <c r="D16" s="151">
        <f>IF(AND(G12=0,D12=0),0,IF(AND(G12=0,D12&gt;0),1,(D12-G12)/G12))</f>
        <v>0</v>
      </c>
      <c r="E16" s="71"/>
      <c r="F16" s="71"/>
      <c r="G16" s="71"/>
      <c r="H16" s="71"/>
      <c r="I16" s="71"/>
      <c r="J16" s="2"/>
      <c r="K16" s="2"/>
    </row>
    <row r="17" spans="1:11" s="69" customFormat="1" ht="19.95" customHeight="1">
      <c r="A17" s="70" t="s">
        <v>79</v>
      </c>
      <c r="B17" s="70"/>
      <c r="C17" s="70"/>
      <c r="D17" s="70"/>
      <c r="E17" s="70"/>
      <c r="F17" s="70"/>
      <c r="G17" s="70"/>
      <c r="H17" s="70"/>
      <c r="I17" s="70"/>
      <c r="J17" s="2"/>
      <c r="K17" s="2"/>
    </row>
    <row r="18" spans="1:11" s="73" customFormat="1" ht="19.95" customHeight="1">
      <c r="A18" s="70"/>
      <c r="B18" s="70"/>
      <c r="C18" s="70"/>
      <c r="D18" s="70"/>
      <c r="E18" s="70"/>
      <c r="F18" s="70"/>
      <c r="G18" s="70"/>
      <c r="H18" s="70"/>
      <c r="I18" s="70"/>
      <c r="J18" s="2"/>
      <c r="K18" s="2"/>
    </row>
    <row r="19" spans="1:11" s="73" customFormat="1" ht="19.95" customHeight="1">
      <c r="A19" s="72" t="s">
        <v>81</v>
      </c>
      <c r="B19" s="70"/>
      <c r="C19" s="70"/>
      <c r="D19" s="70"/>
      <c r="E19" s="70"/>
      <c r="F19" s="70"/>
      <c r="G19" s="70"/>
      <c r="H19" s="70"/>
      <c r="I19" s="70"/>
      <c r="J19" s="2"/>
      <c r="K19" s="2"/>
    </row>
    <row r="20" spans="1:11" s="73" customFormat="1" ht="19.95" customHeight="1">
      <c r="B20" s="72"/>
      <c r="C20" s="72"/>
      <c r="D20" s="72"/>
      <c r="E20" s="72"/>
      <c r="F20" s="72"/>
      <c r="G20" s="72"/>
      <c r="H20" s="72"/>
      <c r="I20" s="72"/>
      <c r="J20" s="2"/>
      <c r="K20" s="2"/>
    </row>
    <row r="21" spans="1:11" s="73" customFormat="1" ht="19.95" customHeight="1">
      <c r="B21" s="72"/>
      <c r="C21" s="72"/>
      <c r="D21" s="72"/>
      <c r="E21" s="72"/>
      <c r="F21" s="72"/>
      <c r="G21" s="72"/>
      <c r="H21" s="72"/>
      <c r="I21" s="72"/>
      <c r="J21" s="2"/>
      <c r="K21" s="2"/>
    </row>
    <row r="22" spans="1:11" s="73" customFormat="1" ht="19.95" customHeight="1">
      <c r="A22" s="74" t="s">
        <v>80</v>
      </c>
      <c r="B22" s="72"/>
      <c r="C22" s="72"/>
      <c r="D22" s="72"/>
      <c r="E22" s="72"/>
      <c r="F22" s="72"/>
      <c r="G22" s="72"/>
      <c r="H22" s="72"/>
      <c r="I22" s="72"/>
      <c r="J22" s="2"/>
      <c r="K22" s="2"/>
    </row>
    <row r="23" spans="1:11" ht="19.95" customHeight="1">
      <c r="A23" s="74"/>
      <c r="B23" s="70"/>
      <c r="C23" s="70"/>
      <c r="D23" s="70"/>
      <c r="E23" s="70"/>
      <c r="F23" s="70"/>
      <c r="G23" s="70"/>
      <c r="H23" s="70"/>
      <c r="I23" s="70"/>
    </row>
  </sheetData>
  <mergeCells count="7">
    <mergeCell ref="A1:J1"/>
    <mergeCell ref="A2:J2"/>
    <mergeCell ref="A5:A6"/>
    <mergeCell ref="B5:D5"/>
    <mergeCell ref="E5:G5"/>
    <mergeCell ref="H5:I5"/>
    <mergeCell ref="J5:J6"/>
  </mergeCells>
  <phoneticPr fontId="3" type="noConversion"/>
  <hyperlinks>
    <hyperlink ref="J3" location="底稿目录!F5" display="底稿目录!F5"/>
  </hyperlinks>
  <printOptions horizontalCentered="1"/>
  <pageMargins left="0.70866141732283472" right="0.70866141732283472" top="0.74803149606299213" bottom="0.74803149606299213" header="0.31496062992125984" footer="0.31496062992125984"/>
  <pageSetup paperSize="9" scale="96" fitToHeight="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12"/>
  <sheetViews>
    <sheetView view="pageBreakPreview" zoomScaleSheetLayoutView="100" workbookViewId="0">
      <selection sqref="A1:D1"/>
    </sheetView>
  </sheetViews>
  <sheetFormatPr defaultColWidth="9" defaultRowHeight="13.8"/>
  <cols>
    <col min="1" max="1" width="27.21875" style="45" customWidth="1"/>
    <col min="2" max="2" width="16.33203125" style="45" customWidth="1"/>
    <col min="3" max="3" width="12.33203125" style="45" customWidth="1"/>
    <col min="4" max="4" width="12.88671875" style="45" customWidth="1"/>
    <col min="5" max="16384" width="9" style="45"/>
  </cols>
  <sheetData>
    <row r="1" spans="1:5" s="186" customFormat="1" ht="20.25" customHeight="1">
      <c r="A1" s="349" t="s">
        <v>335</v>
      </c>
      <c r="B1" s="349"/>
      <c r="C1" s="349"/>
      <c r="D1" s="349"/>
    </row>
    <row r="2" spans="1:5" s="191" customFormat="1" ht="25.05" customHeight="1">
      <c r="A2" s="350" t="s">
        <v>338</v>
      </c>
      <c r="B2" s="350"/>
      <c r="C2" s="350"/>
      <c r="D2" s="350"/>
    </row>
    <row r="3" spans="1:5" s="213" customFormat="1" ht="20.25" customHeight="1">
      <c r="A3" s="213" t="str">
        <f>底稿目录!A2</f>
        <v>被审计单位：</v>
      </c>
      <c r="B3" s="215" t="str">
        <f>底稿目录!A4</f>
        <v>编制人：</v>
      </c>
      <c r="C3" s="216" t="str">
        <f>底稿目录!A5</f>
        <v>编制日期：</v>
      </c>
      <c r="D3" s="215" t="s">
        <v>266</v>
      </c>
      <c r="E3" s="213">
        <f>底稿目录!F6</f>
        <v>0</v>
      </c>
    </row>
    <row r="4" spans="1:5" s="213" customFormat="1" ht="20.25" customHeight="1">
      <c r="A4" s="225" t="str">
        <f>底稿目录!A3</f>
        <v>会计期间：202X年度</v>
      </c>
      <c r="B4" s="215" t="str">
        <f>底稿目录!A6</f>
        <v>复核人：</v>
      </c>
      <c r="C4" s="216" t="str">
        <f>底稿目录!A7</f>
        <v>复核日期：</v>
      </c>
      <c r="D4" s="215" t="s">
        <v>380</v>
      </c>
    </row>
    <row r="5" spans="1:5" s="44" customFormat="1" ht="20.25" customHeight="1">
      <c r="A5" s="53" t="s">
        <v>69</v>
      </c>
    </row>
    <row r="6" spans="1:5" s="44" customFormat="1" ht="20.25" customHeight="1" thickBot="1">
      <c r="A6" s="33" t="s">
        <v>89</v>
      </c>
      <c r="B6" s="54"/>
      <c r="C6" s="54"/>
      <c r="D6" s="54"/>
    </row>
    <row r="7" spans="1:5" s="44" customFormat="1" ht="20.25" customHeight="1" thickBot="1">
      <c r="A7" s="141" t="s">
        <v>260</v>
      </c>
      <c r="B7" s="142" t="s">
        <v>256</v>
      </c>
      <c r="C7" s="142" t="s">
        <v>257</v>
      </c>
    </row>
    <row r="8" spans="1:5" s="44" customFormat="1" ht="20.25" customHeight="1">
      <c r="A8" s="33"/>
      <c r="B8" s="140"/>
      <c r="C8" s="140"/>
    </row>
    <row r="9" spans="1:5" s="44" customFormat="1" ht="20.25" customHeight="1">
      <c r="A9" s="33"/>
      <c r="B9" s="140"/>
      <c r="C9" s="140"/>
    </row>
    <row r="10" spans="1:5" s="44" customFormat="1" ht="20.25" customHeight="1" thickBot="1">
      <c r="A10" s="33"/>
      <c r="B10" s="140"/>
      <c r="C10" s="140"/>
    </row>
    <row r="11" spans="1:5" s="44" customFormat="1" ht="20.25" customHeight="1" thickBot="1">
      <c r="A11" s="141" t="s">
        <v>261</v>
      </c>
      <c r="B11" s="143">
        <f>SUM(B8:B10)</f>
        <v>0</v>
      </c>
      <c r="C11" s="143">
        <f>SUM(C8:C10)</f>
        <v>0</v>
      </c>
    </row>
    <row r="12" spans="1:5" s="44" customFormat="1" ht="20.25" customHeight="1">
      <c r="A12" s="34"/>
      <c r="B12" s="34"/>
      <c r="C12" s="34"/>
      <c r="D12" s="34"/>
    </row>
  </sheetData>
  <mergeCells count="2">
    <mergeCell ref="A1:D1"/>
    <mergeCell ref="A2:D2"/>
  </mergeCells>
  <phoneticPr fontId="3"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11"/>
  <sheetViews>
    <sheetView view="pageBreakPreview" zoomScaleSheetLayoutView="100" workbookViewId="0">
      <selection activeCell="E4" sqref="E4"/>
    </sheetView>
  </sheetViews>
  <sheetFormatPr defaultColWidth="9" defaultRowHeight="13.8"/>
  <cols>
    <col min="1" max="1" width="35.21875" style="45" customWidth="1"/>
    <col min="2" max="2" width="13.77734375" style="45" customWidth="1"/>
    <col min="3" max="3" width="12.33203125" style="45" customWidth="1"/>
    <col min="4" max="4" width="12.88671875" style="45" customWidth="1"/>
    <col min="5" max="16384" width="9" style="45"/>
  </cols>
  <sheetData>
    <row r="1" spans="1:5" s="186" customFormat="1" ht="20.25" customHeight="1">
      <c r="A1" s="349" t="s">
        <v>335</v>
      </c>
      <c r="B1" s="349"/>
      <c r="C1" s="349"/>
      <c r="D1" s="349"/>
    </row>
    <row r="2" spans="1:5" s="191" customFormat="1" ht="25.05" customHeight="1">
      <c r="A2" s="350" t="s">
        <v>83</v>
      </c>
      <c r="B2" s="350"/>
      <c r="C2" s="350"/>
      <c r="D2" s="350"/>
    </row>
    <row r="3" spans="1:5" s="213" customFormat="1" ht="20.25" customHeight="1">
      <c r="A3" s="213" t="str">
        <f>底稿目录!A2</f>
        <v>被审计单位：</v>
      </c>
      <c r="B3" s="215" t="str">
        <f>底稿目录!A4</f>
        <v>编制人：</v>
      </c>
      <c r="C3" s="216" t="str">
        <f>底稿目录!A5</f>
        <v>编制日期：</v>
      </c>
      <c r="D3" s="215" t="s">
        <v>266</v>
      </c>
      <c r="E3" s="213">
        <f>底稿目录!F7</f>
        <v>0</v>
      </c>
    </row>
    <row r="4" spans="1:5" s="213" customFormat="1" ht="20.25" customHeight="1">
      <c r="A4" s="225" t="str">
        <f>底稿目录!A3</f>
        <v>会计期间：202X年度</v>
      </c>
      <c r="B4" s="215" t="str">
        <f>底稿目录!A6</f>
        <v>复核人：</v>
      </c>
      <c r="C4" s="216" t="str">
        <f>底稿目录!A7</f>
        <v>复核日期：</v>
      </c>
      <c r="D4" s="215" t="s">
        <v>380</v>
      </c>
    </row>
    <row r="5" spans="1:5" s="44" customFormat="1" ht="20.25" customHeight="1">
      <c r="A5" s="53" t="s">
        <v>69</v>
      </c>
    </row>
    <row r="6" spans="1:5" s="44" customFormat="1" ht="20.25" customHeight="1" thickBot="1">
      <c r="A6" s="33" t="s">
        <v>89</v>
      </c>
      <c r="B6" s="54"/>
      <c r="C6" s="54"/>
      <c r="D6" s="54"/>
    </row>
    <row r="7" spans="1:5" s="44" customFormat="1" ht="20.25" customHeight="1" thickBot="1">
      <c r="A7" s="141" t="s">
        <v>258</v>
      </c>
      <c r="B7" s="142" t="s">
        <v>256</v>
      </c>
      <c r="C7" s="142" t="s">
        <v>257</v>
      </c>
    </row>
    <row r="8" spans="1:5" s="44" customFormat="1" ht="31.2">
      <c r="A8" s="33" t="s">
        <v>254</v>
      </c>
      <c r="B8" s="140"/>
      <c r="C8" s="140"/>
    </row>
    <row r="9" spans="1:5" s="44" customFormat="1" ht="31.8" thickBot="1">
      <c r="A9" s="33" t="s">
        <v>255</v>
      </c>
      <c r="B9" s="140"/>
      <c r="C9" s="140"/>
    </row>
    <row r="10" spans="1:5" s="44" customFormat="1" ht="20.25" customHeight="1" thickBot="1">
      <c r="A10" s="141" t="s">
        <v>259</v>
      </c>
      <c r="B10" s="143">
        <f>SUM(B8:B9)</f>
        <v>0</v>
      </c>
      <c r="C10" s="143">
        <f>SUM(C8:C9)</f>
        <v>0</v>
      </c>
    </row>
    <row r="11" spans="1:5" s="44" customFormat="1" ht="20.25" customHeight="1">
      <c r="A11" s="34"/>
      <c r="B11" s="34"/>
      <c r="C11" s="34"/>
      <c r="D11" s="34"/>
    </row>
  </sheetData>
  <mergeCells count="2">
    <mergeCell ref="A1:D1"/>
    <mergeCell ref="A2:D2"/>
  </mergeCells>
  <phoneticPr fontId="3" type="noConversion"/>
  <printOptions horizontalCentered="1"/>
  <pageMargins left="0.70866141732283472" right="0.70866141732283472" top="0.74803149606299213" bottom="0.74803149606299213" header="0.31496062992125984" footer="0.31496062992125984"/>
  <pageSetup paperSize="9" fitToHeight="100"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O25"/>
  <sheetViews>
    <sheetView showZeros="0" view="pageBreakPreview" zoomScaleNormal="115" zoomScaleSheetLayoutView="100" workbookViewId="0">
      <selection sqref="A1:J1"/>
    </sheetView>
  </sheetViews>
  <sheetFormatPr defaultColWidth="9" defaultRowHeight="13.8"/>
  <cols>
    <col min="1" max="1" width="31.44140625" style="3" customWidth="1"/>
    <col min="2" max="2" width="13.109375" style="3" customWidth="1"/>
    <col min="3" max="3" width="35.21875" style="3" customWidth="1"/>
    <col min="4" max="4" width="12.21875" style="3" customWidth="1"/>
    <col min="5" max="5" width="14.33203125" style="3" customWidth="1"/>
    <col min="6" max="6" width="12.77734375" style="3" customWidth="1"/>
    <col min="7" max="7" width="7" style="3" customWidth="1"/>
    <col min="8" max="8" width="14.109375" style="3" customWidth="1"/>
    <col min="9" max="9" width="11.44140625" style="3" customWidth="1"/>
    <col min="10" max="10" width="8.88671875" style="3" customWidth="1"/>
    <col min="11" max="16384" width="9" style="3"/>
  </cols>
  <sheetData>
    <row r="1" spans="1:15" s="185" customFormat="1" ht="20.25" customHeight="1">
      <c r="A1" s="353" t="s">
        <v>336</v>
      </c>
      <c r="B1" s="353"/>
      <c r="C1" s="353"/>
      <c r="D1" s="353"/>
      <c r="E1" s="353"/>
      <c r="F1" s="353"/>
      <c r="G1" s="353"/>
      <c r="H1" s="353"/>
      <c r="I1" s="353"/>
      <c r="J1" s="353"/>
    </row>
    <row r="2" spans="1:15" s="189" customFormat="1" ht="25.05" customHeight="1">
      <c r="A2" s="354" t="s">
        <v>97</v>
      </c>
      <c r="B2" s="354"/>
      <c r="C2" s="354"/>
      <c r="D2" s="354"/>
      <c r="E2" s="354"/>
      <c r="F2" s="354"/>
      <c r="G2" s="354"/>
      <c r="H2" s="354"/>
      <c r="I2" s="354"/>
      <c r="J2" s="354"/>
    </row>
    <row r="3" spans="1:15" s="213" customFormat="1" ht="20.25" customHeight="1">
      <c r="A3" s="221" t="str">
        <f>底稿目录!A2</f>
        <v>被审计单位：</v>
      </c>
      <c r="B3" s="221"/>
      <c r="C3" s="222" t="str">
        <f>底稿目录!A4</f>
        <v>编制人：</v>
      </c>
      <c r="E3" s="223" t="str">
        <f>底稿目录!A5</f>
        <v>编制日期：</v>
      </c>
      <c r="I3" s="222" t="s">
        <v>266</v>
      </c>
      <c r="J3" s="268" t="str">
        <f>底稿目录!F8</f>
        <v>G12-2</v>
      </c>
    </row>
    <row r="4" spans="1:15" s="213" customFormat="1" ht="20.25" customHeight="1">
      <c r="A4" s="221" t="str">
        <f>底稿目录!A3</f>
        <v>会计期间：202X年度</v>
      </c>
      <c r="B4" s="224"/>
      <c r="C4" s="222" t="str">
        <f>底稿目录!A6</f>
        <v>复核人：</v>
      </c>
      <c r="E4" s="223" t="str">
        <f>底稿目录!A7</f>
        <v>复核日期：</v>
      </c>
      <c r="I4" s="222" t="s">
        <v>90</v>
      </c>
    </row>
    <row r="5" spans="1:15" ht="20.25" customHeight="1">
      <c r="A5" s="85" t="s">
        <v>91</v>
      </c>
      <c r="B5" s="89" t="s">
        <v>328</v>
      </c>
      <c r="C5" s="55"/>
      <c r="D5" s="55"/>
      <c r="E5" s="55"/>
      <c r="F5" s="55"/>
      <c r="I5" s="2"/>
      <c r="O5" s="86"/>
    </row>
    <row r="6" spans="1:15" ht="20.25" customHeight="1">
      <c r="A6" s="87" t="s">
        <v>92</v>
      </c>
      <c r="B6" s="56"/>
      <c r="C6" s="55"/>
      <c r="D6" s="55"/>
      <c r="E6" s="55"/>
      <c r="F6" s="55"/>
      <c r="I6" s="2"/>
      <c r="O6" s="86"/>
    </row>
    <row r="7" spans="1:15" s="88" customFormat="1" ht="23.25" customHeight="1">
      <c r="A7" s="355" t="s">
        <v>93</v>
      </c>
      <c r="B7" s="351" t="s">
        <v>104</v>
      </c>
      <c r="C7" s="351" t="s">
        <v>106</v>
      </c>
      <c r="D7" s="357" t="s">
        <v>107</v>
      </c>
      <c r="E7" s="358"/>
      <c r="F7" s="358"/>
      <c r="G7" s="344"/>
      <c r="H7" s="351" t="s">
        <v>114</v>
      </c>
      <c r="I7" s="351" t="s">
        <v>111</v>
      </c>
      <c r="J7" s="351" t="s">
        <v>112</v>
      </c>
    </row>
    <row r="8" spans="1:15" s="88" customFormat="1" ht="48">
      <c r="A8" s="356"/>
      <c r="B8" s="352"/>
      <c r="C8" s="352"/>
      <c r="D8" s="84" t="s">
        <v>108</v>
      </c>
      <c r="E8" s="84" t="s">
        <v>109</v>
      </c>
      <c r="F8" s="84" t="s">
        <v>113</v>
      </c>
      <c r="G8" s="84" t="s">
        <v>110</v>
      </c>
      <c r="H8" s="352"/>
      <c r="I8" s="352"/>
      <c r="J8" s="352"/>
    </row>
    <row r="9" spans="1:15" ht="20.25" customHeight="1">
      <c r="A9" s="271" t="s">
        <v>103</v>
      </c>
      <c r="B9" s="272" t="s">
        <v>424</v>
      </c>
      <c r="C9" s="272" t="s">
        <v>425</v>
      </c>
      <c r="D9" s="273">
        <v>-200000</v>
      </c>
      <c r="E9" s="273">
        <v>1000000</v>
      </c>
      <c r="F9" s="273">
        <v>-1200000</v>
      </c>
      <c r="G9" s="273" t="b">
        <f>D9=SUM(E9:F9)</f>
        <v>1</v>
      </c>
      <c r="H9" s="273"/>
      <c r="I9" s="273">
        <f>E9+H9</f>
        <v>1000000</v>
      </c>
      <c r="J9" s="234"/>
    </row>
    <row r="10" spans="1:15" ht="20.25" customHeight="1">
      <c r="A10" s="271" t="s">
        <v>103</v>
      </c>
      <c r="B10" s="272"/>
      <c r="C10" s="272"/>
      <c r="D10" s="273"/>
      <c r="E10" s="273"/>
      <c r="F10" s="273"/>
      <c r="G10" s="273"/>
      <c r="H10" s="273">
        <v>-240000</v>
      </c>
      <c r="I10" s="273">
        <f>E10+H10</f>
        <v>-240000</v>
      </c>
      <c r="J10" s="234"/>
    </row>
    <row r="11" spans="1:15" ht="20.25" customHeight="1">
      <c r="A11" s="234"/>
      <c r="B11" s="234"/>
      <c r="C11" s="234"/>
      <c r="D11" s="90"/>
      <c r="E11" s="90"/>
      <c r="F11" s="90"/>
      <c r="G11" s="90"/>
      <c r="H11" s="90"/>
      <c r="I11" s="90"/>
      <c r="J11" s="234"/>
    </row>
    <row r="12" spans="1:15" ht="20.25" customHeight="1">
      <c r="A12" s="234"/>
      <c r="B12" s="234"/>
      <c r="C12" s="234"/>
      <c r="D12" s="90"/>
      <c r="E12" s="90"/>
      <c r="F12" s="90"/>
      <c r="G12" s="90"/>
      <c r="H12" s="90"/>
      <c r="I12" s="90"/>
      <c r="J12" s="234"/>
    </row>
    <row r="13" spans="1:15" ht="20.25" customHeight="1">
      <c r="A13" s="234"/>
      <c r="B13" s="234"/>
      <c r="C13" s="234"/>
      <c r="D13" s="90"/>
      <c r="E13" s="90"/>
      <c r="F13" s="90"/>
      <c r="G13" s="90"/>
      <c r="H13" s="90"/>
      <c r="I13" s="90"/>
      <c r="J13" s="234"/>
    </row>
    <row r="14" spans="1:15" ht="20.25" customHeight="1">
      <c r="A14" s="148" t="s">
        <v>98</v>
      </c>
      <c r="B14" s="152">
        <f>SUM(B9,B12,B13:B13)</f>
        <v>0</v>
      </c>
      <c r="C14" s="152">
        <f>SUM(C9:C13)</f>
        <v>0</v>
      </c>
      <c r="D14" s="152">
        <f>SUM(D9:D13)</f>
        <v>-200000</v>
      </c>
      <c r="E14" s="152">
        <f>SUM(E9:E13)</f>
        <v>1000000</v>
      </c>
      <c r="F14" s="152">
        <f t="shared" ref="F14:J14" si="0">SUM(F9:F13)</f>
        <v>-1200000</v>
      </c>
      <c r="G14" s="152">
        <f t="shared" si="0"/>
        <v>0</v>
      </c>
      <c r="H14" s="152"/>
      <c r="I14" s="152">
        <f>SUM(I7:I13)</f>
        <v>760000</v>
      </c>
      <c r="J14" s="152">
        <f t="shared" si="0"/>
        <v>0</v>
      </c>
    </row>
    <row r="15" spans="1:15" ht="20.25" customHeight="1">
      <c r="A15" s="6" t="s">
        <v>94</v>
      </c>
      <c r="E15" s="6" t="s">
        <v>95</v>
      </c>
    </row>
    <row r="16" spans="1:15" ht="20.25" customHeight="1"/>
    <row r="17" spans="1:1" ht="20.25" customHeight="1"/>
    <row r="18" spans="1:1" ht="20.25" customHeight="1"/>
    <row r="19" spans="1:1" ht="20.25" customHeight="1"/>
    <row r="20" spans="1:1" ht="15" customHeight="1">
      <c r="A20" s="1" t="s">
        <v>96</v>
      </c>
    </row>
    <row r="21" spans="1:1" ht="15" customHeight="1">
      <c r="A21" s="1" t="s">
        <v>99</v>
      </c>
    </row>
    <row r="22" spans="1:1" ht="15" customHeight="1">
      <c r="A22" s="1" t="s">
        <v>101</v>
      </c>
    </row>
    <row r="23" spans="1:1" ht="15" customHeight="1">
      <c r="A23" s="1" t="s">
        <v>100</v>
      </c>
    </row>
    <row r="24" spans="1:1" ht="15" customHeight="1">
      <c r="A24" s="1" t="s">
        <v>339</v>
      </c>
    </row>
    <row r="25" spans="1:1">
      <c r="A25" s="1" t="s">
        <v>340</v>
      </c>
    </row>
  </sheetData>
  <mergeCells count="9">
    <mergeCell ref="I7:I8"/>
    <mergeCell ref="J7:J8"/>
    <mergeCell ref="H7:H8"/>
    <mergeCell ref="A1:J1"/>
    <mergeCell ref="A2:J2"/>
    <mergeCell ref="A7:A8"/>
    <mergeCell ref="B7:B8"/>
    <mergeCell ref="C7:C8"/>
    <mergeCell ref="D7:G7"/>
  </mergeCells>
  <phoneticPr fontId="3" type="noConversion"/>
  <hyperlinks>
    <hyperlink ref="J3" location="底稿目录!F8" display="底稿目录!F8"/>
  </hyperlinks>
  <printOptions horizontalCentered="1"/>
  <pageMargins left="0.70866141732283472" right="0.70866141732283472" top="0.74803149606299213" bottom="0.74803149606299213" header="0.31496062992125984" footer="0.31496062992125984"/>
  <pageSetup paperSize="9" scale="83" fitToHeight="0" orientation="landscape" blackAndWhite="1" r:id="rId1"/>
  <headerFooter>
    <oddFooter>&amp;C&amp;P/&amp;N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3"/>
  <sheetViews>
    <sheetView view="pageBreakPreview" zoomScaleNormal="100" zoomScaleSheetLayoutView="100" workbookViewId="0">
      <selection activeCell="K20" sqref="K20"/>
    </sheetView>
  </sheetViews>
  <sheetFormatPr defaultColWidth="8.88671875" defaultRowHeight="15.6"/>
  <cols>
    <col min="1" max="1" width="21.33203125" style="130" customWidth="1"/>
    <col min="2" max="2" width="17.33203125" style="130" customWidth="1"/>
    <col min="3" max="3" width="16" style="130" customWidth="1"/>
    <col min="4" max="4" width="13.88671875" style="130" customWidth="1"/>
    <col min="5" max="5" width="14.6640625" style="130" customWidth="1"/>
    <col min="6" max="6" width="8.88671875" style="130"/>
    <col min="7" max="7" width="12.21875" style="130" customWidth="1"/>
    <col min="8" max="8" width="11.5546875" style="130" customWidth="1"/>
    <col min="9" max="9" width="10.21875" style="130" customWidth="1"/>
    <col min="10" max="10" width="13.77734375" style="130" customWidth="1"/>
    <col min="11" max="16384" width="8.88671875" style="130"/>
  </cols>
  <sheetData>
    <row r="1" spans="1:10" s="182" customFormat="1" ht="19.95" customHeight="1">
      <c r="A1" s="338" t="s">
        <v>335</v>
      </c>
      <c r="B1" s="338"/>
      <c r="C1" s="338"/>
      <c r="D1" s="338"/>
      <c r="E1" s="338"/>
      <c r="F1" s="338"/>
      <c r="G1" s="338"/>
      <c r="H1" s="338"/>
      <c r="I1" s="338"/>
      <c r="J1" s="338"/>
    </row>
    <row r="2" spans="1:10" s="190" customFormat="1" ht="19.95" customHeight="1">
      <c r="A2" s="339" t="s">
        <v>253</v>
      </c>
      <c r="B2" s="339"/>
      <c r="C2" s="339"/>
      <c r="D2" s="339"/>
      <c r="E2" s="339"/>
      <c r="F2" s="339"/>
      <c r="G2" s="339"/>
      <c r="H2" s="339"/>
      <c r="I2" s="339"/>
      <c r="J2" s="339"/>
    </row>
    <row r="3" spans="1:10" s="235" customFormat="1" ht="19.95" customHeight="1">
      <c r="A3" s="222" t="str">
        <f>底稿目录!A2</f>
        <v>被审计单位：</v>
      </c>
      <c r="B3" s="222"/>
      <c r="C3" s="222"/>
      <c r="D3" s="222" t="str">
        <f>底稿目录!A4</f>
        <v>编制人：</v>
      </c>
      <c r="E3" s="222"/>
      <c r="F3" s="222"/>
      <c r="G3" s="222" t="str">
        <f>底稿目录!A5</f>
        <v>编制日期：</v>
      </c>
      <c r="H3" s="222"/>
      <c r="I3" s="222" t="s">
        <v>383</v>
      </c>
      <c r="J3" s="268" t="str">
        <f>底稿目录!F9</f>
        <v>G12-3</v>
      </c>
    </row>
    <row r="4" spans="1:10" s="235" customFormat="1" ht="19.95" customHeight="1">
      <c r="A4" s="222" t="str">
        <f>底稿目录!A3</f>
        <v>会计期间：202X年度</v>
      </c>
      <c r="B4" s="222"/>
      <c r="C4" s="222"/>
      <c r="D4" s="222" t="str">
        <f>底稿目录!A6</f>
        <v>复核人：</v>
      </c>
      <c r="E4" s="222"/>
      <c r="F4" s="222"/>
      <c r="G4" s="222" t="str">
        <f>底稿目录!A7</f>
        <v>复核日期：</v>
      </c>
      <c r="H4" s="222"/>
      <c r="I4" s="222" t="s">
        <v>384</v>
      </c>
    </row>
    <row r="5" spans="1:10" ht="24">
      <c r="A5" s="131" t="s">
        <v>244</v>
      </c>
      <c r="B5" s="132" t="s">
        <v>245</v>
      </c>
      <c r="C5" s="132" t="s">
        <v>312</v>
      </c>
      <c r="D5" s="120" t="s">
        <v>246</v>
      </c>
      <c r="E5" s="120" t="s">
        <v>247</v>
      </c>
      <c r="F5" s="133" t="s">
        <v>248</v>
      </c>
      <c r="G5" s="120" t="s">
        <v>249</v>
      </c>
      <c r="H5" s="120" t="s">
        <v>250</v>
      </c>
      <c r="I5" s="120" t="s">
        <v>251</v>
      </c>
      <c r="J5" s="120" t="s">
        <v>252</v>
      </c>
    </row>
    <row r="6" spans="1:10" ht="19.95" customHeight="1">
      <c r="A6" s="134"/>
      <c r="B6" s="134"/>
      <c r="C6" s="134"/>
      <c r="D6" s="134"/>
      <c r="E6" s="134"/>
      <c r="F6" s="134"/>
      <c r="G6" s="134"/>
      <c r="H6" s="134"/>
      <c r="I6" s="134"/>
      <c r="J6" s="134"/>
    </row>
    <row r="7" spans="1:10" ht="19.95" customHeight="1">
      <c r="A7" s="135"/>
      <c r="B7" s="134"/>
      <c r="C7" s="134"/>
      <c r="D7" s="134"/>
      <c r="E7" s="134"/>
      <c r="F7" s="134"/>
      <c r="G7" s="134"/>
      <c r="H7" s="134"/>
      <c r="I7" s="134"/>
      <c r="J7" s="134"/>
    </row>
    <row r="8" spans="1:10" ht="19.95" customHeight="1">
      <c r="A8" s="136"/>
      <c r="B8" s="134"/>
      <c r="C8" s="134"/>
      <c r="D8" s="134"/>
      <c r="E8" s="134"/>
      <c r="F8" s="134"/>
      <c r="G8" s="134"/>
      <c r="H8" s="134"/>
      <c r="I8" s="134"/>
      <c r="J8" s="134"/>
    </row>
    <row r="9" spans="1:10" ht="19.95" customHeight="1">
      <c r="A9" s="136"/>
      <c r="B9" s="134"/>
      <c r="C9" s="134"/>
      <c r="D9" s="134"/>
      <c r="E9" s="134"/>
      <c r="F9" s="134"/>
      <c r="G9" s="134"/>
      <c r="H9" s="134"/>
      <c r="I9" s="134"/>
      <c r="J9" s="134"/>
    </row>
    <row r="10" spans="1:10" ht="19.95" customHeight="1">
      <c r="A10" s="136"/>
      <c r="B10" s="134"/>
      <c r="C10" s="134"/>
      <c r="D10" s="134"/>
      <c r="E10" s="134"/>
      <c r="F10" s="134"/>
      <c r="G10" s="134"/>
      <c r="H10" s="134"/>
      <c r="I10" s="134"/>
      <c r="J10" s="134"/>
    </row>
    <row r="11" spans="1:10" ht="19.95" customHeight="1">
      <c r="A11" s="137"/>
      <c r="B11" s="134"/>
      <c r="C11" s="134"/>
      <c r="D11" s="134"/>
      <c r="E11" s="134"/>
      <c r="F11" s="134"/>
      <c r="G11" s="134"/>
      <c r="H11" s="134"/>
      <c r="I11" s="134"/>
      <c r="J11" s="134"/>
    </row>
    <row r="12" spans="1:10" ht="19.95" customHeight="1">
      <c r="A12" s="136"/>
      <c r="B12" s="134"/>
      <c r="C12" s="134"/>
      <c r="D12" s="134"/>
      <c r="E12" s="134"/>
      <c r="F12" s="134"/>
      <c r="G12" s="134"/>
      <c r="H12" s="134"/>
      <c r="I12" s="134"/>
      <c r="J12" s="134"/>
    </row>
    <row r="13" spans="1:10" ht="19.95" customHeight="1">
      <c r="A13" s="136"/>
      <c r="B13" s="134"/>
      <c r="C13" s="134"/>
      <c r="D13" s="134"/>
      <c r="E13" s="134"/>
      <c r="F13" s="134"/>
      <c r="G13" s="134"/>
      <c r="H13" s="134"/>
      <c r="I13" s="134"/>
      <c r="J13" s="134"/>
    </row>
    <row r="14" spans="1:10" ht="19.95" customHeight="1">
      <c r="A14" s="136"/>
      <c r="B14" s="134"/>
      <c r="C14" s="134"/>
      <c r="D14" s="134"/>
      <c r="E14" s="134"/>
      <c r="F14" s="134"/>
      <c r="G14" s="134"/>
      <c r="H14" s="134"/>
      <c r="I14" s="134"/>
      <c r="J14" s="134"/>
    </row>
    <row r="15" spans="1:10" ht="19.95" customHeight="1">
      <c r="A15" s="136"/>
      <c r="B15" s="134"/>
      <c r="C15" s="134"/>
      <c r="D15" s="134"/>
      <c r="E15" s="134"/>
      <c r="F15" s="134"/>
      <c r="G15" s="134"/>
      <c r="H15" s="134"/>
      <c r="I15" s="134"/>
      <c r="J15" s="134"/>
    </row>
    <row r="16" spans="1:10" ht="19.95" customHeight="1">
      <c r="A16" s="136"/>
      <c r="B16" s="134"/>
      <c r="C16" s="134"/>
      <c r="D16" s="134"/>
      <c r="E16" s="134"/>
      <c r="F16" s="134"/>
      <c r="G16" s="134"/>
      <c r="H16" s="134"/>
      <c r="I16" s="134"/>
      <c r="J16" s="134"/>
    </row>
    <row r="17" spans="1:10" ht="19.95" customHeight="1">
      <c r="A17" s="136"/>
      <c r="B17" s="134"/>
      <c r="C17" s="134"/>
      <c r="D17" s="134"/>
      <c r="E17" s="134"/>
      <c r="F17" s="134"/>
      <c r="G17" s="134"/>
      <c r="H17" s="134"/>
      <c r="I17" s="134"/>
      <c r="J17" s="134"/>
    </row>
    <row r="18" spans="1:10" ht="19.95" customHeight="1">
      <c r="A18" s="136"/>
      <c r="B18" s="134"/>
      <c r="C18" s="134"/>
      <c r="D18" s="134"/>
      <c r="E18" s="134"/>
      <c r="F18" s="134"/>
      <c r="G18" s="134"/>
      <c r="H18" s="134"/>
      <c r="I18" s="134"/>
      <c r="J18" s="134"/>
    </row>
    <row r="19" spans="1:10" ht="19.95" customHeight="1">
      <c r="A19" s="136"/>
      <c r="B19" s="134"/>
      <c r="C19" s="134"/>
      <c r="D19" s="134"/>
      <c r="E19" s="134"/>
      <c r="F19" s="134"/>
      <c r="G19" s="134"/>
      <c r="H19" s="134"/>
      <c r="I19" s="134"/>
      <c r="J19" s="134"/>
    </row>
    <row r="20" spans="1:10" ht="19.95" customHeight="1">
      <c r="A20" s="136"/>
      <c r="B20" s="134"/>
      <c r="C20" s="134"/>
      <c r="D20" s="134"/>
      <c r="E20" s="134"/>
      <c r="F20" s="134"/>
      <c r="G20" s="134"/>
      <c r="H20" s="134"/>
      <c r="I20" s="134"/>
      <c r="J20" s="134"/>
    </row>
    <row r="21" spans="1:10" ht="19.95" customHeight="1">
      <c r="A21" s="65"/>
      <c r="B21" s="65"/>
      <c r="C21" s="65"/>
      <c r="D21" s="66"/>
      <c r="E21" s="66"/>
      <c r="F21" s="66"/>
      <c r="G21" s="67"/>
      <c r="H21" s="67"/>
      <c r="I21" s="66"/>
      <c r="J21" s="74"/>
    </row>
    <row r="22" spans="1:10" ht="19.95" customHeight="1">
      <c r="A22" s="70"/>
      <c r="B22" s="70"/>
      <c r="C22" s="70"/>
      <c r="D22" s="70"/>
      <c r="E22" s="138"/>
      <c r="F22" s="72"/>
      <c r="G22" s="139"/>
      <c r="H22" s="139"/>
      <c r="I22" s="139"/>
      <c r="J22" s="139"/>
    </row>
    <row r="23" spans="1:10" ht="19.95" customHeight="1"/>
  </sheetData>
  <mergeCells count="2">
    <mergeCell ref="A1:J1"/>
    <mergeCell ref="A2:J2"/>
  </mergeCells>
  <phoneticPr fontId="3"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70866141732283472" right="0.70866141732283472" top="0.74803149606299213" bottom="0.74803149606299213" header="0.31496062992125984" footer="0.31496062992125984"/>
  <pageSetup paperSize="9" scale="95"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R29"/>
  <sheetViews>
    <sheetView view="pageBreakPreview" zoomScaleNormal="115" zoomScaleSheetLayoutView="100" workbookViewId="0">
      <selection sqref="A1:O1"/>
    </sheetView>
  </sheetViews>
  <sheetFormatPr defaultColWidth="9" defaultRowHeight="13.8"/>
  <cols>
    <col min="1" max="1" width="15.21875" style="3" customWidth="1"/>
    <col min="2" max="2" width="9.33203125" style="3" customWidth="1"/>
    <col min="3" max="3" width="7.21875" style="3" customWidth="1"/>
    <col min="4" max="4" width="11.88671875" style="3" customWidth="1"/>
    <col min="5" max="5" width="8.88671875" style="3" customWidth="1"/>
    <col min="6" max="6" width="10.77734375" style="3" customWidth="1"/>
    <col min="7" max="7" width="7.88671875" style="3" customWidth="1"/>
    <col min="8" max="8" width="11.5546875" style="3" customWidth="1"/>
    <col min="9" max="9" width="8.77734375" style="3" customWidth="1"/>
    <col min="10" max="10" width="7.88671875" style="3" customWidth="1"/>
    <col min="11" max="11" width="13.21875" style="3" customWidth="1"/>
    <col min="12" max="12" width="7.5546875" style="3" customWidth="1"/>
    <col min="13" max="13" width="9.44140625" style="3" customWidth="1"/>
    <col min="14" max="14" width="13.44140625" style="3" customWidth="1"/>
    <col min="15" max="15" width="9.21875" style="3" customWidth="1"/>
    <col min="16" max="16" width="9" style="3"/>
    <col min="17" max="17" width="5.5546875" style="3" customWidth="1"/>
    <col min="18" max="16384" width="9" style="3"/>
  </cols>
  <sheetData>
    <row r="1" spans="1:18" s="185" customFormat="1" ht="20.25" customHeight="1">
      <c r="A1" s="353" t="s">
        <v>18</v>
      </c>
      <c r="B1" s="353"/>
      <c r="C1" s="353"/>
      <c r="D1" s="353"/>
      <c r="E1" s="353"/>
      <c r="F1" s="353"/>
      <c r="G1" s="353"/>
      <c r="H1" s="353"/>
      <c r="I1" s="353"/>
      <c r="J1" s="353"/>
      <c r="K1" s="353"/>
      <c r="L1" s="353"/>
      <c r="M1" s="353"/>
      <c r="N1" s="353"/>
      <c r="O1" s="353"/>
    </row>
    <row r="2" spans="1:18" s="189" customFormat="1" ht="25.05" customHeight="1">
      <c r="A2" s="354" t="s">
        <v>115</v>
      </c>
      <c r="B2" s="354"/>
      <c r="C2" s="354"/>
      <c r="D2" s="354"/>
      <c r="E2" s="354"/>
      <c r="F2" s="354"/>
      <c r="G2" s="354"/>
      <c r="H2" s="354"/>
      <c r="I2" s="354"/>
      <c r="J2" s="354"/>
      <c r="K2" s="354"/>
      <c r="L2" s="354"/>
      <c r="M2" s="354"/>
      <c r="N2" s="354"/>
      <c r="O2" s="354"/>
    </row>
    <row r="3" spans="1:18" s="213" customFormat="1" ht="20.25" customHeight="1">
      <c r="A3" s="213" t="str">
        <f>底稿目录!A2</f>
        <v>被审计单位：</v>
      </c>
      <c r="E3" s="215" t="str">
        <f>底稿目录!A4</f>
        <v>编制人：</v>
      </c>
      <c r="I3" s="215" t="str">
        <f>底稿目录!A5</f>
        <v>编制日期：</v>
      </c>
      <c r="J3" s="215"/>
      <c r="P3" s="219" t="s">
        <v>0</v>
      </c>
      <c r="Q3" s="268" t="str">
        <f>底稿目录!F10</f>
        <v>G12-4</v>
      </c>
    </row>
    <row r="4" spans="1:18" s="213" customFormat="1" ht="20.25" customHeight="1">
      <c r="A4" s="218" t="str">
        <f>底稿目录!A3</f>
        <v>会计期间：202X年度</v>
      </c>
      <c r="B4" s="218"/>
      <c r="E4" s="215" t="str">
        <f>底稿目录!A6</f>
        <v>复核人：</v>
      </c>
      <c r="I4" s="215" t="str">
        <f>底稿目录!A7</f>
        <v>复核日期：</v>
      </c>
      <c r="J4" s="215"/>
      <c r="P4" s="219" t="s">
        <v>19</v>
      </c>
      <c r="Q4" s="220"/>
    </row>
    <row r="5" spans="1:18" ht="20.25" customHeight="1">
      <c r="A5" s="35" t="s">
        <v>14</v>
      </c>
      <c r="B5" s="37" t="s">
        <v>116</v>
      </c>
      <c r="C5" s="36"/>
      <c r="D5" s="36"/>
      <c r="E5" s="36"/>
      <c r="F5" s="5"/>
      <c r="H5" s="5"/>
    </row>
    <row r="6" spans="1:18" ht="20.25" customHeight="1">
      <c r="A6" s="35" t="s">
        <v>15</v>
      </c>
      <c r="B6" s="82"/>
      <c r="C6" s="82"/>
      <c r="F6" s="82"/>
      <c r="H6" s="5"/>
    </row>
    <row r="7" spans="1:18" s="75" customFormat="1" ht="14.4">
      <c r="A7" s="361" t="s">
        <v>378</v>
      </c>
      <c r="B7" s="363" t="s">
        <v>361</v>
      </c>
      <c r="C7" s="364"/>
      <c r="D7" s="364"/>
      <c r="E7" s="365"/>
      <c r="F7" s="363" t="s">
        <v>362</v>
      </c>
      <c r="G7" s="366"/>
      <c r="H7" s="366"/>
      <c r="I7" s="366"/>
      <c r="J7" s="367" t="s">
        <v>356</v>
      </c>
      <c r="K7" s="367" t="s">
        <v>363</v>
      </c>
      <c r="L7" s="367" t="s">
        <v>364</v>
      </c>
      <c r="M7" s="274" t="s">
        <v>365</v>
      </c>
      <c r="N7" s="274" t="s">
        <v>359</v>
      </c>
      <c r="O7" s="369" t="s">
        <v>360</v>
      </c>
      <c r="P7" s="370"/>
      <c r="Q7" s="370"/>
      <c r="R7" s="359" t="s">
        <v>366</v>
      </c>
    </row>
    <row r="8" spans="1:18" s="75" customFormat="1" ht="24">
      <c r="A8" s="362"/>
      <c r="B8" s="274" t="s">
        <v>357</v>
      </c>
      <c r="C8" s="274" t="s">
        <v>329</v>
      </c>
      <c r="D8" s="274" t="s">
        <v>367</v>
      </c>
      <c r="E8" s="274" t="s">
        <v>368</v>
      </c>
      <c r="F8" s="274" t="s">
        <v>357</v>
      </c>
      <c r="G8" s="274" t="s">
        <v>329</v>
      </c>
      <c r="H8" s="274" t="s">
        <v>358</v>
      </c>
      <c r="I8" s="275" t="s">
        <v>369</v>
      </c>
      <c r="J8" s="368"/>
      <c r="K8" s="368"/>
      <c r="L8" s="368"/>
      <c r="M8" s="276" t="s">
        <v>370</v>
      </c>
      <c r="N8" s="276" t="s">
        <v>371</v>
      </c>
      <c r="O8" s="80" t="s">
        <v>372</v>
      </c>
      <c r="P8" s="80" t="s">
        <v>373</v>
      </c>
      <c r="Q8" s="81" t="s">
        <v>374</v>
      </c>
      <c r="R8" s="360"/>
    </row>
    <row r="9" spans="1:18" s="75" customFormat="1" ht="86.4">
      <c r="A9" s="246"/>
      <c r="B9" s="76"/>
      <c r="C9" s="76"/>
      <c r="D9" s="145">
        <f>B9*C9</f>
        <v>0</v>
      </c>
      <c r="E9" s="238" t="s">
        <v>359</v>
      </c>
      <c r="F9" s="62"/>
      <c r="G9" s="62"/>
      <c r="H9" s="145">
        <f>F9*G9</f>
        <v>0</v>
      </c>
      <c r="I9" s="238" t="s">
        <v>359</v>
      </c>
      <c r="J9" s="145">
        <f>H9-D9</f>
        <v>0</v>
      </c>
      <c r="K9" s="236"/>
      <c r="L9" s="237"/>
      <c r="M9" s="238"/>
      <c r="N9" s="239" t="s">
        <v>375</v>
      </c>
      <c r="O9" s="240"/>
      <c r="P9" s="241"/>
      <c r="Q9" s="203"/>
      <c r="R9" s="243"/>
    </row>
    <row r="10" spans="1:18" s="75" customFormat="1" ht="19.5" customHeight="1">
      <c r="A10" s="246"/>
      <c r="B10" s="76"/>
      <c r="C10" s="76"/>
      <c r="D10" s="145">
        <f>B10*C10</f>
        <v>0</v>
      </c>
      <c r="E10" s="242"/>
      <c r="F10" s="62"/>
      <c r="G10" s="62"/>
      <c r="H10" s="145">
        <f t="shared" ref="H10:H18" si="0">F10*G10</f>
        <v>0</v>
      </c>
      <c r="I10" s="238" t="s">
        <v>376</v>
      </c>
      <c r="J10" s="145">
        <f t="shared" ref="J10:J18" si="1">H10-D10</f>
        <v>0</v>
      </c>
      <c r="K10" s="236"/>
      <c r="L10" s="237"/>
      <c r="M10" s="238"/>
      <c r="N10" s="240"/>
      <c r="O10" s="240"/>
      <c r="P10" s="240"/>
      <c r="Q10" s="203"/>
      <c r="R10" s="243"/>
    </row>
    <row r="11" spans="1:18" s="75" customFormat="1" ht="20.25" customHeight="1">
      <c r="A11" s="246"/>
      <c r="B11" s="76"/>
      <c r="C11" s="76"/>
      <c r="D11" s="145"/>
      <c r="E11" s="242"/>
      <c r="F11" s="62"/>
      <c r="G11" s="62"/>
      <c r="H11" s="145">
        <f t="shared" si="0"/>
        <v>0</v>
      </c>
      <c r="I11" s="236"/>
      <c r="J11" s="145">
        <f t="shared" si="1"/>
        <v>0</v>
      </c>
      <c r="K11" s="236"/>
      <c r="L11" s="242"/>
      <c r="M11" s="242"/>
      <c r="N11" s="240"/>
      <c r="O11" s="240"/>
      <c r="P11" s="242"/>
      <c r="Q11" s="83"/>
      <c r="R11" s="243"/>
    </row>
    <row r="12" spans="1:18" s="75" customFormat="1" ht="20.25" customHeight="1">
      <c r="A12" s="246"/>
      <c r="B12" s="76"/>
      <c r="C12" s="76"/>
      <c r="D12" s="145"/>
      <c r="E12" s="242"/>
      <c r="F12" s="62"/>
      <c r="G12" s="62"/>
      <c r="H12" s="145">
        <f t="shared" si="0"/>
        <v>0</v>
      </c>
      <c r="I12" s="236"/>
      <c r="J12" s="145">
        <f t="shared" si="1"/>
        <v>0</v>
      </c>
      <c r="K12" s="236"/>
      <c r="L12" s="242"/>
      <c r="M12" s="242"/>
      <c r="N12" s="240"/>
      <c r="O12" s="240"/>
      <c r="P12" s="242"/>
      <c r="Q12" s="83"/>
      <c r="R12" s="243"/>
    </row>
    <row r="13" spans="1:18" s="75" customFormat="1" ht="20.25" customHeight="1">
      <c r="A13" s="246"/>
      <c r="B13" s="76"/>
      <c r="C13" s="76"/>
      <c r="D13" s="145"/>
      <c r="E13" s="242"/>
      <c r="F13" s="62"/>
      <c r="G13" s="62"/>
      <c r="H13" s="145">
        <f t="shared" si="0"/>
        <v>0</v>
      </c>
      <c r="I13" s="236"/>
      <c r="J13" s="145">
        <f t="shared" si="1"/>
        <v>0</v>
      </c>
      <c r="K13" s="236"/>
      <c r="L13" s="242"/>
      <c r="M13" s="242"/>
      <c r="N13" s="240"/>
      <c r="O13" s="240"/>
      <c r="P13" s="242"/>
      <c r="Q13" s="83"/>
      <c r="R13" s="243"/>
    </row>
    <row r="14" spans="1:18" s="75" customFormat="1" ht="20.25" customHeight="1">
      <c r="A14" s="246"/>
      <c r="B14" s="76"/>
      <c r="C14" s="76"/>
      <c r="D14" s="145"/>
      <c r="E14" s="242"/>
      <c r="F14" s="62"/>
      <c r="G14" s="62"/>
      <c r="H14" s="145">
        <f t="shared" si="0"/>
        <v>0</v>
      </c>
      <c r="I14" s="236"/>
      <c r="J14" s="145">
        <f t="shared" si="1"/>
        <v>0</v>
      </c>
      <c r="K14" s="236"/>
      <c r="L14" s="242"/>
      <c r="M14" s="242"/>
      <c r="N14" s="240"/>
      <c r="O14" s="240"/>
      <c r="P14" s="242"/>
      <c r="Q14" s="83"/>
      <c r="R14" s="243"/>
    </row>
    <row r="15" spans="1:18" s="75" customFormat="1" ht="20.25" customHeight="1">
      <c r="A15" s="246"/>
      <c r="B15" s="76"/>
      <c r="C15" s="76"/>
      <c r="D15" s="145"/>
      <c r="E15" s="242"/>
      <c r="F15" s="62"/>
      <c r="G15" s="62"/>
      <c r="H15" s="145">
        <f t="shared" si="0"/>
        <v>0</v>
      </c>
      <c r="I15" s="236"/>
      <c r="J15" s="145">
        <f t="shared" si="1"/>
        <v>0</v>
      </c>
      <c r="K15" s="236"/>
      <c r="L15" s="242"/>
      <c r="M15" s="242"/>
      <c r="N15" s="240"/>
      <c r="O15" s="240"/>
      <c r="P15" s="242"/>
      <c r="Q15" s="83"/>
      <c r="R15" s="243"/>
    </row>
    <row r="16" spans="1:18" s="204" customFormat="1" ht="20.25" customHeight="1">
      <c r="A16" s="246"/>
      <c r="B16" s="76"/>
      <c r="C16" s="76"/>
      <c r="D16" s="145"/>
      <c r="E16" s="242"/>
      <c r="F16" s="62"/>
      <c r="G16" s="62"/>
      <c r="H16" s="145">
        <f t="shared" si="0"/>
        <v>0</v>
      </c>
      <c r="I16" s="236"/>
      <c r="J16" s="145">
        <f t="shared" si="1"/>
        <v>0</v>
      </c>
      <c r="K16" s="236"/>
      <c r="L16" s="242"/>
      <c r="M16" s="242"/>
      <c r="N16" s="240"/>
      <c r="O16" s="240"/>
      <c r="P16" s="242"/>
      <c r="Q16" s="83"/>
      <c r="R16" s="244"/>
    </row>
    <row r="17" spans="1:18" s="75" customFormat="1" ht="20.25" customHeight="1">
      <c r="A17" s="246"/>
      <c r="B17" s="76"/>
      <c r="C17" s="76"/>
      <c r="D17" s="145"/>
      <c r="E17" s="242"/>
      <c r="F17" s="62"/>
      <c r="G17" s="62"/>
      <c r="H17" s="145">
        <f t="shared" si="0"/>
        <v>0</v>
      </c>
      <c r="I17" s="236"/>
      <c r="J17" s="145">
        <f t="shared" si="1"/>
        <v>0</v>
      </c>
      <c r="K17" s="236"/>
      <c r="L17" s="242"/>
      <c r="M17" s="242"/>
      <c r="N17" s="240"/>
      <c r="O17" s="240"/>
      <c r="P17" s="242"/>
      <c r="Q17" s="83"/>
      <c r="R17" s="243"/>
    </row>
    <row r="18" spans="1:18" s="75" customFormat="1" ht="20.25" customHeight="1">
      <c r="A18" s="246"/>
      <c r="B18" s="76"/>
      <c r="C18" s="76"/>
      <c r="D18" s="145"/>
      <c r="E18" s="242"/>
      <c r="F18" s="62"/>
      <c r="G18" s="62"/>
      <c r="H18" s="145">
        <f t="shared" si="0"/>
        <v>0</v>
      </c>
      <c r="I18" s="236"/>
      <c r="J18" s="145">
        <f t="shared" si="1"/>
        <v>0</v>
      </c>
      <c r="K18" s="236"/>
      <c r="L18" s="242"/>
      <c r="M18" s="242"/>
      <c r="N18" s="240"/>
      <c r="O18" s="240"/>
      <c r="P18" s="242"/>
      <c r="Q18" s="83"/>
      <c r="R18" s="243"/>
    </row>
    <row r="19" spans="1:18" s="77" customFormat="1" ht="20.25" customHeight="1">
      <c r="A19" s="205" t="s">
        <v>377</v>
      </c>
      <c r="B19" s="206"/>
      <c r="C19" s="206"/>
      <c r="D19" s="206">
        <f>SUM(D9:D18)</f>
        <v>0</v>
      </c>
      <c r="E19" s="206"/>
      <c r="F19" s="206"/>
      <c r="G19" s="206"/>
      <c r="H19" s="206">
        <f>SUM(H9:H18)</f>
        <v>0</v>
      </c>
      <c r="I19" s="206"/>
      <c r="J19" s="206">
        <f>SUM(J9:J18)</f>
        <v>0</v>
      </c>
      <c r="K19" s="206"/>
      <c r="L19" s="206"/>
      <c r="M19" s="158"/>
      <c r="N19" s="158"/>
      <c r="O19" s="158"/>
      <c r="P19" s="158"/>
      <c r="Q19" s="158"/>
      <c r="R19" s="245"/>
    </row>
    <row r="20" spans="1:18" ht="20.25" customHeight="1">
      <c r="A20" s="38" t="s">
        <v>16</v>
      </c>
      <c r="B20" s="38"/>
      <c r="H20" s="38" t="s">
        <v>17</v>
      </c>
    </row>
    <row r="21" spans="1:18" ht="20.25" customHeight="1">
      <c r="A21" s="6"/>
      <c r="B21" s="6"/>
    </row>
    <row r="22" spans="1:18" ht="20.25" customHeight="1">
      <c r="A22" s="6"/>
      <c r="B22" s="6"/>
    </row>
    <row r="23" spans="1:18" ht="20.25" customHeight="1">
      <c r="A23" s="17" t="s">
        <v>1</v>
      </c>
      <c r="B23" s="17"/>
    </row>
    <row r="24" spans="1:18" ht="18" customHeight="1">
      <c r="A24" s="7" t="s">
        <v>84</v>
      </c>
      <c r="B24" s="7"/>
      <c r="C24" s="7"/>
      <c r="D24" s="7"/>
      <c r="E24" s="7"/>
    </row>
    <row r="25" spans="1:18" ht="18" customHeight="1">
      <c r="A25" s="8" t="s">
        <v>2</v>
      </c>
      <c r="B25" s="8"/>
      <c r="C25" s="8"/>
      <c r="D25" s="8"/>
      <c r="E25" s="8"/>
    </row>
    <row r="26" spans="1:18" ht="18" customHeight="1">
      <c r="A26" s="9" t="s">
        <v>3</v>
      </c>
      <c r="B26" s="9"/>
      <c r="C26" s="8"/>
      <c r="D26" s="8"/>
      <c r="E26" s="8"/>
    </row>
    <row r="27" spans="1:18" ht="18" customHeight="1">
      <c r="A27" s="10" t="s">
        <v>4</v>
      </c>
      <c r="B27" s="11" t="s">
        <v>5</v>
      </c>
      <c r="C27" s="11"/>
      <c r="D27" s="11"/>
      <c r="E27" s="11"/>
    </row>
    <row r="28" spans="1:18" ht="18" customHeight="1">
      <c r="A28" s="10" t="s">
        <v>6</v>
      </c>
      <c r="B28" s="11" t="s">
        <v>7</v>
      </c>
      <c r="C28" s="11"/>
      <c r="D28" s="11"/>
      <c r="E28" s="11"/>
    </row>
    <row r="29" spans="1:18" ht="18" customHeight="1">
      <c r="A29" s="10" t="s">
        <v>8</v>
      </c>
      <c r="B29" s="11" t="s">
        <v>9</v>
      </c>
      <c r="C29" s="11"/>
      <c r="D29" s="11"/>
      <c r="E29" s="11"/>
    </row>
  </sheetData>
  <mergeCells count="10">
    <mergeCell ref="R7:R8"/>
    <mergeCell ref="A7:A8"/>
    <mergeCell ref="B7:E7"/>
    <mergeCell ref="F7:I7"/>
    <mergeCell ref="A1:O1"/>
    <mergeCell ref="A2:O2"/>
    <mergeCell ref="J7:J8"/>
    <mergeCell ref="K7:K8"/>
    <mergeCell ref="L7:L8"/>
    <mergeCell ref="O7:Q7"/>
  </mergeCells>
  <phoneticPr fontId="3" type="noConversion"/>
  <hyperlinks>
    <hyperlink ref="Q3" location="底稿目录!F10" display="底稿目录!F10"/>
  </hyperlinks>
  <printOptions horizontalCentered="1"/>
  <pageMargins left="0.70866141732283472" right="0.70866141732283472" top="0.74803149606299213" bottom="0.74803149606299213" header="0.31496062992125984" footer="0.31496062992125984"/>
  <pageSetup paperSize="9" scale="76" fitToHeight="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J79"/>
  <sheetViews>
    <sheetView view="pageBreakPreview" zoomScaleSheetLayoutView="100" workbookViewId="0">
      <selection sqref="A1:I1"/>
    </sheetView>
  </sheetViews>
  <sheetFormatPr defaultColWidth="9" defaultRowHeight="13.8"/>
  <cols>
    <col min="1" max="1" width="22.44140625" style="3" customWidth="1"/>
    <col min="2" max="2" width="16.33203125" style="3" customWidth="1"/>
    <col min="3" max="3" width="13.88671875" style="3" customWidth="1"/>
    <col min="4" max="4" width="24.77734375" style="3" customWidth="1"/>
    <col min="5" max="5" width="14.21875" style="3" customWidth="1"/>
    <col min="6" max="6" width="13.109375" style="3" customWidth="1"/>
    <col min="7" max="7" width="14.88671875" style="3" customWidth="1"/>
    <col min="8" max="8" width="11.77734375" style="3" customWidth="1"/>
    <col min="9" max="9" width="12.5546875" style="3" customWidth="1"/>
    <col min="10" max="16384" width="9" style="3"/>
  </cols>
  <sheetData>
    <row r="1" spans="1:10" s="185" customFormat="1" ht="20.25" customHeight="1">
      <c r="A1" s="353" t="s">
        <v>335</v>
      </c>
      <c r="B1" s="353"/>
      <c r="C1" s="353"/>
      <c r="D1" s="353"/>
      <c r="E1" s="353"/>
      <c r="F1" s="353"/>
      <c r="G1" s="353"/>
      <c r="H1" s="353"/>
      <c r="I1" s="353"/>
    </row>
    <row r="2" spans="1:10" s="189" customFormat="1" ht="25.05" customHeight="1">
      <c r="A2" s="354" t="s">
        <v>117</v>
      </c>
      <c r="B2" s="354"/>
      <c r="C2" s="354"/>
      <c r="D2" s="354"/>
      <c r="E2" s="354"/>
      <c r="F2" s="354"/>
      <c r="G2" s="354"/>
      <c r="H2" s="354"/>
      <c r="I2" s="354"/>
    </row>
    <row r="3" spans="1:10" s="213" customFormat="1" ht="20.25" customHeight="1">
      <c r="A3" s="213" t="str">
        <f>底稿目录!A2</f>
        <v>被审计单位：</v>
      </c>
      <c r="D3" s="215" t="str">
        <f>底稿目录!A4</f>
        <v>编制人：</v>
      </c>
      <c r="F3" s="216" t="str">
        <f>底稿目录!A5</f>
        <v>编制日期：</v>
      </c>
      <c r="G3" s="214"/>
      <c r="H3" s="213" t="s">
        <v>267</v>
      </c>
      <c r="I3" s="268" t="str">
        <f>底稿目录!F11</f>
        <v>G12-5</v>
      </c>
    </row>
    <row r="4" spans="1:10" s="213" customFormat="1" ht="20.25" customHeight="1">
      <c r="A4" s="218" t="str">
        <f>底稿目录!A3</f>
        <v>会计期间：202X年度</v>
      </c>
      <c r="D4" s="215" t="str">
        <f>底稿目录!A6</f>
        <v>复核人：</v>
      </c>
      <c r="F4" s="216" t="str">
        <f>底稿目录!A7</f>
        <v>复核日期：</v>
      </c>
      <c r="G4" s="214"/>
      <c r="H4" s="213" t="s">
        <v>127</v>
      </c>
    </row>
    <row r="5" spans="1:10" s="12" customFormat="1" ht="20.25" customHeight="1">
      <c r="A5" s="125" t="s">
        <v>29</v>
      </c>
      <c r="B5" s="127" t="s">
        <v>239</v>
      </c>
      <c r="C5" s="46"/>
      <c r="D5" s="46"/>
      <c r="E5" s="46"/>
      <c r="F5" s="46"/>
      <c r="G5" s="46"/>
    </row>
    <row r="6" spans="1:10" s="12" customFormat="1" ht="20.25" customHeight="1">
      <c r="A6" s="377" t="s">
        <v>351</v>
      </c>
      <c r="B6" s="377"/>
      <c r="C6" s="377"/>
      <c r="D6" s="377"/>
      <c r="E6" s="377"/>
      <c r="F6" s="377"/>
      <c r="G6" s="377"/>
    </row>
    <row r="7" spans="1:10" s="16" customFormat="1" ht="20.25" customHeight="1">
      <c r="A7" s="39"/>
      <c r="B7" s="201" t="s">
        <v>352</v>
      </c>
      <c r="C7" s="202"/>
      <c r="D7" s="202"/>
      <c r="E7" s="202"/>
      <c r="F7" s="202"/>
      <c r="G7" s="12"/>
      <c r="H7" s="12"/>
      <c r="I7" s="12"/>
    </row>
    <row r="8" spans="1:10" ht="20.25" customHeight="1">
      <c r="A8" s="181" t="s">
        <v>353</v>
      </c>
      <c r="B8" s="13"/>
      <c r="C8" s="13"/>
      <c r="D8" s="14"/>
      <c r="E8" s="15"/>
      <c r="F8" s="12"/>
      <c r="G8" s="12"/>
      <c r="H8" s="12"/>
      <c r="I8" s="12"/>
    </row>
    <row r="9" spans="1:10" ht="20.25" customHeight="1">
      <c r="A9" s="371" t="s">
        <v>118</v>
      </c>
      <c r="B9" s="373" t="s">
        <v>121</v>
      </c>
      <c r="C9" s="374"/>
      <c r="D9" s="373" t="s">
        <v>122</v>
      </c>
      <c r="E9" s="374"/>
      <c r="F9" s="375" t="s">
        <v>126</v>
      </c>
      <c r="G9" s="371" t="s">
        <v>240</v>
      </c>
      <c r="H9" s="371" t="s">
        <v>105</v>
      </c>
      <c r="I9" s="375" t="s">
        <v>70</v>
      </c>
    </row>
    <row r="10" spans="1:10" ht="20.25" customHeight="1">
      <c r="A10" s="372"/>
      <c r="B10" s="122" t="s">
        <v>119</v>
      </c>
      <c r="C10" s="122" t="s">
        <v>123</v>
      </c>
      <c r="D10" s="122" t="s">
        <v>119</v>
      </c>
      <c r="E10" s="122" t="s">
        <v>123</v>
      </c>
      <c r="F10" s="376"/>
      <c r="G10" s="372"/>
      <c r="H10" s="372"/>
      <c r="I10" s="376"/>
      <c r="J10" s="12"/>
    </row>
    <row r="11" spans="1:10" ht="27.75" customHeight="1">
      <c r="A11" s="277" t="s">
        <v>102</v>
      </c>
      <c r="B11" s="278" t="s">
        <v>120</v>
      </c>
      <c r="C11" s="278" t="s">
        <v>124</v>
      </c>
      <c r="D11" s="278" t="s">
        <v>125</v>
      </c>
      <c r="E11" s="279" t="s">
        <v>426</v>
      </c>
      <c r="F11" s="279" t="s">
        <v>427</v>
      </c>
      <c r="G11" s="123"/>
      <c r="H11" s="124"/>
      <c r="I11" s="52"/>
      <c r="J11" s="12"/>
    </row>
    <row r="12" spans="1:10" ht="20.25" customHeight="1">
      <c r="A12" s="121"/>
      <c r="B12" s="91"/>
      <c r="C12" s="91"/>
      <c r="D12" s="91"/>
      <c r="E12" s="43"/>
      <c r="F12" s="43"/>
      <c r="G12" s="123"/>
      <c r="H12" s="124"/>
      <c r="I12" s="52"/>
      <c r="J12" s="12"/>
    </row>
    <row r="13" spans="1:10" ht="20.25" customHeight="1">
      <c r="A13" s="121"/>
      <c r="B13" s="91"/>
      <c r="C13" s="91"/>
      <c r="D13" s="91"/>
      <c r="E13" s="43"/>
      <c r="F13" s="43"/>
      <c r="G13" s="123"/>
      <c r="H13" s="124"/>
      <c r="I13" s="52"/>
      <c r="J13" s="12"/>
    </row>
    <row r="14" spans="1:10" ht="20.25" customHeight="1">
      <c r="A14" s="121"/>
      <c r="B14" s="91"/>
      <c r="C14" s="91"/>
      <c r="D14" s="91"/>
      <c r="E14" s="43"/>
      <c r="F14" s="43"/>
      <c r="G14" s="123"/>
      <c r="H14" s="124"/>
      <c r="I14" s="52"/>
      <c r="J14" s="12"/>
    </row>
    <row r="15" spans="1:10" ht="20.25" customHeight="1">
      <c r="A15" s="121"/>
      <c r="B15" s="91"/>
      <c r="C15" s="91"/>
      <c r="D15" s="91"/>
      <c r="E15" s="43"/>
      <c r="F15" s="43"/>
      <c r="G15" s="123"/>
      <c r="H15" s="124"/>
      <c r="I15" s="52"/>
      <c r="J15" s="12"/>
    </row>
    <row r="16" spans="1:10" ht="20.25" customHeight="1">
      <c r="A16" s="154"/>
      <c r="B16" s="154"/>
      <c r="C16" s="154"/>
      <c r="D16" s="154"/>
      <c r="E16" s="155"/>
      <c r="F16" s="155"/>
      <c r="G16" s="156"/>
      <c r="H16" s="153"/>
      <c r="I16" s="157"/>
      <c r="J16" s="12"/>
    </row>
    <row r="17" spans="1:9" ht="20.25" customHeight="1">
      <c r="A17" s="181" t="s">
        <v>354</v>
      </c>
      <c r="G17" s="6"/>
      <c r="H17" s="16"/>
      <c r="I17" s="4"/>
    </row>
    <row r="18" spans="1:9" ht="20.25" customHeight="1">
      <c r="G18" s="5"/>
      <c r="H18" s="4"/>
      <c r="I18" s="4"/>
    </row>
    <row r="19" spans="1:9" ht="20.25" customHeight="1">
      <c r="G19" s="5"/>
      <c r="H19" s="4"/>
      <c r="I19" s="4"/>
    </row>
    <row r="20" spans="1:9" ht="20.25" customHeight="1">
      <c r="A20" s="38" t="s">
        <v>355</v>
      </c>
      <c r="G20" s="5"/>
      <c r="H20" s="4"/>
      <c r="I20" s="4"/>
    </row>
    <row r="21" spans="1:9" ht="20.25" customHeight="1">
      <c r="G21" s="5"/>
      <c r="H21" s="4"/>
      <c r="I21" s="4"/>
    </row>
    <row r="22" spans="1:9" ht="24.75" customHeight="1">
      <c r="A22" s="4"/>
      <c r="B22" s="4"/>
      <c r="C22" s="4"/>
      <c r="D22" s="4"/>
      <c r="E22" s="4"/>
      <c r="F22" s="4"/>
      <c r="G22" s="4"/>
      <c r="H22" s="4"/>
      <c r="I22" s="4"/>
    </row>
    <row r="23" spans="1:9" ht="24.75" customHeight="1">
      <c r="A23" s="4"/>
      <c r="B23" s="4"/>
      <c r="C23" s="4"/>
      <c r="D23" s="4"/>
      <c r="E23" s="4"/>
      <c r="F23" s="4"/>
      <c r="G23" s="4"/>
      <c r="H23" s="4"/>
      <c r="I23" s="4"/>
    </row>
    <row r="24" spans="1:9" ht="18" customHeight="1">
      <c r="A24" s="40" t="s">
        <v>33</v>
      </c>
      <c r="B24" s="4"/>
      <c r="C24" s="4"/>
      <c r="D24" s="4"/>
      <c r="E24" s="4"/>
      <c r="F24" s="4"/>
      <c r="G24" s="4"/>
      <c r="H24" s="4"/>
      <c r="I24" s="4"/>
    </row>
    <row r="25" spans="1:9" ht="18" customHeight="1">
      <c r="A25" s="7" t="s">
        <v>10</v>
      </c>
      <c r="B25" s="4"/>
      <c r="C25" s="4"/>
      <c r="D25" s="4"/>
      <c r="E25" s="4"/>
      <c r="F25" s="4"/>
      <c r="G25" s="4"/>
      <c r="H25" s="4"/>
      <c r="I25" s="4"/>
    </row>
    <row r="26" spans="1:9" ht="18" customHeight="1">
      <c r="A26" s="8" t="s">
        <v>2</v>
      </c>
      <c r="B26" s="4"/>
      <c r="C26" s="4"/>
      <c r="D26" s="4"/>
      <c r="E26" s="4"/>
      <c r="F26" s="4"/>
      <c r="G26" s="4"/>
      <c r="H26" s="4"/>
      <c r="I26" s="4"/>
    </row>
    <row r="27" spans="1:9" ht="18" customHeight="1">
      <c r="A27" s="41" t="s">
        <v>34</v>
      </c>
      <c r="B27" s="4"/>
      <c r="C27" s="4"/>
      <c r="D27" s="4"/>
      <c r="E27" s="4"/>
      <c r="F27" s="4"/>
      <c r="G27" s="4"/>
      <c r="H27" s="4"/>
      <c r="I27" s="4"/>
    </row>
    <row r="28" spans="1:9" ht="18" customHeight="1">
      <c r="A28" s="10" t="s">
        <v>4</v>
      </c>
    </row>
    <row r="29" spans="1:9" ht="18" customHeight="1">
      <c r="A29" s="10" t="s">
        <v>6</v>
      </c>
    </row>
    <row r="30" spans="1:9" ht="18" customHeight="1">
      <c r="A30" s="10" t="s">
        <v>8</v>
      </c>
    </row>
    <row r="31" spans="1:9" ht="15.75" customHeight="1"/>
    <row r="32" spans="1:9">
      <c r="A32" s="7" t="s">
        <v>11</v>
      </c>
    </row>
    <row r="33" spans="1:3" s="7" customFormat="1">
      <c r="A33" s="47" t="s">
        <v>38</v>
      </c>
    </row>
    <row r="34" spans="1:3" s="7" customFormat="1">
      <c r="A34" s="47"/>
    </row>
    <row r="35" spans="1:3" s="7" customFormat="1">
      <c r="A35" s="47"/>
    </row>
    <row r="36" spans="1:3" s="7" customFormat="1">
      <c r="A36" s="47"/>
    </row>
    <row r="37" spans="1:3" s="7" customFormat="1">
      <c r="A37" s="47"/>
    </row>
    <row r="38" spans="1:3" s="7" customFormat="1">
      <c r="A38" s="47"/>
      <c r="B38" s="1"/>
      <c r="C38" s="1"/>
    </row>
    <row r="39" spans="1:3" s="7" customFormat="1">
      <c r="A39" s="47"/>
      <c r="B39" s="1"/>
      <c r="C39" s="1"/>
    </row>
    <row r="40" spans="1:3" s="7" customFormat="1">
      <c r="A40" s="47"/>
      <c r="B40" s="1"/>
      <c r="C40" s="1"/>
    </row>
    <row r="41" spans="1:3" s="7" customFormat="1">
      <c r="A41" s="48"/>
      <c r="B41" s="2"/>
      <c r="C41" s="2"/>
    </row>
    <row r="42" spans="1:3" s="7" customFormat="1">
      <c r="B42" s="2"/>
      <c r="C42" s="2"/>
    </row>
    <row r="43" spans="1:3" s="7" customFormat="1"/>
    <row r="44" spans="1:3">
      <c r="A44" s="47" t="s">
        <v>46</v>
      </c>
    </row>
    <row r="56" spans="1:3">
      <c r="A56" s="47" t="s">
        <v>54</v>
      </c>
      <c r="B56" s="7"/>
      <c r="C56" s="7"/>
    </row>
    <row r="57" spans="1:3">
      <c r="B57" s="7"/>
      <c r="C57" s="7"/>
    </row>
    <row r="58" spans="1:3">
      <c r="B58" s="7"/>
      <c r="C58" s="7"/>
    </row>
    <row r="59" spans="1:3">
      <c r="B59" s="7"/>
      <c r="C59" s="7"/>
    </row>
    <row r="60" spans="1:3">
      <c r="B60" s="7"/>
      <c r="C60" s="7"/>
    </row>
    <row r="61" spans="1:3">
      <c r="B61" s="7"/>
      <c r="C61" s="7"/>
    </row>
    <row r="65" spans="2:3">
      <c r="B65" s="7"/>
      <c r="C65" s="7"/>
    </row>
    <row r="66" spans="2:3">
      <c r="B66" s="7"/>
      <c r="C66" s="7"/>
    </row>
    <row r="67" spans="2:3">
      <c r="B67" s="7"/>
      <c r="C67" s="7"/>
    </row>
    <row r="68" spans="2:3">
      <c r="B68" s="7"/>
      <c r="C68" s="7"/>
    </row>
    <row r="69" spans="2:3">
      <c r="B69" s="7"/>
      <c r="C69" s="7"/>
    </row>
    <row r="70" spans="2:3">
      <c r="B70" s="7"/>
      <c r="C70" s="7"/>
    </row>
    <row r="71" spans="2:3">
      <c r="B71" s="7"/>
      <c r="C71" s="7"/>
    </row>
    <row r="72" spans="2:3">
      <c r="B72" s="7"/>
      <c r="C72" s="7"/>
    </row>
    <row r="73" spans="2:3">
      <c r="B73" s="7"/>
      <c r="C73" s="7"/>
    </row>
    <row r="74" spans="2:3">
      <c r="B74" s="7"/>
      <c r="C74" s="7"/>
    </row>
    <row r="75" spans="2:3">
      <c r="B75" s="7"/>
      <c r="C75" s="7"/>
    </row>
    <row r="76" spans="2:3">
      <c r="B76" s="50" t="s">
        <v>28</v>
      </c>
      <c r="C76" s="50"/>
    </row>
    <row r="77" spans="2:3">
      <c r="B77" s="51">
        <v>1.9</v>
      </c>
      <c r="C77" s="51"/>
    </row>
    <row r="78" spans="2:3">
      <c r="B78" s="51">
        <v>1.6</v>
      </c>
      <c r="C78" s="51"/>
    </row>
    <row r="79" spans="2:3">
      <c r="B79" s="51">
        <v>1.5</v>
      </c>
      <c r="C79" s="51"/>
    </row>
  </sheetData>
  <mergeCells count="10">
    <mergeCell ref="A1:I1"/>
    <mergeCell ref="A2:I2"/>
    <mergeCell ref="A9:A10"/>
    <mergeCell ref="B9:C9"/>
    <mergeCell ref="D9:E9"/>
    <mergeCell ref="F9:F10"/>
    <mergeCell ref="G9:G10"/>
    <mergeCell ref="H9:H10"/>
    <mergeCell ref="I9:I10"/>
    <mergeCell ref="A6:G6"/>
  </mergeCells>
  <phoneticPr fontId="3" type="noConversion"/>
  <hyperlinks>
    <hyperlink ref="I3" location="底稿目录!F11" display="底稿目录!F11"/>
  </hyperlinks>
  <printOptions horizontalCentered="1"/>
  <pageMargins left="0.70866141732283472" right="0.70866141732283472" top="0.74803149606299213" bottom="0.74803149606299213" header="0.31496062992125984" footer="0.31496062992125984"/>
  <pageSetup paperSize="9" scale="92" fitToHeight="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S90"/>
  <sheetViews>
    <sheetView view="pageBreakPreview" zoomScaleSheetLayoutView="100" workbookViewId="0">
      <selection activeCell="P3" sqref="P3"/>
    </sheetView>
  </sheetViews>
  <sheetFormatPr defaultColWidth="9" defaultRowHeight="13.8"/>
  <cols>
    <col min="1" max="1" width="10.44140625" style="3" customWidth="1"/>
    <col min="2" max="2" width="16.21875" style="3" customWidth="1"/>
    <col min="3" max="3" width="16.33203125" style="3" customWidth="1"/>
    <col min="4" max="4" width="15.6640625" style="3" customWidth="1"/>
    <col min="5" max="5" width="12.44140625" style="3" customWidth="1"/>
    <col min="6" max="6" width="14.21875" style="3" customWidth="1"/>
    <col min="7" max="7" width="19.77734375" style="3" customWidth="1"/>
    <col min="8" max="13" width="4.88671875" style="3" customWidth="1"/>
    <col min="14" max="14" width="11.88671875" style="3" customWidth="1"/>
    <col min="15" max="15" width="7" style="3" customWidth="1"/>
    <col min="16" max="16" width="16.33203125" style="3" customWidth="1"/>
    <col min="17" max="17" width="13.88671875" style="3" customWidth="1"/>
    <col min="18" max="16384" width="9" style="3"/>
  </cols>
  <sheetData>
    <row r="1" spans="1:19" s="185" customFormat="1" ht="19.95" customHeight="1">
      <c r="A1" s="353" t="s">
        <v>335</v>
      </c>
      <c r="B1" s="353"/>
      <c r="C1" s="353"/>
      <c r="D1" s="353"/>
      <c r="E1" s="353"/>
      <c r="F1" s="353"/>
      <c r="G1" s="353"/>
      <c r="H1" s="353"/>
      <c r="I1" s="353"/>
      <c r="J1" s="353"/>
      <c r="K1" s="353"/>
      <c r="L1" s="353"/>
      <c r="M1" s="353"/>
      <c r="N1" s="353"/>
      <c r="O1" s="353"/>
      <c r="P1" s="353"/>
      <c r="Q1" s="353"/>
    </row>
    <row r="2" spans="1:19" s="189" customFormat="1" ht="19.95" customHeight="1">
      <c r="A2" s="354" t="s">
        <v>241</v>
      </c>
      <c r="B2" s="354"/>
      <c r="C2" s="354"/>
      <c r="D2" s="354"/>
      <c r="E2" s="354"/>
      <c r="F2" s="354"/>
      <c r="G2" s="354"/>
      <c r="H2" s="354"/>
      <c r="I2" s="354"/>
      <c r="J2" s="354"/>
      <c r="K2" s="354"/>
      <c r="L2" s="354"/>
      <c r="M2" s="354"/>
      <c r="N2" s="354"/>
      <c r="O2" s="354"/>
      <c r="P2" s="354"/>
      <c r="Q2" s="354"/>
    </row>
    <row r="3" spans="1:19" s="213" customFormat="1" ht="19.95" customHeight="1">
      <c r="A3" s="213" t="str">
        <f>底稿目录!A2</f>
        <v>被审计单位：</v>
      </c>
      <c r="B3" s="214"/>
      <c r="D3" s="215" t="str">
        <f>底稿目录!A4</f>
        <v>编制人：</v>
      </c>
      <c r="G3" s="216" t="str">
        <f>底稿目录!A5</f>
        <v>编制日期：</v>
      </c>
      <c r="H3" s="214"/>
      <c r="K3" s="217"/>
      <c r="L3" s="217"/>
      <c r="M3" s="217"/>
      <c r="O3" s="213" t="s">
        <v>266</v>
      </c>
      <c r="P3" s="268" t="str">
        <f>底稿目录!F12</f>
        <v>G12-6</v>
      </c>
    </row>
    <row r="4" spans="1:19" s="213" customFormat="1" ht="19.95" customHeight="1">
      <c r="A4" s="218" t="str">
        <f>底稿目录!A3</f>
        <v>会计期间：202X年度</v>
      </c>
      <c r="B4" s="214"/>
      <c r="D4" s="215" t="str">
        <f>底稿目录!A6</f>
        <v>复核人：</v>
      </c>
      <c r="G4" s="216" t="str">
        <f>底稿目录!A7</f>
        <v>复核日期：</v>
      </c>
      <c r="H4" s="214"/>
      <c r="K4" s="217"/>
      <c r="L4" s="217"/>
      <c r="M4" s="217"/>
      <c r="O4" s="213" t="s">
        <v>127</v>
      </c>
    </row>
    <row r="5" spans="1:19" s="12" customFormat="1" ht="19.95" customHeight="1">
      <c r="A5" s="181" t="s">
        <v>14</v>
      </c>
      <c r="B5" s="178"/>
      <c r="C5" s="178"/>
      <c r="D5" s="178"/>
      <c r="E5" s="178"/>
      <c r="F5" s="178"/>
      <c r="G5" s="178"/>
      <c r="H5" s="178"/>
      <c r="I5" s="178"/>
      <c r="J5" s="178"/>
      <c r="K5" s="178"/>
      <c r="L5" s="178"/>
      <c r="M5" s="178"/>
      <c r="N5" s="178"/>
      <c r="O5" s="178"/>
      <c r="P5" s="178"/>
      <c r="Q5" s="178"/>
    </row>
    <row r="6" spans="1:19" s="12" customFormat="1" ht="19.95" customHeight="1">
      <c r="A6" s="179" t="s">
        <v>385</v>
      </c>
      <c r="B6" s="210"/>
      <c r="C6" s="210"/>
      <c r="D6" s="210"/>
      <c r="E6" s="210"/>
      <c r="F6" s="210"/>
      <c r="G6" s="210"/>
      <c r="H6" s="210"/>
      <c r="I6" s="210"/>
      <c r="J6" s="210"/>
      <c r="K6" s="210"/>
      <c r="L6" s="210"/>
      <c r="M6" s="210"/>
      <c r="N6" s="210"/>
      <c r="O6" s="210"/>
      <c r="P6" s="178"/>
      <c r="Q6" s="178"/>
    </row>
    <row r="7" spans="1:19" s="12" customFormat="1" ht="19.95" customHeight="1">
      <c r="A7" s="179" t="s">
        <v>386</v>
      </c>
      <c r="B7" s="210"/>
      <c r="C7" s="210"/>
      <c r="D7" s="210"/>
      <c r="E7" s="210"/>
      <c r="F7" s="210"/>
      <c r="G7" s="210"/>
      <c r="H7" s="210"/>
      <c r="I7" s="210"/>
      <c r="J7" s="210"/>
      <c r="K7" s="210"/>
      <c r="L7" s="210"/>
      <c r="M7" s="210"/>
      <c r="N7" s="210"/>
      <c r="O7" s="210"/>
      <c r="P7" s="178"/>
      <c r="Q7" s="178"/>
    </row>
    <row r="8" spans="1:19" s="12" customFormat="1" ht="19.95" customHeight="1">
      <c r="A8" s="382" t="s">
        <v>311</v>
      </c>
      <c r="B8" s="377"/>
      <c r="C8" s="377"/>
      <c r="D8" s="377"/>
      <c r="E8" s="377"/>
      <c r="F8" s="377"/>
      <c r="G8" s="377"/>
      <c r="H8" s="377"/>
      <c r="I8" s="377"/>
      <c r="J8" s="377"/>
      <c r="K8" s="377"/>
      <c r="L8" s="125"/>
      <c r="M8" s="125"/>
    </row>
    <row r="9" spans="1:19" s="167" customFormat="1" ht="19.95" customHeight="1">
      <c r="A9" s="179" t="s">
        <v>341</v>
      </c>
      <c r="B9" s="180" t="s">
        <v>350</v>
      </c>
      <c r="E9" s="179" t="s">
        <v>342</v>
      </c>
      <c r="F9" s="180" t="s">
        <v>343</v>
      </c>
    </row>
    <row r="10" spans="1:19" s="167" customFormat="1" ht="19.95" customHeight="1">
      <c r="A10" s="179" t="s">
        <v>344</v>
      </c>
      <c r="B10" s="180" t="s">
        <v>345</v>
      </c>
      <c r="E10" s="179" t="s">
        <v>346</v>
      </c>
      <c r="F10" s="180" t="s">
        <v>436</v>
      </c>
      <c r="G10" s="180"/>
      <c r="P10" s="180"/>
      <c r="Q10" s="180"/>
    </row>
    <row r="11" spans="1:19" s="167" customFormat="1" ht="19.95" customHeight="1">
      <c r="A11" s="179" t="s">
        <v>347</v>
      </c>
      <c r="B11" s="180" t="s">
        <v>435</v>
      </c>
      <c r="E11" s="179" t="s">
        <v>348</v>
      </c>
      <c r="F11" s="180" t="s">
        <v>349</v>
      </c>
      <c r="P11" s="179"/>
      <c r="Q11" s="180"/>
    </row>
    <row r="12" spans="1:19" ht="19.95" customHeight="1">
      <c r="A12" s="39" t="s">
        <v>30</v>
      </c>
      <c r="B12" s="13"/>
      <c r="C12" s="13"/>
      <c r="D12" s="14"/>
      <c r="E12" s="15"/>
      <c r="F12" s="15"/>
      <c r="G12" s="12"/>
      <c r="H12" s="12"/>
      <c r="I12" s="12"/>
      <c r="J12" s="12"/>
      <c r="K12" s="12"/>
      <c r="L12" s="12"/>
      <c r="M12" s="12"/>
      <c r="N12" s="12"/>
      <c r="O12" s="12"/>
      <c r="P12" s="12"/>
      <c r="Q12" s="12"/>
    </row>
    <row r="13" spans="1:19" ht="19.95" customHeight="1">
      <c r="A13" s="249" t="s">
        <v>389</v>
      </c>
      <c r="B13" s="13"/>
      <c r="C13" s="13"/>
      <c r="D13" s="14"/>
      <c r="E13" s="15"/>
      <c r="F13" s="15"/>
      <c r="G13" s="12"/>
      <c r="H13" s="12"/>
      <c r="I13" s="12"/>
      <c r="J13" s="12"/>
      <c r="K13" s="12"/>
      <c r="L13" s="12"/>
      <c r="M13" s="12"/>
      <c r="N13" s="12"/>
      <c r="O13" s="12"/>
      <c r="P13" s="12"/>
      <c r="Q13" s="12"/>
    </row>
    <row r="14" spans="1:19" s="164" customFormat="1" ht="19.95" customHeight="1">
      <c r="A14" s="379" t="s">
        <v>268</v>
      </c>
      <c r="B14" s="379"/>
      <c r="C14" s="379"/>
      <c r="D14" s="379"/>
      <c r="E14" s="379"/>
      <c r="F14" s="379"/>
      <c r="G14" s="383" t="s">
        <v>387</v>
      </c>
      <c r="H14" s="385" t="s">
        <v>388</v>
      </c>
      <c r="I14" s="386"/>
      <c r="J14" s="386"/>
      <c r="K14" s="386"/>
      <c r="L14" s="386"/>
      <c r="M14" s="387"/>
      <c r="N14" s="380" t="s">
        <v>269</v>
      </c>
      <c r="O14" s="380" t="s">
        <v>270</v>
      </c>
      <c r="P14" s="380" t="s">
        <v>390</v>
      </c>
    </row>
    <row r="15" spans="1:19" s="165" customFormat="1" ht="19.95" customHeight="1">
      <c r="A15" s="159" t="s">
        <v>271</v>
      </c>
      <c r="B15" s="159" t="s">
        <v>272</v>
      </c>
      <c r="C15" s="159" t="s">
        <v>273</v>
      </c>
      <c r="D15" s="159" t="s">
        <v>274</v>
      </c>
      <c r="E15" s="159" t="s">
        <v>275</v>
      </c>
      <c r="F15" s="160" t="s">
        <v>276</v>
      </c>
      <c r="G15" s="384"/>
      <c r="H15" s="247">
        <v>1</v>
      </c>
      <c r="I15" s="247">
        <v>2</v>
      </c>
      <c r="J15" s="247">
        <v>3</v>
      </c>
      <c r="K15" s="247">
        <v>4</v>
      </c>
      <c r="L15" s="247">
        <v>5</v>
      </c>
      <c r="M15" s="247">
        <v>6</v>
      </c>
      <c r="N15" s="381"/>
      <c r="O15" s="381"/>
      <c r="P15" s="381"/>
    </row>
    <row r="16" spans="1:19" s="199" customFormat="1" ht="19.95" customHeight="1">
      <c r="A16" s="194"/>
      <c r="B16" s="195"/>
      <c r="C16" s="255"/>
      <c r="D16" s="255"/>
      <c r="E16" s="255"/>
      <c r="F16" s="197"/>
      <c r="G16" s="194"/>
      <c r="H16" s="248"/>
      <c r="I16" s="248"/>
      <c r="J16" s="248"/>
      <c r="K16" s="248"/>
      <c r="L16" s="248"/>
      <c r="M16" s="248"/>
      <c r="N16" s="197"/>
      <c r="O16" s="196"/>
      <c r="P16" s="196"/>
      <c r="Q16" s="164"/>
      <c r="R16" s="164"/>
      <c r="S16" s="164"/>
    </row>
    <row r="17" spans="1:19" s="199" customFormat="1" ht="19.95" customHeight="1">
      <c r="A17" s="194"/>
      <c r="B17" s="195"/>
      <c r="C17" s="198"/>
      <c r="D17" s="198"/>
      <c r="E17" s="198"/>
      <c r="F17" s="166"/>
      <c r="G17" s="194"/>
      <c r="H17" s="248"/>
      <c r="I17" s="248"/>
      <c r="J17" s="248"/>
      <c r="K17" s="248"/>
      <c r="L17" s="248"/>
      <c r="M17" s="248"/>
      <c r="N17" s="166"/>
      <c r="O17" s="198"/>
      <c r="P17" s="198"/>
      <c r="Q17" s="164"/>
      <c r="R17" s="164"/>
      <c r="S17" s="164"/>
    </row>
    <row r="18" spans="1:19" s="199" customFormat="1" ht="19.95" customHeight="1">
      <c r="A18" s="194"/>
      <c r="B18" s="195"/>
      <c r="C18" s="198"/>
      <c r="D18" s="198"/>
      <c r="E18" s="198"/>
      <c r="F18" s="166"/>
      <c r="G18" s="194"/>
      <c r="H18" s="248"/>
      <c r="I18" s="248"/>
      <c r="J18" s="248"/>
      <c r="K18" s="248"/>
      <c r="L18" s="248"/>
      <c r="M18" s="248"/>
      <c r="N18" s="166"/>
      <c r="O18" s="198"/>
      <c r="P18" s="198"/>
      <c r="Q18" s="164"/>
      <c r="R18" s="164"/>
      <c r="S18" s="164"/>
    </row>
    <row r="19" spans="1:19" s="199" customFormat="1" ht="19.95" customHeight="1">
      <c r="A19" s="194"/>
      <c r="B19" s="195"/>
      <c r="C19" s="198"/>
      <c r="D19" s="198"/>
      <c r="E19" s="198"/>
      <c r="F19" s="166"/>
      <c r="G19" s="194"/>
      <c r="H19" s="248"/>
      <c r="I19" s="248"/>
      <c r="J19" s="248"/>
      <c r="K19" s="248"/>
      <c r="L19" s="248"/>
      <c r="M19" s="248"/>
      <c r="N19" s="166"/>
      <c r="O19" s="198"/>
      <c r="P19" s="198"/>
      <c r="Q19" s="164"/>
      <c r="R19" s="164"/>
      <c r="S19" s="164"/>
    </row>
    <row r="20" spans="1:19" s="199" customFormat="1" ht="19.95" customHeight="1">
      <c r="A20" s="194"/>
      <c r="B20" s="195"/>
      <c r="C20" s="198"/>
      <c r="D20" s="198"/>
      <c r="E20" s="198"/>
      <c r="F20" s="166"/>
      <c r="G20" s="194"/>
      <c r="H20" s="248"/>
      <c r="I20" s="248"/>
      <c r="J20" s="248"/>
      <c r="K20" s="248"/>
      <c r="L20" s="248"/>
      <c r="M20" s="248"/>
      <c r="N20" s="166"/>
      <c r="O20" s="198"/>
      <c r="P20" s="198"/>
      <c r="Q20" s="164"/>
      <c r="R20" s="164"/>
      <c r="S20" s="164"/>
    </row>
    <row r="21" spans="1:19" s="199" customFormat="1" ht="19.95" customHeight="1">
      <c r="A21" s="194"/>
      <c r="B21" s="195"/>
      <c r="C21" s="198"/>
      <c r="D21" s="198"/>
      <c r="E21" s="198"/>
      <c r="F21" s="166"/>
      <c r="G21" s="194"/>
      <c r="H21" s="248"/>
      <c r="I21" s="248"/>
      <c r="J21" s="248"/>
      <c r="K21" s="248"/>
      <c r="L21" s="248"/>
      <c r="M21" s="248"/>
      <c r="N21" s="166"/>
      <c r="O21" s="198"/>
      <c r="P21" s="198"/>
      <c r="Q21" s="164"/>
      <c r="R21" s="164"/>
      <c r="S21" s="164"/>
    </row>
    <row r="22" spans="1:19" s="199" customFormat="1" ht="19.95" customHeight="1">
      <c r="A22" s="198"/>
      <c r="B22" s="198"/>
      <c r="C22" s="198"/>
      <c r="D22" s="198"/>
      <c r="E22" s="198"/>
      <c r="F22" s="166"/>
      <c r="G22" s="200"/>
      <c r="H22" s="248"/>
      <c r="I22" s="248"/>
      <c r="J22" s="248"/>
      <c r="K22" s="248"/>
      <c r="L22" s="248"/>
      <c r="M22" s="248"/>
      <c r="N22" s="166"/>
      <c r="O22" s="198"/>
      <c r="P22" s="198"/>
      <c r="Q22" s="164"/>
      <c r="R22" s="164"/>
      <c r="S22" s="164"/>
    </row>
    <row r="23" spans="1:19" s="199" customFormat="1" ht="19.95" customHeight="1">
      <c r="A23" s="198"/>
      <c r="B23" s="198"/>
      <c r="C23" s="198"/>
      <c r="D23" s="198"/>
      <c r="E23" s="198"/>
      <c r="F23" s="166"/>
      <c r="G23" s="200"/>
      <c r="H23" s="248"/>
      <c r="I23" s="248"/>
      <c r="J23" s="248"/>
      <c r="K23" s="248"/>
      <c r="L23" s="248"/>
      <c r="M23" s="248"/>
      <c r="N23" s="166"/>
      <c r="O23" s="198"/>
      <c r="P23" s="198"/>
      <c r="Q23" s="164"/>
      <c r="R23" s="164"/>
      <c r="S23" s="164"/>
    </row>
    <row r="24" spans="1:19" s="287" customFormat="1" ht="19.95" customHeight="1">
      <c r="A24" s="378" t="s">
        <v>437</v>
      </c>
      <c r="B24" s="378"/>
      <c r="C24" s="378"/>
      <c r="D24" s="378"/>
      <c r="E24" s="284"/>
      <c r="F24" s="285">
        <f>SUM(F16:F23)</f>
        <v>0</v>
      </c>
      <c r="G24" s="286"/>
      <c r="H24" s="284"/>
      <c r="I24" s="284"/>
      <c r="J24" s="284"/>
      <c r="K24" s="284"/>
      <c r="L24" s="284"/>
      <c r="M24" s="284"/>
      <c r="N24" s="285"/>
      <c r="O24" s="284"/>
      <c r="P24" s="284"/>
    </row>
    <row r="25" spans="1:19" s="287" customFormat="1" ht="19.95" customHeight="1">
      <c r="A25" s="378" t="s">
        <v>438</v>
      </c>
      <c r="B25" s="378"/>
      <c r="C25" s="378"/>
      <c r="D25" s="378"/>
      <c r="E25" s="284"/>
      <c r="F25" s="285">
        <f>'审定表G12-1'!G12</f>
        <v>0</v>
      </c>
      <c r="G25" s="286"/>
      <c r="H25" s="284"/>
      <c r="I25" s="284"/>
      <c r="J25" s="284"/>
      <c r="K25" s="284"/>
      <c r="L25" s="284"/>
      <c r="M25" s="284"/>
      <c r="N25" s="285"/>
      <c r="O25" s="284"/>
      <c r="P25" s="284"/>
    </row>
    <row r="26" spans="1:19" s="287" customFormat="1" ht="19.95" customHeight="1">
      <c r="A26" s="378" t="s">
        <v>439</v>
      </c>
      <c r="B26" s="378"/>
      <c r="C26" s="378"/>
      <c r="D26" s="378"/>
      <c r="E26" s="284"/>
      <c r="F26" s="288" t="e">
        <f>F24/F25</f>
        <v>#DIV/0!</v>
      </c>
      <c r="G26" s="286"/>
      <c r="H26" s="284"/>
      <c r="I26" s="284"/>
      <c r="J26" s="284"/>
      <c r="K26" s="284"/>
      <c r="L26" s="284"/>
      <c r="M26" s="284"/>
      <c r="N26" s="285"/>
      <c r="O26" s="284"/>
      <c r="P26" s="284"/>
    </row>
    <row r="27" spans="1:19" ht="19.95" customHeight="1">
      <c r="A27" s="39" t="s">
        <v>31</v>
      </c>
      <c r="F27" s="6"/>
      <c r="I27" s="16"/>
      <c r="J27" s="16"/>
      <c r="K27" s="16"/>
      <c r="L27" s="16"/>
      <c r="M27" s="16"/>
      <c r="N27" s="16"/>
      <c r="O27" s="16"/>
      <c r="P27" s="16"/>
      <c r="Q27" s="4"/>
    </row>
    <row r="28" spans="1:19" ht="19.95" customHeight="1">
      <c r="F28" s="207"/>
      <c r="G28" s="208"/>
      <c r="H28" s="207"/>
      <c r="I28" s="207"/>
      <c r="J28" s="209"/>
      <c r="K28" s="16"/>
      <c r="L28" s="16"/>
      <c r="M28" s="16"/>
      <c r="N28" s="16"/>
      <c r="O28" s="16"/>
      <c r="P28" s="16"/>
      <c r="Q28" s="4"/>
    </row>
    <row r="29" spans="1:19" ht="19.95" customHeight="1">
      <c r="I29" s="4"/>
      <c r="J29" s="4"/>
      <c r="K29" s="4"/>
      <c r="L29" s="4"/>
      <c r="M29" s="4"/>
      <c r="N29" s="4"/>
      <c r="O29" s="4"/>
      <c r="P29" s="4"/>
      <c r="Q29" s="4"/>
    </row>
    <row r="30" spans="1:19" ht="19.95" customHeight="1">
      <c r="I30" s="4"/>
      <c r="J30" s="4"/>
      <c r="K30" s="4"/>
      <c r="L30" s="4"/>
      <c r="M30" s="4"/>
      <c r="N30" s="4"/>
      <c r="O30" s="4"/>
      <c r="P30" s="4"/>
      <c r="Q30" s="4"/>
    </row>
    <row r="31" spans="1:19" ht="19.95" customHeight="1">
      <c r="A31" s="6" t="s">
        <v>32</v>
      </c>
      <c r="I31" s="4"/>
      <c r="J31" s="4"/>
      <c r="K31" s="4"/>
      <c r="L31" s="4"/>
      <c r="M31" s="4"/>
      <c r="N31" s="4"/>
      <c r="O31" s="4"/>
      <c r="P31" s="4"/>
      <c r="Q31" s="4"/>
    </row>
    <row r="32" spans="1:19" ht="19.95" customHeight="1">
      <c r="I32" s="4"/>
      <c r="J32" s="4"/>
      <c r="K32" s="4"/>
      <c r="L32" s="4"/>
      <c r="M32" s="4"/>
      <c r="N32" s="4"/>
      <c r="O32" s="4"/>
      <c r="P32" s="4"/>
      <c r="Q32" s="4"/>
    </row>
    <row r="33" spans="1:17" ht="24.75" customHeight="1">
      <c r="A33" s="4"/>
      <c r="B33" s="4"/>
      <c r="C33" s="4"/>
      <c r="D33" s="4"/>
      <c r="E33" s="4"/>
      <c r="F33" s="4"/>
      <c r="G33" s="4"/>
      <c r="H33" s="4"/>
      <c r="I33" s="4"/>
      <c r="J33" s="4"/>
      <c r="K33" s="4"/>
      <c r="L33" s="4"/>
      <c r="M33" s="4"/>
      <c r="N33" s="4"/>
      <c r="O33" s="4"/>
      <c r="P33" s="4"/>
      <c r="Q33" s="4"/>
    </row>
    <row r="34" spans="1:17" ht="24.75" customHeight="1">
      <c r="A34" s="4"/>
      <c r="B34" s="4"/>
      <c r="C34" s="4"/>
      <c r="D34" s="4"/>
      <c r="E34" s="4"/>
      <c r="F34" s="4"/>
      <c r="G34" s="4"/>
      <c r="H34" s="4"/>
      <c r="I34" s="4"/>
      <c r="J34" s="4"/>
      <c r="K34" s="4"/>
      <c r="L34" s="4"/>
      <c r="M34" s="4"/>
      <c r="N34" s="4"/>
      <c r="O34" s="4"/>
      <c r="P34" s="4"/>
      <c r="Q34" s="4"/>
    </row>
    <row r="35" spans="1:17" ht="18" customHeight="1">
      <c r="A35" s="40" t="s">
        <v>33</v>
      </c>
      <c r="C35" s="4"/>
      <c r="D35" s="4"/>
      <c r="E35" s="4"/>
      <c r="F35" s="4"/>
      <c r="G35" s="4"/>
      <c r="H35" s="4"/>
      <c r="I35" s="4"/>
      <c r="J35" s="4"/>
      <c r="K35" s="4"/>
      <c r="L35" s="4"/>
      <c r="M35" s="4"/>
      <c r="N35" s="4"/>
      <c r="O35" s="4"/>
      <c r="P35" s="4"/>
      <c r="Q35" s="4"/>
    </row>
    <row r="36" spans="1:17" ht="18" customHeight="1">
      <c r="A36" s="7" t="s">
        <v>10</v>
      </c>
      <c r="B36" s="7"/>
      <c r="C36" s="4"/>
      <c r="D36" s="4"/>
      <c r="E36" s="4"/>
      <c r="F36" s="4"/>
      <c r="G36" s="4"/>
      <c r="H36" s="4"/>
      <c r="I36" s="4"/>
      <c r="J36" s="4"/>
      <c r="K36" s="4"/>
      <c r="L36" s="4"/>
      <c r="M36" s="4"/>
      <c r="N36" s="4"/>
      <c r="O36" s="4"/>
      <c r="P36" s="4"/>
      <c r="Q36" s="4"/>
    </row>
    <row r="37" spans="1:17" ht="18" customHeight="1">
      <c r="A37" s="8" t="s">
        <v>2</v>
      </c>
      <c r="B37" s="8"/>
      <c r="C37" s="4"/>
      <c r="D37" s="4"/>
      <c r="E37" s="4"/>
      <c r="F37" s="4"/>
      <c r="G37" s="4"/>
      <c r="H37" s="4"/>
      <c r="I37" s="4"/>
      <c r="J37" s="4"/>
      <c r="K37" s="4"/>
      <c r="L37" s="4"/>
      <c r="M37" s="4"/>
      <c r="N37" s="4"/>
      <c r="O37" s="4"/>
      <c r="P37" s="4"/>
      <c r="Q37" s="4"/>
    </row>
    <row r="38" spans="1:17" ht="18" customHeight="1">
      <c r="A38" s="41" t="s">
        <v>34</v>
      </c>
      <c r="B38" s="8"/>
      <c r="C38" s="4"/>
      <c r="D38" s="4"/>
      <c r="E38" s="4"/>
      <c r="F38" s="4"/>
      <c r="G38" s="4"/>
      <c r="H38" s="4"/>
      <c r="I38" s="4"/>
      <c r="J38" s="4"/>
      <c r="K38" s="4"/>
      <c r="L38" s="4"/>
      <c r="M38" s="4"/>
      <c r="N38" s="4"/>
      <c r="O38" s="4"/>
      <c r="P38" s="4"/>
      <c r="Q38" s="4"/>
    </row>
    <row r="39" spans="1:17" ht="18" customHeight="1">
      <c r="A39" s="10" t="s">
        <v>4</v>
      </c>
      <c r="B39" s="8" t="s">
        <v>35</v>
      </c>
    </row>
    <row r="40" spans="1:17" ht="18" customHeight="1">
      <c r="A40" s="10" t="s">
        <v>6</v>
      </c>
      <c r="B40" s="8" t="s">
        <v>36</v>
      </c>
    </row>
    <row r="41" spans="1:17" ht="18" customHeight="1">
      <c r="A41" s="10" t="s">
        <v>8</v>
      </c>
      <c r="B41" s="8" t="s">
        <v>37</v>
      </c>
    </row>
    <row r="42" spans="1:17" ht="15.75" customHeight="1"/>
    <row r="43" spans="1:17">
      <c r="A43" s="7" t="s">
        <v>11</v>
      </c>
    </row>
    <row r="44" spans="1:17" s="7" customFormat="1">
      <c r="A44" s="47" t="s">
        <v>38</v>
      </c>
      <c r="B44" s="7" t="s">
        <v>39</v>
      </c>
    </row>
    <row r="45" spans="1:17" s="7" customFormat="1">
      <c r="A45" s="47"/>
      <c r="B45" s="7" t="s">
        <v>40</v>
      </c>
    </row>
    <row r="46" spans="1:17" s="7" customFormat="1">
      <c r="A46" s="47"/>
      <c r="B46" s="7" t="s">
        <v>41</v>
      </c>
    </row>
    <row r="47" spans="1:17" s="7" customFormat="1">
      <c r="A47" s="47"/>
      <c r="B47" s="7" t="s">
        <v>42</v>
      </c>
    </row>
    <row r="48" spans="1:17" s="7" customFormat="1">
      <c r="A48" s="47"/>
    </row>
    <row r="49" spans="1:3" s="7" customFormat="1">
      <c r="A49" s="47"/>
      <c r="B49" s="42" t="s">
        <v>43</v>
      </c>
      <c r="C49" s="1"/>
    </row>
    <row r="50" spans="1:3" s="7" customFormat="1">
      <c r="A50" s="47"/>
      <c r="B50" s="1" t="s">
        <v>44</v>
      </c>
      <c r="C50" s="1"/>
    </row>
    <row r="51" spans="1:3" s="7" customFormat="1">
      <c r="A51" s="47"/>
      <c r="B51" s="1" t="s">
        <v>21</v>
      </c>
      <c r="C51" s="1"/>
    </row>
    <row r="52" spans="1:3" s="7" customFormat="1">
      <c r="A52" s="48"/>
      <c r="B52" s="1" t="s">
        <v>22</v>
      </c>
      <c r="C52" s="2"/>
    </row>
    <row r="53" spans="1:3" s="7" customFormat="1">
      <c r="B53" s="1" t="s">
        <v>45</v>
      </c>
      <c r="C53" s="2"/>
    </row>
    <row r="54" spans="1:3" s="7" customFormat="1"/>
    <row r="55" spans="1:3">
      <c r="A55" s="47" t="s">
        <v>46</v>
      </c>
      <c r="B55" s="7" t="s">
        <v>23</v>
      </c>
    </row>
    <row r="56" spans="1:3">
      <c r="B56" s="7" t="s">
        <v>47</v>
      </c>
    </row>
    <row r="57" spans="1:3">
      <c r="B57" s="7" t="s">
        <v>48</v>
      </c>
    </row>
    <row r="58" spans="1:3">
      <c r="B58" s="7" t="s">
        <v>49</v>
      </c>
    </row>
    <row r="59" spans="1:3">
      <c r="B59" s="7" t="s">
        <v>50</v>
      </c>
    </row>
    <row r="60" spans="1:3">
      <c r="B60" s="7" t="s">
        <v>51</v>
      </c>
    </row>
    <row r="61" spans="1:3">
      <c r="B61" s="7" t="s">
        <v>52</v>
      </c>
    </row>
    <row r="63" spans="1:3">
      <c r="B63" s="49" t="s">
        <v>53</v>
      </c>
    </row>
    <row r="64" spans="1:3">
      <c r="B64" s="7" t="s">
        <v>24</v>
      </c>
    </row>
    <row r="65" spans="1:3">
      <c r="B65" s="7" t="s">
        <v>25</v>
      </c>
    </row>
    <row r="67" spans="1:3">
      <c r="A67" s="47" t="s">
        <v>54</v>
      </c>
      <c r="B67" s="7" t="s">
        <v>55</v>
      </c>
      <c r="C67" s="7"/>
    </row>
    <row r="68" spans="1:3">
      <c r="B68" s="7" t="s">
        <v>26</v>
      </c>
      <c r="C68" s="7"/>
    </row>
    <row r="69" spans="1:3">
      <c r="B69" s="7" t="s">
        <v>56</v>
      </c>
      <c r="C69" s="7"/>
    </row>
    <row r="70" spans="1:3">
      <c r="B70" s="7" t="s">
        <v>57</v>
      </c>
      <c r="C70" s="7"/>
    </row>
    <row r="71" spans="1:3">
      <c r="B71" s="7" t="s">
        <v>58</v>
      </c>
      <c r="C71" s="7"/>
    </row>
    <row r="72" spans="1:3">
      <c r="B72" s="7"/>
      <c r="C72" s="7"/>
    </row>
    <row r="73" spans="1:3">
      <c r="B73" s="7" t="s">
        <v>59</v>
      </c>
    </row>
    <row r="74" spans="1:3">
      <c r="B74" s="7" t="s">
        <v>60</v>
      </c>
    </row>
    <row r="75" spans="1:3">
      <c r="B75" s="7"/>
    </row>
    <row r="76" spans="1:3">
      <c r="B76" s="49" t="s">
        <v>61</v>
      </c>
      <c r="C76" s="7"/>
    </row>
    <row r="77" spans="1:3">
      <c r="B77" s="7" t="s">
        <v>62</v>
      </c>
      <c r="C77" s="7"/>
    </row>
    <row r="78" spans="1:3">
      <c r="B78" s="7"/>
      <c r="C78" s="7"/>
    </row>
    <row r="79" spans="1:3">
      <c r="B79" s="7" t="s">
        <v>63</v>
      </c>
      <c r="C79" s="7"/>
    </row>
    <row r="80" spans="1:3">
      <c r="B80" s="7" t="s">
        <v>64</v>
      </c>
      <c r="C80" s="7"/>
    </row>
    <row r="81" spans="2:3">
      <c r="B81" s="7"/>
      <c r="C81" s="7"/>
    </row>
    <row r="82" spans="2:3">
      <c r="B82" s="7" t="s">
        <v>65</v>
      </c>
      <c r="C82" s="7"/>
    </row>
    <row r="83" spans="2:3">
      <c r="B83" s="7" t="s">
        <v>66</v>
      </c>
      <c r="C83" s="7"/>
    </row>
    <row r="84" spans="2:3">
      <c r="B84" s="7" t="s">
        <v>67</v>
      </c>
      <c r="C84" s="7"/>
    </row>
    <row r="85" spans="2:3">
      <c r="B85" s="7"/>
      <c r="C85" s="7"/>
    </row>
    <row r="86" spans="2:3">
      <c r="B86" s="49" t="s">
        <v>68</v>
      </c>
      <c r="C86" s="7"/>
    </row>
    <row r="87" spans="2:3">
      <c r="B87" s="50" t="s">
        <v>27</v>
      </c>
      <c r="C87" s="50" t="s">
        <v>28</v>
      </c>
    </row>
    <row r="88" spans="2:3">
      <c r="B88" s="51">
        <v>1</v>
      </c>
      <c r="C88" s="51">
        <v>1.9</v>
      </c>
    </row>
    <row r="89" spans="2:3">
      <c r="B89" s="51">
        <v>5</v>
      </c>
      <c r="C89" s="51">
        <v>1.6</v>
      </c>
    </row>
    <row r="90" spans="2:3">
      <c r="B90" s="51">
        <v>10</v>
      </c>
      <c r="C90" s="51">
        <v>1.5</v>
      </c>
    </row>
  </sheetData>
  <mergeCells count="12">
    <mergeCell ref="A24:D24"/>
    <mergeCell ref="A25:D25"/>
    <mergeCell ref="A26:D26"/>
    <mergeCell ref="A1:Q1"/>
    <mergeCell ref="A2:Q2"/>
    <mergeCell ref="A14:F14"/>
    <mergeCell ref="N14:N15"/>
    <mergeCell ref="A8:K8"/>
    <mergeCell ref="G14:G15"/>
    <mergeCell ref="O14:O15"/>
    <mergeCell ref="H14:M14"/>
    <mergeCell ref="P14:P15"/>
  </mergeCells>
  <phoneticPr fontId="3" type="noConversion"/>
  <dataValidations count="1">
    <dataValidation type="list" allowBlank="1" showInputMessage="1" showErrorMessage="1" sqref="H16:M23">
      <formula1>"√,X"</formula1>
    </dataValidation>
  </dataValidations>
  <hyperlinks>
    <hyperlink ref="P3" location="底稿目录!F12" display="底稿目录!F12"/>
  </hyperlinks>
  <printOptions horizontalCentered="1"/>
  <pageMargins left="0.70866141732283472" right="0.70866141732283472" top="0.74803149606299213" bottom="0.74803149606299213" header="0.31496062992125984" footer="0.31496062992125984"/>
  <pageSetup paperSize="9" scale="78" fitToHeight="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13</vt:i4>
      </vt:variant>
    </vt:vector>
  </HeadingPairs>
  <TitlesOfParts>
    <vt:vector size="24" baseType="lpstr">
      <vt:lpstr>底稿目录</vt:lpstr>
      <vt:lpstr>净敞口套期收益审计程序表G12A</vt:lpstr>
      <vt:lpstr>净敞口套期收益审计程序表G12A-修订前</vt:lpstr>
      <vt:lpstr>审定表G12-1</vt:lpstr>
      <vt:lpstr>附注披露信息（上市公司）</vt:lpstr>
      <vt:lpstr>附注披露信息（国企）</vt:lpstr>
      <vt:lpstr>明细表G12-2</vt:lpstr>
      <vt:lpstr>调整分录汇总G12-3</vt:lpstr>
      <vt:lpstr>公允价值测试表G12-4</vt:lpstr>
      <vt:lpstr>风险净敞口检查表G12-5</vt:lpstr>
      <vt:lpstr>凭证检查表G12-6</vt:lpstr>
      <vt:lpstr>'调整分录汇总G12-3'!Print_Area</vt:lpstr>
      <vt:lpstr>'风险净敞口检查表G12-5'!Print_Area</vt:lpstr>
      <vt:lpstr>'附注披露信息（国企）'!Print_Area</vt:lpstr>
      <vt:lpstr>'附注披露信息（上市公司）'!Print_Area</vt:lpstr>
      <vt:lpstr>'公允价值测试表G12-4'!Print_Area</vt:lpstr>
      <vt:lpstr>净敞口套期收益审计程序表G12A!Print_Area</vt:lpstr>
      <vt:lpstr>'净敞口套期收益审计程序表G12A-修订前'!Print_Area</vt:lpstr>
      <vt:lpstr>'明细表G12-2'!Print_Area</vt:lpstr>
      <vt:lpstr>'凭证检查表G12-6'!Print_Area</vt:lpstr>
      <vt:lpstr>'审定表G12-1'!Print_Area</vt:lpstr>
      <vt:lpstr>净敞口套期收益审计程序表G12A!Print_Titles</vt:lpstr>
      <vt:lpstr>'净敞口套期收益审计程序表G12A-修订前'!Print_Titles</vt:lpstr>
      <vt:lpstr>'审定表G12-1'!Print_Titles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2025-10-27T05:41:39Z</cp:lastPrinted>
  <dcterms:created xsi:type="dcterms:W3CDTF">2014-10-22T07:44:54Z</dcterms:created>
  <dcterms:modified xsi:type="dcterms:W3CDTF">2025-11-04T08:58:28Z</dcterms:modified>
</cp:coreProperties>
</file>