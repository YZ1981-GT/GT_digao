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96" yWindow="-96" windowWidth="19092" windowHeight="12072" tabRatio="904"/>
  </bookViews>
  <sheets>
    <sheet name="底稿目录" sheetId="8" r:id="rId1"/>
    <sheet name="投资收益实质性程序表G11A" sheetId="9" r:id="rId2"/>
    <sheet name="投资收益实质性程序表G11A-修订前" sheetId="11" state="hidden" r:id="rId3"/>
    <sheet name="审定表G11-1" sheetId="1" r:id="rId4"/>
    <sheet name="附注披露信息（上市公司）" sheetId="2" r:id="rId5"/>
    <sheet name="附注披露信息（国企）" sheetId="3" r:id="rId6"/>
    <sheet name="明细分析表G11-2" sheetId="4" r:id="rId7"/>
    <sheet name="调整分录汇总G11-3" sheetId="10" r:id="rId8"/>
    <sheet name="收益率分析表G11-4" sheetId="6" r:id="rId9"/>
    <sheet name="凭证检查表G11-5" sheetId="7" r:id="rId10"/>
  </sheets>
  <definedNames>
    <definedName name="_xlnm.Print_Area" localSheetId="7">'调整分录汇总G11-3'!$A$1:$J$23</definedName>
    <definedName name="_xlnm.Print_Area" localSheetId="5">'附注披露信息（国企）'!$A$1:$E$26</definedName>
    <definedName name="_xlnm.Print_Area" localSheetId="4">'附注披露信息（上市公司）'!$A$1:$E$35</definedName>
    <definedName name="_xlnm.Print_Area" localSheetId="6">'明细分析表G11-2'!$A$1:$M$36</definedName>
    <definedName name="_xlnm.Print_Area" localSheetId="9">'凭证检查表G11-5'!$A$1:$P$35</definedName>
    <definedName name="_xlnm.Print_Area" localSheetId="3">'审定表G11-1'!$A$1:$K$32</definedName>
    <definedName name="_xlnm.Print_Area" localSheetId="8">'收益率分析表G11-4'!$A$1:$I$31</definedName>
    <definedName name="_xlnm.Print_Area" localSheetId="1">投资收益实质性程序表G11A!$A$1:$I$22</definedName>
    <definedName name="_xlnm.Print_Area" localSheetId="2">'投资收益实质性程序表G11A-修订前'!$A$1:$I$34</definedName>
    <definedName name="_xlnm.Print_Titles" localSheetId="1">投资收益实质性程序表G11A!$16:$16</definedName>
    <definedName name="_xlnm.Print_Titles" localSheetId="2">'投资收益实质性程序表G11A-修订前'!$16:$16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8" i="7" l="1"/>
  <c r="F27" i="7"/>
  <c r="F29" i="7" l="1"/>
  <c r="F4" i="11" l="1"/>
  <c r="C4" i="11"/>
  <c r="A4" i="11"/>
  <c r="I3" i="11"/>
  <c r="F3" i="11"/>
  <c r="C3" i="11"/>
  <c r="A3" i="11"/>
  <c r="P3" i="7" l="1"/>
  <c r="I3" i="6"/>
  <c r="J3" i="10"/>
  <c r="M3" i="4"/>
  <c r="E3" i="2"/>
  <c r="K3" i="1"/>
  <c r="I3" i="9"/>
  <c r="F27" i="4" l="1"/>
  <c r="G27" i="4" s="1"/>
  <c r="J27" i="4"/>
  <c r="K27" i="4" s="1"/>
  <c r="F28" i="4"/>
  <c r="G28" i="4" s="1"/>
  <c r="J28" i="4"/>
  <c r="K28" i="4" s="1"/>
  <c r="B22" i="1"/>
  <c r="C22" i="1"/>
  <c r="E22" i="1"/>
  <c r="F22" i="1"/>
  <c r="B23" i="1"/>
  <c r="C23" i="1"/>
  <c r="E23" i="1"/>
  <c r="F23" i="1"/>
  <c r="F26" i="4"/>
  <c r="G26" i="4" s="1"/>
  <c r="J26" i="4"/>
  <c r="K26" i="4" s="1"/>
  <c r="B21" i="1"/>
  <c r="C21" i="1"/>
  <c r="E21" i="1"/>
  <c r="F21" i="1"/>
  <c r="F13" i="4"/>
  <c r="G13" i="4" s="1"/>
  <c r="J13" i="4"/>
  <c r="K13" i="4" s="1"/>
  <c r="F14" i="4"/>
  <c r="G14" i="4" s="1"/>
  <c r="J14" i="4"/>
  <c r="K14" i="4" s="1"/>
  <c r="L28" i="4" l="1"/>
  <c r="L26" i="4"/>
  <c r="L27" i="4"/>
  <c r="G23" i="1"/>
  <c r="D23" i="1"/>
  <c r="G22" i="1"/>
  <c r="D22" i="1"/>
  <c r="G21" i="1"/>
  <c r="D21" i="1"/>
  <c r="L13" i="4"/>
  <c r="L14" i="4"/>
  <c r="H23" i="1" l="1"/>
  <c r="H22" i="1"/>
  <c r="I23" i="1"/>
  <c r="I22" i="1"/>
  <c r="H21" i="1"/>
  <c r="I21" i="1"/>
  <c r="F4" i="7" l="1"/>
  <c r="D4" i="7"/>
  <c r="F4" i="6"/>
  <c r="C4" i="6"/>
  <c r="H4" i="4"/>
  <c r="E4" i="4"/>
  <c r="C4" i="3"/>
  <c r="B4" i="3"/>
  <c r="G4" i="10"/>
  <c r="G3" i="10"/>
  <c r="D4" i="10"/>
  <c r="D3" i="10"/>
  <c r="A4" i="10"/>
  <c r="A3" i="10"/>
  <c r="C4" i="2" l="1"/>
  <c r="B4" i="2"/>
  <c r="G4" i="1"/>
  <c r="C4" i="1"/>
  <c r="F4" i="9"/>
  <c r="C4" i="9"/>
  <c r="F24" i="1" l="1"/>
  <c r="F20" i="1"/>
  <c r="F19" i="1"/>
  <c r="F18" i="1"/>
  <c r="F17" i="1"/>
  <c r="F16" i="1"/>
  <c r="F15" i="1"/>
  <c r="F14" i="1"/>
  <c r="F13" i="1"/>
  <c r="F12" i="1"/>
  <c r="F11" i="1"/>
  <c r="F10" i="1"/>
  <c r="F9" i="1"/>
  <c r="F8" i="1"/>
  <c r="F7" i="1"/>
  <c r="E24" i="1"/>
  <c r="E20" i="1"/>
  <c r="E19" i="1"/>
  <c r="E18" i="1"/>
  <c r="E17" i="1"/>
  <c r="E16" i="1"/>
  <c r="E15" i="1"/>
  <c r="E14" i="1"/>
  <c r="E13" i="1"/>
  <c r="E12" i="1"/>
  <c r="E11" i="1"/>
  <c r="E10" i="1"/>
  <c r="E9" i="1"/>
  <c r="E8" i="1"/>
  <c r="E7" i="1"/>
  <c r="C24" i="1"/>
  <c r="B24"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I31" i="4"/>
  <c r="H31" i="4"/>
  <c r="E31" i="4"/>
  <c r="D31" i="4"/>
  <c r="D7" i="1" l="1"/>
  <c r="E3" i="4"/>
  <c r="H3" i="4"/>
  <c r="J30" i="4"/>
  <c r="J29" i="4"/>
  <c r="F30" i="4"/>
  <c r="F29" i="4"/>
  <c r="J25" i="4"/>
  <c r="F25" i="4"/>
  <c r="F24" i="4"/>
  <c r="J24" i="4"/>
  <c r="J23" i="4"/>
  <c r="F23" i="4"/>
  <c r="J22" i="4"/>
  <c r="F22" i="4"/>
  <c r="J21" i="4"/>
  <c r="F21" i="4"/>
  <c r="F20" i="4"/>
  <c r="J20" i="4"/>
  <c r="J19" i="4"/>
  <c r="F19" i="4"/>
  <c r="J18" i="4"/>
  <c r="F18" i="4"/>
  <c r="J17" i="4"/>
  <c r="F17" i="4"/>
  <c r="J16" i="4"/>
  <c r="J15" i="4"/>
  <c r="F15" i="4"/>
  <c r="F16" i="4"/>
  <c r="J12" i="4"/>
  <c r="F12" i="4"/>
  <c r="J11" i="4"/>
  <c r="F11" i="4"/>
  <c r="J10" i="4"/>
  <c r="F10" i="4"/>
  <c r="C10" i="6" l="1"/>
  <c r="E10" i="6" s="1"/>
  <c r="J31" i="4"/>
  <c r="F31" i="4"/>
  <c r="H22" i="6"/>
  <c r="E22" i="6"/>
  <c r="H15" i="6"/>
  <c r="H16" i="6"/>
  <c r="H17" i="6"/>
  <c r="H18" i="6"/>
  <c r="H19" i="6"/>
  <c r="H20" i="6"/>
  <c r="H21" i="6"/>
  <c r="H23" i="6"/>
  <c r="H24" i="6"/>
  <c r="E15" i="6"/>
  <c r="E16" i="6"/>
  <c r="E17" i="6"/>
  <c r="E18" i="6"/>
  <c r="E19" i="6"/>
  <c r="E20" i="6"/>
  <c r="E21" i="6"/>
  <c r="E23" i="6"/>
  <c r="E24" i="6"/>
  <c r="K25" i="4"/>
  <c r="L25" i="4"/>
  <c r="K22" i="4"/>
  <c r="K21" i="4"/>
  <c r="L21" i="4"/>
  <c r="K20" i="4"/>
  <c r="L20" i="4"/>
  <c r="K19" i="4"/>
  <c r="L19" i="4"/>
  <c r="K18" i="4"/>
  <c r="G18" i="4"/>
  <c r="K17" i="4"/>
  <c r="L17" i="4"/>
  <c r="G23" i="4"/>
  <c r="F3" i="9"/>
  <c r="C3" i="9"/>
  <c r="A4" i="9"/>
  <c r="A3" i="9"/>
  <c r="G14" i="1" l="1"/>
  <c r="D12" i="1"/>
  <c r="D20" i="1"/>
  <c r="G17" i="1"/>
  <c r="D14" i="1"/>
  <c r="G20" i="1"/>
  <c r="I22" i="6"/>
  <c r="I15" i="6"/>
  <c r="I21" i="6"/>
  <c r="I19" i="6"/>
  <c r="D13" i="1"/>
  <c r="I17" i="6"/>
  <c r="G12" i="1"/>
  <c r="G13" i="1"/>
  <c r="G16" i="1"/>
  <c r="G15" i="1"/>
  <c r="D18" i="1"/>
  <c r="I18" i="6"/>
  <c r="I23" i="6"/>
  <c r="I20" i="6"/>
  <c r="I16" i="6"/>
  <c r="G25" i="4"/>
  <c r="G17" i="4"/>
  <c r="L23" i="4"/>
  <c r="L22" i="4"/>
  <c r="G22" i="4"/>
  <c r="G21" i="4"/>
  <c r="G20" i="4"/>
  <c r="G19" i="4"/>
  <c r="L18" i="4"/>
  <c r="K23" i="4"/>
  <c r="E14" i="6"/>
  <c r="H14" i="6"/>
  <c r="F18" i="6" l="1"/>
  <c r="F19" i="6"/>
  <c r="F16" i="6"/>
  <c r="F23" i="6"/>
  <c r="F15" i="6"/>
  <c r="C17" i="6"/>
  <c r="F20" i="6"/>
  <c r="C16" i="6"/>
  <c r="C23" i="6"/>
  <c r="C15" i="6"/>
  <c r="C21" i="6"/>
  <c r="F17" i="6"/>
  <c r="D10" i="1"/>
  <c r="D17" i="1"/>
  <c r="D16" i="1"/>
  <c r="G18" i="1"/>
  <c r="D15" i="1"/>
  <c r="H14" i="1"/>
  <c r="H20" i="1"/>
  <c r="H13" i="1"/>
  <c r="I14" i="1"/>
  <c r="H12" i="1"/>
  <c r="I12" i="1"/>
  <c r="I20" i="1"/>
  <c r="I14" i="6"/>
  <c r="K30" i="4"/>
  <c r="K29" i="4"/>
  <c r="G29" i="4"/>
  <c r="K24" i="4"/>
  <c r="K16" i="4"/>
  <c r="G15" i="4"/>
  <c r="K12" i="4"/>
  <c r="G11" i="4"/>
  <c r="K11" i="4"/>
  <c r="K10" i="4"/>
  <c r="C13" i="6" l="1"/>
  <c r="I15" i="1"/>
  <c r="C18" i="6"/>
  <c r="H18" i="1"/>
  <c r="F21" i="6"/>
  <c r="C19" i="6"/>
  <c r="I17" i="1"/>
  <c r="C20" i="6"/>
  <c r="H17" i="1"/>
  <c r="D9" i="1"/>
  <c r="G19" i="1"/>
  <c r="G10" i="1"/>
  <c r="H15" i="1"/>
  <c r="I13" i="1"/>
  <c r="I18" i="1"/>
  <c r="H16" i="1"/>
  <c r="I16" i="1"/>
  <c r="K15" i="4"/>
  <c r="D19" i="1"/>
  <c r="L12" i="4"/>
  <c r="L30" i="4"/>
  <c r="L24" i="4"/>
  <c r="G12" i="4"/>
  <c r="L16" i="4"/>
  <c r="G24" i="4"/>
  <c r="G16" i="4"/>
  <c r="G30" i="4"/>
  <c r="L29" i="4"/>
  <c r="L15" i="4"/>
  <c r="C22" i="6" l="1"/>
  <c r="H10" i="1"/>
  <c r="F13" i="6"/>
  <c r="F22" i="6"/>
  <c r="C12" i="6"/>
  <c r="H19" i="1"/>
  <c r="I10" i="1"/>
  <c r="G10" i="4"/>
  <c r="L10" i="4"/>
  <c r="L11" i="4"/>
  <c r="D25" i="6"/>
  <c r="G25" i="6"/>
  <c r="H11" i="6"/>
  <c r="H12" i="6"/>
  <c r="H13" i="6"/>
  <c r="E11" i="6"/>
  <c r="E12" i="6"/>
  <c r="E13" i="6"/>
  <c r="L31" i="4" l="1"/>
  <c r="I19" i="1"/>
  <c r="I24" i="6"/>
  <c r="G24" i="1" l="1"/>
  <c r="G27" i="1" s="1"/>
  <c r="G11" i="1"/>
  <c r="G9" i="1"/>
  <c r="G8" i="1"/>
  <c r="G7" i="1"/>
  <c r="C3" i="2"/>
  <c r="G25" i="1" l="1"/>
  <c r="F11" i="6"/>
  <c r="F12" i="6"/>
  <c r="F14" i="6"/>
  <c r="F10" i="6"/>
  <c r="H10" i="6" s="1"/>
  <c r="I10" i="6" s="1"/>
  <c r="F24" i="6"/>
  <c r="G31" i="4"/>
  <c r="C25" i="1"/>
  <c r="D24" i="1"/>
  <c r="F25" i="1"/>
  <c r="D11" i="1"/>
  <c r="D8" i="1"/>
  <c r="D27" i="1" l="1"/>
  <c r="C11" i="6"/>
  <c r="C14" i="6"/>
  <c r="C24" i="6"/>
  <c r="K31" i="4"/>
  <c r="H9" i="1"/>
  <c r="H24" i="1"/>
  <c r="B25" i="1"/>
  <c r="I9" i="1" l="1"/>
  <c r="I24" i="1"/>
  <c r="I8" i="1"/>
  <c r="H8" i="1"/>
  <c r="H7" i="1"/>
  <c r="I7" i="1" s="1"/>
  <c r="D25" i="1"/>
  <c r="A4" i="7"/>
  <c r="F3" i="7"/>
  <c r="D3" i="7"/>
  <c r="A3" i="7"/>
  <c r="A4" i="6"/>
  <c r="F3" i="6"/>
  <c r="C3" i="6"/>
  <c r="A3" i="6"/>
  <c r="A4" i="4"/>
  <c r="A3" i="4"/>
  <c r="A4" i="3"/>
  <c r="C3" i="3"/>
  <c r="B3" i="3"/>
  <c r="A3" i="3"/>
  <c r="A4" i="2"/>
  <c r="B3" i="2"/>
  <c r="A3" i="2"/>
  <c r="G3" i="1"/>
  <c r="C3" i="1"/>
  <c r="A4" i="1"/>
  <c r="A3" i="1"/>
  <c r="D9" i="2" l="1"/>
  <c r="D8" i="2"/>
  <c r="C12" i="2"/>
  <c r="D13" i="2"/>
  <c r="C14" i="2"/>
  <c r="D15" i="2"/>
  <c r="C17" i="2"/>
  <c r="D19" i="2"/>
  <c r="D10" i="2"/>
  <c r="D11" i="2"/>
  <c r="D12" i="2"/>
  <c r="C13" i="2"/>
  <c r="D14" i="2"/>
  <c r="D16" i="2"/>
  <c r="D17" i="2"/>
  <c r="D18" i="2"/>
  <c r="D20" i="2"/>
  <c r="C16" i="2"/>
  <c r="C8" i="2"/>
  <c r="C18" i="2"/>
  <c r="C11" i="2"/>
  <c r="C10" i="2"/>
  <c r="C19" i="2"/>
  <c r="C15" i="2"/>
  <c r="C9" i="2"/>
  <c r="C20" i="2"/>
  <c r="C22" i="3"/>
  <c r="D20" i="3"/>
  <c r="D16" i="3"/>
  <c r="D12" i="3"/>
  <c r="D8" i="3"/>
  <c r="C13" i="3"/>
  <c r="D22" i="3"/>
  <c r="C20" i="3"/>
  <c r="C16" i="3"/>
  <c r="C12" i="3"/>
  <c r="C8" i="3"/>
  <c r="C23" i="3"/>
  <c r="D19" i="3"/>
  <c r="D15" i="3"/>
  <c r="D11" i="3"/>
  <c r="D23" i="3"/>
  <c r="C19" i="3"/>
  <c r="C15" i="3"/>
  <c r="C11" i="3"/>
  <c r="C9" i="3"/>
  <c r="D24" i="3"/>
  <c r="D18" i="3"/>
  <c r="D14" i="3"/>
  <c r="D10" i="3"/>
  <c r="C24" i="3"/>
  <c r="C18" i="3"/>
  <c r="C14" i="3"/>
  <c r="C10" i="3"/>
  <c r="C17" i="3"/>
  <c r="D21" i="3"/>
  <c r="D17" i="3"/>
  <c r="D13" i="3"/>
  <c r="D9" i="3"/>
  <c r="C21" i="3"/>
  <c r="I11" i="6"/>
  <c r="I12" i="6"/>
  <c r="I13" i="6"/>
  <c r="C25" i="6"/>
  <c r="E25" i="6" s="1"/>
  <c r="C25" i="3" l="1"/>
  <c r="C21" i="2"/>
  <c r="F25" i="6"/>
  <c r="H25" i="6" s="1"/>
  <c r="I25" i="6" s="1"/>
  <c r="E25" i="1"/>
  <c r="D21" i="2"/>
  <c r="D25" i="3"/>
  <c r="I11" i="1" l="1"/>
  <c r="H11" i="1"/>
  <c r="H25" i="1" l="1"/>
  <c r="I25" i="1"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<sst xmlns="http://schemas.openxmlformats.org/spreadsheetml/2006/main" count="529" uniqueCount="407">
  <si>
    <t>致同会计师事务所</t>
  </si>
  <si>
    <t xml:space="preserve">
</t>
    <phoneticPr fontId="8" type="noConversion"/>
  </si>
  <si>
    <t>以及可能对审计报告的影响。</t>
    <phoneticPr fontId="8" type="noConversion"/>
  </si>
  <si>
    <r>
      <t>A</t>
    </r>
    <r>
      <rPr>
        <sz val="10"/>
        <color indexed="12"/>
        <rFont val="宋体"/>
        <family val="3"/>
        <charset val="134"/>
      </rPr>
      <t>、风险评估结果和内控了解、测试情况（不适用则说明：不存在重大错报风险。</t>
    </r>
    <r>
      <rPr>
        <sz val="10"/>
        <color indexed="12"/>
        <rFont val="Arial Narrow"/>
        <family val="2"/>
      </rPr>
      <t>)</t>
    </r>
    <phoneticPr fontId="8" type="noConversion"/>
  </si>
  <si>
    <r>
      <t>(</t>
    </r>
    <r>
      <rPr>
        <sz val="10"/>
        <color indexed="12"/>
        <rFont val="宋体"/>
        <family val="3"/>
        <charset val="134"/>
      </rPr>
      <t>识别和实际评估的重大错报风险、尤其识特别风险，以及对内控了解和控制测试情况〔采用综合方案时〕）；</t>
    </r>
    <phoneticPr fontId="8" type="noConversion"/>
  </si>
  <si>
    <t>b、涉及特别风险时，应当重点说明有关事项、应当措施、结果〔可索引有关底稿〕。</t>
  </si>
  <si>
    <t>A、</t>
  </si>
  <si>
    <t>B、</t>
  </si>
  <si>
    <t>C、</t>
  </si>
  <si>
    <t>附注披露信息（上市公司）</t>
    <phoneticPr fontId="8" type="noConversion"/>
  </si>
  <si>
    <t>附注披露信息</t>
    <phoneticPr fontId="8" type="noConversion"/>
  </si>
  <si>
    <t>本期发生额</t>
  </si>
  <si>
    <t>上期发生额</t>
  </si>
  <si>
    <t>权益法核算的长期股权投资收益</t>
  </si>
  <si>
    <t>处置长期股权投资产生的投资收益</t>
  </si>
  <si>
    <t>其他</t>
  </si>
  <si>
    <t>合计</t>
  </si>
  <si>
    <t>附注披露信息（国企）</t>
    <phoneticPr fontId="8" type="noConversion"/>
  </si>
  <si>
    <t>索引号：</t>
  </si>
  <si>
    <t>投资收益分析-投资收益率</t>
    <phoneticPr fontId="8" type="noConversion"/>
  </si>
  <si>
    <t>项目名称</t>
    <phoneticPr fontId="8" type="noConversion"/>
  </si>
  <si>
    <t>本期数</t>
    <phoneticPr fontId="8" type="noConversion"/>
  </si>
  <si>
    <t>上期数</t>
    <phoneticPr fontId="8" type="noConversion"/>
  </si>
  <si>
    <t>变动⑦=③-⑥</t>
    <phoneticPr fontId="8" type="noConversion"/>
  </si>
  <si>
    <t>发生额①</t>
    <phoneticPr fontId="8" type="noConversion"/>
  </si>
  <si>
    <t>平均投资②</t>
    <phoneticPr fontId="8" type="noConversion"/>
  </si>
  <si>
    <r>
      <t>比率③</t>
    </r>
    <r>
      <rPr>
        <b/>
        <sz val="10"/>
        <rFont val="Arial Narrow"/>
        <family val="2"/>
      </rPr>
      <t>=</t>
    </r>
    <r>
      <rPr>
        <b/>
        <sz val="10"/>
        <rFont val="宋体"/>
        <family val="3"/>
        <charset val="134"/>
      </rPr>
      <t>①</t>
    </r>
    <r>
      <rPr>
        <b/>
        <sz val="10"/>
        <rFont val="Arial Narrow"/>
        <family val="2"/>
      </rPr>
      <t>/</t>
    </r>
    <r>
      <rPr>
        <b/>
        <sz val="10"/>
        <rFont val="宋体"/>
        <family val="3"/>
        <charset val="134"/>
      </rPr>
      <t>②</t>
    </r>
    <phoneticPr fontId="8" type="noConversion"/>
  </si>
  <si>
    <t>审定数④</t>
    <phoneticPr fontId="8" type="noConversion"/>
  </si>
  <si>
    <t>平均投资⑤</t>
    <phoneticPr fontId="8" type="noConversion"/>
  </si>
  <si>
    <t>1、概述：（1）程序的测试情况、结果；</t>
  </si>
  <si>
    <t>（2）拟调整事项及其调整分录、未调整事项及其影响，审计范围受到限制情况及其影响。</t>
  </si>
  <si>
    <t>页次：</t>
    <phoneticPr fontId="4" type="noConversion"/>
  </si>
  <si>
    <t>以公允价值计量且其变动计入当期损益的金融资产持有期间取得的投资收益</t>
  </si>
  <si>
    <t>处置以公允价值计量且其变动计入当期损益的金融资产取得的投资收益</t>
  </si>
  <si>
    <t>丧失控制权后，剩余股权按公允价值重新计量产生的利得</t>
  </si>
  <si>
    <r>
      <t>投资收益</t>
    </r>
    <r>
      <rPr>
        <sz val="12"/>
        <color rgb="FF0000FF"/>
        <rFont val="仿宋_GB2312"/>
        <family val="3"/>
        <charset val="134"/>
      </rPr>
      <t>（注：以下不存在的项目可以删除）</t>
    </r>
  </si>
  <si>
    <t>与上年明细项目进行比较，确定与上年分类相同。</t>
  </si>
  <si>
    <r>
      <rPr>
        <b/>
        <sz val="10"/>
        <color indexed="8"/>
        <rFont val="宋体"/>
        <family val="3"/>
        <charset val="134"/>
      </rPr>
      <t>一、审计目标：</t>
    </r>
    <phoneticPr fontId="8" type="noConversion"/>
  </si>
  <si>
    <r>
      <rPr>
        <b/>
        <sz val="10"/>
        <color indexed="8"/>
        <rFont val="宋体"/>
        <family val="3"/>
        <charset val="134"/>
      </rPr>
      <t>二、审计过程</t>
    </r>
    <phoneticPr fontId="8" type="noConversion"/>
  </si>
  <si>
    <r>
      <rPr>
        <b/>
        <sz val="10"/>
        <rFont val="宋体"/>
        <family val="3"/>
        <charset val="134"/>
      </rPr>
      <t>项目</t>
    </r>
    <phoneticPr fontId="8" type="noConversion"/>
  </si>
  <si>
    <r>
      <rPr>
        <b/>
        <sz val="10"/>
        <rFont val="宋体"/>
        <family val="3"/>
        <charset val="134"/>
      </rPr>
      <t>被投资单位</t>
    </r>
  </si>
  <si>
    <r>
      <rPr>
        <b/>
        <sz val="10"/>
        <rFont val="宋体"/>
        <family val="3"/>
        <charset val="134"/>
      </rPr>
      <t>变动原因</t>
    </r>
    <r>
      <rPr>
        <b/>
        <sz val="10"/>
        <rFont val="Arial Narrow"/>
        <family val="2"/>
      </rPr>
      <t>/</t>
    </r>
    <r>
      <rPr>
        <b/>
        <sz val="10"/>
        <rFont val="宋体"/>
        <family val="3"/>
        <charset val="134"/>
      </rPr>
      <t>索引号</t>
    </r>
    <phoneticPr fontId="4" type="noConversion"/>
  </si>
  <si>
    <t>三、审计说明：</t>
    <phoneticPr fontId="4" type="noConversion"/>
  </si>
  <si>
    <t>四、审计结论：</t>
    <phoneticPr fontId="4" type="noConversion"/>
  </si>
  <si>
    <r>
      <t>1</t>
    </r>
    <r>
      <rPr>
        <sz val="10"/>
        <rFont val="宋体"/>
        <family val="3"/>
        <charset val="134"/>
      </rPr>
      <t>、</t>
    </r>
    <phoneticPr fontId="4" type="noConversion"/>
  </si>
  <si>
    <r>
      <rPr>
        <sz val="10"/>
        <color rgb="FFFF0000"/>
        <rFont val="宋体"/>
        <family val="3"/>
        <charset val="134"/>
      </rPr>
      <t>对变动比率在</t>
    </r>
    <r>
      <rPr>
        <sz val="10"/>
        <color rgb="FFFF0000"/>
        <rFont val="Arial Narrow"/>
        <family val="2"/>
      </rPr>
      <t>20%</t>
    </r>
    <r>
      <rPr>
        <sz val="10"/>
        <color rgb="FFFF0000"/>
        <rFont val="宋体"/>
        <family val="3"/>
        <charset val="134"/>
      </rPr>
      <t>以上的项目实施的审计程序（记录变动内容、原因，分析其合理性，如不合理，需进一步核实确认）</t>
    </r>
    <phoneticPr fontId="8" type="noConversion"/>
  </si>
  <si>
    <t>--</t>
    <phoneticPr fontId="4" type="noConversion"/>
  </si>
  <si>
    <r>
      <t>比率⑥</t>
    </r>
    <r>
      <rPr>
        <b/>
        <sz val="10"/>
        <rFont val="Arial Narrow"/>
        <family val="2"/>
      </rPr>
      <t>=</t>
    </r>
    <r>
      <rPr>
        <b/>
        <sz val="10"/>
        <rFont val="宋体"/>
        <family val="3"/>
        <charset val="134"/>
      </rPr>
      <t>④</t>
    </r>
    <r>
      <rPr>
        <b/>
        <sz val="10"/>
        <rFont val="Arial Narrow"/>
        <family val="2"/>
      </rPr>
      <t>/</t>
    </r>
    <r>
      <rPr>
        <b/>
        <sz val="10"/>
        <rFont val="宋体"/>
        <family val="3"/>
        <charset val="134"/>
      </rPr>
      <t>⑤</t>
    </r>
    <phoneticPr fontId="8" type="noConversion"/>
  </si>
  <si>
    <t>（一）计算变动比率</t>
    <phoneticPr fontId="4" type="noConversion"/>
  </si>
  <si>
    <t>（二）投资收益率分析实施的审计程序（比较两年度的投资收益率，分析投资获利能力。如果被审计单位投资所占比重较大，可取得市场的平均投资收益率，并进行比较分析）</t>
    <phoneticPr fontId="8" type="noConversion"/>
  </si>
  <si>
    <t>投资收益明细分析表</t>
    <phoneticPr fontId="8" type="noConversion"/>
  </si>
  <si>
    <t>H3-3</t>
    <phoneticPr fontId="8" type="noConversion"/>
  </si>
  <si>
    <r>
      <rPr>
        <i/>
        <sz val="10"/>
        <color indexed="12"/>
        <rFont val="宋体"/>
        <family val="3"/>
        <charset val="134"/>
      </rPr>
      <t>编制说明：</t>
    </r>
    <phoneticPr fontId="8" type="noConversion"/>
  </si>
  <si>
    <r>
      <rPr>
        <b/>
        <sz val="10"/>
        <color indexed="12"/>
        <rFont val="宋体"/>
        <family val="3"/>
        <charset val="134"/>
      </rPr>
      <t>参考结论：</t>
    </r>
    <r>
      <rPr>
        <sz val="12"/>
        <rFont val="Arial Narrow"/>
        <family val="2"/>
      </rPr>
      <t/>
    </r>
    <phoneticPr fontId="8" type="noConversion"/>
  </si>
  <si>
    <r>
      <t>A</t>
    </r>
    <r>
      <rPr>
        <sz val="10"/>
        <color indexed="12"/>
        <rFont val="宋体"/>
        <family val="3"/>
        <charset val="134"/>
      </rPr>
      <t>、</t>
    </r>
    <phoneticPr fontId="8" type="noConversion"/>
  </si>
  <si>
    <r>
      <rPr>
        <sz val="10"/>
        <color indexed="12"/>
        <rFont val="宋体"/>
        <family val="3"/>
        <charset val="134"/>
      </rPr>
      <t>未见异常。</t>
    </r>
    <phoneticPr fontId="8" type="noConversion"/>
  </si>
  <si>
    <r>
      <t>B</t>
    </r>
    <r>
      <rPr>
        <sz val="10"/>
        <color indexed="12"/>
        <rFont val="宋体"/>
        <family val="3"/>
        <charset val="134"/>
      </rPr>
      <t>、</t>
    </r>
    <phoneticPr fontId="8" type="noConversion"/>
  </si>
  <si>
    <r>
      <rPr>
        <sz val="10"/>
        <color indexed="12"/>
        <rFont val="宋体"/>
        <family val="3"/>
        <charset val="134"/>
      </rPr>
      <t>除以下重大不符事项应当作为调整事项予以调整外，其余未见异常。</t>
    </r>
    <phoneticPr fontId="8" type="noConversion"/>
  </si>
  <si>
    <r>
      <t>C</t>
    </r>
    <r>
      <rPr>
        <sz val="10"/>
        <color indexed="12"/>
        <rFont val="宋体"/>
        <family val="3"/>
        <charset val="134"/>
      </rPr>
      <t>、</t>
    </r>
    <phoneticPr fontId="8" type="noConversion"/>
  </si>
  <si>
    <r>
      <rPr>
        <sz val="10"/>
        <color indexed="12"/>
        <rFont val="宋体"/>
        <family val="3"/>
        <charset val="134"/>
      </rPr>
      <t>由于存在以下重大未调整事项（或审计范围受到限制无法获取充分、适当证据），不可确认。</t>
    </r>
    <phoneticPr fontId="8" type="noConversion"/>
  </si>
  <si>
    <r>
      <t>2</t>
    </r>
    <r>
      <rPr>
        <b/>
        <sz val="10"/>
        <rFont val="宋体"/>
        <family val="3"/>
        <charset val="134"/>
      </rPr>
      <t>、审计结论</t>
    </r>
    <phoneticPr fontId="8" type="noConversion"/>
  </si>
  <si>
    <r>
      <t>1</t>
    </r>
    <r>
      <rPr>
        <sz val="10"/>
        <color indexed="12"/>
        <rFont val="宋体"/>
        <family val="3"/>
        <charset val="134"/>
      </rPr>
      <t>、本科目核算企业确认的投资收益或投资损失。</t>
    </r>
    <phoneticPr fontId="8" type="noConversion"/>
  </si>
  <si>
    <r>
      <t>2</t>
    </r>
    <r>
      <rPr>
        <sz val="10"/>
        <color indexed="12"/>
        <rFont val="宋体"/>
        <family val="3"/>
        <charset val="134"/>
      </rPr>
      <t>、企业（金融）债券投资持有期间取得的利息收入，也可在</t>
    </r>
    <r>
      <rPr>
        <sz val="10"/>
        <color indexed="12"/>
        <rFont val="Arial Narrow"/>
        <family val="2"/>
      </rPr>
      <t>“</t>
    </r>
    <r>
      <rPr>
        <sz val="10"/>
        <color indexed="12"/>
        <rFont val="宋体"/>
        <family val="3"/>
        <charset val="134"/>
      </rPr>
      <t>利息收入</t>
    </r>
    <r>
      <rPr>
        <sz val="10"/>
        <color indexed="12"/>
        <rFont val="Arial Narrow"/>
        <family val="2"/>
      </rPr>
      <t>”</t>
    </r>
    <r>
      <rPr>
        <sz val="10"/>
        <color indexed="12"/>
        <rFont val="宋体"/>
        <family val="3"/>
        <charset val="134"/>
      </rPr>
      <t>科目核算。</t>
    </r>
    <phoneticPr fontId="8" type="noConversion"/>
  </si>
  <si>
    <r>
      <rPr>
        <sz val="10"/>
        <color indexed="12"/>
        <rFont val="宋体"/>
        <family val="3"/>
        <charset val="134"/>
      </rPr>
      <t>提示：</t>
    </r>
    <r>
      <rPr>
        <sz val="10"/>
        <color indexed="12"/>
        <rFont val="Arial Narrow"/>
        <family val="2"/>
      </rPr>
      <t>a</t>
    </r>
    <r>
      <rPr>
        <sz val="10"/>
        <color indexed="12"/>
        <rFont val="宋体"/>
        <family val="3"/>
        <charset val="134"/>
      </rPr>
      <t>、收入科目应当假定存在舞弊的特别风险，如不存在，应说明理由；</t>
    </r>
    <phoneticPr fontId="8" type="noConversion"/>
  </si>
  <si>
    <r>
      <rPr>
        <b/>
        <sz val="10"/>
        <color indexed="12"/>
        <rFont val="宋体"/>
        <family val="3"/>
        <charset val="134"/>
      </rPr>
      <t>特别风险涉及的事项包括但不限于：</t>
    </r>
    <r>
      <rPr>
        <sz val="10"/>
        <color indexed="12"/>
        <rFont val="Arial Narrow"/>
        <family val="2"/>
      </rPr>
      <t/>
    </r>
    <phoneticPr fontId="8"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</si>
  <si>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</si>
  <si>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</si>
  <si>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8" type="noConversion"/>
  </si>
  <si>
    <r>
      <t>B</t>
    </r>
    <r>
      <rPr>
        <sz val="10"/>
        <color indexed="12"/>
        <rFont val="宋体"/>
        <family val="3"/>
        <charset val="134"/>
      </rPr>
      <t>、发现的重大不符事项（如适用）</t>
    </r>
    <phoneticPr fontId="8" type="noConversion"/>
  </si>
  <si>
    <r>
      <rPr>
        <sz val="10"/>
        <color indexed="12"/>
        <rFont val="宋体"/>
        <family val="3"/>
        <charset val="134"/>
      </rPr>
      <t>按调整事项，逐笔概述调整原因及对本科目的调整金额，并说明相关底稿的索引号。</t>
    </r>
    <phoneticPr fontId="8" type="noConversion"/>
  </si>
  <si>
    <t>〔即具体事项内容和调整分录，见经索引的本科目或相关科目的检查表或测算表〕</t>
    <phoneticPr fontId="8" type="noConversion"/>
  </si>
  <si>
    <r>
      <rPr>
        <b/>
        <sz val="10"/>
        <color indexed="12"/>
        <rFont val="宋体"/>
        <family val="3"/>
        <charset val="134"/>
      </rPr>
      <t>参考结论：</t>
    </r>
    <phoneticPr fontId="8" type="noConversion"/>
  </si>
  <si>
    <t>未见异常，可以确认。</t>
    <phoneticPr fontId="8" type="noConversion"/>
  </si>
  <si>
    <t>经审计调整后可确认。</t>
    <phoneticPr fontId="8" type="noConversion"/>
  </si>
  <si>
    <t>由于存在上述重大未调整事项（或审计范围受到限制无法获取充分、适当证据），不可确认。</t>
    <phoneticPr fontId="8" type="noConversion"/>
  </si>
  <si>
    <t>合  计</t>
    <phoneticPr fontId="4" type="noConversion"/>
  </si>
  <si>
    <r>
      <rPr>
        <sz val="10"/>
        <color indexed="12"/>
        <rFont val="宋体"/>
        <family val="3"/>
        <charset val="134"/>
      </rPr>
      <t>编制说明：</t>
    </r>
    <phoneticPr fontId="8" type="noConversion"/>
  </si>
  <si>
    <t>项  目</t>
  </si>
  <si>
    <t>合  计</t>
  </si>
  <si>
    <t>附注披露信息</t>
    <phoneticPr fontId="8" type="noConversion"/>
  </si>
  <si>
    <t xml:space="preserve">  本期发生额</t>
    <phoneticPr fontId="4" type="noConversion"/>
  </si>
  <si>
    <r>
      <t>（1）</t>
    </r>
    <r>
      <rPr>
        <sz val="12"/>
        <color rgb="FF000000"/>
        <rFont val="仿宋_GB2312"/>
        <family val="3"/>
        <charset val="134"/>
      </rPr>
      <t>投资收益明细情况</t>
    </r>
  </si>
  <si>
    <t>处置长期股权投资产生的投资收益</t>
    <phoneticPr fontId="4" type="noConversion"/>
  </si>
  <si>
    <r>
      <rPr>
        <b/>
        <sz val="12"/>
        <rFont val="宋体"/>
        <family val="3"/>
        <charset val="134"/>
      </rPr>
      <t>底稿开列时，可先在以下单元格填写有关内容，以便其他底稿引用有关数据：</t>
    </r>
    <phoneticPr fontId="8" type="noConversion"/>
  </si>
  <si>
    <r>
      <rPr>
        <sz val="10"/>
        <rFont val="宋体"/>
        <family val="3"/>
        <charset val="134"/>
      </rPr>
      <t>编制人：</t>
    </r>
    <phoneticPr fontId="8" type="noConversion"/>
  </si>
  <si>
    <t>本期未审数</t>
    <phoneticPr fontId="4" type="noConversion"/>
  </si>
  <si>
    <t>本期审定数</t>
    <phoneticPr fontId="8" type="noConversion"/>
  </si>
  <si>
    <t>上年未审数</t>
    <phoneticPr fontId="8" type="noConversion"/>
  </si>
  <si>
    <t>上年审定数</t>
    <phoneticPr fontId="8" type="noConversion"/>
  </si>
  <si>
    <t>各项目占比</t>
    <phoneticPr fontId="8" type="noConversion"/>
  </si>
  <si>
    <t>变动额</t>
    <phoneticPr fontId="4" type="noConversion"/>
  </si>
  <si>
    <t>本期审定数与上期
审定数的比较</t>
    <phoneticPr fontId="8" type="noConversion"/>
  </si>
  <si>
    <t>变动率</t>
    <phoneticPr fontId="8" type="noConversion"/>
  </si>
  <si>
    <t>变动额</t>
    <phoneticPr fontId="8" type="noConversion"/>
  </si>
  <si>
    <t>本年利润总额</t>
    <phoneticPr fontId="4" type="noConversion"/>
  </si>
  <si>
    <r>
      <rPr>
        <sz val="10"/>
        <color indexed="12"/>
        <rFont val="宋体"/>
        <family val="3"/>
        <charset val="134"/>
      </rPr>
      <t>（</t>
    </r>
    <r>
      <rPr>
        <sz val="10"/>
        <color indexed="12"/>
        <rFont val="Arial Narrow"/>
        <family val="2"/>
      </rP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8" type="noConversion"/>
  </si>
  <si>
    <t>①企业收取股利的权利已经确立；</t>
  </si>
  <si>
    <t>②股利相关的经济利益很可能流入企业；</t>
  </si>
  <si>
    <t>③股利的金额能够可靠计量。</t>
  </si>
  <si>
    <r>
      <t>3.</t>
    </r>
    <r>
      <rPr>
        <sz val="10"/>
        <color indexed="12"/>
        <rFont val="宋体"/>
        <family val="3"/>
        <charset val="134"/>
      </rPr>
      <t>对于指定为以公允价值计量且其变动计入其他综合收益的非交易性权益工具投资，</t>
    </r>
    <phoneticPr fontId="4" type="noConversion"/>
  </si>
  <si>
    <t>除了获得的股利（属于投资成本收回部分的除外）计入当期损益外，</t>
    <phoneticPr fontId="4" type="noConversion"/>
  </si>
  <si>
    <t>其他相关的利得和损失（包括汇兑损益）均应计入其他综合收益，且后续不得转入当期损益。</t>
    <phoneticPr fontId="4" type="noConversion"/>
  </si>
  <si>
    <t>企业只有在同时符合下列条件时，才能确认股利收入并计入当期损益：</t>
    <phoneticPr fontId="4" type="noConversion"/>
  </si>
  <si>
    <t>处置划分为持有待售资产的长期股权投资产生的投资收益</t>
  </si>
  <si>
    <t>处置划分为持有待售资产的长期股权投资产生的投资收益</t>
    <phoneticPr fontId="4" type="noConversion"/>
  </si>
  <si>
    <t>第六十五条企业只有在同时符合下列条件时，才能确认股利收入并计入当期损益：</t>
  </si>
  <si>
    <t>（一）企业收取股利的权利已经确立；</t>
  </si>
  <si>
    <t>（二）与股利相关的经济利益很可能流入企业；</t>
  </si>
  <si>
    <t>（三）股利的金额能够可靠计量。</t>
  </si>
  <si>
    <r>
      <rPr>
        <sz val="10"/>
        <color rgb="FF0000FF"/>
        <rFont val="宋体"/>
        <family val="2"/>
        <charset val="134"/>
      </rPr>
      <t>4、根据《企业会计准则第</t>
    </r>
    <r>
      <rPr>
        <sz val="10"/>
        <color indexed="12"/>
        <rFont val="Arial Narrow"/>
        <family val="2"/>
      </rPr>
      <t>22</t>
    </r>
    <r>
      <rPr>
        <sz val="10"/>
        <color rgb="FF0000FF"/>
        <rFont val="宋体"/>
        <family val="2"/>
        <charset val="134"/>
      </rPr>
      <t>号——金融工具确认和计量（</t>
    </r>
    <r>
      <rPr>
        <sz val="10"/>
        <color indexed="12"/>
        <rFont val="Arial Narrow"/>
        <family val="2"/>
      </rPr>
      <t>2017</t>
    </r>
    <r>
      <rPr>
        <sz val="10"/>
        <color rgb="FF0000FF"/>
        <rFont val="宋体"/>
        <family val="2"/>
        <charset val="134"/>
      </rPr>
      <t>年</t>
    </r>
    <r>
      <rPr>
        <sz val="10"/>
        <color indexed="12"/>
        <rFont val="Arial Narrow"/>
        <family val="2"/>
      </rPr>
      <t>3</t>
    </r>
    <r>
      <rPr>
        <sz val="10"/>
        <color rgb="FF0000FF"/>
        <rFont val="宋体"/>
        <family val="2"/>
        <charset val="134"/>
      </rPr>
      <t>月修订）》：</t>
    </r>
    <phoneticPr fontId="4" type="noConversion"/>
  </si>
  <si>
    <r>
      <t>5</t>
    </r>
    <r>
      <rPr>
        <sz val="10"/>
        <color indexed="12"/>
        <rFont val="宋体"/>
        <family val="3"/>
        <charset val="134"/>
      </rPr>
      <t>、如适用，根据</t>
    </r>
    <r>
      <rPr>
        <sz val="10"/>
        <color indexed="12"/>
        <rFont val="Arial Narrow"/>
        <family val="2"/>
      </rPr>
      <t>1131</t>
    </r>
    <r>
      <rPr>
        <sz val="10"/>
        <color indexed="12"/>
        <rFont val="宋体"/>
        <family val="3"/>
        <charset val="134"/>
      </rPr>
      <t>号等审计准则和指南的要求编制，说明涉及事项内容、应对措施、审计结论或解决方法，</t>
    </r>
    <phoneticPr fontId="8" type="noConversion"/>
  </si>
  <si>
    <r>
      <t>6</t>
    </r>
    <r>
      <rPr>
        <sz val="10"/>
        <color indexed="12"/>
        <rFont val="宋体"/>
        <family val="3"/>
        <charset val="134"/>
      </rPr>
      <t>、说明基于获取的审计证据，在有关认定方面，是否发现重大错报或存在重大异常。</t>
    </r>
    <phoneticPr fontId="8" type="noConversion"/>
  </si>
  <si>
    <t>第六十六条 以摊余成本计量且不属于任何套期关系的一部分的金融资产所产生的利得或损失，应当在终止确认、按照本准则规定重分类、按照实际利率法摊销或按照本准则规定确认减值时，计入当期损益。如果企业将以摊余成本计量的金融资产重分类为其他类别，应当根据本准则第三十条规定处理其利得或损失。</t>
    <phoneticPr fontId="4" type="noConversion"/>
  </si>
  <si>
    <t>第六十七条 属于套期关系中被套期项目的金融资产或金融负债所产生的利得或损失，应当按照《企业会计准则第24号——套期会计》相关规定进行处理。</t>
    <phoneticPr fontId="4" type="noConversion"/>
  </si>
  <si>
    <t>第六十八条 企业根据本准则第二十二条和第二十六条规定将金融负债指定为以公允价值计量且其变动计入当期损益的金融负债的，该金融负债所产生的利得或损失应当按照下列规定进行处理：</t>
    <phoneticPr fontId="4" type="noConversion"/>
  </si>
  <si>
    <t>第六十九条 企业根据本准则第十九条规定将非交易性权益工具投资指定为以公允价值计量且其变动计入其他综合收益的金融资产的，当该金融资产终止确认时，之前计入其他综合收益的累计利得或损失应当从其他综合收益中转出，计入留存收益。</t>
    <phoneticPr fontId="4" type="noConversion"/>
  </si>
  <si>
    <t>第七十条 指定为以公允价值计量且其变动计入当期损益的金融负债的财务担保合同和不可撤销贷款承诺所产生的全部利得或损失，应当计入当期损益。</t>
    <phoneticPr fontId="4" type="noConversion"/>
  </si>
  <si>
    <t>第七十一条 按照本准则第十八条分类为以公允价值计量且其变动计入其他综合收益的金融资产所产生的所有利得或损失，除减值损失或利得和汇兑损益之外，均应当计入其他综合收益，直至该金融资产终止确认或被重分类。但是，采用实际利率法计算的该金融资产的利息应当计入当期损益。该金融资产计入各期损益的金额应当与视同其一直按摊余成本计量而计入各期损益的金额相等。</t>
    <phoneticPr fontId="4" type="noConversion"/>
  </si>
  <si>
    <t>以摊余成本计量且不属于任何套期关系的一部分的金融负债所产生的利得或损失，应当在终止确认时计入当期损益或在按照实际利率法摊销时计入相关期间损益。</t>
    <phoneticPr fontId="4" type="noConversion"/>
  </si>
  <si>
    <t>（一）由企业自身信用风险变动引起的该金融负债公允价值的变动金额，应当计入其他综合收益；</t>
    <phoneticPr fontId="4" type="noConversion"/>
  </si>
  <si>
    <t>（二）该金融负债的其他公允价值变动计入当期损益。</t>
    <phoneticPr fontId="4" type="noConversion"/>
  </si>
  <si>
    <t>按照本条（一）规定对该金融负债的自身信用风险变动的影响进行处理会造成或扩大损益中的会计错配的，企业应当将该金融负债的全部利得或损失（包括企业自身信用风险变动的影响金额）计入当期损益。</t>
    <phoneticPr fontId="4" type="noConversion"/>
  </si>
  <si>
    <t>该金融负债终止确认时，之前计入其他综合收益的累计利得或损失应当从其他综合收益中转出，计入留存收益。</t>
    <phoneticPr fontId="4" type="noConversion"/>
  </si>
  <si>
    <t>该金融资产终止确认时，之前计入其他综合收益的累计利得或损失应当从其他综合收益中转出，计入当期损益。</t>
    <phoneticPr fontId="4" type="noConversion"/>
  </si>
  <si>
    <t>企业将该金融资产重分类为其他类别金融资产的，应当根据本准则第三十一条规定，对之前计入其他综合收益的累计利得或损失进行相应处理。</t>
    <phoneticPr fontId="4" type="noConversion"/>
  </si>
  <si>
    <r>
      <rPr>
        <b/>
        <sz val="10"/>
        <rFont val="宋体"/>
        <family val="3"/>
        <charset val="134"/>
      </rPr>
      <t>一、本账户涉及的科目</t>
    </r>
    <phoneticPr fontId="8" type="noConversion"/>
  </si>
  <si>
    <r>
      <rPr>
        <b/>
        <sz val="10"/>
        <rFont val="宋体"/>
        <family val="3"/>
        <charset val="134"/>
      </rPr>
      <t>二、重大错报风险需从实质性程序获取的保证程度</t>
    </r>
    <phoneticPr fontId="8" type="noConversion"/>
  </si>
  <si>
    <r>
      <rPr>
        <b/>
        <sz val="10"/>
        <rFont val="宋体"/>
        <family val="3"/>
        <charset val="134"/>
      </rPr>
      <t>审计目标与认定对应关系</t>
    </r>
    <phoneticPr fontId="8" type="noConversion"/>
  </si>
  <si>
    <r>
      <rPr>
        <b/>
        <sz val="10"/>
        <rFont val="宋体"/>
        <family val="3"/>
        <charset val="134"/>
      </rPr>
      <t>财务报表的认定　</t>
    </r>
  </si>
  <si>
    <t>信赖/不信赖/不适用</t>
    <phoneticPr fontId="8" type="noConversion"/>
  </si>
  <si>
    <r>
      <rPr>
        <sz val="10"/>
        <rFont val="宋体"/>
        <family val="3"/>
        <charset val="134"/>
      </rPr>
      <t>索引号</t>
    </r>
  </si>
  <si>
    <t>发生</t>
    <phoneticPr fontId="8" type="noConversion"/>
  </si>
  <si>
    <r>
      <rPr>
        <sz val="10"/>
        <rFont val="宋体"/>
        <family val="3"/>
        <charset val="134"/>
      </rPr>
      <t>完整性</t>
    </r>
    <phoneticPr fontId="8" type="noConversion"/>
  </si>
  <si>
    <t>准确性</t>
    <phoneticPr fontId="8" type="noConversion"/>
  </si>
  <si>
    <t>分类</t>
    <phoneticPr fontId="8" type="noConversion"/>
  </si>
  <si>
    <r>
      <rPr>
        <sz val="10"/>
        <rFont val="宋体"/>
        <family val="3"/>
        <charset val="134"/>
      </rPr>
      <t>列报与披露</t>
    </r>
    <phoneticPr fontId="8" type="noConversion"/>
  </si>
  <si>
    <r>
      <rPr>
        <sz val="10"/>
        <rFont val="宋体"/>
        <family val="3"/>
        <charset val="134"/>
      </rPr>
      <t>√</t>
    </r>
    <phoneticPr fontId="8" type="noConversion"/>
  </si>
  <si>
    <r>
      <rPr>
        <b/>
        <sz val="10"/>
        <rFont val="宋体"/>
        <family val="3"/>
        <charset val="134"/>
      </rPr>
      <t>三、计划实施的实质性程序</t>
    </r>
    <phoneticPr fontId="8" type="noConversion"/>
  </si>
  <si>
    <r>
      <rPr>
        <b/>
        <sz val="10"/>
        <rFont val="宋体"/>
        <family val="3"/>
        <charset val="134"/>
      </rPr>
      <t>序号</t>
    </r>
    <phoneticPr fontId="8" type="noConversion"/>
  </si>
  <si>
    <r>
      <rPr>
        <b/>
        <sz val="10"/>
        <rFont val="宋体"/>
        <family val="3"/>
        <charset val="134"/>
      </rPr>
      <t>审计程序</t>
    </r>
  </si>
  <si>
    <r>
      <rPr>
        <b/>
        <sz val="10"/>
        <rFont val="宋体"/>
        <family val="3"/>
        <charset val="134"/>
      </rPr>
      <t>程序分类</t>
    </r>
    <phoneticPr fontId="8" type="noConversion"/>
  </si>
  <si>
    <r>
      <rPr>
        <b/>
        <sz val="10"/>
        <rFont val="宋体"/>
        <family val="3"/>
        <charset val="134"/>
      </rPr>
      <t>审计目标</t>
    </r>
    <phoneticPr fontId="8" type="noConversion"/>
  </si>
  <si>
    <r>
      <rPr>
        <b/>
        <sz val="10"/>
        <rFont val="宋体"/>
        <family val="3"/>
        <charset val="134"/>
      </rPr>
      <t>执行情况说明
（含底稿索引）</t>
    </r>
    <phoneticPr fontId="8" type="noConversion"/>
  </si>
  <si>
    <r>
      <rPr>
        <b/>
        <sz val="10"/>
        <rFont val="宋体"/>
        <family val="3"/>
        <charset val="134"/>
      </rPr>
      <t>一</t>
    </r>
    <phoneticPr fontId="8" type="noConversion"/>
  </si>
  <si>
    <r>
      <rPr>
        <b/>
        <sz val="10"/>
        <rFont val="宋体"/>
        <family val="3"/>
        <charset val="134"/>
      </rPr>
      <t>编制审定表</t>
    </r>
    <phoneticPr fontId="4" type="noConversion"/>
  </si>
  <si>
    <r>
      <rPr>
        <sz val="10"/>
        <color theme="1"/>
        <rFont val="宋体"/>
        <family val="3"/>
        <charset val="134"/>
      </rPr>
      <t>常规★</t>
    </r>
    <phoneticPr fontId="4" type="noConversion"/>
  </si>
  <si>
    <t>D</t>
    <phoneticPr fontId="8" type="noConversion"/>
  </si>
  <si>
    <r>
      <rPr>
        <b/>
        <sz val="10"/>
        <rFont val="宋体"/>
        <family val="3"/>
        <charset val="134"/>
      </rPr>
      <t>二</t>
    </r>
    <phoneticPr fontId="4" type="noConversion"/>
  </si>
  <si>
    <t>1</t>
    <phoneticPr fontId="4" type="noConversion"/>
  </si>
  <si>
    <t>复核加计正确。</t>
    <phoneticPr fontId="86" type="noConversion"/>
  </si>
  <si>
    <r>
      <rPr>
        <sz val="10"/>
        <rFont val="宋体"/>
        <family val="3"/>
        <charset val="134"/>
      </rPr>
      <t>常规</t>
    </r>
    <phoneticPr fontId="8" type="noConversion"/>
  </si>
  <si>
    <r>
      <rPr>
        <b/>
        <sz val="10"/>
        <rFont val="宋体"/>
        <family val="3"/>
        <charset val="134"/>
      </rPr>
      <t>三</t>
    </r>
    <phoneticPr fontId="4" type="noConversion"/>
  </si>
  <si>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phoneticPr fontId="4" type="noConversion"/>
  </si>
  <si>
    <r>
      <rPr>
        <b/>
        <sz val="10"/>
        <color theme="1"/>
        <rFont val="宋体"/>
        <family val="3"/>
        <charset val="134"/>
      </rPr>
      <t>常规★</t>
    </r>
    <phoneticPr fontId="4" type="noConversion"/>
  </si>
  <si>
    <t>B</t>
    <phoneticPr fontId="8" type="noConversion"/>
  </si>
  <si>
    <t>T1</t>
    <phoneticPr fontId="8" type="noConversion"/>
  </si>
  <si>
    <t>1</t>
    <phoneticPr fontId="8" type="noConversion"/>
  </si>
  <si>
    <r>
      <rPr>
        <sz val="10"/>
        <rFont val="宋体"/>
        <family val="3"/>
        <charset val="134"/>
      </rPr>
      <t>获取有关信息准确性和完整性的审计证据。</t>
    </r>
    <phoneticPr fontId="8" type="noConversion"/>
  </si>
  <si>
    <t>2</t>
    <phoneticPr fontId="8" type="noConversion"/>
  </si>
  <si>
    <r>
      <rPr>
        <sz val="10"/>
        <rFont val="宋体"/>
        <family val="3"/>
        <charset val="134"/>
      </rPr>
      <t>评价信息对实现审计目的是否足够准确和详细。</t>
    </r>
    <phoneticPr fontId="8" type="noConversion"/>
  </si>
  <si>
    <t>2</t>
  </si>
  <si>
    <t>3</t>
  </si>
  <si>
    <t>4</t>
  </si>
  <si>
    <t>确定需在财务报表中单独披露的信息已被记录。</t>
  </si>
  <si>
    <t>E</t>
    <phoneticPr fontId="8" type="noConversion"/>
  </si>
  <si>
    <t>投资收益实质性程序表</t>
  </si>
  <si>
    <t>投资收益实质性程序表</t>
    <phoneticPr fontId="4" type="noConversion"/>
  </si>
  <si>
    <t>投资收益</t>
    <phoneticPr fontId="4" type="noConversion"/>
  </si>
  <si>
    <r>
      <t xml:space="preserve">A. </t>
    </r>
    <r>
      <rPr>
        <sz val="10"/>
        <rFont val="宋体"/>
        <family val="3"/>
        <charset val="134"/>
      </rPr>
      <t>利润表中记录的投资收益已发生，且与被审计单位有关。</t>
    </r>
    <phoneticPr fontId="8" type="noConversion"/>
  </si>
  <si>
    <r>
      <t xml:space="preserve">B. </t>
    </r>
    <r>
      <rPr>
        <sz val="10"/>
        <rFont val="宋体"/>
        <family val="3"/>
        <charset val="134"/>
      </rPr>
      <t>所有应当记录的投资收益均已记录。</t>
    </r>
    <phoneticPr fontId="8" type="noConversion"/>
  </si>
  <si>
    <r>
      <t xml:space="preserve">C. </t>
    </r>
    <r>
      <rPr>
        <sz val="10"/>
        <rFont val="宋体"/>
        <family val="3"/>
        <charset val="134"/>
      </rPr>
      <t>与投资收益有关的金额及其他数据已恰当记录于正确的会计期间。</t>
    </r>
    <phoneticPr fontId="8" type="noConversion"/>
  </si>
  <si>
    <r>
      <t xml:space="preserve">D. </t>
    </r>
    <r>
      <rPr>
        <sz val="10"/>
        <rFont val="宋体"/>
        <family val="3"/>
        <charset val="134"/>
      </rPr>
      <t>投资收益已记录于恰当的账户。</t>
    </r>
    <phoneticPr fontId="8" type="noConversion"/>
  </si>
  <si>
    <r>
      <t xml:space="preserve">E. </t>
    </r>
    <r>
      <rPr>
        <sz val="10"/>
        <rFont val="宋体"/>
        <family val="3"/>
        <charset val="134"/>
      </rPr>
      <t>投资收益已按照企业会计准则的规定在财务报表中作出恰当的列报和披露。</t>
    </r>
    <phoneticPr fontId="8" type="noConversion"/>
  </si>
  <si>
    <t>H3</t>
    <phoneticPr fontId="8" type="noConversion"/>
  </si>
  <si>
    <t>H3-2</t>
    <phoneticPr fontId="4" type="noConversion"/>
  </si>
  <si>
    <t xml:space="preserve">与总账核对一致。 </t>
    <phoneticPr fontId="8" type="noConversion"/>
  </si>
  <si>
    <t xml:space="preserve">将期初余额与上期期末余额核对。 </t>
    <phoneticPr fontId="8" type="noConversion"/>
  </si>
  <si>
    <t>获取或编制投资收益明细表，并执行下列程序：</t>
    <phoneticPr fontId="4" type="noConversion"/>
  </si>
  <si>
    <t>四</t>
    <phoneticPr fontId="4" type="noConversion"/>
  </si>
  <si>
    <r>
      <rPr>
        <b/>
        <sz val="10"/>
        <color theme="1"/>
        <rFont val="宋体"/>
        <family val="2"/>
        <charset val="134"/>
      </rPr>
      <t>确定本期处置的重大股权投资，并执行下列程序：</t>
    </r>
    <r>
      <rPr>
        <b/>
        <sz val="10"/>
        <color theme="1"/>
        <rFont val="Arial Narrow"/>
        <family val="2"/>
      </rPr>
      <t xml:space="preserve"> </t>
    </r>
    <phoneticPr fontId="8" type="noConversion"/>
  </si>
  <si>
    <t>常规★</t>
    <phoneticPr fontId="8" type="noConversion"/>
  </si>
  <si>
    <r>
      <rPr>
        <sz val="10"/>
        <color theme="1"/>
        <rFont val="宋体"/>
        <family val="2"/>
        <charset val="134"/>
      </rPr>
      <t>检查与股权投资处置相关的合同、发票及其他文件。</t>
    </r>
    <r>
      <rPr>
        <sz val="10"/>
        <color theme="1"/>
        <rFont val="Arial Narrow"/>
        <family val="2"/>
      </rPr>
      <t xml:space="preserve"> </t>
    </r>
    <phoneticPr fontId="8" type="noConversion"/>
  </si>
  <si>
    <r>
      <rPr>
        <sz val="10"/>
        <color theme="1"/>
        <rFont val="宋体"/>
        <family val="2"/>
        <charset val="134"/>
      </rPr>
      <t>重新计算相关的利得或损失。</t>
    </r>
    <r>
      <rPr>
        <sz val="10"/>
        <color theme="1"/>
        <rFont val="Arial Narrow"/>
        <family val="2"/>
      </rPr>
      <t xml:space="preserve"> </t>
    </r>
    <phoneticPr fontId="8" type="noConversion"/>
  </si>
  <si>
    <t>确定会计处理是否恰当。</t>
    <phoneticPr fontId="8" type="noConversion"/>
  </si>
  <si>
    <r>
      <rPr>
        <sz val="10"/>
        <color theme="1"/>
        <rFont val="宋体"/>
        <family val="2"/>
        <charset val="134"/>
      </rPr>
      <t>识别</t>
    </r>
    <r>
      <rPr>
        <sz val="10"/>
        <color theme="1"/>
        <rFont val="宋体"/>
        <family val="3"/>
        <charset val="134"/>
      </rPr>
      <t>期后</t>
    </r>
    <r>
      <rPr>
        <sz val="10"/>
        <color theme="1"/>
        <rFont val="宋体"/>
        <family val="2"/>
        <charset val="134"/>
      </rPr>
      <t>发生的长期股权投资的减少，检查至支持性文件，确定是否是被记录在恰当的期间内。</t>
    </r>
    <phoneticPr fontId="4" type="noConversion"/>
  </si>
  <si>
    <t>H3-5</t>
    <phoneticPr fontId="4" type="noConversion"/>
  </si>
  <si>
    <t>H3-1</t>
    <phoneticPr fontId="8" type="noConversion"/>
  </si>
  <si>
    <t>ABCD</t>
    <phoneticPr fontId="8" type="noConversion"/>
  </si>
  <si>
    <r>
      <t>IPO/</t>
    </r>
    <r>
      <rPr>
        <sz val="10"/>
        <color theme="1"/>
        <rFont val="宋体"/>
        <family val="3"/>
        <charset val="134"/>
      </rPr>
      <t>上市公司</t>
    </r>
    <phoneticPr fontId="8" type="noConversion"/>
  </si>
  <si>
    <t>常规</t>
  </si>
  <si>
    <t>五</t>
    <phoneticPr fontId="4" type="noConversion"/>
  </si>
  <si>
    <t>六</t>
    <phoneticPr fontId="4" type="noConversion"/>
  </si>
  <si>
    <t>七</t>
    <phoneticPr fontId="4" type="noConversion"/>
  </si>
  <si>
    <t>结合金融资产循环中投资收益的审计，分析对投资收益的依赖程度，分析盈利能力的稳定性；比较投资收益率及其变动是否异常。</t>
    <phoneticPr fontId="4" type="noConversion"/>
  </si>
  <si>
    <r>
      <rPr>
        <b/>
        <sz val="10"/>
        <color theme="1"/>
        <rFont val="宋体"/>
        <family val="3"/>
        <charset val="134"/>
      </rPr>
      <t>根据评估的舞弊风险等因素增加的审计程序。</t>
    </r>
    <phoneticPr fontId="4" type="noConversion"/>
  </si>
  <si>
    <t>八</t>
    <phoneticPr fontId="4" type="noConversion"/>
  </si>
  <si>
    <t>对于重大的投资收益项目，检查相关文件，并结合长期股权投资等项目的审计程序，确定会计处理是否正确。</t>
    <phoneticPr fontId="4" type="noConversion"/>
  </si>
  <si>
    <t>H3-5</t>
    <phoneticPr fontId="8" type="noConversion"/>
  </si>
  <si>
    <t>上期发生额</t>
    <phoneticPr fontId="4" type="noConversion"/>
  </si>
  <si>
    <t>取得控制权时，股权按公允价值重新计量产生的利得</t>
  </si>
  <si>
    <t>取得控制权时，股权按公允价值重新计量产生的利得</t>
    <phoneticPr fontId="4" type="noConversion"/>
  </si>
  <si>
    <t>其他</t>
    <phoneticPr fontId="4" type="noConversion"/>
  </si>
  <si>
    <t>丧失控制权后，剩余股权按公允价值重新计量产生的利得</t>
    <phoneticPr fontId="4" type="noConversion"/>
  </si>
  <si>
    <t>取得控制权时，股权按公允价值重新计量产生的利得</t>
    <phoneticPr fontId="4" type="noConversion"/>
  </si>
  <si>
    <t>本期调整</t>
    <phoneticPr fontId="4" type="noConversion"/>
  </si>
  <si>
    <t>上期调整</t>
    <phoneticPr fontId="4" type="noConversion"/>
  </si>
  <si>
    <t>编制日期：</t>
    <phoneticPr fontId="8" type="noConversion"/>
  </si>
  <si>
    <t>复核人：</t>
    <phoneticPr fontId="8" type="noConversion"/>
  </si>
  <si>
    <t>复核日期：</t>
    <phoneticPr fontId="8" type="noConversion"/>
  </si>
  <si>
    <t>序号</t>
    <phoneticPr fontId="8" type="noConversion"/>
  </si>
  <si>
    <t>调整事项说明</t>
    <phoneticPr fontId="8" type="noConversion"/>
  </si>
  <si>
    <t>类别（报表调整/账项调整/其他）</t>
    <phoneticPr fontId="8" type="noConversion"/>
  </si>
  <si>
    <t>科目名称</t>
    <phoneticPr fontId="8" type="noConversion"/>
  </si>
  <si>
    <t>附注项目</t>
    <phoneticPr fontId="8" type="noConversion"/>
  </si>
  <si>
    <t>……</t>
    <phoneticPr fontId="8" type="noConversion"/>
  </si>
  <si>
    <t>借方调整金额</t>
    <phoneticPr fontId="8" type="noConversion"/>
  </si>
  <si>
    <t>贷方调整金额</t>
    <phoneticPr fontId="8" type="noConversion"/>
  </si>
  <si>
    <t>索引</t>
    <phoneticPr fontId="8" type="noConversion"/>
  </si>
  <si>
    <t>备注</t>
    <phoneticPr fontId="8" type="noConversion"/>
  </si>
  <si>
    <t>投资收益调整分录汇总表</t>
    <phoneticPr fontId="8" type="noConversion"/>
  </si>
  <si>
    <t>调整分录汇总</t>
  </si>
  <si>
    <r>
      <rPr>
        <b/>
        <sz val="10"/>
        <rFont val="宋体"/>
        <family val="3"/>
        <charset val="134"/>
      </rPr>
      <t>三、测试：</t>
    </r>
    <phoneticPr fontId="58" type="noConversion"/>
  </si>
  <si>
    <t>凭证检查表</t>
  </si>
  <si>
    <t>试算平衡表数</t>
    <phoneticPr fontId="8" type="noConversion"/>
  </si>
  <si>
    <t>差异数</t>
    <phoneticPr fontId="8" type="noConversion"/>
  </si>
  <si>
    <t>交易性金融资产持有期间的投资收益</t>
  </si>
  <si>
    <t>债权投资持有期间的利息收益</t>
  </si>
  <si>
    <t>债权投资持有期间的利息收益</t>
    <phoneticPr fontId="4" type="noConversion"/>
  </si>
  <si>
    <t>其他债权投资持有期间的利息收益</t>
  </si>
  <si>
    <t>其他债权投资持有期间的利息收益</t>
    <phoneticPr fontId="4" type="noConversion"/>
  </si>
  <si>
    <t>其他权益工具投资的股利收入</t>
  </si>
  <si>
    <t>其他债权投资持有期间的利息收入</t>
  </si>
  <si>
    <t>债权投资持有期间的利息收入</t>
  </si>
  <si>
    <t>权益法核算的长期股权投资收益</t>
    <phoneticPr fontId="4" type="noConversion"/>
  </si>
  <si>
    <t>交易性金融资产持有期间的投资收益</t>
    <phoneticPr fontId="4" type="noConversion"/>
  </si>
  <si>
    <t>处置交易性金融资产取得的投资收益</t>
  </si>
  <si>
    <t>处置衍生金融资产取得的投资收益</t>
  </si>
  <si>
    <t>处置债权投资取得的投资收益</t>
  </si>
  <si>
    <t>交易性金融资产持有期间取得的投资收益</t>
    <phoneticPr fontId="4" type="noConversion"/>
  </si>
  <si>
    <t>处置交易性金融资产取得的投资收益</t>
    <phoneticPr fontId="4" type="noConversion"/>
  </si>
  <si>
    <t>债权投资处置收益</t>
  </si>
  <si>
    <t>债权投资处置收益</t>
    <phoneticPr fontId="4" type="noConversion"/>
  </si>
  <si>
    <t>其他债权投资处置收益</t>
  </si>
  <si>
    <t>其他债权投资处置收益</t>
    <phoneticPr fontId="4" type="noConversion"/>
  </si>
  <si>
    <t>持有其他非流动金融资产期间取得的投资收益</t>
  </si>
  <si>
    <t>持有其他非流动金融资产期间取得的投资收益</t>
    <phoneticPr fontId="4" type="noConversion"/>
  </si>
  <si>
    <t>处置其他非流动金融资产取得的投资收益</t>
  </si>
  <si>
    <t>处置其他非流动金融资产取得的投资收益</t>
    <phoneticPr fontId="4" type="noConversion"/>
  </si>
  <si>
    <t>丧失控制权后，剩余股权按公允价值重新计量产生的利得</t>
    <phoneticPr fontId="4" type="noConversion"/>
  </si>
  <si>
    <t>持有其他权益工具投资期间取得的股利收入</t>
  </si>
  <si>
    <t>持有其他权益工具投资期间取得的股利收入</t>
    <phoneticPr fontId="4" type="noConversion"/>
  </si>
  <si>
    <t>现金流量套期的无效部分的已实现收益（损失）</t>
    <phoneticPr fontId="4" type="noConversion"/>
  </si>
  <si>
    <t>债务重组产生的投资收益</t>
  </si>
  <si>
    <t>债务重组产生的投资收益</t>
    <phoneticPr fontId="4" type="noConversion"/>
  </si>
  <si>
    <t>现金流量套期的无效部分的已实现收益</t>
  </si>
  <si>
    <t>现金流量套期的无效部分的已实现收益</t>
    <phoneticPr fontId="4" type="noConversion"/>
  </si>
  <si>
    <t>被审计单位：</t>
    <phoneticPr fontId="8" type="noConversion"/>
  </si>
  <si>
    <t>索引号：</t>
    <phoneticPr fontId="4" type="noConversion"/>
  </si>
  <si>
    <t>索引：</t>
    <phoneticPr fontId="4" type="noConversion"/>
  </si>
  <si>
    <t>索引：</t>
    <phoneticPr fontId="4" type="noConversion"/>
  </si>
  <si>
    <t>索引号：</t>
    <phoneticPr fontId="8" type="noConversion"/>
  </si>
  <si>
    <t>G11A</t>
  </si>
  <si>
    <t>G11-2</t>
  </si>
  <si>
    <t>G11-3</t>
  </si>
  <si>
    <t>G11-5</t>
  </si>
  <si>
    <t>审定表</t>
    <phoneticPr fontId="4" type="noConversion"/>
  </si>
  <si>
    <t>附注披露信息（上市公司）</t>
    <phoneticPr fontId="4" type="noConversion"/>
  </si>
  <si>
    <t>附注披露信息（国企）</t>
    <phoneticPr fontId="4" type="noConversion"/>
  </si>
  <si>
    <t>明细分析表</t>
    <phoneticPr fontId="4" type="noConversion"/>
  </si>
  <si>
    <t>收益率分析表</t>
    <phoneticPr fontId="4" type="noConversion"/>
  </si>
  <si>
    <t>【提示：对于业务（包括子公司和分公司）处置的收益，无论直接出售还是先持有待售再出售，均整体计入投资收益，与业务相关的其他综合收益同时转入投资收益。】</t>
  </si>
  <si>
    <r>
      <t>注</t>
    </r>
    <r>
      <rPr>
        <sz val="12"/>
        <color rgb="FFFF0000"/>
        <rFont val="Arial Narrow"/>
        <family val="2"/>
      </rPr>
      <t>1</t>
    </r>
    <r>
      <rPr>
        <sz val="12"/>
        <color rgb="FFFF0000"/>
        <rFont val="仿宋_GB2312"/>
        <family val="3"/>
        <charset val="134"/>
      </rPr>
      <t>：处置交易性金融资产取得的投资收益明细如下：</t>
    </r>
    <r>
      <rPr>
        <sz val="12"/>
        <color rgb="FF0000FF"/>
        <rFont val="仿宋_GB2312"/>
        <family val="3"/>
        <charset val="134"/>
      </rPr>
      <t>【存在套期业务的，增加本注释内容，注意与附注九、</t>
    </r>
    <r>
      <rPr>
        <sz val="12"/>
        <color rgb="FF0000FF"/>
        <rFont val="Arial Narrow"/>
        <family val="2"/>
      </rPr>
      <t>3</t>
    </r>
    <r>
      <rPr>
        <sz val="12"/>
        <color rgb="FF0000FF"/>
        <rFont val="仿宋_GB2312"/>
        <family val="3"/>
        <charset val="134"/>
      </rPr>
      <t>保持一致】</t>
    </r>
  </si>
  <si>
    <r>
      <t>项</t>
    </r>
    <r>
      <rPr>
        <b/>
        <sz val="10.5"/>
        <color rgb="FFFF0000"/>
        <rFont val="Arial Narrow"/>
        <family val="2"/>
      </rPr>
      <t xml:space="preserve">  </t>
    </r>
    <r>
      <rPr>
        <b/>
        <sz val="10.5"/>
        <color rgb="FFFF0000"/>
        <rFont val="仿宋_GB2312"/>
        <family val="3"/>
        <charset val="134"/>
      </rPr>
      <t>目</t>
    </r>
  </si>
  <si>
    <r>
      <t>交易性权益工具投资</t>
    </r>
    <r>
      <rPr>
        <sz val="10.5"/>
        <color rgb="FFFF0000"/>
        <rFont val="Arial Narrow"/>
        <family val="2"/>
      </rPr>
      <t>-</t>
    </r>
    <r>
      <rPr>
        <sz val="10.5"/>
        <color rgb="FFFF0000"/>
        <rFont val="仿宋_GB2312"/>
        <family val="3"/>
        <charset val="134"/>
      </rPr>
      <t>股票投资</t>
    </r>
  </si>
  <si>
    <r>
      <t>交易性债务工具投资</t>
    </r>
    <r>
      <rPr>
        <sz val="10.5"/>
        <color rgb="FFFF0000"/>
        <rFont val="Arial Narrow"/>
        <family val="2"/>
      </rPr>
      <t>-</t>
    </r>
    <r>
      <rPr>
        <sz val="10.5"/>
        <color rgb="FFFF0000"/>
        <rFont val="仿宋_GB2312"/>
        <family val="3"/>
        <charset val="134"/>
      </rPr>
      <t>债券投资</t>
    </r>
  </si>
  <si>
    <t>未指定为套期关系的衍生工具</t>
  </si>
  <si>
    <t>其中：商品期货合约</t>
  </si>
  <si>
    <r>
      <t xml:space="preserve">      </t>
    </r>
    <r>
      <rPr>
        <sz val="10.5"/>
        <color rgb="FFFF0000"/>
        <rFont val="仿宋_GB2312"/>
        <family val="3"/>
        <charset val="134"/>
      </rPr>
      <t>远期外汇合约</t>
    </r>
  </si>
  <si>
    <t>有效套期保值的衍生工具</t>
  </si>
  <si>
    <t>其中：公允价值套期</t>
  </si>
  <si>
    <r>
      <t>合</t>
    </r>
    <r>
      <rPr>
        <b/>
        <sz val="10.5"/>
        <color rgb="FFFF0000"/>
        <rFont val="Arial Narrow"/>
        <family val="2"/>
      </rPr>
      <t xml:space="preserve">  </t>
    </r>
    <r>
      <rPr>
        <b/>
        <sz val="10.5"/>
        <color rgb="FFFF0000"/>
        <rFont val="仿宋_GB2312"/>
        <family val="3"/>
        <charset val="134"/>
      </rPr>
      <t>计</t>
    </r>
  </si>
  <si>
    <t>注：若投资收益汇回有重大限制的，应予以说明。若不存在此类重大限制，也应做出说明。</t>
    <phoneticPr fontId="4" type="noConversion"/>
  </si>
  <si>
    <t>记账凭证</t>
    <phoneticPr fontId="8" type="noConversion"/>
  </si>
  <si>
    <t>是否异常</t>
    <phoneticPr fontId="8" type="noConversion"/>
  </si>
  <si>
    <t>日期</t>
  </si>
  <si>
    <t>凭证编号</t>
  </si>
  <si>
    <t>业务内容</t>
    <phoneticPr fontId="8" type="noConversion"/>
  </si>
  <si>
    <t>对方科目</t>
    <phoneticPr fontId="8" type="noConversion"/>
  </si>
  <si>
    <t>贷方金额</t>
    <phoneticPr fontId="8" type="noConversion"/>
  </si>
  <si>
    <t>二、审计目标与认定的对应关系</t>
    <phoneticPr fontId="8" type="noConversion"/>
  </si>
  <si>
    <t>审计目标</t>
    <phoneticPr fontId="8" type="noConversion"/>
  </si>
  <si>
    <t>完整性</t>
    <phoneticPr fontId="8" type="noConversion"/>
  </si>
  <si>
    <t>列报</t>
    <phoneticPr fontId="8" type="noConversion"/>
  </si>
  <si>
    <r>
      <rPr>
        <b/>
        <sz val="10"/>
        <rFont val="宋体"/>
        <family val="3"/>
        <charset val="134"/>
      </rPr>
      <t>序号</t>
    </r>
    <phoneticPr fontId="8" type="noConversion"/>
  </si>
  <si>
    <r>
      <rPr>
        <b/>
        <sz val="10"/>
        <rFont val="宋体"/>
        <family val="3"/>
        <charset val="134"/>
      </rPr>
      <t>程序分类</t>
    </r>
    <phoneticPr fontId="8" type="noConversion"/>
  </si>
  <si>
    <t>财务报表的认定</t>
    <phoneticPr fontId="8" type="noConversion"/>
  </si>
  <si>
    <t>底稿索引号</t>
    <phoneticPr fontId="8" type="noConversion"/>
  </si>
  <si>
    <t>1</t>
    <phoneticPr fontId="4" type="noConversion"/>
  </si>
  <si>
    <t>2</t>
    <phoneticPr fontId="8" type="noConversion"/>
  </si>
  <si>
    <r>
      <rPr>
        <sz val="10"/>
        <color theme="1"/>
        <rFont val="宋体"/>
        <family val="3"/>
        <charset val="134"/>
      </rPr>
      <t>根据评估的舞弊风险等因素增加的审计程序。</t>
    </r>
    <phoneticPr fontId="4" type="noConversion"/>
  </si>
  <si>
    <t>6</t>
  </si>
  <si>
    <t>√</t>
    <phoneticPr fontId="8" type="noConversion"/>
  </si>
  <si>
    <r>
      <rPr>
        <sz val="10"/>
        <rFont val="宋体"/>
        <family val="3"/>
        <charset val="134"/>
      </rPr>
      <t>获取或编制投资收益的明细表，完成以下工作，并编制审定表
（</t>
    </r>
    <r>
      <rPr>
        <sz val="10"/>
        <rFont val="Arial"/>
        <family val="2"/>
      </rPr>
      <t>1</t>
    </r>
    <r>
      <rPr>
        <sz val="10"/>
        <rFont val="宋体"/>
        <family val="3"/>
        <charset val="134"/>
      </rPr>
      <t>）复核加计是否正确，与总账、明细账合计数核对是否相符；
（</t>
    </r>
    <r>
      <rPr>
        <sz val="10"/>
        <rFont val="Arial"/>
        <family val="2"/>
      </rPr>
      <t>2</t>
    </r>
    <r>
      <rPr>
        <sz val="10"/>
        <rFont val="宋体"/>
        <family val="3"/>
        <charset val="134"/>
      </rPr>
      <t>）将期初余额与上期期末余额核对；
（</t>
    </r>
    <r>
      <rPr>
        <sz val="10"/>
        <rFont val="Arial"/>
        <family val="2"/>
      </rPr>
      <t>3</t>
    </r>
    <r>
      <rPr>
        <sz val="10"/>
        <rFont val="宋体"/>
        <family val="3"/>
        <charset val="134"/>
      </rPr>
      <t>）与上年明细项目进行比较，确定与上年分类相同。</t>
    </r>
    <phoneticPr fontId="4" type="noConversion"/>
  </si>
  <si>
    <r>
      <rPr>
        <sz val="10"/>
        <rFont val="宋体"/>
        <family val="3"/>
        <charset val="134"/>
      </rPr>
      <t>整合为</t>
    </r>
    <r>
      <rPr>
        <sz val="10"/>
        <rFont val="Arial"/>
        <family val="2"/>
      </rPr>
      <t>1</t>
    </r>
    <phoneticPr fontId="4"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</si>
  <si>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4"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</si>
  <si>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4" type="noConversion"/>
  </si>
  <si>
    <r>
      <rPr>
        <b/>
        <sz val="10"/>
        <rFont val="宋体"/>
        <family val="3"/>
        <charset val="134"/>
      </rPr>
      <t>保留修改为</t>
    </r>
    <r>
      <rPr>
        <b/>
        <sz val="10"/>
        <rFont val="Arial"/>
        <family val="2"/>
      </rPr>
      <t>2</t>
    </r>
    <phoneticPr fontId="4" type="noConversion"/>
  </si>
  <si>
    <r>
      <rPr>
        <sz val="10"/>
        <rFont val="宋体"/>
        <family val="3"/>
        <charset val="134"/>
      </rPr>
      <t>保留为</t>
    </r>
    <r>
      <rPr>
        <sz val="10"/>
        <rFont val="Arial"/>
        <family val="2"/>
      </rPr>
      <t>3</t>
    </r>
    <phoneticPr fontId="4" type="noConversion"/>
  </si>
  <si>
    <r>
      <rPr>
        <sz val="10"/>
        <rFont val="宋体"/>
        <family val="3"/>
        <charset val="134"/>
      </rPr>
      <t>保留为</t>
    </r>
    <r>
      <rPr>
        <sz val="10"/>
        <rFont val="Arial"/>
        <family val="2"/>
      </rPr>
      <t>4</t>
    </r>
    <r>
      <rPr>
        <sz val="11"/>
        <color theme="1"/>
        <rFont val="宋体"/>
        <family val="2"/>
        <charset val="134"/>
        <scheme val="minor"/>
      </rPr>
      <t/>
    </r>
  </si>
  <si>
    <r>
      <rPr>
        <sz val="10"/>
        <rFont val="宋体"/>
        <family val="3"/>
        <charset val="134"/>
      </rPr>
      <t>保留为</t>
    </r>
    <r>
      <rPr>
        <sz val="10"/>
        <rFont val="Arial"/>
        <family val="2"/>
      </rPr>
      <t>5</t>
    </r>
    <r>
      <rPr>
        <sz val="11"/>
        <color theme="1"/>
        <rFont val="宋体"/>
        <family val="2"/>
        <charset val="134"/>
        <scheme val="minor"/>
      </rPr>
      <t/>
    </r>
  </si>
  <si>
    <r>
      <rPr>
        <sz val="10"/>
        <rFont val="宋体"/>
        <family val="3"/>
        <charset val="134"/>
      </rPr>
      <t>保留为</t>
    </r>
    <r>
      <rPr>
        <sz val="10"/>
        <rFont val="Arial"/>
        <family val="2"/>
      </rPr>
      <t>6</t>
    </r>
    <r>
      <rPr>
        <sz val="11"/>
        <color theme="1"/>
        <rFont val="宋体"/>
        <family val="2"/>
        <charset val="134"/>
        <scheme val="minor"/>
      </rPr>
      <t/>
    </r>
  </si>
  <si>
    <r>
      <rPr>
        <sz val="10"/>
        <rFont val="宋体"/>
        <family val="3"/>
        <charset val="134"/>
      </rPr>
      <t>保留为</t>
    </r>
    <r>
      <rPr>
        <sz val="10"/>
        <rFont val="Arial"/>
        <family val="2"/>
      </rPr>
      <t>7</t>
    </r>
    <r>
      <rPr>
        <sz val="11"/>
        <color theme="1"/>
        <rFont val="宋体"/>
        <family val="2"/>
        <charset val="134"/>
        <scheme val="minor"/>
      </rPr>
      <t/>
    </r>
  </si>
  <si>
    <t>二、样本选取方法与规模：</t>
    <phoneticPr fontId="58" type="noConversion"/>
  </si>
  <si>
    <t>获取或编制投资收益的明细表，完成以下工作，并编制审定表
（1）复核加计是否正确，与总账、明细账合计数核对是否相符；
（2）将上期发生额与上期经审计的财务报表核对
（3）与上年明细项目进行比较，确定与上年分类相同。</t>
    <phoneticPr fontId="8" type="noConversion"/>
  </si>
  <si>
    <t>报表项目</t>
    <phoneticPr fontId="4" type="noConversion"/>
  </si>
  <si>
    <t>发生</t>
  </si>
  <si>
    <t>准确性</t>
  </si>
  <si>
    <t>截止</t>
  </si>
  <si>
    <t>截止</t>
    <phoneticPr fontId="8" type="noConversion"/>
  </si>
  <si>
    <t>完整性</t>
  </si>
  <si>
    <t>列报</t>
  </si>
  <si>
    <t>与投资收益有关的金额及其他数据已恰当记录，相关披露已得到恰当计量和描述</t>
    <phoneticPr fontId="8" type="noConversion"/>
  </si>
  <si>
    <t>7</t>
    <phoneticPr fontId="8" type="noConversion"/>
  </si>
  <si>
    <t>G11-1</t>
    <phoneticPr fontId="4" type="noConversion"/>
  </si>
  <si>
    <t>G11-4</t>
  </si>
  <si>
    <t>投资收益凭证检查表</t>
    <phoneticPr fontId="8" type="noConversion"/>
  </si>
  <si>
    <t>G11-4</t>
    <phoneticPr fontId="8" type="noConversion"/>
  </si>
  <si>
    <t>致同会计师事务所</t>
    <phoneticPr fontId="4" type="noConversion"/>
  </si>
  <si>
    <t>投资收益审定表</t>
    <phoneticPr fontId="8" type="noConversion"/>
  </si>
  <si>
    <t>（如果使用了样本计算器计算样本量，样本量计算过程见&lt;XX&gt;底稿）</t>
    <phoneticPr fontId="8" type="noConversion"/>
  </si>
  <si>
    <t>测试总体：</t>
    <phoneticPr fontId="8" type="noConversion"/>
  </si>
  <si>
    <t>特定样本：</t>
    <phoneticPr fontId="8" type="noConversion"/>
  </si>
  <si>
    <t>XX金额以上（大额）、关联方/关联交易形成的款项、XX异常款项全部测试，共XX笔；</t>
    <phoneticPr fontId="8" type="noConversion"/>
  </si>
  <si>
    <t>抽样总体：</t>
    <phoneticPr fontId="8" type="noConversion"/>
  </si>
  <si>
    <t>测试总体扣除特定样本以外的样本，共XX笔、金额XX</t>
    <phoneticPr fontId="8" type="noConversion"/>
  </si>
  <si>
    <t>确定的抽样样本量：</t>
    <phoneticPr fontId="8" type="noConversion"/>
  </si>
  <si>
    <t>抽取XX笔</t>
    <phoneticPr fontId="8" type="noConversion"/>
  </si>
  <si>
    <t>抽样方法：</t>
    <phoneticPr fontId="8" type="noConversion"/>
  </si>
  <si>
    <t>随机选样/系统选样/货币单元抽样/随意选样</t>
    <phoneticPr fontId="8" type="noConversion"/>
  </si>
  <si>
    <t>抽样过程：</t>
    <phoneticPr fontId="8" type="noConversion"/>
  </si>
  <si>
    <t>使用IDEA（XX抽样工具）选择XX数量、金额XX的样本进行测试，抽样工具中的样本选择过程和结果见&lt;XX&gt;底稿</t>
    <phoneticPr fontId="8" type="noConversion"/>
  </si>
  <si>
    <t>如投资收益本期发生额所有凭证共XX笔金额XX</t>
    <phoneticPr fontId="8" type="noConversion"/>
  </si>
  <si>
    <r>
      <rPr>
        <b/>
        <sz val="10"/>
        <rFont val="宋体"/>
        <family val="3"/>
        <charset val="134"/>
      </rPr>
      <t>合计</t>
    </r>
    <phoneticPr fontId="4" type="noConversion"/>
  </si>
  <si>
    <r>
      <rPr>
        <i/>
        <sz val="10"/>
        <color indexed="12"/>
        <rFont val="宋体"/>
        <family val="3"/>
        <charset val="134"/>
      </rPr>
      <t>编制说明：</t>
    </r>
    <phoneticPr fontId="8" type="noConversion"/>
  </si>
  <si>
    <r>
      <rPr>
        <sz val="10"/>
        <color indexed="12"/>
        <rFont val="Arial Narrow"/>
        <family val="2"/>
      </rP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4" type="noConversion"/>
  </si>
  <si>
    <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4" type="noConversion"/>
  </si>
  <si>
    <t>页  次：</t>
    <phoneticPr fontId="4" type="noConversion"/>
  </si>
  <si>
    <t>页  次：</t>
    <phoneticPr fontId="4" type="noConversion"/>
  </si>
  <si>
    <r>
      <rPr>
        <sz val="10"/>
        <rFont val="宋体"/>
        <family val="3"/>
        <charset val="134"/>
      </rPr>
      <t>序号</t>
    </r>
    <phoneticPr fontId="8" type="noConversion"/>
  </si>
  <si>
    <r>
      <rPr>
        <sz val="10"/>
        <rFont val="宋体"/>
        <family val="3"/>
        <charset val="134"/>
      </rPr>
      <t>内容</t>
    </r>
  </si>
  <si>
    <r>
      <rPr>
        <sz val="10"/>
        <rFont val="宋体"/>
        <family val="3"/>
        <charset val="134"/>
      </rPr>
      <t>索引号</t>
    </r>
    <phoneticPr fontId="4" type="noConversion"/>
  </si>
  <si>
    <t>页 次：1</t>
    <phoneticPr fontId="4" type="noConversion"/>
  </si>
  <si>
    <r>
      <t>1</t>
    </r>
    <r>
      <rPr>
        <b/>
        <sz val="10"/>
        <rFont val="宋体"/>
        <family val="3"/>
        <charset val="134"/>
      </rPr>
      <t>、审计说明</t>
    </r>
    <phoneticPr fontId="8" type="noConversion"/>
  </si>
  <si>
    <t>页 次：</t>
    <phoneticPr fontId="4" type="noConversion"/>
  </si>
  <si>
    <t>1.利润表中记录的投资收益已发生，且与被审计单位有关，已记录于恰当的账户；2.所有应记录的投资收益均已记录，所有应当包括在财务报表中的相关披露均已包括；</t>
    <phoneticPr fontId="4" type="noConversion"/>
  </si>
  <si>
    <t>3.与投资收益有关的金额及其他数据已恰当记录，相关披露已得到恰当计量和描述</t>
  </si>
  <si>
    <t>一、审计目标</t>
    <phoneticPr fontId="8" type="noConversion"/>
  </si>
  <si>
    <t>页 次：1</t>
    <phoneticPr fontId="4" type="noConversion"/>
  </si>
  <si>
    <t>一、审计目标：</t>
    <phoneticPr fontId="4" type="noConversion"/>
  </si>
  <si>
    <t>3.与投资收益有关的金额及其他数据已恰当记录，相关披露已得到恰当计量和描述</t>
    <phoneticPr fontId="4" type="noConversion"/>
  </si>
  <si>
    <t>支持性文件</t>
    <phoneticPr fontId="8" type="noConversion"/>
  </si>
  <si>
    <r>
      <rPr>
        <b/>
        <sz val="10"/>
        <rFont val="宋体"/>
        <family val="3"/>
        <charset val="134"/>
      </rPr>
      <t>核对内容</t>
    </r>
  </si>
  <si>
    <t>索引号</t>
  </si>
  <si>
    <t>备注说明</t>
    <phoneticPr fontId="8" type="noConversion"/>
  </si>
  <si>
    <t>对方明细科目</t>
    <phoneticPr fontId="8" type="noConversion"/>
  </si>
  <si>
    <t>四、审计说明：</t>
    <phoneticPr fontId="58" type="noConversion"/>
  </si>
  <si>
    <t>五、审计结论：</t>
    <phoneticPr fontId="8"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</si>
  <si>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2"/>
        <charset val="134"/>
      </rPr>
      <t>.有适当的授权批准；</t>
    </r>
    <r>
      <rPr>
        <sz val="10"/>
        <color rgb="FFFF0000"/>
        <rFont val="Arial Narrow"/>
        <family val="2"/>
      </rPr>
      <t>3</t>
    </r>
    <r>
      <rPr>
        <sz val="10"/>
        <color rgb="FFFF0000"/>
        <rFont val="宋体"/>
        <family val="2"/>
        <charset val="134"/>
      </rPr>
      <t>.投资收益金额计算正确；</t>
    </r>
    <r>
      <rPr>
        <sz val="10"/>
        <color rgb="FFFF0000"/>
        <rFont val="Arial Narrow"/>
        <family val="2"/>
      </rPr>
      <t>4.</t>
    </r>
    <r>
      <rPr>
        <sz val="10"/>
        <color rgb="FFFF0000"/>
        <rFont val="宋体"/>
        <family val="2"/>
        <charset val="134"/>
      </rPr>
      <t>会计期间划分恰当；</t>
    </r>
    <r>
      <rPr>
        <sz val="10"/>
        <color rgb="FFFF0000"/>
        <rFont val="Arial Narrow"/>
        <family val="2"/>
      </rPr>
      <t>5</t>
    </r>
    <r>
      <rPr>
        <sz val="10"/>
        <color rgb="FFFF0000"/>
        <rFont val="宋体"/>
        <family val="2"/>
        <charset val="134"/>
      </rPr>
      <t>、会计处理正确；</t>
    </r>
    <r>
      <rPr>
        <sz val="10"/>
        <color rgb="FFFF0000"/>
        <rFont val="Arial Narrow"/>
        <family val="2"/>
      </rPr>
      <t>6.……</t>
    </r>
    <phoneticPr fontId="8" type="noConversion"/>
  </si>
  <si>
    <t>T1</t>
    <phoneticPr fontId="4" type="noConversion"/>
  </si>
  <si>
    <t>三、计划实施的实质性程序</t>
    <phoneticPr fontId="8" type="noConversion"/>
  </si>
  <si>
    <r>
      <t xml:space="preserve">A. </t>
    </r>
    <r>
      <rPr>
        <sz val="10"/>
        <rFont val="宋体"/>
        <family val="3"/>
        <charset val="134"/>
      </rPr>
      <t>利润表中记录的投资收益已发生，且与被审计单位有关，已记录于恰当的账户</t>
    </r>
    <phoneticPr fontId="8" type="noConversion"/>
  </si>
  <si>
    <t>IPO/上市/新三板/重组/舞弊应对</t>
    <phoneticPr fontId="4" type="noConversion"/>
  </si>
  <si>
    <r>
      <rPr>
        <sz val="10"/>
        <color theme="1"/>
        <rFont val="宋体"/>
        <family val="2"/>
        <charset val="134"/>
      </rPr>
      <t>结合相关金融资产、负债的审计审计，关注本期重大投资收益：</t>
    </r>
    <r>
      <rPr>
        <sz val="10"/>
        <color theme="1"/>
        <rFont val="Arial Narrow"/>
        <family val="2"/>
      </rPr>
      <t xml:space="preserve"> 
</t>
    </r>
    <r>
      <rPr>
        <sz val="10"/>
        <color theme="1"/>
        <rFont val="宋体"/>
        <family val="2"/>
        <charset val="134"/>
      </rPr>
      <t>（</t>
    </r>
    <r>
      <rPr>
        <sz val="10"/>
        <color theme="1"/>
        <rFont val="Arial Narrow"/>
        <family val="2"/>
      </rPr>
      <t>1</t>
    </r>
    <r>
      <rPr>
        <sz val="10"/>
        <color theme="1"/>
        <rFont val="宋体"/>
        <family val="2"/>
        <charset val="134"/>
      </rPr>
      <t>）检查与股权投资处置相关的合同、发票及其他文件；
（</t>
    </r>
    <r>
      <rPr>
        <sz val="10"/>
        <color theme="1"/>
        <rFont val="Arial Narrow"/>
        <family val="2"/>
      </rPr>
      <t>2</t>
    </r>
    <r>
      <rPr>
        <sz val="10"/>
        <color theme="1"/>
        <rFont val="宋体"/>
        <family val="2"/>
        <charset val="134"/>
      </rPr>
      <t>）重新计算相关的利得或损失；
（</t>
    </r>
    <r>
      <rPr>
        <sz val="10"/>
        <color theme="1"/>
        <rFont val="Arial Narrow"/>
        <family val="2"/>
      </rPr>
      <t>3</t>
    </r>
    <r>
      <rPr>
        <sz val="10"/>
        <color theme="1"/>
        <rFont val="宋体"/>
        <family val="2"/>
        <charset val="134"/>
      </rPr>
      <t>）确定会计处理是否恰当；
（</t>
    </r>
    <r>
      <rPr>
        <sz val="10"/>
        <color theme="1"/>
        <rFont val="Arial Narrow"/>
        <family val="2"/>
      </rPr>
      <t>4</t>
    </r>
    <r>
      <rPr>
        <sz val="10"/>
        <color theme="1"/>
        <rFont val="宋体"/>
        <family val="2"/>
        <charset val="134"/>
      </rPr>
      <t>）识别期后发生的长期股权投资的减少，检查至支持性文件，确定是否是被记录在恰当的期间内。</t>
    </r>
    <phoneticPr fontId="8" type="noConversion"/>
  </si>
  <si>
    <t>√</t>
    <phoneticPr fontId="8" type="noConversion"/>
  </si>
  <si>
    <t>√</t>
    <phoneticPr fontId="8" type="noConversion"/>
  </si>
  <si>
    <t>√</t>
    <phoneticPr fontId="8" type="noConversion"/>
  </si>
  <si>
    <t>√</t>
    <phoneticPr fontId="8" type="noConversion"/>
  </si>
  <si>
    <t>检查投资收益是否已按企业会计准则或其他适用的规定在财务报表中做出恰当列报和披露。</t>
    <phoneticPr fontId="8" type="noConversion"/>
  </si>
  <si>
    <r>
      <t>A1-1/</t>
    </r>
    <r>
      <rPr>
        <sz val="10"/>
        <color rgb="FFFF0000"/>
        <rFont val="Arial Narrow"/>
        <family val="2"/>
      </rPr>
      <t>A1-15 /A1-16</t>
    </r>
    <phoneticPr fontId="8" type="noConversion"/>
  </si>
  <si>
    <t>G11-1
/G11-2</t>
    <phoneticPr fontId="4" type="noConversion"/>
  </si>
  <si>
    <t>G11-2
/G11-4
/G11-5</t>
    <phoneticPr fontId="8" type="noConversion"/>
  </si>
  <si>
    <t>项目</t>
    <phoneticPr fontId="8" type="noConversion"/>
  </si>
  <si>
    <t>本期数</t>
    <phoneticPr fontId="8" type="noConversion"/>
  </si>
  <si>
    <t>上期数</t>
    <phoneticPr fontId="8" type="noConversion"/>
  </si>
  <si>
    <t>原因分析</t>
    <phoneticPr fontId="4" type="noConversion"/>
  </si>
  <si>
    <t>索引</t>
    <phoneticPr fontId="8" type="noConversion"/>
  </si>
  <si>
    <t>本期未审数</t>
    <phoneticPr fontId="8" type="noConversion"/>
  </si>
  <si>
    <t>账项调整</t>
    <phoneticPr fontId="8" type="noConversion"/>
  </si>
  <si>
    <t>本期审定数</t>
    <phoneticPr fontId="8" type="noConversion"/>
  </si>
  <si>
    <t>上期未审数</t>
    <phoneticPr fontId="8" type="noConversion"/>
  </si>
  <si>
    <t>上期审定数</t>
    <phoneticPr fontId="8" type="noConversion"/>
  </si>
  <si>
    <t>其他</t>
    <phoneticPr fontId="4" type="noConversion"/>
  </si>
  <si>
    <t>丧失控制权后，剩余股权按公允价值重新计量产生的利得</t>
    <phoneticPr fontId="4" type="noConversion"/>
  </si>
  <si>
    <r>
      <t xml:space="preserve">B. </t>
    </r>
    <r>
      <rPr>
        <sz val="10"/>
        <rFont val="宋体"/>
        <family val="3"/>
        <charset val="134"/>
      </rPr>
      <t>所有应记录的投资收益均已记录，所有应当包括在财务报表中的相关披露均已包括</t>
    </r>
    <phoneticPr fontId="8" type="noConversion"/>
  </si>
  <si>
    <r>
      <t xml:space="preserve">C. </t>
    </r>
    <r>
      <rPr>
        <sz val="10"/>
        <rFont val="宋体"/>
        <family val="3"/>
        <charset val="134"/>
      </rPr>
      <t>与投资收益有关的金额及其他数据已恰当记录，相关披露已得到恰当计量和描述</t>
    </r>
    <phoneticPr fontId="8" type="noConversion"/>
  </si>
  <si>
    <r>
      <t xml:space="preserve">D. </t>
    </r>
    <r>
      <rPr>
        <sz val="10"/>
        <rFont val="宋体"/>
        <family val="3"/>
        <charset val="134"/>
      </rPr>
      <t>投资收益已记录于正确的会计期间</t>
    </r>
    <phoneticPr fontId="8" type="noConversion"/>
  </si>
  <si>
    <r>
      <t xml:space="preserve">E. </t>
    </r>
    <r>
      <rPr>
        <sz val="10"/>
        <rFont val="宋体"/>
        <family val="3"/>
        <charset val="134"/>
      </rPr>
      <t>投资收益已被恰当地汇总或分解且表述清楚，相关披露在按照企业会计准则的编制基础下是相关的、可理解的</t>
    </r>
    <phoneticPr fontId="8" type="noConversion"/>
  </si>
  <si>
    <r>
      <rPr>
        <sz val="10"/>
        <rFont val="宋体"/>
        <family val="3"/>
        <charset val="134"/>
      </rPr>
      <t>会计期间：</t>
    </r>
    <r>
      <rPr>
        <sz val="10"/>
        <rFont val="Arial Narrow"/>
        <family val="2"/>
      </rPr>
      <t>202X</t>
    </r>
    <r>
      <rPr>
        <sz val="10"/>
        <rFont val="宋体"/>
        <family val="3"/>
        <charset val="134"/>
      </rPr>
      <t>年度</t>
    </r>
    <phoneticPr fontId="8" type="noConversion"/>
  </si>
  <si>
    <t>关于工作底稿与审计程序索引号对应的说明</t>
    <phoneticPr fontId="8" type="noConversion"/>
  </si>
  <si>
    <r>
      <t>1.</t>
    </r>
    <r>
      <rPr>
        <b/>
        <sz val="12"/>
        <rFont val="宋体"/>
        <family val="3"/>
        <charset val="134"/>
      </rPr>
      <t>编制的审计工作底稿应与审计程序对应。</t>
    </r>
    <r>
      <rPr>
        <sz val="11"/>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8" type="noConversion"/>
  </si>
  <si>
    <r>
      <t>2.</t>
    </r>
    <r>
      <rPr>
        <b/>
        <sz val="12"/>
        <rFont val="宋体"/>
        <family val="3"/>
        <charset val="134"/>
      </rPr>
      <t>获取的支持性证据应与审计底稿或程序对应。</t>
    </r>
    <r>
      <rPr>
        <sz val="11"/>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3"/>
        <charset val="134"/>
        <scheme val="minor"/>
      </rPr>
      <t>、</t>
    </r>
    <r>
      <rPr>
        <sz val="12"/>
        <rFont val="Arial Narrow"/>
        <family val="2"/>
      </rPr>
      <t>D1-2-2</t>
    </r>
    <r>
      <rPr>
        <sz val="11"/>
        <color theme="1"/>
        <rFont val="宋体"/>
        <family val="3"/>
        <charset val="134"/>
        <scheme val="minor"/>
      </rPr>
      <t>、</t>
    </r>
    <r>
      <rPr>
        <sz val="12"/>
        <rFont val="Arial Narrow"/>
        <family val="2"/>
      </rPr>
      <t>……</t>
    </r>
    <r>
      <rPr>
        <sz val="11"/>
        <color theme="1"/>
        <rFont val="宋体"/>
        <family val="3"/>
        <charset val="134"/>
        <scheme val="minor"/>
      </rPr>
      <t>），并在底稿中说明引用的支持性证据、关联索引号。</t>
    </r>
    <phoneticPr fontId="8" type="noConversion"/>
  </si>
  <si>
    <r>
      <rPr>
        <b/>
        <sz val="12"/>
        <rFont val="Arial Narrow"/>
        <family val="2"/>
      </rPr>
      <t>3.</t>
    </r>
    <r>
      <rPr>
        <b/>
        <sz val="12"/>
        <rFont val="宋体"/>
        <family val="3"/>
        <charset val="134"/>
      </rPr>
      <t>工作底稿索引号的编码规则：</t>
    </r>
    <r>
      <rPr>
        <sz val="11"/>
        <color theme="1"/>
        <rFont val="宋体"/>
        <family val="3"/>
        <charset val="134"/>
        <scheme val="minor"/>
      </rPr>
      <t>实质性程序索引号按循环从</t>
    </r>
    <r>
      <rPr>
        <sz val="12"/>
        <rFont val="Arial Narrow"/>
        <family val="2"/>
      </rPr>
      <t>“D”</t>
    </r>
    <r>
      <rPr>
        <sz val="11"/>
        <color theme="1"/>
        <rFont val="宋体"/>
        <family val="3"/>
        <charset val="134"/>
        <scheme val="minor"/>
      </rPr>
      <t>到</t>
    </r>
    <r>
      <rPr>
        <sz val="12"/>
        <rFont val="Arial Narrow"/>
        <family val="2"/>
      </rPr>
      <t>“N”,</t>
    </r>
    <r>
      <rPr>
        <sz val="11"/>
        <color theme="1"/>
        <rFont val="宋体"/>
        <family val="3"/>
        <charset val="134"/>
        <scheme val="minor"/>
      </rPr>
      <t>循环内账户以顺序号排列，模板中底稿索引号按账户顺序</t>
    </r>
    <r>
      <rPr>
        <sz val="12"/>
        <rFont val="Arial Narrow"/>
        <family val="2"/>
      </rPr>
      <t>+</t>
    </r>
    <r>
      <rPr>
        <sz val="11"/>
        <color theme="1"/>
        <rFont val="宋体"/>
        <family val="3"/>
        <charset val="134"/>
        <scheme val="minor"/>
      </rPr>
      <t>自然数顺序（即模板中索引号按二级自然顺序排列，如</t>
    </r>
    <r>
      <rPr>
        <sz val="12"/>
        <rFont val="Arial Narrow"/>
        <family val="2"/>
      </rPr>
      <t>D1-1</t>
    </r>
    <r>
      <rPr>
        <sz val="11"/>
        <color theme="1"/>
        <rFont val="宋体"/>
        <family val="3"/>
        <charset val="134"/>
        <scheme val="minor"/>
      </rPr>
      <t>、</t>
    </r>
    <r>
      <rPr>
        <sz val="12"/>
        <rFont val="Arial Narrow"/>
        <family val="2"/>
      </rPr>
      <t>D1-2</t>
    </r>
    <r>
      <rPr>
        <sz val="11"/>
        <color theme="1"/>
        <rFont val="宋体"/>
        <family val="3"/>
        <charset val="134"/>
        <scheme val="minor"/>
      </rPr>
      <t>、</t>
    </r>
    <r>
      <rPr>
        <sz val="12"/>
        <rFont val="Arial Narrow"/>
        <family val="2"/>
      </rPr>
      <t>D1-3</t>
    </r>
    <r>
      <rPr>
        <sz val="11"/>
        <color theme="1"/>
        <rFont val="宋体"/>
        <family val="3"/>
        <charset val="134"/>
        <scheme val="minor"/>
      </rPr>
      <t>、</t>
    </r>
    <r>
      <rPr>
        <sz val="12"/>
        <rFont val="Arial Narrow"/>
        <family val="2"/>
      </rPr>
      <t>……D1-N</t>
    </r>
    <r>
      <rPr>
        <sz val="11"/>
        <color theme="1"/>
        <rFont val="宋体"/>
        <family val="3"/>
        <charset val="134"/>
        <scheme val="minor"/>
      </rPr>
      <t>）。</t>
    </r>
    <phoneticPr fontId="8" type="noConversion"/>
  </si>
  <si>
    <t>根据被审计单位实际情况和风险评估情况裁剪、修改或增加审计程序</t>
    <phoneticPr fontId="8" type="noConversion"/>
  </si>
  <si>
    <t>审计程序</t>
    <phoneticPr fontId="4" type="noConversion"/>
  </si>
  <si>
    <t>本期发生额</t>
    <phoneticPr fontId="8" type="noConversion"/>
  </si>
  <si>
    <t>检查比例</t>
    <phoneticPr fontId="8" type="noConversion"/>
  </si>
  <si>
    <t>合计</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</si>
</sst>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9">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quot;\&quot;#,##0.00;[Red]&quot;\&quot;&quot;\&quot;\-#,##0.00"/>
    <numFmt numFmtId="206" formatCode="_(&quot;$&quot;* #,##0_);_(&quot;$&quot;* \(#,##0\);_(&quot;$&quot;* &quot;-&quot;_);_(@_)"/>
    <numFmt numFmtId="207" formatCode="_(&quot;$&quot;* #,##0.00_);_(&quot;$&quot;* \(#,##0.00\);_(&quot;$&quot;* &quot;-&quot;??_);_(@_)"/>
    <numFmt numFmtId="208" formatCode="_-* #,##0_-;\-* #,##0_-;_-* &quot;-&quot;??_-;_-@_-"/>
    <numFmt numFmtId="209" formatCode="0.00000000000_);[Red]\(0.00000000000\)"/>
    <numFmt numFmtId="210" formatCode="&quot;\&quot;#,##0;&quot;\&quot;&quot;\&quot;\-#,##0"/>
    <numFmt numFmtId="211" formatCode="0%_);\(0%\)"/>
    <numFmt numFmtId="212" formatCode="\ \ @"/>
    <numFmt numFmtId="213" formatCode="#,##0_);\(#,##0_)"/>
    <numFmt numFmtId="214" formatCode="_-* #,##0_-;\-* #,##0_-;_-* &quot;-&quot;_-;_-@_-"/>
    <numFmt numFmtId="215" formatCode="_-* #,##0.00_-;\-* #,##0.00_-;_-* &quot;-&quot;??_-;_-@_-"/>
    <numFmt numFmtId="216" formatCode="0.0000000"/>
    <numFmt numFmtId="217" formatCode="0.000000"/>
    <numFmt numFmtId="218" formatCode="0.00000000"/>
    <numFmt numFmtId="219" formatCode="_-&quot;$&quot;* #,##0_-;\-&quot;$&quot;* #,##0_-;_-&quot;$&quot;* &quot;-&quot;_-;_-@_-"/>
    <numFmt numFmtId="220" formatCode="_-&quot;$&quot;* #,##0.00_-;\-&quot;$&quot;* #,##0.00_-;_-&quot;$&quot;* &quot;-&quot;??_-;_-@_-"/>
    <numFmt numFmtId="221"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36">
    <font>
      <sz val="11"/>
      <color theme="1"/>
      <name val="宋体"/>
      <family val="2"/>
      <charset val="134"/>
      <scheme val="minor"/>
    </font>
    <font>
      <sz val="11"/>
      <color theme="1"/>
      <name val="宋体"/>
      <family val="2"/>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sz val="10"/>
      <color indexed="12"/>
      <name val="宋体"/>
      <family val="3"/>
      <charset val="134"/>
    </font>
    <font>
      <u/>
      <sz val="12"/>
      <color indexed="12"/>
      <name val="宋体"/>
      <family val="3"/>
      <charset val="134"/>
    </font>
    <font>
      <sz val="12"/>
      <name val="Times New Roman"/>
      <family val="1"/>
    </font>
    <font>
      <sz val="10"/>
      <color indexed="12"/>
      <name val="Arial Narrow"/>
      <family val="2"/>
    </font>
    <font>
      <i/>
      <sz val="10"/>
      <color indexed="12"/>
      <name val="宋体"/>
      <family val="3"/>
      <charset val="134"/>
    </font>
    <font>
      <b/>
      <sz val="10"/>
      <color indexed="12"/>
      <name val="宋体"/>
      <family val="3"/>
      <charset val="134"/>
    </font>
    <font>
      <sz val="10"/>
      <name val="Arial"/>
      <family val="2"/>
    </font>
    <font>
      <sz val="10"/>
      <name val="Times New Roman"/>
      <family val="1"/>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indexed="8"/>
      <name val="宋体"/>
      <family val="3"/>
      <charset val="134"/>
    </font>
    <font>
      <u/>
      <sz val="10"/>
      <color indexed="12"/>
      <name val="宋体"/>
      <family val="3"/>
      <charset val="134"/>
    </font>
    <font>
      <sz val="10"/>
      <color indexed="17"/>
      <name val="Times New Roman"/>
      <family val="1"/>
    </font>
    <font>
      <sz val="11"/>
      <name val="蹈框"/>
      <charset val="134"/>
    </font>
    <font>
      <sz val="11"/>
      <name val="ＭＳ Ｐゴシック"/>
      <family val="2"/>
    </font>
    <font>
      <sz val="12"/>
      <name val="바탕체"/>
      <family val="3"/>
    </font>
    <font>
      <sz val="18"/>
      <color indexed="48"/>
      <name val="魏碑"/>
      <family val="3"/>
      <charset val="134"/>
    </font>
    <font>
      <u/>
      <sz val="11"/>
      <color theme="10"/>
      <name val="宋体"/>
      <family val="3"/>
      <charset val="134"/>
    </font>
    <font>
      <b/>
      <sz val="12"/>
      <color theme="1"/>
      <name val="仿宋_GB2312"/>
      <family val="3"/>
      <charset val="134"/>
    </font>
    <font>
      <b/>
      <sz val="12"/>
      <color rgb="FF000000"/>
      <name val="仿宋_GB2312"/>
      <family val="3"/>
      <charset val="134"/>
    </font>
    <font>
      <sz val="12"/>
      <color theme="1"/>
      <name val="仿宋_GB2312"/>
      <family val="3"/>
      <charset val="134"/>
    </font>
    <font>
      <sz val="12"/>
      <color rgb="FF000000"/>
      <name val="仿宋_GB2312"/>
      <family val="3"/>
      <charset val="134"/>
    </font>
    <font>
      <sz val="12"/>
      <color rgb="FF0000FF"/>
      <name val="仿宋_GB2312"/>
      <family val="3"/>
      <charset val="134"/>
    </font>
    <font>
      <b/>
      <sz val="10"/>
      <color indexed="8"/>
      <name val="Arial Narrow"/>
      <family val="2"/>
    </font>
    <font>
      <b/>
      <sz val="10"/>
      <color indexed="8"/>
      <name val="宋体"/>
      <family val="3"/>
      <charset val="134"/>
    </font>
    <font>
      <sz val="10"/>
      <color rgb="FFFF0000"/>
      <name val="Arial Narrow"/>
      <family val="2"/>
    </font>
    <font>
      <sz val="10"/>
      <color rgb="FFFF0000"/>
      <name val="宋体"/>
      <family val="3"/>
      <charset val="134"/>
    </font>
    <font>
      <i/>
      <sz val="10"/>
      <color indexed="12"/>
      <name val="Arial Narrow"/>
      <family val="2"/>
    </font>
    <font>
      <b/>
      <sz val="10"/>
      <color indexed="12"/>
      <name val="Arial Narrow"/>
      <family val="2"/>
    </font>
    <font>
      <b/>
      <sz val="10"/>
      <color theme="1"/>
      <name val="Arial Narrow"/>
      <family val="2"/>
    </font>
    <font>
      <b/>
      <sz val="10"/>
      <color theme="1"/>
      <name val="宋体"/>
      <family val="3"/>
      <charset val="134"/>
    </font>
    <font>
      <i/>
      <u/>
      <sz val="10"/>
      <color indexed="12"/>
      <name val="Arial Narrow"/>
      <family val="2"/>
    </font>
    <font>
      <sz val="12"/>
      <name val="仿宋_GB2312"/>
      <family val="3"/>
      <charset val="134"/>
    </font>
    <font>
      <sz val="10"/>
      <name val="仿宋_GB2312"/>
      <family val="3"/>
      <charset val="134"/>
    </font>
    <font>
      <sz val="11"/>
      <color theme="1"/>
      <name val="Arial Narrow"/>
      <family val="2"/>
    </font>
    <font>
      <sz val="10.5"/>
      <name val="Arial Narrow"/>
      <family val="2"/>
    </font>
    <font>
      <u/>
      <sz val="12"/>
      <color indexed="12"/>
      <name val="Arial Narrow"/>
      <family val="2"/>
    </font>
    <font>
      <u/>
      <sz val="11"/>
      <color theme="10"/>
      <name val="Arial Narrow"/>
      <family val="2"/>
    </font>
    <font>
      <sz val="10"/>
      <color rgb="FF0000FF"/>
      <name val="宋体"/>
      <family val="2"/>
      <charset val="134"/>
    </font>
    <font>
      <sz val="10"/>
      <color indexed="12"/>
      <name val="Arial Narrow"/>
      <family val="2"/>
      <charset val="134"/>
    </font>
    <font>
      <sz val="11"/>
      <color theme="1"/>
      <name val="宋体"/>
      <family val="2"/>
      <charset val="134"/>
      <scheme val="minor"/>
    </font>
    <font>
      <sz val="10"/>
      <color indexed="10"/>
      <name val="Arial"/>
      <family val="2"/>
    </font>
    <font>
      <sz val="10"/>
      <color theme="1"/>
      <name val="Arial"/>
      <family val="2"/>
    </font>
    <font>
      <sz val="10"/>
      <color theme="1"/>
      <name val="宋体"/>
      <family val="3"/>
      <charset val="134"/>
    </font>
    <font>
      <sz val="9"/>
      <name val="Arial Unicode MS"/>
      <family val="2"/>
      <charset val="134"/>
    </font>
    <font>
      <b/>
      <sz val="10"/>
      <color theme="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color theme="1"/>
      <name val="宋体"/>
      <family val="3"/>
      <charset val="134"/>
      <scheme val="minor"/>
    </font>
    <font>
      <sz val="12"/>
      <color indexed="8"/>
      <name val="宋体"/>
      <family val="3"/>
      <charset val="134"/>
    </font>
    <font>
      <b/>
      <sz val="10"/>
      <color theme="1"/>
      <name val="宋体"/>
      <family val="2"/>
      <charset val="134"/>
    </font>
    <font>
      <sz val="10"/>
      <color theme="1"/>
      <name val="Arial Narrow"/>
      <family val="2"/>
    </font>
    <font>
      <sz val="10"/>
      <color theme="1"/>
      <name val="宋体"/>
      <family val="2"/>
      <charset val="134"/>
    </font>
    <font>
      <sz val="10"/>
      <color rgb="FF000000"/>
      <name val="仿宋_GB2312"/>
      <family val="3"/>
      <charset val="134"/>
    </font>
    <font>
      <sz val="10"/>
      <color theme="1"/>
      <name val="仿宋_GB2312"/>
      <family val="3"/>
      <charset val="134"/>
    </font>
    <font>
      <b/>
      <sz val="10"/>
      <color rgb="FFE92841"/>
      <name val="Arial Narrow"/>
      <family val="2"/>
    </font>
    <font>
      <sz val="10"/>
      <color indexed="8"/>
      <name val="宋体"/>
      <family val="3"/>
      <charset val="134"/>
    </font>
    <font>
      <u/>
      <sz val="10"/>
      <name val="Arial Narrow"/>
      <family val="2"/>
    </font>
    <font>
      <sz val="10"/>
      <color indexed="8"/>
      <name val="Arial Narrow"/>
      <family val="2"/>
    </font>
    <font>
      <sz val="12"/>
      <color rgb="FF0000FF"/>
      <name val="Arial Narrow"/>
      <family val="2"/>
    </font>
    <font>
      <sz val="12"/>
      <color rgb="FFFF0000"/>
      <name val="仿宋_GB2312"/>
      <family val="3"/>
      <charset val="134"/>
    </font>
    <font>
      <sz val="12"/>
      <color rgb="FFFF0000"/>
      <name val="Arial Narrow"/>
      <family val="2"/>
    </font>
    <font>
      <b/>
      <sz val="10.5"/>
      <color rgb="FFFF0000"/>
      <name val="仿宋_GB2312"/>
      <family val="3"/>
      <charset val="134"/>
    </font>
    <font>
      <b/>
      <sz val="10.5"/>
      <color rgb="FFFF0000"/>
      <name val="Arial Narrow"/>
      <family val="2"/>
    </font>
    <font>
      <sz val="10.5"/>
      <color rgb="FFFF0000"/>
      <name val="仿宋_GB2312"/>
      <family val="3"/>
      <charset val="134"/>
    </font>
    <font>
      <sz val="10.5"/>
      <color rgb="FFFF0000"/>
      <name val="Arial Narrow"/>
      <family val="2"/>
    </font>
    <font>
      <b/>
      <sz val="10"/>
      <color rgb="FFFF0000"/>
      <name val="宋体"/>
      <family val="3"/>
      <charset val="134"/>
    </font>
    <font>
      <sz val="10"/>
      <name val="宋体"/>
      <family val="3"/>
      <charset val="134"/>
      <scheme val="minor"/>
    </font>
    <font>
      <sz val="10"/>
      <color rgb="FF0000FF"/>
      <name val="宋体"/>
      <family val="3"/>
      <charset val="134"/>
    </font>
    <font>
      <sz val="12"/>
      <name val="宋体"/>
      <family val="3"/>
      <charset val="134"/>
      <scheme val="minor"/>
    </font>
    <font>
      <b/>
      <sz val="12"/>
      <name val="宋体"/>
      <family val="3"/>
      <charset val="134"/>
      <scheme val="minor"/>
    </font>
    <font>
      <b/>
      <sz val="14"/>
      <name val="宋体"/>
      <family val="3"/>
      <charset val="134"/>
      <scheme val="minor"/>
    </font>
    <font>
      <sz val="14"/>
      <name val="宋体"/>
      <family val="3"/>
      <charset val="134"/>
      <scheme val="minor"/>
    </font>
    <font>
      <sz val="10"/>
      <color rgb="FF0000FF"/>
      <name val="Arial Narrow"/>
      <family val="2"/>
    </font>
    <font>
      <b/>
      <sz val="10"/>
      <color rgb="FF0000FF"/>
      <name val="Arial Narrow"/>
      <family val="2"/>
    </font>
    <font>
      <sz val="10"/>
      <color rgb="FFFF0000"/>
      <name val="宋体"/>
      <family val="2"/>
      <charset val="134"/>
    </font>
    <font>
      <sz val="10"/>
      <color rgb="FFFF0000"/>
      <name val="Arial Narrow"/>
      <family val="3"/>
      <charset val="134"/>
    </font>
    <font>
      <b/>
      <sz val="14"/>
      <name val="宋体"/>
      <family val="3"/>
      <charset val="134"/>
    </font>
    <font>
      <b/>
      <sz val="9"/>
      <color indexed="81"/>
      <name val="宋体"/>
      <family val="3"/>
      <charset val="134"/>
    </font>
    <font>
      <sz val="9"/>
      <color indexed="81"/>
      <name val="宋体"/>
      <family val="3"/>
      <charset val="134"/>
    </font>
  </fonts>
  <fills count="33">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
      <patternFill patternType="solid">
        <fgColor theme="7" tint="0.7999816888943144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E4DFEC"/>
        <bgColor indexed="64"/>
      </patternFill>
    </fill>
    <fill>
      <patternFill patternType="solid">
        <fgColor rgb="FFE4DFEC"/>
        <bgColor rgb="FFB7DEE8"/>
      </patternFill>
    </fill>
  </fills>
  <borders count="31">
    <border>
      <left/>
      <right/>
      <top/>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diagonal/>
    </border>
    <border>
      <left style="hair">
        <color indexed="8"/>
      </left>
      <right style="hair">
        <color indexed="8"/>
      </right>
      <top style="hair">
        <color indexed="8"/>
      </top>
      <bottom/>
      <diagonal/>
    </border>
    <border>
      <left style="hair">
        <color indexed="8"/>
      </left>
      <right style="hair">
        <color indexed="8"/>
      </right>
      <top/>
      <bottom style="hair">
        <color indexed="8"/>
      </bottom>
      <diagonal/>
    </border>
    <border>
      <left/>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hair">
        <color indexed="64"/>
      </top>
      <bottom/>
      <diagonal/>
    </border>
    <border>
      <left/>
      <right/>
      <top/>
      <bottom style="hair">
        <color indexed="64"/>
      </bottom>
      <diagonal/>
    </border>
    <border>
      <left style="hair">
        <color auto="1"/>
      </left>
      <right style="hair">
        <color auto="1"/>
      </right>
      <top style="hair">
        <color auto="1"/>
      </top>
      <bottom style="hair">
        <color auto="1"/>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s>
  <cellStyleXfs count="318">
    <xf numFmtId="203" fontId="0" fillId="0" borderId="0">
      <alignment vertical="center"/>
    </xf>
    <xf numFmtId="43" fontId="2" fillId="0" borderId="0" applyFont="0" applyFill="0" applyBorder="0" applyAlignment="0" applyProtection="0"/>
    <xf numFmtId="9" fontId="2" fillId="0" borderId="0" applyFont="0" applyFill="0" applyBorder="0" applyAlignment="0" applyProtection="0"/>
    <xf numFmtId="203" fontId="2" fillId="0" borderId="0" applyFill="0" applyBorder="0"/>
    <xf numFmtId="203" fontId="2" fillId="0" borderId="0">
      <alignment vertical="center"/>
    </xf>
    <xf numFmtId="203" fontId="13" fillId="0" borderId="0" applyNumberFormat="0" applyFill="0" applyBorder="0" applyAlignment="0" applyProtection="0">
      <alignment vertical="top"/>
      <protection locked="0"/>
    </xf>
    <xf numFmtId="203" fontId="14" fillId="0" borderId="0"/>
    <xf numFmtId="203" fontId="18" fillId="0" borderId="0"/>
    <xf numFmtId="203" fontId="18" fillId="0" borderId="0"/>
    <xf numFmtId="203" fontId="18" fillId="0" borderId="0"/>
    <xf numFmtId="203" fontId="18" fillId="0" borderId="0"/>
    <xf numFmtId="203" fontId="18" fillId="0" borderId="0"/>
    <xf numFmtId="49" fontId="19" fillId="0" borderId="0" applyProtection="0">
      <alignment horizontal="left"/>
    </xf>
    <xf numFmtId="203" fontId="20" fillId="0" borderId="0">
      <alignment vertical="top"/>
      <protection locked="0"/>
    </xf>
    <xf numFmtId="203" fontId="20" fillId="0" borderId="0">
      <alignment vertical="top"/>
      <protection locked="0"/>
    </xf>
    <xf numFmtId="203" fontId="20" fillId="0" borderId="0">
      <alignment vertical="top"/>
      <protection locked="0"/>
    </xf>
    <xf numFmtId="203" fontId="20" fillId="0" borderId="0">
      <alignment vertical="top"/>
    </xf>
    <xf numFmtId="203" fontId="14" fillId="0" borderId="0"/>
    <xf numFmtId="203" fontId="20" fillId="0" borderId="0">
      <alignment vertical="top"/>
    </xf>
    <xf numFmtId="203" fontId="20" fillId="0" borderId="0">
      <alignment vertical="top"/>
      <protection locked="0"/>
    </xf>
    <xf numFmtId="203" fontId="20" fillId="0" borderId="0">
      <alignment vertical="top"/>
    </xf>
    <xf numFmtId="203" fontId="20" fillId="0" borderId="0">
      <alignment vertical="top"/>
    </xf>
    <xf numFmtId="203" fontId="20" fillId="0" borderId="0">
      <alignment vertical="top"/>
      <protection locked="0"/>
    </xf>
    <xf numFmtId="203" fontId="20" fillId="0" borderId="0">
      <alignment vertical="top"/>
      <protection locked="0"/>
    </xf>
    <xf numFmtId="203" fontId="20" fillId="0" borderId="0">
      <alignment vertical="top"/>
      <protection locked="0"/>
    </xf>
    <xf numFmtId="203" fontId="20" fillId="0" borderId="0">
      <alignment vertical="top"/>
    </xf>
    <xf numFmtId="203" fontId="20" fillId="0" borderId="0">
      <alignment vertical="top"/>
    </xf>
    <xf numFmtId="203" fontId="20" fillId="0" borderId="0">
      <alignment vertical="top"/>
      <protection locked="0"/>
    </xf>
    <xf numFmtId="203" fontId="20" fillId="0" borderId="0">
      <alignment vertical="top"/>
    </xf>
    <xf numFmtId="203" fontId="20" fillId="0" borderId="0">
      <alignment vertical="top"/>
    </xf>
    <xf numFmtId="203" fontId="20" fillId="0" borderId="0">
      <alignment vertical="top"/>
    </xf>
    <xf numFmtId="203" fontId="20" fillId="0" borderId="0">
      <alignment vertical="top"/>
      <protection locked="0"/>
    </xf>
    <xf numFmtId="203" fontId="20" fillId="0" borderId="0">
      <alignment vertical="top"/>
    </xf>
    <xf numFmtId="203" fontId="20" fillId="0" borderId="0">
      <alignment vertical="top"/>
      <protection locked="0"/>
    </xf>
    <xf numFmtId="203" fontId="20" fillId="0" borderId="0">
      <alignment vertical="top"/>
      <protection locked="0"/>
    </xf>
    <xf numFmtId="203" fontId="20" fillId="0" borderId="0">
      <alignment vertical="top"/>
      <protection locked="0"/>
    </xf>
    <xf numFmtId="203" fontId="20" fillId="0" borderId="0">
      <alignment vertical="top"/>
    </xf>
    <xf numFmtId="203" fontId="20" fillId="0" borderId="0">
      <alignment vertical="top"/>
    </xf>
    <xf numFmtId="203" fontId="20" fillId="0" borderId="0">
      <alignment vertical="top"/>
    </xf>
    <xf numFmtId="203" fontId="20" fillId="0" borderId="0">
      <alignment vertical="top"/>
    </xf>
    <xf numFmtId="203" fontId="20" fillId="0" borderId="0">
      <alignment vertical="top"/>
      <protection locked="0"/>
    </xf>
    <xf numFmtId="203" fontId="20" fillId="0" borderId="0">
      <alignment vertical="top"/>
      <protection locked="0"/>
    </xf>
    <xf numFmtId="203" fontId="20" fillId="0" borderId="0">
      <alignment vertical="top"/>
    </xf>
    <xf numFmtId="203" fontId="20" fillId="0" borderId="0">
      <alignment vertical="top"/>
      <protection locked="0"/>
    </xf>
    <xf numFmtId="176" fontId="19" fillId="0" borderId="0" applyFill="0" applyBorder="0" applyProtection="0">
      <alignment horizontal="right"/>
    </xf>
    <xf numFmtId="177" fontId="19" fillId="0" borderId="0" applyFill="0" applyBorder="0" applyProtection="0">
      <alignment horizontal="right"/>
    </xf>
    <xf numFmtId="178" fontId="21" fillId="0" borderId="0" applyFill="0" applyBorder="0" applyProtection="0">
      <alignment horizontal="center"/>
    </xf>
    <xf numFmtId="179" fontId="21" fillId="0" borderId="0" applyFill="0" applyBorder="0" applyProtection="0">
      <alignment horizontal="center"/>
    </xf>
    <xf numFmtId="180" fontId="22" fillId="0" borderId="0" applyFill="0" applyBorder="0" applyProtection="0">
      <alignment horizontal="right"/>
    </xf>
    <xf numFmtId="181" fontId="19" fillId="0" borderId="0" applyFill="0" applyBorder="0" applyProtection="0">
      <alignment horizontal="right"/>
    </xf>
    <xf numFmtId="182" fontId="19" fillId="0" borderId="0" applyFill="0" applyBorder="0" applyProtection="0">
      <alignment horizontal="right"/>
    </xf>
    <xf numFmtId="183" fontId="19" fillId="0" borderId="0" applyFill="0" applyBorder="0" applyProtection="0">
      <alignment horizontal="right"/>
    </xf>
    <xf numFmtId="184" fontId="19" fillId="0" borderId="0" applyFill="0" applyBorder="0" applyProtection="0">
      <alignment horizontal="right"/>
    </xf>
    <xf numFmtId="185" fontId="23" fillId="0" borderId="0" applyFont="0" applyFill="0" applyBorder="0" applyAlignment="0" applyProtection="0"/>
    <xf numFmtId="203" fontId="14" fillId="0" borderId="0"/>
    <xf numFmtId="186" fontId="23" fillId="0" borderId="0" applyFont="0" applyFill="0" applyBorder="0" applyAlignment="0" applyProtection="0"/>
    <xf numFmtId="10" fontId="23" fillId="0" borderId="0" applyFont="0" applyFill="0" applyBorder="0" applyAlignment="0" applyProtection="0"/>
    <xf numFmtId="3" fontId="24" fillId="0" borderId="0"/>
    <xf numFmtId="187" fontId="25" fillId="0" borderId="3" applyAlignment="0" applyProtection="0"/>
    <xf numFmtId="188" fontId="20" fillId="0" borderId="0" applyFill="0" applyBorder="0" applyAlignment="0"/>
    <xf numFmtId="189" fontId="18" fillId="0" borderId="0" applyFill="0" applyBorder="0" applyAlignment="0"/>
    <xf numFmtId="190" fontId="18" fillId="0" borderId="0" applyFill="0" applyBorder="0" applyAlignment="0"/>
    <xf numFmtId="191" fontId="18" fillId="0" borderId="0" applyFill="0" applyBorder="0" applyAlignment="0"/>
    <xf numFmtId="192" fontId="18" fillId="0" borderId="0" applyFill="0" applyBorder="0" applyAlignment="0"/>
    <xf numFmtId="193" fontId="18" fillId="0" borderId="0" applyFill="0" applyBorder="0" applyAlignment="0"/>
    <xf numFmtId="194" fontId="18" fillId="0" borderId="0" applyFill="0" applyBorder="0" applyAlignment="0"/>
    <xf numFmtId="189" fontId="18" fillId="0" borderId="0" applyFill="0" applyBorder="0" applyAlignment="0"/>
    <xf numFmtId="203" fontId="26" fillId="0" borderId="0"/>
    <xf numFmtId="203" fontId="27" fillId="0" borderId="4" applyNumberFormat="0" applyFill="0" applyProtection="0">
      <alignment horizontal="center"/>
    </xf>
    <xf numFmtId="203" fontId="28" fillId="0" borderId="5">
      <alignment horizontal="center"/>
    </xf>
    <xf numFmtId="195" fontId="18" fillId="0" borderId="0"/>
    <xf numFmtId="195" fontId="18" fillId="0" borderId="0"/>
    <xf numFmtId="195" fontId="18" fillId="0" borderId="0"/>
    <xf numFmtId="195" fontId="18" fillId="0" borderId="0"/>
    <xf numFmtId="195" fontId="18" fillId="0" borderId="0"/>
    <xf numFmtId="195" fontId="18" fillId="0" borderId="0"/>
    <xf numFmtId="195" fontId="18" fillId="0" borderId="0"/>
    <xf numFmtId="195" fontId="18" fillId="0" borderId="0"/>
    <xf numFmtId="38" fontId="29" fillId="0" borderId="0" applyFont="0" applyFill="0" applyBorder="0" applyAlignment="0" applyProtection="0"/>
    <xf numFmtId="193" fontId="18" fillId="0" borderId="0" applyFont="0" applyFill="0" applyBorder="0" applyAlignment="0" applyProtection="0"/>
    <xf numFmtId="43" fontId="2" fillId="0" borderId="0" applyFont="0" applyFill="0" applyBorder="0" applyAlignment="0" applyProtection="0"/>
    <xf numFmtId="196" fontId="19" fillId="0" borderId="0"/>
    <xf numFmtId="37" fontId="23" fillId="0" borderId="0" applyFont="0" applyFill="0" applyBorder="0" applyAlignment="0" applyProtection="0"/>
    <xf numFmtId="197" fontId="23" fillId="0" borderId="0" applyFont="0" applyFill="0" applyBorder="0" applyAlignment="0" applyProtection="0"/>
    <xf numFmtId="39" fontId="23" fillId="0" borderId="0" applyFont="0" applyFill="0" applyBorder="0" applyAlignment="0" applyProtection="0"/>
    <xf numFmtId="40" fontId="29" fillId="0" borderId="0" applyFont="0" applyFill="0" applyBorder="0" applyAlignment="0" applyProtection="0"/>
    <xf numFmtId="198" fontId="2" fillId="0" borderId="0" applyFont="0" applyFill="0" applyBorder="0" applyAlignment="0" applyProtection="0"/>
    <xf numFmtId="189" fontId="18" fillId="0" borderId="0" applyFont="0" applyFill="0" applyBorder="0" applyAlignment="0" applyProtection="0"/>
    <xf numFmtId="187" fontId="23" fillId="0" borderId="0" applyFont="0" applyFill="0" applyBorder="0" applyAlignment="0" applyProtection="0"/>
    <xf numFmtId="199" fontId="23" fillId="0" borderId="0" applyFont="0" applyFill="0" applyBorder="0" applyAlignment="0" applyProtection="0"/>
    <xf numFmtId="200" fontId="2" fillId="0" borderId="0" applyFont="0" applyFill="0" applyBorder="0" applyAlignment="0" applyProtection="0"/>
    <xf numFmtId="201" fontId="19" fillId="0" borderId="0"/>
    <xf numFmtId="14" fontId="20" fillId="0" borderId="0" applyFill="0" applyBorder="0" applyAlignment="0"/>
    <xf numFmtId="41" fontId="18" fillId="0" borderId="0" applyFont="0" applyFill="0" applyBorder="0" applyAlignment="0" applyProtection="0"/>
    <xf numFmtId="43" fontId="18" fillId="0" borderId="0" applyFont="0" applyFill="0" applyBorder="0" applyAlignment="0" applyProtection="0"/>
    <xf numFmtId="202" fontId="19" fillId="0" borderId="0"/>
    <xf numFmtId="193" fontId="18" fillId="0" borderId="0" applyFill="0" applyBorder="0" applyAlignment="0"/>
    <xf numFmtId="189" fontId="18" fillId="0" borderId="0" applyFill="0" applyBorder="0" applyAlignment="0"/>
    <xf numFmtId="193" fontId="18" fillId="0" borderId="0" applyFill="0" applyBorder="0" applyAlignment="0"/>
    <xf numFmtId="194" fontId="18" fillId="0" borderId="0" applyFill="0" applyBorder="0" applyAlignment="0"/>
    <xf numFmtId="189" fontId="18" fillId="0" borderId="0" applyFill="0" applyBorder="0" applyAlignment="0"/>
    <xf numFmtId="203" fontId="30" fillId="0" borderId="0">
      <alignment horizontal="left"/>
    </xf>
    <xf numFmtId="203" fontId="31" fillId="2" borderId="6"/>
    <xf numFmtId="203" fontId="19" fillId="0" borderId="0" applyFont="0" applyFill="0" applyBorder="0" applyAlignment="0" applyProtection="0"/>
    <xf numFmtId="203" fontId="32" fillId="0" borderId="0" applyNumberFormat="0" applyFill="0" applyBorder="0" applyAlignment="0" applyProtection="0">
      <alignment vertical="top"/>
      <protection locked="0"/>
    </xf>
    <xf numFmtId="38" fontId="31" fillId="3" borderId="0" applyNumberFormat="0" applyBorder="0" applyAlignment="0" applyProtection="0"/>
    <xf numFmtId="203" fontId="33" fillId="0" borderId="0">
      <alignment horizontal="left"/>
    </xf>
    <xf numFmtId="203" fontId="34" fillId="0" borderId="7" applyNumberFormat="0" applyAlignment="0" applyProtection="0">
      <alignment horizontal="left" vertical="center"/>
    </xf>
    <xf numFmtId="203" fontId="34" fillId="0" borderId="8">
      <alignment horizontal="left" vertical="center"/>
    </xf>
    <xf numFmtId="14" fontId="35" fillId="4" borderId="9">
      <alignment horizontal="center" vertical="center" wrapText="1"/>
    </xf>
    <xf numFmtId="203" fontId="36" fillId="0" borderId="0" applyNumberFormat="0" applyFill="0" applyBorder="0" applyAlignment="0" applyProtection="0">
      <alignment vertical="top"/>
      <protection locked="0"/>
    </xf>
    <xf numFmtId="10" fontId="31" fillId="5" borderId="6" applyNumberFormat="0" applyBorder="0" applyAlignment="0" applyProtection="0"/>
    <xf numFmtId="203" fontId="19" fillId="0" borderId="0" applyNumberFormat="0" applyFont="0" applyFill="0" applyBorder="0" applyProtection="0">
      <alignment horizontal="left" vertical="center"/>
    </xf>
    <xf numFmtId="193" fontId="18" fillId="0" borderId="0" applyFill="0" applyBorder="0" applyAlignment="0"/>
    <xf numFmtId="189" fontId="18" fillId="0" borderId="0" applyFill="0" applyBorder="0" applyAlignment="0"/>
    <xf numFmtId="193" fontId="18" fillId="0" borderId="0" applyFill="0" applyBorder="0" applyAlignment="0"/>
    <xf numFmtId="194" fontId="18" fillId="0" borderId="0" applyFill="0" applyBorder="0" applyAlignment="0"/>
    <xf numFmtId="189" fontId="18" fillId="0" borderId="0" applyFill="0" applyBorder="0" applyAlignment="0"/>
    <xf numFmtId="41" fontId="18" fillId="0" borderId="0" applyFont="0" applyFill="0" applyBorder="0" applyAlignment="0" applyProtection="0"/>
    <xf numFmtId="43" fontId="18" fillId="0" borderId="0" applyFont="0" applyFill="0" applyBorder="0" applyAlignment="0" applyProtection="0"/>
    <xf numFmtId="204" fontId="2" fillId="0" borderId="0" applyFont="0" applyFill="0" applyBorder="0" applyAlignment="0" applyProtection="0"/>
    <xf numFmtId="205" fontId="2" fillId="0" borderId="0" applyFont="0" applyFill="0" applyBorder="0" applyAlignment="0" applyProtection="0"/>
    <xf numFmtId="203" fontId="37" fillId="0" borderId="9"/>
    <xf numFmtId="206" fontId="18" fillId="0" borderId="0" applyFont="0" applyFill="0" applyBorder="0" applyAlignment="0" applyProtection="0"/>
    <xf numFmtId="207" fontId="18" fillId="0" borderId="0" applyFont="0" applyFill="0" applyBorder="0" applyAlignment="0" applyProtection="0"/>
    <xf numFmtId="208" fontId="18" fillId="0" borderId="0" applyFont="0" applyFill="0" applyBorder="0" applyAlignment="0" applyProtection="0"/>
    <xf numFmtId="209" fontId="2" fillId="0" borderId="0" applyFont="0" applyFill="0" applyBorder="0" applyAlignment="0" applyProtection="0"/>
    <xf numFmtId="37" fontId="38" fillId="0" borderId="0"/>
    <xf numFmtId="203" fontId="39" fillId="0" borderId="0"/>
    <xf numFmtId="210" fontId="2" fillId="0" borderId="0"/>
    <xf numFmtId="203" fontId="2" fillId="0" borderId="0"/>
    <xf numFmtId="203" fontId="29" fillId="0" borderId="0"/>
    <xf numFmtId="203" fontId="40" fillId="0" borderId="0"/>
    <xf numFmtId="211" fontId="18" fillId="0" borderId="0" applyFont="0" applyFill="0" applyBorder="0" applyAlignment="0" applyProtection="0"/>
    <xf numFmtId="192" fontId="18" fillId="0" borderId="0" applyFont="0" applyFill="0" applyBorder="0" applyAlignment="0" applyProtection="0"/>
    <xf numFmtId="185" fontId="18" fillId="0" borderId="0" applyFont="0" applyFill="0" applyBorder="0" applyAlignment="0" applyProtection="0"/>
    <xf numFmtId="10" fontId="18" fillId="0" borderId="0" applyFont="0" applyFill="0" applyBorder="0" applyAlignment="0" applyProtection="0"/>
    <xf numFmtId="203" fontId="31" fillId="3" borderId="6"/>
    <xf numFmtId="193" fontId="18" fillId="0" borderId="0" applyFill="0" applyBorder="0" applyAlignment="0"/>
    <xf numFmtId="189" fontId="18" fillId="0" borderId="0" applyFill="0" applyBorder="0" applyAlignment="0"/>
    <xf numFmtId="193" fontId="18" fillId="0" borderId="0" applyFill="0" applyBorder="0" applyAlignment="0"/>
    <xf numFmtId="194" fontId="18" fillId="0" borderId="0" applyFill="0" applyBorder="0" applyAlignment="0"/>
    <xf numFmtId="189" fontId="18" fillId="0" borderId="0" applyFill="0" applyBorder="0" applyAlignment="0"/>
    <xf numFmtId="4" fontId="30" fillId="0" borderId="0">
      <alignment horizontal="right"/>
    </xf>
    <xf numFmtId="3" fontId="41" fillId="0" borderId="0"/>
    <xf numFmtId="4" fontId="42" fillId="0" borderId="0">
      <alignment horizontal="right"/>
    </xf>
    <xf numFmtId="203" fontId="43" fillId="0" borderId="0">
      <alignment horizontal="left"/>
    </xf>
    <xf numFmtId="43" fontId="31" fillId="0" borderId="10"/>
    <xf numFmtId="203" fontId="44" fillId="0" borderId="6">
      <alignment horizontal="center"/>
    </xf>
    <xf numFmtId="203" fontId="44" fillId="0" borderId="0">
      <alignment horizontal="center" vertical="center"/>
    </xf>
    <xf numFmtId="203" fontId="45" fillId="6" borderId="0" applyNumberFormat="0" applyFill="0">
      <alignment horizontal="left" vertical="center"/>
    </xf>
    <xf numFmtId="203" fontId="37" fillId="0" borderId="0"/>
    <xf numFmtId="49" fontId="20" fillId="0" borderId="0" applyFill="0" applyBorder="0" applyAlignment="0"/>
    <xf numFmtId="212" fontId="20" fillId="0" borderId="0" applyFill="0" applyBorder="0" applyAlignment="0"/>
    <xf numFmtId="213" fontId="18" fillId="0" borderId="0" applyFill="0" applyBorder="0" applyAlignment="0"/>
    <xf numFmtId="203" fontId="46" fillId="0" borderId="0" applyFill="0" applyBorder="0" applyProtection="0">
      <alignment horizontal="left" vertical="top"/>
    </xf>
    <xf numFmtId="203" fontId="47" fillId="0" borderId="0">
      <alignment horizontal="center"/>
    </xf>
    <xf numFmtId="203" fontId="48" fillId="0" borderId="0" applyNumberFormat="0" applyFont="0" applyFill="0" applyBorder="0" applyProtection="0">
      <alignment horizontal="center" vertical="center" wrapText="1"/>
    </xf>
    <xf numFmtId="9" fontId="49" fillId="0" borderId="0" applyFont="0" applyFill="0" applyBorder="0" applyAlignment="0" applyProtection="0"/>
    <xf numFmtId="203" fontId="14" fillId="0" borderId="0"/>
    <xf numFmtId="203" fontId="18" fillId="0" borderId="0"/>
    <xf numFmtId="214" fontId="14" fillId="0" borderId="0" applyFont="0" applyFill="0" applyBorder="0" applyAlignment="0" applyProtection="0"/>
    <xf numFmtId="215" fontId="14" fillId="0" borderId="0" applyFont="0" applyFill="0" applyBorder="0" applyAlignment="0" applyProtection="0"/>
    <xf numFmtId="41" fontId="18" fillId="0" borderId="0" applyFont="0" applyFill="0" applyBorder="0" applyAlignment="0" applyProtection="0"/>
    <xf numFmtId="43" fontId="18"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xf numFmtId="4" fontId="50" fillId="0" borderId="0">
      <alignment horizontal="right"/>
    </xf>
    <xf numFmtId="203" fontId="51" fillId="7" borderId="0" applyNumberFormat="0" applyBorder="0" applyAlignment="0" applyProtection="0">
      <alignment vertical="center"/>
    </xf>
    <xf numFmtId="203" fontId="2" fillId="0" borderId="0">
      <protection locked="0"/>
    </xf>
    <xf numFmtId="203" fontId="2" fillId="0" borderId="0">
      <alignment vertical="center"/>
      <protection locked="0"/>
    </xf>
    <xf numFmtId="203" fontId="2" fillId="0" borderId="0">
      <protection locked="0"/>
    </xf>
    <xf numFmtId="203" fontId="52" fillId="0" borderId="0">
      <alignment vertical="center"/>
    </xf>
    <xf numFmtId="203" fontId="53" fillId="0" borderId="0" applyNumberFormat="0" applyFill="0" applyBorder="0" applyAlignment="0" applyProtection="0">
      <alignment vertical="top"/>
      <protection locked="0"/>
    </xf>
    <xf numFmtId="203" fontId="13" fillId="0" borderId="0" applyNumberFormat="0" applyFill="0" applyBorder="0" applyAlignment="0" applyProtection="0">
      <alignment vertical="top"/>
      <protection locked="0"/>
    </xf>
    <xf numFmtId="203" fontId="25" fillId="0" borderId="0" applyNumberFormat="0" applyFill="0" applyBorder="0" applyAlignment="0" applyProtection="0"/>
    <xf numFmtId="203" fontId="54" fillId="8" borderId="0" applyNumberFormat="0" applyBorder="0" applyAlignment="0" applyProtection="0">
      <alignment vertical="center"/>
    </xf>
    <xf numFmtId="4" fontId="48" fillId="0" borderId="0" applyFont="0" applyFill="0" applyBorder="0" applyAlignment="0" applyProtection="0"/>
    <xf numFmtId="41" fontId="18" fillId="0" borderId="0" applyFont="0" applyFill="0" applyBorder="0" applyAlignment="0" applyProtection="0"/>
    <xf numFmtId="216" fontId="14" fillId="0" borderId="0" applyFont="0" applyFill="0" applyBorder="0" applyAlignment="0" applyProtection="0"/>
    <xf numFmtId="8" fontId="2" fillId="0" borderId="0" applyFont="0" applyFill="0" applyBorder="0" applyAlignment="0" applyProtection="0"/>
    <xf numFmtId="217" fontId="14" fillId="0" borderId="0" applyFont="0" applyFill="0" applyBorder="0" applyAlignment="0" applyProtection="0"/>
    <xf numFmtId="218" fontId="14" fillId="0" borderId="0" applyFont="0" applyFill="0" applyBorder="0" applyAlignment="0" applyProtection="0"/>
    <xf numFmtId="219" fontId="14" fillId="0" borderId="0" applyFont="0" applyFill="0" applyBorder="0" applyAlignment="0" applyProtection="0"/>
    <xf numFmtId="220" fontId="14" fillId="0" borderId="0" applyFont="0" applyFill="0" applyBorder="0" applyAlignment="0" applyProtection="0"/>
    <xf numFmtId="203" fontId="19" fillId="0" borderId="0"/>
    <xf numFmtId="41" fontId="19" fillId="0" borderId="0" applyFont="0" applyFill="0" applyBorder="0" applyAlignment="0" applyProtection="0"/>
    <xf numFmtId="43" fontId="19" fillId="0" borderId="0" applyFont="0" applyFill="0" applyBorder="0" applyAlignment="0" applyProtection="0"/>
    <xf numFmtId="41" fontId="14"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alignment vertical="center"/>
    </xf>
    <xf numFmtId="203" fontId="55" fillId="0" borderId="0"/>
    <xf numFmtId="207" fontId="18" fillId="0" borderId="0" applyFont="0" applyFill="0" applyBorder="0" applyAlignment="0" applyProtection="0"/>
    <xf numFmtId="221" fontId="48" fillId="0" borderId="0" applyFont="0" applyFill="0" applyBorder="0" applyAlignment="0" applyProtection="0"/>
    <xf numFmtId="203" fontId="20" fillId="0" borderId="0">
      <alignment vertical="top"/>
    </xf>
    <xf numFmtId="38" fontId="56" fillId="0" borderId="0" applyFont="0" applyFill="0" applyBorder="0" applyAlignment="0" applyProtection="0"/>
    <xf numFmtId="40" fontId="56" fillId="0" borderId="0" applyFont="0" applyFill="0" applyBorder="0" applyAlignment="0" applyProtection="0"/>
    <xf numFmtId="203" fontId="56" fillId="0" borderId="0" applyFont="0" applyFill="0" applyBorder="0" applyAlignment="0" applyProtection="0"/>
    <xf numFmtId="203" fontId="56" fillId="0" borderId="0" applyFont="0" applyFill="0" applyBorder="0" applyAlignment="0" applyProtection="0"/>
    <xf numFmtId="203" fontId="57" fillId="0" borderId="0"/>
    <xf numFmtId="203" fontId="2" fillId="0" borderId="0">
      <alignment vertical="center"/>
    </xf>
    <xf numFmtId="203" fontId="2" fillId="0" borderId="0">
      <alignment vertical="center"/>
    </xf>
    <xf numFmtId="203" fontId="2" fillId="0" borderId="0"/>
    <xf numFmtId="203" fontId="59" fillId="0" borderId="0" applyNumberFormat="0" applyFill="0" applyBorder="0" applyAlignment="0" applyProtection="0">
      <alignment vertical="top"/>
      <protection locked="0"/>
    </xf>
    <xf numFmtId="203" fontId="18" fillId="0" borderId="0"/>
    <xf numFmtId="203" fontId="18" fillId="0" borderId="0"/>
    <xf numFmtId="43" fontId="2" fillId="0" borderId="0" applyFont="0" applyFill="0" applyBorder="0" applyAlignment="0" applyProtection="0"/>
    <xf numFmtId="203" fontId="2" fillId="0" borderId="0" applyFill="0" applyBorder="0"/>
    <xf numFmtId="203" fontId="2" fillId="0" borderId="0">
      <alignment vertical="center"/>
    </xf>
    <xf numFmtId="203" fontId="2" fillId="0" borderId="0">
      <alignment vertical="center"/>
      <protection locked="0"/>
    </xf>
    <xf numFmtId="203" fontId="2" fillId="0" borderId="0">
      <alignment vertical="center"/>
    </xf>
    <xf numFmtId="0" fontId="2" fillId="0" borderId="0">
      <protection locked="0"/>
    </xf>
    <xf numFmtId="203" fontId="88" fillId="11" borderId="0" applyNumberFormat="0" applyBorder="0" applyAlignment="0" applyProtection="0"/>
    <xf numFmtId="203" fontId="88" fillId="7" borderId="0" applyNumberFormat="0" applyBorder="0" applyAlignment="0" applyProtection="0"/>
    <xf numFmtId="203" fontId="88" fillId="8" borderId="0" applyNumberFormat="0" applyBorder="0" applyAlignment="0" applyProtection="0"/>
    <xf numFmtId="203" fontId="88" fillId="12" borderId="0" applyNumberFormat="0" applyBorder="0" applyAlignment="0" applyProtection="0"/>
    <xf numFmtId="203" fontId="88" fillId="13" borderId="0" applyNumberFormat="0" applyBorder="0" applyAlignment="0" applyProtection="0"/>
    <xf numFmtId="203" fontId="88" fillId="14" borderId="0" applyNumberFormat="0" applyBorder="0" applyAlignment="0" applyProtection="0"/>
    <xf numFmtId="203" fontId="88" fillId="15" borderId="0" applyNumberFormat="0" applyBorder="0" applyAlignment="0" applyProtection="0"/>
    <xf numFmtId="203" fontId="88" fillId="16" borderId="0" applyNumberFormat="0" applyBorder="0" applyAlignment="0" applyProtection="0"/>
    <xf numFmtId="203" fontId="88" fillId="17" borderId="0" applyNumberFormat="0" applyBorder="0" applyAlignment="0" applyProtection="0"/>
    <xf numFmtId="203" fontId="88" fillId="12" borderId="0" applyNumberFormat="0" applyBorder="0" applyAlignment="0" applyProtection="0"/>
    <xf numFmtId="203" fontId="88" fillId="15" borderId="0" applyNumberFormat="0" applyBorder="0" applyAlignment="0" applyProtection="0"/>
    <xf numFmtId="203" fontId="88" fillId="18" borderId="0" applyNumberFormat="0" applyBorder="0" applyAlignment="0" applyProtection="0"/>
    <xf numFmtId="203" fontId="89" fillId="19" borderId="0" applyNumberFormat="0" applyBorder="0" applyAlignment="0" applyProtection="0"/>
    <xf numFmtId="203" fontId="89" fillId="16" borderId="0" applyNumberFormat="0" applyBorder="0" applyAlignment="0" applyProtection="0"/>
    <xf numFmtId="203" fontId="89" fillId="17" borderId="0" applyNumberFormat="0" applyBorder="0" applyAlignment="0" applyProtection="0"/>
    <xf numFmtId="203" fontId="89" fillId="20" borderId="0" applyNumberFormat="0" applyBorder="0" applyAlignment="0" applyProtection="0"/>
    <xf numFmtId="203" fontId="89" fillId="21" borderId="0" applyNumberFormat="0" applyBorder="0" applyAlignment="0" applyProtection="0"/>
    <xf numFmtId="203" fontId="89" fillId="22" borderId="0" applyNumberFormat="0" applyBorder="0" applyAlignment="0" applyProtection="0"/>
    <xf numFmtId="203" fontId="89" fillId="23" borderId="0" applyNumberFormat="0" applyBorder="0" applyAlignment="0" applyProtection="0"/>
    <xf numFmtId="203" fontId="89" fillId="24" borderId="0" applyNumberFormat="0" applyBorder="0" applyAlignment="0" applyProtection="0"/>
    <xf numFmtId="203" fontId="89" fillId="25" borderId="0" applyNumberFormat="0" applyBorder="0" applyAlignment="0" applyProtection="0"/>
    <xf numFmtId="203" fontId="89" fillId="20" borderId="0" applyNumberFormat="0" applyBorder="0" applyAlignment="0" applyProtection="0"/>
    <xf numFmtId="203" fontId="89" fillId="21" borderId="0" applyNumberFormat="0" applyBorder="0" applyAlignment="0" applyProtection="0"/>
    <xf numFmtId="203" fontId="89" fillId="26" borderId="0" applyNumberFormat="0" applyBorder="0" applyAlignment="0" applyProtection="0"/>
    <xf numFmtId="203" fontId="90" fillId="7" borderId="0" applyNumberFormat="0" applyBorder="0" applyAlignment="0" applyProtection="0"/>
    <xf numFmtId="203" fontId="91" fillId="27" borderId="17" applyNumberFormat="0" applyAlignment="0" applyProtection="0"/>
    <xf numFmtId="203" fontId="92" fillId="28" borderId="18" applyNumberFormat="0" applyAlignment="0" applyProtection="0"/>
    <xf numFmtId="203" fontId="93" fillId="0" borderId="0" applyNumberFormat="0" applyFill="0" applyBorder="0" applyAlignment="0" applyProtection="0"/>
    <xf numFmtId="203" fontId="94" fillId="8" borderId="0" applyNumberFormat="0" applyBorder="0" applyAlignment="0" applyProtection="0"/>
    <xf numFmtId="203" fontId="95" fillId="0" borderId="19" applyNumberFormat="0" applyFill="0" applyAlignment="0" applyProtection="0"/>
    <xf numFmtId="203" fontId="96" fillId="0" borderId="20" applyNumberFormat="0" applyFill="0" applyAlignment="0" applyProtection="0"/>
    <xf numFmtId="203" fontId="97" fillId="0" borderId="21" applyNumberFormat="0" applyFill="0" applyAlignment="0" applyProtection="0"/>
    <xf numFmtId="203" fontId="97" fillId="0" borderId="0" applyNumberFormat="0" applyFill="0" applyBorder="0" applyAlignment="0" applyProtection="0"/>
    <xf numFmtId="203" fontId="98" fillId="14" borderId="17" applyNumberFormat="0" applyAlignment="0" applyProtection="0"/>
    <xf numFmtId="203" fontId="99" fillId="0" borderId="22" applyNumberFormat="0" applyFill="0" applyAlignment="0" applyProtection="0"/>
    <xf numFmtId="203" fontId="100" fillId="29" borderId="0" applyNumberFormat="0" applyBorder="0" applyAlignment="0" applyProtection="0"/>
    <xf numFmtId="0" fontId="18" fillId="0" borderId="0"/>
    <xf numFmtId="0" fontId="18" fillId="0" borderId="0"/>
    <xf numFmtId="0" fontId="2" fillId="0" borderId="0">
      <alignment vertical="center"/>
    </xf>
    <xf numFmtId="203" fontId="18" fillId="30" borderId="23" applyNumberFormat="0" applyFont="0" applyAlignment="0" applyProtection="0"/>
    <xf numFmtId="203" fontId="101" fillId="27" borderId="24" applyNumberFormat="0" applyAlignment="0" applyProtection="0"/>
    <xf numFmtId="203" fontId="102" fillId="0" borderId="25" applyNumberFormat="0" applyFill="0" applyAlignment="0" applyProtection="0"/>
    <xf numFmtId="203" fontId="103" fillId="0" borderId="0" applyNumberFormat="0" applyFill="0" applyBorder="0" applyAlignment="0" applyProtection="0"/>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2" fillId="0" borderId="0">
      <alignment vertical="center"/>
    </xf>
    <xf numFmtId="0" fontId="2" fillId="0" borderId="0">
      <alignment vertical="center"/>
    </xf>
    <xf numFmtId="0" fontId="2"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5" fillId="0" borderId="0" applyNumberFormat="0" applyBorder="0" applyAlignment="0">
      <alignment vertical="center"/>
      <protection locked="0"/>
    </xf>
    <xf numFmtId="203" fontId="2" fillId="0" borderId="0">
      <protection locked="0"/>
    </xf>
    <xf numFmtId="0" fontId="2" fillId="0" borderId="0">
      <protection locked="0"/>
    </xf>
    <xf numFmtId="0" fontId="2" fillId="0" borderId="0">
      <alignment vertical="center"/>
    </xf>
    <xf numFmtId="0" fontId="2" fillId="0" borderId="0">
      <alignment vertical="center"/>
    </xf>
    <xf numFmtId="0" fontId="2" fillId="0" borderId="0">
      <alignment vertical="center"/>
    </xf>
    <xf numFmtId="0" fontId="52" fillId="0" borderId="0" applyNumberFormat="0" applyBorder="0" applyProtection="0">
      <alignment vertical="center"/>
    </xf>
    <xf numFmtId="0" fontId="2" fillId="0" borderId="0">
      <protection locked="0"/>
    </xf>
    <xf numFmtId="0" fontId="2" fillId="0" borderId="0">
      <alignment vertical="center"/>
    </xf>
    <xf numFmtId="0" fontId="18" fillId="0" borderId="0"/>
    <xf numFmtId="0" fontId="2" fillId="0" borderId="0">
      <alignment vertical="center"/>
    </xf>
    <xf numFmtId="203" fontId="82" fillId="0" borderId="0">
      <alignment vertical="center"/>
    </xf>
    <xf numFmtId="0" fontId="2" fillId="0" borderId="0">
      <alignment vertical="center"/>
    </xf>
    <xf numFmtId="0" fontId="2" fillId="0" borderId="0">
      <alignment vertical="center"/>
    </xf>
    <xf numFmtId="0" fontId="104" fillId="0" borderId="0">
      <alignment vertical="center"/>
    </xf>
    <xf numFmtId="0" fontId="104" fillId="0" borderId="0">
      <alignment vertical="center"/>
    </xf>
    <xf numFmtId="0" fontId="104" fillId="0" borderId="0">
      <alignment vertical="center"/>
    </xf>
    <xf numFmtId="0" fontId="2" fillId="0" borderId="0"/>
    <xf numFmtId="0" fontId="105" fillId="0" borderId="0" applyNumberFormat="0" applyBorder="0" applyAlignment="0" applyProtection="0">
      <alignment vertical="center"/>
    </xf>
    <xf numFmtId="0" fontId="104" fillId="0" borderId="0">
      <alignment vertical="center"/>
    </xf>
    <xf numFmtId="0" fontId="82"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203" fontId="13" fillId="0" borderId="0" applyNumberFormat="0" applyFill="0" applyBorder="0" applyAlignment="0" applyProtection="0">
      <alignment vertical="top"/>
      <protection locked="0"/>
    </xf>
    <xf numFmtId="0" fontId="2" fillId="0" borderId="0" applyFill="0" applyBorder="0"/>
    <xf numFmtId="0" fontId="2" fillId="0" borderId="0">
      <protection locked="0"/>
    </xf>
    <xf numFmtId="203" fontId="2" fillId="0" borderId="0"/>
    <xf numFmtId="0" fontId="13" fillId="0" borderId="0" applyNumberFormat="0" applyFill="0" applyBorder="0" applyAlignment="0" applyProtection="0">
      <alignment vertical="top"/>
      <protection locked="0"/>
    </xf>
    <xf numFmtId="0" fontId="14" fillId="0" borderId="0"/>
    <xf numFmtId="9" fontId="2" fillId="0" borderId="0" applyFont="0" applyFill="0" applyBorder="0" applyAlignment="0" applyProtection="0"/>
    <xf numFmtId="43" fontId="2" fillId="0" borderId="0" applyFont="0" applyFill="0" applyBorder="0" applyAlignment="0" applyProtection="0"/>
    <xf numFmtId="0" fontId="2" fillId="0" borderId="0">
      <protection locked="0"/>
    </xf>
    <xf numFmtId="203" fontId="2" fillId="0" borderId="0">
      <alignment vertical="center"/>
      <protection locked="0"/>
    </xf>
    <xf numFmtId="203" fontId="2" fillId="0" borderId="0">
      <protection locked="0"/>
    </xf>
    <xf numFmtId="203" fontId="2" fillId="0" borderId="0"/>
    <xf numFmtId="203" fontId="2" fillId="0" borderId="0">
      <alignment vertical="center"/>
      <protection locked="0"/>
    </xf>
    <xf numFmtId="203" fontId="1" fillId="0" borderId="0"/>
    <xf numFmtId="43" fontId="2" fillId="0" borderId="0" applyFont="0" applyFill="0" applyBorder="0" applyAlignment="0" applyProtection="0">
      <alignment vertical="center"/>
    </xf>
    <xf numFmtId="203" fontId="82" fillId="0" borderId="0">
      <alignment vertical="center"/>
    </xf>
  </cellStyleXfs>
  <cellXfs count="366">
    <xf numFmtId="203" fontId="0" fillId="0" borderId="0" xfId="0">
      <alignment vertical="center"/>
    </xf>
    <xf numFmtId="43" fontId="6" fillId="0" borderId="0" xfId="3" applyNumberFormat="1" applyFont="1" applyBorder="1" applyAlignment="1">
      <alignment vertical="center"/>
    </xf>
    <xf numFmtId="43" fontId="6" fillId="0" borderId="0" xfId="3" applyNumberFormat="1" applyFont="1" applyBorder="1" applyAlignment="1">
      <alignment horizontal="left" vertical="center"/>
    </xf>
    <xf numFmtId="203" fontId="6" fillId="0" borderId="0" xfId="6" applyFont="1" applyAlignment="1">
      <alignment vertical="center"/>
    </xf>
    <xf numFmtId="43" fontId="15" fillId="0" borderId="0" xfId="3" applyNumberFormat="1" applyFont="1" applyBorder="1" applyAlignment="1">
      <alignment vertical="center"/>
    </xf>
    <xf numFmtId="43" fontId="15" fillId="0" borderId="0" xfId="3" applyNumberFormat="1" applyFont="1" applyBorder="1" applyAlignment="1">
      <alignment horizontal="right" vertical="center"/>
    </xf>
    <xf numFmtId="203" fontId="6" fillId="0" borderId="0" xfId="169" applyFont="1" applyAlignment="1">
      <alignment vertical="center"/>
      <protection locked="0"/>
    </xf>
    <xf numFmtId="203" fontId="6" fillId="0" borderId="0" xfId="169" applyFont="1" applyAlignment="1">
      <alignment horizontal="left" vertical="center"/>
      <protection locked="0"/>
    </xf>
    <xf numFmtId="203" fontId="11" fillId="0" borderId="0" xfId="169" applyFont="1" applyAlignment="1">
      <alignment vertical="center"/>
      <protection locked="0"/>
    </xf>
    <xf numFmtId="203" fontId="6" fillId="0" borderId="0" xfId="202" applyFont="1" applyAlignment="1" applyProtection="1">
      <alignment vertical="center"/>
      <protection locked="0"/>
    </xf>
    <xf numFmtId="203" fontId="15" fillId="0" borderId="0" xfId="202" applyFont="1" applyAlignment="1" applyProtection="1">
      <alignment horizontal="center" vertical="center"/>
      <protection hidden="1"/>
    </xf>
    <xf numFmtId="203" fontId="6" fillId="0" borderId="0" xfId="202" applyFont="1" applyAlignment="1" applyProtection="1">
      <alignment horizontal="left" vertical="center"/>
      <protection hidden="1"/>
    </xf>
    <xf numFmtId="203" fontId="15" fillId="0" borderId="0" xfId="202" applyFont="1" applyAlignment="1" applyProtection="1">
      <alignment horizontal="left" vertical="center"/>
      <protection locked="0"/>
    </xf>
    <xf numFmtId="203" fontId="6" fillId="0" borderId="0" xfId="169" applyFont="1" applyAlignment="1">
      <alignment horizontal="center" vertical="center"/>
      <protection locked="0"/>
    </xf>
    <xf numFmtId="203" fontId="5" fillId="0" borderId="0" xfId="169" applyFont="1" applyAlignment="1">
      <alignment vertical="center"/>
      <protection locked="0"/>
    </xf>
    <xf numFmtId="203" fontId="62" fillId="0" borderId="0" xfId="0" applyFont="1" applyAlignment="1">
      <alignment horizontal="left" vertical="center"/>
    </xf>
    <xf numFmtId="203" fontId="60" fillId="0" borderId="7" xfId="0" applyFont="1" applyBorder="1" applyAlignment="1">
      <alignment horizontal="right" vertical="center" wrapText="1"/>
    </xf>
    <xf numFmtId="203" fontId="65" fillId="0" borderId="0" xfId="0" applyFont="1">
      <alignment vertical="center"/>
    </xf>
    <xf numFmtId="203" fontId="6" fillId="0" borderId="0" xfId="204" applyFont="1" applyAlignment="1">
      <alignment vertical="center"/>
    </xf>
    <xf numFmtId="203" fontId="6" fillId="0" borderId="0" xfId="4" applyFont="1">
      <alignment vertical="center"/>
    </xf>
    <xf numFmtId="43" fontId="5" fillId="0" borderId="10" xfId="1" applyFont="1" applyFill="1" applyBorder="1" applyAlignment="1">
      <alignment vertical="center"/>
    </xf>
    <xf numFmtId="203" fontId="3" fillId="0" borderId="0" xfId="169" applyFont="1" applyAlignment="1">
      <alignment vertical="center"/>
      <protection locked="0"/>
    </xf>
    <xf numFmtId="203" fontId="67" fillId="0" borderId="0" xfId="169" applyFont="1" applyAlignment="1">
      <alignment vertical="center"/>
      <protection locked="0"/>
    </xf>
    <xf numFmtId="203" fontId="5" fillId="0" borderId="10" xfId="169" quotePrefix="1" applyFont="1" applyBorder="1" applyAlignment="1">
      <alignment horizontal="center" vertical="center" shrinkToFit="1"/>
      <protection locked="0"/>
    </xf>
    <xf numFmtId="203" fontId="5" fillId="0" borderId="0" xfId="202" applyFont="1" applyAlignment="1">
      <alignment vertical="center"/>
    </xf>
    <xf numFmtId="43" fontId="3" fillId="0" borderId="2" xfId="1" applyFont="1" applyBorder="1" applyAlignment="1">
      <alignment horizontal="center" vertical="center"/>
    </xf>
    <xf numFmtId="43" fontId="73" fillId="0" borderId="0" xfId="5" applyNumberFormat="1" applyFont="1" applyBorder="1" applyAlignment="1" applyProtection="1">
      <alignment horizontal="center" vertical="center"/>
    </xf>
    <xf numFmtId="43" fontId="70" fillId="0" borderId="0" xfId="3" applyNumberFormat="1" applyFont="1" applyBorder="1" applyAlignment="1">
      <alignment vertical="center"/>
    </xf>
    <xf numFmtId="43" fontId="5" fillId="0" borderId="0" xfId="3" applyNumberFormat="1" applyFont="1" applyBorder="1" applyAlignment="1">
      <alignment horizontal="left" vertical="center"/>
    </xf>
    <xf numFmtId="203" fontId="5" fillId="0" borderId="0" xfId="6" applyFont="1" applyAlignment="1">
      <alignment vertical="center"/>
    </xf>
    <xf numFmtId="203" fontId="15" fillId="0" borderId="0" xfId="6" applyFont="1" applyAlignment="1">
      <alignment vertical="center"/>
    </xf>
    <xf numFmtId="203" fontId="3" fillId="10" borderId="10" xfId="169" applyFont="1" applyFill="1" applyBorder="1" applyAlignment="1">
      <alignment horizontal="center" vertical="center" wrapText="1"/>
      <protection locked="0"/>
    </xf>
    <xf numFmtId="203" fontId="74" fillId="0" borderId="0" xfId="169" applyFont="1" applyAlignment="1">
      <alignment vertical="center"/>
      <protection locked="0"/>
    </xf>
    <xf numFmtId="203" fontId="62" fillId="0" borderId="0" xfId="0" applyFont="1">
      <alignment vertical="center"/>
    </xf>
    <xf numFmtId="43" fontId="62" fillId="0" borderId="0" xfId="0" applyNumberFormat="1" applyFont="1" applyAlignment="1">
      <alignment horizontal="right" vertical="center" wrapText="1"/>
    </xf>
    <xf numFmtId="43" fontId="60" fillId="0" borderId="7" xfId="1" applyFont="1" applyBorder="1" applyAlignment="1">
      <alignment horizontal="right" vertical="center" wrapText="1"/>
    </xf>
    <xf numFmtId="203" fontId="75" fillId="0" borderId="0" xfId="169" applyFont="1" applyAlignment="1">
      <alignment vertical="center"/>
      <protection locked="0"/>
    </xf>
    <xf numFmtId="43" fontId="62" fillId="0" borderId="0" xfId="1" applyFont="1" applyAlignment="1">
      <alignment horizontal="right" vertical="center" wrapText="1"/>
    </xf>
    <xf numFmtId="43" fontId="63" fillId="0" borderId="0" xfId="1" applyFont="1" applyAlignment="1">
      <alignment horizontal="right" vertical="center" wrapText="1"/>
    </xf>
    <xf numFmtId="43" fontId="62" fillId="0" borderId="0" xfId="1" applyFont="1" applyBorder="1" applyAlignment="1">
      <alignment horizontal="right" vertical="center" wrapText="1"/>
    </xf>
    <xf numFmtId="14" fontId="6" fillId="0" borderId="0" xfId="169" applyNumberFormat="1" applyFont="1" applyAlignment="1">
      <alignment vertical="center"/>
      <protection locked="0"/>
    </xf>
    <xf numFmtId="203" fontId="6" fillId="0" borderId="0" xfId="205" applyFont="1" applyAlignment="1">
      <alignment vertical="center"/>
    </xf>
    <xf numFmtId="203" fontId="6" fillId="0" borderId="0" xfId="201" applyFont="1">
      <alignment vertical="center"/>
    </xf>
    <xf numFmtId="203" fontId="11" fillId="0" borderId="0" xfId="204" applyFont="1" applyAlignment="1">
      <alignment vertical="center"/>
    </xf>
    <xf numFmtId="203" fontId="5" fillId="0" borderId="0" xfId="169" applyFont="1" applyAlignment="1">
      <alignment horizontal="center" vertical="center"/>
      <protection locked="0"/>
    </xf>
    <xf numFmtId="203" fontId="69" fillId="0" borderId="0" xfId="169" applyFont="1" applyAlignment="1">
      <alignment vertical="center"/>
      <protection locked="0"/>
    </xf>
    <xf numFmtId="203" fontId="15" fillId="0" borderId="0" xfId="169" applyFont="1" applyAlignment="1">
      <alignment vertical="center"/>
      <protection locked="0"/>
    </xf>
    <xf numFmtId="203" fontId="15" fillId="0" borderId="0" xfId="169" applyFont="1">
      <protection locked="0"/>
    </xf>
    <xf numFmtId="203" fontId="70" fillId="0" borderId="0" xfId="169" applyFont="1" applyAlignment="1">
      <alignment horizontal="left"/>
      <protection locked="0"/>
    </xf>
    <xf numFmtId="203" fontId="15" fillId="0" borderId="0" xfId="169" applyFont="1" applyAlignment="1">
      <alignment horizontal="right"/>
      <protection locked="0"/>
    </xf>
    <xf numFmtId="203" fontId="9" fillId="0" borderId="0" xfId="0" applyFont="1" applyProtection="1">
      <alignment vertical="center"/>
      <protection locked="0"/>
    </xf>
    <xf numFmtId="203" fontId="10" fillId="0" borderId="0" xfId="0" applyFont="1" applyProtection="1">
      <alignment vertical="center"/>
      <protection locked="0"/>
    </xf>
    <xf numFmtId="203" fontId="76" fillId="0" borderId="0" xfId="0" applyFont="1" applyProtection="1">
      <alignment vertical="center"/>
      <protection locked="0"/>
    </xf>
    <xf numFmtId="203" fontId="6" fillId="9" borderId="0" xfId="0" applyFont="1" applyFill="1" applyAlignment="1" applyProtection="1">
      <alignment horizontal="justify" vertical="center" wrapText="1"/>
      <protection locked="0"/>
    </xf>
    <xf numFmtId="203" fontId="77" fillId="0" borderId="0" xfId="0" applyFont="1" applyAlignment="1" applyProtection="1">
      <alignment horizontal="justify" wrapText="1"/>
      <protection locked="0"/>
    </xf>
    <xf numFmtId="203" fontId="6" fillId="0" borderId="0" xfId="0" applyFont="1" applyAlignment="1" applyProtection="1">
      <protection locked="0"/>
    </xf>
    <xf numFmtId="203" fontId="10" fillId="0" borderId="0" xfId="0" applyFont="1" applyAlignment="1" applyProtection="1">
      <protection locked="0"/>
    </xf>
    <xf numFmtId="203" fontId="76" fillId="0" borderId="0" xfId="0" applyFont="1" applyAlignment="1" applyProtection="1">
      <protection locked="0"/>
    </xf>
    <xf numFmtId="203" fontId="77" fillId="0" borderId="0" xfId="0" applyFont="1" applyAlignment="1" applyProtection="1">
      <alignment horizontal="justify" vertical="top" wrapText="1"/>
      <protection locked="0"/>
    </xf>
    <xf numFmtId="203" fontId="9" fillId="0" borderId="0" xfId="0" applyFont="1" applyAlignment="1" applyProtection="1">
      <alignment horizontal="justify"/>
      <protection locked="0"/>
    </xf>
    <xf numFmtId="203" fontId="10" fillId="0" borderId="0" xfId="0" applyFont="1" applyAlignment="1" applyProtection="1">
      <alignment horizontal="center"/>
      <protection locked="0"/>
    </xf>
    <xf numFmtId="203" fontId="79" fillId="0" borderId="0" xfId="203" quotePrefix="1" applyFont="1" applyBorder="1" applyAlignment="1">
      <protection locked="0"/>
    </xf>
    <xf numFmtId="203" fontId="78" fillId="0" borderId="0" xfId="174" quotePrefix="1" applyFont="1" applyBorder="1" applyAlignment="1">
      <protection locked="0"/>
    </xf>
    <xf numFmtId="203" fontId="78" fillId="0" borderId="0" xfId="174" quotePrefix="1" applyFont="1" applyAlignment="1">
      <protection locked="0"/>
    </xf>
    <xf numFmtId="203" fontId="10" fillId="0" borderId="0" xfId="0" applyFont="1" applyAlignment="1" applyProtection="1">
      <alignment horizontal="left"/>
      <protection locked="0"/>
    </xf>
    <xf numFmtId="203" fontId="5" fillId="10" borderId="10" xfId="169" applyFont="1" applyFill="1" applyBorder="1" applyAlignment="1">
      <alignment horizontal="center" vertical="center" wrapText="1"/>
      <protection locked="0"/>
    </xf>
    <xf numFmtId="203" fontId="3" fillId="10" borderId="10" xfId="170" applyFont="1" applyFill="1" applyBorder="1" applyAlignment="1">
      <alignment horizontal="center" vertical="center"/>
      <protection locked="0"/>
    </xf>
    <xf numFmtId="43" fontId="12" fillId="0" borderId="0" xfId="3" applyNumberFormat="1" applyFont="1" applyBorder="1" applyAlignment="1">
      <alignment vertical="center"/>
    </xf>
    <xf numFmtId="43" fontId="15" fillId="0" borderId="0" xfId="3" applyNumberFormat="1" applyFont="1" applyBorder="1" applyAlignment="1">
      <alignment horizontal="left" vertical="center" indent="1"/>
    </xf>
    <xf numFmtId="203" fontId="11" fillId="0" borderId="0" xfId="169" applyFont="1" applyAlignment="1">
      <alignment horizontal="center" vertical="center"/>
      <protection locked="0"/>
    </xf>
    <xf numFmtId="43" fontId="81" fillId="0" borderId="0" xfId="3" applyNumberFormat="1" applyFont="1" applyBorder="1" applyAlignment="1">
      <alignment vertical="center"/>
    </xf>
    <xf numFmtId="203" fontId="18" fillId="0" borderId="0" xfId="209" applyFont="1">
      <alignment vertical="center"/>
      <protection locked="0"/>
    </xf>
    <xf numFmtId="203" fontId="18" fillId="0" borderId="0" xfId="210" applyFont="1">
      <alignment vertical="center"/>
    </xf>
    <xf numFmtId="49" fontId="35" fillId="0" borderId="0" xfId="209" applyNumberFormat="1" applyFont="1" applyAlignment="1">
      <alignment horizontal="left" vertical="center"/>
      <protection locked="0"/>
    </xf>
    <xf numFmtId="203" fontId="35" fillId="0" borderId="0" xfId="209" applyFont="1" applyAlignment="1">
      <alignment horizontal="justify" vertical="center"/>
      <protection locked="0"/>
    </xf>
    <xf numFmtId="203" fontId="11" fillId="0" borderId="10" xfId="209" applyFont="1" applyBorder="1" applyAlignment="1">
      <alignment horizontal="center" vertical="center" wrapText="1"/>
      <protection locked="0"/>
    </xf>
    <xf numFmtId="203" fontId="18" fillId="0" borderId="10" xfId="209" applyFont="1" applyBorder="1" applyAlignment="1">
      <alignment horizontal="center" vertical="center" wrapText="1"/>
      <protection locked="0"/>
    </xf>
    <xf numFmtId="203" fontId="83" fillId="0" borderId="10" xfId="209" applyFont="1" applyBorder="1" applyAlignment="1">
      <alignment horizontal="center" vertical="center" wrapText="1"/>
      <protection locked="0"/>
    </xf>
    <xf numFmtId="49" fontId="35" fillId="10" borderId="10" xfId="209" applyNumberFormat="1" applyFont="1" applyFill="1" applyBorder="1" applyAlignment="1">
      <alignment horizontal="left" vertical="center"/>
      <protection locked="0"/>
    </xf>
    <xf numFmtId="203" fontId="35" fillId="10" borderId="10" xfId="209" applyFont="1" applyFill="1" applyBorder="1" applyAlignment="1">
      <alignment horizontal="left" vertical="center" wrapText="1"/>
      <protection locked="0"/>
    </xf>
    <xf numFmtId="203" fontId="84" fillId="10" borderId="10" xfId="209" applyFont="1" applyFill="1" applyBorder="1" applyAlignment="1" applyProtection="1">
      <alignment horizontal="center" vertical="center" wrapText="1"/>
    </xf>
    <xf numFmtId="49" fontId="35" fillId="10" borderId="10" xfId="210" applyNumberFormat="1" applyFont="1" applyFill="1" applyBorder="1" applyAlignment="1">
      <alignment horizontal="left" vertical="center"/>
    </xf>
    <xf numFmtId="203" fontId="3" fillId="10" borderId="10" xfId="209" applyFont="1" applyFill="1" applyBorder="1" applyAlignment="1">
      <alignment horizontal="left" vertical="center" wrapText="1"/>
      <protection locked="0"/>
    </xf>
    <xf numFmtId="49" fontId="35" fillId="0" borderId="10" xfId="210" applyNumberFormat="1" applyFont="1" applyBorder="1" applyAlignment="1">
      <alignment horizontal="left" vertical="center" indent="1"/>
    </xf>
    <xf numFmtId="203" fontId="87" fillId="10" borderId="10" xfId="209" applyFont="1" applyFill="1" applyBorder="1" applyAlignment="1" applyProtection="1">
      <alignment horizontal="center" vertical="center" wrapText="1"/>
    </xf>
    <xf numFmtId="203" fontId="35" fillId="0" borderId="0" xfId="210" applyFont="1">
      <alignment vertical="center"/>
    </xf>
    <xf numFmtId="49" fontId="35" fillId="0" borderId="0" xfId="210" applyNumberFormat="1" applyFont="1" applyAlignment="1">
      <alignment horizontal="left" vertical="center"/>
    </xf>
    <xf numFmtId="49" fontId="35" fillId="0" borderId="10" xfId="201" applyNumberFormat="1" applyFont="1" applyBorder="1" applyAlignment="1">
      <alignment horizontal="left" vertical="center" indent="1"/>
    </xf>
    <xf numFmtId="203" fontId="11" fillId="0" borderId="10" xfId="270" applyFont="1" applyBorder="1" applyAlignment="1">
      <alignment horizontal="left" vertical="center" wrapText="1"/>
      <protection locked="0"/>
    </xf>
    <xf numFmtId="49" fontId="3" fillId="10" borderId="10" xfId="271" applyNumberFormat="1" applyFont="1" applyFill="1" applyBorder="1" applyAlignment="1">
      <alignment vertical="center"/>
      <protection locked="0"/>
    </xf>
    <xf numFmtId="203" fontId="71" fillId="10" borderId="11" xfId="271" applyNumberFormat="1" applyFont="1" applyFill="1" applyBorder="1" applyAlignment="1" applyProtection="1">
      <alignment vertical="center" wrapText="1"/>
    </xf>
    <xf numFmtId="203" fontId="85" fillId="10" borderId="10" xfId="271" applyNumberFormat="1" applyFont="1" applyFill="1" applyBorder="1" applyAlignment="1" applyProtection="1">
      <alignment horizontal="center" vertical="center" wrapText="1"/>
    </xf>
    <xf numFmtId="49" fontId="5" fillId="0" borderId="10" xfId="271" applyNumberFormat="1" applyFont="1" applyBorder="1" applyAlignment="1">
      <alignment horizontal="left" vertical="center" indent="1"/>
      <protection locked="0"/>
    </xf>
    <xf numFmtId="203" fontId="107" fillId="0" borderId="11" xfId="271" applyNumberFormat="1" applyFont="1" applyBorder="1" applyAlignment="1" applyProtection="1">
      <alignment vertical="center" wrapText="1"/>
    </xf>
    <xf numFmtId="203" fontId="85" fillId="0" borderId="10" xfId="271" applyNumberFormat="1" applyFont="1" applyBorder="1" applyAlignment="1" applyProtection="1">
      <alignment horizontal="center" vertical="center" wrapText="1"/>
    </xf>
    <xf numFmtId="203" fontId="108" fillId="0" borderId="11" xfId="271" applyNumberFormat="1" applyFont="1" applyBorder="1" applyAlignment="1" applyProtection="1">
      <alignment vertical="center" wrapText="1"/>
    </xf>
    <xf numFmtId="203" fontId="107" fillId="10" borderId="10" xfId="0" applyFont="1" applyFill="1" applyBorder="1" applyAlignment="1">
      <alignment horizontal="center" vertical="center" wrapText="1"/>
    </xf>
    <xf numFmtId="203" fontId="72" fillId="10" borderId="11" xfId="0" applyFont="1" applyFill="1" applyBorder="1" applyAlignment="1">
      <alignment vertical="center" wrapText="1"/>
    </xf>
    <xf numFmtId="203" fontId="71" fillId="10" borderId="11" xfId="0" applyFont="1" applyFill="1" applyBorder="1" applyAlignment="1">
      <alignment vertical="center" wrapText="1"/>
    </xf>
    <xf numFmtId="203" fontId="63" fillId="0" borderId="0" xfId="0" applyFont="1" applyAlignment="1">
      <alignment horizontal="left" vertical="center"/>
    </xf>
    <xf numFmtId="14" fontId="11" fillId="0" borderId="0" xfId="3" applyNumberFormat="1" applyFont="1" applyBorder="1" applyAlignment="1">
      <alignment vertical="center"/>
    </xf>
    <xf numFmtId="203" fontId="11" fillId="9" borderId="0" xfId="0" applyFont="1" applyFill="1" applyAlignment="1" applyProtection="1">
      <alignment horizontal="justify" vertical="center" wrapText="1"/>
      <protection locked="0"/>
    </xf>
    <xf numFmtId="0" fontId="2" fillId="0" borderId="0" xfId="304">
      <protection locked="0"/>
    </xf>
    <xf numFmtId="0" fontId="66" fillId="10" borderId="10" xfId="304" applyFont="1" applyFill="1" applyBorder="1" applyAlignment="1" applyProtection="1">
      <alignment horizontal="center" vertical="center"/>
    </xf>
    <xf numFmtId="0" fontId="66" fillId="10" borderId="10" xfId="304" applyFont="1" applyFill="1" applyBorder="1" applyAlignment="1" applyProtection="1">
      <alignment horizontal="center" vertical="center" wrapText="1"/>
    </xf>
    <xf numFmtId="203" fontId="3" fillId="10" borderId="10" xfId="305" applyFont="1" applyFill="1" applyBorder="1" applyAlignment="1" applyProtection="1">
      <alignment horizontal="center" vertical="center" wrapText="1"/>
      <protection locked="0"/>
    </xf>
    <xf numFmtId="203" fontId="111" fillId="10" borderId="10" xfId="305" applyFont="1" applyFill="1" applyBorder="1" applyAlignment="1" applyProtection="1">
      <alignment horizontal="center" vertical="center" wrapText="1"/>
      <protection locked="0"/>
    </xf>
    <xf numFmtId="0" fontId="112" fillId="0" borderId="10" xfId="304" applyFont="1" applyBorder="1" applyAlignment="1" applyProtection="1">
      <alignment vertical="center"/>
    </xf>
    <xf numFmtId="0" fontId="11" fillId="0" borderId="10" xfId="304" applyFont="1" applyBorder="1" applyAlignment="1" applyProtection="1">
      <alignment vertical="center"/>
    </xf>
    <xf numFmtId="0" fontId="68" fillId="0" borderId="10" xfId="304" applyFont="1" applyBorder="1" applyAlignment="1" applyProtection="1">
      <alignment horizontal="left" vertical="center" indent="1"/>
    </xf>
    <xf numFmtId="0" fontId="65" fillId="0" borderId="10" xfId="304" applyFont="1" applyBorder="1" applyAlignment="1" applyProtection="1">
      <alignment horizontal="center" vertical="center"/>
    </xf>
    <xf numFmtId="43" fontId="5" fillId="0" borderId="26" xfId="303" applyNumberFormat="1" applyFont="1" applyBorder="1" applyAlignment="1">
      <alignment horizontal="left" vertical="center"/>
    </xf>
    <xf numFmtId="43" fontId="6" fillId="0" borderId="26" xfId="303" applyNumberFormat="1" applyFont="1" applyBorder="1" applyAlignment="1">
      <alignment horizontal="left" vertical="center"/>
    </xf>
    <xf numFmtId="43" fontId="73" fillId="0" borderId="26" xfId="306" applyNumberFormat="1" applyFont="1" applyBorder="1" applyAlignment="1" applyProtection="1">
      <alignment horizontal="center" vertical="center"/>
    </xf>
    <xf numFmtId="0" fontId="5" fillId="0" borderId="0" xfId="307" applyFont="1" applyAlignment="1">
      <alignment vertical="center"/>
    </xf>
    <xf numFmtId="0" fontId="6" fillId="0" borderId="0" xfId="307" applyFont="1" applyAlignment="1">
      <alignment vertical="center"/>
    </xf>
    <xf numFmtId="9" fontId="113" fillId="0" borderId="0" xfId="308" applyFont="1" applyBorder="1" applyAlignment="1">
      <alignment horizontal="left" vertical="center"/>
    </xf>
    <xf numFmtId="0" fontId="6" fillId="0" borderId="0" xfId="307" applyFont="1" applyAlignment="1">
      <alignment horizontal="left" vertical="center"/>
    </xf>
    <xf numFmtId="10" fontId="113" fillId="0" borderId="0" xfId="308" applyNumberFormat="1" applyFont="1" applyBorder="1" applyAlignment="1">
      <alignment horizontal="left" vertical="center"/>
    </xf>
    <xf numFmtId="203" fontId="63" fillId="0" borderId="0" xfId="0" applyFont="1" applyAlignment="1">
      <alignment horizontal="left" vertical="center" wrapText="1"/>
    </xf>
    <xf numFmtId="43" fontId="3" fillId="0" borderId="0" xfId="303" applyNumberFormat="1" applyFont="1" applyFill="1" applyBorder="1" applyAlignment="1">
      <alignment vertical="center"/>
    </xf>
    <xf numFmtId="0" fontId="6" fillId="0" borderId="26" xfId="307" applyFont="1" applyBorder="1" applyAlignment="1">
      <alignment vertical="center"/>
    </xf>
    <xf numFmtId="203" fontId="63" fillId="0" borderId="13" xfId="0" applyFont="1" applyBorder="1">
      <alignment vertical="center"/>
    </xf>
    <xf numFmtId="203" fontId="63" fillId="0" borderId="0" xfId="0" applyFont="1" applyAlignment="1">
      <alignment vertical="center" wrapText="1"/>
    </xf>
    <xf numFmtId="203" fontId="63" fillId="0" borderId="9" xfId="0" applyFont="1" applyBorder="1">
      <alignment vertical="center"/>
    </xf>
    <xf numFmtId="203" fontId="60" fillId="0" borderId="7" xfId="0" applyFont="1" applyBorder="1" applyAlignment="1">
      <alignment horizontal="centerContinuous" vertical="center" wrapText="1"/>
    </xf>
    <xf numFmtId="203" fontId="63" fillId="0" borderId="0" xfId="0" applyFont="1">
      <alignment vertical="center"/>
    </xf>
    <xf numFmtId="43" fontId="6" fillId="31" borderId="1" xfId="4" applyNumberFormat="1" applyFont="1" applyFill="1" applyBorder="1" applyAlignment="1">
      <alignment horizontal="left" vertical="center" wrapText="1"/>
    </xf>
    <xf numFmtId="43" fontId="6" fillId="31" borderId="1" xfId="1" applyFont="1" applyFill="1" applyBorder="1" applyAlignment="1">
      <alignment horizontal="center" vertical="center"/>
    </xf>
    <xf numFmtId="43" fontId="6" fillId="31" borderId="1" xfId="1" applyFont="1" applyFill="1" applyBorder="1" applyAlignment="1">
      <alignment vertical="center"/>
    </xf>
    <xf numFmtId="43" fontId="6" fillId="31" borderId="1" xfId="3" applyNumberFormat="1" applyFont="1" applyFill="1" applyBorder="1" applyAlignment="1">
      <alignment vertical="center"/>
    </xf>
    <xf numFmtId="43" fontId="6" fillId="31" borderId="10" xfId="1" applyFont="1" applyFill="1" applyBorder="1" applyAlignment="1">
      <alignment horizontal="right" vertical="center" wrapText="1"/>
    </xf>
    <xf numFmtId="10" fontId="6" fillId="31" borderId="10" xfId="2" applyNumberFormat="1" applyFont="1" applyFill="1" applyBorder="1" applyAlignment="1">
      <alignment horizontal="right" vertical="center" wrapText="1"/>
    </xf>
    <xf numFmtId="43" fontId="5" fillId="31" borderId="1" xfId="1" applyFont="1" applyFill="1" applyBorder="1" applyAlignment="1">
      <alignment vertical="center"/>
    </xf>
    <xf numFmtId="43" fontId="114" fillId="31" borderId="10" xfId="309" applyFont="1" applyFill="1" applyBorder="1" applyAlignment="1">
      <alignment horizontal="right" vertical="center"/>
    </xf>
    <xf numFmtId="203" fontId="3" fillId="31" borderId="10" xfId="169" applyFont="1" applyFill="1" applyBorder="1" applyAlignment="1">
      <alignment horizontal="center" vertical="center" wrapText="1"/>
      <protection locked="0"/>
    </xf>
    <xf numFmtId="43" fontId="6" fillId="31" borderId="10" xfId="1" applyFont="1" applyFill="1" applyBorder="1" applyAlignment="1">
      <alignment vertical="center"/>
    </xf>
    <xf numFmtId="10" fontId="6" fillId="31" borderId="10" xfId="2" applyNumberFormat="1" applyFont="1" applyFill="1" applyBorder="1" applyAlignment="1">
      <alignment horizontal="right" vertical="center"/>
    </xf>
    <xf numFmtId="9" fontId="6" fillId="31" borderId="10" xfId="2" applyFont="1" applyFill="1" applyBorder="1" applyAlignment="1">
      <alignment vertical="center"/>
    </xf>
    <xf numFmtId="43" fontId="6" fillId="31" borderId="10" xfId="1" applyFont="1" applyFill="1" applyBorder="1" applyAlignment="1">
      <alignment horizontal="right" vertical="center"/>
    </xf>
    <xf numFmtId="43" fontId="5" fillId="31" borderId="10" xfId="1" applyFont="1" applyFill="1" applyBorder="1" applyAlignment="1">
      <alignment vertical="center"/>
    </xf>
    <xf numFmtId="43" fontId="5" fillId="31" borderId="10" xfId="1" applyFont="1" applyFill="1" applyBorder="1" applyAlignment="1">
      <alignment horizontal="center" vertical="center"/>
    </xf>
    <xf numFmtId="10" fontId="6" fillId="31" borderId="10" xfId="2" applyNumberFormat="1" applyFont="1" applyFill="1" applyBorder="1" applyAlignment="1">
      <alignment horizontal="center" vertical="center" wrapText="1"/>
    </xf>
    <xf numFmtId="10" fontId="6" fillId="31" borderId="10" xfId="2" applyNumberFormat="1" applyFont="1" applyFill="1" applyBorder="1" applyAlignment="1">
      <alignment vertical="center"/>
    </xf>
    <xf numFmtId="10" fontId="5" fillId="31" borderId="10" xfId="2" applyNumberFormat="1" applyFont="1" applyFill="1" applyBorder="1" applyAlignment="1">
      <alignment horizontal="center" vertical="center"/>
    </xf>
    <xf numFmtId="10" fontId="5" fillId="31" borderId="10" xfId="2" applyNumberFormat="1" applyFont="1" applyFill="1" applyBorder="1" applyAlignment="1">
      <alignment horizontal="right" vertical="center"/>
    </xf>
    <xf numFmtId="9" fontId="5" fillId="31" borderId="10" xfId="2" applyFont="1" applyFill="1" applyBorder="1" applyAlignment="1">
      <alignment vertical="center"/>
    </xf>
    <xf numFmtId="43" fontId="5" fillId="31" borderId="10" xfId="1" applyFont="1" applyFill="1" applyBorder="1" applyAlignment="1">
      <alignment horizontal="right" vertical="center"/>
    </xf>
    <xf numFmtId="10" fontId="5" fillId="31" borderId="10" xfId="2" applyNumberFormat="1" applyFont="1" applyFill="1" applyBorder="1" applyAlignment="1">
      <alignment horizontal="center" vertical="center" wrapText="1"/>
    </xf>
    <xf numFmtId="203" fontId="35" fillId="0" borderId="0" xfId="209" applyFont="1" applyAlignment="1">
      <alignment horizontal="left" vertical="center"/>
      <protection locked="0"/>
    </xf>
    <xf numFmtId="203" fontId="35" fillId="10" borderId="10" xfId="209" applyFont="1" applyFill="1" applyBorder="1" applyAlignment="1">
      <alignment horizontal="center" vertical="center" wrapText="1"/>
      <protection locked="0"/>
    </xf>
    <xf numFmtId="203" fontId="18" fillId="0" borderId="10" xfId="209" applyFont="1" applyBorder="1" applyAlignment="1">
      <alignment horizontal="left" vertical="center" wrapText="1"/>
      <protection locked="0"/>
    </xf>
    <xf numFmtId="203" fontId="18" fillId="0" borderId="10" xfId="270" applyFont="1" applyBorder="1" applyAlignment="1">
      <alignment horizontal="center" vertical="center" wrapText="1"/>
      <protection locked="0"/>
    </xf>
    <xf numFmtId="203" fontId="0" fillId="0" borderId="0" xfId="0" applyAlignment="1" applyProtection="1">
      <protection locked="0"/>
    </xf>
    <xf numFmtId="203" fontId="11" fillId="0" borderId="0" xfId="0" applyFont="1" applyAlignment="1" applyProtection="1">
      <protection locked="0"/>
    </xf>
    <xf numFmtId="203" fontId="11" fillId="0" borderId="0" xfId="0" applyFont="1" applyAlignment="1" applyProtection="1">
      <alignment horizontal="center"/>
      <protection locked="0"/>
    </xf>
    <xf numFmtId="203" fontId="18" fillId="0" borderId="0" xfId="311" applyFont="1">
      <alignment vertical="center"/>
      <protection locked="0"/>
    </xf>
    <xf numFmtId="49" fontId="6" fillId="0" borderId="10" xfId="210" applyNumberFormat="1" applyFont="1" applyBorder="1" applyAlignment="1">
      <alignment horizontal="center" vertical="center"/>
    </xf>
    <xf numFmtId="0" fontId="85" fillId="0" borderId="10" xfId="290" applyFont="1" applyBorder="1" applyAlignment="1">
      <alignment vertical="center" wrapText="1"/>
    </xf>
    <xf numFmtId="0" fontId="85" fillId="0" borderId="10" xfId="290" applyFont="1" applyBorder="1" applyAlignment="1">
      <alignment horizontal="center" vertical="center" wrapText="1"/>
    </xf>
    <xf numFmtId="0" fontId="72" fillId="0" borderId="10" xfId="290" applyFont="1" applyBorder="1" applyAlignment="1">
      <alignment horizontal="center" vertical="center" wrapText="1"/>
    </xf>
    <xf numFmtId="203" fontId="11" fillId="0" borderId="0" xfId="202" applyFont="1" applyAlignment="1">
      <alignment horizontal="left" vertical="center"/>
    </xf>
    <xf numFmtId="203" fontId="124" fillId="0" borderId="0" xfId="202" applyFont="1" applyAlignment="1">
      <alignment horizontal="left" vertical="center"/>
    </xf>
    <xf numFmtId="203" fontId="3" fillId="0" borderId="0" xfId="202" applyFont="1" applyAlignment="1">
      <alignment vertical="center" wrapText="1"/>
    </xf>
    <xf numFmtId="203" fontId="2" fillId="0" borderId="0" xfId="169" applyAlignment="1">
      <alignment vertical="center"/>
      <protection locked="0"/>
    </xf>
    <xf numFmtId="203" fontId="61" fillId="0" borderId="7" xfId="0" applyFont="1" applyBorder="1">
      <alignment vertical="center"/>
    </xf>
    <xf numFmtId="203" fontId="61" fillId="0" borderId="7" xfId="0" applyFont="1" applyBorder="1" applyAlignment="1">
      <alignment horizontal="center" vertical="center"/>
    </xf>
    <xf numFmtId="43" fontId="60" fillId="0" borderId="7" xfId="1" applyFont="1" applyFill="1" applyBorder="1" applyAlignment="1">
      <alignment horizontal="right" vertical="center" wrapText="1"/>
    </xf>
    <xf numFmtId="203" fontId="118" fillId="0" borderId="7" xfId="0" applyFont="1" applyBorder="1" applyAlignment="1">
      <alignment horizontal="justify" vertical="center" wrapText="1"/>
    </xf>
    <xf numFmtId="203" fontId="118" fillId="0" borderId="7" xfId="0" applyFont="1" applyBorder="1" applyAlignment="1">
      <alignment horizontal="right" vertical="center" wrapText="1"/>
    </xf>
    <xf numFmtId="203" fontId="120" fillId="0" borderId="0" xfId="0" applyFont="1" applyAlignment="1">
      <alignment horizontal="justify" vertical="center" wrapText="1"/>
    </xf>
    <xf numFmtId="203" fontId="121" fillId="0" borderId="0" xfId="0" applyFont="1" applyAlignment="1">
      <alignment horizontal="right" vertical="center" wrapText="1"/>
    </xf>
    <xf numFmtId="203" fontId="121" fillId="0" borderId="0" xfId="0" applyFont="1" applyAlignment="1">
      <alignment horizontal="justify" vertical="center" wrapText="1"/>
    </xf>
    <xf numFmtId="203" fontId="120" fillId="0" borderId="9" xfId="0" applyFont="1" applyBorder="1" applyAlignment="1">
      <alignment horizontal="justify" vertical="center" wrapText="1"/>
    </xf>
    <xf numFmtId="203" fontId="121" fillId="0" borderId="9" xfId="0" applyFont="1" applyBorder="1" applyAlignment="1">
      <alignment horizontal="right" vertical="center" wrapText="1"/>
    </xf>
    <xf numFmtId="203" fontId="118" fillId="0" borderId="9" xfId="0" applyFont="1" applyBorder="1" applyAlignment="1">
      <alignment horizontal="justify" vertical="center" wrapText="1"/>
    </xf>
    <xf numFmtId="203" fontId="119" fillId="0" borderId="9" xfId="0" applyFont="1" applyBorder="1" applyAlignment="1">
      <alignment horizontal="right" vertical="center" wrapText="1"/>
    </xf>
    <xf numFmtId="203" fontId="18" fillId="0" borderId="0" xfId="201" applyFont="1">
      <alignment vertical="center"/>
    </xf>
    <xf numFmtId="0" fontId="125" fillId="0" borderId="0" xfId="304" applyFont="1">
      <protection locked="0"/>
    </xf>
    <xf numFmtId="203" fontId="125" fillId="0" borderId="0" xfId="208" applyFont="1">
      <alignment vertical="center"/>
    </xf>
    <xf numFmtId="203" fontId="126" fillId="0" borderId="0" xfId="169" applyFont="1" applyAlignment="1">
      <alignment vertical="center"/>
      <protection locked="0"/>
    </xf>
    <xf numFmtId="203" fontId="125" fillId="0" borderId="0" xfId="200" applyFont="1">
      <alignment vertical="center"/>
    </xf>
    <xf numFmtId="43" fontId="125" fillId="0" borderId="0" xfId="3" applyNumberFormat="1" applyFont="1" applyBorder="1" applyAlignment="1">
      <alignment vertical="center"/>
    </xf>
    <xf numFmtId="203" fontId="128" fillId="0" borderId="0" xfId="208" applyFont="1">
      <alignment vertical="center"/>
    </xf>
    <xf numFmtId="203" fontId="127" fillId="0" borderId="0" xfId="169" applyFont="1" applyAlignment="1">
      <alignment vertical="center"/>
      <protection locked="0"/>
    </xf>
    <xf numFmtId="203" fontId="128" fillId="0" borderId="0" xfId="200" applyFont="1">
      <alignment vertical="center"/>
    </xf>
    <xf numFmtId="0" fontId="128" fillId="0" borderId="0" xfId="304" applyFont="1">
      <protection locked="0"/>
    </xf>
    <xf numFmtId="43" fontId="128" fillId="0" borderId="0" xfId="3" applyNumberFormat="1" applyFont="1" applyBorder="1" applyAlignment="1">
      <alignment vertical="center"/>
    </xf>
    <xf numFmtId="43" fontId="6" fillId="0" borderId="10" xfId="4" applyNumberFormat="1" applyFont="1" applyBorder="1" applyAlignment="1">
      <alignment horizontal="left" vertical="center" shrinkToFit="1"/>
    </xf>
    <xf numFmtId="43" fontId="6" fillId="0" borderId="10" xfId="2" applyNumberFormat="1" applyFont="1" applyBorder="1" applyAlignment="1">
      <alignment horizontal="center" vertical="center" wrapText="1"/>
    </xf>
    <xf numFmtId="43" fontId="6" fillId="0" borderId="10" xfId="2" applyNumberFormat="1" applyFont="1" applyBorder="1" applyAlignment="1">
      <alignment vertical="center"/>
    </xf>
    <xf numFmtId="0" fontId="69" fillId="0" borderId="0" xfId="310" applyFont="1" applyAlignment="1">
      <alignment vertical="center"/>
      <protection locked="0"/>
    </xf>
    <xf numFmtId="0" fontId="12" fillId="0" borderId="0" xfId="310" applyFont="1" applyAlignment="1">
      <alignment vertical="center"/>
      <protection locked="0"/>
    </xf>
    <xf numFmtId="0" fontId="15" fillId="0" borderId="0" xfId="310" applyFont="1">
      <protection locked="0"/>
    </xf>
    <xf numFmtId="203" fontId="129" fillId="0" borderId="0" xfId="169" applyFont="1" applyAlignment="1">
      <alignment horizontal="left" vertical="center"/>
      <protection locked="0"/>
    </xf>
    <xf numFmtId="203" fontId="129" fillId="0" borderId="0" xfId="169" applyFont="1" applyAlignment="1">
      <alignment horizontal="center" vertical="center"/>
      <protection locked="0"/>
    </xf>
    <xf numFmtId="203" fontId="130" fillId="0" borderId="0" xfId="169" applyFont="1" applyAlignment="1">
      <alignment horizontal="left" vertical="center"/>
      <protection locked="0"/>
    </xf>
    <xf numFmtId="203" fontId="66" fillId="0" borderId="0" xfId="0" applyFont="1" applyAlignment="1">
      <alignment horizontal="left" vertical="center" wrapText="1"/>
    </xf>
    <xf numFmtId="203" fontId="3" fillId="0" borderId="0" xfId="202" applyFont="1" applyAlignment="1">
      <alignment horizontal="left" vertical="center" wrapText="1"/>
    </xf>
    <xf numFmtId="203" fontId="123" fillId="0" borderId="0" xfId="209" applyFont="1" applyAlignment="1">
      <alignment horizontal="left" vertical="center"/>
      <protection locked="0"/>
    </xf>
    <xf numFmtId="203" fontId="123" fillId="0" borderId="0" xfId="209" applyFont="1">
      <alignment vertical="center"/>
      <protection locked="0"/>
    </xf>
    <xf numFmtId="43" fontId="123" fillId="0" borderId="0" xfId="3" applyNumberFormat="1" applyFont="1" applyBorder="1" applyAlignment="1">
      <alignment vertical="center"/>
    </xf>
    <xf numFmtId="203" fontId="123" fillId="0" borderId="0" xfId="169" applyFont="1" applyAlignment="1">
      <alignment vertical="center"/>
      <protection locked="0"/>
    </xf>
    <xf numFmtId="43" fontId="123" fillId="0" borderId="0" xfId="3" applyNumberFormat="1" applyFont="1" applyBorder="1" applyAlignment="1">
      <alignment horizontal="left" vertical="center"/>
    </xf>
    <xf numFmtId="203" fontId="123" fillId="0" borderId="0" xfId="169" applyFont="1" applyAlignment="1">
      <alignment horizontal="left" vertical="center"/>
      <protection locked="0"/>
    </xf>
    <xf numFmtId="14" fontId="123" fillId="0" borderId="0" xfId="3" applyNumberFormat="1" applyFont="1" applyBorder="1" applyAlignment="1">
      <alignment vertical="center"/>
    </xf>
    <xf numFmtId="14" fontId="123" fillId="0" borderId="0" xfId="169" applyNumberFormat="1" applyFont="1" applyAlignment="1">
      <alignment vertical="center"/>
      <protection locked="0"/>
    </xf>
    <xf numFmtId="43" fontId="123" fillId="0" borderId="0" xfId="303" applyNumberFormat="1" applyFont="1" applyBorder="1" applyAlignment="1">
      <alignment horizontal="left" vertical="center"/>
    </xf>
    <xf numFmtId="203" fontId="123" fillId="0" borderId="0" xfId="4" applyFont="1">
      <alignment vertical="center"/>
    </xf>
    <xf numFmtId="43" fontId="123" fillId="0" borderId="0" xfId="3" applyNumberFormat="1" applyFont="1" applyFill="1" applyBorder="1" applyAlignment="1">
      <alignment vertical="center"/>
    </xf>
    <xf numFmtId="43" fontId="123" fillId="0" borderId="0" xfId="3" applyNumberFormat="1" applyFont="1" applyFill="1" applyBorder="1" applyAlignment="1">
      <alignment horizontal="left" vertical="center"/>
    </xf>
    <xf numFmtId="14" fontId="123" fillId="0" borderId="0" xfId="3" applyNumberFormat="1" applyFont="1" applyFill="1" applyBorder="1" applyAlignment="1">
      <alignment vertical="center"/>
    </xf>
    <xf numFmtId="49" fontId="123" fillId="0" borderId="0" xfId="3" applyNumberFormat="1" applyFont="1" applyBorder="1" applyAlignment="1">
      <alignment vertical="center"/>
    </xf>
    <xf numFmtId="203" fontId="123" fillId="0" borderId="0" xfId="209" applyFont="1" applyAlignment="1">
      <alignment horizontal="right" vertical="center"/>
      <protection locked="0"/>
    </xf>
    <xf numFmtId="203" fontId="6" fillId="0" borderId="0" xfId="0" applyFont="1" applyAlignment="1" applyProtection="1">
      <alignment horizontal="center" vertical="center"/>
      <protection locked="0"/>
    </xf>
    <xf numFmtId="49" fontId="3" fillId="0" borderId="0" xfId="290" applyNumberFormat="1" applyFont="1" applyBorder="1" applyAlignment="1" applyProtection="1">
      <alignment horizontal="left" vertical="center"/>
      <protection locked="0"/>
    </xf>
    <xf numFmtId="203" fontId="35" fillId="0" borderId="0" xfId="311" applyFont="1" applyBorder="1" applyAlignment="1">
      <alignment horizontal="left" vertical="center"/>
      <protection locked="0"/>
    </xf>
    <xf numFmtId="203" fontId="35" fillId="0" borderId="0" xfId="311" applyFont="1" applyBorder="1" applyAlignment="1">
      <alignment horizontal="justify" vertical="center"/>
      <protection locked="0"/>
    </xf>
    <xf numFmtId="203" fontId="18" fillId="0" borderId="0" xfId="311" applyFont="1" applyBorder="1">
      <alignment vertical="center"/>
      <protection locked="0"/>
    </xf>
    <xf numFmtId="203" fontId="18" fillId="0" borderId="0" xfId="311" applyFont="1" applyBorder="1" applyAlignment="1">
      <alignment horizontal="center" vertical="center" wrapText="1"/>
      <protection locked="0"/>
    </xf>
    <xf numFmtId="203" fontId="18" fillId="0" borderId="0" xfId="311" applyFont="1" applyBorder="1" applyAlignment="1">
      <alignment horizontal="left" vertical="center" wrapText="1"/>
      <protection locked="0"/>
    </xf>
    <xf numFmtId="0" fontId="6" fillId="0" borderId="10" xfId="290" applyFont="1" applyBorder="1" applyAlignment="1">
      <alignment horizontal="center" vertical="center" wrapText="1"/>
    </xf>
    <xf numFmtId="0" fontId="6" fillId="0" borderId="1" xfId="3" applyNumberFormat="1" applyFont="1" applyBorder="1" applyAlignment="1">
      <alignment vertical="center"/>
    </xf>
    <xf numFmtId="203" fontId="66" fillId="0" borderId="0" xfId="0" applyFont="1" applyAlignment="1">
      <alignment vertical="center" wrapText="1"/>
    </xf>
    <xf numFmtId="203" fontId="66" fillId="0" borderId="0" xfId="0" applyFont="1" applyAlignment="1">
      <alignment vertical="center"/>
    </xf>
    <xf numFmtId="203" fontId="112" fillId="0" borderId="0" xfId="0" applyFont="1" applyAlignment="1">
      <alignment horizontal="left" vertical="center"/>
    </xf>
    <xf numFmtId="0" fontId="6" fillId="0" borderId="10" xfId="4" applyNumberFormat="1" applyFont="1" applyBorder="1" applyAlignment="1">
      <alignment horizontal="left" vertical="center" shrinkToFit="1"/>
    </xf>
    <xf numFmtId="0" fontId="6" fillId="0" borderId="10" xfId="169" applyNumberFormat="1" applyFont="1" applyBorder="1" applyAlignment="1">
      <alignment vertical="center"/>
      <protection locked="0"/>
    </xf>
    <xf numFmtId="0" fontId="123" fillId="0" borderId="0" xfId="304" applyFont="1" applyAlignment="1">
      <alignment horizontal="left"/>
      <protection locked="0"/>
    </xf>
    <xf numFmtId="14" fontId="123" fillId="0" borderId="0" xfId="3" applyNumberFormat="1" applyFont="1" applyBorder="1" applyAlignment="1">
      <alignment horizontal="left" vertical="center"/>
    </xf>
    <xf numFmtId="14" fontId="123" fillId="0" borderId="0" xfId="169" applyNumberFormat="1" applyFont="1" applyAlignment="1">
      <alignment horizontal="left" vertical="center"/>
      <protection locked="0"/>
    </xf>
    <xf numFmtId="203" fontId="3" fillId="0" borderId="0" xfId="202" applyFont="1" applyAlignment="1">
      <alignment vertical="center"/>
    </xf>
    <xf numFmtId="203" fontId="2" fillId="0" borderId="0" xfId="312">
      <protection locked="0"/>
    </xf>
    <xf numFmtId="203" fontId="3" fillId="0" borderId="0" xfId="313" applyFont="1" applyAlignment="1">
      <alignment vertical="center"/>
    </xf>
    <xf numFmtId="203" fontId="3" fillId="0" borderId="0" xfId="312" applyFont="1" applyAlignment="1">
      <alignment vertical="center"/>
      <protection locked="0"/>
    </xf>
    <xf numFmtId="0" fontId="132" fillId="0" borderId="0" xfId="273" applyFont="1" applyAlignment="1" applyProtection="1">
      <alignment horizontal="left" vertical="center"/>
      <protection locked="0"/>
    </xf>
    <xf numFmtId="0" fontId="6" fillId="0" borderId="6" xfId="0" applyNumberFormat="1" applyFont="1" applyBorder="1" applyAlignment="1" applyProtection="1">
      <alignment horizontal="center" vertical="center" wrapText="1"/>
      <protection locked="0"/>
    </xf>
    <xf numFmtId="203" fontId="53" fillId="0" borderId="6" xfId="5" applyFont="1" applyBorder="1" applyAlignment="1">
      <alignment vertical="center"/>
      <protection locked="0"/>
    </xf>
    <xf numFmtId="203" fontId="6" fillId="0" borderId="6" xfId="0" applyFont="1" applyBorder="1" applyAlignment="1" applyProtection="1">
      <alignment horizontal="center" vertical="center"/>
      <protection locked="0"/>
    </xf>
    <xf numFmtId="203" fontId="53" fillId="0" borderId="6" xfId="5" quotePrefix="1" applyFont="1" applyBorder="1" applyAlignment="1">
      <alignment vertical="center"/>
      <protection locked="0"/>
    </xf>
    <xf numFmtId="203" fontId="66" fillId="10" borderId="10" xfId="170" applyFont="1" applyFill="1" applyBorder="1" applyAlignment="1">
      <alignment horizontal="center" vertical="center" wrapText="1"/>
      <protection locked="0"/>
    </xf>
    <xf numFmtId="203" fontId="3" fillId="10" borderId="10" xfId="169" applyFont="1" applyFill="1" applyBorder="1" applyAlignment="1">
      <alignment horizontal="center" vertical="center" wrapText="1"/>
      <protection locked="0"/>
    </xf>
    <xf numFmtId="203" fontId="18" fillId="0" borderId="0" xfId="209" applyFont="1" applyBorder="1" applyAlignment="1">
      <alignment vertical="center" wrapText="1"/>
      <protection locked="0"/>
    </xf>
    <xf numFmtId="203" fontId="11" fillId="0" borderId="0" xfId="209" applyFont="1" applyBorder="1" applyAlignment="1">
      <alignment vertical="center"/>
      <protection locked="0"/>
    </xf>
    <xf numFmtId="0" fontId="85" fillId="0" borderId="10" xfId="290" applyFont="1" applyFill="1" applyBorder="1" applyAlignment="1">
      <alignment horizontal="center" vertical="center" wrapText="1"/>
    </xf>
    <xf numFmtId="0" fontId="11" fillId="0" borderId="10" xfId="304" applyFont="1" applyBorder="1" applyAlignment="1">
      <alignment horizontal="center" vertical="center" wrapText="1"/>
      <protection locked="0"/>
    </xf>
    <xf numFmtId="0" fontId="3" fillId="0" borderId="10" xfId="304" applyFont="1" applyBorder="1" applyAlignment="1">
      <alignment horizontal="center" vertical="center" wrapText="1"/>
      <protection locked="0"/>
    </xf>
    <xf numFmtId="203" fontId="18" fillId="0" borderId="10" xfId="209" applyFont="1" applyFill="1" applyBorder="1" applyAlignment="1">
      <alignment vertical="center" wrapText="1"/>
      <protection locked="0"/>
    </xf>
    <xf numFmtId="0" fontId="11" fillId="0" borderId="10" xfId="290" applyFont="1" applyFill="1" applyBorder="1" applyAlignment="1" applyProtection="1">
      <alignment horizontal="center" vertical="center"/>
      <protection locked="0"/>
    </xf>
    <xf numFmtId="203" fontId="11" fillId="0" borderId="10" xfId="209" applyFont="1" applyFill="1" applyBorder="1" applyAlignment="1">
      <alignment horizontal="left" vertical="center" wrapText="1"/>
      <protection locked="0"/>
    </xf>
    <xf numFmtId="0" fontId="6" fillId="0" borderId="10" xfId="276" applyFont="1" applyBorder="1" applyAlignment="1">
      <alignment horizontal="center" vertical="center" wrapText="1"/>
      <protection locked="0"/>
    </xf>
    <xf numFmtId="0" fontId="67" fillId="0" borderId="10" xfId="290" applyFont="1" applyBorder="1" applyAlignment="1">
      <alignment horizontal="center" vertical="center" wrapText="1"/>
    </xf>
    <xf numFmtId="43" fontId="3" fillId="31" borderId="1" xfId="206" applyFont="1" applyFill="1" applyBorder="1" applyAlignment="1">
      <alignment horizontal="center" vertical="center"/>
    </xf>
    <xf numFmtId="43" fontId="3" fillId="10" borderId="1" xfId="206" applyFont="1" applyFill="1" applyBorder="1" applyAlignment="1">
      <alignment horizontal="center" vertical="center"/>
    </xf>
    <xf numFmtId="0" fontId="11" fillId="0" borderId="2" xfId="1" applyNumberFormat="1" applyFont="1" applyBorder="1" applyAlignment="1">
      <alignment horizontal="left" vertical="center" shrinkToFit="1"/>
    </xf>
    <xf numFmtId="0" fontId="11" fillId="0" borderId="2" xfId="1" applyNumberFormat="1" applyFont="1" applyBorder="1" applyAlignment="1">
      <alignment vertical="center" shrinkToFit="1"/>
    </xf>
    <xf numFmtId="0" fontId="11" fillId="0" borderId="12" xfId="4" applyNumberFormat="1" applyFont="1" applyBorder="1" applyAlignment="1">
      <alignment horizontal="left" vertical="center" shrinkToFit="1"/>
    </xf>
    <xf numFmtId="0" fontId="6" fillId="0" borderId="11" xfId="169" applyNumberFormat="1" applyFont="1" applyBorder="1" applyAlignment="1">
      <alignment horizontal="center" vertical="center"/>
      <protection locked="0"/>
    </xf>
    <xf numFmtId="203" fontId="15" fillId="0" borderId="0" xfId="5" applyFont="1" applyAlignment="1">
      <alignment vertical="center"/>
      <protection locked="0"/>
    </xf>
    <xf numFmtId="0" fontId="3" fillId="10" borderId="10" xfId="290" applyFont="1" applyFill="1" applyBorder="1" applyAlignment="1" applyProtection="1">
      <alignment horizontal="center" vertical="center" wrapText="1"/>
      <protection locked="0"/>
    </xf>
    <xf numFmtId="0" fontId="3" fillId="10" borderId="10" xfId="290" applyFont="1" applyFill="1" applyBorder="1" applyAlignment="1" applyProtection="1">
      <alignment horizontal="center" vertical="center"/>
      <protection locked="0"/>
    </xf>
    <xf numFmtId="203" fontId="18" fillId="0" borderId="10" xfId="209" applyFont="1" applyBorder="1" applyAlignment="1">
      <alignment horizontal="center" vertical="center" wrapText="1"/>
      <protection locked="0"/>
    </xf>
    <xf numFmtId="203" fontId="107" fillId="0" borderId="10" xfId="271" applyNumberFormat="1" applyFont="1" applyBorder="1" applyAlignment="1" applyProtection="1">
      <alignment vertical="center" wrapText="1"/>
    </xf>
    <xf numFmtId="203" fontId="85" fillId="0" borderId="10" xfId="0" applyFont="1" applyBorder="1" applyAlignment="1">
      <alignment vertical="center" wrapText="1"/>
    </xf>
    <xf numFmtId="203" fontId="107" fillId="0" borderId="10" xfId="0" applyFont="1" applyBorder="1" applyAlignment="1">
      <alignment vertical="center" wrapText="1"/>
    </xf>
    <xf numFmtId="203" fontId="107" fillId="0" borderId="10" xfId="0" applyFont="1" applyBorder="1" applyAlignment="1">
      <alignment horizontal="center" vertical="center" wrapText="1"/>
    </xf>
    <xf numFmtId="203" fontId="133" fillId="0" borderId="0" xfId="0" applyFont="1" applyAlignment="1" applyProtection="1">
      <alignment horizontal="center" vertical="center"/>
      <protection locked="0"/>
    </xf>
    <xf numFmtId="203" fontId="124" fillId="0" borderId="0" xfId="317" applyFont="1" applyFill="1" applyAlignment="1">
      <alignment horizontal="left" vertical="center"/>
    </xf>
    <xf numFmtId="203" fontId="3" fillId="31" borderId="28" xfId="312" applyFont="1" applyFill="1" applyBorder="1" applyAlignment="1">
      <alignment horizontal="center" vertical="center"/>
      <protection locked="0"/>
    </xf>
    <xf numFmtId="203" fontId="3" fillId="31" borderId="28" xfId="312" applyFont="1" applyFill="1" applyBorder="1" applyAlignment="1">
      <alignment horizontal="center" vertical="center" wrapText="1"/>
      <protection locked="0"/>
    </xf>
    <xf numFmtId="0" fontId="5" fillId="31" borderId="28" xfId="273" applyFont="1" applyFill="1" applyBorder="1" applyAlignment="1" applyProtection="1">
      <alignment horizontal="center" vertical="center"/>
      <protection locked="0"/>
    </xf>
    <xf numFmtId="14" fontId="6" fillId="0" borderId="28" xfId="312" applyNumberFormat="1" applyFont="1" applyBorder="1" applyAlignment="1">
      <alignment horizontal="center" vertical="center"/>
      <protection locked="0"/>
    </xf>
    <xf numFmtId="49" fontId="6" fillId="0" borderId="28" xfId="312" applyNumberFormat="1" applyFont="1" applyBorder="1" applyAlignment="1">
      <alignment horizontal="center" vertical="center"/>
      <protection locked="0"/>
    </xf>
    <xf numFmtId="203" fontId="11" fillId="0" borderId="28" xfId="312" applyFont="1" applyBorder="1" applyAlignment="1">
      <alignment vertical="center"/>
      <protection locked="0"/>
    </xf>
    <xf numFmtId="203" fontId="6" fillId="0" borderId="28" xfId="312" applyFont="1" applyBorder="1" applyAlignment="1">
      <alignment vertical="center"/>
      <protection locked="0"/>
    </xf>
    <xf numFmtId="43" fontId="6" fillId="0" borderId="28" xfId="316" applyFont="1" applyBorder="1" applyAlignment="1" applyProtection="1">
      <alignment vertical="center"/>
      <protection locked="0"/>
    </xf>
    <xf numFmtId="0" fontId="6" fillId="0" borderId="28" xfId="273" applyFont="1" applyBorder="1" applyAlignment="1" applyProtection="1">
      <alignment horizontal="center" vertical="center"/>
      <protection locked="0"/>
    </xf>
    <xf numFmtId="49" fontId="6" fillId="0" borderId="28" xfId="312" applyNumberFormat="1" applyFont="1" applyBorder="1" applyAlignment="1">
      <alignment vertical="center"/>
      <protection locked="0"/>
    </xf>
    <xf numFmtId="203" fontId="11" fillId="10" borderId="28" xfId="312" applyFont="1" applyFill="1" applyBorder="1" applyAlignment="1">
      <alignment vertical="center"/>
      <protection locked="0"/>
    </xf>
    <xf numFmtId="43" fontId="5" fillId="10" borderId="28" xfId="316" applyFont="1" applyFill="1" applyBorder="1" applyAlignment="1" applyProtection="1">
      <alignment vertical="center"/>
      <protection locked="0"/>
    </xf>
    <xf numFmtId="203" fontId="3" fillId="10" borderId="28" xfId="312" applyFont="1" applyFill="1" applyBorder="1" applyAlignment="1">
      <alignment vertical="center"/>
      <protection locked="0"/>
    </xf>
    <xf numFmtId="10" fontId="5" fillId="10" borderId="28" xfId="2" applyNumberFormat="1" applyFont="1" applyFill="1" applyBorder="1" applyAlignment="1" applyProtection="1">
      <alignment horizontal="right" vertical="center"/>
      <protection locked="0"/>
    </xf>
    <xf numFmtId="203" fontId="9" fillId="0" borderId="0" xfId="0" applyFont="1" applyAlignment="1" applyProtection="1">
      <alignment horizontal="left" vertical="center" wrapText="1"/>
      <protection locked="0"/>
    </xf>
    <xf numFmtId="203" fontId="10" fillId="0" borderId="0" xfId="0" applyFont="1" applyAlignment="1" applyProtection="1">
      <alignment horizontal="left" vertical="center" wrapText="1"/>
      <protection locked="0"/>
    </xf>
    <xf numFmtId="0" fontId="6" fillId="0" borderId="28" xfId="290" applyFont="1" applyBorder="1" applyAlignment="1" applyProtection="1">
      <alignment horizontal="left" vertical="center" wrapText="1"/>
      <protection locked="0"/>
    </xf>
    <xf numFmtId="0" fontId="3" fillId="10" borderId="10" xfId="290" applyFont="1" applyFill="1" applyBorder="1" applyAlignment="1" applyProtection="1">
      <alignment horizontal="center" vertical="center" wrapText="1"/>
      <protection locked="0"/>
    </xf>
    <xf numFmtId="49" fontId="35" fillId="10" borderId="10" xfId="311" applyNumberFormat="1" applyFont="1" applyFill="1" applyBorder="1" applyAlignment="1">
      <alignment horizontal="center" vertical="center"/>
      <protection locked="0"/>
    </xf>
    <xf numFmtId="0" fontId="3" fillId="10" borderId="28" xfId="290" applyFont="1" applyFill="1" applyBorder="1" applyAlignment="1" applyProtection="1">
      <alignment horizontal="center" vertical="center" wrapText="1"/>
      <protection locked="0"/>
    </xf>
    <xf numFmtId="203" fontId="35" fillId="10" borderId="10" xfId="311" applyFont="1" applyFill="1" applyBorder="1" applyAlignment="1">
      <alignment horizontal="center" vertical="center" wrapText="1"/>
      <protection locked="0"/>
    </xf>
    <xf numFmtId="0" fontId="3" fillId="10" borderId="10" xfId="290" applyFont="1" applyFill="1" applyBorder="1" applyAlignment="1" applyProtection="1">
      <alignment horizontal="center" vertical="center"/>
      <protection locked="0"/>
    </xf>
    <xf numFmtId="0" fontId="5" fillId="10" borderId="10" xfId="290" applyFont="1" applyFill="1" applyBorder="1" applyAlignment="1" applyProtection="1">
      <alignment horizontal="center" vertical="center"/>
      <protection locked="0"/>
    </xf>
    <xf numFmtId="0" fontId="3" fillId="0" borderId="27" xfId="290" applyFont="1" applyFill="1" applyBorder="1" applyAlignment="1" applyProtection="1">
      <alignment horizontal="left" vertical="center" wrapText="1"/>
      <protection locked="0"/>
    </xf>
    <xf numFmtId="203" fontId="126" fillId="0" borderId="0" xfId="208" applyFont="1" applyAlignment="1">
      <alignment horizontal="center" vertical="center"/>
    </xf>
    <xf numFmtId="203" fontId="127" fillId="0" borderId="0" xfId="208" applyFont="1" applyAlignment="1">
      <alignment horizontal="center" vertical="center"/>
    </xf>
    <xf numFmtId="203" fontId="123" fillId="0" borderId="0" xfId="209" applyFont="1" applyAlignment="1">
      <alignment horizontal="left" vertical="center"/>
      <protection locked="0"/>
    </xf>
    <xf numFmtId="203" fontId="35" fillId="0" borderId="0" xfId="209" applyFont="1" applyAlignment="1">
      <alignment horizontal="left" vertical="center"/>
      <protection locked="0"/>
    </xf>
    <xf numFmtId="0" fontId="35" fillId="10" borderId="28" xfId="290" applyFont="1" applyFill="1" applyBorder="1" applyAlignment="1" applyProtection="1">
      <alignment horizontal="center" vertical="center"/>
      <protection locked="0"/>
    </xf>
    <xf numFmtId="0" fontId="11" fillId="0" borderId="28" xfId="290" applyFont="1" applyBorder="1" applyAlignment="1" applyProtection="1">
      <alignment horizontal="center" vertical="center" wrapText="1"/>
      <protection locked="0"/>
    </xf>
    <xf numFmtId="203" fontId="11" fillId="0" borderId="11" xfId="209" applyFont="1" applyBorder="1" applyAlignment="1">
      <alignment horizontal="left" vertical="center" wrapText="1"/>
      <protection locked="0"/>
    </xf>
    <xf numFmtId="203" fontId="18" fillId="0" borderId="16" xfId="209" applyFont="1" applyBorder="1" applyAlignment="1">
      <alignment horizontal="left" vertical="center" wrapText="1"/>
      <protection locked="0"/>
    </xf>
    <xf numFmtId="203" fontId="18" fillId="0" borderId="12" xfId="209" applyFont="1" applyBorder="1" applyAlignment="1">
      <alignment horizontal="left" vertical="center" wrapText="1"/>
      <protection locked="0"/>
    </xf>
    <xf numFmtId="203" fontId="35" fillId="10" borderId="10" xfId="209" applyFont="1" applyFill="1" applyBorder="1" applyAlignment="1">
      <alignment horizontal="center" vertical="center" wrapText="1"/>
      <protection locked="0"/>
    </xf>
    <xf numFmtId="203" fontId="35" fillId="0" borderId="10" xfId="209" applyFont="1" applyBorder="1" applyAlignment="1">
      <alignment horizontal="left" vertical="center" wrapText="1"/>
      <protection locked="0"/>
    </xf>
    <xf numFmtId="203" fontId="35" fillId="0" borderId="10" xfId="209" applyFont="1" applyBorder="1" applyAlignment="1">
      <alignment horizontal="center" vertical="center"/>
      <protection locked="0"/>
    </xf>
    <xf numFmtId="203" fontId="11" fillId="0" borderId="10" xfId="209" applyFont="1" applyBorder="1" applyAlignment="1">
      <alignment horizontal="center" vertical="center" wrapText="1"/>
      <protection locked="0"/>
    </xf>
    <xf numFmtId="203" fontId="18" fillId="0" borderId="10" xfId="209" applyFont="1" applyBorder="1" applyAlignment="1">
      <alignment horizontal="center" vertical="center" wrapText="1"/>
      <protection locked="0"/>
    </xf>
    <xf numFmtId="203" fontId="18" fillId="0" borderId="10" xfId="209" applyFont="1" applyBorder="1" applyAlignment="1">
      <alignment horizontal="left" vertical="center" wrapText="1"/>
      <protection locked="0"/>
    </xf>
    <xf numFmtId="203" fontId="35" fillId="10" borderId="11" xfId="209" applyFont="1" applyFill="1" applyBorder="1" applyAlignment="1">
      <alignment horizontal="center" vertical="center"/>
      <protection locked="0"/>
    </xf>
    <xf numFmtId="203" fontId="35" fillId="10" borderId="16" xfId="209" applyFont="1" applyFill="1" applyBorder="1" applyAlignment="1">
      <alignment horizontal="center" vertical="center"/>
      <protection locked="0"/>
    </xf>
    <xf numFmtId="203" fontId="35" fillId="10" borderId="12" xfId="209" applyFont="1" applyFill="1" applyBorder="1" applyAlignment="1">
      <alignment horizontal="center" vertical="center"/>
      <protection locked="0"/>
    </xf>
    <xf numFmtId="203" fontId="18" fillId="10" borderId="10" xfId="209" applyFont="1" applyFill="1" applyBorder="1" applyAlignment="1">
      <alignment horizontal="center" vertical="center" wrapText="1"/>
      <protection locked="0"/>
    </xf>
    <xf numFmtId="203" fontId="18" fillId="0" borderId="11" xfId="209" applyFont="1" applyBorder="1" applyAlignment="1">
      <alignment horizontal="center" vertical="center" wrapText="1"/>
      <protection locked="0"/>
    </xf>
    <xf numFmtId="203" fontId="18" fillId="0" borderId="12" xfId="209" applyFont="1" applyBorder="1" applyAlignment="1">
      <alignment horizontal="center" vertical="center" wrapText="1"/>
      <protection locked="0"/>
    </xf>
    <xf numFmtId="203" fontId="18" fillId="0" borderId="10" xfId="270" applyFont="1" applyBorder="1" applyAlignment="1">
      <alignment horizontal="center" vertical="center" wrapText="1"/>
      <protection locked="0"/>
    </xf>
    <xf numFmtId="203" fontId="18" fillId="10" borderId="10" xfId="270" applyFont="1" applyFill="1" applyBorder="1" applyAlignment="1">
      <alignment horizontal="center" vertical="center" wrapText="1"/>
      <protection locked="0"/>
    </xf>
    <xf numFmtId="203" fontId="18" fillId="0" borderId="0" xfId="209" applyFont="1" applyAlignment="1">
      <alignment horizontal="center" vertical="center" wrapText="1"/>
      <protection locked="0"/>
    </xf>
    <xf numFmtId="203" fontId="18" fillId="0" borderId="0" xfId="209" applyFont="1" applyAlignment="1">
      <alignment horizontal="center" vertical="center"/>
      <protection locked="0"/>
    </xf>
    <xf numFmtId="203" fontId="11" fillId="0" borderId="0" xfId="210" applyFont="1" applyAlignment="1">
      <alignment horizontal="center" vertical="center" wrapText="1"/>
    </xf>
    <xf numFmtId="203" fontId="18" fillId="0" borderId="0" xfId="210" applyFont="1" applyAlignment="1">
      <alignment horizontal="center" vertical="center" wrapText="1"/>
    </xf>
    <xf numFmtId="43" fontId="126" fillId="0" borderId="0" xfId="3" applyNumberFormat="1" applyFont="1" applyBorder="1" applyAlignment="1">
      <alignment horizontal="center" vertical="center"/>
    </xf>
    <xf numFmtId="43" fontId="127" fillId="0" borderId="0" xfId="3" applyNumberFormat="1" applyFont="1" applyBorder="1" applyAlignment="1">
      <alignment horizontal="center" vertical="center"/>
    </xf>
    <xf numFmtId="43" fontId="3" fillId="10" borderId="14" xfId="206" applyFont="1" applyFill="1" applyBorder="1" applyAlignment="1">
      <alignment horizontal="center" vertical="center" shrinkToFit="1"/>
    </xf>
    <xf numFmtId="43" fontId="3" fillId="10" borderId="15" xfId="206" applyFont="1" applyFill="1" applyBorder="1" applyAlignment="1">
      <alignment horizontal="center" vertical="center" shrinkToFit="1"/>
    </xf>
    <xf numFmtId="43" fontId="3" fillId="10" borderId="14" xfId="207" applyNumberFormat="1" applyFont="1" applyFill="1" applyBorder="1" applyAlignment="1">
      <alignment horizontal="center" vertical="center"/>
    </xf>
    <xf numFmtId="43" fontId="3" fillId="10" borderId="15" xfId="207" applyNumberFormat="1" applyFont="1" applyFill="1" applyBorder="1" applyAlignment="1">
      <alignment horizontal="center" vertical="center"/>
    </xf>
    <xf numFmtId="43" fontId="72" fillId="10" borderId="1" xfId="206" applyFont="1" applyFill="1" applyBorder="1" applyAlignment="1">
      <alignment horizontal="center" vertical="center"/>
    </xf>
    <xf numFmtId="43" fontId="3" fillId="10" borderId="1" xfId="207" applyNumberFormat="1" applyFont="1" applyFill="1" applyBorder="1" applyAlignment="1">
      <alignment horizontal="center" vertical="center"/>
    </xf>
    <xf numFmtId="203" fontId="66" fillId="10" borderId="10" xfId="170" applyFont="1" applyFill="1" applyBorder="1" applyAlignment="1">
      <alignment horizontal="center" vertical="center" wrapText="1"/>
      <protection locked="0"/>
    </xf>
    <xf numFmtId="203" fontId="3" fillId="10" borderId="10" xfId="170" applyFont="1" applyFill="1" applyBorder="1" applyAlignment="1">
      <alignment horizontal="center" vertical="center" wrapText="1"/>
      <protection locked="0"/>
    </xf>
    <xf numFmtId="43" fontId="12" fillId="0" borderId="0" xfId="3" applyNumberFormat="1" applyFont="1" applyBorder="1" applyAlignment="1">
      <alignment horizontal="left" vertical="center" wrapText="1"/>
    </xf>
    <xf numFmtId="203" fontId="126" fillId="0" borderId="0" xfId="169" applyFont="1" applyAlignment="1">
      <alignment horizontal="center" vertical="center"/>
      <protection locked="0"/>
    </xf>
    <xf numFmtId="203" fontId="127" fillId="0" borderId="0" xfId="169" applyFont="1" applyAlignment="1">
      <alignment horizontal="center" vertical="center"/>
      <protection locked="0"/>
    </xf>
    <xf numFmtId="203" fontId="64" fillId="0" borderId="0" xfId="0" applyFont="1" applyAlignment="1">
      <alignment horizontal="left" vertical="center" wrapText="1"/>
    </xf>
    <xf numFmtId="203" fontId="64" fillId="0" borderId="13" xfId="0" applyFont="1" applyBorder="1" applyAlignment="1">
      <alignment horizontal="left" vertical="center" wrapText="1"/>
    </xf>
    <xf numFmtId="203" fontId="6" fillId="31" borderId="11" xfId="169" applyFont="1" applyFill="1" applyBorder="1" applyAlignment="1">
      <alignment horizontal="center" vertical="center"/>
      <protection locked="0"/>
    </xf>
    <xf numFmtId="203" fontId="6" fillId="31" borderId="16" xfId="169" applyFont="1" applyFill="1" applyBorder="1" applyAlignment="1">
      <alignment horizontal="center" vertical="center"/>
      <protection locked="0"/>
    </xf>
    <xf numFmtId="203" fontId="6" fillId="31" borderId="12" xfId="169" applyFont="1" applyFill="1" applyBorder="1" applyAlignment="1">
      <alignment horizontal="center" vertical="center"/>
      <protection locked="0"/>
    </xf>
    <xf numFmtId="203" fontId="3" fillId="31" borderId="11" xfId="169" applyFont="1" applyFill="1" applyBorder="1" applyAlignment="1">
      <alignment horizontal="center" vertical="center"/>
      <protection locked="0"/>
    </xf>
    <xf numFmtId="203" fontId="3" fillId="31" borderId="16" xfId="169" applyFont="1" applyFill="1" applyBorder="1" applyAlignment="1">
      <alignment horizontal="center" vertical="center"/>
      <protection locked="0"/>
    </xf>
    <xf numFmtId="203" fontId="3" fillId="31" borderId="12" xfId="169" applyFont="1" applyFill="1" applyBorder="1" applyAlignment="1">
      <alignment horizontal="center" vertical="center"/>
      <protection locked="0"/>
    </xf>
    <xf numFmtId="203" fontId="126" fillId="0" borderId="0" xfId="200" applyFont="1" applyAlignment="1">
      <alignment horizontal="center" vertical="center"/>
    </xf>
    <xf numFmtId="203" fontId="127" fillId="0" borderId="0" xfId="200" applyFont="1" applyAlignment="1">
      <alignment horizontal="center" vertical="center"/>
    </xf>
    <xf numFmtId="43" fontId="126" fillId="0" borderId="0" xfId="303" applyNumberFormat="1" applyFont="1" applyBorder="1" applyAlignment="1">
      <alignment horizontal="center" vertical="center"/>
    </xf>
    <xf numFmtId="43" fontId="127" fillId="0" borderId="0" xfId="303" applyNumberFormat="1" applyFont="1" applyBorder="1" applyAlignment="1">
      <alignment horizontal="center" vertical="center"/>
    </xf>
    <xf numFmtId="203" fontId="110" fillId="0" borderId="10" xfId="0" applyFont="1" applyBorder="1" applyAlignment="1">
      <alignment vertical="center" wrapText="1"/>
    </xf>
    <xf numFmtId="203" fontId="3" fillId="0" borderId="10" xfId="169" applyFont="1" applyBorder="1" applyAlignment="1">
      <alignment horizontal="center" vertical="center"/>
      <protection locked="0"/>
    </xf>
    <xf numFmtId="203" fontId="11" fillId="0" borderId="0" xfId="169" applyFont="1" applyAlignment="1">
      <alignment horizontal="left" vertical="center" wrapText="1"/>
      <protection locked="0"/>
    </xf>
    <xf numFmtId="203" fontId="3" fillId="10" borderId="10" xfId="169" applyFont="1" applyFill="1" applyBorder="1" applyAlignment="1">
      <alignment horizontal="center" vertical="center" wrapText="1"/>
      <protection locked="0"/>
    </xf>
    <xf numFmtId="203" fontId="5" fillId="10" borderId="10" xfId="169" applyFont="1" applyFill="1" applyBorder="1" applyAlignment="1">
      <alignment horizontal="center" vertical="center" wrapText="1"/>
      <protection locked="0"/>
    </xf>
    <xf numFmtId="203" fontId="3" fillId="10" borderId="10" xfId="169" applyFont="1" applyFill="1" applyBorder="1" applyAlignment="1">
      <alignment horizontal="center" vertical="center"/>
      <protection locked="0"/>
    </xf>
    <xf numFmtId="203" fontId="5" fillId="10" borderId="10" xfId="169" applyFont="1" applyFill="1" applyBorder="1" applyAlignment="1">
      <alignment horizontal="center" vertical="center"/>
      <protection locked="0"/>
    </xf>
    <xf numFmtId="203" fontId="109" fillId="0" borderId="10" xfId="0" applyFont="1" applyBorder="1" applyAlignment="1">
      <alignment vertical="center" wrapText="1"/>
    </xf>
    <xf numFmtId="203" fontId="11" fillId="0" borderId="10" xfId="4" applyFont="1" applyBorder="1" applyAlignment="1">
      <alignment horizontal="left" vertical="center" wrapText="1"/>
    </xf>
    <xf numFmtId="203" fontId="3" fillId="0" borderId="0" xfId="202" applyFont="1" applyAlignment="1">
      <alignment horizontal="left" vertical="center"/>
    </xf>
    <xf numFmtId="203" fontId="5" fillId="0" borderId="0" xfId="202" applyFont="1" applyAlignment="1">
      <alignment horizontal="left" vertical="center"/>
    </xf>
    <xf numFmtId="0" fontId="5" fillId="31" borderId="28" xfId="273" applyFont="1" applyFill="1" applyBorder="1" applyAlignment="1" applyProtection="1">
      <alignment horizontal="center" vertical="center"/>
      <protection locked="0"/>
    </xf>
    <xf numFmtId="203" fontId="3" fillId="31" borderId="28" xfId="314" applyFont="1" applyFill="1" applyBorder="1" applyAlignment="1">
      <alignment horizontal="center" vertical="center" wrapText="1"/>
      <protection locked="0"/>
    </xf>
    <xf numFmtId="43" fontId="6" fillId="0" borderId="28" xfId="316" applyFont="1" applyBorder="1" applyAlignment="1" applyProtection="1">
      <alignment horizontal="center" vertical="center"/>
      <protection locked="0"/>
    </xf>
    <xf numFmtId="203" fontId="3" fillId="32" borderId="28" xfId="315" applyFont="1" applyFill="1" applyBorder="1" applyAlignment="1">
      <alignment horizontal="center" vertical="center" wrapText="1"/>
    </xf>
    <xf numFmtId="203" fontId="3" fillId="31" borderId="28" xfId="314" applyFont="1" applyFill="1" applyBorder="1" applyAlignment="1">
      <alignment horizontal="center" vertical="center"/>
      <protection locked="0"/>
    </xf>
    <xf numFmtId="203" fontId="5" fillId="31" borderId="28" xfId="314" applyFont="1" applyFill="1" applyBorder="1" applyAlignment="1">
      <alignment horizontal="center" vertical="center"/>
      <protection locked="0"/>
    </xf>
    <xf numFmtId="43" fontId="5" fillId="10" borderId="28" xfId="316" applyFont="1" applyFill="1" applyBorder="1" applyAlignment="1" applyProtection="1">
      <alignment horizontal="center" vertical="center"/>
      <protection locked="0"/>
    </xf>
    <xf numFmtId="203" fontId="3" fillId="31" borderId="28" xfId="312" applyFont="1" applyFill="1" applyBorder="1" applyAlignment="1">
      <alignment horizontal="center" vertical="center"/>
      <protection locked="0"/>
    </xf>
    <xf numFmtId="14" fontId="3" fillId="31" borderId="28" xfId="169" applyNumberFormat="1" applyFont="1" applyFill="1" applyBorder="1" applyAlignment="1">
      <alignment horizontal="center" vertical="center"/>
      <protection locked="0"/>
    </xf>
    <xf numFmtId="43" fontId="5" fillId="10" borderId="29" xfId="316" applyFont="1" applyFill="1" applyBorder="1" applyAlignment="1" applyProtection="1">
      <alignment horizontal="center" vertical="center"/>
      <protection locked="0"/>
    </xf>
    <xf numFmtId="43" fontId="5" fillId="10" borderId="30" xfId="316" applyFont="1" applyFill="1" applyBorder="1" applyAlignment="1" applyProtection="1">
      <alignment horizontal="center" vertical="center"/>
      <protection locked="0"/>
    </xf>
  </cellXfs>
  <cellStyles count="318">
    <cellStyle name="%" xfId="7"/>
    <cellStyle name="?" xfId="8"/>
    <cellStyle name="?餡_x000c_k" xfId="9"/>
    <cellStyle name="?餡_x000c_k?_x000d_^" xfId="10"/>
    <cellStyle name="?餡_x000c_k?_x000d_^黇_x0001_??_x0007__x0001__x0001_" xfId="11"/>
    <cellStyle name="@_text" xfId="12"/>
    <cellStyle name="_2005审计报表及附注-中国建材股份模板（房屋）" xfId="13"/>
    <cellStyle name="_2006年年报审计PBC表-XXX" xfId="14"/>
    <cellStyle name="_2006年年报审计填报资料" xfId="15"/>
    <cellStyle name="_Book1" xfId="16"/>
    <cellStyle name="_J1000-存货-ZHHG" xfId="17"/>
    <cellStyle name="_PBC审核提示" xfId="18"/>
    <cellStyle name="_宝丽华房地产20051231" xfId="19"/>
    <cellStyle name="_保证金-企业填写部分" xfId="20"/>
    <cellStyle name="_北新房屋2004年审-刘" xfId="21"/>
    <cellStyle name="_北新股份2005年审工作底稿" xfId="22"/>
    <cellStyle name="_北新建材关连交易基础表051230（10－12月版）更新稿" xfId="23"/>
    <cellStyle name="_北新建材-会计报表附注模版" xfId="24"/>
    <cellStyle name="_北新龙之星2004年审工作底稿" xfId="25"/>
    <cellStyle name="_北新物流2005底稿-刘" xfId="26"/>
    <cellStyle name="_北新置换memo" xfId="27"/>
    <cellStyle name="_存货结转测试" xfId="28"/>
    <cellStyle name="_存货数量与明细05.12" xfId="29"/>
    <cellStyle name="_动力厂2004年审工作底稿-刘" xfId="30"/>
    <cellStyle name="_分工" xfId="31"/>
    <cellStyle name="_工程施工项目现场审计提示" xfId="32"/>
    <cellStyle name="_关联交易" xfId="33"/>
    <cellStyle name="_关联交易、往来统计表" xfId="34"/>
    <cellStyle name="_建造合同-宜万指（正式版）" xfId="35"/>
    <cellStyle name="_科目核对表" xfId="36"/>
    <cellStyle name="_母PL" xfId="37"/>
    <cellStyle name="_人员分工备忘录" xfId="38"/>
    <cellStyle name="_审计所需资料清单－子公司" xfId="39"/>
    <cellStyle name="_一公司建造合同前5名" xfId="40"/>
    <cellStyle name="_一公司－刘丰收" xfId="41"/>
    <cellStyle name="_长期借款－江阴" xfId="42"/>
    <cellStyle name="_子公司审计提示模版-Liufs" xfId="43"/>
    <cellStyle name="{Comma [0]}" xfId="44"/>
    <cellStyle name="{Comma}" xfId="45"/>
    <cellStyle name="{Date}" xfId="46"/>
    <cellStyle name="{Month}" xfId="47"/>
    <cellStyle name="{Percent}" xfId="48"/>
    <cellStyle name="{Thousand [0]}" xfId="49"/>
    <cellStyle name="{Thousand}" xfId="50"/>
    <cellStyle name="{Z'0000(1 dec)}" xfId="51"/>
    <cellStyle name="{Z'0000(4 dec)}" xfId="52"/>
    <cellStyle name="0%" xfId="53"/>
    <cellStyle name="0,0_x000d__x000a_NA_x000d__x000a_" xfId="54"/>
    <cellStyle name="0.0%" xfId="55"/>
    <cellStyle name="0.00%" xfId="56"/>
    <cellStyle name="20% - Accent1" xfId="212"/>
    <cellStyle name="20% - Accent2" xfId="213"/>
    <cellStyle name="20% - Accent3" xfId="214"/>
    <cellStyle name="20% - Accent4" xfId="215"/>
    <cellStyle name="20% - Accent5" xfId="216"/>
    <cellStyle name="20% - Accent6" xfId="217"/>
    <cellStyle name="40% - Accent1" xfId="218"/>
    <cellStyle name="40% - Accent2" xfId="219"/>
    <cellStyle name="40% - Accent3" xfId="220"/>
    <cellStyle name="40% - Accent4" xfId="221"/>
    <cellStyle name="40% - Accent5" xfId="222"/>
    <cellStyle name="40% - Accent6" xfId="223"/>
    <cellStyle name="60% - Accent1" xfId="224"/>
    <cellStyle name="60% - Accent2" xfId="225"/>
    <cellStyle name="60% - Accent3" xfId="226"/>
    <cellStyle name="60% - Accent4" xfId="227"/>
    <cellStyle name="60% - Accent5" xfId="228"/>
    <cellStyle name="60% - Accent6" xfId="229"/>
    <cellStyle name="Accent1" xfId="230"/>
    <cellStyle name="Accent2" xfId="231"/>
    <cellStyle name="Accent3" xfId="232"/>
    <cellStyle name="Accent4" xfId="233"/>
    <cellStyle name="Accent5" xfId="234"/>
    <cellStyle name="Accent6" xfId="235"/>
    <cellStyle name="Bad" xfId="236"/>
    <cellStyle name="Black" xfId="57"/>
    <cellStyle name="Border" xfId="58"/>
    <cellStyle name="Calc Currency (0)" xfId="59"/>
    <cellStyle name="Calc Currency (2)" xfId="60"/>
    <cellStyle name="Calc Percent (0)" xfId="61"/>
    <cellStyle name="Calc Percent (1)" xfId="62"/>
    <cellStyle name="Calc Percent (2)" xfId="63"/>
    <cellStyle name="Calc Units (0)" xfId="64"/>
    <cellStyle name="Calc Units (1)" xfId="65"/>
    <cellStyle name="Calc Units (2)" xfId="66"/>
    <cellStyle name="Calculation" xfId="237"/>
    <cellStyle name="category" xfId="67"/>
    <cellStyle name="Check Cell" xfId="238"/>
    <cellStyle name="Col Heads" xfId="68"/>
    <cellStyle name="Column_Title" xfId="69"/>
    <cellStyle name="Comma  - Style1" xfId="70"/>
    <cellStyle name="Comma  - Style2" xfId="71"/>
    <cellStyle name="Comma  - Style3" xfId="72"/>
    <cellStyle name="Comma  - Style4" xfId="73"/>
    <cellStyle name="Comma  - Style5" xfId="74"/>
    <cellStyle name="Comma  - Style6" xfId="75"/>
    <cellStyle name="Comma  - Style7" xfId="76"/>
    <cellStyle name="Comma  - Style8" xfId="77"/>
    <cellStyle name="Comma [0]_ rislugp" xfId="78"/>
    <cellStyle name="Comma [00]" xfId="79"/>
    <cellStyle name="Comma 28" xfId="80"/>
    <cellStyle name="comma zerodec" xfId="81"/>
    <cellStyle name="Comma,0" xfId="82"/>
    <cellStyle name="Comma,1" xfId="83"/>
    <cellStyle name="Comma,2" xfId="84"/>
    <cellStyle name="Comma_ rislugp" xfId="85"/>
    <cellStyle name="Currency [0]_ rislugp" xfId="86"/>
    <cellStyle name="Currency [00]" xfId="87"/>
    <cellStyle name="Currency,0" xfId="88"/>
    <cellStyle name="Currency,2" xfId="89"/>
    <cellStyle name="Currency_ rislugp" xfId="90"/>
    <cellStyle name="Currency1" xfId="91"/>
    <cellStyle name="Date Short" xfId="92"/>
    <cellStyle name="Dezimal [0]_laroux" xfId="93"/>
    <cellStyle name="Dezimal_laroux" xfId="94"/>
    <cellStyle name="Dollar (zero dec)" xfId="95"/>
    <cellStyle name="Enter Currency (0)" xfId="96"/>
    <cellStyle name="Enter Currency (2)" xfId="97"/>
    <cellStyle name="Enter Units (0)" xfId="98"/>
    <cellStyle name="Enter Units (1)" xfId="99"/>
    <cellStyle name="Enter Units (2)" xfId="100"/>
    <cellStyle name="entry" xfId="101"/>
    <cellStyle name="entry box" xfId="102"/>
    <cellStyle name="Euro" xfId="103"/>
    <cellStyle name="Explanatory Text" xfId="239"/>
    <cellStyle name="Followed Hyperlink_AheadBehind.xls Chart 23" xfId="104"/>
    <cellStyle name="Good" xfId="240"/>
    <cellStyle name="Grey" xfId="105"/>
    <cellStyle name="HEADER" xfId="106"/>
    <cellStyle name="Header1" xfId="107"/>
    <cellStyle name="Header2" xfId="108"/>
    <cellStyle name="Heading" xfId="109"/>
    <cellStyle name="Heading 1" xfId="241"/>
    <cellStyle name="Heading 2" xfId="242"/>
    <cellStyle name="Heading 3" xfId="243"/>
    <cellStyle name="Heading 4" xfId="244"/>
    <cellStyle name="Hyperlink_AheadBehind.xls Chart 23" xfId="110"/>
    <cellStyle name="Input" xfId="245"/>
    <cellStyle name="Input [yellow]" xfId="111"/>
    <cellStyle name="left" xfId="112"/>
    <cellStyle name="Link Currency (0)" xfId="113"/>
    <cellStyle name="Link Currency (2)" xfId="114"/>
    <cellStyle name="Link Units (0)" xfId="115"/>
    <cellStyle name="Link Units (1)" xfId="116"/>
    <cellStyle name="Link Units (2)" xfId="117"/>
    <cellStyle name="Linked Cell" xfId="246"/>
    <cellStyle name="Millares [0]_laroux" xfId="118"/>
    <cellStyle name="Millares_laroux" xfId="119"/>
    <cellStyle name="Milliers [0]_laroux" xfId="120"/>
    <cellStyle name="Milliers_laroux" xfId="121"/>
    <cellStyle name="Model" xfId="122"/>
    <cellStyle name="Moneda [0]_laroux" xfId="123"/>
    <cellStyle name="Moneda_laroux" xfId="124"/>
    <cellStyle name="Mon閠aire [0]_laroux" xfId="125"/>
    <cellStyle name="Mon閠aire_laroux" xfId="126"/>
    <cellStyle name="Neutral" xfId="247"/>
    <cellStyle name="no dec" xfId="127"/>
    <cellStyle name="Non défini" xfId="128"/>
    <cellStyle name="Normal - Style1" xfId="129"/>
    <cellStyle name="Normal 2" xfId="248"/>
    <cellStyle name="Normal 2 2" xfId="249"/>
    <cellStyle name="Normal 21" xfId="130"/>
    <cellStyle name="Normal 3 2" xfId="250"/>
    <cellStyle name="Normal_ rislugp" xfId="131"/>
    <cellStyle name="Normalny_Arkusz1" xfId="132"/>
    <cellStyle name="Note" xfId="251"/>
    <cellStyle name="Output" xfId="252"/>
    <cellStyle name="Percent (0)" xfId="133"/>
    <cellStyle name="Percent [0]" xfId="134"/>
    <cellStyle name="Percent [00]" xfId="135"/>
    <cellStyle name="Percent [2]" xfId="136"/>
    <cellStyle name="Prefilled" xfId="137"/>
    <cellStyle name="PrePop Currency (0)" xfId="138"/>
    <cellStyle name="PrePop Currency (2)" xfId="139"/>
    <cellStyle name="PrePop Units (0)" xfId="140"/>
    <cellStyle name="PrePop Units (1)" xfId="141"/>
    <cellStyle name="PrePop Units (2)" xfId="142"/>
    <cellStyle name="price" xfId="143"/>
    <cellStyle name="Red" xfId="144"/>
    <cellStyle name="revised" xfId="145"/>
    <cellStyle name="section" xfId="146"/>
    <cellStyle name="SOR" xfId="147"/>
    <cellStyle name="style" xfId="148"/>
    <cellStyle name="style1" xfId="149"/>
    <cellStyle name="style2" xfId="150"/>
    <cellStyle name="subhead" xfId="151"/>
    <cellStyle name="Text Indent A" xfId="152"/>
    <cellStyle name="Text Indent B" xfId="153"/>
    <cellStyle name="Text Indent C" xfId="154"/>
    <cellStyle name="Tickmark" xfId="155"/>
    <cellStyle name="title" xfId="156"/>
    <cellStyle name="Total" xfId="253"/>
    <cellStyle name="Warning Text" xfId="254"/>
    <cellStyle name="wrap" xfId="157"/>
    <cellStyle name="パーセント_laroux" xfId="158"/>
    <cellStyle name="_PLDT" xfId="159"/>
    <cellStyle name="_Total (2)" xfId="160"/>
    <cellStyle name="だ[0]_PLDT" xfId="161"/>
    <cellStyle name="だ_PLDT" xfId="162"/>
    <cellStyle name="だ[0]_Total (2)" xfId="163"/>
    <cellStyle name="だ_Total (2)" xfId="164"/>
    <cellStyle name="百分比" xfId="2" builtinId="5"/>
    <cellStyle name="百分比 2" xfId="165"/>
    <cellStyle name="百分比 2 2" xfId="308"/>
    <cellStyle name="百分比 3" xfId="166"/>
    <cellStyle name="標準_１１月価格表" xfId="167"/>
    <cellStyle name="差_T1000-主营业务收入-LJCH" xfId="168"/>
    <cellStyle name="常规" xfId="0" builtinId="0"/>
    <cellStyle name="常规 10" xfId="255"/>
    <cellStyle name="常规 10 2" xfId="256"/>
    <cellStyle name="常规 10 3" xfId="257"/>
    <cellStyle name="常规 10 4" xfId="258"/>
    <cellStyle name="常规 11 2" xfId="259"/>
    <cellStyle name="常规 11 3" xfId="260"/>
    <cellStyle name="常规 11 4" xfId="261"/>
    <cellStyle name="常规 11 5" xfId="317"/>
    <cellStyle name="常规 12 2" xfId="262"/>
    <cellStyle name="常规 12 3" xfId="263"/>
    <cellStyle name="常规 12 4" xfId="264"/>
    <cellStyle name="常规 13 2" xfId="265"/>
    <cellStyle name="常规 13 3" xfId="266"/>
    <cellStyle name="常规 13 4" xfId="267"/>
    <cellStyle name="常规 2" xfId="169"/>
    <cellStyle name="常规 2 2" xfId="209"/>
    <cellStyle name="常规 2 2 2" xfId="268"/>
    <cellStyle name="常规 2 2 3" xfId="269"/>
    <cellStyle name="常规 2 2 3 3" xfId="310"/>
    <cellStyle name="常规 2 2 4" xfId="304"/>
    <cellStyle name="常规 2 2 5" xfId="314"/>
    <cellStyle name="常规 2 3" xfId="270"/>
    <cellStyle name="常规 2 3 2" xfId="271"/>
    <cellStyle name="常规 2 3 4" xfId="311"/>
    <cellStyle name="常规 2 4" xfId="272"/>
    <cellStyle name="常规 2 5" xfId="273"/>
    <cellStyle name="常规 2 6" xfId="274"/>
    <cellStyle name="常规 2 7" xfId="275"/>
    <cellStyle name="常规 2 8" xfId="276"/>
    <cellStyle name="常规 2 8 2" xfId="312"/>
    <cellStyle name="常规 2 9" xfId="315"/>
    <cellStyle name="常规 2_经销商信息-1-原始表" xfId="277"/>
    <cellStyle name="常规 3" xfId="170"/>
    <cellStyle name="常规 3 2" xfId="211"/>
    <cellStyle name="常规 3 3" xfId="278"/>
    <cellStyle name="常规 3 4" xfId="279"/>
    <cellStyle name="常规 4" xfId="171"/>
    <cellStyle name="常规 4 2" xfId="280"/>
    <cellStyle name="常规 4 2 2" xfId="305"/>
    <cellStyle name="常规 4 3" xfId="281"/>
    <cellStyle name="常规 4 4" xfId="282"/>
    <cellStyle name="常规 5" xfId="172"/>
    <cellStyle name="常规 5 2" xfId="283"/>
    <cellStyle name="常规 5 3" xfId="284"/>
    <cellStyle name="常规 5 4" xfId="285"/>
    <cellStyle name="常规 6" xfId="204"/>
    <cellStyle name="常规 6 2" xfId="286"/>
    <cellStyle name="常规 6 3" xfId="287"/>
    <cellStyle name="常规 6 4" xfId="288"/>
    <cellStyle name="常规 6 5" xfId="289"/>
    <cellStyle name="常规 7" xfId="290"/>
    <cellStyle name="常规 7 2" xfId="291"/>
    <cellStyle name="常规 7 3" xfId="292"/>
    <cellStyle name="常规 7 4" xfId="293"/>
    <cellStyle name="常规 8" xfId="294"/>
    <cellStyle name="常规 8 2" xfId="295"/>
    <cellStyle name="常规 8 3" xfId="296"/>
    <cellStyle name="常规 8 4" xfId="297"/>
    <cellStyle name="常规 9" xfId="298"/>
    <cellStyle name="常规 9 2" xfId="299"/>
    <cellStyle name="常规 9 3" xfId="300"/>
    <cellStyle name="常规 9 4" xfId="301"/>
    <cellStyle name="常规_2-1项目审定表－模板" xfId="4"/>
    <cellStyle name="常规_Book1" xfId="200"/>
    <cellStyle name="常规_Book1 2" xfId="208"/>
    <cellStyle name="常规_c-资产类" xfId="6"/>
    <cellStyle name="常规_c-资产类 2" xfId="307"/>
    <cellStyle name="常规_T1000-主营业务收入" xfId="205"/>
    <cellStyle name="常规_进一步审计程序--销售与收款循环" xfId="202"/>
    <cellStyle name="常规_进一步审计程序--销售与收款循环 2" xfId="313"/>
    <cellStyle name="常规_新审定表" xfId="3"/>
    <cellStyle name="常规_新审定表 2" xfId="207"/>
    <cellStyle name="常规_新审定表 3" xfId="303"/>
    <cellStyle name="常规_制造费用" xfId="201"/>
    <cellStyle name="常规_制造费用 2" xfId="210"/>
    <cellStyle name="超级链接_B4-1审计项目工时预算与控制表(集团)" xfId="173"/>
    <cellStyle name="超链接" xfId="5" builtinId="8"/>
    <cellStyle name="超链接 2" xfId="174"/>
    <cellStyle name="超链接 2 2" xfId="302"/>
    <cellStyle name="超链接 2 3" xfId="306"/>
    <cellStyle name="超链接 3" xfId="203"/>
    <cellStyle name="分级显示行_1_4附件二凯旋评估表" xfId="175"/>
    <cellStyle name="好_T1000-主营业务收入" xfId="176"/>
    <cellStyle name="桁区切り [0.00]_１１月価格表" xfId="177"/>
    <cellStyle name="桁区切り_１１月価格表" xfId="178"/>
    <cellStyle name="霓付 [0]_97MBO" xfId="179"/>
    <cellStyle name="霓付_97MBO" xfId="180"/>
    <cellStyle name="烹拳 [0]_97MBO" xfId="181"/>
    <cellStyle name="烹拳_97MBO" xfId="182"/>
    <cellStyle name="砯刽 [0]_PLDT" xfId="183"/>
    <cellStyle name="砯刽_PLDT" xfId="184"/>
    <cellStyle name="普通_ 白土" xfId="185"/>
    <cellStyle name="千分位[0]_ 白土" xfId="186"/>
    <cellStyle name="千分位_ 白土" xfId="187"/>
    <cellStyle name="千位[0]_ 应交税金审定表" xfId="188"/>
    <cellStyle name="千位_ 应交税金审定表" xfId="189"/>
    <cellStyle name="千位分隔" xfId="1" builtinId="3"/>
    <cellStyle name="千位分隔 2" xfId="190"/>
    <cellStyle name="千位分隔 2 4" xfId="309"/>
    <cellStyle name="千位分隔 3" xfId="206"/>
    <cellStyle name="千位分隔 6" xfId="316"/>
    <cellStyle name="钎霖_laroux" xfId="191"/>
    <cellStyle name="通貨 [0.00]_１１月価格表" xfId="192"/>
    <cellStyle name="通貨_１１月価格表" xfId="193"/>
    <cellStyle name="样式 1" xfId="194"/>
    <cellStyle name="콤마 [0]_BOILER-CO1" xfId="195"/>
    <cellStyle name="콤마_BOILER-CO1" xfId="196"/>
    <cellStyle name="통화 [0]_BOILER-CO1" xfId="197"/>
    <cellStyle name="통화_BOILER-CO1" xfId="198"/>
    <cellStyle name="표준_0N-HANDLING " xfId="199"/>
  </cellStyles>
  <dxfs count="3">
    <dxf>
      <font>
        <condense val="0"/>
        <extend val="0"/>
        <color indexed="10"/>
      </font>
    </dxf>
    <dxf>
      <font>
        <condense val="0"/>
        <extend val="0"/>
        <color indexed="10"/>
      </font>
    </dxf>
    <dxf>
      <font>
        <condense val="0"/>
        <extend val="0"/>
        <color indexed="12"/>
      </font>
    </dxf>
  </dxfs>
  <tableStyles count="0" defaultTableStyle="TableStyleMedium2" defaultPivotStyle="PivotStyleLight16"/>
  <colors>
    <mruColors>
      <color rgb="FFE4DFE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1"/>
  <sheetViews>
    <sheetView tabSelected="1" workbookViewId="0"/>
  </sheetViews>
  <sheetFormatPr defaultColWidth="9" defaultRowHeight="20.25" customHeight="1"/>
  <cols>
    <col min="1" max="1" width="80.77734375" style="56" customWidth="1"/>
    <col min="2" max="2" width="2" style="56" customWidth="1"/>
    <col min="3" max="3" width="2.109375" style="56" customWidth="1"/>
    <col min="4" max="4" width="6.109375" style="55" customWidth="1"/>
    <col min="5" max="5" width="33.33203125" style="55" customWidth="1"/>
    <col min="6" max="16384" width="9" style="57"/>
  </cols>
  <sheetData>
    <row r="1" spans="1:7" s="52" customFormat="1" ht="20.25" customHeight="1">
      <c r="A1" s="50" t="s">
        <v>83</v>
      </c>
      <c r="B1" s="51"/>
      <c r="C1" s="51"/>
    </row>
    <row r="2" spans="1:7" ht="20.25" customHeight="1">
      <c r="A2" s="101" t="s">
        <v>256</v>
      </c>
      <c r="B2" s="54"/>
      <c r="C2" s="54"/>
      <c r="F2" s="54"/>
      <c r="G2" s="54"/>
    </row>
    <row r="3" spans="1:7" ht="20.25" customHeight="1">
      <c r="A3" s="53" t="s">
        <v>397</v>
      </c>
      <c r="B3" s="54"/>
      <c r="C3" s="54"/>
      <c r="D3" s="214" t="s">
        <v>348</v>
      </c>
      <c r="E3" s="214" t="s">
        <v>349</v>
      </c>
      <c r="F3" s="214" t="s">
        <v>350</v>
      </c>
      <c r="G3" s="58"/>
    </row>
    <row r="4" spans="1:7" ht="20.25" customHeight="1">
      <c r="A4" s="53" t="s">
        <v>84</v>
      </c>
      <c r="D4" s="236"/>
      <c r="E4" s="237" t="s">
        <v>165</v>
      </c>
      <c r="F4" s="238" t="s">
        <v>261</v>
      </c>
      <c r="G4" s="54"/>
    </row>
    <row r="5" spans="1:7" ht="20.25" customHeight="1">
      <c r="A5" s="101" t="s">
        <v>206</v>
      </c>
      <c r="D5" s="236">
        <v>1</v>
      </c>
      <c r="E5" s="237" t="s">
        <v>265</v>
      </c>
      <c r="F5" s="238" t="s">
        <v>323</v>
      </c>
    </row>
    <row r="6" spans="1:7" ht="20.25" customHeight="1">
      <c r="A6" s="101" t="s">
        <v>207</v>
      </c>
      <c r="D6" s="236">
        <v>2</v>
      </c>
      <c r="E6" s="239" t="s">
        <v>266</v>
      </c>
      <c r="F6" s="238"/>
    </row>
    <row r="7" spans="1:7" ht="20.25" customHeight="1">
      <c r="A7" s="101" t="s">
        <v>208</v>
      </c>
      <c r="D7" s="236">
        <v>3</v>
      </c>
      <c r="E7" s="239" t="s">
        <v>267</v>
      </c>
      <c r="F7" s="238"/>
    </row>
    <row r="8" spans="1:7" ht="20.25" customHeight="1">
      <c r="A8" s="59"/>
      <c r="D8" s="236">
        <v>4</v>
      </c>
      <c r="E8" s="239" t="s">
        <v>268</v>
      </c>
      <c r="F8" s="238" t="s">
        <v>262</v>
      </c>
    </row>
    <row r="9" spans="1:7" ht="20.25" customHeight="1">
      <c r="A9" s="266" t="s">
        <v>398</v>
      </c>
      <c r="D9" s="236">
        <v>5</v>
      </c>
      <c r="E9" s="239" t="s">
        <v>220</v>
      </c>
      <c r="F9" s="238" t="s">
        <v>263</v>
      </c>
    </row>
    <row r="10" spans="1:7" ht="20.25" customHeight="1">
      <c r="A10" s="282" t="s">
        <v>399</v>
      </c>
      <c r="D10" s="236">
        <v>6</v>
      </c>
      <c r="E10" s="239" t="s">
        <v>269</v>
      </c>
      <c r="F10" s="238" t="s">
        <v>324</v>
      </c>
    </row>
    <row r="11" spans="1:7" ht="20.25" customHeight="1">
      <c r="A11" s="282"/>
      <c r="D11" s="236">
        <v>7</v>
      </c>
      <c r="E11" s="239" t="s">
        <v>222</v>
      </c>
      <c r="F11" s="238" t="s">
        <v>264</v>
      </c>
    </row>
    <row r="12" spans="1:7" ht="20.25" customHeight="1">
      <c r="A12" s="282"/>
      <c r="D12" s="60"/>
      <c r="E12" s="61"/>
    </row>
    <row r="13" spans="1:7" ht="20.25" customHeight="1">
      <c r="A13" s="282"/>
      <c r="D13" s="60"/>
      <c r="E13" s="61"/>
    </row>
    <row r="14" spans="1:7" ht="20.25" customHeight="1">
      <c r="A14" s="282" t="s">
        <v>400</v>
      </c>
      <c r="D14" s="60"/>
      <c r="E14" s="61"/>
    </row>
    <row r="15" spans="1:7" ht="20.25" customHeight="1">
      <c r="A15" s="282"/>
      <c r="D15" s="60"/>
      <c r="E15" s="62"/>
    </row>
    <row r="16" spans="1:7" ht="15.6">
      <c r="A16" s="282"/>
      <c r="D16" s="60"/>
      <c r="E16" s="62"/>
    </row>
    <row r="17" spans="1:5" ht="20.25" customHeight="1">
      <c r="A17" s="283" t="s">
        <v>401</v>
      </c>
      <c r="D17" s="60"/>
      <c r="E17" s="62"/>
    </row>
    <row r="18" spans="1:5" ht="15.6">
      <c r="A18" s="283"/>
      <c r="D18" s="60"/>
      <c r="E18" s="62"/>
    </row>
    <row r="19" spans="1:5" ht="15.6">
      <c r="A19" s="283"/>
      <c r="D19" s="60"/>
      <c r="E19" s="62"/>
    </row>
    <row r="20" spans="1:5" ht="20.25" customHeight="1">
      <c r="A20" s="64"/>
      <c r="D20" s="60"/>
      <c r="E20" s="63"/>
    </row>
    <row r="21" spans="1:5" ht="20.25" customHeight="1">
      <c r="D21" s="60"/>
      <c r="E21" s="63"/>
    </row>
  </sheetData>
  <mergeCells count="3">
    <mergeCell ref="A10:A13"/>
    <mergeCell ref="A14:A16"/>
    <mergeCell ref="A17:A19"/>
  </mergeCells>
  <phoneticPr fontId="4" type="noConversion"/>
  <hyperlinks>
    <hyperlink ref="E5" location="'审定表G11-1'!A1" display="审定表"/>
    <hyperlink ref="E6" location="'附注披露信息（上市公司）'!A1" display="附注披露信息（上市公司）"/>
    <hyperlink ref="E7" location="'附注披露信息（国企）'!A1" display="附注披露信息（国企）"/>
    <hyperlink ref="E8" location="'明细分析表G11-2'!A1" display="明细分析表"/>
    <hyperlink ref="E10" location="'收益率分析表G11-4'!A1" display="收益率分析表"/>
    <hyperlink ref="E11" location="'凭证检查表G11-5'!A1" display="凭证检查表"/>
    <hyperlink ref="E4" location="投资收益实质性程序表G11A!A1" display="投资收益实质性程序表"/>
    <hyperlink ref="E9" location="'调整分录汇总G11-3'!A1" display="调整分录汇总"/>
  </hyperlinks>
  <printOptions horizontalCentered="1"/>
  <pageMargins left="0.98425196850393704" right="0.35433070866141736" top="0.74803149606299213" bottom="0.6692913385826772" header="0.51181102362204722" footer="0.39370078740157483"/>
  <pageSetup paperSize="9" scale="68" orientation="landscape" blackAndWhite="1"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J22"/>
  <sheetViews>
    <sheetView view="pageBreakPreview" zoomScale="99" zoomScaleSheetLayoutView="99" workbookViewId="0">
      <selection sqref="A1:I1"/>
    </sheetView>
  </sheetViews>
  <sheetFormatPr defaultColWidth="9" defaultRowHeight="13.2"/>
  <cols>
    <col min="1" max="1" width="5.21875" style="86" customWidth="1"/>
    <col min="2" max="2" width="67.88671875" style="72" customWidth="1"/>
    <col min="3" max="3" width="12" style="72" customWidth="1"/>
    <col min="4" max="4" width="6.21875" style="72" customWidth="1"/>
    <col min="5" max="5" width="7.33203125" style="72" customWidth="1"/>
    <col min="6" max="6" width="7.5546875" style="72" customWidth="1"/>
    <col min="7" max="7" width="6.88671875" style="72" customWidth="1"/>
    <col min="8" max="8" width="6.33203125" style="72" customWidth="1"/>
    <col min="9" max="9" width="7.88671875" style="72" customWidth="1"/>
    <col min="10" max="16384" width="9" style="72"/>
  </cols>
  <sheetData>
    <row r="1" spans="1:10" s="179" customFormat="1" ht="19.95" customHeight="1">
      <c r="A1" s="292" t="s">
        <v>327</v>
      </c>
      <c r="B1" s="292"/>
      <c r="C1" s="292"/>
      <c r="D1" s="292"/>
      <c r="E1" s="292"/>
      <c r="F1" s="292"/>
      <c r="G1" s="292"/>
      <c r="H1" s="292"/>
      <c r="I1" s="292"/>
    </row>
    <row r="2" spans="1:10" s="183" customFormat="1" ht="19.95" customHeight="1">
      <c r="A2" s="293" t="s">
        <v>166</v>
      </c>
      <c r="B2" s="293"/>
      <c r="C2" s="293"/>
      <c r="D2" s="293"/>
      <c r="E2" s="293"/>
      <c r="F2" s="293"/>
      <c r="G2" s="293"/>
      <c r="H2" s="293"/>
      <c r="I2" s="293"/>
    </row>
    <row r="3" spans="1:10" s="200" customFormat="1" ht="19.95" customHeight="1">
      <c r="A3" s="294" t="str">
        <f>底稿目录!A2</f>
        <v>被审计单位：</v>
      </c>
      <c r="B3" s="294"/>
      <c r="C3" s="200" t="str">
        <f>底稿目录!A4</f>
        <v>编制人：</v>
      </c>
      <c r="F3" s="200" t="str">
        <f>底稿目录!A5</f>
        <v>编制日期：</v>
      </c>
      <c r="H3" s="199" t="s">
        <v>257</v>
      </c>
      <c r="I3" s="258" t="str">
        <f>底稿目录!F4</f>
        <v>G11A</v>
      </c>
    </row>
    <row r="4" spans="1:10" s="200" customFormat="1" ht="19.95" customHeight="1">
      <c r="A4" s="294" t="str">
        <f>底稿目录!A3</f>
        <v>会计期间：202X年度</v>
      </c>
      <c r="B4" s="294"/>
      <c r="C4" s="200" t="str">
        <f>底稿目录!A6</f>
        <v>复核人：</v>
      </c>
      <c r="F4" s="200" t="str">
        <f>底稿目录!A7</f>
        <v>复核日期：</v>
      </c>
      <c r="H4" s="199" t="s">
        <v>346</v>
      </c>
    </row>
    <row r="5" spans="1:10" ht="19.95" customHeight="1">
      <c r="A5" s="295" t="s">
        <v>125</v>
      </c>
      <c r="B5" s="295"/>
    </row>
    <row r="6" spans="1:10" ht="19.95" customHeight="1">
      <c r="A6" s="243" t="s">
        <v>167</v>
      </c>
      <c r="B6" s="242"/>
      <c r="C6" s="242"/>
      <c r="D6" s="242"/>
      <c r="E6" s="242"/>
      <c r="F6" s="242"/>
      <c r="G6" s="242"/>
      <c r="H6" s="242"/>
      <c r="I6" s="242"/>
    </row>
    <row r="7" spans="1:10" s="156" customFormat="1" ht="19.95" customHeight="1">
      <c r="A7" s="215" t="s">
        <v>289</v>
      </c>
      <c r="B7" s="216"/>
      <c r="C7" s="217"/>
      <c r="D7" s="218"/>
      <c r="E7" s="218"/>
      <c r="F7" s="218"/>
      <c r="G7" s="218"/>
      <c r="H7" s="218"/>
      <c r="I7" s="218"/>
    </row>
    <row r="8" spans="1:10" s="156" customFormat="1" ht="19.95" customHeight="1">
      <c r="A8" s="287" t="s">
        <v>290</v>
      </c>
      <c r="B8" s="287"/>
      <c r="C8" s="287"/>
      <c r="D8" s="287"/>
      <c r="E8" s="287"/>
      <c r="F8" s="287"/>
      <c r="G8" s="296" t="s">
        <v>128</v>
      </c>
      <c r="H8" s="296"/>
      <c r="I8" s="296"/>
    </row>
    <row r="9" spans="1:10" s="156" customFormat="1" ht="19.95" customHeight="1">
      <c r="A9" s="284" t="s">
        <v>370</v>
      </c>
      <c r="B9" s="284"/>
      <c r="C9" s="284"/>
      <c r="D9" s="284"/>
      <c r="E9" s="284"/>
      <c r="F9" s="284"/>
      <c r="G9" s="297" t="s">
        <v>315</v>
      </c>
      <c r="H9" s="297"/>
      <c r="I9" s="297"/>
    </row>
    <row r="10" spans="1:10" s="156" customFormat="1" ht="19.95" customHeight="1">
      <c r="A10" s="284" t="s">
        <v>393</v>
      </c>
      <c r="B10" s="284"/>
      <c r="C10" s="284"/>
      <c r="D10" s="284"/>
      <c r="E10" s="284"/>
      <c r="F10" s="284"/>
      <c r="G10" s="297" t="s">
        <v>291</v>
      </c>
      <c r="H10" s="297"/>
      <c r="I10" s="297"/>
    </row>
    <row r="11" spans="1:10" s="156" customFormat="1" ht="19.95" customHeight="1">
      <c r="A11" s="284" t="s">
        <v>394</v>
      </c>
      <c r="B11" s="284"/>
      <c r="C11" s="284"/>
      <c r="D11" s="284"/>
      <c r="E11" s="284"/>
      <c r="F11" s="284"/>
      <c r="G11" s="297" t="s">
        <v>316</v>
      </c>
      <c r="H11" s="297"/>
      <c r="I11" s="297"/>
    </row>
    <row r="12" spans="1:10" s="156" customFormat="1" ht="19.95" customHeight="1">
      <c r="A12" s="284" t="s">
        <v>395</v>
      </c>
      <c r="B12" s="284"/>
      <c r="C12" s="284"/>
      <c r="D12" s="284"/>
      <c r="E12" s="284"/>
      <c r="F12" s="284"/>
      <c r="G12" s="297" t="s">
        <v>318</v>
      </c>
      <c r="H12" s="297"/>
      <c r="I12" s="297"/>
    </row>
    <row r="13" spans="1:10" s="156" customFormat="1" ht="19.95" customHeight="1">
      <c r="A13" s="284" t="s">
        <v>396</v>
      </c>
      <c r="B13" s="284"/>
      <c r="C13" s="284"/>
      <c r="D13" s="284"/>
      <c r="E13" s="284"/>
      <c r="F13" s="284"/>
      <c r="G13" s="297" t="s">
        <v>292</v>
      </c>
      <c r="H13" s="297"/>
      <c r="I13" s="297"/>
    </row>
    <row r="14" spans="1:10" s="156" customFormat="1" ht="19.95" customHeight="1">
      <c r="A14" s="291" t="s">
        <v>369</v>
      </c>
      <c r="B14" s="291"/>
      <c r="C14" s="220"/>
      <c r="D14" s="219"/>
      <c r="E14" s="219"/>
      <c r="F14" s="219"/>
      <c r="G14" s="219"/>
      <c r="H14" s="219"/>
      <c r="I14" s="219"/>
    </row>
    <row r="15" spans="1:10" s="156" customFormat="1" ht="19.95" customHeight="1">
      <c r="A15" s="286" t="s">
        <v>293</v>
      </c>
      <c r="B15" s="287" t="s">
        <v>403</v>
      </c>
      <c r="C15" s="288" t="s">
        <v>294</v>
      </c>
      <c r="D15" s="289" t="s">
        <v>295</v>
      </c>
      <c r="E15" s="290"/>
      <c r="F15" s="290"/>
      <c r="G15" s="290"/>
      <c r="H15" s="290"/>
      <c r="I15" s="285" t="s">
        <v>296</v>
      </c>
    </row>
    <row r="16" spans="1:10" s="156" customFormat="1" ht="19.95" customHeight="1">
      <c r="A16" s="286"/>
      <c r="B16" s="287"/>
      <c r="C16" s="288"/>
      <c r="D16" s="260" t="s">
        <v>315</v>
      </c>
      <c r="E16" s="260" t="s">
        <v>319</v>
      </c>
      <c r="F16" s="259" t="s">
        <v>316</v>
      </c>
      <c r="G16" s="259" t="s">
        <v>317</v>
      </c>
      <c r="H16" s="259" t="s">
        <v>320</v>
      </c>
      <c r="I16" s="285"/>
      <c r="J16" s="267" t="s">
        <v>402</v>
      </c>
    </row>
    <row r="17" spans="1:9" ht="60" customHeight="1">
      <c r="A17" s="157" t="s">
        <v>297</v>
      </c>
      <c r="B17" s="158" t="s">
        <v>313</v>
      </c>
      <c r="C17" s="94" t="s">
        <v>180</v>
      </c>
      <c r="D17" s="245" t="s">
        <v>373</v>
      </c>
      <c r="E17" s="245" t="s">
        <v>373</v>
      </c>
      <c r="F17" s="246" t="s">
        <v>373</v>
      </c>
      <c r="G17" s="247"/>
      <c r="H17" s="247"/>
      <c r="I17" s="221" t="s">
        <v>379</v>
      </c>
    </row>
    <row r="18" spans="1:9" ht="54.6" customHeight="1">
      <c r="A18" s="157" t="s">
        <v>298</v>
      </c>
      <c r="B18" s="158" t="s">
        <v>304</v>
      </c>
      <c r="C18" s="94" t="s">
        <v>180</v>
      </c>
      <c r="D18" s="247"/>
      <c r="E18" s="246" t="s">
        <v>374</v>
      </c>
      <c r="F18" s="245" t="s">
        <v>374</v>
      </c>
      <c r="G18" s="247"/>
      <c r="H18" s="247"/>
      <c r="I18" s="251" t="s">
        <v>368</v>
      </c>
    </row>
    <row r="19" spans="1:9" ht="88.8" customHeight="1">
      <c r="A19" s="157" t="s">
        <v>161</v>
      </c>
      <c r="B19" s="262" t="s">
        <v>372</v>
      </c>
      <c r="C19" s="94" t="s">
        <v>180</v>
      </c>
      <c r="D19" s="246" t="s">
        <v>375</v>
      </c>
      <c r="E19" s="248" t="s">
        <v>375</v>
      </c>
      <c r="F19" s="246" t="s">
        <v>373</v>
      </c>
      <c r="G19" s="245" t="s">
        <v>376</v>
      </c>
      <c r="H19" s="247"/>
      <c r="I19" s="221" t="s">
        <v>380</v>
      </c>
    </row>
    <row r="20" spans="1:9" ht="41.4" customHeight="1">
      <c r="A20" s="157" t="s">
        <v>162</v>
      </c>
      <c r="B20" s="263" t="s">
        <v>193</v>
      </c>
      <c r="C20" s="244" t="s">
        <v>371</v>
      </c>
      <c r="D20" s="160" t="s">
        <v>301</v>
      </c>
      <c r="E20" s="159" t="s">
        <v>301</v>
      </c>
      <c r="F20" s="160" t="s">
        <v>301</v>
      </c>
      <c r="G20" s="159" t="s">
        <v>301</v>
      </c>
      <c r="H20" s="261"/>
      <c r="I20" s="261" t="s">
        <v>326</v>
      </c>
    </row>
    <row r="21" spans="1:9" ht="37.799999999999997" customHeight="1">
      <c r="A21" s="157" t="s">
        <v>300</v>
      </c>
      <c r="B21" s="264" t="s">
        <v>299</v>
      </c>
      <c r="C21" s="244" t="s">
        <v>371</v>
      </c>
      <c r="D21" s="160"/>
      <c r="E21" s="159"/>
      <c r="F21" s="160"/>
      <c r="G21" s="159"/>
      <c r="H21" s="261"/>
      <c r="I21" s="261"/>
    </row>
    <row r="22" spans="1:9" s="177" customFormat="1" ht="32.4" customHeight="1">
      <c r="A22" s="157" t="s">
        <v>322</v>
      </c>
      <c r="B22" s="249" t="s">
        <v>377</v>
      </c>
      <c r="C22" s="94" t="s">
        <v>180</v>
      </c>
      <c r="D22" s="265"/>
      <c r="E22" s="265"/>
      <c r="F22" s="265"/>
      <c r="G22" s="265"/>
      <c r="H22" s="159" t="s">
        <v>301</v>
      </c>
      <c r="I22" s="250" t="s">
        <v>378</v>
      </c>
    </row>
  </sheetData>
  <mergeCells count="23">
    <mergeCell ref="A8:F8"/>
    <mergeCell ref="A9:F9"/>
    <mergeCell ref="A10:F10"/>
    <mergeCell ref="A11:F11"/>
    <mergeCell ref="G8:I8"/>
    <mergeCell ref="G9:I9"/>
    <mergeCell ref="G10:I10"/>
    <mergeCell ref="G11:I11"/>
    <mergeCell ref="G12:I12"/>
    <mergeCell ref="A1:I1"/>
    <mergeCell ref="A2:I2"/>
    <mergeCell ref="A3:B3"/>
    <mergeCell ref="A4:B4"/>
    <mergeCell ref="A5:B5"/>
    <mergeCell ref="A12:F12"/>
    <mergeCell ref="A13:F13"/>
    <mergeCell ref="I15:I16"/>
    <mergeCell ref="A15:A16"/>
    <mergeCell ref="B15:B16"/>
    <mergeCell ref="C15:C16"/>
    <mergeCell ref="D15:H15"/>
    <mergeCell ref="A14:B14"/>
    <mergeCell ref="G13:I13"/>
  </mergeCells>
  <phoneticPr fontId="8" type="noConversion"/>
  <hyperlinks>
    <hyperlink ref="I3" location="底稿目录!F4" display="底稿目录!F4"/>
  </hyperlinks>
  <printOptions horizontalCentered="1"/>
  <pageMargins left="0.7" right="0.7" top="0.75" bottom="0.75" header="0.3" footer="0.3"/>
  <pageSetup paperSize="9" scale="70" fitToWidth="0" fitToHeight="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34"/>
  <sheetViews>
    <sheetView view="pageBreakPreview" topLeftCell="A16" zoomScaleSheetLayoutView="100" workbookViewId="0">
      <pane xSplit="1" ySplit="1" topLeftCell="B23" activePane="bottomRight" state="frozen"/>
      <selection activeCell="A5" sqref="A5:I6"/>
      <selection pane="topRight" activeCell="A5" sqref="A5:I6"/>
      <selection pane="bottomLeft" activeCell="A5" sqref="A5:I6"/>
      <selection pane="bottomRight" activeCell="A5" sqref="A5:I6"/>
    </sheetView>
  </sheetViews>
  <sheetFormatPr defaultColWidth="9" defaultRowHeight="30.75" customHeight="1" outlineLevelRow="1"/>
  <cols>
    <col min="1" max="1" width="8.33203125" style="86" customWidth="1"/>
    <col min="2" max="2" width="80.77734375" style="72" customWidth="1"/>
    <col min="3" max="3" width="9" style="72" customWidth="1"/>
    <col min="4" max="4" width="7.5546875" style="72" customWidth="1"/>
    <col min="5" max="6" width="9.109375" style="72" customWidth="1"/>
    <col min="7" max="7" width="0.77734375" style="72" customWidth="1"/>
    <col min="8" max="8" width="9.88671875" style="72" customWidth="1"/>
    <col min="9" max="9" width="6.21875" style="72" hidden="1" customWidth="1"/>
    <col min="10" max="10" width="9" style="72"/>
    <col min="11" max="11" width="11.77734375" style="72" customWidth="1"/>
    <col min="12" max="16384" width="9" style="72"/>
  </cols>
  <sheetData>
    <row r="1" spans="1:9" s="179" customFormat="1" ht="30.75" customHeight="1">
      <c r="A1" s="292" t="s">
        <v>327</v>
      </c>
      <c r="B1" s="292"/>
      <c r="C1" s="292"/>
      <c r="D1" s="292"/>
      <c r="E1" s="292"/>
      <c r="F1" s="292"/>
      <c r="G1" s="292"/>
      <c r="H1" s="292"/>
      <c r="I1" s="292"/>
    </row>
    <row r="2" spans="1:9" s="183" customFormat="1" ht="30.75" customHeight="1">
      <c r="A2" s="293" t="s">
        <v>166</v>
      </c>
      <c r="B2" s="293"/>
      <c r="C2" s="293"/>
      <c r="D2" s="293"/>
      <c r="E2" s="293"/>
      <c r="F2" s="293"/>
      <c r="G2" s="293"/>
      <c r="H2" s="293"/>
      <c r="I2" s="293"/>
    </row>
    <row r="3" spans="1:9" s="200" customFormat="1" ht="30.75" customHeight="1">
      <c r="A3" s="294" t="str">
        <f>底稿目录!A2</f>
        <v>被审计单位：</v>
      </c>
      <c r="B3" s="294"/>
      <c r="C3" s="200" t="str">
        <f>底稿目录!A4</f>
        <v>编制人：</v>
      </c>
      <c r="F3" s="200" t="str">
        <f>底稿目录!A5</f>
        <v>编制日期：</v>
      </c>
      <c r="H3" s="213" t="s">
        <v>257</v>
      </c>
      <c r="I3" s="200" t="str">
        <f>底稿目录!F4</f>
        <v>G11A</v>
      </c>
    </row>
    <row r="4" spans="1:9" s="200" customFormat="1" ht="30.75" customHeight="1">
      <c r="A4" s="294" t="str">
        <f>底稿目录!A3</f>
        <v>会计期间：202X年度</v>
      </c>
      <c r="B4" s="294"/>
      <c r="C4" s="200" t="str">
        <f>底稿目录!A6</f>
        <v>复核人：</v>
      </c>
      <c r="F4" s="200" t="str">
        <f>底稿目录!A7</f>
        <v>复核日期：</v>
      </c>
      <c r="H4" s="199" t="s">
        <v>347</v>
      </c>
    </row>
    <row r="5" spans="1:9" ht="26.25" customHeight="1">
      <c r="A5" s="295" t="s">
        <v>125</v>
      </c>
      <c r="B5" s="295"/>
    </row>
    <row r="6" spans="1:9" ht="26.25" customHeight="1">
      <c r="A6" s="298" t="s">
        <v>167</v>
      </c>
      <c r="B6" s="299"/>
      <c r="C6" s="299"/>
      <c r="D6" s="299"/>
      <c r="E6" s="299"/>
      <c r="F6" s="299"/>
      <c r="G6" s="299"/>
      <c r="H6" s="299"/>
      <c r="I6" s="300"/>
    </row>
    <row r="7" spans="1:9" s="71" customFormat="1" ht="26.25" customHeight="1">
      <c r="A7" s="73" t="s">
        <v>126</v>
      </c>
      <c r="B7" s="149"/>
      <c r="C7" s="74"/>
    </row>
    <row r="8" spans="1:9" s="71" customFormat="1" ht="22.5" customHeight="1">
      <c r="A8" s="302" t="s">
        <v>127</v>
      </c>
      <c r="B8" s="302"/>
      <c r="C8" s="303" t="s">
        <v>128</v>
      </c>
      <c r="D8" s="303"/>
      <c r="E8" s="303"/>
      <c r="F8" s="303"/>
      <c r="G8" s="303"/>
      <c r="H8" s="304" t="s">
        <v>129</v>
      </c>
      <c r="I8" s="305" t="s">
        <v>130</v>
      </c>
    </row>
    <row r="9" spans="1:9" s="71" customFormat="1" ht="22.5" customHeight="1">
      <c r="A9" s="302"/>
      <c r="B9" s="302"/>
      <c r="C9" s="75" t="s">
        <v>131</v>
      </c>
      <c r="D9" s="76" t="s">
        <v>132</v>
      </c>
      <c r="E9" s="75" t="s">
        <v>133</v>
      </c>
      <c r="F9" s="75" t="s">
        <v>134</v>
      </c>
      <c r="G9" s="76" t="s">
        <v>135</v>
      </c>
      <c r="H9" s="305"/>
      <c r="I9" s="305"/>
    </row>
    <row r="10" spans="1:9" s="71" customFormat="1" ht="30.75" customHeight="1">
      <c r="A10" s="306" t="s">
        <v>168</v>
      </c>
      <c r="B10" s="306"/>
      <c r="C10" s="76" t="s">
        <v>136</v>
      </c>
      <c r="D10" s="76"/>
      <c r="E10" s="76"/>
      <c r="F10" s="76"/>
      <c r="G10" s="76"/>
      <c r="H10" s="76"/>
      <c r="I10" s="77"/>
    </row>
    <row r="11" spans="1:9" s="71" customFormat="1" ht="30.75" customHeight="1">
      <c r="A11" s="306" t="s">
        <v>169</v>
      </c>
      <c r="B11" s="306"/>
      <c r="C11" s="151"/>
      <c r="D11" s="76" t="s">
        <v>136</v>
      </c>
      <c r="E11" s="76"/>
      <c r="F11" s="76"/>
      <c r="G11" s="76"/>
      <c r="H11" s="76"/>
      <c r="I11" s="77"/>
    </row>
    <row r="12" spans="1:9" s="71" customFormat="1" ht="30.75" customHeight="1">
      <c r="A12" s="306" t="s">
        <v>170</v>
      </c>
      <c r="B12" s="306"/>
      <c r="C12" s="151"/>
      <c r="D12" s="76"/>
      <c r="E12" s="76" t="s">
        <v>136</v>
      </c>
      <c r="F12" s="76"/>
      <c r="G12" s="76"/>
      <c r="H12" s="76"/>
      <c r="I12" s="77"/>
    </row>
    <row r="13" spans="1:9" s="71" customFormat="1" ht="30.75" customHeight="1">
      <c r="A13" s="306" t="s">
        <v>171</v>
      </c>
      <c r="B13" s="306"/>
      <c r="C13" s="151"/>
      <c r="D13" s="76"/>
      <c r="E13" s="76"/>
      <c r="F13" s="76" t="s">
        <v>136</v>
      </c>
      <c r="G13" s="76"/>
      <c r="H13" s="76"/>
      <c r="I13" s="77"/>
    </row>
    <row r="14" spans="1:9" s="71" customFormat="1" ht="30.75" customHeight="1">
      <c r="A14" s="306" t="s">
        <v>172</v>
      </c>
      <c r="B14" s="306"/>
      <c r="C14" s="151"/>
      <c r="D14" s="76"/>
      <c r="E14" s="76"/>
      <c r="F14" s="76"/>
      <c r="G14" s="76" t="s">
        <v>136</v>
      </c>
      <c r="H14" s="76"/>
      <c r="I14" s="76"/>
    </row>
    <row r="15" spans="1:9" s="71" customFormat="1" ht="30.75" customHeight="1">
      <c r="A15" s="295" t="s">
        <v>137</v>
      </c>
      <c r="B15" s="295"/>
      <c r="C15" s="74"/>
    </row>
    <row r="16" spans="1:9" s="71" customFormat="1" ht="30.75" customHeight="1">
      <c r="A16" s="78" t="s">
        <v>138</v>
      </c>
      <c r="B16" s="150" t="s">
        <v>139</v>
      </c>
      <c r="C16" s="150" t="s">
        <v>140</v>
      </c>
      <c r="D16" s="307" t="s">
        <v>141</v>
      </c>
      <c r="E16" s="308"/>
      <c r="F16" s="308"/>
      <c r="G16" s="309"/>
      <c r="H16" s="301" t="s">
        <v>142</v>
      </c>
      <c r="I16" s="301"/>
    </row>
    <row r="17" spans="1:11" s="71" customFormat="1" ht="30.75" customHeight="1">
      <c r="A17" s="78" t="s">
        <v>143</v>
      </c>
      <c r="B17" s="79" t="s">
        <v>144</v>
      </c>
      <c r="C17" s="80" t="s">
        <v>145</v>
      </c>
      <c r="D17" s="310" t="s">
        <v>187</v>
      </c>
      <c r="E17" s="310"/>
      <c r="F17" s="310"/>
      <c r="G17" s="310"/>
      <c r="H17" s="310" t="s">
        <v>173</v>
      </c>
      <c r="I17" s="310"/>
      <c r="J17" s="71" t="s">
        <v>303</v>
      </c>
      <c r="K17" s="315" t="s">
        <v>302</v>
      </c>
    </row>
    <row r="18" spans="1:11" ht="30.75" customHeight="1">
      <c r="A18" s="81" t="s">
        <v>147</v>
      </c>
      <c r="B18" s="82" t="s">
        <v>177</v>
      </c>
      <c r="C18" s="80" t="s">
        <v>145</v>
      </c>
      <c r="D18" s="310" t="s">
        <v>187</v>
      </c>
      <c r="E18" s="310"/>
      <c r="F18" s="310"/>
      <c r="G18" s="310"/>
      <c r="H18" s="310" t="s">
        <v>174</v>
      </c>
      <c r="I18" s="310"/>
      <c r="J18" s="71" t="s">
        <v>303</v>
      </c>
      <c r="K18" s="316"/>
    </row>
    <row r="19" spans="1:11" ht="30.75" customHeight="1" outlineLevel="1">
      <c r="A19" s="87" t="s">
        <v>148</v>
      </c>
      <c r="B19" s="88" t="s">
        <v>149</v>
      </c>
      <c r="C19" s="152" t="s">
        <v>150</v>
      </c>
      <c r="D19" s="305"/>
      <c r="E19" s="305"/>
      <c r="F19" s="305"/>
      <c r="G19" s="305"/>
      <c r="H19" s="305"/>
      <c r="I19" s="305"/>
      <c r="J19" s="71" t="s">
        <v>303</v>
      </c>
      <c r="K19" s="316"/>
    </row>
    <row r="20" spans="1:11" ht="30.75" customHeight="1" outlineLevel="1">
      <c r="A20" s="87" t="s">
        <v>160</v>
      </c>
      <c r="B20" s="88" t="s">
        <v>175</v>
      </c>
      <c r="C20" s="152" t="s">
        <v>150</v>
      </c>
      <c r="D20" s="305"/>
      <c r="E20" s="305"/>
      <c r="F20" s="305"/>
      <c r="G20" s="305"/>
      <c r="H20" s="305"/>
      <c r="I20" s="305"/>
      <c r="J20" s="71" t="s">
        <v>303</v>
      </c>
      <c r="K20" s="316"/>
    </row>
    <row r="21" spans="1:11" ht="30.75" customHeight="1" outlineLevel="1">
      <c r="A21" s="87" t="s">
        <v>161</v>
      </c>
      <c r="B21" s="88" t="s">
        <v>176</v>
      </c>
      <c r="C21" s="152" t="s">
        <v>150</v>
      </c>
      <c r="D21" s="305"/>
      <c r="E21" s="305"/>
      <c r="F21" s="305"/>
      <c r="G21" s="305"/>
      <c r="H21" s="305"/>
      <c r="I21" s="305"/>
      <c r="J21" s="71" t="s">
        <v>303</v>
      </c>
      <c r="K21" s="316"/>
    </row>
    <row r="22" spans="1:11" ht="30.75" customHeight="1" outlineLevel="1">
      <c r="A22" s="87" t="s">
        <v>162</v>
      </c>
      <c r="B22" s="88" t="s">
        <v>36</v>
      </c>
      <c r="C22" s="152" t="s">
        <v>150</v>
      </c>
      <c r="D22" s="305"/>
      <c r="E22" s="305"/>
      <c r="F22" s="305"/>
      <c r="G22" s="305"/>
      <c r="H22" s="305"/>
      <c r="I22" s="305"/>
      <c r="J22" s="71" t="s">
        <v>303</v>
      </c>
      <c r="K22" s="316"/>
    </row>
    <row r="23" spans="1:11" s="85" customFormat="1" ht="30.75" customHeight="1">
      <c r="A23" s="81" t="s">
        <v>151</v>
      </c>
      <c r="B23" s="79" t="s">
        <v>152</v>
      </c>
      <c r="C23" s="84" t="s">
        <v>153</v>
      </c>
      <c r="D23" s="310" t="s">
        <v>154</v>
      </c>
      <c r="E23" s="310"/>
      <c r="F23" s="310"/>
      <c r="G23" s="310"/>
      <c r="H23" s="310" t="s">
        <v>155</v>
      </c>
      <c r="I23" s="310"/>
      <c r="J23" s="85" t="s">
        <v>306</v>
      </c>
      <c r="K23" s="317" t="s">
        <v>305</v>
      </c>
    </row>
    <row r="24" spans="1:11" ht="30.75" customHeight="1" outlineLevel="1">
      <c r="A24" s="83" t="s">
        <v>156</v>
      </c>
      <c r="B24" s="151" t="s">
        <v>157</v>
      </c>
      <c r="C24" s="76"/>
      <c r="D24" s="305"/>
      <c r="E24" s="305"/>
      <c r="F24" s="305"/>
      <c r="G24" s="305"/>
      <c r="H24" s="311"/>
      <c r="I24" s="312"/>
      <c r="J24" s="85" t="s">
        <v>306</v>
      </c>
      <c r="K24" s="318"/>
    </row>
    <row r="25" spans="1:11" ht="30.75" customHeight="1" outlineLevel="1">
      <c r="A25" s="83" t="s">
        <v>158</v>
      </c>
      <c r="B25" s="151" t="s">
        <v>159</v>
      </c>
      <c r="C25" s="76"/>
      <c r="D25" s="305"/>
      <c r="E25" s="305"/>
      <c r="F25" s="305"/>
      <c r="G25" s="305"/>
      <c r="H25" s="311"/>
      <c r="I25" s="312"/>
      <c r="J25" s="85" t="s">
        <v>306</v>
      </c>
      <c r="K25" s="318"/>
    </row>
    <row r="26" spans="1:11" ht="30.75" customHeight="1">
      <c r="A26" s="89" t="s">
        <v>178</v>
      </c>
      <c r="B26" s="90" t="s">
        <v>179</v>
      </c>
      <c r="C26" s="91" t="s">
        <v>180</v>
      </c>
      <c r="D26" s="314" t="s">
        <v>146</v>
      </c>
      <c r="E26" s="314"/>
      <c r="F26" s="314"/>
      <c r="G26" s="314"/>
      <c r="H26" s="310" t="s">
        <v>185</v>
      </c>
      <c r="I26" s="310"/>
      <c r="J26" s="72" t="s">
        <v>307</v>
      </c>
    </row>
    <row r="27" spans="1:11" ht="30.75" customHeight="1">
      <c r="A27" s="92" t="s">
        <v>148</v>
      </c>
      <c r="B27" s="93" t="s">
        <v>181</v>
      </c>
      <c r="C27" s="94" t="s">
        <v>180</v>
      </c>
      <c r="D27" s="313"/>
      <c r="E27" s="313"/>
      <c r="F27" s="313"/>
      <c r="G27" s="313"/>
      <c r="H27" s="311"/>
      <c r="I27" s="312"/>
      <c r="J27" s="72" t="s">
        <v>307</v>
      </c>
    </row>
    <row r="28" spans="1:11" ht="30.75" customHeight="1">
      <c r="A28" s="92" t="s">
        <v>160</v>
      </c>
      <c r="B28" s="93" t="s">
        <v>182</v>
      </c>
      <c r="C28" s="94" t="s">
        <v>180</v>
      </c>
      <c r="D28" s="313"/>
      <c r="E28" s="313"/>
      <c r="F28" s="313"/>
      <c r="G28" s="313"/>
      <c r="H28" s="311"/>
      <c r="I28" s="312"/>
      <c r="J28" s="72" t="s">
        <v>307</v>
      </c>
    </row>
    <row r="29" spans="1:11" ht="30.75" customHeight="1" outlineLevel="1">
      <c r="A29" s="92" t="s">
        <v>161</v>
      </c>
      <c r="B29" s="95" t="s">
        <v>183</v>
      </c>
      <c r="C29" s="94" t="s">
        <v>180</v>
      </c>
      <c r="D29" s="313"/>
      <c r="E29" s="313"/>
      <c r="F29" s="313"/>
      <c r="G29" s="313"/>
      <c r="H29" s="305"/>
      <c r="I29" s="305"/>
      <c r="J29" s="72" t="s">
        <v>307</v>
      </c>
    </row>
    <row r="30" spans="1:11" ht="30.75" customHeight="1" outlineLevel="1">
      <c r="A30" s="92" t="s">
        <v>162</v>
      </c>
      <c r="B30" s="93" t="s">
        <v>184</v>
      </c>
      <c r="C30" s="94" t="s">
        <v>180</v>
      </c>
      <c r="D30" s="313"/>
      <c r="E30" s="313"/>
      <c r="F30" s="313"/>
      <c r="G30" s="313"/>
      <c r="H30" s="305"/>
      <c r="I30" s="305"/>
      <c r="J30" s="72" t="s">
        <v>307</v>
      </c>
    </row>
    <row r="31" spans="1:11" ht="48" customHeight="1" outlineLevel="1">
      <c r="A31" s="89" t="s">
        <v>190</v>
      </c>
      <c r="B31" s="97" t="s">
        <v>193</v>
      </c>
      <c r="C31" s="96" t="s">
        <v>188</v>
      </c>
      <c r="D31" s="314" t="s">
        <v>146</v>
      </c>
      <c r="E31" s="314"/>
      <c r="F31" s="314"/>
      <c r="G31" s="314"/>
      <c r="H31" s="310" t="s">
        <v>51</v>
      </c>
      <c r="I31" s="310"/>
      <c r="J31" s="72" t="s">
        <v>308</v>
      </c>
    </row>
    <row r="32" spans="1:11" ht="30.75" customHeight="1" outlineLevel="1">
      <c r="A32" s="89" t="s">
        <v>191</v>
      </c>
      <c r="B32" s="97" t="s">
        <v>196</v>
      </c>
      <c r="C32" s="96" t="s">
        <v>189</v>
      </c>
      <c r="D32" s="314" t="s">
        <v>146</v>
      </c>
      <c r="E32" s="314"/>
      <c r="F32" s="314"/>
      <c r="G32" s="314"/>
      <c r="H32" s="310" t="s">
        <v>197</v>
      </c>
      <c r="I32" s="310"/>
      <c r="J32" s="72" t="s">
        <v>309</v>
      </c>
    </row>
    <row r="33" spans="1:10" ht="36.75" customHeight="1" outlineLevel="1">
      <c r="A33" s="89" t="s">
        <v>192</v>
      </c>
      <c r="B33" s="98" t="s">
        <v>194</v>
      </c>
      <c r="C33" s="96" t="s">
        <v>189</v>
      </c>
      <c r="D33" s="310" t="s">
        <v>187</v>
      </c>
      <c r="E33" s="310"/>
      <c r="F33" s="310"/>
      <c r="G33" s="310"/>
      <c r="H33" s="310"/>
      <c r="I33" s="310"/>
      <c r="J33" s="72" t="s">
        <v>310</v>
      </c>
    </row>
    <row r="34" spans="1:10" ht="30.75" customHeight="1">
      <c r="A34" s="89" t="s">
        <v>195</v>
      </c>
      <c r="B34" s="79" t="s">
        <v>163</v>
      </c>
      <c r="C34" s="80" t="s">
        <v>145</v>
      </c>
      <c r="D34" s="310" t="s">
        <v>164</v>
      </c>
      <c r="E34" s="310"/>
      <c r="F34" s="310"/>
      <c r="G34" s="310"/>
      <c r="H34" s="310" t="s">
        <v>186</v>
      </c>
      <c r="I34" s="310"/>
      <c r="J34" s="72" t="s">
        <v>311</v>
      </c>
    </row>
  </sheetData>
  <autoFilter ref="A16:I34">
    <filterColumn colId="3" showButton="0"/>
    <filterColumn colId="4" showButton="0"/>
    <filterColumn colId="5" showButton="0"/>
    <filterColumn colId="7" showButton="0"/>
  </autoFilter>
  <mergeCells count="56">
    <mergeCell ref="K17:K22"/>
    <mergeCell ref="K23:K25"/>
    <mergeCell ref="D32:G32"/>
    <mergeCell ref="H32:I32"/>
    <mergeCell ref="D33:G33"/>
    <mergeCell ref="H33:I33"/>
    <mergeCell ref="D26:G26"/>
    <mergeCell ref="H26:I26"/>
    <mergeCell ref="D27:G27"/>
    <mergeCell ref="H27:I27"/>
    <mergeCell ref="D28:G28"/>
    <mergeCell ref="H28:I28"/>
    <mergeCell ref="D23:G23"/>
    <mergeCell ref="H23:I23"/>
    <mergeCell ref="D24:G24"/>
    <mergeCell ref="H24:I24"/>
    <mergeCell ref="D34:G34"/>
    <mergeCell ref="H34:I34"/>
    <mergeCell ref="D29:G29"/>
    <mergeCell ref="H29:I29"/>
    <mergeCell ref="D30:G30"/>
    <mergeCell ref="H30:I30"/>
    <mergeCell ref="D31:G31"/>
    <mergeCell ref="H31:I31"/>
    <mergeCell ref="D25:G25"/>
    <mergeCell ref="H25:I25"/>
    <mergeCell ref="D20:G20"/>
    <mergeCell ref="H20:I20"/>
    <mergeCell ref="D21:G21"/>
    <mergeCell ref="H21:I21"/>
    <mergeCell ref="D22:G22"/>
    <mergeCell ref="H22:I22"/>
    <mergeCell ref="D17:G17"/>
    <mergeCell ref="H17:I17"/>
    <mergeCell ref="D18:G18"/>
    <mergeCell ref="H18:I18"/>
    <mergeCell ref="D19:G19"/>
    <mergeCell ref="H19:I19"/>
    <mergeCell ref="H16:I16"/>
    <mergeCell ref="A8:B9"/>
    <mergeCell ref="C8:G8"/>
    <mergeCell ref="H8:H9"/>
    <mergeCell ref="I8:I9"/>
    <mergeCell ref="A10:B10"/>
    <mergeCell ref="A11:B11"/>
    <mergeCell ref="A12:B12"/>
    <mergeCell ref="A13:B13"/>
    <mergeCell ref="A14:B14"/>
    <mergeCell ref="A15:B15"/>
    <mergeCell ref="D16:G16"/>
    <mergeCell ref="A6:I6"/>
    <mergeCell ref="A1:I1"/>
    <mergeCell ref="A2:I2"/>
    <mergeCell ref="A3:B3"/>
    <mergeCell ref="A4:B4"/>
    <mergeCell ref="A5:B5"/>
  </mergeCells>
  <phoneticPr fontId="4" type="noConversion"/>
  <printOptions horizontalCentered="1"/>
  <pageMargins left="0.98425196850393704" right="0.35433070866141736" top="0.74803149606299213" bottom="0.6692913385826772" header="0.51181102362204722" footer="0.39370078740157483"/>
  <pageSetup paperSize="9" scale="68" fitToHeight="50"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79"/>
  <sheetViews>
    <sheetView view="pageBreakPreview" zoomScaleSheetLayoutView="100" workbookViewId="0">
      <pane ySplit="6" topLeftCell="A7" activePane="bottomLeft" state="frozen"/>
      <selection activeCell="A5" sqref="A5:I6"/>
      <selection pane="bottomLeft" sqref="A1:K1"/>
    </sheetView>
  </sheetViews>
  <sheetFormatPr defaultColWidth="9" defaultRowHeight="23.25" customHeight="1"/>
  <cols>
    <col min="1" max="1" width="55.21875" style="1" customWidth="1"/>
    <col min="2" max="10" width="10.77734375" style="1" customWidth="1"/>
    <col min="11" max="16384" width="9" style="1"/>
  </cols>
  <sheetData>
    <row r="1" spans="1:11" s="182" customFormat="1" ht="19.95" customHeight="1">
      <c r="A1" s="319" t="s">
        <v>0</v>
      </c>
      <c r="B1" s="319"/>
      <c r="C1" s="319"/>
      <c r="D1" s="319"/>
      <c r="E1" s="319"/>
      <c r="F1" s="319"/>
      <c r="G1" s="319"/>
      <c r="H1" s="319"/>
      <c r="I1" s="319"/>
      <c r="J1" s="319"/>
      <c r="K1" s="319"/>
    </row>
    <row r="2" spans="1:11" s="187" customFormat="1" ht="19.95" customHeight="1">
      <c r="A2" s="320" t="s">
        <v>328</v>
      </c>
      <c r="B2" s="320"/>
      <c r="C2" s="320"/>
      <c r="D2" s="320"/>
      <c r="E2" s="320"/>
      <c r="F2" s="320"/>
      <c r="G2" s="320"/>
      <c r="H2" s="320"/>
      <c r="I2" s="320"/>
      <c r="J2" s="320"/>
      <c r="K2" s="320"/>
    </row>
    <row r="3" spans="1:11" s="201" customFormat="1" ht="19.95" customHeight="1">
      <c r="A3" s="201" t="str">
        <f>底稿目录!A2</f>
        <v>被审计单位：</v>
      </c>
      <c r="C3" s="203" t="str">
        <f>底稿目录!A4</f>
        <v>编制人：</v>
      </c>
      <c r="G3" s="205" t="str">
        <f>底稿目录!A5</f>
        <v>编制日期：</v>
      </c>
      <c r="J3" s="201" t="s">
        <v>260</v>
      </c>
      <c r="K3" s="258" t="str">
        <f>底稿目录!F5</f>
        <v>G11-1</v>
      </c>
    </row>
    <row r="4" spans="1:11" s="201" customFormat="1" ht="19.95" customHeight="1">
      <c r="A4" s="201" t="str">
        <f>底稿目录!A3</f>
        <v>会计期间：202X年度</v>
      </c>
      <c r="B4" s="212"/>
      <c r="C4" s="203" t="str">
        <f>底稿目录!A6</f>
        <v>复核人：</v>
      </c>
      <c r="G4" s="205" t="str">
        <f>底稿目录!A7</f>
        <v>复核日期：</v>
      </c>
      <c r="J4" s="201" t="s">
        <v>351</v>
      </c>
    </row>
    <row r="5" spans="1:11" ht="25.5" customHeight="1">
      <c r="A5" s="325" t="s">
        <v>381</v>
      </c>
      <c r="B5" s="326" t="s">
        <v>382</v>
      </c>
      <c r="C5" s="326"/>
      <c r="D5" s="326"/>
      <c r="E5" s="326" t="s">
        <v>383</v>
      </c>
      <c r="F5" s="326"/>
      <c r="G5" s="326"/>
      <c r="H5" s="327" t="s">
        <v>91</v>
      </c>
      <c r="I5" s="328"/>
      <c r="J5" s="323" t="s">
        <v>384</v>
      </c>
      <c r="K5" s="321" t="s">
        <v>385</v>
      </c>
    </row>
    <row r="6" spans="1:11" ht="19.95" customHeight="1">
      <c r="A6" s="325"/>
      <c r="B6" s="252" t="s">
        <v>386</v>
      </c>
      <c r="C6" s="253" t="s">
        <v>387</v>
      </c>
      <c r="D6" s="253" t="s">
        <v>388</v>
      </c>
      <c r="E6" s="253" t="s">
        <v>389</v>
      </c>
      <c r="F6" s="253" t="s">
        <v>387</v>
      </c>
      <c r="G6" s="253" t="s">
        <v>390</v>
      </c>
      <c r="H6" s="66" t="s">
        <v>93</v>
      </c>
      <c r="I6" s="240" t="s">
        <v>92</v>
      </c>
      <c r="J6" s="324"/>
      <c r="K6" s="322"/>
    </row>
    <row r="7" spans="1:11" ht="19.95" customHeight="1">
      <c r="A7" s="254" t="s">
        <v>13</v>
      </c>
      <c r="B7" s="127">
        <f>SUMIF('明细分析表G11-2'!$B:$B,$A7,'明细分析表G11-2'!D:D)</f>
        <v>0</v>
      </c>
      <c r="C7" s="128">
        <f>SUMIF('明细分析表G11-2'!$B:$B,$A7,'明细分析表G11-2'!E:E)</f>
        <v>0</v>
      </c>
      <c r="D7" s="129">
        <f>B7+C7</f>
        <v>0</v>
      </c>
      <c r="E7" s="128">
        <f>SUMIF('明细分析表G11-2'!$B:$B,$A7,'明细分析表G11-2'!H:H)</f>
        <v>0</v>
      </c>
      <c r="F7" s="128">
        <f>SUMIF('明细分析表G11-2'!$B:$B,$A7,'明细分析表G11-2'!I:I)</f>
        <v>0</v>
      </c>
      <c r="G7" s="130">
        <f>E7+F7</f>
        <v>0</v>
      </c>
      <c r="H7" s="131">
        <f t="shared" ref="H7:H25" si="0">D7-G7</f>
        <v>0</v>
      </c>
      <c r="I7" s="132">
        <f t="shared" ref="I7:I25" si="1">IF(AND(D7=0,G7=0),0,IF(AND(D7=0,G7&gt;0),1,H7/G7))</f>
        <v>0</v>
      </c>
      <c r="J7" s="222"/>
      <c r="K7" s="222"/>
    </row>
    <row r="8" spans="1:11" ht="19.95" customHeight="1">
      <c r="A8" s="254" t="s">
        <v>14</v>
      </c>
      <c r="B8" s="127">
        <f>SUMIF('明细分析表G11-2'!$B:$B,$A8,'明细分析表G11-2'!D:D)</f>
        <v>0</v>
      </c>
      <c r="C8" s="128">
        <f>SUMIF('明细分析表G11-2'!$B:$B,$A8,'明细分析表G11-2'!E:E)</f>
        <v>0</v>
      </c>
      <c r="D8" s="129">
        <f t="shared" ref="D8:D24" si="2">B8+C8</f>
        <v>0</v>
      </c>
      <c r="E8" s="128">
        <f>SUMIF('明细分析表G11-2'!$B:$B,$A8,'明细分析表G11-2'!H:H)</f>
        <v>0</v>
      </c>
      <c r="F8" s="128">
        <f>SUMIF('明细分析表G11-2'!$B:$B,$A8,'明细分析表G11-2'!I:I)</f>
        <v>0</v>
      </c>
      <c r="G8" s="130">
        <f t="shared" ref="G8:G24" si="3">E8+F8</f>
        <v>0</v>
      </c>
      <c r="H8" s="131">
        <f t="shared" si="0"/>
        <v>0</v>
      </c>
      <c r="I8" s="132">
        <f t="shared" si="1"/>
        <v>0</v>
      </c>
      <c r="J8" s="222"/>
      <c r="K8" s="222"/>
    </row>
    <row r="9" spans="1:11" ht="19.95" customHeight="1">
      <c r="A9" s="254" t="s">
        <v>104</v>
      </c>
      <c r="B9" s="127">
        <f>SUMIF('明细分析表G11-2'!$B:$B,$A9,'明细分析表G11-2'!D:D)</f>
        <v>0</v>
      </c>
      <c r="C9" s="128">
        <f>SUMIF('明细分析表G11-2'!$B:$B,$A9,'明细分析表G11-2'!E:E)</f>
        <v>0</v>
      </c>
      <c r="D9" s="129">
        <f t="shared" si="2"/>
        <v>0</v>
      </c>
      <c r="E9" s="128">
        <f>SUMIF('明细分析表G11-2'!$B:$B,$A9,'明细分析表G11-2'!H:H)</f>
        <v>0</v>
      </c>
      <c r="F9" s="128">
        <f>SUMIF('明细分析表G11-2'!$B:$B,$A9,'明细分析表G11-2'!I:I)</f>
        <v>0</v>
      </c>
      <c r="G9" s="130">
        <f t="shared" si="3"/>
        <v>0</v>
      </c>
      <c r="H9" s="131">
        <f t="shared" si="0"/>
        <v>0</v>
      </c>
      <c r="I9" s="132">
        <f t="shared" si="1"/>
        <v>0</v>
      </c>
      <c r="J9" s="222"/>
      <c r="K9" s="222"/>
    </row>
    <row r="10" spans="1:11" ht="19.95" customHeight="1">
      <c r="A10" s="254" t="s">
        <v>225</v>
      </c>
      <c r="B10" s="127">
        <f>SUMIF('明细分析表G11-2'!$B:$B,$A10,'明细分析表G11-2'!D:D)</f>
        <v>0</v>
      </c>
      <c r="C10" s="128">
        <f>SUMIF('明细分析表G11-2'!$B:$B,$A10,'明细分析表G11-2'!E:E)</f>
        <v>0</v>
      </c>
      <c r="D10" s="129">
        <f t="shared" si="2"/>
        <v>0</v>
      </c>
      <c r="E10" s="128">
        <f>SUMIF('明细分析表G11-2'!$B:$B,$A10,'明细分析表G11-2'!H:H)</f>
        <v>0</v>
      </c>
      <c r="F10" s="128">
        <f>SUMIF('明细分析表G11-2'!$B:$B,$A10,'明细分析表G11-2'!I:I)</f>
        <v>0</v>
      </c>
      <c r="G10" s="130">
        <f t="shared" si="3"/>
        <v>0</v>
      </c>
      <c r="H10" s="131">
        <f t="shared" si="0"/>
        <v>0</v>
      </c>
      <c r="I10" s="132">
        <f t="shared" si="1"/>
        <v>0</v>
      </c>
      <c r="J10" s="222"/>
      <c r="K10" s="222"/>
    </row>
    <row r="11" spans="1:11" ht="19.95" customHeight="1">
      <c r="A11" s="255" t="s">
        <v>235</v>
      </c>
      <c r="B11" s="129">
        <f>SUMIF('明细分析表G11-2'!$B:$B,$A11,'明细分析表G11-2'!D:D)</f>
        <v>0</v>
      </c>
      <c r="C11" s="128">
        <f>SUMIF('明细分析表G11-2'!$B:$B,$A11,'明细分析表G11-2'!E:E)</f>
        <v>0</v>
      </c>
      <c r="D11" s="129">
        <f t="shared" si="2"/>
        <v>0</v>
      </c>
      <c r="E11" s="128">
        <f>SUMIF('明细分析表G11-2'!$B:$B,$A11,'明细分析表G11-2'!H:H)</f>
        <v>0</v>
      </c>
      <c r="F11" s="128">
        <f>SUMIF('明细分析表G11-2'!$B:$B,$A11,'明细分析表G11-2'!I:I)</f>
        <v>0</v>
      </c>
      <c r="G11" s="130">
        <f t="shared" si="3"/>
        <v>0</v>
      </c>
      <c r="H11" s="131">
        <f t="shared" si="0"/>
        <v>0</v>
      </c>
      <c r="I11" s="132">
        <f t="shared" si="1"/>
        <v>0</v>
      </c>
      <c r="J11" s="222"/>
      <c r="K11" s="222"/>
    </row>
    <row r="12" spans="1:11" ht="19.95" customHeight="1">
      <c r="A12" s="255" t="s">
        <v>226</v>
      </c>
      <c r="B12" s="129">
        <f>SUMIF('明细分析表G11-2'!$B:$B,$A12,'明细分析表G11-2'!D:D)</f>
        <v>0</v>
      </c>
      <c r="C12" s="128">
        <f>SUMIF('明细分析表G11-2'!$B:$B,$A12,'明细分析表G11-2'!E:E)</f>
        <v>0</v>
      </c>
      <c r="D12" s="129">
        <f t="shared" si="2"/>
        <v>0</v>
      </c>
      <c r="E12" s="129">
        <f>SUMIF('明细分析表G11-2'!$B:$B,$A12,'明细分析表G11-2'!H:H)</f>
        <v>0</v>
      </c>
      <c r="F12" s="128">
        <f>SUMIF('明细分析表G11-2'!$B:$B,$A12,'明细分析表G11-2'!I:I)</f>
        <v>0</v>
      </c>
      <c r="G12" s="130">
        <f t="shared" si="3"/>
        <v>0</v>
      </c>
      <c r="H12" s="131">
        <f t="shared" si="0"/>
        <v>0</v>
      </c>
      <c r="I12" s="132">
        <f t="shared" si="1"/>
        <v>0</v>
      </c>
      <c r="J12" s="222"/>
      <c r="K12" s="222"/>
    </row>
    <row r="13" spans="1:11" ht="19.95" customHeight="1">
      <c r="A13" s="255" t="s">
        <v>228</v>
      </c>
      <c r="B13" s="129">
        <f>SUMIF('明细分析表G11-2'!$B:$B,$A13,'明细分析表G11-2'!D:D)</f>
        <v>0</v>
      </c>
      <c r="C13" s="128">
        <f>SUMIF('明细分析表G11-2'!$B:$B,$A13,'明细分析表G11-2'!E:E)</f>
        <v>0</v>
      </c>
      <c r="D13" s="129">
        <f t="shared" si="2"/>
        <v>0</v>
      </c>
      <c r="E13" s="129">
        <f>SUMIF('明细分析表G11-2'!$B:$B,$A13,'明细分析表G11-2'!H:H)</f>
        <v>0</v>
      </c>
      <c r="F13" s="128">
        <f>SUMIF('明细分析表G11-2'!$B:$B,$A13,'明细分析表G11-2'!I:I)</f>
        <v>0</v>
      </c>
      <c r="G13" s="130">
        <f t="shared" si="3"/>
        <v>0</v>
      </c>
      <c r="H13" s="131">
        <f t="shared" si="0"/>
        <v>0</v>
      </c>
      <c r="I13" s="132">
        <f t="shared" si="1"/>
        <v>0</v>
      </c>
      <c r="J13" s="222"/>
      <c r="K13" s="222"/>
    </row>
    <row r="14" spans="1:11" ht="19.95" customHeight="1">
      <c r="A14" s="255" t="s">
        <v>240</v>
      </c>
      <c r="B14" s="129">
        <f>SUMIF('明细分析表G11-2'!$B:$B,$A14,'明细分析表G11-2'!D:D)</f>
        <v>0</v>
      </c>
      <c r="C14" s="128">
        <f>SUMIF('明细分析表G11-2'!$B:$B,$A14,'明细分析表G11-2'!E:E)</f>
        <v>0</v>
      </c>
      <c r="D14" s="129">
        <f t="shared" si="2"/>
        <v>0</v>
      </c>
      <c r="E14" s="129">
        <f>SUMIF('明细分析表G11-2'!$B:$B,$A14,'明细分析表G11-2'!H:H)</f>
        <v>0</v>
      </c>
      <c r="F14" s="128">
        <f>SUMIF('明细分析表G11-2'!$B:$B,$A14,'明细分析表G11-2'!I:I)</f>
        <v>0</v>
      </c>
      <c r="G14" s="130">
        <f t="shared" si="3"/>
        <v>0</v>
      </c>
      <c r="H14" s="131">
        <f t="shared" si="0"/>
        <v>0</v>
      </c>
      <c r="I14" s="132">
        <f t="shared" si="1"/>
        <v>0</v>
      </c>
      <c r="J14" s="222"/>
      <c r="K14" s="222"/>
    </row>
    <row r="15" spans="1:11" ht="19.95" customHeight="1">
      <c r="A15" s="255" t="s">
        <v>242</v>
      </c>
      <c r="B15" s="129">
        <f>SUMIF('明细分析表G11-2'!$B:$B,$A15,'明细分析表G11-2'!D:D)</f>
        <v>0</v>
      </c>
      <c r="C15" s="128">
        <f>SUMIF('明细分析表G11-2'!$B:$B,$A15,'明细分析表G11-2'!E:E)</f>
        <v>0</v>
      </c>
      <c r="D15" s="129">
        <f t="shared" si="2"/>
        <v>0</v>
      </c>
      <c r="E15" s="129">
        <f>SUMIF('明细分析表G11-2'!$B:$B,$A15,'明细分析表G11-2'!H:H)</f>
        <v>0</v>
      </c>
      <c r="F15" s="128">
        <f>SUMIF('明细分析表G11-2'!$B:$B,$A15,'明细分析表G11-2'!I:I)</f>
        <v>0</v>
      </c>
      <c r="G15" s="130">
        <f t="shared" si="3"/>
        <v>0</v>
      </c>
      <c r="H15" s="131">
        <f t="shared" si="0"/>
        <v>0</v>
      </c>
      <c r="I15" s="132">
        <f t="shared" si="1"/>
        <v>0</v>
      </c>
      <c r="J15" s="222"/>
      <c r="K15" s="222"/>
    </row>
    <row r="16" spans="1:11" ht="19.95" customHeight="1">
      <c r="A16" s="255" t="s">
        <v>244</v>
      </c>
      <c r="B16" s="129">
        <f>SUMIF('明细分析表G11-2'!$B:$B,$A16,'明细分析表G11-2'!D:D)</f>
        <v>0</v>
      </c>
      <c r="C16" s="128">
        <f>SUMIF('明细分析表G11-2'!$B:$B,$A16,'明细分析表G11-2'!E:E)</f>
        <v>0</v>
      </c>
      <c r="D16" s="129">
        <f t="shared" si="2"/>
        <v>0</v>
      </c>
      <c r="E16" s="129">
        <f>SUMIF('明细分析表G11-2'!$B:$B,$A16,'明细分析表G11-2'!H:H)</f>
        <v>0</v>
      </c>
      <c r="F16" s="128">
        <f>SUMIF('明细分析表G11-2'!$B:$B,$A16,'明细分析表G11-2'!I:I)</f>
        <v>0</v>
      </c>
      <c r="G16" s="130">
        <f t="shared" si="3"/>
        <v>0</v>
      </c>
      <c r="H16" s="131">
        <f t="shared" si="0"/>
        <v>0</v>
      </c>
      <c r="I16" s="132">
        <f t="shared" si="1"/>
        <v>0</v>
      </c>
      <c r="J16" s="222"/>
      <c r="K16" s="222"/>
    </row>
    <row r="17" spans="1:11" ht="19.95" customHeight="1">
      <c r="A17" s="255" t="s">
        <v>246</v>
      </c>
      <c r="B17" s="129">
        <f>SUMIF('明细分析表G11-2'!$B:$B,$A17,'明细分析表G11-2'!D:D)</f>
        <v>0</v>
      </c>
      <c r="C17" s="128">
        <f>SUMIF('明细分析表G11-2'!$B:$B,$A17,'明细分析表G11-2'!E:E)</f>
        <v>0</v>
      </c>
      <c r="D17" s="129">
        <f t="shared" si="2"/>
        <v>0</v>
      </c>
      <c r="E17" s="129">
        <f>SUMIF('明细分析表G11-2'!$B:$B,$A17,'明细分析表G11-2'!H:H)</f>
        <v>0</v>
      </c>
      <c r="F17" s="128">
        <f>SUMIF('明细分析表G11-2'!$B:$B,$A17,'明细分析表G11-2'!I:I)</f>
        <v>0</v>
      </c>
      <c r="G17" s="130">
        <f t="shared" si="3"/>
        <v>0</v>
      </c>
      <c r="H17" s="131">
        <f t="shared" si="0"/>
        <v>0</v>
      </c>
      <c r="I17" s="132">
        <f t="shared" si="1"/>
        <v>0</v>
      </c>
      <c r="J17" s="222"/>
      <c r="K17" s="222"/>
    </row>
    <row r="18" spans="1:11" ht="19.95" customHeight="1">
      <c r="A18" s="255" t="s">
        <v>203</v>
      </c>
      <c r="B18" s="129">
        <f>SUMIF('明细分析表G11-2'!$B:$B,$A18,'明细分析表G11-2'!D:D)</f>
        <v>0</v>
      </c>
      <c r="C18" s="128">
        <f>SUMIF('明细分析表G11-2'!$B:$B,$A18,'明细分析表G11-2'!E:E)</f>
        <v>0</v>
      </c>
      <c r="D18" s="129">
        <f t="shared" si="2"/>
        <v>0</v>
      </c>
      <c r="E18" s="129">
        <f>SUMIF('明细分析表G11-2'!$B:$B,$A18,'明细分析表G11-2'!H:H)</f>
        <v>0</v>
      </c>
      <c r="F18" s="128">
        <f>SUMIF('明细分析表G11-2'!$B:$B,$A18,'明细分析表G11-2'!I:I)</f>
        <v>0</v>
      </c>
      <c r="G18" s="130">
        <f t="shared" si="3"/>
        <v>0</v>
      </c>
      <c r="H18" s="131">
        <f t="shared" si="0"/>
        <v>0</v>
      </c>
      <c r="I18" s="132">
        <f t="shared" si="1"/>
        <v>0</v>
      </c>
      <c r="J18" s="222"/>
      <c r="K18" s="222"/>
    </row>
    <row r="19" spans="1:11" ht="19.95" customHeight="1">
      <c r="A19" s="255" t="s">
        <v>392</v>
      </c>
      <c r="B19" s="129">
        <f>SUMIF('明细分析表G11-2'!$B:$B,$A19,'明细分析表G11-2'!D:D)</f>
        <v>0</v>
      </c>
      <c r="C19" s="128">
        <f>SUMIF('明细分析表G11-2'!$B:$B,$A19,'明细分析表G11-2'!E:E)</f>
        <v>0</v>
      </c>
      <c r="D19" s="129">
        <f t="shared" si="2"/>
        <v>0</v>
      </c>
      <c r="E19" s="128">
        <f>SUMIF('明细分析表G11-2'!$B:$B,$A19,'明细分析表G11-2'!H:H)</f>
        <v>0</v>
      </c>
      <c r="F19" s="128">
        <f>SUMIF('明细分析表G11-2'!$B:$B,$A19,'明细分析表G11-2'!I:I)</f>
        <v>0</v>
      </c>
      <c r="G19" s="130">
        <f t="shared" si="3"/>
        <v>0</v>
      </c>
      <c r="H19" s="131">
        <f t="shared" si="0"/>
        <v>0</v>
      </c>
      <c r="I19" s="132">
        <f t="shared" si="1"/>
        <v>0</v>
      </c>
      <c r="J19" s="222"/>
      <c r="K19" s="222"/>
    </row>
    <row r="20" spans="1:11" ht="19.95" customHeight="1">
      <c r="A20" s="255" t="s">
        <v>249</v>
      </c>
      <c r="B20" s="129">
        <f>SUMIF('明细分析表G11-2'!$B:$B,$A20,'明细分析表G11-2'!D:D)</f>
        <v>0</v>
      </c>
      <c r="C20" s="128">
        <f>SUMIF('明细分析表G11-2'!$B:$B,$A20,'明细分析表G11-2'!E:E)</f>
        <v>0</v>
      </c>
      <c r="D20" s="129">
        <f>B20+C20</f>
        <v>0</v>
      </c>
      <c r="E20" s="128">
        <f>SUMIF('明细分析表G11-2'!$B:$B,$A20,'明细分析表G11-2'!H:H)</f>
        <v>0</v>
      </c>
      <c r="F20" s="128">
        <f>SUMIF('明细分析表G11-2'!$B:$B,$A20,'明细分析表G11-2'!I:I)</f>
        <v>0</v>
      </c>
      <c r="G20" s="130">
        <f>E20+F20</f>
        <v>0</v>
      </c>
      <c r="H20" s="131">
        <f>D20-G20</f>
        <v>0</v>
      </c>
      <c r="I20" s="132">
        <f>IF(AND(D20=0,G20=0),0,IF(AND(D20=0,G20&gt;0),1,H20/G20))</f>
        <v>0</v>
      </c>
      <c r="J20" s="222"/>
      <c r="K20" s="222"/>
    </row>
    <row r="21" spans="1:11" ht="19.95" customHeight="1">
      <c r="A21" s="255" t="s">
        <v>236</v>
      </c>
      <c r="B21" s="129">
        <f>SUMIF('明细分析表G11-2'!$B:$B,$A21,'明细分析表G11-2'!D:D)</f>
        <v>0</v>
      </c>
      <c r="C21" s="128">
        <f>SUMIF('明细分析表G11-2'!$B:$B,$A21,'明细分析表G11-2'!E:E)</f>
        <v>0</v>
      </c>
      <c r="D21" s="129">
        <f>B21+C21</f>
        <v>0</v>
      </c>
      <c r="E21" s="128">
        <f>SUMIF('明细分析表G11-2'!$B:$B,$A21,'明细分析表G11-2'!H:H)</f>
        <v>0</v>
      </c>
      <c r="F21" s="128">
        <f>SUMIF('明细分析表G11-2'!$B:$B,$A21,'明细分析表G11-2'!I:I)</f>
        <v>0</v>
      </c>
      <c r="G21" s="130">
        <f>E21+F21</f>
        <v>0</v>
      </c>
      <c r="H21" s="131">
        <f>D21-G21</f>
        <v>0</v>
      </c>
      <c r="I21" s="132">
        <f>IF(AND(D21=0,G21=0),0,IF(AND(D21=0,G21&gt;0),1,H21/G21))</f>
        <v>0</v>
      </c>
      <c r="J21" s="222"/>
      <c r="K21" s="222"/>
    </row>
    <row r="22" spans="1:11" ht="19.95" customHeight="1">
      <c r="A22" s="255" t="s">
        <v>255</v>
      </c>
      <c r="B22" s="129">
        <f>SUMIF('明细分析表G11-2'!$B:$B,$A22,'明细分析表G11-2'!D:D)</f>
        <v>0</v>
      </c>
      <c r="C22" s="128">
        <f>SUMIF('明细分析表G11-2'!$B:$B,$A22,'明细分析表G11-2'!E:E)</f>
        <v>0</v>
      </c>
      <c r="D22" s="129">
        <f t="shared" ref="D22:D23" si="4">B22+C22</f>
        <v>0</v>
      </c>
      <c r="E22" s="128">
        <f>SUMIF('明细分析表G11-2'!$B:$B,$A22,'明细分析表G11-2'!H:H)</f>
        <v>0</v>
      </c>
      <c r="F22" s="128">
        <f>SUMIF('明细分析表G11-2'!$B:$B,$A22,'明细分析表G11-2'!I:I)</f>
        <v>0</v>
      </c>
      <c r="G22" s="130">
        <f t="shared" ref="G22:G23" si="5">E22+F22</f>
        <v>0</v>
      </c>
      <c r="H22" s="131">
        <f t="shared" ref="H22:H23" si="6">D22-G22</f>
        <v>0</v>
      </c>
      <c r="I22" s="132">
        <f t="shared" ref="I22:I23" si="7">IF(AND(D22=0,G22=0),0,IF(AND(D22=0,G22&gt;0),1,H22/G22))</f>
        <v>0</v>
      </c>
      <c r="J22" s="222"/>
      <c r="K22" s="222"/>
    </row>
    <row r="23" spans="1:11" ht="19.95" customHeight="1">
      <c r="A23" s="255" t="s">
        <v>252</v>
      </c>
      <c r="B23" s="129">
        <f>SUMIF('明细分析表G11-2'!$B:$B,$A23,'明细分析表G11-2'!D:D)</f>
        <v>0</v>
      </c>
      <c r="C23" s="128">
        <f>SUMIF('明细分析表G11-2'!$B:$B,$A23,'明细分析表G11-2'!E:E)</f>
        <v>0</v>
      </c>
      <c r="D23" s="129">
        <f t="shared" si="4"/>
        <v>0</v>
      </c>
      <c r="E23" s="128">
        <f>SUMIF('明细分析表G11-2'!$B:$B,$A23,'明细分析表G11-2'!H:H)</f>
        <v>0</v>
      </c>
      <c r="F23" s="128">
        <f>SUMIF('明细分析表G11-2'!$B:$B,$A23,'明细分析表G11-2'!I:I)</f>
        <v>0</v>
      </c>
      <c r="G23" s="130">
        <f t="shared" si="5"/>
        <v>0</v>
      </c>
      <c r="H23" s="131">
        <f t="shared" si="6"/>
        <v>0</v>
      </c>
      <c r="I23" s="132">
        <f t="shared" si="7"/>
        <v>0</v>
      </c>
      <c r="J23" s="222"/>
      <c r="K23" s="222"/>
    </row>
    <row r="24" spans="1:11" ht="19.95" customHeight="1">
      <c r="A24" s="255" t="s">
        <v>391</v>
      </c>
      <c r="B24" s="129">
        <f>SUMIF('明细分析表G11-2'!$B:$B,$A24,'明细分析表G11-2'!D:D)</f>
        <v>0</v>
      </c>
      <c r="C24" s="128">
        <f>SUMIF('明细分析表G11-2'!$B:$B,$A24,'明细分析表G11-2'!E:E)</f>
        <v>0</v>
      </c>
      <c r="D24" s="129">
        <f t="shared" si="2"/>
        <v>0</v>
      </c>
      <c r="E24" s="128">
        <f>SUMIF('明细分析表G11-2'!$B:$B,$A24,'明细分析表G11-2'!H:H)</f>
        <v>0</v>
      </c>
      <c r="F24" s="128">
        <f>SUMIF('明细分析表G11-2'!$B:$B,$A24,'明细分析表G11-2'!I:I)</f>
        <v>0</v>
      </c>
      <c r="G24" s="130">
        <f t="shared" si="3"/>
        <v>0</v>
      </c>
      <c r="H24" s="131">
        <f t="shared" si="0"/>
        <v>0</v>
      </c>
      <c r="I24" s="132">
        <f t="shared" si="1"/>
        <v>0</v>
      </c>
      <c r="J24" s="222"/>
      <c r="K24" s="222"/>
    </row>
    <row r="25" spans="1:11" ht="19.95" customHeight="1">
      <c r="A25" s="25" t="s">
        <v>75</v>
      </c>
      <c r="B25" s="133">
        <f t="shared" ref="B25:G25" si="8">SUM(B7:B24)</f>
        <v>0</v>
      </c>
      <c r="C25" s="133">
        <f t="shared" si="8"/>
        <v>0</v>
      </c>
      <c r="D25" s="133">
        <f t="shared" si="8"/>
        <v>0</v>
      </c>
      <c r="E25" s="133">
        <f t="shared" si="8"/>
        <v>0</v>
      </c>
      <c r="F25" s="133">
        <f t="shared" si="8"/>
        <v>0</v>
      </c>
      <c r="G25" s="133">
        <f t="shared" si="8"/>
        <v>0</v>
      </c>
      <c r="H25" s="131">
        <f t="shared" si="0"/>
        <v>0</v>
      </c>
      <c r="I25" s="132">
        <f t="shared" si="1"/>
        <v>0</v>
      </c>
      <c r="J25" s="222"/>
      <c r="K25" s="222"/>
    </row>
    <row r="26" spans="1:11" ht="19.95" customHeight="1">
      <c r="A26" s="120" t="s">
        <v>223</v>
      </c>
      <c r="B26" s="2"/>
      <c r="C26" s="2"/>
      <c r="D26" s="121"/>
      <c r="E26" s="26"/>
      <c r="F26" s="2"/>
    </row>
    <row r="27" spans="1:11" ht="19.95" customHeight="1">
      <c r="A27" s="120" t="s">
        <v>224</v>
      </c>
      <c r="B27" s="2"/>
      <c r="C27" s="2"/>
      <c r="D27" s="134">
        <f>D24-D26</f>
        <v>0</v>
      </c>
      <c r="E27" s="26"/>
      <c r="F27" s="2"/>
      <c r="G27" s="134">
        <f>G24-G26</f>
        <v>0</v>
      </c>
    </row>
    <row r="28" spans="1:11" ht="19.95" customHeight="1">
      <c r="A28" s="28"/>
      <c r="B28" s="2"/>
      <c r="C28" s="2"/>
      <c r="D28" s="2"/>
      <c r="E28" s="26"/>
      <c r="F28" s="2"/>
    </row>
    <row r="29" spans="1:11" ht="19.95" customHeight="1">
      <c r="A29" s="28" t="s">
        <v>352</v>
      </c>
      <c r="B29" s="2"/>
      <c r="C29" s="2"/>
      <c r="D29" s="2"/>
      <c r="E29" s="26"/>
      <c r="F29" s="2"/>
    </row>
    <row r="30" spans="1:11" ht="19.95" customHeight="1">
      <c r="A30" s="28"/>
      <c r="B30" s="2"/>
      <c r="C30" s="2"/>
      <c r="D30" s="2"/>
      <c r="E30" s="26"/>
      <c r="F30" s="2"/>
    </row>
    <row r="31" spans="1:11" ht="19.95" customHeight="1">
      <c r="A31" s="29" t="s">
        <v>60</v>
      </c>
      <c r="B31" s="3"/>
      <c r="C31" s="3"/>
      <c r="D31" s="3"/>
      <c r="E31" s="26"/>
      <c r="F31" s="3"/>
    </row>
    <row r="32" spans="1:11" ht="19.95" customHeight="1">
      <c r="A32" s="30" t="s">
        <v>1</v>
      </c>
      <c r="B32" s="3"/>
      <c r="C32" s="3"/>
      <c r="D32" s="3"/>
      <c r="E32" s="3"/>
      <c r="F32" s="3"/>
    </row>
    <row r="33" spans="1:5" s="4" customFormat="1" ht="18" customHeight="1">
      <c r="A33" s="4" t="s">
        <v>76</v>
      </c>
      <c r="E33" s="70"/>
    </row>
    <row r="34" spans="1:5" s="4" customFormat="1" ht="18" customHeight="1">
      <c r="A34" s="4" t="s">
        <v>61</v>
      </c>
      <c r="E34" s="67"/>
    </row>
    <row r="35" spans="1:5" s="4" customFormat="1" ht="18" customHeight="1">
      <c r="A35" s="4" t="s">
        <v>62</v>
      </c>
      <c r="D35" s="67"/>
      <c r="E35" s="67"/>
    </row>
    <row r="36" spans="1:5" s="4" customFormat="1" ht="18" customHeight="1">
      <c r="A36" s="4" t="s">
        <v>99</v>
      </c>
      <c r="D36" s="67"/>
      <c r="E36" s="67"/>
    </row>
    <row r="37" spans="1:5" s="4" customFormat="1" ht="18" customHeight="1">
      <c r="A37" s="67" t="s">
        <v>100</v>
      </c>
      <c r="D37" s="67"/>
      <c r="E37" s="67"/>
    </row>
    <row r="38" spans="1:5" s="4" customFormat="1" ht="18" customHeight="1">
      <c r="A38" s="67" t="s">
        <v>101</v>
      </c>
      <c r="D38" s="67"/>
      <c r="E38" s="67"/>
    </row>
    <row r="39" spans="1:5" s="4" customFormat="1" ht="18" customHeight="1">
      <c r="A39" s="67" t="s">
        <v>102</v>
      </c>
      <c r="D39" s="67"/>
      <c r="E39" s="67"/>
    </row>
    <row r="40" spans="1:5" s="4" customFormat="1" ht="18" customHeight="1">
      <c r="A40" s="68" t="s">
        <v>96</v>
      </c>
      <c r="D40" s="67"/>
    </row>
    <row r="41" spans="1:5" s="4" customFormat="1" ht="18" customHeight="1">
      <c r="A41" s="68" t="s">
        <v>97</v>
      </c>
      <c r="D41" s="67"/>
    </row>
    <row r="42" spans="1:5" s="4" customFormat="1" ht="18" customHeight="1">
      <c r="A42" s="68" t="s">
        <v>98</v>
      </c>
      <c r="D42" s="67"/>
    </row>
    <row r="43" spans="1:5" s="4" customFormat="1" ht="18" customHeight="1">
      <c r="A43" s="70" t="s">
        <v>109</v>
      </c>
      <c r="D43" s="67"/>
    </row>
    <row r="44" spans="1:5" s="4" customFormat="1" ht="18" customHeight="1">
      <c r="A44" s="67" t="s">
        <v>105</v>
      </c>
      <c r="D44" s="67"/>
    </row>
    <row r="45" spans="1:5" s="4" customFormat="1" ht="18" customHeight="1">
      <c r="A45" s="67" t="s">
        <v>106</v>
      </c>
      <c r="D45" s="67"/>
    </row>
    <row r="46" spans="1:5" s="4" customFormat="1" ht="18" customHeight="1">
      <c r="A46" s="67" t="s">
        <v>107</v>
      </c>
      <c r="D46" s="67"/>
    </row>
    <row r="47" spans="1:5" s="4" customFormat="1" ht="18" customHeight="1">
      <c r="A47" s="67" t="s">
        <v>108</v>
      </c>
      <c r="D47" s="67"/>
    </row>
    <row r="48" spans="1:5" s="4" customFormat="1" ht="45.75" customHeight="1">
      <c r="A48" s="329" t="s">
        <v>112</v>
      </c>
      <c r="B48" s="329"/>
      <c r="C48" s="329"/>
      <c r="D48" s="67"/>
    </row>
    <row r="49" spans="1:4" s="4" customFormat="1" ht="28.5" customHeight="1">
      <c r="A49" s="329" t="s">
        <v>118</v>
      </c>
      <c r="B49" s="329"/>
      <c r="C49" s="329"/>
      <c r="D49" s="67"/>
    </row>
    <row r="50" spans="1:4" s="4" customFormat="1" ht="37.5" customHeight="1">
      <c r="A50" s="329" t="s">
        <v>113</v>
      </c>
      <c r="B50" s="329"/>
      <c r="C50" s="329"/>
      <c r="D50" s="67"/>
    </row>
    <row r="51" spans="1:4" s="4" customFormat="1" ht="36.75" customHeight="1">
      <c r="A51" s="329" t="s">
        <v>114</v>
      </c>
      <c r="B51" s="329"/>
      <c r="C51" s="329"/>
      <c r="D51" s="67"/>
    </row>
    <row r="52" spans="1:4" s="4" customFormat="1" ht="18" customHeight="1">
      <c r="A52" s="329" t="s">
        <v>119</v>
      </c>
      <c r="B52" s="329"/>
      <c r="C52" s="329"/>
      <c r="D52" s="67"/>
    </row>
    <row r="53" spans="1:4" s="4" customFormat="1" ht="18" customHeight="1">
      <c r="A53" s="329" t="s">
        <v>120</v>
      </c>
      <c r="B53" s="329"/>
      <c r="C53" s="329"/>
      <c r="D53" s="67"/>
    </row>
    <row r="54" spans="1:4" s="4" customFormat="1" ht="36" customHeight="1">
      <c r="A54" s="329" t="s">
        <v>121</v>
      </c>
      <c r="B54" s="329"/>
      <c r="C54" s="329"/>
      <c r="D54" s="67"/>
    </row>
    <row r="55" spans="1:4" s="4" customFormat="1" ht="30" customHeight="1">
      <c r="A55" s="329" t="s">
        <v>122</v>
      </c>
      <c r="B55" s="329"/>
      <c r="C55" s="329"/>
      <c r="D55" s="67"/>
    </row>
    <row r="56" spans="1:4" s="4" customFormat="1" ht="36.75" customHeight="1">
      <c r="A56" s="329" t="s">
        <v>115</v>
      </c>
      <c r="B56" s="329"/>
      <c r="C56" s="329"/>
      <c r="D56" s="67"/>
    </row>
    <row r="57" spans="1:4" s="4" customFormat="1" ht="29.25" customHeight="1">
      <c r="A57" s="329" t="s">
        <v>116</v>
      </c>
      <c r="B57" s="329"/>
      <c r="C57" s="329"/>
      <c r="D57" s="67"/>
    </row>
    <row r="58" spans="1:4" s="4" customFormat="1" ht="55.5" customHeight="1">
      <c r="A58" s="329" t="s">
        <v>117</v>
      </c>
      <c r="B58" s="329"/>
      <c r="C58" s="329"/>
      <c r="D58" s="67"/>
    </row>
    <row r="59" spans="1:4" s="4" customFormat="1" ht="30.75" customHeight="1">
      <c r="A59" s="329" t="s">
        <v>123</v>
      </c>
      <c r="B59" s="329"/>
      <c r="C59" s="329"/>
      <c r="D59" s="67"/>
    </row>
    <row r="60" spans="1:4" s="4" customFormat="1" ht="31.5" customHeight="1">
      <c r="A60" s="329" t="s">
        <v>124</v>
      </c>
      <c r="B60" s="329"/>
      <c r="C60" s="329"/>
      <c r="D60" s="67"/>
    </row>
    <row r="61" spans="1:4" s="4" customFormat="1" ht="18" customHeight="1">
      <c r="A61" s="4" t="s">
        <v>110</v>
      </c>
    </row>
    <row r="62" spans="1:4" s="4" customFormat="1" ht="18" customHeight="1">
      <c r="A62" s="4" t="s">
        <v>2</v>
      </c>
      <c r="D62" s="67"/>
    </row>
    <row r="63" spans="1:4" s="4" customFormat="1" ht="18" customHeight="1">
      <c r="A63" s="4" t="s">
        <v>3</v>
      </c>
      <c r="D63" s="67"/>
    </row>
    <row r="64" spans="1:4" s="4" customFormat="1" ht="18" customHeight="1">
      <c r="A64" s="4" t="s">
        <v>4</v>
      </c>
      <c r="D64" s="67"/>
    </row>
    <row r="65" spans="1:4" s="4" customFormat="1" ht="18" customHeight="1">
      <c r="A65" s="4" t="s">
        <v>63</v>
      </c>
      <c r="D65" s="67"/>
    </row>
    <row r="66" spans="1:4" s="4" customFormat="1" ht="18" customHeight="1">
      <c r="A66" s="4" t="s">
        <v>5</v>
      </c>
    </row>
    <row r="67" spans="1:4" s="4" customFormat="1" ht="18" customHeight="1">
      <c r="A67" s="27" t="s">
        <v>64</v>
      </c>
    </row>
    <row r="68" spans="1:4" s="4" customFormat="1" ht="18" customHeight="1">
      <c r="A68" s="4" t="s">
        <v>95</v>
      </c>
    </row>
    <row r="69" spans="1:4" s="4" customFormat="1" ht="18" customHeight="1">
      <c r="A69" s="4" t="s">
        <v>65</v>
      </c>
    </row>
    <row r="70" spans="1:4" ht="18" customHeight="1">
      <c r="A70" s="4" t="s">
        <v>66</v>
      </c>
    </row>
    <row r="71" spans="1:4" ht="18" customHeight="1">
      <c r="A71" s="4" t="s">
        <v>67</v>
      </c>
    </row>
    <row r="72" spans="1:4" ht="18" customHeight="1">
      <c r="A72" s="4" t="s">
        <v>68</v>
      </c>
    </row>
    <row r="73" spans="1:4" ht="18" customHeight="1">
      <c r="A73" s="4" t="s">
        <v>69</v>
      </c>
    </row>
    <row r="74" spans="1:4" ht="18" customHeight="1">
      <c r="A74" s="4" t="s">
        <v>70</v>
      </c>
    </row>
    <row r="75" spans="1:4" ht="18" customHeight="1">
      <c r="A75" s="4" t="s">
        <v>111</v>
      </c>
    </row>
    <row r="76" spans="1:4" ht="18" customHeight="1">
      <c r="A76" s="27" t="s">
        <v>71</v>
      </c>
    </row>
    <row r="77" spans="1:4" ht="18" customHeight="1">
      <c r="A77" s="5" t="s">
        <v>6</v>
      </c>
      <c r="B77" s="4" t="s">
        <v>72</v>
      </c>
    </row>
    <row r="78" spans="1:4" ht="18" customHeight="1">
      <c r="A78" s="5" t="s">
        <v>7</v>
      </c>
      <c r="B78" s="4" t="s">
        <v>73</v>
      </c>
    </row>
    <row r="79" spans="1:4" ht="18" customHeight="1">
      <c r="A79" s="5" t="s">
        <v>8</v>
      </c>
      <c r="B79" s="4" t="s">
        <v>74</v>
      </c>
    </row>
  </sheetData>
  <mergeCells count="21">
    <mergeCell ref="A58:C58"/>
    <mergeCell ref="A59:C59"/>
    <mergeCell ref="A60:C60"/>
    <mergeCell ref="A53:C53"/>
    <mergeCell ref="A54:C54"/>
    <mergeCell ref="A55:C55"/>
    <mergeCell ref="A56:C56"/>
    <mergeCell ref="A57:C57"/>
    <mergeCell ref="A48:C48"/>
    <mergeCell ref="A49:C49"/>
    <mergeCell ref="A50:C50"/>
    <mergeCell ref="A51:C51"/>
    <mergeCell ref="A52:C52"/>
    <mergeCell ref="A1:K1"/>
    <mergeCell ref="A2:K2"/>
    <mergeCell ref="K5:K6"/>
    <mergeCell ref="J5:J6"/>
    <mergeCell ref="A5:A6"/>
    <mergeCell ref="B5:D5"/>
    <mergeCell ref="E5:G5"/>
    <mergeCell ref="H5:I5"/>
  </mergeCells>
  <phoneticPr fontId="4" type="noConversion"/>
  <hyperlinks>
    <hyperlink ref="K3" location="底稿目录!F5" display="底稿目录!F5"/>
  </hyperlinks>
  <printOptions horizontalCentered="1"/>
  <pageMargins left="0.98425196850393704" right="0.35433070866141736" top="0.74803149606299213" bottom="0.6692913385826772" header="0.51181102362204722" footer="0.39370078740157483"/>
  <pageSetup paperSize="9" scale="79" fitToHeight="0" orientation="landscape" blackAndWhite="1"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34"/>
  <sheetViews>
    <sheetView view="pageBreakPreview" zoomScaleNormal="130" zoomScaleSheetLayoutView="100" workbookViewId="0">
      <pane ySplit="7" topLeftCell="A8" activePane="bottomLeft" state="frozen"/>
      <selection activeCell="A5" sqref="A5:I6"/>
      <selection pane="bottomLeft" activeCell="A50" sqref="A50"/>
    </sheetView>
  </sheetViews>
  <sheetFormatPr defaultColWidth="9" defaultRowHeight="12"/>
  <cols>
    <col min="1" max="1" width="50.21875" style="8" customWidth="1"/>
    <col min="2" max="2" width="16.33203125" style="8" customWidth="1"/>
    <col min="3" max="3" width="15.44140625" style="8" customWidth="1"/>
    <col min="4" max="4" width="17.109375" style="8" customWidth="1"/>
    <col min="5" max="5" width="11.109375" style="8" customWidth="1"/>
    <col min="6" max="16384" width="9" style="8"/>
  </cols>
  <sheetData>
    <row r="1" spans="1:5" s="180" customFormat="1" ht="20.25" customHeight="1">
      <c r="A1" s="330" t="s">
        <v>0</v>
      </c>
      <c r="B1" s="330"/>
      <c r="C1" s="330"/>
      <c r="D1" s="330"/>
    </row>
    <row r="2" spans="1:5" s="184" customFormat="1" ht="24.9" customHeight="1">
      <c r="A2" s="331" t="s">
        <v>9</v>
      </c>
      <c r="B2" s="331"/>
      <c r="C2" s="331"/>
      <c r="D2" s="331"/>
    </row>
    <row r="3" spans="1:5" s="202" customFormat="1" ht="20.25" customHeight="1">
      <c r="A3" s="209" t="str">
        <f>底稿目录!A2</f>
        <v>被审计单位：</v>
      </c>
      <c r="B3" s="210" t="str">
        <f>底稿目录!A4</f>
        <v>编制人：</v>
      </c>
      <c r="C3" s="211" t="str">
        <f>底稿目录!A5</f>
        <v>编制日期：</v>
      </c>
      <c r="D3" s="202" t="s">
        <v>258</v>
      </c>
      <c r="E3" s="209">
        <f>底稿目录!F6</f>
        <v>0</v>
      </c>
    </row>
    <row r="4" spans="1:5" s="202" customFormat="1" ht="20.25" customHeight="1">
      <c r="A4" s="209" t="str">
        <f>底稿目录!A3</f>
        <v>会计期间：202X年度</v>
      </c>
      <c r="B4" s="210" t="str">
        <f>底稿目录!A6</f>
        <v>复核人：</v>
      </c>
      <c r="C4" s="211" t="str">
        <f>底稿目录!A7</f>
        <v>复核日期：</v>
      </c>
      <c r="D4" s="202" t="s">
        <v>31</v>
      </c>
      <c r="E4" s="209"/>
    </row>
    <row r="5" spans="1:5" s="164" customFormat="1" ht="20.25" customHeight="1">
      <c r="A5" s="32" t="s">
        <v>10</v>
      </c>
      <c r="B5" s="32"/>
      <c r="C5" s="32"/>
      <c r="D5" s="32"/>
    </row>
    <row r="6" spans="1:5" s="164" customFormat="1" ht="20.25" customHeight="1" thickBot="1">
      <c r="A6" s="15" t="s">
        <v>35</v>
      </c>
      <c r="B6" s="33"/>
      <c r="C6" s="33"/>
      <c r="D6" s="32"/>
    </row>
    <row r="7" spans="1:5" s="164" customFormat="1" ht="20.25" customHeight="1" thickBot="1">
      <c r="A7" s="125" t="s">
        <v>77</v>
      </c>
      <c r="B7" s="125"/>
      <c r="C7" s="165" t="s">
        <v>80</v>
      </c>
      <c r="D7" s="166" t="s">
        <v>198</v>
      </c>
    </row>
    <row r="8" spans="1:5" s="164" customFormat="1" ht="20.25" customHeight="1">
      <c r="A8" s="122" t="s">
        <v>233</v>
      </c>
      <c r="B8" s="122"/>
      <c r="C8" s="34">
        <f>SUMIF('审定表G11-1'!$A:$A,A8,'审定表G11-1'!$D:$D)</f>
        <v>0</v>
      </c>
      <c r="D8" s="34">
        <f>SUMIF('审定表G11-1'!$A:$A,A8,'审定表G11-1'!$G:$G)</f>
        <v>0</v>
      </c>
    </row>
    <row r="9" spans="1:5" s="164" customFormat="1" ht="20.25" customHeight="1">
      <c r="A9" s="123" t="s">
        <v>82</v>
      </c>
      <c r="B9" s="123"/>
      <c r="C9" s="34">
        <f>SUMIF('审定表G11-1'!$A:$A,A9,'审定表G11-1'!$D:$D)</f>
        <v>0</v>
      </c>
      <c r="D9" s="34">
        <f>SUMIF('审定表G11-1'!$A:$A,A9,'审定表G11-1'!$G:$G)</f>
        <v>0</v>
      </c>
    </row>
    <row r="10" spans="1:5" s="164" customFormat="1" ht="20.25" customHeight="1">
      <c r="A10" s="99" t="s">
        <v>103</v>
      </c>
      <c r="B10" s="119"/>
      <c r="C10" s="34">
        <f>SUMIF('审定表G11-1'!$A:$A,A10,'审定表G11-1'!$D:$D)</f>
        <v>0</v>
      </c>
      <c r="D10" s="34">
        <f>SUMIF('审定表G11-1'!$A:$A,A10,'审定表G11-1'!$G:$G)</f>
        <v>0</v>
      </c>
    </row>
    <row r="11" spans="1:5" s="164" customFormat="1" ht="20.25" customHeight="1">
      <c r="A11" s="123" t="s">
        <v>234</v>
      </c>
      <c r="B11" s="123"/>
      <c r="C11" s="34">
        <f>SUMIF('审定表G11-1'!$A:$A,A11,'审定表G11-1'!$D:$D)</f>
        <v>0</v>
      </c>
      <c r="D11" s="34">
        <f>SUMIF('审定表G11-1'!$A:$A,A11,'审定表G11-1'!$G:$G)</f>
        <v>0</v>
      </c>
    </row>
    <row r="12" spans="1:5" s="164" customFormat="1" ht="20.25" customHeight="1">
      <c r="A12" s="99" t="s">
        <v>232</v>
      </c>
      <c r="B12" s="119"/>
      <c r="C12" s="34">
        <f>SUMIF('审定表G11-1'!$A:$A,A12,'审定表G11-1'!$D:$D)</f>
        <v>0</v>
      </c>
      <c r="D12" s="34">
        <f>SUMIF('审定表G11-1'!$A:$A,A12,'审定表G11-1'!$G:$G)</f>
        <v>0</v>
      </c>
    </row>
    <row r="13" spans="1:5" s="164" customFormat="1" ht="20.25" customHeight="1">
      <c r="A13" s="99" t="s">
        <v>231</v>
      </c>
      <c r="B13" s="119"/>
      <c r="C13" s="34">
        <f>SUMIF('审定表G11-1'!$A:$A,A13,'审定表G11-1'!$D:$D)</f>
        <v>0</v>
      </c>
      <c r="D13" s="34">
        <f>SUMIF('审定表G11-1'!$A:$A,A13,'审定表G11-1'!$G:$G)</f>
        <v>0</v>
      </c>
    </row>
    <row r="14" spans="1:5" s="164" customFormat="1" ht="20.25" customHeight="1">
      <c r="A14" s="15" t="s">
        <v>230</v>
      </c>
      <c r="B14" s="119"/>
      <c r="C14" s="34">
        <f>SUMIF('审定表G11-1'!$A:$A,A14,'审定表G11-1'!$D:$D)</f>
        <v>0</v>
      </c>
      <c r="D14" s="34">
        <f>SUMIF('审定表G11-1'!$A:$A,A14,'审定表G11-1'!$G:$G)</f>
        <v>0</v>
      </c>
    </row>
    <row r="15" spans="1:5" s="164" customFormat="1" ht="20.25" customHeight="1">
      <c r="A15" s="123" t="s">
        <v>235</v>
      </c>
      <c r="B15" s="123"/>
      <c r="C15" s="34">
        <f>SUMIF('审定表G11-1'!$A:$A,A15,'审定表G11-1'!$D:$D)</f>
        <v>0</v>
      </c>
      <c r="D15" s="34">
        <f>SUMIF('审定表G11-1'!$A:$A,A15,'审定表G11-1'!$G:$G)</f>
        <v>0</v>
      </c>
    </row>
    <row r="16" spans="1:5" s="164" customFormat="1" ht="20.25" customHeight="1">
      <c r="A16" s="123" t="s">
        <v>236</v>
      </c>
      <c r="B16" s="123"/>
      <c r="C16" s="34">
        <f>SUMIF('审定表G11-1'!$A:$A,A16,'审定表G11-1'!$D:$D)</f>
        <v>0</v>
      </c>
      <c r="D16" s="34">
        <f>SUMIF('审定表G11-1'!$A:$A,A16,'审定表G11-1'!$G:$G)</f>
        <v>0</v>
      </c>
    </row>
    <row r="17" spans="1:5" s="164" customFormat="1" ht="20.25" customHeight="1">
      <c r="A17" s="99" t="s">
        <v>237</v>
      </c>
      <c r="B17" s="119"/>
      <c r="C17" s="34">
        <f>SUMIF('审定表G11-1'!$A:$A,A17,'审定表G11-1'!$D:$D)</f>
        <v>0</v>
      </c>
      <c r="D17" s="34">
        <f>SUMIF('审定表G11-1'!$A:$A,A17,'审定表G11-1'!$G:$G)</f>
        <v>0</v>
      </c>
    </row>
    <row r="18" spans="1:5" s="164" customFormat="1" ht="20.25" customHeight="1">
      <c r="A18" s="99" t="s">
        <v>199</v>
      </c>
      <c r="B18" s="119"/>
      <c r="C18" s="34">
        <f>SUMIF('审定表G11-1'!$A:$A,A18,'审定表G11-1'!$D:$D)</f>
        <v>0</v>
      </c>
      <c r="D18" s="34">
        <f>SUMIF('审定表G11-1'!$A:$A,A18,'审定表G11-1'!$G:$G)</f>
        <v>0</v>
      </c>
    </row>
    <row r="19" spans="1:5" s="164" customFormat="1" ht="20.25" customHeight="1">
      <c r="A19" s="15" t="s">
        <v>34</v>
      </c>
      <c r="B19" s="119"/>
      <c r="C19" s="34">
        <f>SUMIF('审定表G11-1'!$A:$A,A19,'审定表G11-1'!$D:$D)</f>
        <v>0</v>
      </c>
      <c r="D19" s="34">
        <f>SUMIF('审定表G11-1'!$A:$A,A19,'审定表G11-1'!$G:$G)</f>
        <v>0</v>
      </c>
    </row>
    <row r="20" spans="1:5" s="164" customFormat="1" ht="20.25" customHeight="1" thickBot="1">
      <c r="A20" s="124" t="s">
        <v>15</v>
      </c>
      <c r="B20" s="124"/>
      <c r="C20" s="34">
        <f>SUMIF('审定表G11-1'!$A:$A,A20,'审定表G11-1'!$D:$D)</f>
        <v>0</v>
      </c>
      <c r="D20" s="34">
        <f>SUMIF('审定表G11-1'!$A:$A,A20,'审定表G11-1'!$G:$G)</f>
        <v>0</v>
      </c>
    </row>
    <row r="21" spans="1:5" s="164" customFormat="1" ht="20.25" customHeight="1" thickBot="1">
      <c r="A21" s="125" t="s">
        <v>78</v>
      </c>
      <c r="B21" s="125"/>
      <c r="C21" s="167">
        <f>SUM(C8:C20)</f>
        <v>0</v>
      </c>
      <c r="D21" s="167">
        <f>SUM(D8:D20)</f>
        <v>0</v>
      </c>
    </row>
    <row r="22" spans="1:5" ht="31.5" customHeight="1">
      <c r="A22" s="332" t="s">
        <v>270</v>
      </c>
      <c r="B22" s="332"/>
      <c r="C22" s="332"/>
      <c r="D22" s="332"/>
      <c r="E22" s="332"/>
    </row>
    <row r="23" spans="1:5" ht="31.05" customHeight="1" thickBot="1">
      <c r="A23" s="332" t="s">
        <v>271</v>
      </c>
      <c r="B23" s="332"/>
      <c r="C23" s="332"/>
      <c r="D23" s="332"/>
      <c r="E23" s="332"/>
    </row>
    <row r="24" spans="1:5" ht="20.25" customHeight="1" thickBot="1">
      <c r="A24" s="168" t="s">
        <v>272</v>
      </c>
      <c r="B24" s="169" t="s">
        <v>11</v>
      </c>
      <c r="C24" s="169" t="s">
        <v>12</v>
      </c>
      <c r="D24" s="32"/>
    </row>
    <row r="25" spans="1:5" ht="14.4">
      <c r="A25" s="170" t="s">
        <v>273</v>
      </c>
      <c r="B25" s="171"/>
      <c r="C25" s="171"/>
    </row>
    <row r="26" spans="1:5" ht="14.4">
      <c r="A26" s="170" t="s">
        <v>274</v>
      </c>
      <c r="B26" s="171"/>
      <c r="C26" s="171"/>
    </row>
    <row r="27" spans="1:5" ht="14.4">
      <c r="A27" s="170" t="s">
        <v>275</v>
      </c>
      <c r="B27" s="171"/>
      <c r="C27" s="171"/>
    </row>
    <row r="28" spans="1:5" ht="14.4">
      <c r="A28" s="170" t="s">
        <v>276</v>
      </c>
      <c r="B28" s="171"/>
      <c r="C28" s="171"/>
    </row>
    <row r="29" spans="1:5" ht="14.4">
      <c r="A29" s="172" t="s">
        <v>277</v>
      </c>
      <c r="B29" s="171"/>
      <c r="C29" s="171"/>
    </row>
    <row r="30" spans="1:5" ht="14.4">
      <c r="A30" s="170" t="s">
        <v>278</v>
      </c>
      <c r="B30" s="171"/>
      <c r="C30" s="171"/>
    </row>
    <row r="31" spans="1:5" ht="14.4">
      <c r="A31" s="170" t="s">
        <v>279</v>
      </c>
      <c r="B31" s="171"/>
      <c r="C31" s="171"/>
    </row>
    <row r="32" spans="1:5" ht="13.8">
      <c r="A32" s="172"/>
      <c r="B32" s="171"/>
      <c r="C32" s="171"/>
    </row>
    <row r="33" spans="1:3" ht="15" thickBot="1">
      <c r="A33" s="173" t="s">
        <v>15</v>
      </c>
      <c r="B33" s="174"/>
      <c r="C33" s="174"/>
    </row>
    <row r="34" spans="1:3" ht="15" thickBot="1">
      <c r="A34" s="175" t="s">
        <v>280</v>
      </c>
      <c r="B34" s="176"/>
      <c r="C34" s="176"/>
    </row>
  </sheetData>
  <mergeCells count="4">
    <mergeCell ref="A1:D1"/>
    <mergeCell ref="A2:D2"/>
    <mergeCell ref="A22:E22"/>
    <mergeCell ref="A23:E23"/>
  </mergeCells>
  <phoneticPr fontId="4" type="noConversion"/>
  <printOptions horizontalCentered="1"/>
  <pageMargins left="0.98425196850393704" right="0.35433070866141736" top="0.74803149606299213" bottom="0.6692913385826772" header="0.51181102362204722" footer="0.39370078740157483"/>
  <pageSetup paperSize="9" scale="68" fitToHeight="100" orientation="landscape" blackAndWhite="1"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D26"/>
  <sheetViews>
    <sheetView view="pageBreakPreview" zoomScale="110" zoomScaleNormal="130" zoomScaleSheetLayoutView="110" workbookViewId="0">
      <pane ySplit="7" topLeftCell="A20" activePane="bottomLeft" state="frozen"/>
      <selection activeCell="A5" sqref="A5:I6"/>
      <selection pane="bottomLeft" activeCell="B18" sqref="B18"/>
    </sheetView>
  </sheetViews>
  <sheetFormatPr defaultColWidth="9" defaultRowHeight="12"/>
  <cols>
    <col min="1" max="1" width="31.44140625" style="8" customWidth="1"/>
    <col min="2" max="2" width="19.109375" style="8" customWidth="1"/>
    <col min="3" max="3" width="12.44140625" style="8" customWidth="1"/>
    <col min="4" max="4" width="13.77734375" style="8" customWidth="1"/>
    <col min="5" max="5" width="8.5546875" style="8" customWidth="1"/>
    <col min="6" max="6" width="17.109375" style="8" customWidth="1"/>
    <col min="7" max="16384" width="9" style="8"/>
  </cols>
  <sheetData>
    <row r="1" spans="1:4" s="180" customFormat="1" ht="20.25" customHeight="1">
      <c r="A1" s="330" t="s">
        <v>0</v>
      </c>
      <c r="B1" s="330"/>
      <c r="C1" s="330"/>
      <c r="D1" s="330"/>
    </row>
    <row r="2" spans="1:4" s="184" customFormat="1" ht="24.9" customHeight="1">
      <c r="A2" s="331" t="s">
        <v>17</v>
      </c>
      <c r="B2" s="331"/>
      <c r="C2" s="331"/>
      <c r="D2" s="331"/>
    </row>
    <row r="3" spans="1:4" s="202" customFormat="1" ht="20.25" customHeight="1">
      <c r="A3" s="201" t="str">
        <f>底稿目录!A2</f>
        <v>被审计单位：</v>
      </c>
      <c r="B3" s="203" t="str">
        <f>底稿目录!A4</f>
        <v>编制人：</v>
      </c>
      <c r="C3" s="205" t="str">
        <f>底稿目录!A5</f>
        <v>编制日期：</v>
      </c>
      <c r="D3" s="202" t="s">
        <v>259</v>
      </c>
    </row>
    <row r="4" spans="1:4" s="202" customFormat="1" ht="20.25" customHeight="1">
      <c r="A4" s="201" t="str">
        <f>底稿目录!A3</f>
        <v>会计期间：202X年度</v>
      </c>
      <c r="B4" s="203" t="str">
        <f>底稿目录!A6</f>
        <v>复核人：</v>
      </c>
      <c r="C4" s="205" t="str">
        <f>底稿目录!A7</f>
        <v>复核日期：</v>
      </c>
      <c r="D4" s="202" t="s">
        <v>31</v>
      </c>
    </row>
    <row r="5" spans="1:4" ht="20.25" customHeight="1">
      <c r="A5" s="32" t="s">
        <v>79</v>
      </c>
      <c r="B5" s="32"/>
      <c r="C5" s="32"/>
      <c r="D5" s="36"/>
    </row>
    <row r="6" spans="1:4" ht="20.25" customHeight="1" thickBot="1">
      <c r="A6" s="15" t="s">
        <v>81</v>
      </c>
      <c r="B6" s="33"/>
      <c r="C6" s="33"/>
      <c r="D6" s="36"/>
    </row>
    <row r="7" spans="1:4" ht="20.25" customHeight="1" thickBot="1">
      <c r="A7" s="125" t="s">
        <v>77</v>
      </c>
      <c r="B7" s="125"/>
      <c r="C7" s="16" t="s">
        <v>11</v>
      </c>
      <c r="D7" s="16" t="s">
        <v>12</v>
      </c>
    </row>
    <row r="8" spans="1:4" ht="20.25" customHeight="1">
      <c r="A8" s="122" t="s">
        <v>233</v>
      </c>
      <c r="B8" s="122"/>
      <c r="C8" s="34">
        <f>SUMIF('审定表G11-1'!$A:$A,$F8,'审定表G11-1'!$D:$D)</f>
        <v>0</v>
      </c>
      <c r="D8" s="37">
        <f>SUMIF('审定表G11-1'!$A:$A,$F8,'审定表G11-1'!$G:$G)</f>
        <v>0</v>
      </c>
    </row>
    <row r="9" spans="1:4" ht="20.25" customHeight="1">
      <c r="A9" s="126" t="s">
        <v>82</v>
      </c>
      <c r="B9" s="123"/>
      <c r="C9" s="34">
        <f>SUMIF('审定表G11-1'!$A:$A,$F9,'审定表G11-1'!$D:$D)</f>
        <v>0</v>
      </c>
      <c r="D9" s="37">
        <f>SUMIF('审定表G11-1'!$A:$A,$F9,'审定表G11-1'!$G:$G)</f>
        <v>0</v>
      </c>
    </row>
    <row r="10" spans="1:4" ht="20.25" customHeight="1">
      <c r="A10" s="99" t="s">
        <v>104</v>
      </c>
      <c r="B10" s="119"/>
      <c r="C10" s="34">
        <f>SUMIF('审定表G11-1'!$A:$A,$F10,'审定表G11-1'!$D:$D)</f>
        <v>0</v>
      </c>
      <c r="D10" s="37">
        <f>SUMIF('审定表G11-1'!$A:$A,$F10,'审定表G11-1'!$G:$G)</f>
        <v>0</v>
      </c>
    </row>
    <row r="11" spans="1:4" ht="20.25" customHeight="1">
      <c r="A11" s="126" t="s">
        <v>238</v>
      </c>
      <c r="B11" s="123"/>
      <c r="C11" s="34">
        <f>SUMIF('审定表G11-1'!$A:$A,$F11,'审定表G11-1'!$D:$D)</f>
        <v>0</v>
      </c>
      <c r="D11" s="37">
        <f>SUMIF('审定表G11-1'!$A:$A,$F11,'审定表G11-1'!$G:$G)</f>
        <v>0</v>
      </c>
    </row>
    <row r="12" spans="1:4" ht="20.25" customHeight="1">
      <c r="A12" s="126" t="s">
        <v>239</v>
      </c>
      <c r="B12" s="123"/>
      <c r="C12" s="34">
        <f>SUMIF('审定表G11-1'!$A:$A,$F12,'审定表G11-1'!$D:$D)</f>
        <v>0</v>
      </c>
      <c r="D12" s="38">
        <f>SUMIF('审定表G11-1'!$A:$A,$F12,'审定表G11-1'!$G:$G)</f>
        <v>0</v>
      </c>
    </row>
    <row r="13" spans="1:4" ht="20.25" customHeight="1">
      <c r="A13" s="99" t="s">
        <v>227</v>
      </c>
      <c r="B13" s="119"/>
      <c r="C13" s="34">
        <f>SUMIF('审定表G11-1'!$A:$A,$F13,'审定表G11-1'!$D:$D)</f>
        <v>0</v>
      </c>
      <c r="D13" s="34">
        <f>SUMIF('审定表G11-1'!$A:$A,$F13,'审定表G11-1'!$G:$G)</f>
        <v>0</v>
      </c>
    </row>
    <row r="14" spans="1:4" ht="20.25" customHeight="1">
      <c r="A14" s="99" t="s">
        <v>229</v>
      </c>
      <c r="B14" s="119"/>
      <c r="C14" s="34">
        <f>SUMIF('审定表G11-1'!$A:$A,$F14,'审定表G11-1'!$D:$D)</f>
        <v>0</v>
      </c>
      <c r="D14" s="34">
        <f>SUMIF('审定表G11-1'!$A:$A,$F14,'审定表G11-1'!$G:$G)</f>
        <v>0</v>
      </c>
    </row>
    <row r="15" spans="1:4" ht="20.25" customHeight="1">
      <c r="A15" s="99" t="s">
        <v>241</v>
      </c>
      <c r="B15" s="119"/>
      <c r="C15" s="34">
        <f>SUMIF('审定表G11-1'!$A:$A,$F15,'审定表G11-1'!$D:$D)</f>
        <v>0</v>
      </c>
      <c r="D15" s="34">
        <f>SUMIF('审定表G11-1'!$A:$A,$F15,'审定表G11-1'!$G:$G)</f>
        <v>0</v>
      </c>
    </row>
    <row r="16" spans="1:4" ht="20.25" customHeight="1">
      <c r="A16" s="99" t="s">
        <v>243</v>
      </c>
      <c r="B16" s="119"/>
      <c r="C16" s="34">
        <f>SUMIF('审定表G11-1'!$A:$A,$F16,'审定表G11-1'!$D:$D)</f>
        <v>0</v>
      </c>
      <c r="D16" s="34">
        <f>SUMIF('审定表G11-1'!$A:$A,$F16,'审定表G11-1'!$G:$G)</f>
        <v>0</v>
      </c>
    </row>
    <row r="17" spans="1:4" ht="20.25" customHeight="1">
      <c r="A17" s="99" t="s">
        <v>245</v>
      </c>
      <c r="B17" s="119"/>
      <c r="C17" s="34">
        <f>SUMIF('审定表G11-1'!$A:$A,$F17,'审定表G11-1'!$D:$D)</f>
        <v>0</v>
      </c>
      <c r="D17" s="34">
        <f>SUMIF('审定表G11-1'!$A:$A,$F17,'审定表G11-1'!$G:$G)</f>
        <v>0</v>
      </c>
    </row>
    <row r="18" spans="1:4" ht="20.25" customHeight="1">
      <c r="A18" s="99" t="s">
        <v>247</v>
      </c>
      <c r="B18" s="119"/>
      <c r="C18" s="34">
        <f>SUMIF('审定表G11-1'!$A:$A,$F18,'审定表G11-1'!$D:$D)</f>
        <v>0</v>
      </c>
      <c r="D18" s="34">
        <f>SUMIF('审定表G11-1'!$A:$A,$F18,'审定表G11-1'!$G:$G)</f>
        <v>0</v>
      </c>
    </row>
    <row r="19" spans="1:4" ht="20.25" customHeight="1">
      <c r="A19" s="99" t="s">
        <v>200</v>
      </c>
      <c r="B19" s="119"/>
      <c r="C19" s="34">
        <f>SUMIF('审定表G11-1'!$A:$A,$F19,'审定表G11-1'!$D:$D)</f>
        <v>0</v>
      </c>
      <c r="D19" s="34">
        <f>SUMIF('审定表G11-1'!$A:$A,$F19,'审定表G11-1'!$G:$G)</f>
        <v>0</v>
      </c>
    </row>
    <row r="20" spans="1:4" ht="20.25" customHeight="1">
      <c r="A20" s="15" t="s">
        <v>248</v>
      </c>
      <c r="B20" s="119"/>
      <c r="C20" s="34">
        <f>SUMIF('审定表G11-1'!$A:$A,$F20,'审定表G11-1'!$D:$D)</f>
        <v>0</v>
      </c>
      <c r="D20" s="34">
        <f>SUMIF('审定表G11-1'!$A:$A,$F20,'审定表G11-1'!$G:$G)</f>
        <v>0</v>
      </c>
    </row>
    <row r="21" spans="1:4" ht="20.25" customHeight="1">
      <c r="A21" s="15" t="s">
        <v>250</v>
      </c>
      <c r="B21" s="119"/>
      <c r="C21" s="34">
        <f>SUMIF('审定表G11-1'!$A:$A,$F21,'审定表G11-1'!$D:$D)</f>
        <v>0</v>
      </c>
      <c r="D21" s="34">
        <f>SUMIF('审定表G11-1'!$A:$A,$F21,'审定表G11-1'!$G:$G)</f>
        <v>0</v>
      </c>
    </row>
    <row r="22" spans="1:4" ht="20.25" customHeight="1">
      <c r="A22" s="15" t="s">
        <v>251</v>
      </c>
      <c r="B22" s="119"/>
      <c r="C22" s="34">
        <f>SUMIF('审定表G11-1'!$A:$A,$F22,'审定表G11-1'!$D:$D)</f>
        <v>0</v>
      </c>
      <c r="D22" s="34">
        <f>SUMIF('审定表G11-1'!$A:$A,$F22,'审定表G11-1'!$G:$G)</f>
        <v>0</v>
      </c>
    </row>
    <row r="23" spans="1:4" ht="20.25" customHeight="1">
      <c r="A23" s="15" t="s">
        <v>253</v>
      </c>
      <c r="B23" s="119"/>
      <c r="C23" s="34">
        <f>SUMIF('审定表G11-1'!$A:$A,$F23,'审定表G11-1'!$D:$D)</f>
        <v>0</v>
      </c>
      <c r="D23" s="34">
        <f>SUMIF('审定表G11-1'!$A:$A,$F23,'审定表G11-1'!$G:$G)</f>
        <v>0</v>
      </c>
    </row>
    <row r="24" spans="1:4" ht="20.25" customHeight="1" thickBot="1">
      <c r="A24" s="124" t="s">
        <v>15</v>
      </c>
      <c r="B24" s="124"/>
      <c r="C24" s="34">
        <f>SUMIF('审定表G11-1'!$A:$A,$F24,'审定表G11-1'!$D:$D)</f>
        <v>0</v>
      </c>
      <c r="D24" s="39">
        <f>SUMIF('审定表G11-1'!$A:$A,$F24,'审定表G11-1'!$G:$G)</f>
        <v>0</v>
      </c>
    </row>
    <row r="25" spans="1:4" ht="20.25" customHeight="1" thickBot="1">
      <c r="A25" s="125" t="s">
        <v>78</v>
      </c>
      <c r="B25" s="125"/>
      <c r="C25" s="35">
        <f>C8+C9+C10+SUM(C13:C24)</f>
        <v>0</v>
      </c>
      <c r="D25" s="35">
        <f>SUM(D8:D12)+D19+D20+D24</f>
        <v>0</v>
      </c>
    </row>
    <row r="26" spans="1:4" ht="36.75" customHeight="1">
      <c r="A26" s="333" t="s">
        <v>281</v>
      </c>
      <c r="B26" s="333"/>
      <c r="C26" s="333"/>
      <c r="D26" s="333"/>
    </row>
  </sheetData>
  <mergeCells count="3">
    <mergeCell ref="A1:D1"/>
    <mergeCell ref="A2:D2"/>
    <mergeCell ref="A26:D26"/>
  </mergeCells>
  <phoneticPr fontId="4" type="noConversion"/>
  <printOptions horizontalCentered="1"/>
  <pageMargins left="0.98425196850393704" right="0.35433070866141736" top="0.74803149606299213" bottom="0.6692913385826772" header="0.51181102362204722" footer="0.39370078740157483"/>
  <pageSetup paperSize="9" scale="68" fitToHeight="100"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M39"/>
  <sheetViews>
    <sheetView view="pageBreakPreview" zoomScaleNormal="115" zoomScaleSheetLayoutView="100" workbookViewId="0">
      <selection sqref="A1:M1"/>
    </sheetView>
  </sheetViews>
  <sheetFormatPr defaultColWidth="9" defaultRowHeight="13.8"/>
  <cols>
    <col min="1" max="1" width="5.33203125" style="6" customWidth="1"/>
    <col min="2" max="2" width="45.21875" style="6" customWidth="1"/>
    <col min="3" max="3" width="20" style="6" customWidth="1"/>
    <col min="4" max="4" width="12.88671875" style="6" customWidth="1"/>
    <col min="5" max="5" width="10.5546875" style="6" customWidth="1"/>
    <col min="6" max="6" width="12.109375" style="6" customWidth="1"/>
    <col min="7" max="7" width="13.44140625" style="6" customWidth="1"/>
    <col min="8" max="8" width="12.33203125" style="6" customWidth="1"/>
    <col min="9" max="9" width="10.109375" style="6" customWidth="1"/>
    <col min="10" max="10" width="12.5546875" style="6" customWidth="1"/>
    <col min="11" max="11" width="12.88671875" style="6" customWidth="1"/>
    <col min="12" max="12" width="10" style="6" customWidth="1"/>
    <col min="13" max="13" width="17.88671875" style="6" customWidth="1"/>
    <col min="14" max="16384" width="9" style="6"/>
  </cols>
  <sheetData>
    <row r="1" spans="1:13" s="181" customFormat="1" ht="19.95" customHeight="1">
      <c r="A1" s="340" t="s">
        <v>0</v>
      </c>
      <c r="B1" s="340"/>
      <c r="C1" s="340"/>
      <c r="D1" s="340"/>
      <c r="E1" s="340"/>
      <c r="F1" s="340"/>
      <c r="G1" s="340"/>
      <c r="H1" s="340"/>
      <c r="I1" s="340"/>
      <c r="J1" s="340"/>
      <c r="K1" s="340"/>
      <c r="L1" s="340"/>
      <c r="M1" s="340"/>
    </row>
    <row r="2" spans="1:13" s="185" customFormat="1" ht="19.95" customHeight="1">
      <c r="A2" s="341" t="s">
        <v>50</v>
      </c>
      <c r="B2" s="341"/>
      <c r="C2" s="341"/>
      <c r="D2" s="341"/>
      <c r="E2" s="341"/>
      <c r="F2" s="341"/>
      <c r="G2" s="341"/>
      <c r="H2" s="341"/>
      <c r="I2" s="341"/>
      <c r="J2" s="341"/>
      <c r="K2" s="341"/>
      <c r="L2" s="341"/>
      <c r="M2" s="341"/>
    </row>
    <row r="3" spans="1:13" s="202" customFormat="1" ht="19.95" customHeight="1">
      <c r="A3" s="201" t="str">
        <f>底稿目录!A2</f>
        <v>被审计单位：</v>
      </c>
      <c r="D3" s="203"/>
      <c r="E3" s="205" t="str">
        <f>底稿目录!A4</f>
        <v>编制人：</v>
      </c>
      <c r="F3" s="208"/>
      <c r="H3" s="202" t="str">
        <f>底稿目录!A5</f>
        <v>编制日期：</v>
      </c>
      <c r="I3" s="206"/>
      <c r="J3" s="206"/>
      <c r="K3" s="208"/>
      <c r="L3" s="202" t="s">
        <v>18</v>
      </c>
      <c r="M3" s="258" t="str">
        <f>底稿目录!F8</f>
        <v>G11-2</v>
      </c>
    </row>
    <row r="4" spans="1:13" s="202" customFormat="1" ht="19.95" customHeight="1">
      <c r="A4" s="201" t="str">
        <f>底稿目录!A3</f>
        <v>会计期间：202X年度</v>
      </c>
      <c r="D4" s="203"/>
      <c r="E4" s="205" t="str">
        <f>底稿目录!A6</f>
        <v>复核人：</v>
      </c>
      <c r="F4" s="208"/>
      <c r="H4" s="202" t="str">
        <f>底稿目录!A7</f>
        <v>复核日期：</v>
      </c>
      <c r="I4" s="206"/>
      <c r="J4" s="206"/>
      <c r="K4" s="208"/>
      <c r="L4" s="202" t="s">
        <v>353</v>
      </c>
    </row>
    <row r="5" spans="1:13" ht="19.95" customHeight="1">
      <c r="A5" s="224" t="s">
        <v>356</v>
      </c>
      <c r="B5" s="223"/>
      <c r="C5" s="223"/>
      <c r="D5" s="223"/>
      <c r="E5" s="223"/>
      <c r="F5" s="223"/>
      <c r="G5" s="223"/>
      <c r="H5" s="223"/>
      <c r="I5" s="223"/>
      <c r="J5" s="223"/>
      <c r="K5" s="223"/>
      <c r="L5" s="223"/>
      <c r="M5" s="223"/>
    </row>
    <row r="6" spans="1:13" ht="19.95" customHeight="1">
      <c r="A6" s="225" t="s">
        <v>354</v>
      </c>
      <c r="B6" s="197"/>
      <c r="C6" s="197"/>
      <c r="D6" s="197"/>
      <c r="E6" s="197"/>
      <c r="F6" s="197"/>
      <c r="G6" s="197"/>
      <c r="H6" s="197"/>
      <c r="I6" s="197"/>
      <c r="J6" s="197"/>
      <c r="K6" s="197"/>
      <c r="L6" s="197"/>
      <c r="M6" s="197"/>
    </row>
    <row r="7" spans="1:13" ht="19.95" customHeight="1">
      <c r="A7" s="225" t="s">
        <v>355</v>
      </c>
      <c r="B7" s="197"/>
      <c r="C7" s="197"/>
      <c r="D7" s="197"/>
      <c r="E7" s="197"/>
      <c r="F7" s="197"/>
      <c r="G7" s="197"/>
      <c r="H7" s="197"/>
      <c r="I7" s="197"/>
      <c r="J7" s="197"/>
      <c r="K7" s="197"/>
      <c r="L7" s="197"/>
      <c r="M7" s="197"/>
    </row>
    <row r="8" spans="1:13" ht="19.95" customHeight="1">
      <c r="A8" s="17" t="s">
        <v>38</v>
      </c>
      <c r="B8" s="18"/>
      <c r="D8" s="2"/>
      <c r="E8" s="100"/>
      <c r="F8" s="19"/>
      <c r="H8" s="8"/>
      <c r="I8" s="40"/>
      <c r="J8" s="40"/>
      <c r="K8" s="19"/>
    </row>
    <row r="9" spans="1:13" ht="19.95" customHeight="1">
      <c r="A9" s="31" t="s">
        <v>209</v>
      </c>
      <c r="B9" s="65" t="s">
        <v>39</v>
      </c>
      <c r="C9" s="65" t="s">
        <v>40</v>
      </c>
      <c r="D9" s="31" t="s">
        <v>85</v>
      </c>
      <c r="E9" s="31" t="s">
        <v>204</v>
      </c>
      <c r="F9" s="135" t="s">
        <v>86</v>
      </c>
      <c r="G9" s="31" t="s">
        <v>89</v>
      </c>
      <c r="H9" s="31" t="s">
        <v>87</v>
      </c>
      <c r="I9" s="31" t="s">
        <v>205</v>
      </c>
      <c r="J9" s="31" t="s">
        <v>88</v>
      </c>
      <c r="K9" s="31" t="s">
        <v>89</v>
      </c>
      <c r="L9" s="31" t="s">
        <v>90</v>
      </c>
      <c r="M9" s="65" t="s">
        <v>41</v>
      </c>
    </row>
    <row r="10" spans="1:13" ht="19.95" customHeight="1">
      <c r="A10" s="257">
        <v>1</v>
      </c>
      <c r="B10" s="256" t="s">
        <v>13</v>
      </c>
      <c r="C10" s="226"/>
      <c r="D10" s="188"/>
      <c r="E10" s="188"/>
      <c r="F10" s="136">
        <f t="shared" ref="F10:F12" si="0">D10+E10</f>
        <v>0</v>
      </c>
      <c r="G10" s="137">
        <f t="shared" ref="G10:G31" si="1">IF(F10=0,0,F10/$F$31)</f>
        <v>0</v>
      </c>
      <c r="H10" s="188"/>
      <c r="I10" s="188"/>
      <c r="J10" s="136">
        <f>H10+I10</f>
        <v>0</v>
      </c>
      <c r="K10" s="138">
        <f t="shared" ref="K10:K31" si="2">IF(J10=0,0,J10/$J$31)</f>
        <v>0</v>
      </c>
      <c r="L10" s="139">
        <f t="shared" ref="L10:L16" si="3">F10-J10</f>
        <v>0</v>
      </c>
      <c r="M10" s="227"/>
    </row>
    <row r="11" spans="1:13" ht="19.95" customHeight="1">
      <c r="A11" s="257">
        <v>2</v>
      </c>
      <c r="B11" s="256" t="s">
        <v>13</v>
      </c>
      <c r="C11" s="226"/>
      <c r="D11" s="188"/>
      <c r="E11" s="188"/>
      <c r="F11" s="136">
        <f t="shared" si="0"/>
        <v>0</v>
      </c>
      <c r="G11" s="137">
        <f t="shared" si="1"/>
        <v>0</v>
      </c>
      <c r="H11" s="188"/>
      <c r="I11" s="188"/>
      <c r="J11" s="136">
        <f t="shared" ref="J11" si="4">H11+I11</f>
        <v>0</v>
      </c>
      <c r="K11" s="138">
        <f t="shared" si="2"/>
        <v>0</v>
      </c>
      <c r="L11" s="139">
        <f t="shared" si="3"/>
        <v>0</v>
      </c>
      <c r="M11" s="227"/>
    </row>
    <row r="12" spans="1:13" ht="19.95" customHeight="1">
      <c r="A12" s="257">
        <v>3</v>
      </c>
      <c r="B12" s="256" t="s">
        <v>14</v>
      </c>
      <c r="C12" s="226"/>
      <c r="D12" s="188"/>
      <c r="E12" s="188"/>
      <c r="F12" s="136">
        <f t="shared" si="0"/>
        <v>0</v>
      </c>
      <c r="G12" s="137">
        <f t="shared" si="1"/>
        <v>0</v>
      </c>
      <c r="H12" s="188"/>
      <c r="I12" s="188"/>
      <c r="J12" s="136">
        <f t="shared" ref="J12" si="5">H12+I12</f>
        <v>0</v>
      </c>
      <c r="K12" s="138">
        <f t="shared" si="2"/>
        <v>0</v>
      </c>
      <c r="L12" s="139">
        <f t="shared" si="3"/>
        <v>0</v>
      </c>
      <c r="M12" s="227"/>
    </row>
    <row r="13" spans="1:13" ht="19.95" customHeight="1">
      <c r="A13" s="257">
        <v>4</v>
      </c>
      <c r="B13" s="256" t="s">
        <v>225</v>
      </c>
      <c r="C13" s="226"/>
      <c r="D13" s="188"/>
      <c r="E13" s="188"/>
      <c r="F13" s="136">
        <f t="shared" ref="F13:F14" si="6">D13+E13</f>
        <v>0</v>
      </c>
      <c r="G13" s="137">
        <f t="shared" si="1"/>
        <v>0</v>
      </c>
      <c r="H13" s="188"/>
      <c r="I13" s="188"/>
      <c r="J13" s="136">
        <f t="shared" ref="J13:J14" si="7">H13+I13</f>
        <v>0</v>
      </c>
      <c r="K13" s="138">
        <f t="shared" si="2"/>
        <v>0</v>
      </c>
      <c r="L13" s="139">
        <f t="shared" ref="L13:L14" si="8">F13-J13</f>
        <v>0</v>
      </c>
      <c r="M13" s="227"/>
    </row>
    <row r="14" spans="1:13" ht="19.95" customHeight="1">
      <c r="A14" s="257">
        <v>5</v>
      </c>
      <c r="B14" s="256" t="s">
        <v>225</v>
      </c>
      <c r="C14" s="226"/>
      <c r="D14" s="188"/>
      <c r="E14" s="188"/>
      <c r="F14" s="136">
        <f t="shared" si="6"/>
        <v>0</v>
      </c>
      <c r="G14" s="137">
        <f t="shared" si="1"/>
        <v>0</v>
      </c>
      <c r="H14" s="188"/>
      <c r="I14" s="188"/>
      <c r="J14" s="136">
        <f t="shared" si="7"/>
        <v>0</v>
      </c>
      <c r="K14" s="138">
        <f t="shared" si="2"/>
        <v>0</v>
      </c>
      <c r="L14" s="139">
        <f t="shared" si="8"/>
        <v>0</v>
      </c>
      <c r="M14" s="227"/>
    </row>
    <row r="15" spans="1:13" ht="19.95" customHeight="1">
      <c r="A15" s="257">
        <v>6</v>
      </c>
      <c r="B15" s="256" t="s">
        <v>235</v>
      </c>
      <c r="C15" s="226"/>
      <c r="D15" s="188"/>
      <c r="E15" s="188"/>
      <c r="F15" s="136">
        <f t="shared" ref="F15:F16" si="9">D15+E15</f>
        <v>0</v>
      </c>
      <c r="G15" s="137">
        <f t="shared" si="1"/>
        <v>0</v>
      </c>
      <c r="H15" s="188"/>
      <c r="I15" s="188"/>
      <c r="J15" s="136">
        <f>H15+I15</f>
        <v>0</v>
      </c>
      <c r="K15" s="138">
        <f t="shared" si="2"/>
        <v>0</v>
      </c>
      <c r="L15" s="139">
        <f t="shared" si="3"/>
        <v>0</v>
      </c>
      <c r="M15" s="227"/>
    </row>
    <row r="16" spans="1:13" ht="19.95" customHeight="1">
      <c r="A16" s="257">
        <v>7</v>
      </c>
      <c r="B16" s="256" t="s">
        <v>235</v>
      </c>
      <c r="C16" s="226"/>
      <c r="D16" s="188"/>
      <c r="E16" s="188"/>
      <c r="F16" s="136">
        <f t="shared" si="9"/>
        <v>0</v>
      </c>
      <c r="G16" s="137">
        <f t="shared" si="1"/>
        <v>0</v>
      </c>
      <c r="H16" s="188"/>
      <c r="I16" s="188"/>
      <c r="J16" s="136">
        <f>H16+I16</f>
        <v>0</v>
      </c>
      <c r="K16" s="138">
        <f t="shared" si="2"/>
        <v>0</v>
      </c>
      <c r="L16" s="139">
        <f t="shared" si="3"/>
        <v>0</v>
      </c>
      <c r="M16" s="227"/>
    </row>
    <row r="17" spans="1:13" ht="19.95" customHeight="1">
      <c r="A17" s="257">
        <v>8</v>
      </c>
      <c r="B17" s="256" t="s">
        <v>226</v>
      </c>
      <c r="C17" s="226"/>
      <c r="D17" s="188"/>
      <c r="E17" s="188"/>
      <c r="F17" s="136">
        <f t="shared" ref="F17:F30" si="10">D17+E17</f>
        <v>0</v>
      </c>
      <c r="G17" s="137">
        <f t="shared" si="1"/>
        <v>0</v>
      </c>
      <c r="H17" s="188"/>
      <c r="I17" s="188"/>
      <c r="J17" s="136">
        <f t="shared" ref="J17" si="11">H17+I17</f>
        <v>0</v>
      </c>
      <c r="K17" s="138">
        <f t="shared" si="2"/>
        <v>0</v>
      </c>
      <c r="L17" s="139">
        <f t="shared" ref="L17:L23" si="12">F17-J17</f>
        <v>0</v>
      </c>
      <c r="M17" s="227"/>
    </row>
    <row r="18" spans="1:13" ht="19.95" customHeight="1">
      <c r="A18" s="257">
        <v>9</v>
      </c>
      <c r="B18" s="256" t="s">
        <v>228</v>
      </c>
      <c r="C18" s="226"/>
      <c r="D18" s="188"/>
      <c r="E18" s="188"/>
      <c r="F18" s="136">
        <f t="shared" si="10"/>
        <v>0</v>
      </c>
      <c r="G18" s="137">
        <f t="shared" si="1"/>
        <v>0</v>
      </c>
      <c r="H18" s="188"/>
      <c r="I18" s="188"/>
      <c r="J18" s="136">
        <f t="shared" ref="J18" si="13">H18+I18</f>
        <v>0</v>
      </c>
      <c r="K18" s="138">
        <f t="shared" si="2"/>
        <v>0</v>
      </c>
      <c r="L18" s="139">
        <f t="shared" si="12"/>
        <v>0</v>
      </c>
      <c r="M18" s="227"/>
    </row>
    <row r="19" spans="1:13" ht="19.95" customHeight="1">
      <c r="A19" s="257">
        <v>10</v>
      </c>
      <c r="B19" s="256" t="s">
        <v>240</v>
      </c>
      <c r="C19" s="226"/>
      <c r="D19" s="188"/>
      <c r="E19" s="188"/>
      <c r="F19" s="136">
        <f t="shared" si="10"/>
        <v>0</v>
      </c>
      <c r="G19" s="137">
        <f t="shared" si="1"/>
        <v>0</v>
      </c>
      <c r="H19" s="188"/>
      <c r="I19" s="188"/>
      <c r="J19" s="136">
        <f t="shared" ref="J19" si="14">H19+I19</f>
        <v>0</v>
      </c>
      <c r="K19" s="138">
        <f t="shared" si="2"/>
        <v>0</v>
      </c>
      <c r="L19" s="139">
        <f t="shared" si="12"/>
        <v>0</v>
      </c>
      <c r="M19" s="227"/>
    </row>
    <row r="20" spans="1:13" ht="19.95" customHeight="1">
      <c r="A20" s="257">
        <v>11</v>
      </c>
      <c r="B20" s="256" t="s">
        <v>228</v>
      </c>
      <c r="C20" s="226"/>
      <c r="D20" s="188"/>
      <c r="E20" s="188"/>
      <c r="F20" s="136">
        <f t="shared" si="10"/>
        <v>0</v>
      </c>
      <c r="G20" s="137">
        <f t="shared" si="1"/>
        <v>0</v>
      </c>
      <c r="H20" s="188"/>
      <c r="I20" s="188"/>
      <c r="J20" s="136">
        <f t="shared" ref="J20" si="15">H20+I20</f>
        <v>0</v>
      </c>
      <c r="K20" s="138">
        <f t="shared" si="2"/>
        <v>0</v>
      </c>
      <c r="L20" s="139">
        <f t="shared" si="12"/>
        <v>0</v>
      </c>
      <c r="M20" s="227"/>
    </row>
    <row r="21" spans="1:13" ht="19.95" customHeight="1">
      <c r="A21" s="257">
        <v>12</v>
      </c>
      <c r="B21" s="256" t="s">
        <v>244</v>
      </c>
      <c r="C21" s="226"/>
      <c r="D21" s="188"/>
      <c r="E21" s="188"/>
      <c r="F21" s="136">
        <f t="shared" si="10"/>
        <v>0</v>
      </c>
      <c r="G21" s="137">
        <f t="shared" si="1"/>
        <v>0</v>
      </c>
      <c r="H21" s="188"/>
      <c r="I21" s="188"/>
      <c r="J21" s="136">
        <f t="shared" ref="J21" si="16">H21+I21</f>
        <v>0</v>
      </c>
      <c r="K21" s="138">
        <f t="shared" si="2"/>
        <v>0</v>
      </c>
      <c r="L21" s="139">
        <f t="shared" si="12"/>
        <v>0</v>
      </c>
      <c r="M21" s="227"/>
    </row>
    <row r="22" spans="1:13" ht="19.95" customHeight="1">
      <c r="A22" s="257">
        <v>13</v>
      </c>
      <c r="B22" s="256" t="s">
        <v>246</v>
      </c>
      <c r="C22" s="226"/>
      <c r="D22" s="188"/>
      <c r="E22" s="188"/>
      <c r="F22" s="136">
        <f t="shared" si="10"/>
        <v>0</v>
      </c>
      <c r="G22" s="137">
        <f t="shared" si="1"/>
        <v>0</v>
      </c>
      <c r="H22" s="188"/>
      <c r="I22" s="188"/>
      <c r="J22" s="136">
        <f t="shared" ref="J22" si="17">H22+I22</f>
        <v>0</v>
      </c>
      <c r="K22" s="138">
        <f t="shared" si="2"/>
        <v>0</v>
      </c>
      <c r="L22" s="139">
        <f t="shared" si="12"/>
        <v>0</v>
      </c>
      <c r="M22" s="227"/>
    </row>
    <row r="23" spans="1:13" ht="19.95" customHeight="1">
      <c r="A23" s="257">
        <v>14</v>
      </c>
      <c r="B23" s="256" t="s">
        <v>199</v>
      </c>
      <c r="C23" s="226"/>
      <c r="D23" s="188"/>
      <c r="E23" s="188"/>
      <c r="F23" s="136">
        <f t="shared" si="10"/>
        <v>0</v>
      </c>
      <c r="G23" s="137">
        <f t="shared" si="1"/>
        <v>0</v>
      </c>
      <c r="H23" s="188"/>
      <c r="I23" s="188"/>
      <c r="J23" s="136">
        <f t="shared" ref="J23" si="18">H23+I23</f>
        <v>0</v>
      </c>
      <c r="K23" s="138">
        <f t="shared" si="2"/>
        <v>0</v>
      </c>
      <c r="L23" s="139">
        <f t="shared" si="12"/>
        <v>0</v>
      </c>
      <c r="M23" s="227"/>
    </row>
    <row r="24" spans="1:13" ht="19.95" customHeight="1">
      <c r="A24" s="257">
        <v>15</v>
      </c>
      <c r="B24" s="256" t="s">
        <v>34</v>
      </c>
      <c r="C24" s="226"/>
      <c r="D24" s="188"/>
      <c r="E24" s="188"/>
      <c r="F24" s="136">
        <f t="shared" si="10"/>
        <v>0</v>
      </c>
      <c r="G24" s="137">
        <f t="shared" si="1"/>
        <v>0</v>
      </c>
      <c r="H24" s="188"/>
      <c r="I24" s="188"/>
      <c r="J24" s="136">
        <f t="shared" ref="J24" si="19">H24+I24</f>
        <v>0</v>
      </c>
      <c r="K24" s="138">
        <f t="shared" si="2"/>
        <v>0</v>
      </c>
      <c r="L24" s="139">
        <f t="shared" ref="L24:L30" si="20">F24-J24</f>
        <v>0</v>
      </c>
      <c r="M24" s="227"/>
    </row>
    <row r="25" spans="1:13" ht="19.95" customHeight="1">
      <c r="A25" s="257">
        <v>16</v>
      </c>
      <c r="B25" s="256" t="s">
        <v>249</v>
      </c>
      <c r="C25" s="226"/>
      <c r="D25" s="188"/>
      <c r="E25" s="188"/>
      <c r="F25" s="136">
        <f t="shared" si="10"/>
        <v>0</v>
      </c>
      <c r="G25" s="137">
        <f t="shared" si="1"/>
        <v>0</v>
      </c>
      <c r="H25" s="188"/>
      <c r="I25" s="188"/>
      <c r="J25" s="136">
        <f t="shared" ref="J25" si="21">H25+I25</f>
        <v>0</v>
      </c>
      <c r="K25" s="138">
        <f t="shared" si="2"/>
        <v>0</v>
      </c>
      <c r="L25" s="139">
        <f t="shared" si="20"/>
        <v>0</v>
      </c>
      <c r="M25" s="227"/>
    </row>
    <row r="26" spans="1:13" ht="19.95" customHeight="1">
      <c r="A26" s="257">
        <v>17</v>
      </c>
      <c r="B26" s="256" t="s">
        <v>236</v>
      </c>
      <c r="C26" s="226"/>
      <c r="D26" s="188"/>
      <c r="E26" s="188"/>
      <c r="F26" s="136">
        <f t="shared" ref="F26" si="22">D26+E26</f>
        <v>0</v>
      </c>
      <c r="G26" s="137">
        <f t="shared" si="1"/>
        <v>0</v>
      </c>
      <c r="H26" s="188"/>
      <c r="I26" s="188"/>
      <c r="J26" s="136">
        <f t="shared" ref="J26" si="23">H26+I26</f>
        <v>0</v>
      </c>
      <c r="K26" s="138">
        <f t="shared" si="2"/>
        <v>0</v>
      </c>
      <c r="L26" s="139">
        <f t="shared" ref="L26" si="24">F26-J26</f>
        <v>0</v>
      </c>
      <c r="M26" s="227"/>
    </row>
    <row r="27" spans="1:13" ht="19.95" customHeight="1">
      <c r="A27" s="257">
        <v>18</v>
      </c>
      <c r="B27" s="256" t="s">
        <v>254</v>
      </c>
      <c r="C27" s="226"/>
      <c r="D27" s="188"/>
      <c r="E27" s="188"/>
      <c r="F27" s="136">
        <f t="shared" ref="F27:F28" si="25">D27+E27</f>
        <v>0</v>
      </c>
      <c r="G27" s="137">
        <f t="shared" si="1"/>
        <v>0</v>
      </c>
      <c r="H27" s="188"/>
      <c r="I27" s="188"/>
      <c r="J27" s="136">
        <f t="shared" ref="J27:J28" si="26">H27+I27</f>
        <v>0</v>
      </c>
      <c r="K27" s="138">
        <f t="shared" si="2"/>
        <v>0</v>
      </c>
      <c r="L27" s="139">
        <f t="shared" ref="L27:L28" si="27">F27-J27</f>
        <v>0</v>
      </c>
      <c r="M27" s="227"/>
    </row>
    <row r="28" spans="1:13" ht="19.95" customHeight="1">
      <c r="A28" s="257">
        <v>19</v>
      </c>
      <c r="B28" s="256" t="s">
        <v>252</v>
      </c>
      <c r="C28" s="226"/>
      <c r="D28" s="188"/>
      <c r="E28" s="188"/>
      <c r="F28" s="136">
        <f t="shared" si="25"/>
        <v>0</v>
      </c>
      <c r="G28" s="137">
        <f t="shared" si="1"/>
        <v>0</v>
      </c>
      <c r="H28" s="188"/>
      <c r="I28" s="188"/>
      <c r="J28" s="136">
        <f t="shared" si="26"/>
        <v>0</v>
      </c>
      <c r="K28" s="138">
        <f t="shared" si="2"/>
        <v>0</v>
      </c>
      <c r="L28" s="139">
        <f t="shared" si="27"/>
        <v>0</v>
      </c>
      <c r="M28" s="227"/>
    </row>
    <row r="29" spans="1:13" ht="19.95" customHeight="1">
      <c r="A29" s="257">
        <v>20</v>
      </c>
      <c r="B29" s="256" t="s">
        <v>15</v>
      </c>
      <c r="C29" s="226"/>
      <c r="D29" s="188"/>
      <c r="E29" s="188"/>
      <c r="F29" s="136">
        <f t="shared" si="10"/>
        <v>0</v>
      </c>
      <c r="G29" s="137">
        <f t="shared" si="1"/>
        <v>0</v>
      </c>
      <c r="H29" s="188"/>
      <c r="I29" s="188"/>
      <c r="J29" s="136">
        <f>H29+I29</f>
        <v>0</v>
      </c>
      <c r="K29" s="138">
        <f t="shared" si="2"/>
        <v>0</v>
      </c>
      <c r="L29" s="139">
        <f t="shared" si="20"/>
        <v>0</v>
      </c>
      <c r="M29" s="227"/>
    </row>
    <row r="30" spans="1:13" ht="19.95" customHeight="1">
      <c r="A30" s="257">
        <v>21</v>
      </c>
      <c r="B30" s="256" t="s">
        <v>15</v>
      </c>
      <c r="C30" s="226"/>
      <c r="D30" s="188"/>
      <c r="E30" s="188"/>
      <c r="F30" s="136">
        <f t="shared" si="10"/>
        <v>0</v>
      </c>
      <c r="G30" s="137">
        <f t="shared" si="1"/>
        <v>0</v>
      </c>
      <c r="H30" s="188"/>
      <c r="I30" s="188"/>
      <c r="J30" s="136">
        <f>H30+I30</f>
        <v>0</v>
      </c>
      <c r="K30" s="138">
        <f t="shared" si="2"/>
        <v>0</v>
      </c>
      <c r="L30" s="139">
        <f t="shared" si="20"/>
        <v>0</v>
      </c>
      <c r="M30" s="227"/>
    </row>
    <row r="31" spans="1:13" ht="19.95" customHeight="1">
      <c r="A31" s="334" t="s">
        <v>342</v>
      </c>
      <c r="B31" s="335"/>
      <c r="C31" s="336"/>
      <c r="D31" s="140">
        <f>SUM(D10:D30)</f>
        <v>0</v>
      </c>
      <c r="E31" s="140">
        <f>SUM(E10:E30)</f>
        <v>0</v>
      </c>
      <c r="F31" s="136">
        <f>SUM(F10:F30)</f>
        <v>0</v>
      </c>
      <c r="G31" s="145">
        <f t="shared" si="1"/>
        <v>0</v>
      </c>
      <c r="H31" s="140">
        <f>SUM(H10:H30)</f>
        <v>0</v>
      </c>
      <c r="I31" s="140">
        <f>SUM(I10:I30)</f>
        <v>0</v>
      </c>
      <c r="J31" s="140">
        <f>SUM(J10:J30)</f>
        <v>0</v>
      </c>
      <c r="K31" s="146">
        <f t="shared" si="2"/>
        <v>0</v>
      </c>
      <c r="L31" s="147">
        <f>SUM(L10:L30)</f>
        <v>0</v>
      </c>
      <c r="M31" s="227"/>
    </row>
    <row r="32" spans="1:13" ht="19.95" customHeight="1">
      <c r="A32" s="337" t="s">
        <v>94</v>
      </c>
      <c r="B32" s="338"/>
      <c r="C32" s="339"/>
      <c r="D32" s="20"/>
      <c r="E32" s="23" t="s">
        <v>46</v>
      </c>
      <c r="F32" s="20"/>
      <c r="G32" s="23" t="s">
        <v>46</v>
      </c>
      <c r="H32" s="20"/>
      <c r="I32" s="23" t="s">
        <v>46</v>
      </c>
      <c r="J32" s="20"/>
      <c r="K32" s="23" t="s">
        <v>46</v>
      </c>
      <c r="L32" s="23" t="s">
        <v>46</v>
      </c>
      <c r="M32" s="227"/>
    </row>
    <row r="33" spans="1:5" ht="19.95" customHeight="1">
      <c r="A33" s="21" t="s">
        <v>42</v>
      </c>
      <c r="B33" s="14"/>
      <c r="C33" s="14"/>
      <c r="D33" s="14"/>
      <c r="E33" s="14"/>
    </row>
    <row r="34" spans="1:5" ht="19.95" customHeight="1">
      <c r="A34" s="6" t="s">
        <v>44</v>
      </c>
      <c r="B34" s="22" t="s">
        <v>45</v>
      </c>
    </row>
    <row r="35" spans="1:5" ht="19.95" customHeight="1">
      <c r="A35" s="21" t="s">
        <v>43</v>
      </c>
    </row>
    <row r="36" spans="1:5" ht="19.95" customHeight="1"/>
    <row r="37" spans="1:5">
      <c r="A37" s="191" t="s">
        <v>343</v>
      </c>
    </row>
    <row r="38" spans="1:5">
      <c r="A38" s="192" t="s">
        <v>344</v>
      </c>
    </row>
    <row r="39" spans="1:5">
      <c r="A39" s="193" t="s">
        <v>345</v>
      </c>
    </row>
  </sheetData>
  <mergeCells count="4">
    <mergeCell ref="A31:C31"/>
    <mergeCell ref="A32:C32"/>
    <mergeCell ref="A1:M1"/>
    <mergeCell ref="A2:M2"/>
  </mergeCells>
  <phoneticPr fontId="4" type="noConversion"/>
  <conditionalFormatting sqref="K10:L31 G10:G31">
    <cfRule type="cellIs" dxfId="2" priority="53" stopIfTrue="1" operator="greaterThanOrEqual">
      <formula>0.5</formula>
    </cfRule>
  </conditionalFormatting>
  <conditionalFormatting sqref="L10:L31">
    <cfRule type="cellIs" dxfId="1" priority="51" stopIfTrue="1" operator="greaterThanOrEqual">
      <formula>0.3</formula>
    </cfRule>
    <cfRule type="cellIs" dxfId="0" priority="52" stopIfTrue="1" operator="lessThanOrEqual">
      <formula>-0.3</formula>
    </cfRule>
  </conditionalFormatting>
  <hyperlinks>
    <hyperlink ref="M3" location="底稿目录!F8" display="底稿目录!F8"/>
  </hyperlinks>
  <printOptions horizontalCentered="1"/>
  <pageMargins left="0.98425196850393704" right="0.35433070866141736" top="0.74803149606299213" bottom="0.6692913385826772" header="0.51181102362204722" footer="0.39370078740157483"/>
  <pageSetup paperSize="9" scale="69" fitToHeight="0" orientation="landscape" blackAndWhite="1"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3"/>
  <sheetViews>
    <sheetView view="pageBreakPreview" zoomScaleNormal="100" zoomScaleSheetLayoutView="100" workbookViewId="0">
      <pane ySplit="5" topLeftCell="A6" activePane="bottomLeft" state="frozen"/>
      <selection activeCell="A5" sqref="A5:I6"/>
      <selection pane="bottomLeft" sqref="A1:J1"/>
    </sheetView>
  </sheetViews>
  <sheetFormatPr defaultColWidth="8.88671875" defaultRowHeight="15.6"/>
  <cols>
    <col min="1" max="1" width="23" style="102" customWidth="1"/>
    <col min="2" max="2" width="17.5546875" style="102" customWidth="1"/>
    <col min="3" max="3" width="12.33203125" style="102" customWidth="1"/>
    <col min="4" max="4" width="16.88671875" style="102" customWidth="1"/>
    <col min="5" max="5" width="15.5546875" style="102" customWidth="1"/>
    <col min="6" max="6" width="8.88671875" style="102"/>
    <col min="7" max="7" width="11.21875" style="102" customWidth="1"/>
    <col min="8" max="8" width="11" style="102" customWidth="1"/>
    <col min="9" max="9" width="9.88671875" style="102" customWidth="1"/>
    <col min="10" max="10" width="12.88671875" style="102" customWidth="1"/>
    <col min="11" max="16384" width="8.88671875" style="102"/>
  </cols>
  <sheetData>
    <row r="1" spans="1:10" s="178" customFormat="1" ht="19.95" customHeight="1">
      <c r="A1" s="342" t="s">
        <v>0</v>
      </c>
      <c r="B1" s="342"/>
      <c r="C1" s="342"/>
      <c r="D1" s="342"/>
      <c r="E1" s="342"/>
      <c r="F1" s="342"/>
      <c r="G1" s="342"/>
      <c r="H1" s="342"/>
      <c r="I1" s="342"/>
      <c r="J1" s="342"/>
    </row>
    <row r="2" spans="1:10" s="186" customFormat="1" ht="19.95" customHeight="1">
      <c r="A2" s="343" t="s">
        <v>219</v>
      </c>
      <c r="B2" s="343"/>
      <c r="C2" s="343"/>
      <c r="D2" s="343"/>
      <c r="E2" s="343"/>
      <c r="F2" s="343"/>
      <c r="G2" s="343"/>
      <c r="H2" s="343"/>
      <c r="I2" s="343"/>
      <c r="J2" s="343"/>
    </row>
    <row r="3" spans="1:10" s="228" customFormat="1" ht="19.95" customHeight="1">
      <c r="A3" s="207" t="str">
        <f>底稿目录!A2</f>
        <v>被审计单位：</v>
      </c>
      <c r="B3" s="207"/>
      <c r="C3" s="207"/>
      <c r="D3" s="207" t="str">
        <f>底稿目录!A4</f>
        <v>编制人：</v>
      </c>
      <c r="E3" s="207"/>
      <c r="F3" s="207"/>
      <c r="G3" s="207" t="str">
        <f>底稿目录!A5</f>
        <v>编制日期：</v>
      </c>
      <c r="H3" s="207"/>
      <c r="I3" s="207" t="s">
        <v>260</v>
      </c>
      <c r="J3" s="258" t="str">
        <f>底稿目录!F9</f>
        <v>G11-3</v>
      </c>
    </row>
    <row r="4" spans="1:10" s="228" customFormat="1" ht="19.95" customHeight="1">
      <c r="A4" s="207" t="str">
        <f>底稿目录!A3</f>
        <v>会计期间：202X年度</v>
      </c>
      <c r="B4" s="207"/>
      <c r="C4" s="207"/>
      <c r="D4" s="207" t="str">
        <f>底稿目录!A6</f>
        <v>复核人：</v>
      </c>
      <c r="E4" s="207"/>
      <c r="F4" s="207"/>
      <c r="G4" s="207" t="str">
        <f>底稿目录!A7</f>
        <v>复核日期：</v>
      </c>
      <c r="H4" s="207"/>
      <c r="I4" s="207" t="s">
        <v>357</v>
      </c>
    </row>
    <row r="5" spans="1:10" ht="24">
      <c r="A5" s="103" t="s">
        <v>210</v>
      </c>
      <c r="B5" s="104" t="s">
        <v>211</v>
      </c>
      <c r="C5" s="104" t="s">
        <v>314</v>
      </c>
      <c r="D5" s="105" t="s">
        <v>212</v>
      </c>
      <c r="E5" s="105" t="s">
        <v>213</v>
      </c>
      <c r="F5" s="106" t="s">
        <v>214</v>
      </c>
      <c r="G5" s="105" t="s">
        <v>215</v>
      </c>
      <c r="H5" s="105" t="s">
        <v>216</v>
      </c>
      <c r="I5" s="105" t="s">
        <v>217</v>
      </c>
      <c r="J5" s="105" t="s">
        <v>218</v>
      </c>
    </row>
    <row r="6" spans="1:10" ht="19.95" customHeight="1">
      <c r="A6" s="107"/>
      <c r="B6" s="107"/>
      <c r="C6" s="107"/>
      <c r="D6" s="107"/>
      <c r="E6" s="107"/>
      <c r="F6" s="107"/>
      <c r="G6" s="107"/>
      <c r="H6" s="107"/>
      <c r="I6" s="107"/>
      <c r="J6" s="107"/>
    </row>
    <row r="7" spans="1:10" ht="19.95" customHeight="1">
      <c r="A7" s="108"/>
      <c r="B7" s="107"/>
      <c r="C7" s="107"/>
      <c r="D7" s="107"/>
      <c r="E7" s="107"/>
      <c r="F7" s="107"/>
      <c r="G7" s="107"/>
      <c r="H7" s="107"/>
      <c r="I7" s="107"/>
      <c r="J7" s="107"/>
    </row>
    <row r="8" spans="1:10" ht="19.95" customHeight="1">
      <c r="A8" s="109"/>
      <c r="B8" s="107"/>
      <c r="C8" s="107"/>
      <c r="D8" s="107"/>
      <c r="E8" s="107"/>
      <c r="F8" s="107"/>
      <c r="G8" s="107"/>
      <c r="H8" s="107"/>
      <c r="I8" s="107"/>
      <c r="J8" s="107"/>
    </row>
    <row r="9" spans="1:10" ht="19.95" customHeight="1">
      <c r="A9" s="109"/>
      <c r="B9" s="107"/>
      <c r="C9" s="107"/>
      <c r="D9" s="107"/>
      <c r="E9" s="107"/>
      <c r="F9" s="107"/>
      <c r="G9" s="107"/>
      <c r="H9" s="107"/>
      <c r="I9" s="107"/>
      <c r="J9" s="107"/>
    </row>
    <row r="10" spans="1:10" ht="19.95" customHeight="1">
      <c r="A10" s="109"/>
      <c r="B10" s="107"/>
      <c r="C10" s="107"/>
      <c r="D10" s="107"/>
      <c r="E10" s="107"/>
      <c r="F10" s="107"/>
      <c r="G10" s="107"/>
      <c r="H10" s="107"/>
      <c r="I10" s="107"/>
      <c r="J10" s="107"/>
    </row>
    <row r="11" spans="1:10" ht="19.95" customHeight="1">
      <c r="A11" s="110"/>
      <c r="B11" s="107"/>
      <c r="C11" s="107"/>
      <c r="D11" s="107"/>
      <c r="E11" s="107"/>
      <c r="F11" s="107"/>
      <c r="G11" s="107"/>
      <c r="H11" s="107"/>
      <c r="I11" s="107"/>
      <c r="J11" s="107"/>
    </row>
    <row r="12" spans="1:10" ht="19.95" customHeight="1">
      <c r="A12" s="109"/>
      <c r="B12" s="107"/>
      <c r="C12" s="107"/>
      <c r="D12" s="107"/>
      <c r="E12" s="107"/>
      <c r="F12" s="107"/>
      <c r="G12" s="107"/>
      <c r="H12" s="107"/>
      <c r="I12" s="107"/>
      <c r="J12" s="107"/>
    </row>
    <row r="13" spans="1:10" ht="19.95" customHeight="1">
      <c r="A13" s="109"/>
      <c r="B13" s="107"/>
      <c r="C13" s="107"/>
      <c r="D13" s="107"/>
      <c r="E13" s="107"/>
      <c r="F13" s="107"/>
      <c r="G13" s="107"/>
      <c r="H13" s="107"/>
      <c r="I13" s="107"/>
      <c r="J13" s="107"/>
    </row>
    <row r="14" spans="1:10" ht="19.95" customHeight="1">
      <c r="A14" s="109"/>
      <c r="B14" s="107"/>
      <c r="C14" s="107"/>
      <c r="D14" s="107"/>
      <c r="E14" s="107"/>
      <c r="F14" s="107"/>
      <c r="G14" s="107"/>
      <c r="H14" s="107"/>
      <c r="I14" s="107"/>
      <c r="J14" s="107"/>
    </row>
    <row r="15" spans="1:10" ht="19.95" customHeight="1">
      <c r="A15" s="109"/>
      <c r="B15" s="107"/>
      <c r="C15" s="107"/>
      <c r="D15" s="107"/>
      <c r="E15" s="107"/>
      <c r="F15" s="107"/>
      <c r="G15" s="107"/>
      <c r="H15" s="107"/>
      <c r="I15" s="107"/>
      <c r="J15" s="107"/>
    </row>
    <row r="16" spans="1:10" ht="19.95" customHeight="1">
      <c r="A16" s="109"/>
      <c r="B16" s="107"/>
      <c r="C16" s="107"/>
      <c r="D16" s="107"/>
      <c r="E16" s="107"/>
      <c r="F16" s="107"/>
      <c r="G16" s="107"/>
      <c r="H16" s="107"/>
      <c r="I16" s="107"/>
      <c r="J16" s="107"/>
    </row>
    <row r="17" spans="1:10" ht="19.95" customHeight="1">
      <c r="A17" s="109"/>
      <c r="B17" s="107"/>
      <c r="C17" s="107"/>
      <c r="D17" s="107"/>
      <c r="E17" s="107"/>
      <c r="F17" s="107"/>
      <c r="G17" s="107"/>
      <c r="H17" s="107"/>
      <c r="I17" s="107"/>
      <c r="J17" s="107"/>
    </row>
    <row r="18" spans="1:10" ht="19.95" customHeight="1">
      <c r="A18" s="109"/>
      <c r="B18" s="107"/>
      <c r="C18" s="107"/>
      <c r="D18" s="107"/>
      <c r="E18" s="107"/>
      <c r="F18" s="107"/>
      <c r="G18" s="107"/>
      <c r="H18" s="107"/>
      <c r="I18" s="107"/>
      <c r="J18" s="107"/>
    </row>
    <row r="19" spans="1:10" ht="19.95" customHeight="1">
      <c r="A19" s="109"/>
      <c r="B19" s="107"/>
      <c r="C19" s="107"/>
      <c r="D19" s="107"/>
      <c r="E19" s="107"/>
      <c r="F19" s="107"/>
      <c r="G19" s="107"/>
      <c r="H19" s="107"/>
      <c r="I19" s="107"/>
      <c r="J19" s="107"/>
    </row>
    <row r="20" spans="1:10" ht="19.95" customHeight="1">
      <c r="A20" s="109"/>
      <c r="B20" s="107"/>
      <c r="C20" s="107"/>
      <c r="D20" s="107"/>
      <c r="E20" s="107"/>
      <c r="F20" s="107"/>
      <c r="G20" s="107"/>
      <c r="H20" s="107"/>
      <c r="I20" s="107"/>
      <c r="J20" s="107"/>
    </row>
    <row r="21" spans="1:10" ht="19.95" customHeight="1">
      <c r="A21" s="111"/>
      <c r="B21" s="111"/>
      <c r="C21" s="111"/>
      <c r="D21" s="112"/>
      <c r="E21" s="112"/>
      <c r="F21" s="112"/>
      <c r="G21" s="113"/>
      <c r="H21" s="113"/>
      <c r="I21" s="112"/>
      <c r="J21" s="114"/>
    </row>
    <row r="22" spans="1:10" ht="19.95" customHeight="1">
      <c r="A22" s="115"/>
      <c r="B22" s="115"/>
      <c r="C22" s="115"/>
      <c r="D22" s="115"/>
      <c r="E22" s="116"/>
      <c r="F22" s="117"/>
      <c r="G22" s="118"/>
      <c r="H22" s="118"/>
      <c r="I22" s="118"/>
      <c r="J22" s="118"/>
    </row>
    <row r="23" spans="1:10" ht="19.95" customHeight="1"/>
  </sheetData>
  <mergeCells count="2">
    <mergeCell ref="A1:J1"/>
    <mergeCell ref="A2:J2"/>
  </mergeCells>
  <phoneticPr fontId="4"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rintOptions horizontalCentered="1"/>
  <pageMargins left="0.98425196850393704" right="0.35433070866141736" top="0.74803149606299213" bottom="0.6692913385826772" header="0.51181102362204722" footer="0.39370078740157483"/>
  <pageSetup paperSize="9" scale="95" fitToHeight="0" orientation="landscape"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J31"/>
  <sheetViews>
    <sheetView view="pageBreakPreview" zoomScaleNormal="115" zoomScaleSheetLayoutView="100" workbookViewId="0">
      <selection sqref="A1:I1"/>
    </sheetView>
  </sheetViews>
  <sheetFormatPr defaultColWidth="9" defaultRowHeight="13.8"/>
  <cols>
    <col min="1" max="1" width="3.88671875" style="6" customWidth="1"/>
    <col min="2" max="2" width="28.5546875" style="6" customWidth="1"/>
    <col min="3" max="3" width="10.21875" style="6" customWidth="1"/>
    <col min="4" max="4" width="15.33203125" style="6" customWidth="1"/>
    <col min="5" max="5" width="10.88671875" style="6" customWidth="1"/>
    <col min="6" max="6" width="9" style="6"/>
    <col min="7" max="7" width="14.21875" style="6" customWidth="1"/>
    <col min="8" max="8" width="11.5546875" style="6" customWidth="1"/>
    <col min="9" max="9" width="13.33203125" style="6" customWidth="1"/>
    <col min="10" max="16384" width="9" style="6"/>
  </cols>
  <sheetData>
    <row r="1" spans="1:10" s="181" customFormat="1" ht="19.95" customHeight="1">
      <c r="A1" s="340" t="s">
        <v>0</v>
      </c>
      <c r="B1" s="340"/>
      <c r="C1" s="340"/>
      <c r="D1" s="340"/>
      <c r="E1" s="340"/>
      <c r="F1" s="340"/>
      <c r="G1" s="340"/>
      <c r="H1" s="340"/>
      <c r="I1" s="340"/>
    </row>
    <row r="2" spans="1:10" s="185" customFormat="1" ht="19.95" customHeight="1">
      <c r="A2" s="341" t="s">
        <v>19</v>
      </c>
      <c r="B2" s="341"/>
      <c r="C2" s="341"/>
      <c r="D2" s="341"/>
      <c r="E2" s="341"/>
      <c r="F2" s="341"/>
      <c r="G2" s="341"/>
      <c r="H2" s="341"/>
      <c r="I2" s="341"/>
    </row>
    <row r="3" spans="1:10" s="204" customFormat="1" ht="19.95" customHeight="1">
      <c r="A3" s="203" t="str">
        <f>底稿目录!A2</f>
        <v>被审计单位：</v>
      </c>
      <c r="C3" s="203" t="str">
        <f>底稿目录!A4</f>
        <v>编制人：</v>
      </c>
      <c r="F3" s="229" t="str">
        <f>底稿目录!A5</f>
        <v>编制日期：</v>
      </c>
      <c r="G3" s="230"/>
      <c r="H3" s="204" t="s">
        <v>18</v>
      </c>
      <c r="I3" s="258" t="str">
        <f>底稿目录!F10</f>
        <v>G11-4</v>
      </c>
    </row>
    <row r="4" spans="1:10" s="204" customFormat="1" ht="19.95" customHeight="1">
      <c r="A4" s="203" t="str">
        <f>底稿目录!A3</f>
        <v>会计期间：202X年度</v>
      </c>
      <c r="C4" s="203" t="str">
        <f>底稿目录!A6</f>
        <v>复核人：</v>
      </c>
      <c r="F4" s="229" t="str">
        <f>底稿目录!A7</f>
        <v>复核日期：</v>
      </c>
      <c r="G4" s="230"/>
      <c r="H4" s="204" t="s">
        <v>353</v>
      </c>
    </row>
    <row r="5" spans="1:10" ht="19.95" customHeight="1">
      <c r="A5" s="17" t="s">
        <v>37</v>
      </c>
      <c r="B5" s="41"/>
      <c r="C5" s="43" t="s">
        <v>321</v>
      </c>
      <c r="D5" s="42"/>
      <c r="F5" s="8"/>
      <c r="H5" s="8"/>
    </row>
    <row r="6" spans="1:10" ht="19.95" customHeight="1">
      <c r="A6" s="17" t="s">
        <v>38</v>
      </c>
      <c r="B6" s="18"/>
      <c r="C6" s="43"/>
      <c r="D6" s="42"/>
      <c r="F6" s="8"/>
      <c r="H6" s="8"/>
    </row>
    <row r="7" spans="1:10" ht="19.95" customHeight="1">
      <c r="A7" s="8" t="s">
        <v>48</v>
      </c>
      <c r="B7" s="8"/>
    </row>
    <row r="8" spans="1:10" s="44" customFormat="1" ht="19.95" customHeight="1">
      <c r="A8" s="349" t="s">
        <v>20</v>
      </c>
      <c r="B8" s="349"/>
      <c r="C8" s="347" t="s">
        <v>21</v>
      </c>
      <c r="D8" s="348"/>
      <c r="E8" s="348"/>
      <c r="F8" s="349" t="s">
        <v>22</v>
      </c>
      <c r="G8" s="350"/>
      <c r="H8" s="350"/>
      <c r="I8" s="347" t="s">
        <v>23</v>
      </c>
    </row>
    <row r="9" spans="1:10" s="44" customFormat="1" ht="25.8">
      <c r="A9" s="349"/>
      <c r="B9" s="349"/>
      <c r="C9" s="241" t="s">
        <v>24</v>
      </c>
      <c r="D9" s="241" t="s">
        <v>25</v>
      </c>
      <c r="E9" s="241" t="s">
        <v>26</v>
      </c>
      <c r="F9" s="241" t="s">
        <v>27</v>
      </c>
      <c r="G9" s="241" t="s">
        <v>28</v>
      </c>
      <c r="H9" s="241" t="s">
        <v>47</v>
      </c>
      <c r="I9" s="348"/>
    </row>
    <row r="10" spans="1:10" s="13" customFormat="1" ht="19.95" customHeight="1">
      <c r="A10" s="352" t="s">
        <v>13</v>
      </c>
      <c r="B10" s="352"/>
      <c r="C10" s="136">
        <f>'审定表G11-1'!D7</f>
        <v>0</v>
      </c>
      <c r="D10" s="189"/>
      <c r="E10" s="142">
        <f>IF(D10=0,0,C10/D10)</f>
        <v>0</v>
      </c>
      <c r="F10" s="136">
        <f>'审定表G11-1'!G7</f>
        <v>0</v>
      </c>
      <c r="G10" s="189"/>
      <c r="H10" s="142">
        <f>IF(G10=0,0,F10/G10)</f>
        <v>0</v>
      </c>
      <c r="I10" s="143">
        <f>E10-H10</f>
        <v>0</v>
      </c>
      <c r="J10" s="69"/>
    </row>
    <row r="11" spans="1:10" ht="19.95" customHeight="1">
      <c r="A11" s="352" t="s">
        <v>14</v>
      </c>
      <c r="B11" s="352"/>
      <c r="C11" s="136">
        <f>'审定表G11-1'!D8</f>
        <v>0</v>
      </c>
      <c r="D11" s="190"/>
      <c r="E11" s="142">
        <f t="shared" ref="E11:E25" si="0">IF(D11=0,0,C11/D11)</f>
        <v>0</v>
      </c>
      <c r="F11" s="136">
        <f>'审定表G11-1'!G8</f>
        <v>0</v>
      </c>
      <c r="G11" s="190"/>
      <c r="H11" s="142">
        <f t="shared" ref="H11:H25" si="1">IF(G11=0,0,F11/G11)</f>
        <v>0</v>
      </c>
      <c r="I11" s="143">
        <f t="shared" ref="I11:I25" si="2">E11-H11</f>
        <v>0</v>
      </c>
      <c r="J11" s="8"/>
    </row>
    <row r="12" spans="1:10" ht="30" customHeight="1">
      <c r="A12" s="352" t="s">
        <v>103</v>
      </c>
      <c r="B12" s="352"/>
      <c r="C12" s="136">
        <f>'审定表G11-1'!D9</f>
        <v>0</v>
      </c>
      <c r="D12" s="190"/>
      <c r="E12" s="142">
        <f t="shared" si="0"/>
        <v>0</v>
      </c>
      <c r="F12" s="136">
        <f>'审定表G11-1'!G9</f>
        <v>0</v>
      </c>
      <c r="G12" s="190"/>
      <c r="H12" s="142">
        <f t="shared" si="1"/>
        <v>0</v>
      </c>
      <c r="I12" s="143">
        <f t="shared" si="2"/>
        <v>0</v>
      </c>
      <c r="J12" s="8"/>
    </row>
    <row r="13" spans="1:10" ht="30" customHeight="1">
      <c r="A13" s="352" t="s">
        <v>32</v>
      </c>
      <c r="B13" s="352"/>
      <c r="C13" s="136">
        <f>'审定表G11-1'!D10</f>
        <v>0</v>
      </c>
      <c r="D13" s="190"/>
      <c r="E13" s="142">
        <f t="shared" si="0"/>
        <v>0</v>
      </c>
      <c r="F13" s="136">
        <f>'审定表G11-1'!G10</f>
        <v>0</v>
      </c>
      <c r="G13" s="190"/>
      <c r="H13" s="142">
        <f t="shared" si="1"/>
        <v>0</v>
      </c>
      <c r="I13" s="143">
        <f t="shared" si="2"/>
        <v>0</v>
      </c>
      <c r="J13" s="8"/>
    </row>
    <row r="14" spans="1:10" ht="30" customHeight="1">
      <c r="A14" s="352" t="s">
        <v>33</v>
      </c>
      <c r="B14" s="352"/>
      <c r="C14" s="136">
        <f>'审定表G11-1'!D11</f>
        <v>0</v>
      </c>
      <c r="D14" s="190"/>
      <c r="E14" s="142">
        <f t="shared" ref="E14" si="3">IF(D14=0,0,C14/D14)</f>
        <v>0</v>
      </c>
      <c r="F14" s="136">
        <f>'审定表G11-1'!G11</f>
        <v>0</v>
      </c>
      <c r="G14" s="190"/>
      <c r="H14" s="142">
        <f t="shared" ref="H14:H24" si="4">IF(G14=0,0,F14/G14)</f>
        <v>0</v>
      </c>
      <c r="I14" s="143">
        <f t="shared" ref="I14:I23" si="5">E14-H14</f>
        <v>0</v>
      </c>
      <c r="J14" s="8"/>
    </row>
    <row r="15" spans="1:10" ht="19.95" customHeight="1">
      <c r="A15" s="351" t="s">
        <v>226</v>
      </c>
      <c r="B15" s="351"/>
      <c r="C15" s="136">
        <f>'审定表G11-1'!D12</f>
        <v>0</v>
      </c>
      <c r="D15" s="190"/>
      <c r="E15" s="142">
        <f t="shared" ref="E15:E24" si="6">IF(D15=0,0,C15/D15)</f>
        <v>0</v>
      </c>
      <c r="F15" s="136">
        <f>'审定表G11-1'!G12</f>
        <v>0</v>
      </c>
      <c r="G15" s="190"/>
      <c r="H15" s="142">
        <f t="shared" si="4"/>
        <v>0</v>
      </c>
      <c r="I15" s="143">
        <f t="shared" si="5"/>
        <v>0</v>
      </c>
      <c r="J15" s="8"/>
    </row>
    <row r="16" spans="1:10" ht="19.95" customHeight="1">
      <c r="A16" s="351" t="s">
        <v>228</v>
      </c>
      <c r="B16" s="351"/>
      <c r="C16" s="136">
        <f>'审定表G11-1'!D13</f>
        <v>0</v>
      </c>
      <c r="D16" s="190"/>
      <c r="E16" s="142">
        <f t="shared" si="6"/>
        <v>0</v>
      </c>
      <c r="F16" s="136">
        <f>'审定表G11-1'!G13</f>
        <v>0</v>
      </c>
      <c r="G16" s="190"/>
      <c r="H16" s="142">
        <f t="shared" si="4"/>
        <v>0</v>
      </c>
      <c r="I16" s="143">
        <f t="shared" si="5"/>
        <v>0</v>
      </c>
      <c r="J16" s="8"/>
    </row>
    <row r="17" spans="1:10" ht="19.95" customHeight="1">
      <c r="A17" s="351" t="s">
        <v>240</v>
      </c>
      <c r="B17" s="351"/>
      <c r="C17" s="136">
        <f>'审定表G11-1'!D14</f>
        <v>0</v>
      </c>
      <c r="D17" s="190"/>
      <c r="E17" s="142">
        <f t="shared" si="6"/>
        <v>0</v>
      </c>
      <c r="F17" s="136">
        <f>'审定表G11-1'!G14</f>
        <v>0</v>
      </c>
      <c r="G17" s="190"/>
      <c r="H17" s="142">
        <f t="shared" si="4"/>
        <v>0</v>
      </c>
      <c r="I17" s="143">
        <f t="shared" si="5"/>
        <v>0</v>
      </c>
      <c r="J17" s="8"/>
    </row>
    <row r="18" spans="1:10" ht="19.95" customHeight="1">
      <c r="A18" s="351" t="s">
        <v>242</v>
      </c>
      <c r="B18" s="351"/>
      <c r="C18" s="136">
        <f>'审定表G11-1'!D15</f>
        <v>0</v>
      </c>
      <c r="D18" s="190"/>
      <c r="E18" s="142">
        <f t="shared" si="6"/>
        <v>0</v>
      </c>
      <c r="F18" s="136">
        <f>'审定表G11-1'!G15</f>
        <v>0</v>
      </c>
      <c r="G18" s="190"/>
      <c r="H18" s="142">
        <f t="shared" si="4"/>
        <v>0</v>
      </c>
      <c r="I18" s="143">
        <f t="shared" si="5"/>
        <v>0</v>
      </c>
      <c r="J18" s="8"/>
    </row>
    <row r="19" spans="1:10" ht="30" customHeight="1">
      <c r="A19" s="351" t="s">
        <v>244</v>
      </c>
      <c r="B19" s="351"/>
      <c r="C19" s="136">
        <f>'审定表G11-1'!D16</f>
        <v>0</v>
      </c>
      <c r="D19" s="190"/>
      <c r="E19" s="142">
        <f t="shared" si="6"/>
        <v>0</v>
      </c>
      <c r="F19" s="136">
        <f>'审定表G11-1'!G16</f>
        <v>0</v>
      </c>
      <c r="G19" s="190"/>
      <c r="H19" s="142">
        <f t="shared" si="4"/>
        <v>0</v>
      </c>
      <c r="I19" s="143">
        <f t="shared" si="5"/>
        <v>0</v>
      </c>
      <c r="J19" s="8"/>
    </row>
    <row r="20" spans="1:10" ht="30" customHeight="1">
      <c r="A20" s="351" t="s">
        <v>246</v>
      </c>
      <c r="B20" s="351"/>
      <c r="C20" s="136">
        <f>'审定表G11-1'!D17</f>
        <v>0</v>
      </c>
      <c r="D20" s="190"/>
      <c r="E20" s="142">
        <f t="shared" si="6"/>
        <v>0</v>
      </c>
      <c r="F20" s="136">
        <f>'审定表G11-1'!G17</f>
        <v>0</v>
      </c>
      <c r="G20" s="190"/>
      <c r="H20" s="142">
        <f t="shared" si="4"/>
        <v>0</v>
      </c>
      <c r="I20" s="143">
        <f t="shared" si="5"/>
        <v>0</v>
      </c>
      <c r="J20" s="8"/>
    </row>
    <row r="21" spans="1:10" ht="30" customHeight="1">
      <c r="A21" s="351" t="s">
        <v>200</v>
      </c>
      <c r="B21" s="351"/>
      <c r="C21" s="136">
        <f>'审定表G11-1'!D18</f>
        <v>0</v>
      </c>
      <c r="D21" s="190"/>
      <c r="E21" s="142">
        <f t="shared" si="6"/>
        <v>0</v>
      </c>
      <c r="F21" s="136">
        <f>'审定表G11-1'!G18</f>
        <v>0</v>
      </c>
      <c r="G21" s="190"/>
      <c r="H21" s="142">
        <f t="shared" si="4"/>
        <v>0</v>
      </c>
      <c r="I21" s="143">
        <f t="shared" si="5"/>
        <v>0</v>
      </c>
      <c r="J21" s="8"/>
    </row>
    <row r="22" spans="1:10" ht="30" customHeight="1">
      <c r="A22" s="351" t="s">
        <v>202</v>
      </c>
      <c r="B22" s="351"/>
      <c r="C22" s="136">
        <f>'审定表G11-1'!D19</f>
        <v>0</v>
      </c>
      <c r="D22" s="190"/>
      <c r="E22" s="142">
        <f t="shared" si="6"/>
        <v>0</v>
      </c>
      <c r="F22" s="136">
        <f>'审定表G11-1'!G19</f>
        <v>0</v>
      </c>
      <c r="G22" s="190"/>
      <c r="H22" s="142">
        <f t="shared" ref="H22" si="7">IF(G22=0,0,F22/G22)</f>
        <v>0</v>
      </c>
      <c r="I22" s="143">
        <f t="shared" ref="I22" si="8">E22-H22</f>
        <v>0</v>
      </c>
      <c r="J22" s="8"/>
    </row>
    <row r="23" spans="1:10" ht="30" customHeight="1">
      <c r="A23" s="344" t="s">
        <v>249</v>
      </c>
      <c r="B23" s="344"/>
      <c r="C23" s="136">
        <f>'审定表G11-1'!D20</f>
        <v>0</v>
      </c>
      <c r="D23" s="190"/>
      <c r="E23" s="142">
        <f t="shared" si="6"/>
        <v>0</v>
      </c>
      <c r="F23" s="136">
        <f>'审定表G11-1'!G20</f>
        <v>0</v>
      </c>
      <c r="G23" s="190"/>
      <c r="H23" s="142">
        <f t="shared" si="4"/>
        <v>0</v>
      </c>
      <c r="I23" s="143">
        <f t="shared" si="5"/>
        <v>0</v>
      </c>
      <c r="J23" s="8"/>
    </row>
    <row r="24" spans="1:10" ht="19.95" customHeight="1">
      <c r="A24" s="344" t="s">
        <v>201</v>
      </c>
      <c r="B24" s="344"/>
      <c r="C24" s="136">
        <f>'审定表G11-1'!D24</f>
        <v>0</v>
      </c>
      <c r="D24" s="190"/>
      <c r="E24" s="142">
        <f t="shared" si="6"/>
        <v>0</v>
      </c>
      <c r="F24" s="136">
        <f>'审定表G11-1'!G24</f>
        <v>0</v>
      </c>
      <c r="G24" s="190"/>
      <c r="H24" s="142">
        <f t="shared" si="4"/>
        <v>0</v>
      </c>
      <c r="I24" s="143">
        <f t="shared" si="2"/>
        <v>0</v>
      </c>
      <c r="J24" s="8"/>
    </row>
    <row r="25" spans="1:10" s="44" customFormat="1" ht="19.95" customHeight="1">
      <c r="A25" s="345" t="s">
        <v>16</v>
      </c>
      <c r="B25" s="345"/>
      <c r="C25" s="141">
        <f>SUM(C10:C24)</f>
        <v>0</v>
      </c>
      <c r="D25" s="141">
        <f>SUM(D10:D24)</f>
        <v>0</v>
      </c>
      <c r="E25" s="148">
        <f t="shared" si="0"/>
        <v>0</v>
      </c>
      <c r="F25" s="141">
        <f>SUM(F10:F24)</f>
        <v>0</v>
      </c>
      <c r="G25" s="141">
        <f>SUM(G10:G24)</f>
        <v>0</v>
      </c>
      <c r="H25" s="148">
        <f t="shared" si="1"/>
        <v>0</v>
      </c>
      <c r="I25" s="144">
        <f t="shared" si="2"/>
        <v>0</v>
      </c>
    </row>
    <row r="26" spans="1:10" ht="30" customHeight="1">
      <c r="A26" s="346" t="s">
        <v>49</v>
      </c>
      <c r="B26" s="346"/>
      <c r="C26" s="346"/>
      <c r="D26" s="346"/>
      <c r="E26" s="346"/>
      <c r="F26" s="346"/>
      <c r="G26" s="346"/>
      <c r="H26" s="346"/>
      <c r="I26" s="346"/>
    </row>
    <row r="27" spans="1:10" ht="19.95" customHeight="1"/>
    <row r="28" spans="1:10" ht="19.95" customHeight="1">
      <c r="A28" s="21" t="s">
        <v>42</v>
      </c>
    </row>
    <row r="29" spans="1:10" ht="19.95" customHeight="1"/>
    <row r="30" spans="1:10" ht="19.95" customHeight="1">
      <c r="A30" s="21" t="s">
        <v>43</v>
      </c>
    </row>
    <row r="31" spans="1:10" ht="19.95" customHeight="1"/>
  </sheetData>
  <mergeCells count="23">
    <mergeCell ref="A23:B23"/>
    <mergeCell ref="A22:B22"/>
    <mergeCell ref="A16:B16"/>
    <mergeCell ref="A17:B17"/>
    <mergeCell ref="A18:B18"/>
    <mergeCell ref="A19:B19"/>
    <mergeCell ref="A20:B20"/>
    <mergeCell ref="A24:B24"/>
    <mergeCell ref="A25:B25"/>
    <mergeCell ref="A26:I26"/>
    <mergeCell ref="A1:I1"/>
    <mergeCell ref="A2:I2"/>
    <mergeCell ref="C8:E8"/>
    <mergeCell ref="F8:H8"/>
    <mergeCell ref="I8:I9"/>
    <mergeCell ref="A8:B9"/>
    <mergeCell ref="A21:B21"/>
    <mergeCell ref="A10:B10"/>
    <mergeCell ref="A11:B11"/>
    <mergeCell ref="A12:B12"/>
    <mergeCell ref="A13:B13"/>
    <mergeCell ref="A14:B14"/>
    <mergeCell ref="A15:B15"/>
  </mergeCells>
  <phoneticPr fontId="4" type="noConversion"/>
  <hyperlinks>
    <hyperlink ref="I3" location="底稿目录!AF10" display="底稿目录!AF10"/>
  </hyperlinks>
  <printOptions horizontalCentered="1"/>
  <pageMargins left="0.98425196850393704" right="0.35433070866141736" top="0.74803149606299213" bottom="0.6692913385826772" header="0.51181102362204722" footer="0.39370078740157483"/>
  <pageSetup paperSize="9" scale="77" fitToHeight="0" orientation="portrait"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45"/>
  <sheetViews>
    <sheetView view="pageBreakPreview" zoomScaleNormal="115" zoomScaleSheetLayoutView="100" workbookViewId="0">
      <selection activeCell="P3" sqref="P3"/>
    </sheetView>
  </sheetViews>
  <sheetFormatPr defaultColWidth="9" defaultRowHeight="13.8"/>
  <cols>
    <col min="1" max="1" width="12.5546875" style="6" customWidth="1"/>
    <col min="2" max="2" width="13.33203125" style="6" customWidth="1"/>
    <col min="3" max="3" width="29.5546875" style="6" customWidth="1"/>
    <col min="4" max="5" width="13.44140625" style="6" customWidth="1"/>
    <col min="6" max="7" width="12.33203125" style="6" customWidth="1"/>
    <col min="8" max="8" width="24.21875" style="6" customWidth="1"/>
    <col min="9" max="13" width="5" style="6" customWidth="1"/>
    <col min="14" max="14" width="9" style="6"/>
    <col min="15" max="15" width="7.88671875" style="6" customWidth="1"/>
    <col min="16" max="16" width="13.21875" style="6" customWidth="1"/>
    <col min="17" max="16384" width="9" style="6"/>
  </cols>
  <sheetData>
    <row r="1" spans="1:17" s="180" customFormat="1" ht="19.95" customHeight="1">
      <c r="A1" s="330" t="s">
        <v>327</v>
      </c>
      <c r="B1" s="330"/>
      <c r="C1" s="330"/>
      <c r="D1" s="330"/>
      <c r="E1" s="330"/>
      <c r="F1" s="330"/>
      <c r="G1" s="330"/>
      <c r="H1" s="330"/>
      <c r="I1" s="330"/>
      <c r="J1" s="330"/>
      <c r="K1" s="330"/>
      <c r="L1" s="330"/>
      <c r="M1" s="330"/>
      <c r="N1" s="330"/>
      <c r="O1" s="330"/>
      <c r="P1" s="330"/>
    </row>
    <row r="2" spans="1:17" s="184" customFormat="1" ht="19.95" customHeight="1">
      <c r="A2" s="331" t="s">
        <v>325</v>
      </c>
      <c r="B2" s="331"/>
      <c r="C2" s="331"/>
      <c r="D2" s="331"/>
      <c r="E2" s="331"/>
      <c r="F2" s="331"/>
      <c r="G2" s="331"/>
      <c r="H2" s="331"/>
      <c r="I2" s="331"/>
      <c r="J2" s="331"/>
      <c r="K2" s="331"/>
      <c r="L2" s="331"/>
      <c r="M2" s="331"/>
      <c r="N2" s="331"/>
      <c r="O2" s="331"/>
      <c r="P2" s="331"/>
    </row>
    <row r="3" spans="1:17" s="202" customFormat="1" ht="19.95" customHeight="1">
      <c r="A3" s="201" t="str">
        <f>底稿目录!A2</f>
        <v>被审计单位：</v>
      </c>
      <c r="D3" s="203" t="str">
        <f>底稿目录!A4</f>
        <v>编制人：</v>
      </c>
      <c r="E3" s="204"/>
      <c r="F3" s="205" t="str">
        <f>底稿目录!A5</f>
        <v>编制日期：</v>
      </c>
      <c r="G3" s="206"/>
      <c r="O3" s="204" t="s">
        <v>260</v>
      </c>
      <c r="P3" s="258" t="str">
        <f>底稿目录!F11</f>
        <v>G11-5</v>
      </c>
    </row>
    <row r="4" spans="1:17" s="202" customFormat="1" ht="19.95" customHeight="1">
      <c r="A4" s="201" t="str">
        <f>底稿目录!A3</f>
        <v>会计期间：202X年度</v>
      </c>
      <c r="D4" s="203" t="str">
        <f>底稿目录!A6</f>
        <v>复核人：</v>
      </c>
      <c r="E4" s="204"/>
      <c r="F4" s="205" t="str">
        <f>底稿目录!A7</f>
        <v>复核日期：</v>
      </c>
      <c r="G4" s="206"/>
      <c r="O4" s="204" t="s">
        <v>353</v>
      </c>
    </row>
    <row r="5" spans="1:17" s="9" customFormat="1" ht="19.95" customHeight="1">
      <c r="A5" s="231" t="s">
        <v>358</v>
      </c>
      <c r="B5" s="163"/>
      <c r="C5" s="163"/>
      <c r="D5" s="163"/>
      <c r="E5" s="163"/>
      <c r="F5" s="163"/>
      <c r="G5" s="163"/>
      <c r="H5" s="163"/>
      <c r="I5" s="163"/>
      <c r="J5" s="163"/>
      <c r="K5" s="163"/>
      <c r="L5" s="163"/>
      <c r="M5" s="163"/>
      <c r="N5" s="163"/>
      <c r="O5" s="163"/>
    </row>
    <row r="6" spans="1:17" s="9" customFormat="1" ht="19.95" customHeight="1">
      <c r="A6" s="161" t="s">
        <v>354</v>
      </c>
      <c r="B6" s="198"/>
      <c r="C6" s="198"/>
      <c r="D6" s="198"/>
      <c r="E6" s="198"/>
      <c r="F6" s="198"/>
      <c r="G6" s="198"/>
      <c r="H6" s="198"/>
      <c r="I6" s="198"/>
      <c r="J6" s="198"/>
      <c r="K6" s="198"/>
      <c r="L6" s="198"/>
      <c r="M6" s="198"/>
      <c r="N6" s="163"/>
      <c r="O6" s="163"/>
    </row>
    <row r="7" spans="1:17" s="9" customFormat="1" ht="19.95" customHeight="1">
      <c r="A7" s="161" t="s">
        <v>359</v>
      </c>
      <c r="B7" s="198"/>
      <c r="C7" s="198"/>
      <c r="D7" s="198"/>
      <c r="E7" s="198"/>
      <c r="F7" s="198"/>
      <c r="G7" s="198"/>
      <c r="H7" s="198"/>
      <c r="I7" s="198"/>
      <c r="J7" s="198"/>
      <c r="K7" s="198"/>
      <c r="L7" s="198"/>
      <c r="M7" s="198"/>
      <c r="N7" s="163"/>
      <c r="O7" s="163"/>
    </row>
    <row r="8" spans="1:17" s="9" customFormat="1" ht="19.95" customHeight="1">
      <c r="A8" s="353" t="s">
        <v>312</v>
      </c>
      <c r="B8" s="354"/>
      <c r="C8" s="354"/>
      <c r="D8" s="354"/>
      <c r="E8" s="354"/>
      <c r="F8" s="354"/>
      <c r="G8" s="354"/>
      <c r="H8" s="354"/>
      <c r="I8" s="354"/>
      <c r="J8" s="354"/>
      <c r="K8" s="354"/>
    </row>
    <row r="9" spans="1:17" s="153" customFormat="1" ht="19.95" customHeight="1">
      <c r="A9" s="161" t="s">
        <v>330</v>
      </c>
      <c r="B9" s="162" t="s">
        <v>341</v>
      </c>
      <c r="D9" s="161" t="s">
        <v>331</v>
      </c>
      <c r="E9" s="162" t="s">
        <v>332</v>
      </c>
    </row>
    <row r="10" spans="1:17" s="153" customFormat="1" ht="19.95" customHeight="1">
      <c r="A10" s="161" t="s">
        <v>333</v>
      </c>
      <c r="B10" s="162" t="s">
        <v>334</v>
      </c>
      <c r="D10" s="161" t="s">
        <v>335</v>
      </c>
      <c r="E10" s="162" t="s">
        <v>336</v>
      </c>
      <c r="F10" s="162" t="s">
        <v>329</v>
      </c>
      <c r="N10" s="162"/>
      <c r="O10" s="162"/>
    </row>
    <row r="11" spans="1:17" s="153" customFormat="1" ht="19.95" customHeight="1">
      <c r="A11" s="161" t="s">
        <v>337</v>
      </c>
      <c r="B11" s="162" t="s">
        <v>338</v>
      </c>
      <c r="D11" s="161" t="s">
        <v>339</v>
      </c>
      <c r="E11" s="162" t="s">
        <v>340</v>
      </c>
      <c r="N11" s="161"/>
      <c r="O11" s="162"/>
    </row>
    <row r="12" spans="1:17" s="9" customFormat="1" ht="19.95" customHeight="1">
      <c r="A12" s="24" t="s">
        <v>221</v>
      </c>
      <c r="B12" s="10"/>
      <c r="C12" s="10"/>
      <c r="D12" s="11"/>
      <c r="E12" s="12"/>
    </row>
    <row r="13" spans="1:17" s="154" customFormat="1" ht="19.95" customHeight="1">
      <c r="A13" s="235" t="s">
        <v>367</v>
      </c>
      <c r="B13" s="232"/>
      <c r="C13" s="232"/>
      <c r="D13" s="232"/>
      <c r="E13" s="232"/>
      <c r="F13" s="232"/>
      <c r="G13" s="232"/>
      <c r="H13" s="232"/>
      <c r="I13" s="232"/>
      <c r="J13" s="232"/>
      <c r="K13" s="232"/>
      <c r="L13" s="232"/>
      <c r="M13" s="232"/>
      <c r="N13" s="232"/>
      <c r="O13" s="232"/>
      <c r="P13" s="232"/>
    </row>
    <row r="14" spans="1:17" s="55" customFormat="1" ht="19.95" customHeight="1">
      <c r="A14" s="362" t="s">
        <v>282</v>
      </c>
      <c r="B14" s="362"/>
      <c r="C14" s="362"/>
      <c r="D14" s="362"/>
      <c r="E14" s="362"/>
      <c r="F14" s="362"/>
      <c r="G14" s="356" t="s">
        <v>360</v>
      </c>
      <c r="H14" s="356"/>
      <c r="I14" s="355" t="s">
        <v>361</v>
      </c>
      <c r="J14" s="355"/>
      <c r="K14" s="355"/>
      <c r="L14" s="355"/>
      <c r="M14" s="355"/>
      <c r="N14" s="358" t="s">
        <v>362</v>
      </c>
      <c r="O14" s="358" t="s">
        <v>283</v>
      </c>
      <c r="P14" s="359" t="s">
        <v>363</v>
      </c>
      <c r="Q14" s="155"/>
    </row>
    <row r="15" spans="1:17" s="55" customFormat="1" ht="19.95" customHeight="1">
      <c r="A15" s="268" t="s">
        <v>284</v>
      </c>
      <c r="B15" s="268" t="s">
        <v>285</v>
      </c>
      <c r="C15" s="268" t="s">
        <v>286</v>
      </c>
      <c r="D15" s="268" t="s">
        <v>287</v>
      </c>
      <c r="E15" s="268" t="s">
        <v>364</v>
      </c>
      <c r="F15" s="269" t="s">
        <v>288</v>
      </c>
      <c r="G15" s="356"/>
      <c r="H15" s="356"/>
      <c r="I15" s="270">
        <v>1</v>
      </c>
      <c r="J15" s="270">
        <v>2</v>
      </c>
      <c r="K15" s="270">
        <v>3</v>
      </c>
      <c r="L15" s="270">
        <v>4</v>
      </c>
      <c r="M15" s="270">
        <v>5</v>
      </c>
      <c r="N15" s="358"/>
      <c r="O15" s="358"/>
      <c r="P15" s="360"/>
      <c r="Q15" s="155"/>
    </row>
    <row r="16" spans="1:17" s="55" customFormat="1" ht="19.95" customHeight="1">
      <c r="A16" s="271"/>
      <c r="B16" s="272"/>
      <c r="C16" s="273"/>
      <c r="D16" s="274"/>
      <c r="E16" s="274"/>
      <c r="F16" s="275"/>
      <c r="G16" s="357"/>
      <c r="H16" s="357"/>
      <c r="I16" s="276"/>
      <c r="J16" s="276"/>
      <c r="K16" s="276"/>
      <c r="L16" s="276"/>
      <c r="M16" s="276"/>
      <c r="N16" s="272"/>
      <c r="O16" s="277"/>
      <c r="P16" s="277"/>
      <c r="Q16" s="155"/>
    </row>
    <row r="17" spans="1:17" s="55" customFormat="1" ht="19.95" customHeight="1">
      <c r="A17" s="271"/>
      <c r="B17" s="272"/>
      <c r="C17" s="273"/>
      <c r="D17" s="274"/>
      <c r="E17" s="274"/>
      <c r="F17" s="275"/>
      <c r="G17" s="357"/>
      <c r="H17" s="357"/>
      <c r="I17" s="276"/>
      <c r="J17" s="276"/>
      <c r="K17" s="276"/>
      <c r="L17" s="276"/>
      <c r="M17" s="276"/>
      <c r="N17" s="272"/>
      <c r="O17" s="277"/>
      <c r="P17" s="277"/>
      <c r="Q17" s="155"/>
    </row>
    <row r="18" spans="1:17" s="55" customFormat="1" ht="19.95" customHeight="1">
      <c r="A18" s="271"/>
      <c r="B18" s="272"/>
      <c r="C18" s="273"/>
      <c r="D18" s="274"/>
      <c r="E18" s="274"/>
      <c r="F18" s="275"/>
      <c r="G18" s="357"/>
      <c r="H18" s="357"/>
      <c r="I18" s="276"/>
      <c r="J18" s="276"/>
      <c r="K18" s="276"/>
      <c r="L18" s="276"/>
      <c r="M18" s="276"/>
      <c r="N18" s="272"/>
      <c r="O18" s="277"/>
      <c r="P18" s="277"/>
      <c r="Q18" s="155"/>
    </row>
    <row r="19" spans="1:17" s="55" customFormat="1" ht="19.95" customHeight="1">
      <c r="A19" s="271"/>
      <c r="B19" s="272"/>
      <c r="C19" s="273"/>
      <c r="D19" s="274"/>
      <c r="E19" s="274"/>
      <c r="F19" s="275"/>
      <c r="G19" s="357"/>
      <c r="H19" s="357"/>
      <c r="I19" s="276"/>
      <c r="J19" s="276"/>
      <c r="K19" s="276"/>
      <c r="L19" s="276"/>
      <c r="M19" s="276"/>
      <c r="N19" s="272"/>
      <c r="O19" s="277"/>
      <c r="P19" s="277"/>
      <c r="Q19" s="155"/>
    </row>
    <row r="20" spans="1:17" s="55" customFormat="1" ht="19.95" customHeight="1">
      <c r="A20" s="271"/>
      <c r="B20" s="272"/>
      <c r="C20" s="273"/>
      <c r="D20" s="274"/>
      <c r="E20" s="274"/>
      <c r="F20" s="275"/>
      <c r="G20" s="357"/>
      <c r="H20" s="357"/>
      <c r="I20" s="276"/>
      <c r="J20" s="276"/>
      <c r="K20" s="276"/>
      <c r="L20" s="276"/>
      <c r="M20" s="276"/>
      <c r="N20" s="272"/>
      <c r="O20" s="277"/>
      <c r="P20" s="277"/>
      <c r="Q20" s="155"/>
    </row>
    <row r="21" spans="1:17" s="55" customFormat="1" ht="19.95" customHeight="1">
      <c r="A21" s="271"/>
      <c r="B21" s="272"/>
      <c r="C21" s="273"/>
      <c r="D21" s="274"/>
      <c r="E21" s="274"/>
      <c r="F21" s="275"/>
      <c r="G21" s="357"/>
      <c r="H21" s="357"/>
      <c r="I21" s="276"/>
      <c r="J21" s="276"/>
      <c r="K21" s="276"/>
      <c r="L21" s="276"/>
      <c r="M21" s="276"/>
      <c r="N21" s="272"/>
      <c r="O21" s="277"/>
      <c r="P21" s="277"/>
      <c r="Q21" s="155"/>
    </row>
    <row r="22" spans="1:17" s="55" customFormat="1" ht="19.95" customHeight="1">
      <c r="A22" s="271"/>
      <c r="B22" s="272"/>
      <c r="C22" s="273"/>
      <c r="D22" s="274"/>
      <c r="E22" s="274"/>
      <c r="F22" s="275"/>
      <c r="G22" s="357"/>
      <c r="H22" s="357"/>
      <c r="I22" s="276"/>
      <c r="J22" s="276"/>
      <c r="K22" s="276"/>
      <c r="L22" s="276"/>
      <c r="M22" s="276"/>
      <c r="N22" s="272"/>
      <c r="O22" s="277"/>
      <c r="P22" s="277"/>
      <c r="Q22" s="155"/>
    </row>
    <row r="23" spans="1:17" s="55" customFormat="1" ht="19.95" customHeight="1">
      <c r="A23" s="271"/>
      <c r="B23" s="272"/>
      <c r="C23" s="274"/>
      <c r="D23" s="274"/>
      <c r="E23" s="274"/>
      <c r="F23" s="275"/>
      <c r="G23" s="357"/>
      <c r="H23" s="357"/>
      <c r="I23" s="276"/>
      <c r="J23" s="276"/>
      <c r="K23" s="276"/>
      <c r="L23" s="276"/>
      <c r="M23" s="276"/>
      <c r="N23" s="272"/>
      <c r="O23" s="277"/>
      <c r="P23" s="277"/>
      <c r="Q23" s="155"/>
    </row>
    <row r="24" spans="1:17" s="55" customFormat="1" ht="19.95" customHeight="1">
      <c r="A24" s="271"/>
      <c r="B24" s="272"/>
      <c r="C24" s="274"/>
      <c r="D24" s="274"/>
      <c r="E24" s="274"/>
      <c r="F24" s="275"/>
      <c r="G24" s="357"/>
      <c r="H24" s="357"/>
      <c r="I24" s="276"/>
      <c r="J24" s="276"/>
      <c r="K24" s="276"/>
      <c r="L24" s="276"/>
      <c r="M24" s="276"/>
      <c r="N24" s="272"/>
      <c r="O24" s="277"/>
      <c r="P24" s="277"/>
      <c r="Q24" s="155"/>
    </row>
    <row r="25" spans="1:17" s="55" customFormat="1" ht="19.95" customHeight="1">
      <c r="A25" s="271"/>
      <c r="B25" s="272"/>
      <c r="C25" s="274"/>
      <c r="D25" s="274"/>
      <c r="E25" s="274"/>
      <c r="F25" s="275"/>
      <c r="G25" s="357"/>
      <c r="H25" s="357"/>
      <c r="I25" s="276"/>
      <c r="J25" s="276"/>
      <c r="K25" s="276"/>
      <c r="L25" s="276"/>
      <c r="M25" s="276"/>
      <c r="N25" s="272"/>
      <c r="O25" s="277"/>
      <c r="P25" s="277"/>
      <c r="Q25" s="155"/>
    </row>
    <row r="26" spans="1:17" s="154" customFormat="1" ht="19.95" customHeight="1">
      <c r="A26" s="271"/>
      <c r="B26" s="272"/>
      <c r="C26" s="274"/>
      <c r="D26" s="274"/>
      <c r="E26" s="274"/>
      <c r="F26" s="275"/>
      <c r="G26" s="357"/>
      <c r="H26" s="357"/>
      <c r="I26" s="276"/>
      <c r="J26" s="276"/>
      <c r="K26" s="276"/>
      <c r="L26" s="276"/>
      <c r="M26" s="276"/>
      <c r="N26" s="272"/>
      <c r="O26" s="277"/>
      <c r="P26" s="277"/>
    </row>
    <row r="27" spans="1:17" ht="19.95" customHeight="1">
      <c r="A27" s="363" t="s">
        <v>406</v>
      </c>
      <c r="B27" s="363"/>
      <c r="C27" s="363"/>
      <c r="D27" s="363"/>
      <c r="E27" s="278"/>
      <c r="F27" s="279">
        <f>SUM(F16:F26)</f>
        <v>0</v>
      </c>
      <c r="G27" s="361"/>
      <c r="H27" s="361"/>
      <c r="I27" s="280"/>
      <c r="J27" s="280"/>
      <c r="K27" s="279"/>
      <c r="L27" s="280"/>
      <c r="M27" s="280"/>
      <c r="N27" s="279"/>
      <c r="O27" s="280"/>
      <c r="P27" s="280"/>
    </row>
    <row r="28" spans="1:17" ht="19.95" customHeight="1">
      <c r="A28" s="363" t="s">
        <v>404</v>
      </c>
      <c r="B28" s="363"/>
      <c r="C28" s="363"/>
      <c r="D28" s="363"/>
      <c r="E28" s="278"/>
      <c r="F28" s="279">
        <f>'审定表G11-1'!D25</f>
        <v>0</v>
      </c>
      <c r="G28" s="364"/>
      <c r="H28" s="365"/>
      <c r="I28" s="280"/>
      <c r="J28" s="280"/>
      <c r="K28" s="279"/>
      <c r="L28" s="280"/>
      <c r="M28" s="280"/>
      <c r="N28" s="279"/>
      <c r="O28" s="280"/>
      <c r="P28" s="280"/>
    </row>
    <row r="29" spans="1:17" ht="19.95" customHeight="1">
      <c r="A29" s="363" t="s">
        <v>405</v>
      </c>
      <c r="B29" s="363"/>
      <c r="C29" s="363"/>
      <c r="D29" s="363"/>
      <c r="E29" s="278"/>
      <c r="F29" s="281" t="e">
        <f>F27/F28</f>
        <v>#DIV/0!</v>
      </c>
      <c r="G29" s="364"/>
      <c r="H29" s="365"/>
      <c r="I29" s="280"/>
      <c r="J29" s="280"/>
      <c r="K29" s="279"/>
      <c r="L29" s="280"/>
      <c r="M29" s="280"/>
      <c r="N29" s="279"/>
      <c r="O29" s="280"/>
      <c r="P29" s="280"/>
    </row>
    <row r="30" spans="1:17" ht="19.95" customHeight="1">
      <c r="A30" s="233" t="s">
        <v>365</v>
      </c>
      <c r="G30" s="7"/>
      <c r="H30" s="7"/>
      <c r="I30" s="7"/>
      <c r="J30" s="7"/>
      <c r="K30" s="7"/>
      <c r="L30" s="7"/>
    </row>
    <row r="31" spans="1:17" ht="19.95" customHeight="1">
      <c r="A31" s="232"/>
      <c r="G31" s="7"/>
      <c r="H31" s="14"/>
      <c r="L31" s="7"/>
    </row>
    <row r="32" spans="1:17" ht="19.95" customHeight="1">
      <c r="A32" s="232"/>
      <c r="G32" s="7"/>
      <c r="H32" s="194"/>
      <c r="I32" s="194"/>
      <c r="J32" s="195"/>
      <c r="K32" s="194"/>
      <c r="L32" s="7"/>
    </row>
    <row r="33" spans="1:12" ht="19.95" customHeight="1">
      <c r="A33" s="234" t="s">
        <v>366</v>
      </c>
      <c r="G33" s="7"/>
      <c r="H33" s="194"/>
      <c r="I33" s="194"/>
      <c r="J33" s="196"/>
      <c r="K33" s="196"/>
      <c r="L33" s="7"/>
    </row>
    <row r="34" spans="1:12" ht="19.95" customHeight="1">
      <c r="A34" s="232"/>
      <c r="G34" s="7"/>
      <c r="H34" s="7"/>
      <c r="I34" s="7"/>
      <c r="J34" s="7"/>
      <c r="K34" s="7"/>
      <c r="L34" s="7"/>
    </row>
    <row r="35" spans="1:12" ht="19.95" customHeight="1">
      <c r="A35" s="14"/>
      <c r="G35" s="7"/>
      <c r="H35" s="7"/>
      <c r="I35" s="7"/>
      <c r="J35" s="7"/>
      <c r="K35" s="7"/>
      <c r="L35" s="7"/>
    </row>
    <row r="36" spans="1:12" ht="20.25" customHeight="1">
      <c r="G36" s="7"/>
      <c r="H36" s="7"/>
      <c r="I36" s="7"/>
      <c r="J36" s="7"/>
      <c r="K36" s="7"/>
      <c r="L36" s="7"/>
    </row>
    <row r="37" spans="1:12" ht="18" customHeight="1">
      <c r="A37" s="13"/>
      <c r="C37" s="7"/>
      <c r="D37" s="7"/>
      <c r="E37" s="7"/>
      <c r="F37" s="7"/>
      <c r="G37" s="7"/>
      <c r="H37" s="7"/>
      <c r="I37" s="7"/>
      <c r="J37" s="7"/>
      <c r="K37" s="7"/>
      <c r="L37" s="7"/>
    </row>
    <row r="38" spans="1:12" ht="18" customHeight="1">
      <c r="A38" s="13"/>
      <c r="C38" s="7"/>
      <c r="D38" s="7"/>
      <c r="E38" s="7"/>
      <c r="F38" s="7"/>
      <c r="G38" s="7"/>
      <c r="H38" s="7"/>
      <c r="I38" s="7"/>
      <c r="J38" s="7"/>
      <c r="K38" s="7"/>
      <c r="L38" s="7"/>
    </row>
    <row r="39" spans="1:12" ht="18" customHeight="1">
      <c r="A39" s="45" t="s">
        <v>52</v>
      </c>
    </row>
    <row r="40" spans="1:12" ht="18" customHeight="1">
      <c r="A40" s="46" t="s">
        <v>29</v>
      </c>
      <c r="B40" s="46"/>
    </row>
    <row r="41" spans="1:12" ht="18" customHeight="1">
      <c r="A41" s="47" t="s">
        <v>30</v>
      </c>
      <c r="B41" s="47"/>
    </row>
    <row r="42" spans="1:12" ht="18" customHeight="1">
      <c r="A42" s="48" t="s">
        <v>53</v>
      </c>
      <c r="B42" s="47"/>
    </row>
    <row r="43" spans="1:12" ht="18" customHeight="1">
      <c r="A43" s="49" t="s">
        <v>54</v>
      </c>
      <c r="B43" s="47" t="s">
        <v>55</v>
      </c>
    </row>
    <row r="44" spans="1:12" ht="18" customHeight="1">
      <c r="A44" s="49" t="s">
        <v>56</v>
      </c>
      <c r="B44" s="47" t="s">
        <v>57</v>
      </c>
    </row>
    <row r="45" spans="1:12" ht="18" customHeight="1">
      <c r="A45" s="49" t="s">
        <v>58</v>
      </c>
      <c r="B45" s="47" t="s">
        <v>59</v>
      </c>
    </row>
  </sheetData>
  <mergeCells count="26">
    <mergeCell ref="G27:H27"/>
    <mergeCell ref="A14:F14"/>
    <mergeCell ref="A27:D27"/>
    <mergeCell ref="A28:D28"/>
    <mergeCell ref="A29:D29"/>
    <mergeCell ref="G28:H28"/>
    <mergeCell ref="G29:H29"/>
    <mergeCell ref="G17:H17"/>
    <mergeCell ref="G18:H18"/>
    <mergeCell ref="G19:H19"/>
    <mergeCell ref="G20:H20"/>
    <mergeCell ref="G21:H21"/>
    <mergeCell ref="G22:H22"/>
    <mergeCell ref="G16:H16"/>
    <mergeCell ref="G23:H23"/>
    <mergeCell ref="G24:H24"/>
    <mergeCell ref="G25:H25"/>
    <mergeCell ref="G26:H26"/>
    <mergeCell ref="N14:N15"/>
    <mergeCell ref="O14:O15"/>
    <mergeCell ref="P14:P15"/>
    <mergeCell ref="A8:K8"/>
    <mergeCell ref="I14:M14"/>
    <mergeCell ref="G14:H15"/>
    <mergeCell ref="A1:P1"/>
    <mergeCell ref="A2:P2"/>
  </mergeCells>
  <phoneticPr fontId="4" type="noConversion"/>
  <dataValidations count="1">
    <dataValidation type="list" allowBlank="1" showInputMessage="1" showErrorMessage="1" sqref="I16:M26">
      <formula1>"√,X"</formula1>
    </dataValidation>
  </dataValidations>
  <hyperlinks>
    <hyperlink ref="P3" location="底稿目录!F11" display="底稿目录!F11"/>
  </hyperlinks>
  <printOptions horizontalCentered="1"/>
  <pageMargins left="0.98425196850393704" right="0.35433070866141736" top="0.74803149606299213" bottom="0.6692913385826772" header="0.51181102362204722" footer="0.39370078740157483"/>
  <pageSetup paperSize="9" scale="72" fitToHeight="0" orientation="landscape"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11</vt:i4>
      </vt:variant>
    </vt:vector>
  </HeadingPairs>
  <TitlesOfParts>
    <vt:vector size="21" baseType="lpstr">
      <vt:lpstr>底稿目录</vt:lpstr>
      <vt:lpstr>投资收益实质性程序表G11A</vt:lpstr>
      <vt:lpstr>投资收益实质性程序表G11A-修订前</vt:lpstr>
      <vt:lpstr>审定表G11-1</vt:lpstr>
      <vt:lpstr>附注披露信息（上市公司）</vt:lpstr>
      <vt:lpstr>附注披露信息（国企）</vt:lpstr>
      <vt:lpstr>明细分析表G11-2</vt:lpstr>
      <vt:lpstr>调整分录汇总G11-3</vt:lpstr>
      <vt:lpstr>收益率分析表G11-4</vt:lpstr>
      <vt:lpstr>凭证检查表G11-5</vt:lpstr>
      <vt:lpstr>'调整分录汇总G11-3'!Print_Area</vt:lpstr>
      <vt:lpstr>'附注披露信息（国企）'!Print_Area</vt:lpstr>
      <vt:lpstr>'附注披露信息（上市公司）'!Print_Area</vt:lpstr>
      <vt:lpstr>'明细分析表G11-2'!Print_Area</vt:lpstr>
      <vt:lpstr>'凭证检查表G11-5'!Print_Area</vt:lpstr>
      <vt:lpstr>'审定表G11-1'!Print_Area</vt:lpstr>
      <vt:lpstr>'收益率分析表G11-4'!Print_Area</vt:lpstr>
      <vt:lpstr>投资收益实质性程序表G11A!Print_Area</vt:lpstr>
      <vt:lpstr>'投资收益实质性程序表G11A-修订前'!Print_Area</vt:lpstr>
      <vt:lpstr>投资收益实质性程序表G11A!Print_Titles</vt:lpstr>
      <vt:lpstr>'投资收益实质性程序表G11A-修订前'!Print_Titles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2025-10-27T03:55:30Z</cp:lastPrinted>
  <dcterms:created xsi:type="dcterms:W3CDTF">2014-10-22T07:10:00Z</dcterms:created>
  <dcterms:modified xsi:type="dcterms:W3CDTF">2025-11-04T08:56:53Z</dcterms:modified>
</cp:coreProperties>
</file>