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G 投资循环\"/>
    </mc:Choice>
  </mc:AlternateContent>
  <bookViews>
    <workbookView xWindow="0" yWindow="0" windowWidth="19200" windowHeight="7008" tabRatio="901"/>
  </bookViews>
  <sheets>
    <sheet name="底稿目录" sheetId="11" r:id="rId1"/>
    <sheet name="交易性金融资产实质性程序表G1A " sheetId="29" r:id="rId2"/>
    <sheet name="审定表G1-1" sheetId="19" r:id="rId3"/>
    <sheet name="附注披露信息（上市公司）" sheetId="2" r:id="rId4"/>
    <sheet name="附注披露信息（国企）" sheetId="3" r:id="rId5"/>
    <sheet name="明细表G1-2" sheetId="4" r:id="rId6"/>
    <sheet name="调整分录汇总G1-3" sheetId="28" r:id="rId7"/>
    <sheet name="结存表G1-4" sheetId="30" r:id="rId8"/>
    <sheet name="收益测算表G1-5" sheetId="27" r:id="rId9"/>
    <sheet name="公允价值测试表G1-6" sheetId="20" r:id="rId10"/>
    <sheet name="第三层次公允价值计量的调节表G1-7" sheetId="13" r:id="rId11"/>
    <sheet name="业务模式分析G1-8" sheetId="18" r:id="rId12"/>
    <sheet name="分类的适当性检查表G1-9" sheetId="23" r:id="rId13"/>
    <sheet name="合同现金流量特征分析G1-10" sheetId="21" r:id="rId14"/>
    <sheet name="有价证券监盘表G1-11" sheetId="7" r:id="rId15"/>
    <sheet name="有价证券盘点倒轧表G1-12" sheetId="8" r:id="rId16"/>
    <sheet name="检查表G1-13" sheetId="32" r:id="rId17"/>
    <sheet name="衍生金融工具核查表G1-14" sheetId="10" r:id="rId18"/>
  </sheets>
  <definedNames>
    <definedName name="_xlnm.Print_Area" localSheetId="10">'第三层次公允价值计量的调节表G1-7'!$A$1:$M$22</definedName>
    <definedName name="_xlnm.Print_Area" localSheetId="6">'调整分录汇总G1-3'!$A$1:$J$20</definedName>
    <definedName name="_xlnm.Print_Area" localSheetId="12">'分类的适当性检查表G1-9'!$A$1:$J$31</definedName>
    <definedName name="_xlnm.Print_Area" localSheetId="4">'附注披露信息（国企）'!$A$1:$E$32</definedName>
    <definedName name="_xlnm.Print_Area" localSheetId="3">'附注披露信息（上市公司）'!$A$1:$L$199</definedName>
    <definedName name="_xlnm.Print_Area" localSheetId="9">'公允价值测试表G1-6'!$A$1:$R$26</definedName>
    <definedName name="_xlnm.Print_Area" localSheetId="13">'合同现金流量特征分析G1-10'!$A$1:$H$56</definedName>
    <definedName name="_xlnm.Print_Area" localSheetId="16">'检查表G1-13'!$A$1:$P$40</definedName>
    <definedName name="_xlnm.Print_Area" localSheetId="1">'交易性金融资产实质性程序表G1A '!$A$1:$I$34</definedName>
    <definedName name="_xlnm.Print_Area" localSheetId="7">'结存表G1-4'!$A$1:$U$32</definedName>
    <definedName name="_xlnm.Print_Area" localSheetId="5">'明细表G1-2'!$A$1:$AA$39</definedName>
    <definedName name="_xlnm.Print_Area" localSheetId="2">'审定表G1-1'!$A$1:$J$82</definedName>
    <definedName name="_xlnm.Print_Area" localSheetId="8">'收益测算表G1-5'!$A$1:$K$31</definedName>
    <definedName name="_xlnm.Print_Area" localSheetId="17">'衍生金融工具核查表G1-14'!$A$1:$H$45</definedName>
    <definedName name="_xlnm.Print_Area" localSheetId="11">'业务模式分析G1-8'!$A$1:$G$34</definedName>
    <definedName name="_xlnm.Print_Area" localSheetId="14">'有价证券监盘表G1-11'!$A$1:$G$38</definedName>
    <definedName name="_xlnm.Print_Area" localSheetId="15">'有价证券盘点倒轧表G1-12'!$A$1:$R$23</definedName>
    <definedName name="_xlnm.Print_Titles" localSheetId="1">'交易性金融资产实质性程序表G1A '!$15:$16</definedName>
    <definedName name="_xlnm.Print_Titles" localSheetId="2">'审定表G1-1'!$2:$6</definedName>
  </definedNames>
  <calcPr calcId="162913"/>
</workbook>
</file>

<file path=xl/calcChain.xml><?xml version="1.0" encoding="utf-8"?>
<calcChain xmlns="http://schemas.openxmlformats.org/spreadsheetml/2006/main">
  <c r="F27" i="32" l="1"/>
  <c r="F25" i="32"/>
  <c r="T13" i="4" l="1"/>
  <c r="T14" i="4"/>
  <c r="T15" i="4"/>
  <c r="T16" i="4"/>
  <c r="E4" i="10" l="1"/>
  <c r="D4" i="10"/>
  <c r="A4" i="10"/>
  <c r="H3" i="10"/>
  <c r="E3" i="10"/>
  <c r="D3" i="10"/>
  <c r="A3" i="10"/>
  <c r="G35" i="32"/>
  <c r="F35" i="32"/>
  <c r="G25" i="32"/>
  <c r="G27" i="32" s="1"/>
  <c r="K4" i="32"/>
  <c r="F4" i="32"/>
  <c r="A4" i="32"/>
  <c r="P3" i="32"/>
  <c r="K3" i="32"/>
  <c r="F3" i="32"/>
  <c r="A3" i="32"/>
  <c r="P22" i="8"/>
  <c r="Q22" i="8" s="1"/>
  <c r="K22" i="8"/>
  <c r="D22" i="8"/>
  <c r="P21" i="8"/>
  <c r="Q21" i="8" s="1"/>
  <c r="K21" i="8"/>
  <c r="D21" i="8"/>
  <c r="P20" i="8"/>
  <c r="Q20" i="8" s="1"/>
  <c r="Q19" i="8" s="1"/>
  <c r="K20" i="8"/>
  <c r="K19" i="8" s="1"/>
  <c r="K23" i="8" s="1"/>
  <c r="D20" i="8"/>
  <c r="D19" i="8" s="1"/>
  <c r="P18" i="8"/>
  <c r="Q18" i="8" s="1"/>
  <c r="K18" i="8"/>
  <c r="D18" i="8"/>
  <c r="P17" i="8"/>
  <c r="Q17" i="8" s="1"/>
  <c r="Q15" i="8" s="1"/>
  <c r="K17" i="8"/>
  <c r="D17" i="8"/>
  <c r="P16" i="8"/>
  <c r="Q16" i="8" s="1"/>
  <c r="K16" i="8"/>
  <c r="D16" i="8"/>
  <c r="D15" i="8" s="1"/>
  <c r="K15" i="8"/>
  <c r="P14" i="8"/>
  <c r="Q14" i="8" s="1"/>
  <c r="K14" i="8"/>
  <c r="D14" i="8"/>
  <c r="P13" i="8"/>
  <c r="Q13" i="8" s="1"/>
  <c r="K13" i="8"/>
  <c r="D13" i="8"/>
  <c r="P12" i="8"/>
  <c r="Q12" i="8" s="1"/>
  <c r="Q11" i="8" s="1"/>
  <c r="K12" i="8"/>
  <c r="K11" i="8" s="1"/>
  <c r="D12" i="8"/>
  <c r="D11" i="8" s="1"/>
  <c r="P10" i="8"/>
  <c r="Q10" i="8" s="1"/>
  <c r="K10" i="8"/>
  <c r="D10" i="8"/>
  <c r="Q9" i="8"/>
  <c r="Q7" i="8" s="1"/>
  <c r="P9" i="8"/>
  <c r="K9" i="8"/>
  <c r="D9" i="8"/>
  <c r="P8" i="8"/>
  <c r="Q8" i="8" s="1"/>
  <c r="K8" i="8"/>
  <c r="D8" i="8"/>
  <c r="D7" i="8" s="1"/>
  <c r="P7" i="8"/>
  <c r="K7" i="8"/>
  <c r="K4" i="8"/>
  <c r="E4" i="8"/>
  <c r="A4" i="8"/>
  <c r="R3" i="8"/>
  <c r="K3" i="8"/>
  <c r="E3" i="8"/>
  <c r="A3" i="8"/>
  <c r="E4" i="7"/>
  <c r="D4" i="7"/>
  <c r="A4" i="7"/>
  <c r="G3" i="7"/>
  <c r="E3" i="7"/>
  <c r="D3" i="7"/>
  <c r="A3" i="7"/>
  <c r="H26" i="21"/>
  <c r="H23" i="21"/>
  <c r="H22" i="21"/>
  <c r="H21" i="21"/>
  <c r="H20" i="21"/>
  <c r="F4" i="21"/>
  <c r="D4" i="21"/>
  <c r="A4" i="21"/>
  <c r="H3" i="21"/>
  <c r="F3" i="21"/>
  <c r="D3" i="21"/>
  <c r="A3" i="21"/>
  <c r="A14" i="23"/>
  <c r="F4" i="23"/>
  <c r="D4" i="23"/>
  <c r="A4" i="23"/>
  <c r="J3" i="23"/>
  <c r="F3" i="23"/>
  <c r="D3" i="23"/>
  <c r="A3" i="23"/>
  <c r="E16" i="18"/>
  <c r="F23" i="18" s="1"/>
  <c r="E4" i="18"/>
  <c r="D4" i="18"/>
  <c r="A4" i="18"/>
  <c r="G3" i="18"/>
  <c r="E3" i="18"/>
  <c r="D3" i="18"/>
  <c r="A3" i="18"/>
  <c r="K18" i="13"/>
  <c r="J18" i="13"/>
  <c r="I18" i="13"/>
  <c r="H18" i="13"/>
  <c r="G18" i="13"/>
  <c r="F18" i="13"/>
  <c r="E18" i="13"/>
  <c r="D18" i="13"/>
  <c r="C18" i="13"/>
  <c r="L17" i="13"/>
  <c r="L16" i="13"/>
  <c r="L15" i="13"/>
  <c r="L14" i="13"/>
  <c r="L13" i="13"/>
  <c r="L12" i="13"/>
  <c r="L11" i="13"/>
  <c r="L10" i="13"/>
  <c r="L9" i="13"/>
  <c r="L18" i="13" s="1"/>
  <c r="I4" i="13"/>
  <c r="F4" i="13"/>
  <c r="A4" i="13"/>
  <c r="M3" i="13"/>
  <c r="I3" i="13"/>
  <c r="F3" i="13"/>
  <c r="A3" i="13"/>
  <c r="H19" i="20"/>
  <c r="J19" i="20" s="1"/>
  <c r="H18" i="20"/>
  <c r="J18" i="20" s="1"/>
  <c r="J17" i="20"/>
  <c r="H17" i="20"/>
  <c r="H16" i="20"/>
  <c r="J16" i="20" s="1"/>
  <c r="H15" i="20"/>
  <c r="J15" i="20" s="1"/>
  <c r="H14" i="20"/>
  <c r="J14" i="20" s="1"/>
  <c r="J13" i="20"/>
  <c r="H13" i="20"/>
  <c r="H12" i="20"/>
  <c r="J12" i="20" s="1"/>
  <c r="H11" i="20"/>
  <c r="J11" i="20" s="1"/>
  <c r="D11" i="20"/>
  <c r="H10" i="20"/>
  <c r="D10" i="20"/>
  <c r="D20" i="20" s="1"/>
  <c r="L4" i="20"/>
  <c r="G4" i="20"/>
  <c r="A4" i="20"/>
  <c r="R3" i="20"/>
  <c r="L3" i="20"/>
  <c r="G3" i="20"/>
  <c r="A3" i="20"/>
  <c r="E23" i="27"/>
  <c r="B19" i="27"/>
  <c r="J18" i="27"/>
  <c r="I18" i="27"/>
  <c r="K18" i="27" s="1"/>
  <c r="J17" i="27"/>
  <c r="I17" i="27"/>
  <c r="K17" i="27" s="1"/>
  <c r="J16" i="27"/>
  <c r="I16" i="27"/>
  <c r="K16" i="27" s="1"/>
  <c r="J15" i="27"/>
  <c r="K15" i="27" s="1"/>
  <c r="I15" i="27"/>
  <c r="J14" i="27"/>
  <c r="I14" i="27"/>
  <c r="K14" i="27" s="1"/>
  <c r="J13" i="27"/>
  <c r="I13" i="27"/>
  <c r="G4" i="27"/>
  <c r="E4" i="27"/>
  <c r="A4" i="27"/>
  <c r="K3" i="27"/>
  <c r="G3" i="27"/>
  <c r="E3" i="27"/>
  <c r="A3" i="27"/>
  <c r="T28" i="30"/>
  <c r="Q28" i="30"/>
  <c r="Q27" i="30"/>
  <c r="N27" i="30"/>
  <c r="K27" i="30"/>
  <c r="H27" i="30"/>
  <c r="Q26" i="30"/>
  <c r="N26" i="30"/>
  <c r="K26" i="30"/>
  <c r="H26" i="30"/>
  <c r="Q25" i="30"/>
  <c r="N25" i="30"/>
  <c r="K25" i="30"/>
  <c r="H25" i="30"/>
  <c r="Q24" i="30"/>
  <c r="N24" i="30"/>
  <c r="K24" i="30"/>
  <c r="H24" i="30"/>
  <c r="Q23" i="30"/>
  <c r="N23" i="30"/>
  <c r="K23" i="30"/>
  <c r="H23" i="30"/>
  <c r="Q22" i="30"/>
  <c r="N22" i="30"/>
  <c r="K22" i="30"/>
  <c r="H22" i="30"/>
  <c r="Q21" i="30"/>
  <c r="N21" i="30"/>
  <c r="K21" i="30"/>
  <c r="H21" i="30"/>
  <c r="Q20" i="30"/>
  <c r="N20" i="30"/>
  <c r="K20" i="30"/>
  <c r="H20" i="30"/>
  <c r="Q19" i="30"/>
  <c r="N19" i="30"/>
  <c r="K19" i="30"/>
  <c r="H19" i="30"/>
  <c r="Q18" i="30"/>
  <c r="N18" i="30"/>
  <c r="K18" i="30"/>
  <c r="H18" i="30"/>
  <c r="Q17" i="30"/>
  <c r="N17" i="30"/>
  <c r="K17" i="30"/>
  <c r="H17" i="30"/>
  <c r="Q16" i="30"/>
  <c r="N16" i="30"/>
  <c r="N28" i="30" s="1"/>
  <c r="K16" i="30"/>
  <c r="K28" i="30" s="1"/>
  <c r="H16" i="30"/>
  <c r="H28" i="30" s="1"/>
  <c r="N4" i="30"/>
  <c r="I4" i="30"/>
  <c r="A4" i="30"/>
  <c r="U3" i="30"/>
  <c r="N3" i="30"/>
  <c r="I3" i="30"/>
  <c r="A3" i="30"/>
  <c r="F4" i="28"/>
  <c r="C4" i="28"/>
  <c r="A4" i="28"/>
  <c r="J3" i="28"/>
  <c r="F3" i="28"/>
  <c r="C3" i="28"/>
  <c r="A3" i="28"/>
  <c r="K30" i="4"/>
  <c r="X29" i="4"/>
  <c r="T29" i="4"/>
  <c r="S29" i="4"/>
  <c r="O29" i="4"/>
  <c r="N29" i="4"/>
  <c r="M29" i="4"/>
  <c r="K29" i="4"/>
  <c r="G29" i="4"/>
  <c r="F29" i="4"/>
  <c r="D29" i="4"/>
  <c r="C29" i="4"/>
  <c r="Y28" i="4"/>
  <c r="Q28" i="4"/>
  <c r="V28" i="4" s="1"/>
  <c r="P28" i="4"/>
  <c r="U28" i="4" s="1"/>
  <c r="W28" i="4" s="1"/>
  <c r="L28" i="4"/>
  <c r="J28" i="4"/>
  <c r="I28" i="4"/>
  <c r="H28" i="4"/>
  <c r="E28" i="4"/>
  <c r="U27" i="4"/>
  <c r="W27" i="4" s="1"/>
  <c r="Y27" i="4" s="1"/>
  <c r="R27" i="4"/>
  <c r="Q27" i="4"/>
  <c r="V27" i="4" s="1"/>
  <c r="P27" i="4"/>
  <c r="I27" i="4"/>
  <c r="H27" i="4"/>
  <c r="J27" i="4" s="1"/>
  <c r="L27" i="4" s="1"/>
  <c r="E27" i="4"/>
  <c r="Q26" i="4"/>
  <c r="Q29" i="4" s="1"/>
  <c r="P26" i="4"/>
  <c r="P29" i="4" s="1"/>
  <c r="L26" i="4"/>
  <c r="J26" i="4"/>
  <c r="J29" i="4" s="1"/>
  <c r="I26" i="4"/>
  <c r="I29" i="4" s="1"/>
  <c r="H26" i="4"/>
  <c r="H29" i="4" s="1"/>
  <c r="E26" i="4"/>
  <c r="E29" i="4" s="1"/>
  <c r="X24" i="4"/>
  <c r="T24" i="4"/>
  <c r="S24" i="4"/>
  <c r="O24" i="4"/>
  <c r="N24" i="4"/>
  <c r="M24" i="4"/>
  <c r="K24" i="4"/>
  <c r="G24" i="4"/>
  <c r="F24" i="4"/>
  <c r="E24" i="4"/>
  <c r="D24" i="4"/>
  <c r="C24" i="4"/>
  <c r="R23" i="4"/>
  <c r="Q23" i="4"/>
  <c r="V23" i="4" s="1"/>
  <c r="P23" i="4"/>
  <c r="U23" i="4" s="1"/>
  <c r="W23" i="4" s="1"/>
  <c r="Y23" i="4" s="1"/>
  <c r="I23" i="4"/>
  <c r="H23" i="4"/>
  <c r="J23" i="4" s="1"/>
  <c r="L23" i="4" s="1"/>
  <c r="E23" i="4"/>
  <c r="Q22" i="4"/>
  <c r="V22" i="4" s="1"/>
  <c r="P22" i="4"/>
  <c r="U22" i="4" s="1"/>
  <c r="W22" i="4" s="1"/>
  <c r="Y22" i="4" s="1"/>
  <c r="I22" i="4"/>
  <c r="J22" i="4" s="1"/>
  <c r="L22" i="4" s="1"/>
  <c r="H22" i="4"/>
  <c r="E22" i="4"/>
  <c r="R21" i="4"/>
  <c r="Q21" i="4"/>
  <c r="V21" i="4" s="1"/>
  <c r="P21" i="4"/>
  <c r="U21" i="4" s="1"/>
  <c r="W21" i="4" s="1"/>
  <c r="Y21" i="4" s="1"/>
  <c r="I21" i="4"/>
  <c r="H21" i="4"/>
  <c r="J21" i="4" s="1"/>
  <c r="L21" i="4" s="1"/>
  <c r="E21" i="4"/>
  <c r="W20" i="4"/>
  <c r="Y20" i="4" s="1"/>
  <c r="Q20" i="4"/>
  <c r="V20" i="4" s="1"/>
  <c r="P20" i="4"/>
  <c r="U20" i="4" s="1"/>
  <c r="J20" i="4"/>
  <c r="L20" i="4" s="1"/>
  <c r="I20" i="4"/>
  <c r="H20" i="4"/>
  <c r="E20" i="4"/>
  <c r="Q19" i="4"/>
  <c r="P19" i="4"/>
  <c r="P24" i="4" s="1"/>
  <c r="I19" i="4"/>
  <c r="J19" i="4" s="1"/>
  <c r="H19" i="4"/>
  <c r="H24" i="4" s="1"/>
  <c r="E19" i="4"/>
  <c r="X17" i="4"/>
  <c r="X30" i="4" s="1"/>
  <c r="C70" i="19" s="1"/>
  <c r="D70" i="19" s="1"/>
  <c r="S17" i="4"/>
  <c r="O17" i="4"/>
  <c r="O30" i="4" s="1"/>
  <c r="N17" i="4"/>
  <c r="N30" i="4" s="1"/>
  <c r="M17" i="4"/>
  <c r="M30" i="4" s="1"/>
  <c r="K17" i="4"/>
  <c r="G17" i="4"/>
  <c r="G30" i="4" s="1"/>
  <c r="F17" i="4"/>
  <c r="F30" i="4" s="1"/>
  <c r="D17" i="4"/>
  <c r="D30" i="4" s="1"/>
  <c r="C17" i="4"/>
  <c r="V16" i="4"/>
  <c r="U16" i="4"/>
  <c r="R16" i="4"/>
  <c r="Q16" i="4"/>
  <c r="P16" i="4"/>
  <c r="I16" i="4"/>
  <c r="J16" i="4" s="1"/>
  <c r="L16" i="4" s="1"/>
  <c r="H16" i="4"/>
  <c r="E16" i="4"/>
  <c r="R15" i="4"/>
  <c r="Q15" i="4"/>
  <c r="P15" i="4"/>
  <c r="U15" i="4" s="1"/>
  <c r="I15" i="4"/>
  <c r="H15" i="4"/>
  <c r="J15" i="4" s="1"/>
  <c r="L15" i="4" s="1"/>
  <c r="E15" i="4"/>
  <c r="Q14" i="4"/>
  <c r="P14" i="4"/>
  <c r="L14" i="4"/>
  <c r="I14" i="4"/>
  <c r="H14" i="4"/>
  <c r="J14" i="4" s="1"/>
  <c r="E14" i="4"/>
  <c r="V13" i="4"/>
  <c r="U13" i="4"/>
  <c r="Q13" i="4"/>
  <c r="P13" i="4"/>
  <c r="R13" i="4" s="1"/>
  <c r="I13" i="4"/>
  <c r="H13" i="4"/>
  <c r="E13" i="4"/>
  <c r="Q12" i="4"/>
  <c r="P12" i="4"/>
  <c r="U12" i="4" s="1"/>
  <c r="I12" i="4"/>
  <c r="J12" i="4" s="1"/>
  <c r="H12" i="4"/>
  <c r="E12" i="4"/>
  <c r="E17" i="4" s="1"/>
  <c r="E30" i="4" s="1"/>
  <c r="X4" i="4"/>
  <c r="V4" i="4"/>
  <c r="S4" i="4"/>
  <c r="K4" i="4"/>
  <c r="F4" i="4"/>
  <c r="A4" i="4"/>
  <c r="X3" i="4"/>
  <c r="V3" i="4"/>
  <c r="S3" i="4"/>
  <c r="R3" i="4"/>
  <c r="AA3" i="4" s="1"/>
  <c r="K3" i="4"/>
  <c r="F3" i="4"/>
  <c r="A3" i="4"/>
  <c r="D30" i="3"/>
  <c r="C30" i="3"/>
  <c r="C4" i="3"/>
  <c r="B4" i="3"/>
  <c r="A4" i="3"/>
  <c r="E3" i="3"/>
  <c r="C3" i="3"/>
  <c r="B3" i="3"/>
  <c r="A3" i="3"/>
  <c r="C33" i="2"/>
  <c r="B33" i="2"/>
  <c r="D4" i="2"/>
  <c r="C4" i="2"/>
  <c r="A4" i="2"/>
  <c r="F3" i="2"/>
  <c r="D3" i="2"/>
  <c r="C3" i="2"/>
  <c r="A3" i="2"/>
  <c r="F47" i="19"/>
  <c r="E47" i="19"/>
  <c r="G47" i="19" s="1"/>
  <c r="C47" i="19"/>
  <c r="D47" i="19" s="1"/>
  <c r="B47" i="19"/>
  <c r="F46" i="19"/>
  <c r="F45" i="19" s="1"/>
  <c r="E46" i="19"/>
  <c r="G46" i="19" s="1"/>
  <c r="C46" i="19"/>
  <c r="B46" i="19"/>
  <c r="D46" i="19" s="1"/>
  <c r="I46" i="19" s="1"/>
  <c r="B45" i="19"/>
  <c r="F44" i="19"/>
  <c r="E44" i="19"/>
  <c r="C44" i="19"/>
  <c r="B44" i="19"/>
  <c r="D44" i="19" s="1"/>
  <c r="F43" i="19"/>
  <c r="E43" i="19"/>
  <c r="C43" i="19"/>
  <c r="B43" i="19"/>
  <c r="F42" i="19"/>
  <c r="E42" i="19"/>
  <c r="C42" i="19"/>
  <c r="B42" i="19"/>
  <c r="D42" i="19" s="1"/>
  <c r="F41" i="19"/>
  <c r="E41" i="19"/>
  <c r="G41" i="19" s="1"/>
  <c r="C41" i="19"/>
  <c r="B41" i="19"/>
  <c r="F40" i="19"/>
  <c r="E40" i="19"/>
  <c r="C40" i="19"/>
  <c r="B40" i="19"/>
  <c r="D40" i="19" s="1"/>
  <c r="F39" i="19"/>
  <c r="E39" i="19"/>
  <c r="C39" i="19"/>
  <c r="B39" i="19"/>
  <c r="D39" i="19" s="1"/>
  <c r="F38" i="19"/>
  <c r="F37" i="19" s="1"/>
  <c r="E38" i="19"/>
  <c r="C38" i="19"/>
  <c r="C37" i="19" s="1"/>
  <c r="B38" i="19"/>
  <c r="F36" i="19"/>
  <c r="E36" i="19"/>
  <c r="C36" i="19"/>
  <c r="B36" i="19"/>
  <c r="F35" i="19"/>
  <c r="E35" i="19"/>
  <c r="C35" i="19"/>
  <c r="B35" i="19"/>
  <c r="F34" i="19"/>
  <c r="E34" i="19"/>
  <c r="C34" i="19"/>
  <c r="B34" i="19"/>
  <c r="F33" i="19"/>
  <c r="E33" i="19"/>
  <c r="C33" i="19"/>
  <c r="B33" i="19"/>
  <c r="F32" i="19"/>
  <c r="E32" i="19"/>
  <c r="C32" i="19"/>
  <c r="B32" i="19"/>
  <c r="F31" i="19"/>
  <c r="E31" i="19"/>
  <c r="C31" i="19"/>
  <c r="B31" i="19"/>
  <c r="E30" i="19"/>
  <c r="C30" i="19"/>
  <c r="B30" i="19"/>
  <c r="F26" i="19"/>
  <c r="F68" i="19" s="1"/>
  <c r="E26" i="19"/>
  <c r="C26" i="19"/>
  <c r="C68" i="19" s="1"/>
  <c r="B26" i="19"/>
  <c r="B68" i="19" s="1"/>
  <c r="F25" i="19"/>
  <c r="F67" i="19" s="1"/>
  <c r="E25" i="19"/>
  <c r="C25" i="19"/>
  <c r="C67" i="19" s="1"/>
  <c r="B25" i="19"/>
  <c r="B67" i="19" s="1"/>
  <c r="F23" i="19"/>
  <c r="E23" i="19"/>
  <c r="E65" i="19" s="1"/>
  <c r="C23" i="19"/>
  <c r="C65" i="19" s="1"/>
  <c r="B23" i="19"/>
  <c r="B65" i="19" s="1"/>
  <c r="F22" i="19"/>
  <c r="G22" i="19" s="1"/>
  <c r="E22" i="19"/>
  <c r="E64" i="19" s="1"/>
  <c r="C22" i="19"/>
  <c r="C64" i="19" s="1"/>
  <c r="B22" i="19"/>
  <c r="B64" i="19" s="1"/>
  <c r="F21" i="19"/>
  <c r="F63" i="19" s="1"/>
  <c r="E21" i="19"/>
  <c r="E63" i="19" s="1"/>
  <c r="C21" i="19"/>
  <c r="C63" i="19" s="1"/>
  <c r="B21" i="19"/>
  <c r="B63" i="19" s="1"/>
  <c r="F20" i="19"/>
  <c r="F62" i="19" s="1"/>
  <c r="E20" i="19"/>
  <c r="C20" i="19"/>
  <c r="C62" i="19" s="1"/>
  <c r="B20" i="19"/>
  <c r="B62" i="19" s="1"/>
  <c r="F19" i="19"/>
  <c r="F61" i="19" s="1"/>
  <c r="E19" i="19"/>
  <c r="C19" i="19"/>
  <c r="C61" i="19" s="1"/>
  <c r="B19" i="19"/>
  <c r="F18" i="19"/>
  <c r="F60" i="19" s="1"/>
  <c r="E18" i="19"/>
  <c r="E60" i="19" s="1"/>
  <c r="C18" i="19"/>
  <c r="C60" i="19" s="1"/>
  <c r="B18" i="19"/>
  <c r="F17" i="19"/>
  <c r="F59" i="19" s="1"/>
  <c r="E17" i="19"/>
  <c r="E16" i="19" s="1"/>
  <c r="C17" i="19"/>
  <c r="C16" i="19" s="1"/>
  <c r="B17" i="19"/>
  <c r="B59" i="19" s="1"/>
  <c r="F15" i="19"/>
  <c r="E15" i="19"/>
  <c r="E57" i="19" s="1"/>
  <c r="C15" i="19"/>
  <c r="B15" i="19"/>
  <c r="B57" i="19" s="1"/>
  <c r="F14" i="19"/>
  <c r="F56" i="19" s="1"/>
  <c r="E14" i="19"/>
  <c r="E56" i="19" s="1"/>
  <c r="C14" i="19"/>
  <c r="C56" i="19" s="1"/>
  <c r="B14" i="19"/>
  <c r="B56" i="19" s="1"/>
  <c r="F13" i="19"/>
  <c r="F55" i="19" s="1"/>
  <c r="E13" i="19"/>
  <c r="C13" i="19"/>
  <c r="C55" i="19" s="1"/>
  <c r="B13" i="19"/>
  <c r="B55" i="19" s="1"/>
  <c r="F12" i="19"/>
  <c r="F54" i="19" s="1"/>
  <c r="E12" i="19"/>
  <c r="C12" i="19"/>
  <c r="C54" i="19" s="1"/>
  <c r="B12" i="19"/>
  <c r="B54" i="19" s="1"/>
  <c r="F11" i="19"/>
  <c r="E11" i="19"/>
  <c r="C11" i="19"/>
  <c r="B11" i="19"/>
  <c r="F10" i="19"/>
  <c r="E10" i="19"/>
  <c r="E52" i="19" s="1"/>
  <c r="C10" i="19"/>
  <c r="C52" i="19" s="1"/>
  <c r="B10" i="19"/>
  <c r="F9" i="19"/>
  <c r="E9" i="19"/>
  <c r="C9" i="19"/>
  <c r="C8" i="19" s="1"/>
  <c r="B9" i="19"/>
  <c r="G4" i="19"/>
  <c r="D4" i="19"/>
  <c r="A4" i="19"/>
  <c r="J3" i="19"/>
  <c r="G3" i="19"/>
  <c r="D3" i="19"/>
  <c r="A3" i="19"/>
  <c r="E4" i="29"/>
  <c r="C4" i="29"/>
  <c r="A4" i="29"/>
  <c r="I3" i="29"/>
  <c r="E3" i="29"/>
  <c r="C3" i="29"/>
  <c r="A3" i="29"/>
  <c r="B24" i="19" l="1"/>
  <c r="B66" i="19" s="1"/>
  <c r="G38" i="19"/>
  <c r="G40" i="19"/>
  <c r="D34" i="19"/>
  <c r="I47" i="19"/>
  <c r="C53" i="19"/>
  <c r="C57" i="19"/>
  <c r="D65" i="19"/>
  <c r="D41" i="19"/>
  <c r="I41" i="19" s="1"/>
  <c r="D43" i="19"/>
  <c r="C45" i="19"/>
  <c r="D62" i="19"/>
  <c r="G21" i="19"/>
  <c r="D20" i="19"/>
  <c r="I40" i="19"/>
  <c r="G23" i="19"/>
  <c r="D26" i="19"/>
  <c r="G33" i="19"/>
  <c r="D38" i="19"/>
  <c r="I38" i="19" s="1"/>
  <c r="W16" i="4"/>
  <c r="G32" i="19"/>
  <c r="I32" i="19" s="1"/>
  <c r="S30" i="4"/>
  <c r="W13" i="4"/>
  <c r="Y13" i="4" s="1"/>
  <c r="E51" i="19"/>
  <c r="E55" i="19"/>
  <c r="F53" i="19"/>
  <c r="F57" i="19"/>
  <c r="D31" i="19"/>
  <c r="D30" i="19"/>
  <c r="D32" i="19"/>
  <c r="D36" i="19"/>
  <c r="C29" i="19"/>
  <c r="C50" i="19" s="1"/>
  <c r="G31" i="19"/>
  <c r="P17" i="4"/>
  <c r="P30" i="4" s="1"/>
  <c r="B51" i="19"/>
  <c r="E8" i="19"/>
  <c r="F52" i="19"/>
  <c r="C30" i="4"/>
  <c r="R12" i="4"/>
  <c r="T12" i="4" s="1"/>
  <c r="I17" i="4"/>
  <c r="D33" i="19"/>
  <c r="I33" i="19" s="1"/>
  <c r="D35" i="19"/>
  <c r="D64" i="19"/>
  <c r="D63" i="19"/>
  <c r="Y16" i="4"/>
  <c r="B18" i="23"/>
  <c r="I42" i="19"/>
  <c r="C48" i="19"/>
  <c r="C24" i="19"/>
  <c r="C66" i="19" s="1"/>
  <c r="D25" i="19"/>
  <c r="G26" i="19"/>
  <c r="E68" i="19"/>
  <c r="B29" i="19"/>
  <c r="B37" i="19"/>
  <c r="H38" i="19"/>
  <c r="H46" i="19"/>
  <c r="G45" i="19"/>
  <c r="P15" i="8"/>
  <c r="E67" i="19"/>
  <c r="G35" i="19"/>
  <c r="H35" i="19" s="1"/>
  <c r="G43" i="19"/>
  <c r="H43" i="19" s="1"/>
  <c r="L12" i="4"/>
  <c r="G10" i="19"/>
  <c r="G12" i="19"/>
  <c r="G13" i="19"/>
  <c r="G15" i="19"/>
  <c r="G17" i="19"/>
  <c r="G20" i="19"/>
  <c r="H20" i="19" s="1"/>
  <c r="D23" i="19"/>
  <c r="E24" i="19"/>
  <c r="E66" i="19" s="1"/>
  <c r="D37" i="19"/>
  <c r="H40" i="19"/>
  <c r="D45" i="19"/>
  <c r="F70" i="19"/>
  <c r="G70" i="19" s="1"/>
  <c r="H70" i="19" s="1"/>
  <c r="B16" i="19"/>
  <c r="B60" i="19"/>
  <c r="D60" i="19" s="1"/>
  <c r="B61" i="19"/>
  <c r="D61" i="19" s="1"/>
  <c r="D22" i="19"/>
  <c r="G65" i="19"/>
  <c r="H65" i="19" s="1"/>
  <c r="F24" i="19"/>
  <c r="F66" i="19" s="1"/>
  <c r="G25" i="19"/>
  <c r="E29" i="19"/>
  <c r="E37" i="19"/>
  <c r="E45" i="19"/>
  <c r="C51" i="19"/>
  <c r="C59" i="19"/>
  <c r="C58" i="19" s="1"/>
  <c r="L19" i="4"/>
  <c r="L24" i="4" s="1"/>
  <c r="J24" i="4"/>
  <c r="J19" i="27"/>
  <c r="P11" i="8"/>
  <c r="G9" i="19"/>
  <c r="G11" i="19"/>
  <c r="G14" i="19"/>
  <c r="G18" i="19"/>
  <c r="H18" i="19" s="1"/>
  <c r="G19" i="19"/>
  <c r="H20" i="20"/>
  <c r="J10" i="20"/>
  <c r="J20" i="20" s="1"/>
  <c r="B8" i="19"/>
  <c r="B53" i="19"/>
  <c r="D21" i="19"/>
  <c r="I21" i="19" s="1"/>
  <c r="F65" i="19"/>
  <c r="G34" i="19"/>
  <c r="H34" i="19" s="1"/>
  <c r="G42" i="19"/>
  <c r="H42" i="19" s="1"/>
  <c r="J13" i="4"/>
  <c r="L13" i="4" s="1"/>
  <c r="P19" i="8"/>
  <c r="P23" i="8" s="1"/>
  <c r="Q23" i="8" s="1"/>
  <c r="F8" i="19"/>
  <c r="F16" i="19"/>
  <c r="H41" i="19"/>
  <c r="I19" i="27"/>
  <c r="K13" i="27"/>
  <c r="K19" i="27" s="1"/>
  <c r="F23" i="27" s="1"/>
  <c r="B52" i="19"/>
  <c r="D9" i="19"/>
  <c r="D10" i="19"/>
  <c r="D11" i="19"/>
  <c r="D12" i="19"/>
  <c r="D13" i="19"/>
  <c r="D14" i="19"/>
  <c r="D15" i="19"/>
  <c r="D17" i="19"/>
  <c r="D18" i="19"/>
  <c r="D19" i="19"/>
  <c r="G63" i="19"/>
  <c r="H63" i="19" s="1"/>
  <c r="F64" i="19"/>
  <c r="G39" i="19"/>
  <c r="H39" i="19" s="1"/>
  <c r="H47" i="19"/>
  <c r="V15" i="4"/>
  <c r="W15" i="4" s="1"/>
  <c r="Q17" i="4"/>
  <c r="Q24" i="4"/>
  <c r="V19" i="4"/>
  <c r="V24" i="4" s="1"/>
  <c r="L29" i="4"/>
  <c r="E53" i="19"/>
  <c r="E54" i="19"/>
  <c r="E59" i="19"/>
  <c r="G60" i="19"/>
  <c r="E61" i="19"/>
  <c r="G61" i="19" s="1"/>
  <c r="E62" i="19"/>
  <c r="G62" i="19" s="1"/>
  <c r="H62" i="19" s="1"/>
  <c r="G36" i="19"/>
  <c r="G44" i="19"/>
  <c r="H44" i="19" s="1"/>
  <c r="D68" i="19"/>
  <c r="U14" i="4"/>
  <c r="R14" i="4"/>
  <c r="V14" i="4" s="1"/>
  <c r="H17" i="4"/>
  <c r="H30" i="4" s="1"/>
  <c r="R19" i="4"/>
  <c r="R24" i="4" s="1"/>
  <c r="D23" i="8"/>
  <c r="U19" i="4"/>
  <c r="A23" i="18"/>
  <c r="I24" i="4"/>
  <c r="R26" i="4"/>
  <c r="R28" i="4"/>
  <c r="R20" i="4"/>
  <c r="R22" i="4"/>
  <c r="U26" i="4"/>
  <c r="V26" i="4"/>
  <c r="V29" i="4" s="1"/>
  <c r="F58" i="19" l="1"/>
  <c r="G64" i="19"/>
  <c r="H64" i="19" s="1"/>
  <c r="E27" i="19"/>
  <c r="I20" i="19"/>
  <c r="H45" i="19"/>
  <c r="I19" i="19"/>
  <c r="H61" i="19"/>
  <c r="B15" i="23"/>
  <c r="H60" i="19"/>
  <c r="H31" i="19"/>
  <c r="I31" i="19"/>
  <c r="H32" i="19"/>
  <c r="E50" i="19"/>
  <c r="I30" i="4"/>
  <c r="H36" i="19"/>
  <c r="H33" i="19"/>
  <c r="I34" i="19"/>
  <c r="D29" i="19"/>
  <c r="D48" i="19" s="1"/>
  <c r="W19" i="4"/>
  <c r="U24" i="4"/>
  <c r="W26" i="4"/>
  <c r="U29" i="4"/>
  <c r="D56" i="19"/>
  <c r="I14" i="19"/>
  <c r="G56" i="19"/>
  <c r="H14" i="19"/>
  <c r="H56" i="19" s="1"/>
  <c r="I45" i="19"/>
  <c r="G55" i="19"/>
  <c r="H13" i="19"/>
  <c r="H55" i="19" s="1"/>
  <c r="I25" i="19"/>
  <c r="D67" i="19"/>
  <c r="D24" i="19"/>
  <c r="C69" i="19"/>
  <c r="C71" i="19" s="1"/>
  <c r="D55" i="19"/>
  <c r="I13" i="19"/>
  <c r="R17" i="4"/>
  <c r="Y15" i="4"/>
  <c r="B17" i="23"/>
  <c r="G53" i="19"/>
  <c r="H11" i="19"/>
  <c r="H53" i="19" s="1"/>
  <c r="G54" i="19"/>
  <c r="H12" i="19"/>
  <c r="G37" i="19"/>
  <c r="C27" i="19"/>
  <c r="I43" i="19"/>
  <c r="D54" i="19"/>
  <c r="I12" i="19"/>
  <c r="I35" i="19"/>
  <c r="I11" i="19"/>
  <c r="D53" i="19"/>
  <c r="D59" i="19"/>
  <c r="T17" i="4"/>
  <c r="T30" i="4" s="1"/>
  <c r="F30" i="19"/>
  <c r="I61" i="19"/>
  <c r="I39" i="19"/>
  <c r="I70" i="19"/>
  <c r="I15" i="19"/>
  <c r="D57" i="19"/>
  <c r="F27" i="19"/>
  <c r="G67" i="19"/>
  <c r="H25" i="19"/>
  <c r="G24" i="19"/>
  <c r="G66" i="19" s="1"/>
  <c r="G68" i="19"/>
  <c r="H26" i="19"/>
  <c r="H68" i="19" s="1"/>
  <c r="H9" i="19"/>
  <c r="G8" i="19"/>
  <c r="I22" i="19"/>
  <c r="H22" i="19"/>
  <c r="I37" i="19"/>
  <c r="G52" i="19"/>
  <c r="H10" i="19"/>
  <c r="H52" i="19" s="1"/>
  <c r="R29" i="4"/>
  <c r="Q30" i="4"/>
  <c r="D52" i="19"/>
  <c r="I10" i="19"/>
  <c r="I60" i="19"/>
  <c r="I23" i="19"/>
  <c r="H23" i="19"/>
  <c r="J17" i="4"/>
  <c r="J30" i="4" s="1"/>
  <c r="I64" i="19"/>
  <c r="H37" i="19"/>
  <c r="W14" i="4"/>
  <c r="G59" i="19"/>
  <c r="E58" i="19"/>
  <c r="I18" i="19"/>
  <c r="D8" i="19"/>
  <c r="D51" i="19"/>
  <c r="I9" i="19"/>
  <c r="I26" i="19"/>
  <c r="B58" i="19"/>
  <c r="L17" i="4"/>
  <c r="L30" i="4" s="1"/>
  <c r="B48" i="19"/>
  <c r="I65" i="19"/>
  <c r="I63" i="19"/>
  <c r="H21" i="19"/>
  <c r="G57" i="19"/>
  <c r="C15" i="2" s="1"/>
  <c r="H15" i="19"/>
  <c r="H57" i="19" s="1"/>
  <c r="B50" i="19"/>
  <c r="B69" i="19" s="1"/>
  <c r="B71" i="19" s="1"/>
  <c r="B27" i="19"/>
  <c r="D14" i="3"/>
  <c r="D18" i="2"/>
  <c r="I68" i="19"/>
  <c r="D16" i="19"/>
  <c r="I17" i="19"/>
  <c r="H19" i="19"/>
  <c r="E48" i="19"/>
  <c r="G16" i="19"/>
  <c r="H17" i="19"/>
  <c r="V12" i="4"/>
  <c r="U17" i="4"/>
  <c r="U30" i="4" s="1"/>
  <c r="I36" i="19"/>
  <c r="I44" i="19"/>
  <c r="I62" i="19"/>
  <c r="E69" i="19" l="1"/>
  <c r="E71" i="19" s="1"/>
  <c r="H54" i="19"/>
  <c r="I54" i="19"/>
  <c r="I56" i="19"/>
  <c r="I67" i="19"/>
  <c r="D13" i="3"/>
  <c r="D12" i="3" s="1"/>
  <c r="D17" i="2"/>
  <c r="D16" i="2" s="1"/>
  <c r="H16" i="19"/>
  <c r="H67" i="19"/>
  <c r="H24" i="19"/>
  <c r="H66" i="19" s="1"/>
  <c r="F29" i="19"/>
  <c r="F51" i="19"/>
  <c r="G30" i="19"/>
  <c r="D27" i="19"/>
  <c r="D50" i="19"/>
  <c r="C14" i="3"/>
  <c r="C18" i="2"/>
  <c r="C11" i="2"/>
  <c r="C11" i="3"/>
  <c r="H59" i="19"/>
  <c r="H58" i="19" s="1"/>
  <c r="G58" i="19"/>
  <c r="C13" i="3"/>
  <c r="C17" i="2"/>
  <c r="B16" i="23"/>
  <c r="Y14" i="4"/>
  <c r="D10" i="3"/>
  <c r="I52" i="19"/>
  <c r="D10" i="2"/>
  <c r="G27" i="19"/>
  <c r="R30" i="4"/>
  <c r="W29" i="4"/>
  <c r="Y26" i="4"/>
  <c r="Y29" i="4" s="1"/>
  <c r="I24" i="19"/>
  <c r="D66" i="19"/>
  <c r="I66" i="19" s="1"/>
  <c r="H8" i="19"/>
  <c r="I8" i="19" s="1"/>
  <c r="I59" i="19"/>
  <c r="D58" i="19"/>
  <c r="I58" i="19" s="1"/>
  <c r="V17" i="4"/>
  <c r="V30" i="4" s="1"/>
  <c r="W12" i="4"/>
  <c r="I57" i="19"/>
  <c r="D15" i="2"/>
  <c r="D11" i="2"/>
  <c r="I53" i="19"/>
  <c r="D11" i="3"/>
  <c r="I55" i="19"/>
  <c r="Y19" i="4"/>
  <c r="Y24" i="4" s="1"/>
  <c r="W24" i="4"/>
  <c r="C10" i="3"/>
  <c r="C10" i="2"/>
  <c r="I16" i="19"/>
  <c r="D9" i="3"/>
  <c r="D9" i="2"/>
  <c r="W17" i="4" l="1"/>
  <c r="W30" i="4" s="1"/>
  <c r="Y12" i="4"/>
  <c r="Y17" i="4" s="1"/>
  <c r="Y30" i="4" s="1"/>
  <c r="B14" i="23"/>
  <c r="B24" i="23" s="1"/>
  <c r="F48" i="19"/>
  <c r="F50" i="19"/>
  <c r="F69" i="19" s="1"/>
  <c r="F71" i="19" s="1"/>
  <c r="D8" i="2"/>
  <c r="D19" i="2" s="1"/>
  <c r="C16" i="2"/>
  <c r="D8" i="3"/>
  <c r="D15" i="3" s="1"/>
  <c r="C12" i="3"/>
  <c r="D69" i="19"/>
  <c r="H27" i="19"/>
  <c r="I27" i="19"/>
  <c r="H30" i="19"/>
  <c r="G29" i="19"/>
  <c r="G51" i="19"/>
  <c r="H29" i="19" l="1"/>
  <c r="I29" i="19" s="1"/>
  <c r="H51" i="19"/>
  <c r="D71" i="19"/>
  <c r="G48" i="19"/>
  <c r="G50" i="19"/>
  <c r="C9" i="3"/>
  <c r="C8" i="3" s="1"/>
  <c r="C15" i="3" s="1"/>
  <c r="C9" i="2"/>
  <c r="C8" i="2" s="1"/>
  <c r="C19" i="2" s="1"/>
  <c r="I51" i="19"/>
  <c r="I30" i="19"/>
  <c r="G69" i="19" l="1"/>
  <c r="D73" i="19"/>
  <c r="H48" i="19"/>
  <c r="I48" i="19" s="1"/>
  <c r="H50" i="19"/>
  <c r="H69" i="19" s="1"/>
  <c r="H71" i="19" s="1"/>
  <c r="I50" i="19" l="1"/>
  <c r="G71" i="19"/>
  <c r="I69" i="19"/>
  <c r="G73" i="19" l="1"/>
  <c r="I71" i="19"/>
  <c r="D76" i="19"/>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B5" authorId="0" shapeId="0">
      <text>
        <r>
          <rPr>
            <b/>
            <sz val="9"/>
            <rFont val="宋体"/>
            <family val="3"/>
            <charset val="134"/>
          </rPr>
          <t>技术部:</t>
        </r>
        <r>
          <rPr>
            <sz val="9"/>
            <rFont val="宋体"/>
            <family val="3"/>
            <charset val="134"/>
          </rPr>
          <t xml:space="preserve">
若系首次执行新金融工具准则，则无期初数。</t>
        </r>
      </text>
    </comment>
    <comment ref="A12" authorId="0" shapeId="0">
      <text>
        <r>
          <rPr>
            <b/>
            <sz val="9"/>
            <rFont val="宋体"/>
            <family val="3"/>
            <charset val="134"/>
          </rPr>
          <t>Windows 用户:</t>
        </r>
        <r>
          <rPr>
            <sz val="9"/>
            <rFont val="宋体"/>
            <family val="3"/>
            <charset val="134"/>
          </rPr>
          <t xml:space="preserve">
新增3行</t>
        </r>
      </text>
    </comment>
    <comment ref="A16" authorId="0" shapeId="0">
      <text>
        <r>
          <rPr>
            <b/>
            <sz val="9"/>
            <rFont val="宋体"/>
            <family val="3"/>
            <charset val="134"/>
          </rPr>
          <t>技术部:</t>
        </r>
        <r>
          <rPr>
            <sz val="9"/>
            <rFont val="宋体"/>
            <family val="3"/>
            <charset val="134"/>
          </rPr>
          <t xml:space="preserve">
如通不过SPPI测试的投资</t>
        </r>
      </text>
    </comment>
    <comment ref="A20" authorId="0" shapeId="0">
      <text>
        <r>
          <rPr>
            <b/>
            <sz val="9"/>
            <rFont val="宋体"/>
            <family val="3"/>
            <charset val="134"/>
          </rPr>
          <t>Windows 用户:</t>
        </r>
        <r>
          <rPr>
            <sz val="9"/>
            <rFont val="宋体"/>
            <family val="3"/>
            <charset val="134"/>
          </rPr>
          <t xml:space="preserve">
新增3行</t>
        </r>
      </text>
    </comment>
    <comment ref="A24" authorId="0" shapeId="0">
      <text>
        <r>
          <rPr>
            <b/>
            <sz val="9"/>
            <rFont val="宋体"/>
            <family val="3"/>
            <charset val="134"/>
          </rPr>
          <t>技术部:</t>
        </r>
        <r>
          <rPr>
            <sz val="9"/>
            <rFont val="宋体"/>
            <family val="3"/>
            <charset val="134"/>
          </rPr>
          <t xml:space="preserve">
在初始确认时，如果</t>
        </r>
        <r>
          <rPr>
            <b/>
            <sz val="9"/>
            <rFont val="宋体"/>
            <family val="3"/>
            <charset val="134"/>
          </rPr>
          <t>能够消除或显著减少会计错配</t>
        </r>
        <r>
          <rPr>
            <sz val="9"/>
            <rFont val="宋体"/>
            <family val="3"/>
            <charset val="134"/>
          </rPr>
          <t>，企业可以将金融资产指定为以公允价值计量且其变动计入当期损益的金融资产。该指定一经做出，不得撤销。</t>
        </r>
      </text>
    </comment>
    <comment ref="A33" authorId="0" shapeId="0">
      <text>
        <r>
          <rPr>
            <b/>
            <sz val="9"/>
            <rFont val="宋体"/>
            <family val="3"/>
            <charset val="134"/>
          </rPr>
          <t>Windows 用户:</t>
        </r>
        <r>
          <rPr>
            <sz val="9"/>
            <rFont val="宋体"/>
            <family val="3"/>
            <charset val="134"/>
          </rPr>
          <t xml:space="preserve">
新增3行</t>
        </r>
      </text>
    </comment>
    <comment ref="A37" authorId="0" shapeId="0">
      <text>
        <r>
          <rPr>
            <b/>
            <sz val="9"/>
            <rFont val="宋体"/>
            <family val="3"/>
            <charset val="134"/>
          </rPr>
          <t>技术部:</t>
        </r>
        <r>
          <rPr>
            <sz val="9"/>
            <rFont val="宋体"/>
            <family val="3"/>
            <charset val="134"/>
          </rPr>
          <t xml:space="preserve">
如通不过SPPI测试的投资</t>
        </r>
      </text>
    </comment>
    <comment ref="A41" authorId="0" shapeId="0">
      <text>
        <r>
          <rPr>
            <b/>
            <sz val="9"/>
            <rFont val="宋体"/>
            <family val="3"/>
            <charset val="134"/>
          </rPr>
          <t>Windows 用户:</t>
        </r>
        <r>
          <rPr>
            <sz val="9"/>
            <rFont val="宋体"/>
            <family val="3"/>
            <charset val="134"/>
          </rPr>
          <t xml:space="preserve">
新增3行</t>
        </r>
      </text>
    </comment>
    <comment ref="A54" authorId="0" shapeId="0">
      <text>
        <r>
          <rPr>
            <b/>
            <sz val="9"/>
            <rFont val="宋体"/>
            <family val="3"/>
            <charset val="134"/>
          </rPr>
          <t>Windows 用户:</t>
        </r>
        <r>
          <rPr>
            <sz val="9"/>
            <rFont val="宋体"/>
            <family val="3"/>
            <charset val="134"/>
          </rPr>
          <t xml:space="preserve">
新增3行</t>
        </r>
      </text>
    </comment>
    <comment ref="A58" authorId="0" shapeId="0">
      <text>
        <r>
          <rPr>
            <b/>
            <sz val="9"/>
            <rFont val="宋体"/>
            <family val="3"/>
            <charset val="134"/>
          </rPr>
          <t>技术部:</t>
        </r>
        <r>
          <rPr>
            <sz val="9"/>
            <rFont val="宋体"/>
            <family val="3"/>
            <charset val="134"/>
          </rPr>
          <t xml:space="preserve">
如通不过SPPI测试的投资</t>
        </r>
      </text>
    </comment>
    <comment ref="A62" authorId="0" shapeId="0">
      <text>
        <r>
          <rPr>
            <b/>
            <sz val="9"/>
            <rFont val="宋体"/>
            <family val="3"/>
            <charset val="134"/>
          </rPr>
          <t>Windows 用户:</t>
        </r>
        <r>
          <rPr>
            <sz val="9"/>
            <rFont val="宋体"/>
            <family val="3"/>
            <charset val="134"/>
          </rPr>
          <t xml:space="preserve">
新增3行</t>
        </r>
      </text>
    </comment>
    <comment ref="A66" authorId="0" shapeId="0">
      <text>
        <r>
          <rPr>
            <b/>
            <sz val="9"/>
            <rFont val="宋体"/>
            <family val="3"/>
            <charset val="134"/>
          </rPr>
          <t>技术部:</t>
        </r>
        <r>
          <rPr>
            <sz val="9"/>
            <rFont val="宋体"/>
            <family val="3"/>
            <charset val="134"/>
          </rPr>
          <t xml:space="preserve">
在初始确认时，如果</t>
        </r>
        <r>
          <rPr>
            <b/>
            <sz val="9"/>
            <rFont val="宋体"/>
            <family val="3"/>
            <charset val="134"/>
          </rPr>
          <t>能够消除或显著减少会计错配</t>
        </r>
        <r>
          <rPr>
            <sz val="9"/>
            <rFont val="宋体"/>
            <family val="3"/>
            <charset val="134"/>
          </rPr>
          <t>，企业可以将金融资产指定为以公允价值计量且其变动计入当期损益的金融资产。该指定一经做出，不得撤销。</t>
        </r>
      </text>
    </comment>
    <comment ref="A70" authorId="0" shapeId="0">
      <text>
        <r>
          <rPr>
            <b/>
            <sz val="9"/>
            <rFont val="宋体"/>
            <family val="3"/>
            <charset val="134"/>
          </rPr>
          <t>技术部:</t>
        </r>
        <r>
          <rPr>
            <sz val="9"/>
            <rFont val="宋体"/>
            <family val="3"/>
            <charset val="134"/>
          </rPr>
          <t xml:space="preserve">
自资产负债表日起超过一年到期且预期持有超过一年的以公允价值计量且其变动计入当期损益的非流动金融资产的期末账面价值，在“其他非流动金融资产”项目反映。</t>
        </r>
      </text>
    </comment>
  </commentList>
</comments>
</file>

<file path=xl/comments3.xml><?xml version="1.0" encoding="utf-8"?>
<comments xmlns="http://schemas.openxmlformats.org/spreadsheetml/2006/main">
  <authors>
    <author>Windows 用户</author>
  </authors>
  <commentList>
    <comment ref="A9" authorId="0" shapeId="0">
      <text>
        <r>
          <rPr>
            <b/>
            <sz val="9"/>
            <rFont val="宋体"/>
            <family val="3"/>
            <charset val="134"/>
          </rPr>
          <t>技术部:</t>
        </r>
        <r>
          <rPr>
            <sz val="9"/>
            <rFont val="宋体"/>
            <family val="3"/>
            <charset val="134"/>
          </rPr>
          <t xml:space="preserve">
债务工具投资、权益工具投资、衍生金融资产、其他</t>
        </r>
      </text>
    </comment>
  </commentList>
</comments>
</file>

<file path=xl/comments4.xml><?xml version="1.0" encoding="utf-8"?>
<comments xmlns="http://schemas.openxmlformats.org/spreadsheetml/2006/main">
  <authors>
    <author>Windows 用户</author>
  </authors>
  <commentList>
    <comment ref="I12" authorId="0" shapeId="0">
      <text>
        <r>
          <rPr>
            <b/>
            <sz val="9"/>
            <rFont val="宋体"/>
            <family val="3"/>
            <charset val="134"/>
          </rPr>
          <t>技术部:</t>
        </r>
        <r>
          <rPr>
            <sz val="9"/>
            <rFont val="宋体"/>
            <family val="3"/>
            <charset val="134"/>
          </rPr>
          <t xml:space="preserve">
例如：投资的可回售工具（如开放式基金）、发行方仅在清算时才有义务向另一方按比例交付其净资产的金融工具。</t>
        </r>
      </text>
    </comment>
  </commentList>
</comments>
</file>

<file path=xl/comments5.xml><?xml version="1.0" encoding="utf-8"?>
<comments xmlns="http://schemas.openxmlformats.org/spreadsheetml/2006/main">
  <authors>
    <author>Windows 用户</author>
  </authors>
  <commentList>
    <comment ref="A2" authorId="0" shapeId="0">
      <text>
        <r>
          <rPr>
            <b/>
            <sz val="9"/>
            <rFont val="宋体"/>
            <family val="3"/>
            <charset val="134"/>
          </rPr>
          <t>Windows 用户:</t>
        </r>
        <r>
          <rPr>
            <sz val="9"/>
            <rFont val="宋体"/>
            <family val="3"/>
            <charset val="134"/>
          </rPr>
          <t xml:space="preserve">
修改为核查表</t>
        </r>
      </text>
    </comment>
  </commentList>
</comments>
</file>

<file path=xl/sharedStrings.xml><?xml version="1.0" encoding="utf-8"?>
<sst xmlns="http://schemas.openxmlformats.org/spreadsheetml/2006/main" count="1353" uniqueCount="883">
  <si>
    <t>底稿开列时，可先在以下单元格填写有关内容，以便其他底稿引用有关数据：</t>
  </si>
  <si>
    <t>序号</t>
  </si>
  <si>
    <t>内容</t>
  </si>
  <si>
    <t>索引号</t>
  </si>
  <si>
    <t>交易性金融资产实质性程序表</t>
  </si>
  <si>
    <t>G1A</t>
  </si>
  <si>
    <t>审定表</t>
  </si>
  <si>
    <t>G1-1</t>
  </si>
  <si>
    <t>附注披露信息（上市公司）</t>
  </si>
  <si>
    <t>无需打印</t>
  </si>
  <si>
    <t>附注披露信息（国企）</t>
  </si>
  <si>
    <t>明细表</t>
  </si>
  <si>
    <t>G1-2</t>
  </si>
  <si>
    <t>调整分录汇总</t>
  </si>
  <si>
    <t>G1-3</t>
  </si>
  <si>
    <t>期末结存表</t>
  </si>
  <si>
    <t>G1-4</t>
  </si>
  <si>
    <t>收益测算表</t>
  </si>
  <si>
    <t>G1-5</t>
  </si>
  <si>
    <t>公允价值测试表</t>
  </si>
  <si>
    <t>G1-6</t>
  </si>
  <si>
    <t>第三层次公允价值计量的调节表</t>
  </si>
  <si>
    <t>G1-7</t>
  </si>
  <si>
    <t>业务模式分析</t>
  </si>
  <si>
    <t>G1-8</t>
  </si>
  <si>
    <t>分类的适当性检查表</t>
  </si>
  <si>
    <t>G1-9</t>
  </si>
  <si>
    <t>合同现金流量特征分析</t>
  </si>
  <si>
    <t>G1-10</t>
  </si>
  <si>
    <t>有价证券监盘表</t>
  </si>
  <si>
    <t>G1-11</t>
  </si>
  <si>
    <t>有价证券盘点倒轧表</t>
  </si>
  <si>
    <t>G1-12</t>
  </si>
  <si>
    <t>检查表</t>
  </si>
  <si>
    <t>G1-13</t>
  </si>
  <si>
    <t>衍生金融工具核对表</t>
  </si>
  <si>
    <t>G1-14</t>
  </si>
  <si>
    <t>致同会计师事务所</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</si>
  <si>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</si>
  <si>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</si>
  <si>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一、本账户涉及的科目</t>
    </r>
  </si>
  <si>
    <t>交易性金融资产</t>
  </si>
  <si>
    <t>二、审计目标与认定的对应关系</t>
  </si>
  <si>
    <t>审计目标</t>
  </si>
  <si>
    <r>
      <rPr>
        <b/>
        <sz val="10"/>
        <rFont val="宋体"/>
        <family val="3"/>
        <charset val="134"/>
      </rPr>
      <t>财务报表的认定　</t>
    </r>
  </si>
  <si>
    <r>
      <rPr>
        <sz val="10"/>
        <rFont val="Arial Narrow"/>
        <family val="2"/>
      </rPr>
      <t>A.</t>
    </r>
    <r>
      <rPr>
        <sz val="10"/>
        <rFont val="宋体"/>
        <family val="3"/>
        <charset val="134"/>
      </rPr>
      <t>资产负债表中记录的交易性金融资产是存在的，且已记录于恰当的账户</t>
    </r>
  </si>
  <si>
    <t>存在</t>
  </si>
  <si>
    <r>
      <rPr>
        <sz val="10"/>
        <rFont val="Arial Narrow"/>
        <family val="2"/>
      </rPr>
      <t>B.</t>
    </r>
    <r>
      <rPr>
        <sz val="10"/>
        <rFont val="宋体"/>
        <family val="3"/>
        <charset val="134"/>
      </rPr>
      <t>所有应记录的交易性金融资产均已记录，所有应当包括在财务报表中的相关披露均已包括</t>
    </r>
  </si>
  <si>
    <t>完整性</t>
  </si>
  <si>
    <r>
      <rPr>
        <sz val="10"/>
        <rFont val="Arial Narrow"/>
        <family val="2"/>
      </rPr>
      <t>C.</t>
    </r>
    <r>
      <rPr>
        <sz val="10"/>
        <rFont val="宋体"/>
        <family val="3"/>
        <charset val="134"/>
      </rPr>
      <t>记录的交易性金融资产由被审计单位拥有或控制</t>
    </r>
  </si>
  <si>
    <t>权利和义务</t>
  </si>
  <si>
    <t>准确性、计价和分摊</t>
  </si>
  <si>
    <r>
      <rPr>
        <sz val="10"/>
        <rFont val="Arial Narrow"/>
        <family val="2"/>
      </rPr>
      <t>E.</t>
    </r>
    <r>
      <rPr>
        <sz val="10"/>
        <rFont val="宋体"/>
        <family val="3"/>
        <charset val="134"/>
      </rPr>
      <t>交易性金融资产已被恰当地汇总或分解且表述清楚，相关披露在按照企业会计准则的编制基础下是相关的、可理解的</t>
    </r>
  </si>
  <si>
    <t>列报</t>
  </si>
  <si>
    <t>三、审计目标与审计程序的对应关系</t>
  </si>
  <si>
    <r>
      <rPr>
        <b/>
        <sz val="10"/>
        <rFont val="宋体"/>
        <family val="3"/>
        <charset val="134"/>
      </rPr>
      <t>序号</t>
    </r>
  </si>
  <si>
    <r>
      <rPr>
        <b/>
        <sz val="10"/>
        <rFont val="宋体"/>
        <family val="3"/>
        <charset val="134"/>
      </rPr>
      <t>程序分类</t>
    </r>
  </si>
  <si>
    <t>财务报表的认定</t>
  </si>
  <si>
    <t>底稿索引号</t>
  </si>
  <si>
    <t>权利和
义务</t>
  </si>
  <si>
    <t>1</t>
  </si>
  <si>
    <t>获取或编制交易性金融资产的明细表，完成以下工作，并编制审定表
（1）复核加计是否正确，与总账、明细账合计数核对是否相符，将期初余额与上期期末余额核对；
（2）与上年明细项目进行比较，确定与上年分类相同；
（3）与应收利息、投资收益、公允价值变动损益等项目的变动进行核对，复核其勾稽关系；
（4）调查重大或者异常的调节项目，并与客户的适当人员讨论差异，考虑回复的可信度并确认相关解释，以及采取适当的措施；
（5）检查非记账本位币计量的交易性金融资产的折算汇率及折算是否正确。</t>
  </si>
  <si>
    <t>常规★</t>
  </si>
  <si>
    <t>√</t>
  </si>
  <si>
    <t>G1-1
/G1-2</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</si>
  <si>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</si>
  <si>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</si>
  <si>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
/G0-2
/</t>
  </si>
  <si>
    <t>3</t>
  </si>
  <si>
    <t>备选</t>
  </si>
  <si>
    <t>4</t>
  </si>
  <si>
    <t>根据实际情况，实施以下分析程序：
（1）获取增、减分析表，确定增加内容及减少方式、对损益的影响；
（2）复核年度交易性金融资产的总体合理性；对变化较大的项目或没有变动的项目进行复核，与被审计单位适当人员讨论原因，判断其存在的合理性，是否存在减值；
（3）结合交易性金融资产循环中投资收益的审计，计算年度金融资产循环收益占利润总额的比例，分析公司对金融资产循环收益的依赖程度，判断其盈利能力和稳定性。</t>
  </si>
  <si>
    <t>5</t>
  </si>
  <si>
    <t>确认交易性金融资产会计政策、会计处理是否合理并与前期一致，会计估计是否合理，实施以下程序：
（1）关注被审计单位管理金融工具的业务模式，并结合合同现金流量特征，分析管理层对债权投资的金融资产分类是否合理；
（2）与管理层讨论交易性金融资产分类是否符合企业会计准则，是否根据确定的分类选用了正确的核算方法；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t>
  </si>
  <si>
    <t>G1-1
/G1-2
/G1-7
/G1-8</t>
  </si>
  <si>
    <t>6</t>
  </si>
  <si>
    <t>获取股票、债券、期货、基金、衍生金融资产等账户对账单，与明细账余额核对，如有差异，应调查原因并考虑作出适当调整。</t>
  </si>
  <si>
    <t>7</t>
  </si>
  <si>
    <t>询问各项投资是否存在任何限制、抵押或留置权,检查有无变现存在重大限制的资产，如有，则查明情况，作出记录。</t>
  </si>
  <si>
    <t>G1-2
/G1-4</t>
  </si>
  <si>
    <t>8</t>
  </si>
  <si>
    <t>G1-2
/G1-12</t>
  </si>
  <si>
    <t>9</t>
  </si>
  <si>
    <t>关注单独的重大金融资产转移或处置，考虑实施以下程序：
（1）获取本期减少的金融资产投资的合约、协议、中介机构报告等（若适用），查验金融资产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（2）对本期减少中的特定项目进行以下测试：检查非货币性资产交换、债务重组、企业合并、投资等发生金融资产转移的会计处理是否正确；
（3）重新计算相关的利得或损失；
（4）关注处置日期是否记录恰当，会计处理是否恰当。</t>
  </si>
  <si>
    <t>G1-2
/G1-11</t>
  </si>
  <si>
    <t>10</t>
  </si>
  <si>
    <t>对于本期发生的金融资产重新分类，询问管理层，了解报告期是否存在业务模式变更.金融工具准则指出，金融资产业务模式变更属于极其少见的情形，只有当企业开始或终止某项对其经营影响重大的活动时（例如当企业收购、处置或终止某一业务线时），其管理金融资产的业务模式才会发生变更。如存在，需要获取相关重大交易的会议纪要、批准文件、合同等作为审计证据。</t>
  </si>
  <si>
    <t xml:space="preserve">G1-7
/G1-8
</t>
  </si>
  <si>
    <t>11</t>
  </si>
  <si>
    <t>针对公允价值计量的投资，复核交易性金融资产计价方法，检查其是否按公允价值计量，前后期是否一致；复核公允价值取得依据是否充分；复核计算持有期间的投资收益；检查会计处理是否正确。若选择利用专家工作的审计程序，参考“S12利用专家的工作”相关程序执行</t>
  </si>
  <si>
    <t>G1-5/G1-6</t>
  </si>
  <si>
    <t>12</t>
  </si>
  <si>
    <t>对库存证券，执行监盘程序：
（1）观察证券，将观察的证券与与投资明细核对一致，如有差异，查明原因，并作出恰当处理；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</si>
  <si>
    <t>G1-10
/G1-11</t>
  </si>
  <si>
    <t>13</t>
  </si>
  <si>
    <t>对于衍生金融工具，执行以下程序：
（1）复核衍生金融工具交易对手的信用状况，确定衍生金融资产的交易对手能够履行他们的合同义务；
（2）检查贷款或权益、投资协议、销售合同等，了解其中是否包含嵌入衍生金融工具；
（3）阅读治理层的会议纪要，以及治理层收到的与衍生活动相关的文件和报告等其他信息；
（4）确定金融工具的会计处理是合理的，估值结果是恰当的；
（5）确定是否应引入估值专家，以协助评价该企业估值专家对该金融工具的估值工作。若选择利用专家工作的审计程序，参考“S12利用专家的工作”相关程序执行。</t>
  </si>
  <si>
    <t>14</t>
  </si>
  <si>
    <t>关注资产负债表日后事项，新增、售出、兑换、处置、收回或偿付的大额出售或购买交易，确认是否被记录在恰当时期内；检查报表日后的证券处置是否出现亏损，如果确认亏损，确定这些亏损是否应该记录在报表期。</t>
  </si>
  <si>
    <t>15</t>
  </si>
  <si>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</si>
  <si>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G0</t>
  </si>
  <si>
    <t>16</t>
  </si>
  <si>
    <r>
      <rPr>
        <sz val="10"/>
        <color theme="1"/>
        <rFont val="宋体"/>
        <family val="3"/>
        <charset val="134"/>
      </rPr>
      <t xml:space="preserve">检查关联方交易：
（1）了解关联交易的商业理由、交易事项的目的、价格和条件，考虑对关联方交易性金融资产的合理性、合法性；
</t>
    </r>
    <r>
      <rPr>
        <sz val="10"/>
        <rFont val="宋体"/>
        <family val="3"/>
        <charset val="134"/>
      </rPr>
      <t>（2）检查对关联方交易性金融资产的真实性相关的支持性文件、检查会计处理是否正确；
（3）考虑向关联方或其他注册会计师函证重大的关联交易和余额（包括担保和其他重要信息）；</t>
    </r>
    <r>
      <rPr>
        <sz val="10"/>
        <color theme="1"/>
        <rFont val="宋体"/>
        <family val="3"/>
        <charset val="134"/>
      </rPr>
      <t xml:space="preserve">
（4）必要时，向与交易相关的人员和机构函证或与其讨论有关信息；
（5）考虑是否存在未识别的关联方，关联交易和余额披露是否正确。</t>
    </r>
  </si>
  <si>
    <t>17</t>
  </si>
  <si>
    <r>
      <rPr>
        <sz val="10"/>
        <color theme="1"/>
        <rFont val="宋体"/>
        <family val="3"/>
        <charset val="134"/>
      </rPr>
      <t>根据评估的舞弊风险等因素增加的审计程序。</t>
    </r>
  </si>
  <si>
    <t>IPO/上市/新三板/重组/舞弊应对</t>
  </si>
  <si>
    <t>18</t>
  </si>
  <si>
    <t>检查交易性金融资产是否已按企业会计准则或其他适用的规定在财务报表中做出恰当列报和披露。</t>
  </si>
  <si>
    <t>A1-1</t>
  </si>
  <si>
    <t>索引号：</t>
  </si>
  <si>
    <t>B</t>
  </si>
  <si>
    <t>A</t>
  </si>
  <si>
    <t>应计利息</t>
  </si>
  <si>
    <t>C</t>
  </si>
  <si>
    <t>交易性金融资产审定表</t>
  </si>
  <si>
    <t>项目</t>
  </si>
  <si>
    <r>
      <rPr>
        <b/>
        <sz val="10"/>
        <rFont val="宋体"/>
        <family val="3"/>
        <charset val="134"/>
      </rPr>
      <t>期初数</t>
    </r>
  </si>
  <si>
    <r>
      <rPr>
        <b/>
        <sz val="10"/>
        <rFont val="宋体"/>
        <family val="3"/>
        <charset val="134"/>
      </rPr>
      <t>期末数</t>
    </r>
  </si>
  <si>
    <t>本期与上期审定数比较</t>
  </si>
  <si>
    <r>
      <rPr>
        <b/>
        <sz val="10"/>
        <color indexed="8"/>
        <rFont val="宋体"/>
        <family val="3"/>
        <charset val="134"/>
      </rPr>
      <t>原因分析</t>
    </r>
  </si>
  <si>
    <r>
      <rPr>
        <b/>
        <sz val="10"/>
        <rFont val="宋体"/>
        <family val="3"/>
        <charset val="134"/>
      </rPr>
      <t>未审数</t>
    </r>
  </si>
  <si>
    <r>
      <rPr>
        <b/>
        <sz val="10"/>
        <rFont val="宋体"/>
        <family val="3"/>
        <charset val="134"/>
      </rPr>
      <t>账项调整</t>
    </r>
  </si>
  <si>
    <r>
      <rPr>
        <b/>
        <sz val="10"/>
        <rFont val="宋体"/>
        <family val="3"/>
        <charset val="134"/>
      </rPr>
      <t>审定数</t>
    </r>
  </si>
  <si>
    <r>
      <rPr>
        <b/>
        <sz val="10"/>
        <rFont val="宋体"/>
        <family val="3"/>
        <charset val="134"/>
      </rPr>
      <t>变动额</t>
    </r>
  </si>
  <si>
    <r>
      <rPr>
        <b/>
        <sz val="10"/>
        <color indexed="8"/>
        <rFont val="宋体"/>
        <family val="3"/>
        <charset val="134"/>
      </rPr>
      <t>变动率</t>
    </r>
  </si>
  <si>
    <t>（一）投资成本</t>
  </si>
  <si>
    <t>其中：债务工具投资</t>
  </si>
  <si>
    <t xml:space="preserve">     权益工具投资</t>
  </si>
  <si>
    <t xml:space="preserve">     衍生金融资产</t>
  </si>
  <si>
    <t xml:space="preserve">     理财产品</t>
  </si>
  <si>
    <t xml:space="preserve">     结构性存款</t>
  </si>
  <si>
    <t xml:space="preserve">     基金</t>
  </si>
  <si>
    <t xml:space="preserve">     其他</t>
  </si>
  <si>
    <t>划分为以公允价值计量且其变动计入当期损益的金融资产</t>
  </si>
  <si>
    <t>指定为以公允价值计量且其变动计入当期损益的金融资产</t>
  </si>
  <si>
    <t>投资成本小计</t>
  </si>
  <si>
    <t>（二）累计公允价值变动</t>
  </si>
  <si>
    <t>公允价值变动小计</t>
  </si>
  <si>
    <t>（三）账面余额（公允价值）</t>
  </si>
  <si>
    <r>
      <rPr>
        <b/>
        <sz val="10"/>
        <color indexed="8"/>
        <rFont val="宋体"/>
        <family val="3"/>
        <charset val="134"/>
      </rPr>
      <t>小计</t>
    </r>
  </si>
  <si>
    <t>减：超过一年到期的部分</t>
  </si>
  <si>
    <t>账面余额（公允价值）合计</t>
  </si>
  <si>
    <t>试算平衡表数</t>
  </si>
  <si>
    <t>差异数</t>
  </si>
  <si>
    <r>
      <rPr>
        <b/>
        <sz val="10"/>
        <rFont val="Arial Narrow"/>
        <family val="2"/>
      </rPr>
      <t>1</t>
    </r>
    <r>
      <rPr>
        <b/>
        <sz val="10"/>
        <rFont val="宋体"/>
        <family val="3"/>
        <charset val="134"/>
      </rPr>
      <t>、审计说明</t>
    </r>
  </si>
  <si>
    <r>
      <rPr>
        <sz val="10"/>
        <rFont val="宋体"/>
        <family val="3"/>
        <charset val="134"/>
      </rPr>
      <t>（</t>
    </r>
    <r>
      <rPr>
        <sz val="10"/>
        <rFont val="Arial Narrow"/>
        <family val="2"/>
      </rPr>
      <t>1</t>
    </r>
    <r>
      <rPr>
        <sz val="10"/>
        <rFont val="宋体"/>
        <family val="3"/>
        <charset val="134"/>
      </rPr>
      <t>）交易性金融资产本期较上期增加（负数为减少）：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</si>
  <si>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</si>
  <si>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</si>
  <si>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</si>
  <si>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提示：第一项“交易性金融资产”和第二项“划分为以公允价值计量且其变动计入当期损益的金融资产”，在财务报表附注披露中，合并披露为“划分为以公允价值计量且其变动计入当期损益的金融资产”</t>
  </si>
  <si>
    <t>编制说明【非打印内容】</t>
  </si>
  <si>
    <r>
      <rPr>
        <sz val="10"/>
        <rFont val="宋体"/>
        <family val="3"/>
        <charset val="134"/>
      </rPr>
      <t>金融资产或金融负债满足下列条件之一的，表明企业持有该金融资产或承担该金融负债的目的是交易性的：</t>
    </r>
  </si>
  <si>
    <r>
      <rPr>
        <sz val="10"/>
        <rFont val="宋体"/>
        <family val="3"/>
        <charset val="134"/>
      </rPr>
      <t>（一）取得相关金融资产或承担相关金融负债的目的，主要是为了近期出售或回购。</t>
    </r>
  </si>
  <si>
    <r>
      <rPr>
        <sz val="10"/>
        <rFont val="宋体"/>
        <family val="3"/>
        <charset val="134"/>
      </rPr>
      <t>（二）相关金融资产或金融负债在初始确认时属于集中管理的可辨认金融工具组合的一部分，且有客观证据表明近期实际存在短期获利模式。</t>
    </r>
    <r>
      <rPr>
        <sz val="10"/>
        <rFont val="Arial Narrow"/>
        <family val="2"/>
      </rPr>
      <t xml:space="preserve"> </t>
    </r>
  </si>
  <si>
    <t>（三）相关金融资产或金融负债属于衍生工具。但符合财务担保合同定义的衍生工具以及被指定为有效套期工具的衍生工具除外。</t>
  </si>
  <si>
    <r>
      <rPr>
        <sz val="10"/>
        <rFont val="宋体"/>
        <family val="3"/>
        <charset val="134"/>
      </rPr>
      <t>债务工具投资</t>
    </r>
    <r>
      <rPr>
        <sz val="10"/>
        <rFont val="Arial Narrow"/>
        <family val="2"/>
      </rPr>
      <t>/</t>
    </r>
    <r>
      <rPr>
        <sz val="10"/>
        <rFont val="宋体"/>
        <family val="3"/>
        <charset val="134"/>
      </rPr>
      <t>权益工具投资</t>
    </r>
  </si>
  <si>
    <r>
      <rPr>
        <sz val="10"/>
        <rFont val="宋体"/>
        <family val="3"/>
        <charset val="134"/>
      </rPr>
      <t>持有方在判断持有的金融资产是否属于权益工具投资时，应当遵循第</t>
    </r>
    <r>
      <rPr>
        <sz val="10"/>
        <rFont val="Arial Narrow"/>
        <family val="2"/>
      </rPr>
      <t>22</t>
    </r>
    <r>
      <rPr>
        <sz val="10"/>
        <rFont val="宋体"/>
        <family val="3"/>
        <charset val="134"/>
      </rPr>
      <t>号准则和第</t>
    </r>
    <r>
      <rPr>
        <sz val="10"/>
        <rFont val="Arial Narrow"/>
        <family val="2"/>
      </rPr>
      <t>37</t>
    </r>
    <r>
      <rPr>
        <sz val="10"/>
        <rFont val="宋体"/>
        <family val="3"/>
        <charset val="134"/>
      </rPr>
      <t>号准则的相关规定。</t>
    </r>
  </si>
  <si>
    <r>
      <rPr>
        <sz val="10"/>
        <rFont val="仿宋_GB2312"/>
        <family val="3"/>
        <charset val="134"/>
      </rPr>
      <t>索引号：</t>
    </r>
  </si>
  <si>
    <r>
      <rPr>
        <sz val="10"/>
        <rFont val="仿宋_GB2312"/>
        <family val="3"/>
        <charset val="134"/>
      </rPr>
      <t>页次：</t>
    </r>
  </si>
  <si>
    <r>
      <rPr>
        <sz val="12"/>
        <rFont val="仿宋_GB2312"/>
        <family val="3"/>
        <charset val="134"/>
      </rPr>
      <t>附注披露信息</t>
    </r>
  </si>
  <si>
    <r>
      <rPr>
        <b/>
        <sz val="12"/>
        <rFont val="仿宋_GB2312"/>
        <family val="3"/>
        <charset val="134"/>
      </rPr>
      <t>项</t>
    </r>
    <r>
      <rPr>
        <b/>
        <sz val="12"/>
        <rFont val="Arial Narrow"/>
        <family val="2"/>
      </rPr>
      <t xml:space="preserve">  </t>
    </r>
    <r>
      <rPr>
        <b/>
        <sz val="12"/>
        <rFont val="仿宋_GB2312"/>
        <family val="3"/>
        <charset val="134"/>
      </rPr>
      <t>目</t>
    </r>
  </si>
  <si>
    <t>期末余额</t>
  </si>
  <si>
    <t>上年年末余额</t>
  </si>
  <si>
    <t>以公允价值计量且其变动计入当期损益的金融资产</t>
  </si>
  <si>
    <r>
      <rPr>
        <sz val="12"/>
        <rFont val="Arial Narrow"/>
        <family val="2"/>
      </rPr>
      <t xml:space="preserve">  </t>
    </r>
    <r>
      <rPr>
        <sz val="12"/>
        <rFont val="仿宋_GB2312"/>
        <family val="3"/>
        <charset val="134"/>
      </rPr>
      <t>其中：债务工具投资</t>
    </r>
  </si>
  <si>
    <r>
      <rPr>
        <sz val="12"/>
        <rFont val="Arial Narrow"/>
        <family val="2"/>
      </rPr>
      <t xml:space="preserve">              </t>
    </r>
    <r>
      <rPr>
        <sz val="12"/>
        <rFont val="仿宋_GB2312"/>
        <family val="3"/>
        <charset val="134"/>
      </rPr>
      <t>权益工具投资</t>
    </r>
  </si>
  <si>
    <r>
      <rPr>
        <sz val="12"/>
        <rFont val="Arial Narrow"/>
        <family val="2"/>
      </rPr>
      <t xml:space="preserve">              </t>
    </r>
    <r>
      <rPr>
        <sz val="12"/>
        <rFont val="仿宋_GB2312"/>
        <family val="3"/>
        <charset val="134"/>
      </rPr>
      <t>衍生金融资产</t>
    </r>
  </si>
  <si>
    <r>
      <rPr>
        <sz val="12"/>
        <rFont val="Arial Narrow"/>
        <family val="2"/>
      </rPr>
      <t xml:space="preserve">              </t>
    </r>
    <r>
      <rPr>
        <sz val="12"/>
        <rFont val="仿宋_GB2312"/>
        <family val="3"/>
        <charset val="134"/>
      </rPr>
      <t>理财产品</t>
    </r>
  </si>
  <si>
    <r>
      <rPr>
        <sz val="12"/>
        <rFont val="Arial Narrow"/>
        <family val="2"/>
      </rPr>
      <t xml:space="preserve">              </t>
    </r>
    <r>
      <rPr>
        <sz val="12"/>
        <rFont val="仿宋_GB2312"/>
        <family val="3"/>
        <charset val="134"/>
      </rPr>
      <t>结构性存款</t>
    </r>
  </si>
  <si>
    <r>
      <rPr>
        <sz val="12"/>
        <rFont val="Arial Narrow"/>
        <family val="2"/>
      </rPr>
      <t xml:space="preserve">              </t>
    </r>
    <r>
      <rPr>
        <sz val="12"/>
        <rFont val="仿宋_GB2312"/>
        <family val="3"/>
        <charset val="134"/>
      </rPr>
      <t>基金</t>
    </r>
  </si>
  <si>
    <r>
      <rPr>
        <sz val="12"/>
        <rFont val="Arial Narrow"/>
        <family val="2"/>
      </rPr>
      <t xml:space="preserve">              </t>
    </r>
    <r>
      <rPr>
        <sz val="12"/>
        <rFont val="仿宋_GB2312"/>
        <family val="3"/>
        <charset val="134"/>
      </rPr>
      <t>其他（如或有对价）</t>
    </r>
  </si>
  <si>
    <r>
      <rPr>
        <sz val="12"/>
        <rFont val="Arial Narrow"/>
        <family val="2"/>
      </rPr>
      <t xml:space="preserve">              </t>
    </r>
    <r>
      <rPr>
        <sz val="12"/>
        <rFont val="仿宋_GB2312"/>
        <family val="3"/>
        <charset val="134"/>
      </rPr>
      <t>其他</t>
    </r>
  </si>
  <si>
    <r>
      <rPr>
        <b/>
        <sz val="12"/>
        <rFont val="仿宋_GB2312"/>
        <family val="3"/>
        <charset val="134"/>
      </rPr>
      <t>合</t>
    </r>
    <r>
      <rPr>
        <b/>
        <sz val="12"/>
        <rFont val="Arial Narrow"/>
        <family val="2"/>
      </rPr>
      <t xml:space="preserve">  </t>
    </r>
    <r>
      <rPr>
        <b/>
        <sz val="12"/>
        <rFont val="仿宋_GB2312"/>
        <family val="3"/>
        <charset val="134"/>
      </rPr>
      <t>计</t>
    </r>
  </si>
  <si>
    <t>【对于指定为以公允价值计量且其变动计入当期损益的金融资产，披露指定的理由和依据。（15号文第十九条（二）】</t>
  </si>
  <si>
    <r>
      <rPr>
        <sz val="12"/>
        <color rgb="FF0000FF"/>
        <rFont val="宋体"/>
        <family val="3"/>
        <charset val="134"/>
      </rPr>
      <t>【提示：</t>
    </r>
    <r>
      <rPr>
        <sz val="12"/>
        <color rgb="FF0000FF"/>
        <rFont val="宋体"/>
        <family val="3"/>
        <charset val="134"/>
        <scheme val="minor"/>
      </rPr>
      <t>结构性存款的收益若与利率、汇率等指数或者与某实体的信用等级挂钩，不满足合同现金流量测试，企业应当将其分类为以公允价值计量且其变动计入当期损益的金融资产，记入“交易性金融资产”科目。。】</t>
    </r>
  </si>
  <si>
    <r>
      <rPr>
        <sz val="12"/>
        <rFont val="仿宋_GB2312"/>
        <family val="3"/>
        <charset val="134"/>
      </rPr>
      <t>说明：</t>
    </r>
    <r>
      <rPr>
        <sz val="12"/>
        <rFont val="Arial Narrow"/>
        <family val="2"/>
      </rPr>
      <t xml:space="preserve"> </t>
    </r>
  </si>
  <si>
    <r>
      <rPr>
        <sz val="12"/>
        <rFont val="Arial Narrow"/>
        <family val="2"/>
      </rPr>
      <t>X</t>
    </r>
    <r>
      <rPr>
        <sz val="12"/>
        <rFont val="仿宋_GB2312"/>
        <family val="3"/>
        <charset val="134"/>
      </rPr>
      <t>、衍生金融资产</t>
    </r>
  </si>
  <si>
    <r>
      <rPr>
        <sz val="12"/>
        <color rgb="FF0000FF"/>
        <rFont val="仿宋_GB2312"/>
        <family val="3"/>
        <charset val="134"/>
      </rPr>
      <t>（提示：企业衍生金融工具业务具有重要性的，单独披露衍生金融资产。）</t>
    </r>
  </si>
  <si>
    <r>
      <rPr>
        <sz val="12"/>
        <color rgb="FF0000FF"/>
        <rFont val="仿宋_GB2312"/>
        <family val="3"/>
        <charset val="134"/>
      </rPr>
      <t>（</t>
    </r>
    <r>
      <rPr>
        <sz val="12"/>
        <color rgb="FF0000FF"/>
        <rFont val="Arial Narrow"/>
        <family val="2"/>
      </rPr>
      <t>15</t>
    </r>
    <r>
      <rPr>
        <sz val="12"/>
        <color rgb="FF0000FF"/>
        <rFont val="仿宋_GB2312"/>
        <family val="3"/>
        <charset val="134"/>
      </rPr>
      <t>号文第十九条（三），分类列示衍生金融资产期初余额、期末余额，披露其产生的原因以及相关会计处理。）</t>
    </r>
  </si>
  <si>
    <t>项  目</t>
  </si>
  <si>
    <r>
      <rPr>
        <sz val="12"/>
        <color rgb="FF000000"/>
        <rFont val="仿宋_GB2312"/>
        <family val="3"/>
        <charset val="134"/>
      </rPr>
      <t>说明：（</t>
    </r>
    <r>
      <rPr>
        <sz val="12"/>
        <color rgb="FF0000FF"/>
        <rFont val="宋体"/>
        <family val="3"/>
        <charset val="134"/>
        <scheme val="minor"/>
      </rPr>
      <t>【披露衍生金融资产产生的原因以及相关会计处理。15号文第十九条（三）】。）</t>
    </r>
  </si>
  <si>
    <t>公允价值</t>
  </si>
  <si>
    <t>按照在公允价值计量中对计量整体具有重大意义的最低层次的输入值，公允价值层次可分为：</t>
  </si>
  <si>
    <t>第一层次：相同资产或负债在活跃市场中的报价（未经调整的）。</t>
  </si>
  <si>
    <t>第二层次：直接（即价格）或间接（即从价格推导出）地使用除第一层次中的资产或负债的市场报价之外的可观察输入值。</t>
  </si>
  <si>
    <t>第三层次：资产或负债使用了任何非基于可观察市场数据的输入值（不可观察输入值）。</t>
  </si>
  <si>
    <r>
      <rPr>
        <sz val="12"/>
        <color theme="1"/>
        <rFont val="仿宋_GB2312"/>
        <family val="3"/>
        <charset val="134"/>
      </rPr>
      <t>（</t>
    </r>
    <r>
      <rPr>
        <sz val="12"/>
        <color theme="1"/>
        <rFont val="Arial Narrow"/>
        <family val="2"/>
      </rPr>
      <t>1</t>
    </r>
    <r>
      <rPr>
        <sz val="12"/>
        <color theme="1"/>
        <rFont val="仿宋_GB2312"/>
        <family val="3"/>
        <charset val="134"/>
      </rPr>
      <t>）以公允价值计量的项目和金额</t>
    </r>
  </si>
  <si>
    <r>
      <rPr>
        <sz val="12"/>
        <color theme="1"/>
        <rFont val="仿宋_GB2312"/>
        <family val="3"/>
        <charset val="134"/>
      </rPr>
      <t>期末，以公允价值计量的资产及负债按上述三个层次列示如下：</t>
    </r>
    <r>
      <rPr>
        <sz val="12"/>
        <color rgb="FF0000FF"/>
        <rFont val="仿宋_GB2312"/>
        <family val="3"/>
        <charset val="134"/>
      </rPr>
      <t>（不适用的项目请删除）</t>
    </r>
  </si>
  <si>
    <r>
      <rPr>
        <b/>
        <sz val="10.5"/>
        <color theme="1"/>
        <rFont val="仿宋_GB2312"/>
        <family val="3"/>
        <charset val="134"/>
      </rPr>
      <t>项</t>
    </r>
    <r>
      <rPr>
        <b/>
        <sz val="10.5"/>
        <color theme="1"/>
        <rFont val="Arial Narrow"/>
        <family val="2"/>
      </rPr>
      <t xml:space="preserve">  </t>
    </r>
    <r>
      <rPr>
        <b/>
        <sz val="10.5"/>
        <color theme="1"/>
        <rFont val="仿宋_GB2312"/>
        <family val="3"/>
        <charset val="134"/>
      </rPr>
      <t>目</t>
    </r>
  </si>
  <si>
    <t>第一层次公允价值计量</t>
  </si>
  <si>
    <t>第二层次公允价值计量</t>
  </si>
  <si>
    <t>第三层次公允价值计量</t>
  </si>
  <si>
    <t>合计</t>
  </si>
  <si>
    <t>一、持续的公允价值计量</t>
  </si>
  <si>
    <t>（一）交易性金融资产</t>
  </si>
  <si>
    <r>
      <rPr>
        <sz val="10.5"/>
        <color theme="1"/>
        <rFont val="Arial Narrow"/>
        <family val="2"/>
      </rPr>
      <t xml:space="preserve">1. </t>
    </r>
    <r>
      <rPr>
        <sz val="10.5"/>
        <color theme="1"/>
        <rFont val="仿宋_GB2312"/>
        <family val="3"/>
        <charset val="134"/>
      </rPr>
      <t>债务工具投资</t>
    </r>
  </si>
  <si>
    <r>
      <rPr>
        <sz val="10.5"/>
        <color theme="1"/>
        <rFont val="Arial Narrow"/>
        <family val="2"/>
      </rPr>
      <t xml:space="preserve">2. </t>
    </r>
    <r>
      <rPr>
        <sz val="10.5"/>
        <color theme="1"/>
        <rFont val="仿宋_GB2312"/>
        <family val="3"/>
        <charset val="134"/>
      </rPr>
      <t>权益工具投资</t>
    </r>
  </si>
  <si>
    <r>
      <rPr>
        <sz val="10.5"/>
        <color theme="1"/>
        <rFont val="Arial Narrow"/>
        <family val="2"/>
      </rPr>
      <t xml:space="preserve">3. </t>
    </r>
    <r>
      <rPr>
        <sz val="10.5"/>
        <color theme="1"/>
        <rFont val="仿宋_GB2312"/>
        <family val="3"/>
        <charset val="134"/>
      </rPr>
      <t>指定为以公允价值计量且其变动计入当期损益的金融资产</t>
    </r>
  </si>
  <si>
    <r>
      <rPr>
        <sz val="10.5"/>
        <color theme="1"/>
        <rFont val="Arial Narrow"/>
        <family val="2"/>
      </rPr>
      <t>4.</t>
    </r>
    <r>
      <rPr>
        <sz val="10.5"/>
        <color theme="1"/>
        <rFont val="仿宋_GB2312"/>
        <family val="3"/>
        <charset val="134"/>
      </rPr>
      <t>其他</t>
    </r>
  </si>
  <si>
    <t>（二）衍生金融资产</t>
  </si>
  <si>
    <t>（三）应收款项融资</t>
  </si>
  <si>
    <t>--</t>
  </si>
  <si>
    <t>（四）一年内到期的非流动资产</t>
  </si>
  <si>
    <t>（五）其他债权投资</t>
  </si>
  <si>
    <t>（六）其他权益工具投资</t>
  </si>
  <si>
    <t>（七）其他非流动金融资产</t>
  </si>
  <si>
    <t>（八）投资性房地产</t>
  </si>
  <si>
    <r>
      <rPr>
        <sz val="10.5"/>
        <color theme="1"/>
        <rFont val="Arial Narrow"/>
        <family val="2"/>
      </rPr>
      <t xml:space="preserve">1. </t>
    </r>
    <r>
      <rPr>
        <sz val="10.5"/>
        <color theme="1"/>
        <rFont val="仿宋_GB2312"/>
        <family val="3"/>
        <charset val="134"/>
      </rPr>
      <t>出租的土地使用权</t>
    </r>
  </si>
  <si>
    <r>
      <rPr>
        <sz val="10.5"/>
        <color theme="1"/>
        <rFont val="Arial Narrow"/>
        <family val="2"/>
      </rPr>
      <t xml:space="preserve">2. </t>
    </r>
    <r>
      <rPr>
        <sz val="10.5"/>
        <color theme="1"/>
        <rFont val="仿宋_GB2312"/>
        <family val="3"/>
        <charset val="134"/>
      </rPr>
      <t>出租的建筑物</t>
    </r>
  </si>
  <si>
    <r>
      <rPr>
        <sz val="10.5"/>
        <color theme="1"/>
        <rFont val="Arial Narrow"/>
        <family val="2"/>
      </rPr>
      <t xml:space="preserve">3. </t>
    </r>
    <r>
      <rPr>
        <sz val="10.5"/>
        <color theme="1"/>
        <rFont val="仿宋_GB2312"/>
        <family val="3"/>
        <charset val="134"/>
      </rPr>
      <t>持有并准备增值后转让的土地使用权</t>
    </r>
  </si>
  <si>
    <t>（九）生物资产</t>
  </si>
  <si>
    <r>
      <rPr>
        <sz val="10.5"/>
        <color theme="1"/>
        <rFont val="Arial Narrow"/>
        <family val="2"/>
      </rPr>
      <t xml:space="preserve">1. </t>
    </r>
    <r>
      <rPr>
        <sz val="10.5"/>
        <color theme="1"/>
        <rFont val="仿宋_GB2312"/>
        <family val="3"/>
        <charset val="134"/>
      </rPr>
      <t>消耗性生物资产</t>
    </r>
  </si>
  <si>
    <r>
      <rPr>
        <sz val="10.5"/>
        <color theme="1"/>
        <rFont val="Arial Narrow"/>
        <family val="2"/>
      </rPr>
      <t xml:space="preserve">2. </t>
    </r>
    <r>
      <rPr>
        <sz val="10.5"/>
        <color theme="1"/>
        <rFont val="仿宋_GB2312"/>
        <family val="3"/>
        <charset val="134"/>
      </rPr>
      <t>生产性生物资产</t>
    </r>
  </si>
  <si>
    <t>持续以公允价值计量的资产总额</t>
  </si>
  <si>
    <t>（十）交易性金融负债</t>
  </si>
  <si>
    <r>
      <rPr>
        <sz val="10.5"/>
        <color theme="1"/>
        <rFont val="Arial Narrow"/>
        <family val="2"/>
      </rPr>
      <t xml:space="preserve">1. </t>
    </r>
    <r>
      <rPr>
        <sz val="10.5"/>
        <color theme="1"/>
        <rFont val="仿宋_GB2312"/>
        <family val="3"/>
        <charset val="134"/>
      </rPr>
      <t>指定为以公允价值计量且其变动计入当期损益的金融负债</t>
    </r>
  </si>
  <si>
    <r>
      <rPr>
        <sz val="10.5"/>
        <color theme="1"/>
        <rFont val="Arial Narrow"/>
        <family val="2"/>
      </rPr>
      <t>2.</t>
    </r>
    <r>
      <rPr>
        <sz val="10.5"/>
        <color theme="1"/>
        <rFont val="仿宋_GB2312"/>
        <family val="3"/>
        <charset val="134"/>
      </rPr>
      <t>其他</t>
    </r>
  </si>
  <si>
    <t>（十一）衍生金融负债</t>
  </si>
  <si>
    <t>持续以公允价值计量的负债总额</t>
  </si>
  <si>
    <t>二、非持续的公允价值计量</t>
  </si>
  <si>
    <t>持有待售资产</t>
  </si>
  <si>
    <t>非持续以公允价值计量的资产总额</t>
  </si>
  <si>
    <t>非持续以公允价值计量的负债总额</t>
  </si>
  <si>
    <r>
      <rPr>
        <sz val="12"/>
        <color rgb="FF0000FF"/>
        <rFont val="仿宋_GB2312"/>
        <family val="3"/>
        <charset val="134"/>
      </rPr>
      <t>【提示：证监会《</t>
    </r>
    <r>
      <rPr>
        <sz val="12"/>
        <color rgb="FF0000FF"/>
        <rFont val="Arial Narrow"/>
        <family val="2"/>
      </rPr>
      <t xml:space="preserve">2014 </t>
    </r>
    <r>
      <rPr>
        <sz val="12"/>
        <color rgb="FF0000FF"/>
        <rFont val="仿宋_GB2312"/>
        <family val="3"/>
        <charset val="134"/>
      </rPr>
      <t>年上市公司年报会计监管报告》，非持续的公允价值计量包括：持有待售资产、非同一控制下的企业合并中取得的被购买方各项可辨认资产、负债及或有负债等。】</t>
    </r>
  </si>
  <si>
    <r>
      <rPr>
        <sz val="12"/>
        <color rgb="FFFF0000"/>
        <rFont val="仿宋_GB2312"/>
        <family val="3"/>
        <charset val="134"/>
      </rPr>
      <t>本公司以导致各层次之间转换的事项发生日为确认各层次之间转换的时点。本年度，本公司持有的股票投资</t>
    </r>
    <r>
      <rPr>
        <sz val="12"/>
        <color rgb="FFFF0000"/>
        <rFont val="Arial Narrow"/>
        <family val="2"/>
      </rPr>
      <t>XX</t>
    </r>
    <r>
      <rPr>
        <sz val="12"/>
        <color rgb="FFFF0000"/>
        <rFont val="仿宋_GB2312"/>
        <family val="3"/>
        <charset val="134"/>
      </rPr>
      <t>公司已结束限售期，因此该其他权益工具投资的公允价值计量从第二层次转换到第一层次；除该其他权益工具投资以外，本公司的其他金融资产及金融负债的公允价值计量未发生第一层次和第二层次之间的转换，亦无转入或转出第三层次的情况。（或</t>
    </r>
    <r>
      <rPr>
        <sz val="12"/>
        <color rgb="FFFF0000"/>
        <rFont val="Arial Narrow"/>
        <family val="2"/>
      </rPr>
      <t xml:space="preserve"> </t>
    </r>
    <r>
      <rPr>
        <sz val="12"/>
        <color rgb="FFFF0000"/>
        <rFont val="仿宋_GB2312"/>
        <family val="3"/>
        <charset val="134"/>
      </rPr>
      <t>本年度，本公司的金融资产及金融负债的公允价值计量未发生第一层次和第二层次之间的转换，亦无转入或转出第三层次的情况。）</t>
    </r>
  </si>
  <si>
    <t>对于在活跃市场上交易的金融工具，本公司以其活跃市场报价确定其公允价值；对于不在活跃市场上交易的金融工具，本公司采用估值技术确定其公允价值。所使用的估值模型主要为现金流量折现模型和市场可比公司模型等。估值技术的输入值主要包括无风险利率、基准利率、汇率、信用点差、流动性溢价、缺乏流动性折扣等。</t>
  </si>
  <si>
    <t>（当非金融资产的最佳用途与其当前用途不同时，企业应当披露这一事实及其原因）</t>
  </si>
  <si>
    <t>（若估值技术发生变更，还需披露估值技术变更及变更原因）</t>
  </si>
  <si>
    <r>
      <rPr>
        <sz val="12"/>
        <color theme="1"/>
        <rFont val="仿宋_GB2312"/>
        <family val="3"/>
        <charset val="134"/>
      </rPr>
      <t>（</t>
    </r>
    <r>
      <rPr>
        <sz val="12"/>
        <color theme="1"/>
        <rFont val="Arial Narrow"/>
        <family val="2"/>
      </rPr>
      <t>2</t>
    </r>
    <r>
      <rPr>
        <sz val="12"/>
        <color theme="1"/>
        <rFont val="仿宋_GB2312"/>
        <family val="3"/>
        <charset val="134"/>
      </rPr>
      <t>）第二层次公允价值计量的相关信息</t>
    </r>
    <r>
      <rPr>
        <sz val="12"/>
        <color rgb="FF0000FF"/>
        <rFont val="仿宋_GB2312"/>
        <family val="3"/>
        <charset val="134"/>
      </rPr>
      <t>（不适用的项目请删除）</t>
    </r>
  </si>
  <si>
    <r>
      <rPr>
        <sz val="12"/>
        <color theme="1"/>
        <rFont val="仿宋_GB2312"/>
        <family val="3"/>
        <charset val="134"/>
      </rPr>
      <t>内</t>
    </r>
    <r>
      <rPr>
        <b/>
        <sz val="10.5"/>
        <color theme="1"/>
        <rFont val="Arial Narrow"/>
        <family val="2"/>
      </rPr>
      <t xml:space="preserve">  </t>
    </r>
    <r>
      <rPr>
        <b/>
        <sz val="10.5"/>
        <color theme="1"/>
        <rFont val="仿宋_GB2312"/>
        <family val="3"/>
        <charset val="134"/>
      </rPr>
      <t>容</t>
    </r>
  </si>
  <si>
    <t>期末公允价值</t>
  </si>
  <si>
    <t>估值技术</t>
  </si>
  <si>
    <t>输入值</t>
  </si>
  <si>
    <t>衍生工具：</t>
  </si>
  <si>
    <t>衍生金融资产</t>
  </si>
  <si>
    <t>现金流量折现法</t>
  </si>
  <si>
    <t>预期利率</t>
  </si>
  <si>
    <t>合同利率</t>
  </si>
  <si>
    <t>反映发行人信用风险的折现率</t>
  </si>
  <si>
    <t>衍生金融负债</t>
  </si>
  <si>
    <r>
      <rPr>
        <sz val="12"/>
        <color theme="1"/>
        <rFont val="仿宋_GB2312"/>
        <family val="3"/>
        <charset val="134"/>
      </rPr>
      <t>（</t>
    </r>
    <r>
      <rPr>
        <sz val="12"/>
        <color theme="1"/>
        <rFont val="Arial Narrow"/>
        <family val="2"/>
      </rPr>
      <t>3</t>
    </r>
    <r>
      <rPr>
        <sz val="12"/>
        <color theme="1"/>
        <rFont val="仿宋_GB2312"/>
        <family val="3"/>
        <charset val="134"/>
      </rPr>
      <t>）第三层次公允价值计量中使用的重要的不可观察输入值的量化信息</t>
    </r>
    <r>
      <rPr>
        <sz val="12"/>
        <color rgb="FF0000FF"/>
        <rFont val="仿宋_GB2312"/>
        <family val="3"/>
        <charset val="134"/>
      </rPr>
      <t>（不适用的项目请删除）</t>
    </r>
  </si>
  <si>
    <t>不可观察输入值</t>
  </si>
  <si>
    <t>范围（加权平均值）</t>
  </si>
  <si>
    <t>权益工具投资：</t>
  </si>
  <si>
    <t>非上市股权投资</t>
  </si>
  <si>
    <t>市场法（企业价值倍数）</t>
  </si>
  <si>
    <r>
      <rPr>
        <sz val="10.5"/>
        <color rgb="FFFF0000"/>
        <rFont val="Arial Narrow"/>
        <family val="2"/>
      </rPr>
      <t>EBITDA</t>
    </r>
    <r>
      <rPr>
        <sz val="10.5"/>
        <color rgb="FFFF0000"/>
        <rFont val="仿宋_GB2312"/>
        <family val="3"/>
        <charset val="134"/>
      </rPr>
      <t>乘数</t>
    </r>
  </si>
  <si>
    <t>10-15 (11.3)</t>
  </si>
  <si>
    <t>收入乘数</t>
  </si>
  <si>
    <t>1.5-2.0 (1.7)</t>
  </si>
  <si>
    <t>流动性折价</t>
  </si>
  <si>
    <t>5%-20% (17%)</t>
  </si>
  <si>
    <t>控制权溢价</t>
  </si>
  <si>
    <t>10%-30% (20%)</t>
  </si>
  <si>
    <t>收益法（现金流量折现法）</t>
  </si>
  <si>
    <t>加权平均资本成本</t>
  </si>
  <si>
    <t>8%-16% (12.1%)</t>
  </si>
  <si>
    <t>长期收入增长率</t>
  </si>
  <si>
    <t>2%-6% (4.2%)</t>
  </si>
  <si>
    <t>长期税前营业利润率</t>
  </si>
  <si>
    <t>3%-20% (10.3%)</t>
  </si>
  <si>
    <t>私募股权基金投资</t>
  </si>
  <si>
    <t>净资产价值</t>
  </si>
  <si>
    <t>不适用</t>
  </si>
  <si>
    <t>N/A</t>
  </si>
  <si>
    <t>债务工具投资：</t>
  </si>
  <si>
    <t>住房抵押担保证券</t>
  </si>
  <si>
    <t>提前偿付率</t>
  </si>
  <si>
    <t>3.5%-5.5% (4.5%)</t>
  </si>
  <si>
    <t>违约概率</t>
  </si>
  <si>
    <t>5%-50% (10%)</t>
  </si>
  <si>
    <t>违约损失率</t>
  </si>
  <si>
    <t>40%-100% (60%)</t>
  </si>
  <si>
    <t>担保债务凭证</t>
  </si>
  <si>
    <t>协商定价法</t>
  </si>
  <si>
    <t>所提供的报价</t>
  </si>
  <si>
    <t>20-50</t>
  </si>
  <si>
    <r>
      <rPr>
        <sz val="10.5"/>
        <color rgb="FFFF0000"/>
        <rFont val="仿宋_GB2312"/>
        <family val="3"/>
        <charset val="134"/>
      </rPr>
      <t>可比性调整（</t>
    </r>
    <r>
      <rPr>
        <sz val="10.5"/>
        <color rgb="FFFF0000"/>
        <rFont val="Arial Narrow"/>
        <family val="2"/>
      </rPr>
      <t>%</t>
    </r>
    <r>
      <rPr>
        <sz val="10.5"/>
        <color rgb="FFFF0000"/>
        <rFont val="仿宋_GB2312"/>
        <family val="3"/>
        <charset val="134"/>
      </rPr>
      <t>）</t>
    </r>
  </si>
  <si>
    <r>
      <rPr>
        <sz val="10.5"/>
        <color rgb="FFFF0000"/>
        <rFont val="Arial Narrow"/>
        <family val="2"/>
      </rPr>
      <t xml:space="preserve">-10% </t>
    </r>
    <r>
      <rPr>
        <sz val="10.5"/>
        <color rgb="FFFF0000"/>
        <rFont val="仿宋_GB2312"/>
        <family val="3"/>
        <charset val="134"/>
      </rPr>
      <t>至</t>
    </r>
    <r>
      <rPr>
        <sz val="10.5"/>
        <color rgb="FFFF0000"/>
        <rFont val="Arial Narrow"/>
        <family val="2"/>
      </rPr>
      <t xml:space="preserve"> +15% (+5%)</t>
    </r>
  </si>
  <si>
    <t>信用合同</t>
  </si>
  <si>
    <t>收益法（期权定价模型）</t>
  </si>
  <si>
    <t>波动率</t>
  </si>
  <si>
    <t>10%-25%</t>
  </si>
  <si>
    <t>交易对手信用风险</t>
  </si>
  <si>
    <t>0.5%-3.5%</t>
  </si>
  <si>
    <t>自身信用风险</t>
  </si>
  <si>
    <t>0.3%-2.0%</t>
  </si>
  <si>
    <t>投资性房地产：</t>
  </si>
  <si>
    <t>商业房地产</t>
  </si>
  <si>
    <t>长期净营业收入利润率</t>
  </si>
  <si>
    <t>18%-32% (20%)</t>
  </si>
  <si>
    <t>计算资产余值所使用的利率</t>
  </si>
  <si>
    <t>8%-12%(10%)</t>
  </si>
  <si>
    <t>市场法（上市公司比较法）</t>
  </si>
  <si>
    <t>每平方米单价</t>
  </si>
  <si>
    <r>
      <rPr>
        <sz val="12"/>
        <color theme="1"/>
        <rFont val="仿宋_GB2312"/>
        <family val="3"/>
        <charset val="134"/>
      </rPr>
      <t>（</t>
    </r>
    <r>
      <rPr>
        <sz val="12"/>
        <color theme="1"/>
        <rFont val="Arial Narrow"/>
        <family val="2"/>
      </rPr>
      <t>4</t>
    </r>
    <r>
      <rPr>
        <sz val="12"/>
        <color theme="1"/>
        <rFont val="仿宋_GB2312"/>
        <family val="3"/>
        <charset val="134"/>
      </rPr>
      <t>）归入公允价值层级第三层次的公允价值计量的调节表</t>
    </r>
    <r>
      <rPr>
        <sz val="12"/>
        <color rgb="FF0000FF"/>
        <rFont val="仿宋_GB2312"/>
        <family val="3"/>
        <charset val="134"/>
      </rPr>
      <t>（不适用的项目请删除）</t>
    </r>
  </si>
  <si>
    <r>
      <rPr>
        <b/>
        <sz val="9"/>
        <color theme="1"/>
        <rFont val="仿宋_GB2312"/>
        <family val="3"/>
        <charset val="134"/>
      </rPr>
      <t>项</t>
    </r>
    <r>
      <rPr>
        <b/>
        <sz val="9"/>
        <color theme="1"/>
        <rFont val="Arial Narrow"/>
        <family val="2"/>
      </rPr>
      <t xml:space="preserve">  </t>
    </r>
    <r>
      <rPr>
        <b/>
        <sz val="9"/>
        <color theme="1"/>
        <rFont val="仿宋_GB2312"/>
        <family val="3"/>
        <charset val="134"/>
      </rPr>
      <t>目（本期金额）</t>
    </r>
  </si>
  <si>
    <t>期初余额</t>
  </si>
  <si>
    <t>转入第三层次</t>
  </si>
  <si>
    <t>转出第三层次</t>
  </si>
  <si>
    <t>当期利得或损失总额</t>
  </si>
  <si>
    <t>购买、发行、出售和结算</t>
  </si>
  <si>
    <t>对于在报告期末持有的资产，计入损益的当期未实现利得或损失的变动</t>
  </si>
  <si>
    <t>计入损益</t>
  </si>
  <si>
    <t>计入其他综合收益</t>
  </si>
  <si>
    <t>购入</t>
  </si>
  <si>
    <t>发行</t>
  </si>
  <si>
    <t>出售</t>
  </si>
  <si>
    <t>结算</t>
  </si>
  <si>
    <t>交易性金融资产：</t>
  </si>
  <si>
    <t>债务工具投资</t>
  </si>
  <si>
    <t>权益工具投资</t>
  </si>
  <si>
    <t>其他</t>
  </si>
  <si>
    <t>应收款项融资</t>
  </si>
  <si>
    <t>其他债权投资</t>
  </si>
  <si>
    <t>其他权益工具投资</t>
  </si>
  <si>
    <t>其他非流动金融资产</t>
  </si>
  <si>
    <t>出租的土地使用权</t>
  </si>
  <si>
    <t>出租的建筑物</t>
  </si>
  <si>
    <t>持有并准备增值后转让的土地使用权</t>
  </si>
  <si>
    <t>生物资产：</t>
  </si>
  <si>
    <t>消耗性生物资产</t>
  </si>
  <si>
    <t>生产性生物资产</t>
  </si>
  <si>
    <r>
      <rPr>
        <b/>
        <sz val="9"/>
        <color theme="1"/>
        <rFont val="仿宋_GB2312"/>
        <family val="3"/>
        <charset val="134"/>
      </rPr>
      <t>合</t>
    </r>
    <r>
      <rPr>
        <b/>
        <sz val="9"/>
        <color theme="1"/>
        <rFont val="Arial Narrow"/>
        <family val="2"/>
      </rPr>
      <t xml:space="preserve">  </t>
    </r>
    <r>
      <rPr>
        <b/>
        <sz val="9"/>
        <color theme="1"/>
        <rFont val="仿宋_GB2312"/>
        <family val="3"/>
        <charset val="134"/>
      </rPr>
      <t>计</t>
    </r>
  </si>
  <si>
    <t>其中，计入当期损益的利得和损失中与金融资产和非金融资产有关的损益信息如下：</t>
  </si>
  <si>
    <t>与金融资产有关的损益</t>
  </si>
  <si>
    <t>与非金融资产有关的损益</t>
  </si>
  <si>
    <t>计入损益的当期利得或损失总额</t>
  </si>
  <si>
    <r>
      <rPr>
        <b/>
        <sz val="9"/>
        <color theme="1"/>
        <rFont val="仿宋_GB2312"/>
        <family val="3"/>
        <charset val="134"/>
      </rPr>
      <t>项</t>
    </r>
    <r>
      <rPr>
        <b/>
        <sz val="9"/>
        <color theme="1"/>
        <rFont val="Arial Narrow"/>
        <family val="2"/>
      </rPr>
      <t xml:space="preserve">  </t>
    </r>
    <r>
      <rPr>
        <b/>
        <sz val="9"/>
        <color theme="1"/>
        <rFont val="仿宋_GB2312"/>
        <family val="3"/>
        <charset val="134"/>
      </rPr>
      <t>目</t>
    </r>
  </si>
  <si>
    <t>转入</t>
  </si>
  <si>
    <t>转出</t>
  </si>
  <si>
    <r>
      <rPr>
        <b/>
        <sz val="9"/>
        <color theme="1"/>
        <rFont val="仿宋_GB2312"/>
        <family val="3"/>
        <charset val="134"/>
      </rPr>
      <t>期末余额</t>
    </r>
    <r>
      <rPr>
        <b/>
        <sz val="9"/>
        <color theme="1"/>
        <rFont val="Arial Narrow"/>
        <family val="2"/>
      </rPr>
      <t xml:space="preserve"> </t>
    </r>
  </si>
  <si>
    <t>第三层次</t>
  </si>
  <si>
    <t>其中，计入上期损益的利得和损失中与金融资产和非金融资产有关的损益信息如下：</t>
  </si>
  <si>
    <r>
      <rPr>
        <b/>
        <sz val="10.5"/>
        <color theme="1"/>
        <rFont val="仿宋_GB2312"/>
        <family val="3"/>
        <charset val="134"/>
      </rPr>
      <t>项</t>
    </r>
    <r>
      <rPr>
        <b/>
        <sz val="9"/>
        <color theme="1"/>
        <rFont val="Arial Narrow"/>
        <family val="2"/>
      </rPr>
      <t xml:space="preserve">  </t>
    </r>
    <r>
      <rPr>
        <b/>
        <sz val="9"/>
        <color theme="1"/>
        <rFont val="仿宋_GB2312"/>
        <family val="3"/>
        <charset val="134"/>
      </rPr>
      <t>目（上期金额）</t>
    </r>
  </si>
  <si>
    <r>
      <rPr>
        <sz val="12"/>
        <color theme="1"/>
        <rFont val="仿宋_GB2312"/>
        <family val="3"/>
        <charset val="134"/>
      </rPr>
      <t>（</t>
    </r>
    <r>
      <rPr>
        <sz val="12"/>
        <color theme="1"/>
        <rFont val="Arial Narrow"/>
        <family val="2"/>
      </rPr>
      <t>5</t>
    </r>
    <r>
      <rPr>
        <sz val="12"/>
        <color theme="1"/>
        <rFont val="仿宋_GB2312"/>
        <family val="3"/>
        <charset val="134"/>
      </rPr>
      <t>）不以公允价值计量但披露其公允价值的项目和金额</t>
    </r>
  </si>
  <si>
    <r>
      <rPr>
        <sz val="12"/>
        <color theme="1"/>
        <rFont val="仿宋_GB2312"/>
        <family val="3"/>
        <charset val="134"/>
      </rPr>
      <t>本公司以摊余成本计量的金融资产和金融负债主要包括：</t>
    </r>
    <r>
      <rPr>
        <sz val="12"/>
        <color rgb="FFFF0000"/>
        <rFont val="仿宋_GB2312"/>
        <family val="3"/>
        <charset val="134"/>
      </rPr>
      <t>货币资金、应收票据、应收账款、其他应收款、短期借款、应付票据、应付账款、其他应付款、一年内到期的长期借款、长期应付款、长期借款和应付债券</t>
    </r>
    <r>
      <rPr>
        <sz val="12"/>
        <color theme="1"/>
        <rFont val="仿宋_GB2312"/>
        <family val="3"/>
        <charset val="134"/>
      </rPr>
      <t>等。</t>
    </r>
  </si>
  <si>
    <r>
      <rPr>
        <sz val="12"/>
        <color theme="1"/>
        <rFont val="仿宋_GB2312"/>
        <family val="3"/>
        <charset val="134"/>
      </rPr>
      <t>除下述金融资产和金融负债以外，其他不以公允价值计量的金融资产和金融负债的账面价值与公允价值相差很小。</t>
    </r>
    <r>
      <rPr>
        <sz val="12"/>
        <color rgb="FF0000FF"/>
        <rFont val="仿宋_GB2312"/>
        <family val="3"/>
        <charset val="134"/>
      </rPr>
      <t>（不适用的项目请删除）</t>
    </r>
  </si>
  <si>
    <r>
      <rPr>
        <b/>
        <sz val="10.5"/>
        <color theme="1"/>
        <rFont val="仿宋_GB2312"/>
        <family val="3"/>
        <charset val="134"/>
      </rPr>
      <t>项</t>
    </r>
    <r>
      <rPr>
        <b/>
        <sz val="10.5"/>
        <color theme="1"/>
        <rFont val="Arial Narrow"/>
        <family val="2"/>
      </rPr>
      <t xml:space="preserve">  </t>
    </r>
    <r>
      <rPr>
        <b/>
        <sz val="10.5"/>
        <color theme="1"/>
        <rFont val="仿宋_GB2312"/>
        <family val="3"/>
        <charset val="134"/>
      </rPr>
      <t>目（期末余额）</t>
    </r>
  </si>
  <si>
    <t>账面价值</t>
  </si>
  <si>
    <t>金融资产：</t>
  </si>
  <si>
    <t>债权投资</t>
  </si>
  <si>
    <t>长期应收款</t>
  </si>
  <si>
    <t>有公开报价的采用权益法核算的对合营企业或联营企业的投资</t>
  </si>
  <si>
    <t>金融资产小计</t>
  </si>
  <si>
    <t>金融负债：</t>
  </si>
  <si>
    <t>其他流动负债（不含递延收益）</t>
  </si>
  <si>
    <t>长期借款</t>
  </si>
  <si>
    <t>应付债券</t>
  </si>
  <si>
    <t>长期应付款</t>
  </si>
  <si>
    <t>金融负债小计</t>
  </si>
  <si>
    <t>（续）</t>
  </si>
  <si>
    <r>
      <rPr>
        <b/>
        <sz val="10.5"/>
        <color theme="1"/>
        <rFont val="仿宋_GB2312"/>
        <family val="3"/>
        <charset val="134"/>
      </rPr>
      <t>项</t>
    </r>
    <r>
      <rPr>
        <b/>
        <sz val="10.5"/>
        <color theme="1"/>
        <rFont val="Arial Narrow"/>
        <family val="2"/>
      </rPr>
      <t xml:space="preserve">  </t>
    </r>
    <r>
      <rPr>
        <b/>
        <sz val="10.5"/>
        <color theme="1"/>
        <rFont val="仿宋_GB2312"/>
        <family val="3"/>
        <charset val="134"/>
      </rPr>
      <t>目（上年年末余额）</t>
    </r>
  </si>
  <si>
    <t>长期应收款、固定利率的长期借款以及不存在活跃市场的应付债券，以合同规定的未来现金流量按照市场上具有可比信用等级并在相同条件下提供几乎相同现金流量的市场收益率进行折现后的现值确定其公允价值，属于第三层次。</t>
  </si>
  <si>
    <t>（对于第二层次和第三层次的公允价值，披露使用的估值技术和输入值的信息。）</t>
  </si>
  <si>
    <t>附注披露信息</t>
  </si>
  <si>
    <t>期初公允价值</t>
  </si>
  <si>
    <t>分类以公允价值计量且其变动计入当期损益的金融资产</t>
  </si>
  <si>
    <t xml:space="preserve">      权益工具投资</t>
  </si>
  <si>
    <t xml:space="preserve">      其他</t>
  </si>
  <si>
    <t>合  计</t>
  </si>
  <si>
    <t>（注：应披露公允价值确认依据。）</t>
  </si>
  <si>
    <t>【提示：披露金额较大的前十项及其产生的原因，其余汇总填列。】</t>
  </si>
  <si>
    <t>交易性金融资产明细表</t>
  </si>
  <si>
    <r>
      <rPr>
        <sz val="10"/>
        <rFont val="宋体"/>
        <family val="3"/>
        <charset val="134"/>
      </rPr>
      <t>页次：</t>
    </r>
  </si>
  <si>
    <t>一、审计目标</t>
  </si>
  <si>
    <t>1.资产负债表中记录的交易性金融资产是存在的，且已经记录在恰当的账户中；2.所有应记录的交易性金融资产均已记录，所有应当包括在财务报表中的相关披露均已包括；</t>
  </si>
  <si>
    <t xml:space="preserve">3.交易性金融资产以恰当的金额包括在财务报表中，与之相关的计价或分摊调整已恰当记录，相关披露已得到恰当计量和描述 </t>
  </si>
  <si>
    <t>二、审计过程</t>
  </si>
  <si>
    <t>类别</t>
  </si>
  <si>
    <r>
      <rPr>
        <b/>
        <sz val="10"/>
        <rFont val="宋体"/>
        <family val="3"/>
        <charset val="134"/>
      </rPr>
      <t>投资项目</t>
    </r>
    <r>
      <rPr>
        <b/>
        <sz val="10"/>
        <color rgb="FF0000FF"/>
        <rFont val="宋体"/>
        <family val="3"/>
        <charset val="134"/>
      </rPr>
      <t>【按明细项目列示，如证券名称或被投资单位名称】</t>
    </r>
  </si>
  <si>
    <t>期初账项调整</t>
  </si>
  <si>
    <t>期初审定数</t>
  </si>
  <si>
    <t>减：期初超过一年到期的部分</t>
  </si>
  <si>
    <t>期初报表数</t>
  </si>
  <si>
    <t>本期变动（增加为正数）</t>
  </si>
  <si>
    <t>账项调整</t>
  </si>
  <si>
    <t>期末审定数</t>
  </si>
  <si>
    <t>期末报表数</t>
  </si>
  <si>
    <t>变现是否存在限制</t>
  </si>
  <si>
    <t>是否函证</t>
  </si>
  <si>
    <t>成本</t>
  </si>
  <si>
    <t>累计公允价值变动</t>
  </si>
  <si>
    <t>公允价值变动</t>
  </si>
  <si>
    <t>本期公允价值变动</t>
  </si>
  <si>
    <t>计入投资收益的股息</t>
  </si>
  <si>
    <t>公司债券</t>
  </si>
  <si>
    <t>小计</t>
  </si>
  <si>
    <t>结构性存款</t>
  </si>
  <si>
    <t>注1：相关金融工具已到期可收取但于资产负债表日尚未收到的利息在“应收利息”反映。</t>
  </si>
  <si>
    <t>三、审计说明：</t>
  </si>
  <si>
    <t>本期计入“投资收益”的利息金额为：</t>
  </si>
  <si>
    <t>本期计入“投资收益”的股利金额为：</t>
  </si>
  <si>
    <t>四、审计结论：</t>
  </si>
  <si>
    <t>编制说明【非打印内容】：</t>
  </si>
  <si>
    <r>
      <rPr>
        <sz val="10"/>
        <color indexed="12"/>
        <rFont val="Arial Narrow"/>
        <family val="2"/>
      </rPr>
      <t>1</t>
    </r>
    <r>
      <rPr>
        <sz val="10"/>
        <color indexed="12"/>
        <rFont val="宋体"/>
        <family val="3"/>
        <charset val="134"/>
      </rPr>
      <t>．编制时应列入交易性金融资产的每一明细账户。</t>
    </r>
    <r>
      <rPr>
        <sz val="10"/>
        <color indexed="12"/>
        <rFont val="Arial Narrow"/>
        <family val="2"/>
      </rPr>
      <t>2</t>
    </r>
    <r>
      <rPr>
        <sz val="10"/>
        <color indexed="12"/>
        <rFont val="宋体"/>
        <family val="3"/>
        <charset val="134"/>
      </rPr>
      <t>．外币交易性金融资产应列明原币金额及折合汇率（自行添加项目）。</t>
    </r>
  </si>
  <si>
    <t>2、本项目可能包括：</t>
  </si>
  <si>
    <r>
      <rPr>
        <sz val="10"/>
        <color rgb="FF0000FF"/>
        <rFont val="宋体"/>
        <family val="3"/>
        <charset val="134"/>
      </rPr>
      <t>（</t>
    </r>
    <r>
      <rPr>
        <sz val="10"/>
        <color rgb="FF0000FF"/>
        <rFont val="Arial Narrow"/>
        <family val="2"/>
      </rPr>
      <t>1</t>
    </r>
    <r>
      <rPr>
        <sz val="10"/>
        <color rgb="FF0000FF"/>
        <rFont val="宋体"/>
        <family val="3"/>
        <charset val="134"/>
      </rPr>
      <t>）未能通过</t>
    </r>
    <r>
      <rPr>
        <sz val="10"/>
        <color rgb="FF0000FF"/>
        <rFont val="Arial Narrow"/>
        <family val="2"/>
      </rPr>
      <t>SPPI</t>
    </r>
    <r>
      <rPr>
        <sz val="10"/>
        <color rgb="FF0000FF"/>
        <rFont val="宋体"/>
        <family val="3"/>
        <charset val="134"/>
      </rPr>
      <t>测试的、到期日不超过一年或预期持有不超过一年的债务工具投资（含嵌入衍生工具），例如非保本理财产品、保本浮动收益理财产品（结构性存款）等；</t>
    </r>
  </si>
  <si>
    <r>
      <rPr>
        <sz val="10"/>
        <color rgb="FF0000FF"/>
        <rFont val="宋体"/>
        <family val="3"/>
        <charset val="134"/>
      </rPr>
      <t>（</t>
    </r>
    <r>
      <rPr>
        <sz val="10"/>
        <color rgb="FF0000FF"/>
        <rFont val="Arial Narrow"/>
        <family val="2"/>
      </rPr>
      <t>2</t>
    </r>
    <r>
      <rPr>
        <sz val="10"/>
        <color rgb="FF0000FF"/>
        <rFont val="宋体"/>
        <family val="3"/>
        <charset val="134"/>
      </rPr>
      <t>）以其他业务模式持有的债务工具投资（含嵌入衍生工具）；</t>
    </r>
  </si>
  <si>
    <r>
      <rPr>
        <sz val="10"/>
        <color rgb="FF0000FF"/>
        <rFont val="宋体"/>
        <family val="3"/>
        <charset val="134"/>
      </rPr>
      <t>（</t>
    </r>
    <r>
      <rPr>
        <sz val="10"/>
        <color rgb="FF0000FF"/>
        <rFont val="Arial Narrow"/>
        <family val="2"/>
      </rPr>
      <t>3</t>
    </r>
    <r>
      <rPr>
        <sz val="10"/>
        <color rgb="FF0000FF"/>
        <rFont val="宋体"/>
        <family val="3"/>
        <charset val="134"/>
      </rPr>
      <t>）未指定为有效套期工具的衍生工具；</t>
    </r>
  </si>
  <si>
    <r>
      <rPr>
        <sz val="10"/>
        <color rgb="FF0000FF"/>
        <rFont val="宋体"/>
        <family val="3"/>
        <charset val="134"/>
      </rPr>
      <t>（</t>
    </r>
    <r>
      <rPr>
        <sz val="10"/>
        <color rgb="FF0000FF"/>
        <rFont val="Arial Narrow"/>
        <family val="2"/>
      </rPr>
      <t>4</t>
    </r>
    <r>
      <rPr>
        <sz val="10"/>
        <color rgb="FF0000FF"/>
        <rFont val="宋体"/>
        <family val="3"/>
        <charset val="134"/>
      </rPr>
      <t>）到期日不超过一年或预期持有不超过一年的权益工具投资（不包括指定为</t>
    </r>
    <r>
      <rPr>
        <sz val="10"/>
        <color rgb="FF0000FF"/>
        <rFont val="Arial Narrow"/>
        <family val="2"/>
      </rPr>
      <t>FVOCI</t>
    </r>
    <r>
      <rPr>
        <sz val="10"/>
        <color rgb="FF0000FF"/>
        <rFont val="宋体"/>
        <family val="3"/>
        <charset val="134"/>
      </rPr>
      <t>的）；</t>
    </r>
  </si>
  <si>
    <r>
      <rPr>
        <sz val="10"/>
        <color rgb="FF0000FF"/>
        <rFont val="宋体"/>
        <family val="3"/>
        <charset val="134"/>
      </rPr>
      <t>（</t>
    </r>
    <r>
      <rPr>
        <sz val="10"/>
        <color rgb="FF0000FF"/>
        <rFont val="Arial Narrow"/>
        <family val="2"/>
      </rPr>
      <t>5</t>
    </r>
    <r>
      <rPr>
        <sz val="10"/>
        <color rgb="FF0000FF"/>
        <rFont val="宋体"/>
        <family val="3"/>
        <charset val="134"/>
      </rPr>
      <t>）到期日不超过一年或预期持有不超过一年的、直接指定为</t>
    </r>
    <r>
      <rPr>
        <sz val="10"/>
        <color rgb="FF0000FF"/>
        <rFont val="Arial Narrow"/>
        <family val="2"/>
      </rPr>
      <t>FVTPL</t>
    </r>
    <r>
      <rPr>
        <sz val="10"/>
        <color rgb="FF0000FF"/>
        <rFont val="宋体"/>
        <family val="3"/>
        <charset val="134"/>
      </rPr>
      <t>的债务工具投资（含嵌入衍生工具）。</t>
    </r>
  </si>
  <si>
    <t>交易性金融资产调整分录汇总表</t>
  </si>
  <si>
    <t>调整事项说明</t>
  </si>
  <si>
    <t>类别（报表调整/账项调整/其他）</t>
  </si>
  <si>
    <t>报表项目</t>
  </si>
  <si>
    <t>科目名称</t>
  </si>
  <si>
    <t>附注项目</t>
  </si>
  <si>
    <t>……</t>
  </si>
  <si>
    <t>借方调整金额</t>
  </si>
  <si>
    <t>贷方调整金额</t>
  </si>
  <si>
    <t>索引</t>
  </si>
  <si>
    <t>备注</t>
  </si>
  <si>
    <t>【注：本底稿适用于调整分录较多、较复杂的项目，且仅列示与本报表项目相关的审计调整。项目组可根据项目实际情况选择是否使用该底稿。】</t>
  </si>
  <si>
    <t>交易性金融资产期末结存表</t>
  </si>
  <si>
    <r>
      <rPr>
        <b/>
        <sz val="10"/>
        <color theme="1"/>
        <rFont val="宋体"/>
        <family val="3"/>
        <charset val="134"/>
      </rPr>
      <t>一、审计目标</t>
    </r>
  </si>
  <si>
    <r>
      <rPr>
        <sz val="10"/>
        <color theme="1"/>
        <rFont val="Arial Narrow"/>
        <family val="2"/>
      </rPr>
      <t>1.</t>
    </r>
    <r>
      <rPr>
        <sz val="10"/>
        <color theme="1"/>
        <rFont val="宋体"/>
        <family val="3"/>
        <charset val="134"/>
      </rPr>
      <t>资产负债表中记录的交易性金融资产是存在的，且已记录于恰当的账户</t>
    </r>
  </si>
  <si>
    <r>
      <rPr>
        <sz val="10"/>
        <color theme="1"/>
        <rFont val="Arial Narrow"/>
        <family val="2"/>
      </rPr>
      <t>2.</t>
    </r>
    <r>
      <rPr>
        <sz val="10"/>
        <color theme="1"/>
        <rFont val="宋体"/>
        <family val="3"/>
        <charset val="134"/>
      </rPr>
      <t>所有应记录的交易性金融资产均已记录，所有应当包括在财务报表中的相关披露均已包括</t>
    </r>
  </si>
  <si>
    <r>
      <rPr>
        <sz val="10"/>
        <color theme="1"/>
        <rFont val="Arial Narrow"/>
        <family val="2"/>
      </rPr>
      <t>3.</t>
    </r>
    <r>
      <rPr>
        <sz val="10"/>
        <color theme="1"/>
        <rFont val="宋体"/>
        <family val="3"/>
        <charset val="134"/>
      </rPr>
      <t>记录的交易性金融资产由被审计单位拥有或控制</t>
    </r>
  </si>
  <si>
    <r>
      <rPr>
        <sz val="10"/>
        <color theme="1"/>
        <rFont val="Arial Narrow"/>
        <family val="2"/>
      </rPr>
      <t>4.</t>
    </r>
    <r>
      <rPr>
        <sz val="10"/>
        <color theme="1"/>
        <rFont val="宋体"/>
        <family val="3"/>
        <charset val="134"/>
      </rPr>
      <t>交易性金融资产以恰当的金额包括在财务报表中，与之相关的计价或分摊调整已恰当记录，相关披露已得到恰当计量和描述</t>
    </r>
    <r>
      <rPr>
        <sz val="10"/>
        <color theme="1"/>
        <rFont val="Arial Narrow"/>
        <family val="2"/>
      </rPr>
      <t xml:space="preserve"> </t>
    </r>
  </si>
  <si>
    <r>
      <rPr>
        <b/>
        <sz val="10"/>
        <color theme="1"/>
        <rFont val="宋体"/>
        <family val="3"/>
        <charset val="134"/>
      </rPr>
      <t>二、审计过程</t>
    </r>
  </si>
  <si>
    <t>获取股票、债券、期货、基金等账户的开户资料，获取被审计单位内部证券各账户电子文档清单及余额调节表，取得证券服务机构提供的所有投资账户的电子文件，对账单（在可能的情况下自行进入交易系统获得对账单），并执行以下工作：</t>
  </si>
  <si>
    <r>
      <rPr>
        <sz val="10"/>
        <color theme="1"/>
        <rFont val="Arial Narrow"/>
        <family val="2"/>
      </rPr>
      <t>1.</t>
    </r>
    <r>
      <rPr>
        <sz val="10"/>
        <color theme="1"/>
        <rFont val="宋体"/>
        <family val="3"/>
        <charset val="134"/>
      </rPr>
      <t>将证券账户开户资料、投资账户电子文档清单、对账单、余额调节表等资料进行核对</t>
    </r>
    <r>
      <rPr>
        <sz val="10"/>
        <color theme="1"/>
        <rFont val="Arial Narrow"/>
        <family val="2"/>
      </rPr>
      <t>,</t>
    </r>
    <r>
      <rPr>
        <sz val="10"/>
        <color theme="1"/>
        <rFont val="宋体"/>
        <family val="3"/>
        <charset val="134"/>
      </rPr>
      <t>调查重大或者异常的调节项目。</t>
    </r>
  </si>
  <si>
    <r>
      <rPr>
        <sz val="10"/>
        <color theme="1"/>
        <rFont val="Arial Narrow"/>
        <family val="2"/>
      </rPr>
      <t>2.</t>
    </r>
    <r>
      <rPr>
        <sz val="10"/>
        <color theme="1"/>
        <rFont val="宋体"/>
        <family val="3"/>
        <charset val="134"/>
      </rPr>
      <t>检查相关资产的会计记录是否完整、是否归被审计单位所有，关注相关资产的变现是否存在重大限制：</t>
    </r>
  </si>
  <si>
    <r>
      <rPr>
        <sz val="10"/>
        <color theme="1"/>
        <rFont val="Arial Narrow"/>
        <family val="2"/>
      </rPr>
      <t>3.</t>
    </r>
    <r>
      <rPr>
        <sz val="10"/>
        <color theme="1"/>
        <rFont val="宋体"/>
        <family val="3"/>
        <charset val="134"/>
      </rPr>
      <t>取得有关账户流水单，对照检查账面记录是否完整。检查购入资产是否为被审计单位拥有；</t>
    </r>
  </si>
  <si>
    <r>
      <rPr>
        <sz val="10"/>
        <color theme="1"/>
        <rFont val="Arial Narrow"/>
        <family val="2"/>
      </rPr>
      <t>4.</t>
    </r>
    <r>
      <rPr>
        <sz val="10"/>
        <color theme="1"/>
        <rFont val="宋体"/>
        <family val="3"/>
        <charset val="134"/>
      </rPr>
      <t>向相关机构发函，并确定是否存在变现限制，同时记录函证过程。如相关资产的变现存在限制，则查明情况，并提请被审计单位做适当调整。</t>
    </r>
  </si>
  <si>
    <r>
      <rPr>
        <b/>
        <sz val="10"/>
        <color indexed="8"/>
        <rFont val="宋体"/>
        <family val="3"/>
        <charset val="134"/>
      </rPr>
      <t>账面结存</t>
    </r>
    <r>
      <rPr>
        <b/>
        <sz val="10"/>
        <rFont val="宋体"/>
        <family val="3"/>
        <charset val="134"/>
      </rPr>
      <t>证券投资①</t>
    </r>
  </si>
  <si>
    <r>
      <rPr>
        <b/>
        <sz val="10"/>
        <rFont val="宋体"/>
        <family val="3"/>
        <charset val="134"/>
      </rPr>
      <t>资产负债表日库存有价证券②</t>
    </r>
  </si>
  <si>
    <r>
      <rPr>
        <b/>
        <sz val="10"/>
        <color indexed="8"/>
        <rFont val="宋体"/>
        <family val="3"/>
        <charset val="134"/>
      </rPr>
      <t>对账单③</t>
    </r>
  </si>
  <si>
    <r>
      <rPr>
        <b/>
        <sz val="10"/>
        <rFont val="宋体"/>
        <family val="3"/>
        <charset val="134"/>
      </rPr>
      <t>函证证券投资④</t>
    </r>
  </si>
  <si>
    <r>
      <rPr>
        <b/>
        <sz val="10"/>
        <rFont val="宋体"/>
        <family val="3"/>
        <charset val="134"/>
      </rPr>
      <t>差异⑤</t>
    </r>
    <r>
      <rPr>
        <b/>
        <sz val="10"/>
        <rFont val="Arial Narrow"/>
        <family val="2"/>
      </rPr>
      <t>=</t>
    </r>
    <r>
      <rPr>
        <b/>
        <sz val="10"/>
        <rFont val="宋体"/>
        <family val="3"/>
        <charset val="134"/>
      </rPr>
      <t>①</t>
    </r>
    <r>
      <rPr>
        <b/>
        <sz val="10"/>
        <rFont val="Arial Narrow"/>
        <family val="2"/>
      </rPr>
      <t>-</t>
    </r>
    <r>
      <rPr>
        <b/>
        <sz val="10"/>
        <rFont val="宋体"/>
        <family val="3"/>
        <charset val="134"/>
      </rPr>
      <t>②</t>
    </r>
    <r>
      <rPr>
        <b/>
        <sz val="10"/>
        <rFont val="Arial Narrow"/>
        <family val="2"/>
      </rPr>
      <t>-</t>
    </r>
    <r>
      <rPr>
        <b/>
        <sz val="10"/>
        <rFont val="宋体"/>
        <family val="3"/>
        <charset val="134"/>
      </rPr>
      <t>（③或④）</t>
    </r>
  </si>
  <si>
    <r>
      <rPr>
        <b/>
        <sz val="10"/>
        <color indexed="8"/>
        <rFont val="宋体"/>
        <family val="3"/>
        <charset val="134"/>
      </rPr>
      <t>备注</t>
    </r>
  </si>
  <si>
    <r>
      <rPr>
        <b/>
        <sz val="10"/>
        <rFont val="宋体"/>
        <family val="3"/>
        <charset val="134"/>
      </rPr>
      <t>证券名称</t>
    </r>
  </si>
  <si>
    <t>资金账号</t>
  </si>
  <si>
    <t>开户名称</t>
  </si>
  <si>
    <r>
      <rPr>
        <b/>
        <sz val="10"/>
        <rFont val="宋体"/>
        <family val="3"/>
        <charset val="134"/>
      </rPr>
      <t>数量</t>
    </r>
  </si>
  <si>
    <r>
      <rPr>
        <b/>
        <sz val="10"/>
        <rFont val="宋体"/>
        <family val="3"/>
        <charset val="134"/>
      </rPr>
      <t>面值（单价）</t>
    </r>
  </si>
  <si>
    <t>票面利率</t>
  </si>
  <si>
    <r>
      <rPr>
        <b/>
        <sz val="10"/>
        <rFont val="宋体"/>
        <family val="3"/>
        <charset val="134"/>
      </rPr>
      <t>到期日</t>
    </r>
    <r>
      <rPr>
        <b/>
        <sz val="10"/>
        <color rgb="FF0000FF"/>
        <rFont val="Arial Narrow"/>
        <family val="2"/>
      </rPr>
      <t>(</t>
    </r>
    <r>
      <rPr>
        <b/>
        <sz val="10"/>
        <color rgb="FF0000FF"/>
        <rFont val="宋体"/>
        <family val="3"/>
        <charset val="134"/>
      </rPr>
      <t>如适用</t>
    </r>
    <r>
      <rPr>
        <b/>
        <sz val="10"/>
        <color rgb="FF0000FF"/>
        <rFont val="Arial Narrow"/>
        <family val="2"/>
      </rPr>
      <t>)</t>
    </r>
  </si>
  <si>
    <r>
      <rPr>
        <b/>
        <sz val="10"/>
        <rFont val="宋体"/>
        <family val="3"/>
        <charset val="134"/>
      </rPr>
      <t>总计</t>
    </r>
  </si>
  <si>
    <r>
      <rPr>
        <b/>
        <sz val="10"/>
        <rFont val="宋体"/>
        <family val="3"/>
        <charset val="134"/>
      </rPr>
      <t>合计</t>
    </r>
  </si>
  <si>
    <r>
      <rPr>
        <b/>
        <sz val="10"/>
        <rFont val="宋体"/>
        <family val="3"/>
        <charset val="134"/>
      </rPr>
      <t>三、审计说明：</t>
    </r>
  </si>
  <si>
    <t>测试账面中确认的收益是否准确。</t>
  </si>
  <si>
    <r>
      <rPr>
        <sz val="10"/>
        <rFont val="Arial Narrow"/>
        <family val="2"/>
      </rPr>
      <t xml:space="preserve">1. </t>
    </r>
    <r>
      <rPr>
        <sz val="10"/>
        <rFont val="宋体"/>
        <family val="3"/>
        <charset val="134"/>
      </rPr>
      <t>获取持有的债券和其他固收类产品。</t>
    </r>
  </si>
  <si>
    <r>
      <rPr>
        <sz val="10"/>
        <rFont val="Arial Narrow"/>
        <family val="2"/>
      </rPr>
      <t xml:space="preserve">2. </t>
    </r>
    <r>
      <rPr>
        <sz val="10"/>
        <rFont val="宋体"/>
        <family val="3"/>
        <charset val="134"/>
      </rPr>
      <t>根据合同金额、票面利率和投资日期等要素，计算应计利息金额，并与账面计提利息比对。</t>
    </r>
  </si>
  <si>
    <r>
      <rPr>
        <sz val="10"/>
        <rFont val="Arial Narrow"/>
        <family val="2"/>
      </rPr>
      <t>3.</t>
    </r>
    <r>
      <rPr>
        <sz val="10"/>
        <rFont val="宋体"/>
        <family val="3"/>
        <charset val="134"/>
      </rPr>
      <t>与管理人讨论，了解并分析差异的原因。</t>
    </r>
  </si>
  <si>
    <t>金融投资名称</t>
  </si>
  <si>
    <t>合同金额</t>
  </si>
  <si>
    <t>年化利率</t>
  </si>
  <si>
    <t>起始日</t>
  </si>
  <si>
    <t>结息日</t>
  </si>
  <si>
    <t>到期日</t>
  </si>
  <si>
    <t>计息天数</t>
  </si>
  <si>
    <t>结息前</t>
  </si>
  <si>
    <t>结息后</t>
  </si>
  <si>
    <r>
      <rPr>
        <sz val="10"/>
        <rFont val="宋体"/>
        <family val="3"/>
        <charset val="134"/>
      </rPr>
      <t>合</t>
    </r>
    <r>
      <rPr>
        <sz val="10"/>
        <rFont val="Arial Narrow"/>
        <family val="2"/>
      </rPr>
      <t xml:space="preserve">  </t>
    </r>
    <r>
      <rPr>
        <sz val="10"/>
        <rFont val="宋体"/>
        <family val="3"/>
        <charset val="134"/>
      </rPr>
      <t>计</t>
    </r>
  </si>
  <si>
    <t>----</t>
  </si>
  <si>
    <r>
      <rPr>
        <sz val="10"/>
        <rFont val="宋体"/>
        <family val="3"/>
        <charset val="134"/>
      </rPr>
      <t>续上表</t>
    </r>
  </si>
  <si>
    <r>
      <rPr>
        <sz val="10"/>
        <rFont val="宋体"/>
        <family val="3"/>
        <charset val="134"/>
      </rPr>
      <t>账计利息</t>
    </r>
  </si>
  <si>
    <r>
      <rPr>
        <sz val="10"/>
        <rFont val="宋体"/>
        <family val="3"/>
        <charset val="134"/>
      </rPr>
      <t>差异</t>
    </r>
  </si>
  <si>
    <r>
      <rPr>
        <sz val="10"/>
        <rFont val="宋体"/>
        <family val="3"/>
        <charset val="134"/>
      </rPr>
      <t>投资收益</t>
    </r>
  </si>
  <si>
    <t>…</t>
  </si>
  <si>
    <r>
      <rPr>
        <sz val="10"/>
        <rFont val="宋体"/>
        <family val="3"/>
        <charset val="134"/>
      </rPr>
      <t>小计</t>
    </r>
  </si>
  <si>
    <t>《企业会计准则应用指南汇编2024》第二十二章 金融工具确认和计量</t>
  </si>
  <si>
    <t>交易性金融资产持有期间，被投资单位宣告发放现金股利，应借记“应收股利”科目，贷记“投资收益”科目。交易性金融资产为债权投资的，可以将按票面或合同利率计算的利息计入投资收益，借记本科目(应计利息),贷记“投资收益”科目；也可以不单独确认前述利息，而通过本科目(公允价值变动)汇总反映包含利息的债权投资的公允价值变化。</t>
  </si>
  <si>
    <t>交易性金融资产公允价值测试表</t>
  </si>
  <si>
    <r>
      <rPr>
        <sz val="10"/>
        <rFont val="Arial Narrow"/>
        <family val="2"/>
      </rPr>
      <t xml:space="preserve">1. </t>
    </r>
    <r>
      <rPr>
        <sz val="10"/>
        <rFont val="宋体"/>
        <family val="3"/>
        <charset val="134"/>
      </rPr>
      <t>检查公允价值计量，前后期方法是否保持一致。</t>
    </r>
  </si>
  <si>
    <r>
      <rPr>
        <sz val="10"/>
        <rFont val="Arial Narrow"/>
        <family val="2"/>
      </rPr>
      <t xml:space="preserve">2. </t>
    </r>
    <r>
      <rPr>
        <sz val="10"/>
        <rFont val="宋体"/>
        <family val="3"/>
        <charset val="134"/>
      </rPr>
      <t>了解公允价值来源和计算模型，判断管理层对公允价值层次的划分是否合理。</t>
    </r>
  </si>
  <si>
    <r>
      <rPr>
        <sz val="10"/>
        <rFont val="Arial Narrow"/>
        <family val="2"/>
      </rPr>
      <t xml:space="preserve">3. </t>
    </r>
    <r>
      <rPr>
        <sz val="10"/>
        <rFont val="宋体"/>
        <family val="3"/>
        <charset val="134"/>
      </rPr>
      <t>对于公允价值为第二层次、第三层次的投资，考虑利用专家工作，确定公允价值计量是否恰当。</t>
    </r>
  </si>
  <si>
    <r>
      <rPr>
        <sz val="10"/>
        <rFont val="Arial Narrow"/>
        <family val="2"/>
      </rPr>
      <t xml:space="preserve">4. </t>
    </r>
    <r>
      <rPr>
        <sz val="10"/>
        <rFont val="宋体"/>
        <family val="3"/>
        <charset val="134"/>
      </rPr>
      <t>复核公允价值取得依据是否充分。公允价值与账面价值的差额是否计入公允价值变动损益科目。</t>
    </r>
  </si>
  <si>
    <t>期末未审数</t>
  </si>
  <si>
    <t>差异</t>
  </si>
  <si>
    <t>估值方法</t>
  </si>
  <si>
    <t>估值方法与上期是否一致</t>
  </si>
  <si>
    <t>第一层次</t>
  </si>
  <si>
    <t>第二层次</t>
  </si>
  <si>
    <t>估值文件索引号</t>
  </si>
  <si>
    <t>数量（张/股）</t>
  </si>
  <si>
    <t>单位公允价值</t>
  </si>
  <si>
    <t>公允价值层次</t>
  </si>
  <si>
    <t>公允价值来源机构</t>
  </si>
  <si>
    <t>输入值来源及调整考虑因素</t>
  </si>
  <si>
    <r>
      <rPr>
        <b/>
        <sz val="10"/>
        <color theme="1"/>
        <rFont val="宋体"/>
        <family val="3"/>
        <charset val="134"/>
      </rPr>
      <t>估值技术</t>
    </r>
  </si>
  <si>
    <r>
      <rPr>
        <b/>
        <sz val="10"/>
        <color theme="1"/>
        <rFont val="宋体"/>
        <family val="3"/>
        <charset val="134"/>
      </rPr>
      <t>不可观察输入值</t>
    </r>
  </si>
  <si>
    <t>数值</t>
  </si>
  <si>
    <t>以合同规定的未来现金流量按照市场上具有可比信用等级并在相同条件下提供几乎相同现金流量的利率进行折现后的现值确定</t>
  </si>
  <si>
    <t>收益法（折现现金流量法）</t>
  </si>
  <si>
    <t>加权平均资本成本
长期收入增长率
长期税前营业利润率
非流通折价</t>
  </si>
  <si>
    <t>16% 
2%
10.3%
20%</t>
  </si>
  <si>
    <r>
      <rPr>
        <sz val="10"/>
        <rFont val="宋体"/>
        <family val="3"/>
        <charset val="134"/>
      </rPr>
      <t>了解专家资质及利用估值专家的工作详见：</t>
    </r>
    <r>
      <rPr>
        <sz val="10"/>
        <color rgb="FFFF0000"/>
        <rFont val="宋体"/>
        <family val="3"/>
        <charset val="134"/>
      </rPr>
      <t>B21、C25、S12、S13</t>
    </r>
  </si>
  <si>
    <t>编制说明：</t>
  </si>
  <si>
    <t>1、公允价值的层次</t>
  </si>
  <si>
    <t>（1）第一层次——相同资产或负债在活跃市场中的报价（未经调整的）。只有在交易所或活跃指数/市场上进行交易的工具才能归入第一层次。</t>
  </si>
  <si>
    <t>这一层次包括上市的权益证券和债权工具以及交易所交易的衍生产品如股指期货（基于Nasdaq、S&amp;P500等指数）等。</t>
  </si>
  <si>
    <t>（2）第二层次——直接（即价格）或间接（即从价格推导出）地使用除第一层次中的资产或负债的市场报价之外的可观察输入值。</t>
  </si>
  <si>
    <t>这一层次包括大部分场外交易的衍生工具和债券，交易性贷款和发行的结构型债务工具。</t>
  </si>
  <si>
    <t>（3）第三层次——资产或负债使用了任何非基于可观察市场数据的输入值（不可观察输入值）。</t>
  </si>
  <si>
    <t>这一层次包括一项或多项重大输入为不可观察变量的股权和债券工具。所采用的估值模型通常为现金流折现模型。</t>
  </si>
  <si>
    <t>页次：</t>
  </si>
  <si>
    <t>1、取得第三层次公允价值计量金融资产明细清单，复核加计是否正确；</t>
  </si>
  <si>
    <t>2、确定第三层次公允价值计量调节过程披露是否适当</t>
  </si>
  <si>
    <t>投资项目【按明细项目列示，如证券名称或被投资单位名称】</t>
  </si>
  <si>
    <r>
      <rPr>
        <b/>
        <sz val="10"/>
        <color theme="1"/>
        <rFont val="宋体"/>
        <family val="3"/>
        <charset val="134"/>
      </rPr>
      <t>期初余额</t>
    </r>
  </si>
  <si>
    <r>
      <rPr>
        <b/>
        <sz val="10"/>
        <color theme="1"/>
        <rFont val="宋体"/>
        <family val="3"/>
        <charset val="134"/>
      </rPr>
      <t>转入第三层次</t>
    </r>
  </si>
  <si>
    <r>
      <rPr>
        <b/>
        <sz val="10"/>
        <color theme="1"/>
        <rFont val="宋体"/>
        <family val="3"/>
        <charset val="134"/>
      </rPr>
      <t>转出第三层次</t>
    </r>
  </si>
  <si>
    <r>
      <rPr>
        <b/>
        <sz val="10"/>
        <color theme="1"/>
        <rFont val="宋体"/>
        <family val="3"/>
        <charset val="134"/>
      </rPr>
      <t>购买、发行、出售和结算</t>
    </r>
  </si>
  <si>
    <r>
      <rPr>
        <b/>
        <sz val="10"/>
        <color theme="1"/>
        <rFont val="宋体"/>
        <family val="3"/>
        <charset val="134"/>
      </rPr>
      <t>期末余额</t>
    </r>
  </si>
  <si>
    <r>
      <rPr>
        <b/>
        <sz val="10"/>
        <color theme="1"/>
        <rFont val="宋体"/>
        <family val="3"/>
        <charset val="134"/>
      </rPr>
      <t>对于在报告期末持有的资产，计入损益的当期未实现利得或损失的变动</t>
    </r>
  </si>
  <si>
    <t>公允价值变动损益</t>
  </si>
  <si>
    <t>投资收益</t>
  </si>
  <si>
    <r>
      <rPr>
        <b/>
        <sz val="10"/>
        <color theme="1"/>
        <rFont val="宋体"/>
        <family val="3"/>
        <charset val="134"/>
      </rPr>
      <t>购入</t>
    </r>
  </si>
  <si>
    <r>
      <rPr>
        <b/>
        <sz val="10"/>
        <color theme="1"/>
        <rFont val="宋体"/>
        <family val="3"/>
        <charset val="134"/>
      </rPr>
      <t>发行</t>
    </r>
  </si>
  <si>
    <r>
      <rPr>
        <b/>
        <sz val="10"/>
        <color theme="1"/>
        <rFont val="宋体"/>
        <family val="3"/>
        <charset val="134"/>
      </rPr>
      <t>出售</t>
    </r>
  </si>
  <si>
    <r>
      <rPr>
        <b/>
        <sz val="10"/>
        <color theme="1"/>
        <rFont val="宋体"/>
        <family val="3"/>
        <charset val="134"/>
      </rPr>
      <t>结算</t>
    </r>
  </si>
  <si>
    <t>合 计</t>
  </si>
  <si>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</si>
  <si>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一、审计目标：</t>
    </r>
  </si>
  <si>
    <t>确定被审计单位管理交易性金融资产的业务模式，并结合合同现金流量特征，确定债权投资的金融资产分类。</t>
  </si>
  <si>
    <r>
      <rPr>
        <b/>
        <sz val="10"/>
        <rFont val="宋体"/>
        <family val="3"/>
        <charset val="134"/>
      </rPr>
      <t>二、审计过程：</t>
    </r>
  </si>
  <si>
    <r>
      <rPr>
        <sz val="10"/>
        <rFont val="Arial Narrow"/>
        <family val="2"/>
      </rPr>
      <t>1.</t>
    </r>
    <r>
      <rPr>
        <sz val="10"/>
        <rFont val="宋体"/>
        <family val="3"/>
        <charset val="134"/>
      </rPr>
      <t>了解并观察被审计单位如何管理其金融资产以产生现金流量</t>
    </r>
    <r>
      <rPr>
        <sz val="10"/>
        <rFont val="Arial Narrow"/>
        <family val="2"/>
      </rPr>
      <t>……</t>
    </r>
  </si>
  <si>
    <t>业务模式决定企业所管理金融资产现金流量的来源是收取合同现金流量、出售金融资产还是两者兼有。</t>
  </si>
  <si>
    <r>
      <rPr>
        <sz val="10"/>
        <rFont val="Arial Narrow"/>
        <family val="2"/>
      </rPr>
      <t xml:space="preserve">2. </t>
    </r>
    <r>
      <rPr>
        <sz val="10"/>
        <rFont val="宋体"/>
        <family val="3"/>
        <charset val="134"/>
      </rPr>
      <t>了解被审计单位确定业务模式的层次。若被审计单位将应收账款划分为不同的组合从而确定多个业务模式，分析划分组合的依据是否明确，各组合是否可明确区分</t>
    </r>
    <r>
      <rPr>
        <sz val="10"/>
        <rFont val="Arial Narrow"/>
        <family val="2"/>
      </rPr>
      <t>……</t>
    </r>
  </si>
  <si>
    <t>业务目标：获取现金流量、最大化投资回报、满足流动性需求等。</t>
  </si>
  <si>
    <r>
      <rPr>
        <sz val="10"/>
        <rFont val="Arial Narrow"/>
        <family val="2"/>
      </rPr>
      <t xml:space="preserve">3. </t>
    </r>
    <r>
      <rPr>
        <sz val="10"/>
        <rFont val="宋体"/>
        <family val="3"/>
        <charset val="134"/>
      </rPr>
      <t>对于以收取合同现金流量为目标的业务模式</t>
    </r>
    <r>
      <rPr>
        <sz val="10"/>
        <rFont val="Arial Narrow"/>
        <family val="2"/>
      </rPr>
      <t>……</t>
    </r>
  </si>
  <si>
    <t>业务模式是一项事实而非仅仅是认定，也不是一项选择，不依赖于管理层对单项工具的意图。</t>
  </si>
  <si>
    <r>
      <rPr>
        <sz val="10"/>
        <rFont val="Arial Narrow"/>
        <family val="2"/>
      </rPr>
      <t xml:space="preserve">4. </t>
    </r>
    <r>
      <rPr>
        <sz val="10"/>
        <rFont val="宋体"/>
        <family val="3"/>
        <charset val="134"/>
      </rPr>
      <t>对于以收取合同现金流量和出售金融资产为目标的业务模式</t>
    </r>
    <r>
      <rPr>
        <sz val="10"/>
        <rFont val="Arial Narrow"/>
        <family val="2"/>
      </rPr>
      <t>……</t>
    </r>
  </si>
  <si>
    <t>业务模式应当在反映如何对多组金融资产一起进行管理以实现特定业务目标的层次上确定。</t>
  </si>
  <si>
    <r>
      <rPr>
        <sz val="10"/>
        <rFont val="Arial Narrow"/>
        <family val="2"/>
      </rPr>
      <t xml:space="preserve">5. </t>
    </r>
    <r>
      <rPr>
        <sz val="10"/>
        <rFont val="宋体"/>
        <family val="3"/>
        <charset val="134"/>
      </rPr>
      <t>对于其他业务模式</t>
    </r>
    <r>
      <rPr>
        <sz val="10"/>
        <rFont val="Arial Narrow"/>
        <family val="2"/>
      </rPr>
      <t>……</t>
    </r>
  </si>
  <si>
    <t>具体可参见蓝色文字提示</t>
  </si>
  <si>
    <t>出售本身并不能决定业务模式。
但频繁且重大的出售说明业务模式不是以收取合同现金流量为目标。</t>
  </si>
  <si>
    <t>（一）以单一业务模式管理所有交易性金融资产</t>
  </si>
  <si>
    <t>了解并观察被审计单位管理交易性金融资产的实际情况及未来预期</t>
  </si>
  <si>
    <t>是或否</t>
  </si>
  <si>
    <t>说明</t>
  </si>
  <si>
    <r>
      <rPr>
        <sz val="10"/>
        <rFont val="Arial Narrow"/>
        <family val="2"/>
      </rPr>
      <t xml:space="preserve">1. </t>
    </r>
    <r>
      <rPr>
        <sz val="10"/>
        <rFont val="宋体"/>
        <family val="3"/>
        <charset val="134"/>
      </rPr>
      <t>被审计单位是否涉及大额且频繁的交易性金融资产出售？</t>
    </r>
  </si>
  <si>
    <t>是</t>
  </si>
  <si>
    <r>
      <rPr>
        <sz val="10"/>
        <rFont val="Arial Narrow"/>
        <family val="2"/>
      </rPr>
      <t xml:space="preserve">2. </t>
    </r>
    <r>
      <rPr>
        <sz val="10"/>
        <rFont val="宋体"/>
        <family val="3"/>
        <charset val="134"/>
      </rPr>
      <t>被审计单位持有交易性金融资产的目的是交易性的？</t>
    </r>
  </si>
  <si>
    <r>
      <rPr>
        <sz val="10"/>
        <rFont val="Arial Narrow"/>
        <family val="2"/>
      </rPr>
      <t xml:space="preserve">2.1 </t>
    </r>
    <r>
      <rPr>
        <sz val="10"/>
        <rFont val="宋体"/>
        <family val="3"/>
        <charset val="134"/>
      </rPr>
      <t>取得相关金融资产的目的，主要是为了近期出售或回购？</t>
    </r>
  </si>
  <si>
    <r>
      <rPr>
        <sz val="10"/>
        <rFont val="Arial Narrow"/>
        <family val="2"/>
      </rPr>
      <t xml:space="preserve">2.2 </t>
    </r>
    <r>
      <rPr>
        <sz val="10"/>
        <rFont val="宋体"/>
        <family val="3"/>
        <charset val="134"/>
      </rPr>
      <t>相关金融资产在初始确认时属于集中管理的可辨认金融工具组合的一部分，且有客观证据表明近期实际存在短期获利模式？</t>
    </r>
  </si>
  <si>
    <t>否</t>
  </si>
  <si>
    <r>
      <rPr>
        <sz val="10"/>
        <rFont val="Arial Narrow"/>
        <family val="2"/>
      </rPr>
      <t xml:space="preserve">2.3 </t>
    </r>
    <r>
      <rPr>
        <sz val="10"/>
        <rFont val="宋体"/>
        <family val="3"/>
        <charset val="134"/>
      </rPr>
      <t>相关金融资产属于衍生工具（但符合财务担保合同定义的衍生工具以及被指定为有效套期工具的衍生工具除外）？</t>
    </r>
  </si>
  <si>
    <r>
      <rPr>
        <sz val="10"/>
        <rFont val="Arial Narrow"/>
        <family val="2"/>
      </rPr>
      <t xml:space="preserve">3. </t>
    </r>
    <r>
      <rPr>
        <sz val="10"/>
        <rFont val="宋体"/>
        <family val="3"/>
        <charset val="134"/>
      </rPr>
      <t>被审计单位基于交易性金融资产的公允价值作出决策并对其进行管理？</t>
    </r>
  </si>
  <si>
    <r>
      <rPr>
        <sz val="10"/>
        <rFont val="Arial Narrow"/>
        <family val="2"/>
      </rPr>
      <t xml:space="preserve">4. </t>
    </r>
    <r>
      <rPr>
        <sz val="10"/>
        <rFont val="宋体"/>
        <family val="3"/>
        <charset val="134"/>
      </rPr>
      <t>未来是否预期会进行大额且频繁的债权投资出售？</t>
    </r>
  </si>
  <si>
    <r>
      <rPr>
        <sz val="10"/>
        <rFont val="Arial Narrow"/>
        <family val="2"/>
      </rPr>
      <t xml:space="preserve">5. </t>
    </r>
    <r>
      <rPr>
        <sz val="10"/>
        <rFont val="宋体"/>
        <family val="3"/>
        <charset val="134"/>
      </rPr>
      <t>未来是否预期持有交易性金融资产的目的是交易性的或基于交易性金融资产的公允价值作出决策并对其进行管理？</t>
    </r>
  </si>
  <si>
    <t>注意：合并报表层面的业务模式可能与个别报表层面不同</t>
  </si>
  <si>
    <t>（二）将交易性金融资产分拆为次级组合分别确定业务模式</t>
  </si>
  <si>
    <t>是否适用：</t>
  </si>
  <si>
    <t>确定组合的依据及对应业务模式如下：</t>
  </si>
  <si>
    <t>组合</t>
  </si>
  <si>
    <t>组合依据</t>
  </si>
  <si>
    <t>业务模式</t>
  </si>
  <si>
    <t>列报项目</t>
  </si>
  <si>
    <r>
      <rPr>
        <sz val="10"/>
        <rFont val="宋体"/>
        <family val="3"/>
        <charset val="134"/>
      </rPr>
      <t>交易性金融资产组合</t>
    </r>
    <r>
      <rPr>
        <sz val="10"/>
        <rFont val="Arial Narrow"/>
        <family val="2"/>
      </rPr>
      <t>1</t>
    </r>
    <r>
      <rPr>
        <sz val="10"/>
        <rFont val="宋体"/>
        <family val="3"/>
        <charset val="134"/>
      </rPr>
      <t>：</t>
    </r>
  </si>
  <si>
    <t>单个主体可能具有一个以上管理其金融资产的业务模式。在某些情况下，将金融资产组合分拆为次级组合以反映主体据以管理该等金融资产的层次可能是恰当的。</t>
  </si>
  <si>
    <r>
      <rPr>
        <sz val="10"/>
        <rFont val="宋体"/>
        <family val="3"/>
        <charset val="134"/>
      </rPr>
      <t>交易性金融资产组合</t>
    </r>
    <r>
      <rPr>
        <sz val="10"/>
        <rFont val="Arial Narrow"/>
        <family val="2"/>
      </rPr>
      <t>2</t>
    </r>
    <r>
      <rPr>
        <sz val="10"/>
        <rFont val="宋体"/>
        <family val="3"/>
        <charset val="134"/>
      </rPr>
      <t>：</t>
    </r>
  </si>
  <si>
    <r>
      <rPr>
        <b/>
        <sz val="10"/>
        <rFont val="宋体"/>
        <family val="3"/>
        <charset val="134"/>
      </rPr>
      <t>四、审计结论：</t>
    </r>
  </si>
  <si>
    <t>提示：</t>
  </si>
  <si>
    <t>分类判断依据：</t>
  </si>
  <si>
    <t>“交易性”[需属于下列任一情形之一]</t>
  </si>
  <si>
    <t>取得相关金融资产的目的，主要是为了近期出售或回购</t>
  </si>
  <si>
    <t>相关金融资产在初始确认时属于集中管理的可辨认金融工具组合的一部分，且有客观证据表明近期实际存在短期获利模式</t>
  </si>
  <si>
    <t>相关金融资产属于衍生工具（但符合财务担保合同定义的衍生工具以及被指定为有效套期工具的衍生工具除外）</t>
  </si>
  <si>
    <t>合同现金流量并非仅为对本金和以未偿付本金金额为基础的利息的支付</t>
  </si>
  <si>
    <t>在初始确认时，如果能够消除或显著减少会计错配，企业可以将金融资产指定为以公允价值计量且其变动计入当期损益的金融资产</t>
  </si>
  <si>
    <r>
      <rPr>
        <sz val="10"/>
        <color rgb="FF0000FF"/>
        <rFont val="Arial Narrow"/>
        <family val="2"/>
      </rPr>
      <t>1.</t>
    </r>
    <r>
      <rPr>
        <sz val="10"/>
        <color rgb="FF0000FF"/>
        <rFont val="宋体"/>
        <family val="3"/>
        <charset val="134"/>
      </rPr>
      <t>了解并观察被审计单位如何管理其金融资产以产生现金流量</t>
    </r>
    <r>
      <rPr>
        <sz val="10"/>
        <color rgb="FF0000FF"/>
        <rFont val="Arial Narrow"/>
        <family val="2"/>
      </rPr>
      <t>……</t>
    </r>
  </si>
  <si>
    <r>
      <rPr>
        <sz val="10"/>
        <color rgb="FF0000FF"/>
        <rFont val="Arial Narrow"/>
        <family val="2"/>
      </rPr>
      <t xml:space="preserve">1.1 </t>
    </r>
    <r>
      <rPr>
        <sz val="10"/>
        <color rgb="FF0000FF"/>
        <rFont val="宋体"/>
        <family val="3"/>
        <charset val="134"/>
      </rPr>
      <t>了解被审计单位关键管理人员决定的对金融资产进行管理的特定业务目标；</t>
    </r>
  </si>
  <si>
    <r>
      <rPr>
        <sz val="10"/>
        <color rgb="FF0000FF"/>
        <rFont val="Arial Narrow"/>
        <family val="2"/>
      </rPr>
      <t xml:space="preserve">1.2 </t>
    </r>
    <r>
      <rPr>
        <sz val="10"/>
        <color rgb="FF0000FF"/>
        <rFont val="宋体"/>
        <family val="3"/>
        <charset val="134"/>
      </rPr>
      <t>考虑被审计单位评价和向关键管理人员报告金融资产业绩的方式、影响金融资产业绩的风险及其管理方式以及相关业务管理人员获得报酬的方式（例如报酬是基于所管理资产的公允价值还是所收取的合同现金流量）等。</t>
    </r>
  </si>
  <si>
    <r>
      <rPr>
        <sz val="10"/>
        <color rgb="FF0000FF"/>
        <rFont val="Arial Narrow"/>
        <family val="2"/>
      </rPr>
      <t xml:space="preserve">2. </t>
    </r>
    <r>
      <rPr>
        <sz val="10"/>
        <color rgb="FF0000FF"/>
        <rFont val="宋体"/>
        <family val="3"/>
        <charset val="134"/>
      </rPr>
      <t>了解被审计单位确定业务模式的层次。若被审计单位将应收账款划分为不同的组合从而确定多个业务模式，分析划分组合的依据是否明确，各组合是否可明确区分</t>
    </r>
    <r>
      <rPr>
        <sz val="10"/>
        <color rgb="FF0000FF"/>
        <rFont val="Arial Narrow"/>
        <family val="2"/>
      </rPr>
      <t>……</t>
    </r>
  </si>
  <si>
    <r>
      <rPr>
        <sz val="10"/>
        <color rgb="FF0000FF"/>
        <rFont val="Arial Narrow"/>
        <family val="2"/>
      </rPr>
      <t xml:space="preserve">3. </t>
    </r>
    <r>
      <rPr>
        <sz val="10"/>
        <color rgb="FF0000FF"/>
        <rFont val="宋体"/>
        <family val="3"/>
        <charset val="134"/>
      </rPr>
      <t>对于以收取合同现金流量为目标的业务模式</t>
    </r>
    <r>
      <rPr>
        <sz val="10"/>
        <color rgb="FF0000FF"/>
        <rFont val="Arial Narrow"/>
        <family val="2"/>
      </rPr>
      <t>……</t>
    </r>
  </si>
  <si>
    <r>
      <rPr>
        <sz val="10"/>
        <color rgb="FF0000FF"/>
        <rFont val="Arial Narrow"/>
        <family val="2"/>
      </rPr>
      <t xml:space="preserve">3.1 </t>
    </r>
    <r>
      <rPr>
        <sz val="10"/>
        <color rgb="FF0000FF"/>
        <rFont val="宋体"/>
        <family val="3"/>
        <charset val="134"/>
      </rPr>
      <t>了解以前的出售是否频繁，但金额不重大；或金额虽重大（如在压力情景下出售），但不频繁；</t>
    </r>
  </si>
  <si>
    <r>
      <rPr>
        <sz val="10"/>
        <color rgb="FF0000FF"/>
        <rFont val="Arial Narrow"/>
        <family val="2"/>
      </rPr>
      <t xml:space="preserve">3.2 </t>
    </r>
    <r>
      <rPr>
        <sz val="10"/>
        <color rgb="FF0000FF"/>
        <rFont val="宋体"/>
        <family val="3"/>
        <charset val="134"/>
      </rPr>
      <t>了解以前的出售是否在接近到期日发生；</t>
    </r>
  </si>
  <si>
    <r>
      <rPr>
        <sz val="10"/>
        <color rgb="FF0000FF"/>
        <rFont val="Arial Narrow"/>
        <family val="2"/>
      </rPr>
      <t xml:space="preserve">3.3 </t>
    </r>
    <r>
      <rPr>
        <sz val="10"/>
        <color rgb="FF0000FF"/>
        <rFont val="宋体"/>
        <family val="3"/>
        <charset val="134"/>
      </rPr>
      <t>了解被审计单位对未来出售活动的预期。</t>
    </r>
  </si>
  <si>
    <r>
      <rPr>
        <sz val="10"/>
        <color rgb="FF0000FF"/>
        <rFont val="Arial Narrow"/>
        <family val="2"/>
      </rPr>
      <t xml:space="preserve">4. </t>
    </r>
    <r>
      <rPr>
        <sz val="10"/>
        <color rgb="FF0000FF"/>
        <rFont val="宋体"/>
        <family val="3"/>
        <charset val="134"/>
      </rPr>
      <t>对于以收取合同现金流量和出售金融资产为目标的业务模式</t>
    </r>
    <r>
      <rPr>
        <sz val="10"/>
        <color rgb="FF0000FF"/>
        <rFont val="Arial Narrow"/>
        <family val="2"/>
      </rPr>
      <t>……</t>
    </r>
  </si>
  <si>
    <r>
      <rPr>
        <sz val="10"/>
        <color rgb="FF0000FF"/>
        <rFont val="Arial Narrow"/>
        <family val="2"/>
      </rPr>
      <t xml:space="preserve">4.1 </t>
    </r>
    <r>
      <rPr>
        <sz val="10"/>
        <color rgb="FF0000FF"/>
        <rFont val="宋体"/>
        <family val="3"/>
        <charset val="134"/>
      </rPr>
      <t>了解收取合同现金流量和出售金融资产对于实现其管理目标而言是否都是不可或缺的；</t>
    </r>
  </si>
  <si>
    <r>
      <rPr>
        <sz val="10"/>
        <color rgb="FF0000FF"/>
        <rFont val="Arial Narrow"/>
        <family val="2"/>
      </rPr>
      <t xml:space="preserve">4.2 </t>
    </r>
    <r>
      <rPr>
        <sz val="10"/>
        <color rgb="FF0000FF"/>
        <rFont val="宋体"/>
        <family val="3"/>
        <charset val="134"/>
      </rPr>
      <t>了解被审计单位是否涉及更高频率和更大价值的出售，即经常进行大额贴现或背书。</t>
    </r>
  </si>
  <si>
    <r>
      <rPr>
        <sz val="10"/>
        <color rgb="FF0000FF"/>
        <rFont val="Arial Narrow"/>
        <family val="2"/>
      </rPr>
      <t xml:space="preserve">5. </t>
    </r>
    <r>
      <rPr>
        <sz val="10"/>
        <color rgb="FF0000FF"/>
        <rFont val="宋体"/>
        <family val="3"/>
        <charset val="134"/>
      </rPr>
      <t>对于其他业务模式</t>
    </r>
    <r>
      <rPr>
        <sz val="10"/>
        <color rgb="FF0000FF"/>
        <rFont val="Arial Narrow"/>
        <family val="2"/>
      </rPr>
      <t>……</t>
    </r>
  </si>
  <si>
    <r>
      <rPr>
        <sz val="10"/>
        <color rgb="FF0000FF"/>
        <rFont val="Arial Narrow"/>
        <family val="2"/>
      </rPr>
      <t xml:space="preserve">5.1 </t>
    </r>
    <r>
      <rPr>
        <sz val="10"/>
        <color rgb="FF0000FF"/>
        <rFont val="宋体"/>
        <family val="3"/>
        <charset val="134"/>
      </rPr>
      <t>了解被审计单位持有债权投资的目的是否是交易性的；</t>
    </r>
  </si>
  <si>
    <r>
      <rPr>
        <sz val="10"/>
        <color rgb="FF0000FF"/>
        <rFont val="Arial Narrow"/>
        <family val="2"/>
      </rPr>
      <t xml:space="preserve">5.2 </t>
    </r>
    <r>
      <rPr>
        <sz val="10"/>
        <color rgb="FF0000FF"/>
        <rFont val="宋体"/>
        <family val="3"/>
        <charset val="134"/>
      </rPr>
      <t>了解被审计单位是否基于债权投资的公允价值作出决策并对其进行管理。</t>
    </r>
  </si>
  <si>
    <r>
      <rPr>
        <sz val="10"/>
        <color theme="1"/>
        <rFont val="宋体"/>
        <family val="3"/>
        <charset val="134"/>
      </rPr>
      <t>索引号：</t>
    </r>
  </si>
  <si>
    <t>确定以公允价值计量且其变动计入当期损益的金融资产投资分类是否正确。</t>
  </si>
  <si>
    <r>
      <rPr>
        <sz val="10"/>
        <color theme="1"/>
        <rFont val="Arial Narrow"/>
        <family val="2"/>
      </rPr>
      <t xml:space="preserve">1. </t>
    </r>
    <r>
      <rPr>
        <sz val="10"/>
        <color theme="1"/>
        <rFont val="宋体"/>
        <family val="3"/>
        <charset val="134"/>
      </rPr>
      <t>以公允价值计量且其变动计入当期损益的金融资产投资的指定是否符合准则要求、会计处理是否合理并与前期一致。</t>
    </r>
  </si>
  <si>
    <r>
      <rPr>
        <sz val="10"/>
        <color theme="1"/>
        <rFont val="Arial Narrow"/>
        <family val="2"/>
      </rPr>
      <t xml:space="preserve">2. </t>
    </r>
    <r>
      <rPr>
        <sz val="10"/>
        <color theme="1"/>
        <rFont val="宋体"/>
        <family val="3"/>
        <charset val="134"/>
      </rPr>
      <t>就管理层将投资确定为非交易性的目的获取书面声明，询问管理层持有相关资产的目的，实施以下程序印证管理层的答复，确定相关资产的分类是否正确：</t>
    </r>
  </si>
  <si>
    <r>
      <rPr>
        <sz val="10"/>
        <color theme="1"/>
        <rFont val="Arial Narrow"/>
        <family val="2"/>
      </rPr>
      <t xml:space="preserve">2.1 </t>
    </r>
    <r>
      <rPr>
        <sz val="10"/>
        <color theme="1"/>
        <rFont val="宋体"/>
        <family val="3"/>
        <charset val="134"/>
      </rPr>
      <t>考虑管理层以前所述的对于投资持有目的的实际实施情况；</t>
    </r>
  </si>
  <si>
    <r>
      <rPr>
        <sz val="10"/>
        <color theme="1"/>
        <rFont val="Arial Narrow"/>
        <family val="2"/>
      </rPr>
      <t xml:space="preserve">2.2 </t>
    </r>
    <r>
      <rPr>
        <sz val="10"/>
        <color theme="1"/>
        <rFont val="宋体"/>
        <family val="3"/>
        <charset val="134"/>
      </rPr>
      <t>复核包括预算、管理层会议纪要等在内的文件和报告记录，检查管理层是否对投资的持有目的进行了明确的书面指定</t>
    </r>
    <r>
      <rPr>
        <sz val="10"/>
        <color theme="1"/>
        <rFont val="宋体"/>
        <family val="3"/>
        <charset val="134"/>
      </rPr>
      <t>。</t>
    </r>
  </si>
  <si>
    <r>
      <rPr>
        <sz val="10"/>
        <color theme="1"/>
        <rFont val="Arial Narrow"/>
        <family val="2"/>
      </rPr>
      <t xml:space="preserve">3. </t>
    </r>
    <r>
      <rPr>
        <sz val="10"/>
        <color theme="1"/>
        <rFont val="宋体"/>
        <family val="3"/>
        <charset val="134"/>
      </rPr>
      <t>与管理层讨论金融资产分类是否符合企业会计准则，是否根据确定的分类选用了正确的核算方法。</t>
    </r>
  </si>
  <si>
    <r>
      <rPr>
        <sz val="10"/>
        <color theme="1"/>
        <rFont val="Arial Narrow"/>
        <family val="2"/>
      </rPr>
      <t xml:space="preserve">4. </t>
    </r>
    <r>
      <rPr>
        <sz val="10"/>
        <color theme="1"/>
        <rFont val="宋体"/>
        <family val="3"/>
        <charset val="134"/>
      </rPr>
      <t>是否发现管理层在以前年度运用的重大判断和估计存在不合理的情形。如果存在，记录管理层是否在当年进行了恰当的会计处理和披露，并选用了更为准确的判断和假设。</t>
    </r>
  </si>
  <si>
    <t>投资项目</t>
  </si>
  <si>
    <t>期末账面价值</t>
  </si>
  <si>
    <r>
      <rPr>
        <b/>
        <sz val="10"/>
        <color theme="1"/>
        <rFont val="Arial Narrow"/>
        <family val="2"/>
      </rPr>
      <t>“</t>
    </r>
    <r>
      <rPr>
        <b/>
        <sz val="10"/>
        <color theme="1"/>
        <rFont val="宋体"/>
        <family val="3"/>
        <charset val="134"/>
      </rPr>
      <t>交易性</t>
    </r>
    <r>
      <rPr>
        <b/>
        <sz val="10"/>
        <color theme="1"/>
        <rFont val="Arial Narrow"/>
        <family val="2"/>
      </rPr>
      <t>”[</t>
    </r>
    <r>
      <rPr>
        <b/>
        <sz val="10"/>
        <color theme="1"/>
        <rFont val="宋体"/>
        <family val="3"/>
        <charset val="134"/>
      </rPr>
      <t>需属于下列任一情形之一</t>
    </r>
    <r>
      <rPr>
        <b/>
        <sz val="10"/>
        <color theme="1"/>
        <rFont val="Arial Narrow"/>
        <family val="2"/>
      </rPr>
      <t>]</t>
    </r>
  </si>
  <si>
    <r>
      <rPr>
        <b/>
        <sz val="10"/>
        <color theme="1"/>
        <rFont val="Arial Narrow"/>
        <family val="2"/>
      </rPr>
      <t>“</t>
    </r>
    <r>
      <rPr>
        <b/>
        <sz val="10"/>
        <color theme="1"/>
        <rFont val="宋体"/>
        <family val="3"/>
        <charset val="134"/>
      </rPr>
      <t>初始确认时指定</t>
    </r>
    <r>
      <rPr>
        <b/>
        <sz val="10"/>
        <color theme="1"/>
        <rFont val="Arial Narrow"/>
        <family val="2"/>
      </rPr>
      <t>”</t>
    </r>
  </si>
  <si>
    <t>书面文件索引号</t>
  </si>
  <si>
    <t>能够消除或显著减少会计错配</t>
  </si>
  <si>
    <t>满足</t>
  </si>
  <si>
    <r>
      <rPr>
        <b/>
        <sz val="10"/>
        <rFont val="宋体"/>
        <family val="3"/>
        <charset val="134"/>
      </rPr>
      <t>四、审计结论</t>
    </r>
  </si>
  <si>
    <t>确定被审计单位管理债务工具投资的合同现金流量特征是否仅为对本金和以未偿付本金金额为基础的利息的支付（能否通过SPPI测试），并结合业务模式，确定债务工具投资的金融资产分类。</t>
  </si>
  <si>
    <r>
      <rPr>
        <sz val="10"/>
        <rFont val="Arial Narrow"/>
        <family val="2"/>
      </rPr>
      <t>1.</t>
    </r>
    <r>
      <rPr>
        <sz val="10"/>
        <rFont val="宋体"/>
        <family val="3"/>
        <charset val="134"/>
        <scheme val="minor"/>
      </rPr>
      <t>分析金融资产的利息构成……</t>
    </r>
  </si>
  <si>
    <r>
      <rPr>
        <sz val="10"/>
        <rFont val="Arial Narrow"/>
        <family val="2"/>
      </rPr>
      <t xml:space="preserve">4. </t>
    </r>
    <r>
      <rPr>
        <sz val="10"/>
        <rFont val="宋体"/>
        <family val="3"/>
        <charset val="134"/>
      </rPr>
      <t>考虑无追索权规定……</t>
    </r>
  </si>
  <si>
    <r>
      <rPr>
        <sz val="10"/>
        <rFont val="Arial Narrow"/>
        <family val="2"/>
      </rPr>
      <t xml:space="preserve">2. </t>
    </r>
    <r>
      <rPr>
        <sz val="10"/>
        <rFont val="宋体"/>
        <family val="3"/>
        <charset val="134"/>
      </rPr>
      <t>修正的货币时间价值……</t>
    </r>
  </si>
  <si>
    <r>
      <rPr>
        <sz val="10"/>
        <rFont val="Arial Narrow"/>
        <family val="2"/>
      </rPr>
      <t xml:space="preserve">5. </t>
    </r>
    <r>
      <rPr>
        <sz val="10"/>
        <rFont val="宋体"/>
        <family val="3"/>
        <charset val="134"/>
      </rPr>
      <t>分析合同挂钩工具……</t>
    </r>
  </si>
  <si>
    <r>
      <rPr>
        <sz val="10"/>
        <rFont val="Arial Narrow"/>
        <family val="2"/>
      </rPr>
      <t xml:space="preserve">3. </t>
    </r>
    <r>
      <rPr>
        <sz val="10"/>
        <rFont val="宋体"/>
        <family val="3"/>
        <charset val="134"/>
      </rPr>
      <t>分析导致合同现金流量的时间或金额变更的合同条款……</t>
    </r>
  </si>
  <si>
    <r>
      <rPr>
        <sz val="10"/>
        <rFont val="Arial Narrow"/>
        <family val="2"/>
      </rPr>
      <t xml:space="preserve">6. </t>
    </r>
    <r>
      <rPr>
        <sz val="10"/>
        <rFont val="宋体"/>
        <family val="3"/>
        <charset val="134"/>
      </rPr>
      <t>考虑极其微小的影响或不现实的现金流量特征……</t>
    </r>
  </si>
  <si>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</si>
  <si>
    <t>（一）债券投资（国债、公司债、企业债）</t>
  </si>
  <si>
    <t>票面价值总额</t>
  </si>
  <si>
    <t>提前回售选择权</t>
  </si>
  <si>
    <t>展期选择权</t>
  </si>
  <si>
    <t>权益转换特征</t>
  </si>
  <si>
    <t>杠杆因素</t>
  </si>
  <si>
    <t>结论</t>
  </si>
  <si>
    <r>
      <rPr>
        <sz val="10"/>
        <rFont val="宋体"/>
        <family val="3"/>
        <charset val="134"/>
      </rPr>
      <t>通过</t>
    </r>
    <r>
      <rPr>
        <sz val="10"/>
        <rFont val="Arial Narrow"/>
        <family val="2"/>
      </rPr>
      <t>SPPI</t>
    </r>
    <r>
      <rPr>
        <sz val="10"/>
        <rFont val="宋体"/>
        <family val="3"/>
        <charset val="134"/>
      </rPr>
      <t>测试</t>
    </r>
  </si>
  <si>
    <t>一般债券通常能通过SPPI测试（合同现金流量仅为对本金和以未偿付本金金额为基础的利息的支付）</t>
  </si>
  <si>
    <t>（二）银行理财产品</t>
  </si>
  <si>
    <t>1.是否保本保收益</t>
  </si>
  <si>
    <t>投资总额</t>
  </si>
  <si>
    <t>保证本金</t>
  </si>
  <si>
    <t>固定收益</t>
  </si>
  <si>
    <t>浮动收益</t>
  </si>
  <si>
    <t>保证固定收益</t>
  </si>
  <si>
    <t>固定收益率</t>
  </si>
  <si>
    <t>约定浮动收益</t>
  </si>
  <si>
    <t>浮动收益率</t>
  </si>
  <si>
    <t>保证收益型</t>
  </si>
  <si>
    <t>X银行结构性存款</t>
  </si>
  <si>
    <t>G银行结构性存款</t>
  </si>
  <si>
    <t>非保本型理财产品</t>
  </si>
  <si>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</si>
  <si>
    <t>2.浮动收益是否是不现实的</t>
  </si>
  <si>
    <t>若无法了解基础资产的具体情况，因而无法对特定的基础资产或其现金流量进行评估（穿透），则通不过SPPI测试</t>
  </si>
  <si>
    <t>浮动收益确定方式</t>
  </si>
  <si>
    <t>基础变量历史变动情况</t>
  </si>
  <si>
    <t>浮动收益是否是不现实的</t>
  </si>
  <si>
    <t>如在观察期内，欧元/美元汇率始终位于参考区间（1.0600,1.1442）内，则到期时预期可实现的投资年化收益率为3.35%。如在观察期内，欧元/美元汇率突破了参考区间，则到期时预期可实现的投资年化收益率为3.30%/年。</t>
  </si>
  <si>
    <t>2007年以来，欧元/美元汇率最低1.0511（2016年）、最高1.4588（2007年）；近三年的波动幅度也达到[1.09,1.19]。因此突破了参考区间，浮动并非是“不现实的”。</t>
  </si>
  <si>
    <t>现实的</t>
  </si>
  <si>
    <t>（三）优先股、永续债</t>
  </si>
  <si>
    <t>期限</t>
  </si>
  <si>
    <t>首个计息期利率</t>
  </si>
  <si>
    <t>重置票面利率</t>
  </si>
  <si>
    <t>递延利息是否计息</t>
  </si>
  <si>
    <t>可转换为发行方固定数量的权益工具</t>
  </si>
  <si>
    <t>永续工具可视为具有连续性的多项展期选择权。如果利息支付具有强制性且必须永久性支付，则可能导致其符合本金加利息的合同现金流量特征。如含有或有结算条款的、递延利息计息的永续债。</t>
  </si>
  <si>
    <r>
      <rPr>
        <sz val="10"/>
        <rFont val="Arial Narrow"/>
        <family val="2"/>
      </rPr>
      <t>XX</t>
    </r>
    <r>
      <rPr>
        <sz val="10"/>
        <rFont val="宋体"/>
        <family val="3"/>
        <charset val="134"/>
      </rPr>
      <t>公司</t>
    </r>
    <r>
      <rPr>
        <sz val="10"/>
        <rFont val="Arial Narrow"/>
        <family val="2"/>
      </rPr>
      <t>2019</t>
    </r>
    <r>
      <rPr>
        <sz val="10"/>
        <rFont val="宋体"/>
        <family val="3"/>
        <charset val="134"/>
      </rPr>
      <t>年度第二期中期票据</t>
    </r>
  </si>
  <si>
    <t>3+N</t>
  </si>
  <si>
    <t>当期基准利率+初始利差+300BP</t>
  </si>
  <si>
    <t>计息</t>
  </si>
  <si>
    <t>通过SPPI测试</t>
  </si>
  <si>
    <t>如果递延利息不产生额外孳息，则不符合本金加利息的合同现金流量特征。</t>
  </si>
  <si>
    <t>如果可转换为发行方固定数量的权益工具，则不符合本金加利息的合同现金流量特征。</t>
  </si>
  <si>
    <t>（四）可转换债券</t>
  </si>
  <si>
    <t>初始转股价格</t>
  </si>
  <si>
    <r>
      <rPr>
        <sz val="10"/>
        <rFont val="宋体"/>
        <family val="3"/>
        <charset val="134"/>
      </rPr>
      <t>YY转债</t>
    </r>
    <r>
      <rPr>
        <sz val="10"/>
        <rFont val="Arial Narrow"/>
        <family val="2"/>
      </rPr>
      <t>“190009”</t>
    </r>
  </si>
  <si>
    <t>5年</t>
  </si>
  <si>
    <r>
      <rPr>
        <sz val="10"/>
        <rFont val="宋体"/>
        <family val="3"/>
        <charset val="134"/>
      </rPr>
      <t>第一年</t>
    </r>
    <r>
      <rPr>
        <sz val="10"/>
        <rFont val="Arial Narrow"/>
        <family val="2"/>
      </rPr>
      <t>0.50%</t>
    </r>
    <r>
      <rPr>
        <sz val="10"/>
        <rFont val="宋体"/>
        <family val="3"/>
        <charset val="134"/>
      </rPr>
      <t>，第二年</t>
    </r>
    <r>
      <rPr>
        <sz val="10"/>
        <rFont val="Arial Narrow"/>
        <family val="2"/>
      </rPr>
      <t>0.70%</t>
    </r>
    <r>
      <rPr>
        <sz val="10"/>
        <rFont val="宋体"/>
        <family val="3"/>
        <charset val="134"/>
      </rPr>
      <t>，第三年</t>
    </r>
    <r>
      <rPr>
        <sz val="10"/>
        <rFont val="Arial Narrow"/>
        <family val="2"/>
      </rPr>
      <t>1.30%</t>
    </r>
    <r>
      <rPr>
        <sz val="10"/>
        <rFont val="宋体"/>
        <family val="3"/>
        <charset val="134"/>
      </rPr>
      <t>，第四年</t>
    </r>
    <r>
      <rPr>
        <sz val="10"/>
        <rFont val="Arial Narrow"/>
        <family val="2"/>
      </rPr>
      <t>1.70%</t>
    </r>
    <r>
      <rPr>
        <sz val="10"/>
        <rFont val="宋体"/>
        <family val="3"/>
        <charset val="134"/>
      </rPr>
      <t>，第五年</t>
    </r>
    <r>
      <rPr>
        <sz val="10"/>
        <rFont val="Arial Narrow"/>
        <family val="2"/>
      </rPr>
      <t>2.00%</t>
    </r>
  </si>
  <si>
    <t>17.72元/股</t>
  </si>
  <si>
    <t>可转换债券可转换成固定数量的发行人权益工具，其回报与发行人的权益工具价值挂钩，不符合本金加利息的合同现金流量特征</t>
  </si>
  <si>
    <t>通不过SPPI测试</t>
  </si>
  <si>
    <t>可转换债券若可转换为可变数量的股份，且其价值等于本金及未偿付本金金额之利息的未支付金额，则能通过SPPI测试。</t>
  </si>
  <si>
    <t>（五）项目收益债、信托计划份额</t>
  </si>
  <si>
    <t>基础资产现金流</t>
  </si>
  <si>
    <t>差额补偿机制</t>
  </si>
  <si>
    <t>担保</t>
  </si>
  <si>
    <r>
      <rPr>
        <sz val="10"/>
        <rFont val="Arial Narrow"/>
        <family val="2"/>
      </rPr>
      <t>“17</t>
    </r>
    <r>
      <rPr>
        <sz val="10"/>
        <rFont val="宋体"/>
        <family val="3"/>
        <charset val="134"/>
      </rPr>
      <t>延安</t>
    </r>
    <r>
      <rPr>
        <sz val="10"/>
        <rFont val="Arial Narrow"/>
        <family val="2"/>
      </rPr>
      <t>01”</t>
    </r>
    <r>
      <rPr>
        <sz val="10"/>
        <rFont val="宋体"/>
        <family val="3"/>
        <charset val="134"/>
      </rPr>
      <t>项目收益专项公司债</t>
    </r>
  </si>
  <si>
    <t>10年</t>
  </si>
  <si>
    <t>延安圣地河谷·金延安板块一期综合开发建设项目门票收入、商业配套收入</t>
  </si>
  <si>
    <t>集团公司作为差额补偿人，当募投项目收入无法覆盖本息，发行人用自身其他收入进行不足后，保证金专用账户余额仍不能覆盖应付本息时，由集团公司承担差额补足义务。</t>
  </si>
  <si>
    <t>由集团公司提供全额无条件不可撤销的连带责任保证担保</t>
  </si>
  <si>
    <t>项目收益债收入并不仅限于项目收入，发行人自身其他收入应进行补足足，且存在差额补足义务人，因此不属于真正的“无追索权”，可以通过SPPI测试</t>
  </si>
  <si>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</si>
  <si>
    <r>
      <rPr>
        <sz val="10"/>
        <rFont val="Arial Narrow"/>
        <family val="2"/>
      </rPr>
      <t>00</t>
    </r>
    <r>
      <rPr>
        <sz val="10"/>
        <rFont val="宋体"/>
        <family val="3"/>
        <charset val="134"/>
      </rPr>
      <t>号集合信托计划</t>
    </r>
  </si>
  <si>
    <t>18个月</t>
  </si>
  <si>
    <t>A类受益人预期年收益率：7.3%</t>
  </si>
  <si>
    <t>权益投资</t>
  </si>
  <si>
    <t>不涉及</t>
  </si>
  <si>
    <t>基础资产为权益投资，不符合本金加利息的合同现金流量特征</t>
  </si>
  <si>
    <t>如果合同现金流量特征仅对金融资产的合同现金流量构成极其微小的影响，则不会影响金融资产的分类。</t>
  </si>
  <si>
    <t>（六）资产支持证券</t>
  </si>
  <si>
    <t>级次</t>
  </si>
  <si>
    <t>信用风险比较</t>
  </si>
  <si>
    <r>
      <rPr>
        <sz val="10"/>
        <rFont val="Arial Narrow"/>
        <family val="2"/>
      </rPr>
      <t>"19XX06”</t>
    </r>
    <r>
      <rPr>
        <sz val="10"/>
        <rFont val="宋体"/>
        <family val="3"/>
        <charset val="134"/>
      </rPr>
      <t>优先</t>
    </r>
    <r>
      <rPr>
        <sz val="10"/>
        <rFont val="Arial Narrow"/>
        <family val="2"/>
      </rPr>
      <t>A</t>
    </r>
  </si>
  <si>
    <t>优先级</t>
  </si>
  <si>
    <t>贷款</t>
  </si>
  <si>
    <t>分级的信用评级高于假设发行单一工具（不分级），该工具所得到的信用评级</t>
  </si>
  <si>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SPPI测试</t>
  </si>
  <si>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</si>
  <si>
    <r>
      <rPr>
        <sz val="10"/>
        <rFont val="Arial Narrow"/>
        <family val="2"/>
      </rPr>
      <t>"19XX09”</t>
    </r>
    <r>
      <rPr>
        <sz val="10"/>
        <rFont val="宋体"/>
        <family val="3"/>
        <charset val="134"/>
      </rPr>
      <t>次级</t>
    </r>
  </si>
  <si>
    <t>无</t>
  </si>
  <si>
    <t>次级</t>
  </si>
  <si>
    <t>分级的信用评级低于假设发行单一工具（不分级），该工具所得到的信用评级</t>
  </si>
  <si>
    <t>分级的合同条款产生的现金流量并非仅为对本金和以未偿付本金金额为基础的利息的支付；该分级所承担的基础资产的信用风险，并非等于或小于基础资产本身的信用风险。通不过SPPI测试</t>
  </si>
  <si>
    <r>
      <rPr>
        <sz val="10"/>
        <color rgb="FF0000FF"/>
        <rFont val="Arial Narrow"/>
        <family val="2"/>
      </rPr>
      <t>1.</t>
    </r>
    <r>
      <rPr>
        <sz val="10"/>
        <color rgb="FF0000FF"/>
        <rFont val="宋体"/>
        <family val="3"/>
        <charset val="134"/>
      </rPr>
      <t>分析金融资产的利息构成</t>
    </r>
    <r>
      <rPr>
        <sz val="10"/>
        <color rgb="FF0000FF"/>
        <rFont val="Arial Narrow"/>
        <family val="2"/>
      </rPr>
      <t>……</t>
    </r>
  </si>
  <si>
    <r>
      <rPr>
        <sz val="10"/>
        <color rgb="FF0000FF"/>
        <rFont val="Arial Narrow"/>
        <family val="2"/>
      </rPr>
      <t xml:space="preserve">1.1 </t>
    </r>
    <r>
      <rPr>
        <sz val="10"/>
        <color rgb="FF0000FF"/>
        <rFont val="宋体"/>
        <family val="3"/>
        <charset val="134"/>
      </rPr>
      <t>使用金融资产的计价货币来评估金融资产的合同现金流量特征；</t>
    </r>
  </si>
  <si>
    <r>
      <rPr>
        <sz val="10"/>
        <color rgb="FF0000FF"/>
        <rFont val="Arial Narrow"/>
        <family val="2"/>
      </rPr>
      <t xml:space="preserve">1.2 </t>
    </r>
    <r>
      <rPr>
        <sz val="10"/>
        <color rgb="FF0000FF"/>
        <rFont val="宋体"/>
        <family val="3"/>
        <charset val="134"/>
      </rPr>
      <t>分析利息是否包括对货币时间价值、与特定时期未偿付本金金额相关的信用风险、以及其他基本借贷风险（如流动性风险）、成本（如管理费用）和利润的对价；</t>
    </r>
  </si>
  <si>
    <t>在基本借贷安排中，利息的构成要素中最重要的通常是货币时间价值和信用风险的对价。
货币时间价值是利息要素中仅因为时间流逝而提供对价的部分，不包括为所持有金融资产的其他风险或成本提供的对价。</t>
  </si>
  <si>
    <r>
      <rPr>
        <sz val="10"/>
        <color rgb="FF0000FF"/>
        <rFont val="Arial Narrow"/>
        <family val="2"/>
      </rPr>
      <t xml:space="preserve">1.3 </t>
    </r>
    <r>
      <rPr>
        <sz val="10"/>
        <color rgb="FF0000FF"/>
        <rFont val="宋体"/>
        <family val="3"/>
        <charset val="134"/>
      </rPr>
      <t>分析金融资产合同中是否包含与基本借贷安排无关的合同现金流量风险敞口或波动性敞口（例如权益价格或商品价格变动敞口）的条款。</t>
    </r>
  </si>
  <si>
    <r>
      <rPr>
        <sz val="10"/>
        <color rgb="FF0000FF"/>
        <rFont val="Arial Narrow"/>
        <family val="2"/>
      </rPr>
      <t xml:space="preserve">2. </t>
    </r>
    <r>
      <rPr>
        <sz val="10"/>
        <color rgb="FF0000FF"/>
        <rFont val="宋体"/>
        <family val="3"/>
        <charset val="134"/>
      </rPr>
      <t>修正的货币时间价值……</t>
    </r>
  </si>
  <si>
    <r>
      <rPr>
        <sz val="10"/>
        <color rgb="FF0000FF"/>
        <rFont val="Arial Narrow"/>
        <family val="2"/>
      </rPr>
      <t xml:space="preserve">2.1 </t>
    </r>
    <r>
      <rPr>
        <sz val="10"/>
        <color rgb="FF0000FF"/>
        <rFont val="宋体"/>
        <family val="3"/>
        <charset val="134"/>
      </rPr>
      <t>在货币时间价值要素存在修正的情况下，对相关修正进行评估；</t>
    </r>
  </si>
  <si>
    <r>
      <rPr>
        <sz val="10"/>
        <color rgb="FF0000FF"/>
        <rFont val="Arial Narrow"/>
        <family val="2"/>
      </rPr>
      <t xml:space="preserve">2.2 </t>
    </r>
    <r>
      <rPr>
        <sz val="10"/>
        <color rgb="FF0000FF"/>
        <rFont val="宋体"/>
        <family val="3"/>
        <charset val="134"/>
      </rPr>
      <t>考虑修正的货币时间价值在每一报告期间的影响以及在金融工具整个存续期内的累积影响；</t>
    </r>
  </si>
  <si>
    <r>
      <rPr>
        <sz val="10"/>
        <color rgb="FF0000FF"/>
        <rFont val="Arial Narrow"/>
        <family val="2"/>
      </rPr>
      <t xml:space="preserve">2.3 </t>
    </r>
    <r>
      <rPr>
        <sz val="10"/>
        <color rgb="FF0000FF"/>
        <rFont val="宋体"/>
        <family val="3"/>
        <charset val="134"/>
      </rPr>
      <t>确定未折现合同现金流量与假如未对货币时间价值要素进行修正的情形下未折现的合同现金流量（基准现金流量）之间的差异。</t>
    </r>
  </si>
  <si>
    <r>
      <rPr>
        <sz val="10"/>
        <color rgb="FF0000FF"/>
        <rFont val="Arial Narrow"/>
        <family val="2"/>
      </rPr>
      <t xml:space="preserve">3. </t>
    </r>
    <r>
      <rPr>
        <sz val="10"/>
        <color rgb="FF0000FF"/>
        <rFont val="宋体"/>
        <family val="3"/>
        <charset val="134"/>
      </rPr>
      <t>分析导致合同现金流量的时间或金额变更的合同条款……</t>
    </r>
  </si>
  <si>
    <r>
      <rPr>
        <sz val="10"/>
        <color rgb="FF0000FF"/>
        <rFont val="Arial Narrow"/>
        <family val="2"/>
      </rPr>
      <t xml:space="preserve">3.1 </t>
    </r>
    <r>
      <rPr>
        <sz val="10"/>
        <color rgb="FF0000FF"/>
        <rFont val="宋体"/>
        <family val="3"/>
        <charset val="134"/>
      </rPr>
      <t>分析浮动利率、提前回售选择权、展期选择权是否影响合同现金流量特征；</t>
    </r>
  </si>
  <si>
    <r>
      <rPr>
        <sz val="10"/>
        <color rgb="FF0000FF"/>
        <rFont val="Arial Narrow"/>
        <family val="2"/>
      </rPr>
      <t xml:space="preserve">3.2 </t>
    </r>
    <r>
      <rPr>
        <sz val="10"/>
        <color rgb="FF0000FF"/>
        <rFont val="宋体"/>
        <family val="3"/>
        <charset val="134"/>
      </rPr>
      <t>分析金融资产的合同现金流量特征中是否包含杠杆因素，或者金融资产代表对特定资产或现金流量的投资；</t>
    </r>
  </si>
  <si>
    <r>
      <rPr>
        <sz val="10"/>
        <color rgb="FF0000FF"/>
        <rFont val="Arial Narrow"/>
        <family val="2"/>
      </rPr>
      <t xml:space="preserve">3.3 </t>
    </r>
    <r>
      <rPr>
        <sz val="10"/>
        <color rgb="FF0000FF"/>
        <rFont val="宋体"/>
        <family val="3"/>
        <charset val="134"/>
      </rPr>
      <t>分析以溢价或折价购入或源生的、且具有提前偿付特征的债务工具是否符合本金加利息的合同现金流量特征。</t>
    </r>
  </si>
  <si>
    <r>
      <rPr>
        <sz val="10"/>
        <color rgb="FF0000FF"/>
        <rFont val="Arial Narrow"/>
        <family val="2"/>
      </rPr>
      <t xml:space="preserve">4. </t>
    </r>
    <r>
      <rPr>
        <sz val="10"/>
        <color rgb="FF0000FF"/>
        <rFont val="宋体"/>
        <family val="3"/>
        <charset val="134"/>
      </rPr>
      <t>考虑无追索权规定……</t>
    </r>
  </si>
  <si>
    <r>
      <rPr>
        <sz val="10"/>
        <color rgb="FF0000FF"/>
        <rFont val="Arial Narrow"/>
        <family val="2"/>
      </rPr>
      <t xml:space="preserve">4.1 </t>
    </r>
    <r>
      <rPr>
        <sz val="10"/>
        <color rgb="FF0000FF"/>
        <rFont val="宋体"/>
        <family val="3"/>
        <charset val="134"/>
      </rPr>
      <t>如果存在无追索权规定（债权人的索偿要求仅限于债务人的特定资产或产生于特定资产的现金流量），债权人必须评估（看穿）特定标的资产或现金流量以确定金融资产的合同现金流量是否符合</t>
    </r>
    <r>
      <rPr>
        <sz val="10"/>
        <color rgb="FF0000FF"/>
        <rFont val="Arial Narrow"/>
        <family val="2"/>
      </rPr>
      <t>“</t>
    </r>
    <r>
      <rPr>
        <sz val="10"/>
        <color rgb="FF0000FF"/>
        <rFont val="宋体"/>
        <family val="3"/>
        <charset val="134"/>
      </rPr>
      <t>本金加利息的合同现金流量特征</t>
    </r>
    <r>
      <rPr>
        <sz val="10"/>
        <color rgb="FF0000FF"/>
        <rFont val="Arial Narrow"/>
        <family val="2"/>
      </rPr>
      <t>”</t>
    </r>
    <r>
      <rPr>
        <sz val="10"/>
        <color rgb="FF0000FF"/>
        <rFont val="宋体"/>
        <family val="3"/>
        <charset val="134"/>
      </rPr>
      <t>；</t>
    </r>
  </si>
  <si>
    <r>
      <rPr>
        <sz val="10"/>
        <color rgb="FF0000FF"/>
        <rFont val="Arial Narrow"/>
        <family val="2"/>
      </rPr>
      <t xml:space="preserve">4.2 </t>
    </r>
    <r>
      <rPr>
        <sz val="10"/>
        <color rgb="FF0000FF"/>
        <rFont val="宋体"/>
        <family val="3"/>
        <charset val="134"/>
      </rPr>
      <t>如果金融资产的合同条款产生了其他现金流量，或者以一种与代表本金和利息的支付不一致的方式限制了现金流量，则该金融资产不符合本金加利息的合同现金流量特征；</t>
    </r>
  </si>
  <si>
    <r>
      <rPr>
        <sz val="10"/>
        <color rgb="FF0000FF"/>
        <rFont val="Arial Narrow"/>
        <family val="2"/>
      </rPr>
      <t xml:space="preserve">4.3 </t>
    </r>
    <r>
      <rPr>
        <sz val="10"/>
        <color rgb="FF0000FF"/>
        <rFont val="宋体"/>
        <family val="3"/>
        <charset val="134"/>
      </rPr>
      <t>如果企业无法了解基础资产的具体情况（如投资的具体组成、期限、条款等），因而无法对特定的基础资产或其现金流量进行评估，则企业无法确定待分类的金融资产是否符合本金加利息的合同现金流量特征。</t>
    </r>
  </si>
  <si>
    <r>
      <rPr>
        <sz val="10"/>
        <color rgb="FF0000FF"/>
        <rFont val="Arial Narrow"/>
        <family val="2"/>
      </rPr>
      <t xml:space="preserve">5. </t>
    </r>
    <r>
      <rPr>
        <sz val="10"/>
        <color rgb="FF0000FF"/>
        <rFont val="宋体"/>
        <family val="3"/>
        <charset val="134"/>
      </rPr>
      <t>分析合同挂钩工具……</t>
    </r>
  </si>
  <si>
    <r>
      <rPr>
        <sz val="10"/>
        <color rgb="FF0000FF"/>
        <rFont val="Arial Narrow"/>
        <family val="2"/>
      </rPr>
      <t xml:space="preserve">5.1 </t>
    </r>
    <r>
      <rPr>
        <sz val="10"/>
        <color rgb="FF0000FF"/>
        <rFont val="宋体"/>
        <family val="3"/>
        <charset val="134"/>
      </rPr>
      <t>分级的合同条款（在未穿透基础资产的情况下），产生的现金流量是否仅为对本金和以未偿付本金金额为基础的利息的支付（例如该分级的利率未与商品价格指数挂钩）；</t>
    </r>
  </si>
  <si>
    <r>
      <rPr>
        <sz val="10"/>
        <color rgb="FF0000FF"/>
        <rFont val="Arial Narrow"/>
        <family val="2"/>
      </rPr>
      <t xml:space="preserve">5.2 </t>
    </r>
    <r>
      <rPr>
        <sz val="10"/>
        <color rgb="FF0000FF"/>
        <rFont val="宋体"/>
        <family val="3"/>
        <charset val="134"/>
      </rPr>
      <t>基础资产是否包含一个或多个符合本金加利息的合同现金流量特征的工具（以下称基础工具）；</t>
    </r>
  </si>
  <si>
    <t>这里的基础资产，是指穿透到最底层的、源生现金流量而非过手现金流量的资产。</t>
  </si>
  <si>
    <r>
      <rPr>
        <sz val="10"/>
        <color rgb="FF0000FF"/>
        <rFont val="Arial Narrow"/>
        <family val="2"/>
      </rPr>
      <t xml:space="preserve">5.3 </t>
    </r>
    <r>
      <rPr>
        <sz val="10"/>
        <color rgb="FF0000FF"/>
        <rFont val="宋体"/>
        <family val="3"/>
        <charset val="134"/>
      </rPr>
      <t>该分级所承担的基础资产的信用风险，是否等于或小于基础资产本身的信用风险。</t>
    </r>
  </si>
  <si>
    <t>例如，分级的信用评级等于或高于假设发行单一工具（不分级），该工具所得到的信用评级。</t>
  </si>
  <si>
    <r>
      <rPr>
        <sz val="10"/>
        <color rgb="FF0000FF"/>
        <rFont val="Arial Narrow"/>
        <family val="2"/>
      </rPr>
      <t xml:space="preserve">6. </t>
    </r>
    <r>
      <rPr>
        <sz val="10"/>
        <color rgb="FF0000FF"/>
        <rFont val="宋体"/>
        <family val="3"/>
        <charset val="134"/>
      </rPr>
      <t>考虑极其微小的影响或不现实的现金流量特征……</t>
    </r>
  </si>
  <si>
    <r>
      <rPr>
        <sz val="10"/>
        <color rgb="FF0000FF"/>
        <rFont val="Arial Narrow"/>
        <family val="2"/>
      </rPr>
      <t xml:space="preserve">6.1 </t>
    </r>
    <r>
      <rPr>
        <sz val="10"/>
        <color rgb="FF0000FF"/>
        <rFont val="宋体"/>
        <family val="3"/>
        <charset val="134"/>
      </rPr>
      <t>考虑合同现金流量特征在每一会计期间的潜在影响以及在金融工具整个存续期内的累积影响；</t>
    </r>
  </si>
  <si>
    <r>
      <rPr>
        <sz val="10"/>
        <color rgb="FF0000FF"/>
        <rFont val="Arial Narrow"/>
        <family val="2"/>
      </rPr>
      <t xml:space="preserve">6.2 </t>
    </r>
    <r>
      <rPr>
        <sz val="10"/>
        <color rgb="FF0000FF"/>
        <rFont val="宋体"/>
        <family val="3"/>
        <charset val="134"/>
      </rPr>
      <t>如果合同现金流量特征（无论某一会计期间还是整个存续期）对合同现金流量的影响超过了极其微小的程度，进一步判断该现金流量特征是否是不现实的。</t>
    </r>
  </si>
  <si>
    <t>如果现金流量特征仅在极端罕见、显著异常且几乎不可能的事件发生时才影响该工具的合同现金流量，那么该现金流量特征是不现实的。如果该现金流量特征不现实，则不影响金融资产的分类。</t>
  </si>
  <si>
    <r>
      <rPr>
        <sz val="10"/>
        <rFont val="宋体"/>
        <family val="3"/>
        <charset val="134"/>
      </rPr>
      <t>索引：</t>
    </r>
  </si>
  <si>
    <t>资产负债表中记录的交易性金融资产是存在的，且已记录于恰当的账户</t>
  </si>
  <si>
    <r>
      <rPr>
        <sz val="10"/>
        <rFont val="Arial Narrow"/>
        <family val="2"/>
      </rPr>
      <t>1</t>
    </r>
    <r>
      <rPr>
        <sz val="10"/>
        <rFont val="宋体"/>
        <family val="3"/>
        <charset val="134"/>
      </rPr>
      <t>、盘点情况</t>
    </r>
  </si>
  <si>
    <r>
      <rPr>
        <sz val="10"/>
        <rFont val="宋体"/>
        <family val="3"/>
        <charset val="134"/>
      </rPr>
      <t>盘点单位：</t>
    </r>
  </si>
  <si>
    <r>
      <rPr>
        <sz val="10"/>
        <rFont val="宋体"/>
        <family val="3"/>
        <charset val="134"/>
      </rPr>
      <t>盘点日期：</t>
    </r>
  </si>
  <si>
    <r>
      <rPr>
        <sz val="10"/>
        <rFont val="宋体"/>
        <family val="3"/>
        <charset val="134"/>
      </rPr>
      <t>会计主管：</t>
    </r>
  </si>
  <si>
    <r>
      <rPr>
        <sz val="10"/>
        <rFont val="宋体"/>
        <family val="3"/>
        <charset val="134"/>
      </rPr>
      <t>监盘人：</t>
    </r>
  </si>
  <si>
    <r>
      <rPr>
        <sz val="10"/>
        <rFont val="宋体"/>
        <family val="3"/>
        <charset val="134"/>
      </rPr>
      <t>出纳人员：</t>
    </r>
  </si>
  <si>
    <r>
      <rPr>
        <sz val="10"/>
        <rFont val="宋体"/>
        <family val="3"/>
        <charset val="134"/>
      </rPr>
      <t>复核人：</t>
    </r>
  </si>
  <si>
    <r>
      <rPr>
        <sz val="10"/>
        <rFont val="宋体"/>
        <family val="3"/>
        <charset val="134"/>
      </rPr>
      <t>盘点人员：</t>
    </r>
  </si>
  <si>
    <r>
      <rPr>
        <sz val="10"/>
        <color indexed="10"/>
        <rFont val="Arial Narrow"/>
        <family val="2"/>
      </rPr>
      <t>XX</t>
    </r>
    <r>
      <rPr>
        <sz val="10"/>
        <color indexed="10"/>
        <rFont val="宋体"/>
        <family val="3"/>
        <charset val="134"/>
      </rPr>
      <t>（人）于</t>
    </r>
    <r>
      <rPr>
        <sz val="10"/>
        <color indexed="10"/>
        <rFont val="Arial Narrow"/>
        <family val="2"/>
      </rPr>
      <t>xx</t>
    </r>
    <r>
      <rPr>
        <sz val="10"/>
        <color indexed="10"/>
        <rFont val="宋体"/>
        <family val="3"/>
        <charset val="134"/>
      </rPr>
      <t>年</t>
    </r>
    <r>
      <rPr>
        <sz val="10"/>
        <color indexed="10"/>
        <rFont val="Arial Narrow"/>
        <family val="2"/>
      </rPr>
      <t>xx</t>
    </r>
    <r>
      <rPr>
        <sz val="10"/>
        <color indexed="10"/>
        <rFont val="宋体"/>
        <family val="3"/>
        <charset val="134"/>
      </rPr>
      <t>月</t>
    </r>
    <r>
      <rPr>
        <sz val="10"/>
        <color indexed="10"/>
        <rFont val="Arial Narrow"/>
        <family val="2"/>
      </rPr>
      <t>xx</t>
    </r>
    <r>
      <rPr>
        <sz val="10"/>
        <color indexed="10"/>
        <rFont val="宋体"/>
        <family val="3"/>
        <charset val="134"/>
      </rPr>
      <t>日，在</t>
    </r>
    <r>
      <rPr>
        <sz val="10"/>
        <color indexed="10"/>
        <rFont val="Arial Narrow"/>
        <family val="2"/>
      </rPr>
      <t>xx</t>
    </r>
    <r>
      <rPr>
        <sz val="10"/>
        <color indexed="10"/>
        <rFont val="宋体"/>
        <family val="3"/>
        <charset val="134"/>
      </rPr>
      <t>（地点）对有价证券进行盘点，现将现场盘点出的有价证券列示如下：</t>
    </r>
  </si>
  <si>
    <r>
      <rPr>
        <b/>
        <sz val="10"/>
        <rFont val="宋体"/>
        <family val="3"/>
        <charset val="134"/>
      </rPr>
      <t>面值</t>
    </r>
  </si>
  <si>
    <r>
      <rPr>
        <b/>
        <sz val="10"/>
        <color indexed="8"/>
        <rFont val="宋体"/>
        <family val="3"/>
        <charset val="134"/>
      </rPr>
      <t>票面利率</t>
    </r>
  </si>
  <si>
    <r>
      <rPr>
        <b/>
        <sz val="10"/>
        <color indexed="8"/>
        <rFont val="宋体"/>
        <family val="3"/>
        <charset val="134"/>
      </rPr>
      <t>到期日</t>
    </r>
  </si>
  <si>
    <r>
      <rPr>
        <sz val="10"/>
        <rFont val="Arial Narrow"/>
        <family val="2"/>
      </rPr>
      <t>2</t>
    </r>
    <r>
      <rPr>
        <sz val="10"/>
        <rFont val="宋体"/>
        <family val="3"/>
        <charset val="134"/>
      </rPr>
      <t>、有价证券盘点倒扎表</t>
    </r>
  </si>
  <si>
    <r>
      <rPr>
        <sz val="10"/>
        <color indexed="8"/>
        <rFont val="宋体"/>
        <family val="3"/>
        <charset val="134"/>
      </rPr>
      <t>见</t>
    </r>
    <r>
      <rPr>
        <sz val="10"/>
        <color indexed="8"/>
        <rFont val="Arial Narrow"/>
        <family val="2"/>
      </rPr>
      <t>“</t>
    </r>
    <r>
      <rPr>
        <sz val="10"/>
        <color indexed="8"/>
        <rFont val="宋体"/>
        <family val="3"/>
        <charset val="134"/>
      </rPr>
      <t>有价证券盘点倒轧表</t>
    </r>
    <r>
      <rPr>
        <sz val="10"/>
        <color indexed="8"/>
        <rFont val="Arial Narrow"/>
        <family val="2"/>
      </rPr>
      <t>I9-9-2”</t>
    </r>
    <r>
      <rPr>
        <sz val="10"/>
        <color indexed="8"/>
        <rFont val="宋体"/>
        <family val="3"/>
        <charset val="134"/>
      </rPr>
      <t>。</t>
    </r>
  </si>
  <si>
    <r>
      <rPr>
        <b/>
        <sz val="10"/>
        <color theme="1"/>
        <rFont val="宋体"/>
        <family val="3"/>
        <charset val="134"/>
      </rPr>
      <t>三、审计说明：</t>
    </r>
  </si>
  <si>
    <r>
      <rPr>
        <b/>
        <sz val="10"/>
        <color theme="1"/>
        <rFont val="宋体"/>
        <family val="3"/>
        <charset val="134"/>
      </rPr>
      <t>四、审计结论：</t>
    </r>
  </si>
  <si>
    <r>
      <rPr>
        <b/>
        <sz val="10"/>
        <color indexed="12"/>
        <rFont val="宋体"/>
        <family val="3"/>
        <charset val="134"/>
      </rPr>
      <t>说明：</t>
    </r>
    <r>
      <rPr>
        <b/>
        <sz val="10"/>
        <color indexed="12"/>
        <rFont val="Arial Narrow"/>
        <family val="2"/>
      </rPr>
      <t>1</t>
    </r>
    <r>
      <rPr>
        <b/>
        <sz val="10"/>
        <color indexed="12"/>
        <rFont val="宋体"/>
        <family val="3"/>
        <charset val="134"/>
      </rPr>
      <t>、盘点时，需要与现金盘点同时进行，审计人员不要单独接触有价证券。</t>
    </r>
  </si>
  <si>
    <r>
      <rPr>
        <b/>
        <sz val="10"/>
        <color indexed="12"/>
        <rFont val="Arial Narrow"/>
        <family val="2"/>
      </rPr>
      <t>2</t>
    </r>
    <r>
      <rPr>
        <b/>
        <sz val="10"/>
        <color indexed="12"/>
        <rFont val="宋体"/>
        <family val="3"/>
        <charset val="134"/>
      </rPr>
      <t>、对放置在不同位置的有价证券要同时进行检查，以免有价证券被移置影响检查的正确性。</t>
    </r>
  </si>
  <si>
    <r>
      <rPr>
        <b/>
        <sz val="10"/>
        <color indexed="12"/>
        <rFont val="Arial Narrow"/>
        <family val="2"/>
      </rPr>
      <t>3</t>
    </r>
    <r>
      <rPr>
        <b/>
        <sz val="10"/>
        <color indexed="12"/>
        <rFont val="宋体"/>
        <family val="3"/>
        <charset val="134"/>
      </rPr>
      <t>、如果盘点日不是资产负债表日，应将盘点日实存有价证券，推算至资产负债表日实存有价证券。</t>
    </r>
  </si>
  <si>
    <t>证券名称</t>
  </si>
  <si>
    <t>盘点日实存有价证券</t>
  </si>
  <si>
    <t>资产负债表日到盘点日的增加（减少）有价证券</t>
  </si>
  <si>
    <t>资产负债表日实存有价证券</t>
  </si>
  <si>
    <t>账面结存交易性金融资产</t>
  </si>
  <si>
    <t>数量</t>
  </si>
  <si>
    <t>面值</t>
  </si>
  <si>
    <t>总计</t>
  </si>
  <si>
    <t>面值总额</t>
  </si>
  <si>
    <r>
      <rPr>
        <sz val="10"/>
        <rFont val="宋体"/>
        <family val="3"/>
        <charset val="134"/>
      </rPr>
      <t>债务工具投资</t>
    </r>
  </si>
  <si>
    <t>1.****</t>
  </si>
  <si>
    <t>2.****</t>
  </si>
  <si>
    <r>
      <rPr>
        <sz val="10"/>
        <rFont val="宋体"/>
        <family val="3"/>
        <charset val="134"/>
      </rPr>
      <t>权益工具投资</t>
    </r>
  </si>
  <si>
    <r>
      <rPr>
        <sz val="10"/>
        <rFont val="宋体"/>
        <family val="3"/>
        <charset val="134"/>
      </rPr>
      <t>衍生金融资产</t>
    </r>
  </si>
  <si>
    <r>
      <rPr>
        <sz val="10"/>
        <rFont val="宋体"/>
        <family val="3"/>
        <charset val="134"/>
      </rPr>
      <t>其他</t>
    </r>
  </si>
  <si>
    <t>交易性金融资产检查表</t>
  </si>
  <si>
    <t>一、审计目标：</t>
  </si>
  <si>
    <r>
      <rPr>
        <sz val="10"/>
        <rFont val="Arial Narrow"/>
        <family val="2"/>
      </rPr>
      <t>1.</t>
    </r>
    <r>
      <rPr>
        <sz val="10"/>
        <rFont val="宋体"/>
        <family val="3"/>
        <charset val="134"/>
      </rPr>
      <t>资产负债表中记录的交易性金融资产是存在的，且已经记录在恰当的账户中；</t>
    </r>
  </si>
  <si>
    <r>
      <rPr>
        <sz val="10"/>
        <rFont val="Arial Narrow"/>
        <family val="2"/>
      </rPr>
      <t>2.</t>
    </r>
    <r>
      <rPr>
        <sz val="10"/>
        <rFont val="宋体"/>
        <family val="3"/>
        <charset val="134"/>
      </rPr>
      <t>记录的交易性金融资产由被审计单位拥有或控制；</t>
    </r>
  </si>
  <si>
    <r>
      <rPr>
        <sz val="10"/>
        <rFont val="Arial Narrow"/>
        <family val="2"/>
      </rPr>
      <t>3.</t>
    </r>
    <r>
      <rPr>
        <sz val="10"/>
        <rFont val="宋体"/>
        <family val="3"/>
        <charset val="134"/>
      </rPr>
      <t>交易性金融资产以恰当的金额包括在财务报表中，与之相关的计价或分摊调整已恰当记录，相关披露已得到恰当计量和描述。</t>
    </r>
  </si>
  <si>
    <t>二、样本选取标准与规模：</t>
  </si>
  <si>
    <r>
      <rPr>
        <sz val="10"/>
        <rFont val="宋体"/>
        <family val="3"/>
        <charset val="134"/>
      </rPr>
      <t>测试总体：</t>
    </r>
  </si>
  <si>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</si>
  <si>
    <r>
      <rPr>
        <sz val="10"/>
        <rFont val="宋体"/>
        <family val="3"/>
        <charset val="134"/>
      </rPr>
      <t>特定样本：</t>
    </r>
  </si>
  <si>
    <r>
      <rPr>
        <sz val="10"/>
        <color rgb="FF0000FF"/>
        <rFont val="Arial Narrow"/>
        <family val="2"/>
      </rP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</si>
  <si>
    <r>
      <rPr>
        <sz val="10"/>
        <rFont val="宋体"/>
        <family val="3"/>
        <charset val="134"/>
      </rPr>
      <t>抽样总体：</t>
    </r>
  </si>
  <si>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</si>
  <si>
    <r>
      <rPr>
        <sz val="10"/>
        <rFont val="宋体"/>
        <family val="3"/>
        <charset val="134"/>
      </rPr>
      <t>确定的抽样样本量：</t>
    </r>
  </si>
  <si>
    <r>
      <rPr>
        <sz val="10"/>
        <color rgb="FF0000FF"/>
        <rFont val="宋体"/>
        <family val="3"/>
        <charset val="134"/>
      </rPr>
      <t>抽取</t>
    </r>
    <r>
      <rPr>
        <sz val="10"/>
        <color rgb="FF0000FF"/>
        <rFont val="Arial Narrow"/>
        <family val="2"/>
      </rPr>
      <t>XX</t>
    </r>
    <r>
      <rPr>
        <sz val="10"/>
        <color rgb="FF0000FF"/>
        <rFont val="宋体"/>
        <family val="3"/>
        <charset val="134"/>
      </rPr>
      <t>笔</t>
    </r>
  </si>
  <si>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</si>
  <si>
    <r>
      <rPr>
        <sz val="10"/>
        <rFont val="宋体"/>
        <family val="3"/>
        <charset val="134"/>
      </rPr>
      <t>抽样方法：</t>
    </r>
  </si>
  <si>
    <r>
      <rPr>
        <sz val="10"/>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</si>
  <si>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</si>
  <si>
    <t>三、测试：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</si>
  <si>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</si>
  <si>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r>
      <rPr>
        <b/>
        <sz val="10"/>
        <rFont val="Arial Narrow"/>
        <family val="2"/>
      </rPr>
      <t>1.</t>
    </r>
    <r>
      <rPr>
        <b/>
        <sz val="10"/>
        <rFont val="宋体"/>
        <family val="3"/>
        <charset val="134"/>
      </rPr>
      <t>本期发生额检查</t>
    </r>
  </si>
  <si>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</si>
  <si>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</si>
  <si>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</si>
  <si>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</si>
  <si>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</si>
  <si>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</si>
  <si>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</si>
  <si>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</si>
  <si>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</si>
  <si>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</si>
  <si>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</si>
  <si>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</si>
  <si>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t>付款审批单、银行回单、投资协议、交易确认单、……</t>
  </si>
  <si>
    <r>
      <rPr>
        <b/>
        <sz val="10"/>
        <rFont val="Arial Narrow"/>
        <family val="2"/>
      </rPr>
      <t>2.</t>
    </r>
    <r>
      <rPr>
        <b/>
        <sz val="10"/>
        <rFont val="宋体"/>
        <family val="3"/>
        <charset val="134"/>
      </rPr>
      <t>期后处置、新增检查表</t>
    </r>
  </si>
  <si>
    <t>四、审计说明：</t>
  </si>
  <si>
    <t>五、审计结论：</t>
  </si>
  <si>
    <t>衍生金融工具核查表</t>
  </si>
  <si>
    <r>
      <rPr>
        <b/>
        <sz val="10"/>
        <rFont val="宋体"/>
        <family val="3"/>
        <charset val="134"/>
      </rPr>
      <t>一、审计目标</t>
    </r>
  </si>
  <si>
    <t>确定衍生工具投资的确认、计量是否准确。</t>
  </si>
  <si>
    <r>
      <rPr>
        <b/>
        <sz val="10"/>
        <rFont val="宋体"/>
        <family val="3"/>
        <charset val="134"/>
      </rPr>
      <t>二、审计过程</t>
    </r>
  </si>
  <si>
    <t>确定衍生工具</t>
  </si>
  <si>
    <r>
      <rPr>
        <b/>
        <sz val="10"/>
        <rFont val="宋体"/>
        <family val="3"/>
        <charset val="134"/>
      </rPr>
      <t>工具名称：</t>
    </r>
    <r>
      <rPr>
        <b/>
        <sz val="10"/>
        <rFont val="Arial Narrow"/>
        <family val="2"/>
      </rPr>
      <t>___________________________________________</t>
    </r>
  </si>
  <si>
    <r>
      <rPr>
        <b/>
        <sz val="10"/>
        <rFont val="宋体"/>
        <family val="3"/>
        <charset val="134"/>
      </rPr>
      <t>复核与</t>
    </r>
    <r>
      <rPr>
        <b/>
        <sz val="10"/>
        <rFont val="Arial Narrow"/>
        <family val="2"/>
      </rPr>
      <t>(</t>
    </r>
    <r>
      <rPr>
        <b/>
        <sz val="10"/>
        <rFont val="宋体"/>
        <family val="3"/>
        <charset val="134"/>
      </rPr>
      <t>主合同的</t>
    </r>
    <r>
      <rPr>
        <b/>
        <sz val="10"/>
        <rFont val="Arial Narrow"/>
        <family val="2"/>
      </rPr>
      <t>)</t>
    </r>
    <r>
      <rPr>
        <b/>
        <sz val="10"/>
        <rFont val="宋体"/>
        <family val="3"/>
        <charset val="134"/>
      </rPr>
      <t>交易对方所签订贷款、投资、存款或其它工具的协议（如适用）</t>
    </r>
  </si>
  <si>
    <r>
      <rPr>
        <b/>
        <sz val="10"/>
        <rFont val="宋体"/>
        <family val="3"/>
        <charset val="134"/>
      </rPr>
      <t>在协议中有无提及任何有下列影响的项目</t>
    </r>
    <r>
      <rPr>
        <b/>
        <sz val="10"/>
        <rFont val="Arial Narrow"/>
        <family val="2"/>
      </rPr>
      <t>(</t>
    </r>
    <r>
      <rPr>
        <b/>
        <sz val="10"/>
        <rFont val="宋体"/>
        <family val="3"/>
        <charset val="134"/>
      </rPr>
      <t>即是否存在任何衍生工具或附于主合同的衍生工具？</t>
    </r>
    <r>
      <rPr>
        <b/>
        <sz val="10"/>
        <rFont val="Arial Narrow"/>
        <family val="2"/>
      </rPr>
      <t>)</t>
    </r>
  </si>
  <si>
    <r>
      <rPr>
        <b/>
        <sz val="10"/>
        <rFont val="宋体"/>
        <family val="3"/>
        <charset val="134"/>
      </rPr>
      <t>回答</t>
    </r>
  </si>
  <si>
    <r>
      <rPr>
        <sz val="10"/>
        <rFont val="宋体"/>
        <family val="3"/>
        <charset val="134"/>
      </rPr>
      <t>合同所要求的部分</t>
    </r>
    <r>
      <rPr>
        <sz val="10"/>
        <rFont val="Arial Narrow"/>
        <family val="2"/>
      </rPr>
      <t>/</t>
    </r>
    <r>
      <rPr>
        <sz val="10"/>
        <rFont val="宋体"/>
        <family val="3"/>
        <charset val="134"/>
      </rPr>
      <t>全部现金流量将依据以下各特定项目予以修正：</t>
    </r>
  </si>
  <si>
    <r>
      <rPr>
        <sz val="10"/>
        <rFont val="Arial Narrow"/>
        <family val="2"/>
      </rPr>
      <t>(1)</t>
    </r>
    <r>
      <rPr>
        <sz val="10"/>
        <rFont val="宋体"/>
        <family val="3"/>
        <charset val="134"/>
      </rPr>
      <t>利率</t>
    </r>
  </si>
  <si>
    <r>
      <rPr>
        <sz val="10"/>
        <rFont val="Arial Narrow"/>
        <family val="2"/>
      </rPr>
      <t>(</t>
    </r>
    <r>
      <rPr>
        <sz val="10"/>
        <rFont val="宋体"/>
        <family val="3"/>
        <charset val="134"/>
      </rPr>
      <t>是或否</t>
    </r>
    <r>
      <rPr>
        <sz val="10"/>
        <rFont val="Arial Narrow"/>
        <family val="2"/>
      </rPr>
      <t>)</t>
    </r>
  </si>
  <si>
    <r>
      <rPr>
        <sz val="10"/>
        <rFont val="Arial Narrow"/>
        <family val="2"/>
      </rPr>
      <t>(2)</t>
    </r>
    <r>
      <rPr>
        <sz val="10"/>
        <rFont val="宋体"/>
        <family val="3"/>
        <charset val="134"/>
      </rPr>
      <t>金融工具价格</t>
    </r>
  </si>
  <si>
    <r>
      <rPr>
        <sz val="10"/>
        <rFont val="Arial Narrow"/>
        <family val="2"/>
      </rPr>
      <t>(3)</t>
    </r>
    <r>
      <rPr>
        <sz val="10"/>
        <rFont val="宋体"/>
        <family val="3"/>
        <charset val="134"/>
      </rPr>
      <t>商品价格</t>
    </r>
  </si>
  <si>
    <r>
      <rPr>
        <sz val="10"/>
        <rFont val="Arial Narrow"/>
        <family val="2"/>
      </rPr>
      <t>(4)</t>
    </r>
    <r>
      <rPr>
        <sz val="10"/>
        <rFont val="宋体"/>
        <family val="3"/>
        <charset val="134"/>
      </rPr>
      <t>汇率</t>
    </r>
  </si>
  <si>
    <r>
      <rPr>
        <sz val="10"/>
        <rFont val="Arial Narrow"/>
        <family val="2"/>
      </rPr>
      <t>(5)</t>
    </r>
    <r>
      <rPr>
        <sz val="10"/>
        <rFont val="宋体"/>
        <family val="3"/>
        <charset val="134"/>
      </rPr>
      <t>价格或利率指数</t>
    </r>
  </si>
  <si>
    <r>
      <rPr>
        <sz val="10"/>
        <rFont val="Arial Narrow"/>
        <family val="2"/>
      </rPr>
      <t>(6)</t>
    </r>
    <r>
      <rPr>
        <sz val="10"/>
        <rFont val="宋体"/>
        <family val="3"/>
        <charset val="134"/>
      </rPr>
      <t>信用等级</t>
    </r>
    <r>
      <rPr>
        <sz val="10"/>
        <rFont val="Arial Narrow"/>
        <family val="2"/>
      </rPr>
      <t>/</t>
    </r>
    <r>
      <rPr>
        <sz val="10"/>
        <rFont val="宋体"/>
        <family val="3"/>
        <charset val="134"/>
      </rPr>
      <t>信用指数</t>
    </r>
  </si>
  <si>
    <r>
      <rPr>
        <sz val="10"/>
        <rFont val="Arial Narrow"/>
        <family val="2"/>
      </rPr>
      <t>(7)</t>
    </r>
    <r>
      <rPr>
        <sz val="10"/>
        <rFont val="宋体"/>
        <family val="3"/>
        <charset val="134"/>
      </rPr>
      <t>其它非金融变量</t>
    </r>
    <r>
      <rPr>
        <sz val="10"/>
        <rFont val="Arial Narrow"/>
        <family val="2"/>
      </rPr>
      <t>(</t>
    </r>
    <r>
      <rPr>
        <sz val="10"/>
        <rFont val="宋体"/>
        <family val="3"/>
        <charset val="134"/>
      </rPr>
      <t>请注明：</t>
    </r>
    <r>
      <rPr>
        <sz val="10"/>
        <rFont val="Arial Narrow"/>
        <family val="2"/>
      </rPr>
      <t>______________)</t>
    </r>
  </si>
  <si>
    <r>
      <rPr>
        <sz val="10"/>
        <rFont val="Arial Narrow"/>
        <family val="2"/>
      </rPr>
      <t>(8)</t>
    </r>
    <r>
      <rPr>
        <sz val="10"/>
        <rFont val="宋体"/>
        <family val="3"/>
        <charset val="134"/>
      </rPr>
      <t>其它非金融变量非合同某一方特有的</t>
    </r>
    <r>
      <rPr>
        <sz val="10"/>
        <rFont val="Arial Narrow"/>
        <family val="2"/>
      </rPr>
      <t>(</t>
    </r>
    <r>
      <rPr>
        <sz val="10"/>
        <rFont val="宋体"/>
        <family val="3"/>
        <charset val="134"/>
      </rPr>
      <t>请注明：</t>
    </r>
    <r>
      <rPr>
        <sz val="10"/>
        <rFont val="Arial Narrow"/>
        <family val="2"/>
      </rPr>
      <t>________)</t>
    </r>
  </si>
  <si>
    <r>
      <rPr>
        <sz val="10"/>
        <color indexed="12"/>
        <rFont val="Arial Narrow"/>
        <family val="2"/>
      </rPr>
      <t>(</t>
    </r>
    <r>
      <rPr>
        <sz val="10"/>
        <color indexed="12"/>
        <rFont val="宋体"/>
        <family val="3"/>
        <charset val="134"/>
      </rPr>
      <t>如果对于上述</t>
    </r>
    <r>
      <rPr>
        <sz val="10"/>
        <color indexed="12"/>
        <rFont val="Arial Narrow"/>
        <family val="2"/>
      </rPr>
      <t>B</t>
    </r>
    <r>
      <rPr>
        <sz val="10"/>
        <color indexed="12"/>
        <rFont val="宋体"/>
        <family val="3"/>
        <charset val="134"/>
      </rPr>
      <t>项的任何答案为否，即表示不存在任何衍生工具，则无需回答下列问题</t>
    </r>
    <r>
      <rPr>
        <sz val="10"/>
        <color indexed="12"/>
        <rFont val="Arial Narrow"/>
        <family val="2"/>
      </rPr>
      <t>)</t>
    </r>
  </si>
  <si>
    <r>
      <rPr>
        <b/>
        <sz val="10"/>
        <rFont val="宋体"/>
        <family val="3"/>
        <charset val="134"/>
      </rPr>
      <t>所包含的衍生工具是否属于嵌入衍生工具？</t>
    </r>
  </si>
  <si>
    <r>
      <rPr>
        <sz val="10"/>
        <rFont val="宋体"/>
        <family val="3"/>
        <charset val="134"/>
      </rPr>
      <t>如果上述</t>
    </r>
    <r>
      <rPr>
        <sz val="10"/>
        <rFont val="Arial Narrow"/>
        <family val="2"/>
      </rPr>
      <t>B</t>
    </r>
    <r>
      <rPr>
        <sz val="10"/>
        <rFont val="宋体"/>
        <family val="3"/>
        <charset val="134"/>
      </rPr>
      <t>项的任何答案为是，即表明存在附于主合同的衍生工具，请回答下列问题：</t>
    </r>
  </si>
  <si>
    <r>
      <rPr>
        <sz val="10"/>
        <rFont val="Arial Narrow"/>
        <family val="2"/>
      </rPr>
      <t>(1)</t>
    </r>
    <r>
      <rPr>
        <sz val="10"/>
        <rFont val="宋体"/>
        <family val="3"/>
        <charset val="134"/>
      </rPr>
      <t>有关衍生工具不可以独立于该金融工具进行合约转让</t>
    </r>
  </si>
  <si>
    <r>
      <rPr>
        <sz val="10"/>
        <rFont val="Arial Narrow"/>
        <family val="2"/>
      </rPr>
      <t>(2)</t>
    </r>
    <r>
      <rPr>
        <sz val="10"/>
        <rFont val="宋体"/>
        <family val="3"/>
        <charset val="134"/>
      </rPr>
      <t>有关衍生工具具有与主金融工具</t>
    </r>
    <r>
      <rPr>
        <sz val="10"/>
        <rFont val="Arial Narrow"/>
        <family val="2"/>
      </rPr>
      <t>(</t>
    </r>
    <r>
      <rPr>
        <sz val="10"/>
        <rFont val="宋体"/>
        <family val="3"/>
        <charset val="134"/>
      </rPr>
      <t>主合同</t>
    </r>
    <r>
      <rPr>
        <sz val="10"/>
        <rFont val="Arial Narrow"/>
        <family val="2"/>
      </rPr>
      <t>)</t>
    </r>
    <r>
      <rPr>
        <sz val="10"/>
        <rFont val="宋体"/>
        <family val="3"/>
        <charset val="134"/>
      </rPr>
      <t>相同的交易对方</t>
    </r>
  </si>
  <si>
    <r>
      <rPr>
        <sz val="10"/>
        <color indexed="12"/>
        <rFont val="宋体"/>
        <family val="3"/>
        <charset val="134"/>
      </rPr>
      <t>如果上述</t>
    </r>
    <r>
      <rPr>
        <sz val="10"/>
        <color indexed="12"/>
        <rFont val="Arial Narrow"/>
        <family val="2"/>
      </rPr>
      <t>C</t>
    </r>
    <r>
      <rPr>
        <sz val="10"/>
        <color indexed="12"/>
        <rFont val="宋体"/>
        <family val="3"/>
        <charset val="134"/>
      </rPr>
      <t>项的任何答案为否，即表明不存在任何嵌入衍生工具，则无需回答下列问题。有关衍生工具应单独进行核算。</t>
    </r>
  </si>
  <si>
    <r>
      <rPr>
        <sz val="10"/>
        <rFont val="宋体"/>
        <family val="3"/>
        <charset val="134"/>
      </rPr>
      <t>对衍生工具</t>
    </r>
    <r>
      <rPr>
        <sz val="10"/>
        <rFont val="Arial Narrow"/>
        <family val="2"/>
      </rPr>
      <t>(</t>
    </r>
    <r>
      <rPr>
        <sz val="10"/>
        <rFont val="宋体"/>
        <family val="3"/>
        <charset val="134"/>
      </rPr>
      <t>不是嵌入衍生工具</t>
    </r>
    <r>
      <rPr>
        <sz val="10"/>
        <rFont val="Arial Narrow"/>
        <family val="2"/>
      </rPr>
      <t>)</t>
    </r>
    <r>
      <rPr>
        <sz val="10"/>
        <rFont val="宋体"/>
        <family val="3"/>
        <charset val="134"/>
      </rPr>
      <t>执行的额外工作：</t>
    </r>
  </si>
  <si>
    <r>
      <rPr>
        <sz val="10"/>
        <rFont val="Arial Narrow"/>
        <family val="2"/>
      </rPr>
      <t>(a)</t>
    </r>
    <r>
      <rPr>
        <sz val="10"/>
        <rFont val="宋体"/>
        <family val="3"/>
        <charset val="134"/>
      </rPr>
      <t>说明有关性质</t>
    </r>
  </si>
  <si>
    <r>
      <rPr>
        <sz val="10"/>
        <rFont val="Arial Narrow"/>
        <family val="2"/>
      </rPr>
      <t>(</t>
    </r>
    <r>
      <rPr>
        <sz val="10"/>
        <rFont val="宋体"/>
        <family val="3"/>
        <charset val="134"/>
      </rPr>
      <t>描述性</t>
    </r>
    <r>
      <rPr>
        <sz val="10"/>
        <rFont val="Arial Narrow"/>
        <family val="2"/>
      </rPr>
      <t>)</t>
    </r>
  </si>
  <si>
    <r>
      <rPr>
        <sz val="10"/>
        <rFont val="Arial Narrow"/>
        <family val="2"/>
      </rPr>
      <t>(b)</t>
    </r>
    <r>
      <rPr>
        <sz val="10"/>
        <rFont val="宋体"/>
        <family val="3"/>
        <charset val="134"/>
      </rPr>
      <t>增设新的科目描述及编码以确认所包含的衍生工具</t>
    </r>
  </si>
  <si>
    <r>
      <rPr>
        <sz val="10"/>
        <rFont val="Arial Narrow"/>
        <family val="2"/>
      </rPr>
      <t>(c)</t>
    </r>
    <r>
      <rPr>
        <sz val="10"/>
        <rFont val="宋体"/>
        <family val="3"/>
        <charset val="134"/>
      </rPr>
      <t>说明适用于有关衍生工具的会计政策</t>
    </r>
  </si>
  <si>
    <r>
      <rPr>
        <b/>
        <sz val="10"/>
        <rFont val="宋体"/>
        <family val="3"/>
        <charset val="134"/>
      </rPr>
      <t>结论：</t>
    </r>
  </si>
  <si>
    <r>
      <rPr>
        <sz val="10"/>
        <color indexed="12"/>
        <rFont val="宋体"/>
        <family val="3"/>
        <charset val="134"/>
      </rPr>
      <t>衍生工具名称：</t>
    </r>
    <r>
      <rPr>
        <sz val="10"/>
        <color indexed="12"/>
        <rFont val="Arial Narrow"/>
        <family val="2"/>
      </rPr>
      <t>(</t>
    </r>
    <r>
      <rPr>
        <sz val="10"/>
        <color indexed="12"/>
        <rFont val="宋体"/>
        <family val="3"/>
        <charset val="134"/>
      </rPr>
      <t>如不适用无需填写</t>
    </r>
    <r>
      <rPr>
        <sz val="10"/>
        <color indexed="12"/>
        <rFont val="Arial Narrow"/>
        <family val="2"/>
      </rPr>
      <t>)</t>
    </r>
  </si>
  <si>
    <r>
      <rPr>
        <sz val="10"/>
        <color indexed="12"/>
        <rFont val="宋体"/>
        <family val="3"/>
        <charset val="134"/>
      </rPr>
      <t>衍生工具的特征：</t>
    </r>
    <r>
      <rPr>
        <sz val="10"/>
        <color indexed="12"/>
        <rFont val="Arial Narrow"/>
        <family val="2"/>
      </rPr>
      <t>(</t>
    </r>
    <r>
      <rPr>
        <sz val="10"/>
        <color indexed="12"/>
        <rFont val="宋体"/>
        <family val="3"/>
        <charset val="134"/>
      </rPr>
      <t>嵌入</t>
    </r>
    <r>
      <rPr>
        <sz val="10"/>
        <color indexed="12"/>
        <rFont val="Arial Narrow"/>
        <family val="2"/>
      </rPr>
      <t>/</t>
    </r>
    <r>
      <rPr>
        <sz val="10"/>
        <color indexed="12"/>
        <rFont val="宋体"/>
        <family val="3"/>
        <charset val="134"/>
      </rPr>
      <t>非嵌入</t>
    </r>
    <r>
      <rPr>
        <sz val="10"/>
        <color indexed="12"/>
        <rFont val="Arial Narrow"/>
        <family val="2"/>
      </rPr>
      <t>)(</t>
    </r>
    <r>
      <rPr>
        <sz val="10"/>
        <color indexed="12"/>
        <rFont val="宋体"/>
        <family val="3"/>
        <charset val="134"/>
      </rPr>
      <t>删除不适用的部分</t>
    </r>
    <r>
      <rPr>
        <sz val="10"/>
        <color indexed="12"/>
        <rFont val="Arial Narrow"/>
        <family val="2"/>
      </rPr>
      <t>)</t>
    </r>
  </si>
  <si>
    <t>混合合同包含的主合同属于CAS 22规范的金融资产的，企业不应从该混合合同中分拆嵌入衍生工具，而应当将该混合合同作为一个整体</t>
  </si>
  <si>
    <t>适用金融资产分类的相关规定。</t>
  </si>
  <si>
    <t>抽查衍生工具的会计处理</t>
  </si>
  <si>
    <r>
      <rPr>
        <b/>
        <sz val="9"/>
        <color indexed="8"/>
        <rFont val="宋体"/>
        <family val="3"/>
        <charset val="134"/>
      </rPr>
      <t>日</t>
    </r>
    <r>
      <rPr>
        <b/>
        <sz val="9"/>
        <color indexed="8"/>
        <rFont val="Arial Narrow"/>
        <family val="2"/>
      </rPr>
      <t xml:space="preserve">   </t>
    </r>
    <r>
      <rPr>
        <b/>
        <sz val="9"/>
        <color indexed="8"/>
        <rFont val="宋体"/>
        <family val="3"/>
        <charset val="134"/>
      </rPr>
      <t>期</t>
    </r>
  </si>
  <si>
    <r>
      <rPr>
        <b/>
        <sz val="9"/>
        <color indexed="8"/>
        <rFont val="宋体"/>
        <family val="3"/>
        <charset val="134"/>
      </rPr>
      <t>凭证编号</t>
    </r>
  </si>
  <si>
    <r>
      <rPr>
        <b/>
        <sz val="9"/>
        <color indexed="8"/>
        <rFont val="宋体"/>
        <family val="3"/>
        <charset val="134"/>
      </rPr>
      <t>业务内容</t>
    </r>
  </si>
  <si>
    <r>
      <rPr>
        <b/>
        <sz val="9"/>
        <color indexed="8"/>
        <rFont val="宋体"/>
        <family val="3"/>
        <charset val="134"/>
      </rPr>
      <t>明细科目</t>
    </r>
  </si>
  <si>
    <r>
      <rPr>
        <b/>
        <sz val="9"/>
        <color indexed="8"/>
        <rFont val="宋体"/>
        <family val="3"/>
        <charset val="134"/>
      </rPr>
      <t>对方科目</t>
    </r>
  </si>
  <si>
    <r>
      <rPr>
        <b/>
        <sz val="9"/>
        <color indexed="8"/>
        <rFont val="宋体"/>
        <family val="3"/>
        <charset val="134"/>
      </rPr>
      <t>金</t>
    </r>
    <r>
      <rPr>
        <b/>
        <sz val="9"/>
        <color indexed="8"/>
        <rFont val="Arial Narrow"/>
        <family val="2"/>
      </rPr>
      <t xml:space="preserve">   </t>
    </r>
    <r>
      <rPr>
        <b/>
        <sz val="9"/>
        <color indexed="8"/>
        <rFont val="宋体"/>
        <family val="3"/>
        <charset val="134"/>
      </rPr>
      <t>额</t>
    </r>
  </si>
  <si>
    <r>
      <rPr>
        <b/>
        <sz val="9"/>
        <color indexed="8"/>
        <rFont val="宋体"/>
        <family val="3"/>
        <charset val="134"/>
      </rPr>
      <t>结论</t>
    </r>
  </si>
  <si>
    <r>
      <rPr>
        <b/>
        <sz val="9"/>
        <color indexed="8"/>
        <rFont val="宋体"/>
        <family val="3"/>
        <charset val="134"/>
      </rPr>
      <t>借方</t>
    </r>
  </si>
  <si>
    <r>
      <rPr>
        <b/>
        <sz val="9"/>
        <color indexed="8"/>
        <rFont val="宋体"/>
        <family val="3"/>
        <charset val="134"/>
      </rPr>
      <t>贷方</t>
    </r>
  </si>
  <si>
    <t>专家资质及利用估值专家的工作</t>
  </si>
  <si>
    <r>
      <rPr>
        <b/>
        <sz val="10"/>
        <rFont val="宋体"/>
        <family val="3"/>
        <charset val="134"/>
      </rPr>
      <t>项目</t>
    </r>
  </si>
  <si>
    <r>
      <rPr>
        <b/>
        <sz val="10"/>
        <rFont val="宋体"/>
        <family val="3"/>
        <charset val="134"/>
      </rPr>
      <t>索引号</t>
    </r>
  </si>
  <si>
    <r>
      <rPr>
        <sz val="10"/>
        <rFont val="宋体"/>
        <family val="3"/>
        <charset val="134"/>
      </rPr>
      <t>了解专家的资质</t>
    </r>
  </si>
  <si>
    <r>
      <rPr>
        <sz val="10"/>
        <rFont val="宋体"/>
        <family val="3"/>
        <charset val="134"/>
      </rPr>
      <t>利用专家的工作</t>
    </r>
  </si>
  <si>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phoneticPr fontId="171" type="noConversion"/>
  </si>
  <si>
    <r>
      <rPr>
        <sz val="10"/>
        <color rgb="FF0000FF"/>
        <rFont val="宋体"/>
        <family val="3"/>
        <charset val="134"/>
      </rPr>
      <t>基于历史波动情况分析时，需考虑过去跨周期时的波动区间（例如过去</t>
    </r>
    <r>
      <rPr>
        <sz val="10"/>
        <color rgb="FF0000FF"/>
        <rFont val="Arial Narrow"/>
        <family val="2"/>
      </rPr>
      <t>12</t>
    </r>
    <r>
      <rPr>
        <sz val="10"/>
        <color rgb="FF0000FF"/>
        <rFont val="宋体"/>
        <family val="3"/>
        <charset val="134"/>
      </rPr>
      <t>年的波动，包含</t>
    </r>
    <r>
      <rPr>
        <sz val="10"/>
        <color rgb="FF0000FF"/>
        <rFont val="Arial Narrow"/>
        <family val="2"/>
      </rPr>
      <t>2008</t>
    </r>
    <r>
      <rPr>
        <sz val="10"/>
        <color rgb="FF0000FF"/>
        <rFont val="宋体"/>
        <family val="3"/>
        <charset val="134"/>
      </rPr>
      <t>年金融危机），而不能仅考虑挂钩期间（观察期）的变动情况。</t>
    </r>
  </si>
  <si>
    <r>
      <t>对期初余额的审计，取得交易性金融资产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t>
    </r>
    <r>
      <rPr>
        <sz val="10"/>
        <color rgb="FFFF0000"/>
        <rFont val="宋体"/>
        <family val="3"/>
        <charset val="134"/>
      </rPr>
      <t>（适用于首次承接）</t>
    </r>
    <phoneticPr fontId="171" type="noConversion"/>
  </si>
  <si>
    <t>对于本期新增的金融资产投资，执行以下程序：
（1）获取本期增加的金融资产投资的合约、协议、中介机构报告等（若适用），查验金融资产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（2）对本期增加中的特定项目（如金额重大或性质特殊的）进行以下测试：检查非货币性资产交换、债务重组、企业合并、投资等发生取得金融资产的会计处理是否正确；</t>
    <phoneticPr fontId="171" type="noConversion"/>
  </si>
  <si>
    <r>
      <rPr>
        <sz val="10"/>
        <rFont val="宋体"/>
        <family val="3"/>
        <charset val="134"/>
      </rPr>
      <t>被审计单位：</t>
    </r>
    <r>
      <rPr>
        <sz val="10"/>
        <rFont val="Arial Narrow"/>
        <family val="2"/>
      </rPr>
      <t/>
    </r>
    <phoneticPr fontId="171" type="noConversion"/>
  </si>
  <si>
    <t>编制人：</t>
    <phoneticPr fontId="171" type="noConversion"/>
  </si>
  <si>
    <t>编制日期：</t>
    <phoneticPr fontId="171" type="noConversion"/>
  </si>
  <si>
    <t>复核人：</t>
    <phoneticPr fontId="171" type="noConversion"/>
  </si>
  <si>
    <t>复核日期：</t>
    <phoneticPr fontId="171"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</si>
  <si>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50" type="noConversion"/>
  </si>
  <si>
    <t>关于工作底稿与审计程序索引号对应的说明</t>
    <phoneticPr fontId="50"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</si>
  <si>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0"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</si>
  <si>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50"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</si>
  <si>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50" type="noConversion"/>
  </si>
  <si>
    <t>根据被审计单位实际情况和风险评估情况裁剪、修改或增加审计程序</t>
    <phoneticPr fontId="50" type="noConversion"/>
  </si>
  <si>
    <t>审计程序</t>
    <phoneticPr fontId="174" type="noConversion"/>
  </si>
  <si>
    <r>
      <t>D.</t>
    </r>
    <r>
      <rPr>
        <sz val="10"/>
        <rFont val="宋体"/>
        <family val="3"/>
        <charset val="134"/>
      </rPr>
      <t>交易性金融资产以恰当的金额包括在财务报表中，与之相关的计价或分摊调整已恰当记录，相关披露已得到恰当计量和描述</t>
    </r>
    <r>
      <rPr>
        <sz val="10"/>
        <rFont val="Arial Narrow"/>
        <family val="2"/>
      </rPr>
      <t xml:space="preserve"> </t>
    </r>
    <phoneticPr fontId="171" type="noConversion"/>
  </si>
  <si>
    <t xml:space="preserve">交易性金融资产以恰当的金额包括在财务报表中，与之相关的计价或分摊调整已恰当记录，相关披露已得到恰当计量和描述 </t>
    <phoneticPr fontId="171" type="noConversion"/>
  </si>
  <si>
    <t xml:space="preserve">交易性金融资产以恰当的金额包括在财务报表中，与之相关的计价或分摊调整已恰当记录，相关披露已得到恰当计量和描述 </t>
    <phoneticPr fontId="171" type="noConversion"/>
  </si>
  <si>
    <t>随机选样/系统选样/货币单元抽样/随意选样（非统计抽样适用）</t>
    <phoneticPr fontId="50" type="noConversion"/>
  </si>
  <si>
    <t>合计</t>
    <phoneticPr fontId="50" type="noConversion"/>
  </si>
  <si>
    <t>本期发生额</t>
    <phoneticPr fontId="50" type="noConversion"/>
  </si>
  <si>
    <t>检查比例</t>
    <phoneticPr fontId="50" type="noConversion"/>
  </si>
  <si>
    <t>函证结果汇总表</t>
  </si>
  <si>
    <t>G0-1</t>
  </si>
  <si>
    <t>核实被函证单位信息</t>
  </si>
  <si>
    <t>G0-2</t>
  </si>
  <si>
    <t>跟函函证过程控制</t>
  </si>
  <si>
    <t>G0-3</t>
  </si>
  <si>
    <t>函证差异核对表（证券投资）</t>
  </si>
  <si>
    <t>G0-4</t>
  </si>
  <si>
    <t>函证差异核对表(非证券投资)</t>
  </si>
  <si>
    <t>G0-5</t>
  </si>
  <si>
    <t>替代程序检查表</t>
  </si>
  <si>
    <t>G0-6</t>
  </si>
  <si>
    <t>邮件传真回函可靠性验证</t>
  </si>
  <si>
    <t>G0-7</t>
  </si>
  <si>
    <t>函证程序舞弊风险评价表</t>
  </si>
  <si>
    <t>G0-8</t>
  </si>
  <si>
    <t>备选</t>
    <phoneticPr fontId="171" type="noConversion"/>
  </si>
  <si>
    <t>再从被投资单位套取资金（如投资私募基金后，在私募基金配合下将投资款从私募基金转出），如果还识别出被审计单位存在可能导致关联方资金占用以及其他套取资金行为的舞弊风险因素，则很可能表面存在第三方配合舞弊，应采取恰当的措施应对。</t>
    <phoneticPr fontId="50" type="noConversion"/>
  </si>
  <si>
    <r>
      <t>3</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号——识别和应对第三方配合实施财务舞弊》：当期存在大额对外投资时，需考虑是否存在通过被审计单位将资金投入被投资单位，</t>
    </r>
    <phoneticPr fontId="50" type="noConversion"/>
  </si>
  <si>
    <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71" type="noConversion"/>
  </si>
  <si>
    <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</si>
</sst>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 #,##0_ ;_ * \-#,##0_ ;_ * &quot;-&quot;_ ;_ @_ "/>
    <numFmt numFmtId="43" formatCode="_ * #,##0.00_ ;_ * \-#,##0.00_ ;_ * &quot;-&quot;??_ ;_ @_ "/>
    <numFmt numFmtId="176" formatCode="#,##0.0_);\(#,##0.0\)"/>
    <numFmt numFmtId="177" formatCode="&quot;$&quot;#,##0;[Red]&quot;$&quot;&quot;$&quot;&quot;$&quot;&quot;$&quot;&quot;$&quot;&quot;$&quot;&quot;$&quot;\-#,##0"/>
    <numFmt numFmtId="178" formatCode="_-* #,##0.00_-;\-* #,##0.00_-;_-* &quot;-&quot;??_-;_-@_-"/>
    <numFmt numFmtId="179" formatCode="_([$€-2]* #,##0.00_);_([$€-2]* \(#,##0.00\);_([$€-2]* &quot;-&quot;??_)"/>
    <numFmt numFmtId="180" formatCode="#,##0.00\¥;\-#,##0.00\¥"/>
    <numFmt numFmtId="181" formatCode="&quot;$&quot;#,##0_);\(&quot;$&quot;#,##0\)"/>
    <numFmt numFmtId="182" formatCode="&quot;\&quot;#,##0;[Red]&quot;\&quot;&quot;\&quot;\-#,##0"/>
    <numFmt numFmtId="183" formatCode="\$#,##0.00;\(\$#,##0.00\)"/>
    <numFmt numFmtId="184" formatCode="\ \ @"/>
    <numFmt numFmtId="185" formatCode="\$#,##0;\(\$#,##0\)"/>
    <numFmt numFmtId="186" formatCode="yyyy/mm/dd;@"/>
    <numFmt numFmtId="187" formatCode="#,##0;\(#,##0\)"/>
    <numFmt numFmtId="188" formatCode="0.0%;\(0.0%\)"/>
    <numFmt numFmtId="189" formatCode="#,##0;\-#,##0;&quot;-&quot;"/>
    <numFmt numFmtId="190" formatCode="0%;\(0%\)"/>
    <numFmt numFmtId="191" formatCode="0.00_);[Red]\(0.00\)"/>
    <numFmt numFmtId="192" formatCode="_(&quot;$&quot;* #,##0_);_(&quot;$&quot;* \(#,##0\);_(&quot;$&quot;* &quot;-&quot;_);_(@_)"/>
    <numFmt numFmtId="193" formatCode="_-* #,##0_-;\-* #,##0_-;_-* &quot;-&quot;_-;_-@_-"/>
    <numFmt numFmtId="194" formatCode="[Red]0.0%;[Red]\(0.0%\)"/>
    <numFmt numFmtId="195" formatCode="\(#,##0\)\ "/>
    <numFmt numFmtId="196" formatCode="#,##0.00\¥;[Red]\-#,##0.00\¥"/>
    <numFmt numFmtId="197" formatCode="mmm/dd/yyyy;_-\ &quot;N/A&quot;_-;_-\ &quot;-&quot;_-"/>
    <numFmt numFmtId="198" formatCode="_-#,###.00,_-;\(#,###.00,\);_-\ \ &quot;-&quot;_-;_-@_-"/>
    <numFmt numFmtId="199" formatCode="#,##0_);[Blue]\(#,##0\)"/>
    <numFmt numFmtId="200" formatCode="[Blue]#,##0_);[Blue]\(#,##0\)"/>
    <numFmt numFmtId="201" formatCode="_-#,##0%_-;\(#,##0%\);_-\ &quot;-&quot;_-"/>
    <numFmt numFmtId="202" formatCode="_-#0&quot;.&quot;0000_-;\(#0&quot;.&quot;0000\);_-\ \ &quot;-&quot;_-;_-@_-"/>
    <numFmt numFmtId="203" formatCode="0.00000000000_);[Red]\(0.00000000000\)"/>
    <numFmt numFmtId="204" formatCode="&quot;\&quot;#,##0;&quot;\&quot;&quot;\&quot;\-#,##0"/>
    <numFmt numFmtId="205" formatCode="_-&quot;$&quot;* #,##0.00_-;\-&quot;$&quot;* #,##0.00_-;_-&quot;$&quot;* &quot;-&quot;??_-;_-@_-"/>
    <numFmt numFmtId="206" formatCode="0.0%"/>
    <numFmt numFmtId="207" formatCode="_-* #,##0\¥_-;\-* #,##0\¥_-;_-* &quot;-&quot;\¥_-;_-@_-"/>
    <numFmt numFmtId="208" formatCode="hh:mm\ AM/PM_)"/>
    <numFmt numFmtId="209" formatCode="#,##0_);\(#,##0_)"/>
    <numFmt numFmtId="210" formatCode="_-* #,##0_-;\-* #,##0_-;_-* &quot;-&quot;??_-;_-@_-"/>
    <numFmt numFmtId="211" formatCode="_(&quot;$&quot;* #,##0.00_);_(&quot;$&quot;* \(#,##0.00\);_(&quot;$&quot;* &quot;-&quot;??_);_(@_)"/>
    <numFmt numFmtId="212" formatCode="_-* #,##0.00\¥_-;\-* #,##0.00\¥_-;_-* &quot;-&quot;??\¥_-;_-@_-"/>
    <numFmt numFmtId="213" formatCode="_-#,##0_-;\(#,##0\);_-\ \ &quot;-&quot;_-;_-@_-"/>
    <numFmt numFmtId="214" formatCode="_-#,##0.00_-;\(#,##0.00\);_-\ \ &quot;-&quot;_-;_-@_-"/>
    <numFmt numFmtId="215" formatCode="_-#,###,_-;\(#,###,\);_-\ \ &quot;-&quot;_-;_-@_-"/>
    <numFmt numFmtId="216" formatCode="mmm/yyyy;_-\ &quot;N/A&quot;_-;_-\ &quot;-&quot;_-"/>
    <numFmt numFmtId="217" formatCode=";;;"/>
    <numFmt numFmtId="218" formatCode="_-#0&quot;.&quot;0,_-;\(#0&quot;.&quot;0,\);_-\ \ &quot;-&quot;_-;_-@_-"/>
    <numFmt numFmtId="219" formatCode="[Blue]0.0%;[Blue]\(0.0%\)"/>
    <numFmt numFmtId="220" formatCode="\¥#,##0;\-\¥#,##0"/>
    <numFmt numFmtId="221" formatCode="0.000%"/>
    <numFmt numFmtId="222" formatCode="&quot;\&quot;#,##0.00;[Red]&quot;\&quot;&quot;\&quot;&quot;\&quot;&quot;\&quot;&quot;\&quot;&quot;\&quot;\-#,##0.00"/>
    <numFmt numFmtId="223" formatCode="&quot;$&quot;#,##0.00_);\(&quot;$&quot;#,##0.00\)"/>
    <numFmt numFmtId="224" formatCode="0%_);\(0%\)"/>
    <numFmt numFmtId="225" formatCode="_-&quot;$&quot;* #,##0_-;\-&quot;$&quot;* #,##0_-;_-&quot;$&quot;* &quot;-&quot;_-;_-@_-"/>
    <numFmt numFmtId="226" formatCode="&quot;\&quot;#,##0.00;[Red]&quot;\&quot;\-#,##0.00"/>
    <numFmt numFmtId="227" formatCode="&quot;\&quot;#,##0;[Red]&quot;\&quot;\-#,##0"/>
    <numFmt numFmtId="22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29" formatCode="_(* #,##0.00_);_(* \(#,##0.00\);_(* &quot;-&quot;??_);_(@_)"/>
    <numFmt numFmtId="230" formatCode="#,##0_ "/>
  </numFmts>
  <fonts count="178">
    <font>
      <sz val="11"/>
      <color theme="1"/>
      <name val="宋体"/>
      <charset val="134"/>
      <scheme val="minor"/>
    </font>
    <font>
      <sz val="11"/>
      <color theme="1"/>
      <name val="宋体"/>
      <family val="2"/>
      <charset val="134"/>
      <scheme val="minor"/>
    </font>
    <font>
      <sz val="12"/>
      <name val="宋体"/>
      <family val="3"/>
      <charset val="134"/>
      <scheme val="minor"/>
    </font>
    <font>
      <sz val="14"/>
      <name val="宋体"/>
      <family val="3"/>
      <charset val="134"/>
      <scheme val="minor"/>
    </font>
    <font>
      <sz val="10"/>
      <name val="Arial Narrow"/>
      <family val="2"/>
    </font>
    <font>
      <b/>
      <sz val="10"/>
      <name val="Arial Narrow"/>
      <family val="2"/>
    </font>
    <font>
      <b/>
      <sz val="12"/>
      <name val="宋体"/>
      <family val="3"/>
      <charset val="134"/>
      <scheme val="minor"/>
    </font>
    <font>
      <b/>
      <sz val="14"/>
      <name val="宋体"/>
      <family val="3"/>
      <charset val="134"/>
      <scheme val="minor"/>
    </font>
    <font>
      <sz val="11"/>
      <color theme="10"/>
      <name val="Arial Narrow"/>
      <family val="2"/>
    </font>
    <font>
      <sz val="10"/>
      <name val="宋体"/>
      <family val="3"/>
      <charset val="134"/>
    </font>
    <font>
      <b/>
      <sz val="10"/>
      <name val="宋体"/>
      <family val="3"/>
      <charset val="134"/>
    </font>
    <font>
      <b/>
      <u/>
      <sz val="10"/>
      <name val="Arial Narrow"/>
      <family val="2"/>
    </font>
    <font>
      <sz val="10"/>
      <color indexed="12"/>
      <name val="Arial Narrow"/>
      <family val="2"/>
    </font>
    <font>
      <sz val="10"/>
      <color indexed="9"/>
      <name val="Arial Narrow"/>
      <family val="2"/>
    </font>
    <font>
      <b/>
      <sz val="9"/>
      <color indexed="8"/>
      <name val="Arial Narrow"/>
      <family val="2"/>
    </font>
    <font>
      <b/>
      <sz val="9"/>
      <name val="Arial Narrow"/>
      <family val="2"/>
    </font>
    <font>
      <sz val="9"/>
      <name val="Arial Narrow"/>
      <family val="2"/>
    </font>
    <font>
      <b/>
      <sz val="10"/>
      <color theme="1"/>
      <name val="Arial Narrow"/>
      <family val="2"/>
    </font>
    <font>
      <b/>
      <sz val="10"/>
      <color theme="1"/>
      <name val="宋体"/>
      <family val="3"/>
      <charset val="134"/>
    </font>
    <font>
      <sz val="10"/>
      <color theme="1"/>
      <name val="Arial Narrow"/>
      <family val="2"/>
    </font>
    <font>
      <sz val="12"/>
      <name val="宋体"/>
      <family val="3"/>
      <charset val="134"/>
    </font>
    <font>
      <b/>
      <sz val="14"/>
      <name val="宋体"/>
      <family val="3"/>
      <charset val="134"/>
    </font>
    <font>
      <sz val="10"/>
      <color rgb="FF0000FF"/>
      <name val="Arial Narrow"/>
      <family val="2"/>
    </font>
    <font>
      <sz val="10"/>
      <color rgb="FFFF0000"/>
      <name val="Arial Narrow"/>
      <family val="2"/>
    </font>
    <font>
      <sz val="10"/>
      <color rgb="FFFF0000"/>
      <name val="宋体"/>
      <family val="3"/>
      <charset val="134"/>
    </font>
    <font>
      <sz val="10"/>
      <color rgb="FF0000FF"/>
      <name val="宋体"/>
      <family val="3"/>
      <charset val="134"/>
    </font>
    <font>
      <sz val="10"/>
      <color rgb="FFFF0000"/>
      <name val="宋体"/>
      <family val="3"/>
      <charset val="134"/>
      <scheme val="minor"/>
    </font>
    <font>
      <sz val="12"/>
      <color rgb="FFFF0000"/>
      <name val="宋体"/>
      <family val="3"/>
      <charset val="134"/>
    </font>
    <font>
      <u/>
      <sz val="12"/>
      <color indexed="12"/>
      <name val="宋体"/>
      <family val="3"/>
      <charset val="134"/>
    </font>
    <font>
      <sz val="12"/>
      <name val="Arial Narrow"/>
      <family val="2"/>
    </font>
    <font>
      <sz val="10"/>
      <name val="宋体"/>
      <family val="3"/>
      <charset val="134"/>
      <scheme val="minor"/>
    </font>
    <font>
      <b/>
      <sz val="12"/>
      <name val="宋体"/>
      <family val="3"/>
      <charset val="134"/>
    </font>
    <font>
      <b/>
      <sz val="12"/>
      <name val="Arial Narrow"/>
      <family val="2"/>
    </font>
    <font>
      <sz val="10"/>
      <color theme="1"/>
      <name val="宋体"/>
      <family val="3"/>
      <charset val="134"/>
    </font>
    <font>
      <b/>
      <sz val="10"/>
      <color indexed="8"/>
      <name val="Arial Narrow"/>
      <family val="2"/>
    </font>
    <font>
      <i/>
      <sz val="10"/>
      <color indexed="12"/>
      <name val="Arial Narrow"/>
      <family val="2"/>
    </font>
    <font>
      <b/>
      <sz val="10"/>
      <color indexed="12"/>
      <name val="Arial Narrow"/>
      <family val="2"/>
    </font>
    <font>
      <b/>
      <sz val="10"/>
      <color indexed="8"/>
      <name val="宋体"/>
      <family val="3"/>
      <charset val="134"/>
    </font>
    <font>
      <b/>
      <sz val="10"/>
      <color theme="1"/>
      <name val="宋体"/>
      <family val="3"/>
      <charset val="134"/>
      <scheme val="minor"/>
    </font>
    <font>
      <sz val="10"/>
      <color indexed="10"/>
      <name val="Arial Narrow"/>
      <family val="2"/>
    </font>
    <font>
      <sz val="10"/>
      <color indexed="8"/>
      <name val="Arial Narrow"/>
      <family val="2"/>
    </font>
    <font>
      <b/>
      <sz val="10"/>
      <color rgb="FF0000FF"/>
      <name val="Arial Narrow"/>
      <family val="2"/>
    </font>
    <font>
      <sz val="10"/>
      <color rgb="FFC00000"/>
      <name val="宋体"/>
      <family val="3"/>
      <charset val="134"/>
    </font>
    <font>
      <sz val="12"/>
      <color theme="1"/>
      <name val="宋体"/>
      <family val="3"/>
      <charset val="134"/>
      <scheme val="minor"/>
    </font>
    <font>
      <sz val="14"/>
      <color theme="1"/>
      <name val="宋体"/>
      <family val="3"/>
      <charset val="134"/>
      <scheme val="minor"/>
    </font>
    <font>
      <b/>
      <sz val="9"/>
      <name val="宋体"/>
      <family val="3"/>
      <charset val="134"/>
    </font>
    <font>
      <u/>
      <sz val="11"/>
      <color theme="10"/>
      <name val="宋体"/>
      <family val="3"/>
      <charset val="134"/>
    </font>
    <font>
      <sz val="11"/>
      <name val="宋体"/>
      <family val="3"/>
      <charset val="134"/>
      <scheme val="minor"/>
    </font>
    <font>
      <sz val="10"/>
      <color theme="1"/>
      <name val="宋体"/>
      <family val="3"/>
      <charset val="134"/>
      <scheme val="minor"/>
    </font>
    <font>
      <sz val="9"/>
      <color rgb="FFFF0000"/>
      <name val="Arial Narrow"/>
      <family val="2"/>
    </font>
    <font>
      <sz val="9"/>
      <name val="宋体"/>
      <family val="3"/>
      <charset val="134"/>
    </font>
    <font>
      <sz val="10"/>
      <color indexed="12"/>
      <name val="宋体"/>
      <family val="3"/>
      <charset val="134"/>
    </font>
    <font>
      <b/>
      <sz val="10"/>
      <color indexed="12"/>
      <name val="宋体"/>
      <family val="3"/>
      <charset val="134"/>
    </font>
    <font>
      <sz val="11"/>
      <color theme="1"/>
      <name val="Arial Narrow"/>
      <family val="2"/>
    </font>
    <font>
      <sz val="10"/>
      <color rgb="FF0000FF"/>
      <name val="宋体"/>
      <family val="3"/>
      <charset val="134"/>
      <scheme val="minor"/>
    </font>
    <font>
      <b/>
      <sz val="10"/>
      <color rgb="FFE92841"/>
      <name val="Arial Narrow"/>
      <family val="2"/>
    </font>
    <font>
      <sz val="10"/>
      <color indexed="8"/>
      <name val="宋体"/>
      <family val="3"/>
      <charset val="134"/>
    </font>
    <font>
      <sz val="12"/>
      <color indexed="12"/>
      <name val="仿宋_GB2312"/>
      <family val="3"/>
      <charset val="134"/>
    </font>
    <font>
      <i/>
      <sz val="10"/>
      <color indexed="12"/>
      <name val="宋体"/>
      <family val="3"/>
      <charset val="134"/>
    </font>
    <font>
      <b/>
      <sz val="10"/>
      <color rgb="FF0000FF"/>
      <name val="宋体"/>
      <family val="3"/>
      <charset val="134"/>
    </font>
    <font>
      <sz val="12"/>
      <name val="仿宋_GB2312"/>
      <family val="3"/>
      <charset val="134"/>
    </font>
    <font>
      <sz val="10"/>
      <name val="仿宋_GB2312"/>
      <family val="3"/>
      <charset val="134"/>
    </font>
    <font>
      <b/>
      <sz val="12"/>
      <name val="仿宋_GB2312"/>
      <family val="3"/>
      <charset val="134"/>
    </font>
    <font>
      <b/>
      <sz val="10.5"/>
      <color rgb="FF000000"/>
      <name val="仿宋_GB2312"/>
      <family val="3"/>
      <charset val="134"/>
    </font>
    <font>
      <b/>
      <sz val="12"/>
      <color rgb="FF000000"/>
      <name val="仿宋_GB2312"/>
      <family val="3"/>
      <charset val="134"/>
    </font>
    <font>
      <sz val="12"/>
      <color rgb="FF0000FF"/>
      <name val="仿宋_GB2312"/>
      <family val="3"/>
      <charset val="134"/>
    </font>
    <font>
      <sz val="12"/>
      <color rgb="FFFF0000"/>
      <name val="仿宋_GB2312"/>
      <family val="3"/>
      <charset val="134"/>
    </font>
    <font>
      <sz val="12"/>
      <color rgb="FF0000FF"/>
      <name val="宋体"/>
      <family val="3"/>
      <charset val="134"/>
      <scheme val="minor"/>
    </font>
    <font>
      <sz val="12"/>
      <color rgb="FF0000FF"/>
      <name val="Arial Narrow"/>
      <family val="2"/>
    </font>
    <font>
      <sz val="12"/>
      <color rgb="FF0000FF"/>
      <name val="宋体"/>
      <family val="3"/>
      <charset val="134"/>
    </font>
    <font>
      <sz val="12"/>
      <color rgb="FF000000"/>
      <name val="Arial Narrow"/>
      <family val="2"/>
    </font>
    <font>
      <b/>
      <sz val="12"/>
      <color theme="1"/>
      <name val="仿宋_GB2312"/>
      <family val="3"/>
      <charset val="134"/>
    </font>
    <font>
      <sz val="12"/>
      <color theme="1"/>
      <name val="仿宋_GB2312"/>
      <family val="3"/>
      <charset val="134"/>
    </font>
    <font>
      <b/>
      <sz val="10.5"/>
      <color theme="1"/>
      <name val="仿宋_GB2312"/>
      <family val="3"/>
      <charset val="134"/>
    </font>
    <font>
      <sz val="10.5"/>
      <color theme="1"/>
      <name val="仿宋_GB2312"/>
      <family val="3"/>
      <charset val="134"/>
    </font>
    <font>
      <sz val="10.5"/>
      <color theme="1"/>
      <name val="Arial Narrow"/>
      <family val="2"/>
    </font>
    <font>
      <sz val="10"/>
      <color theme="1"/>
      <name val="Times New Roman"/>
      <family val="1"/>
    </font>
    <font>
      <sz val="10.5"/>
      <color rgb="FFFF0000"/>
      <name val="仿宋_GB2312"/>
      <family val="3"/>
      <charset val="134"/>
    </font>
    <font>
      <sz val="10.5"/>
      <color rgb="FFFF0000"/>
      <name val="Arial Narrow"/>
      <family val="2"/>
    </font>
    <font>
      <b/>
      <sz val="9"/>
      <color theme="1"/>
      <name val="仿宋_GB2312"/>
      <family val="3"/>
      <charset val="134"/>
    </font>
    <font>
      <sz val="9"/>
      <color theme="1"/>
      <name val="Arial Narrow"/>
      <family val="2"/>
    </font>
    <font>
      <b/>
      <sz val="9"/>
      <color theme="1"/>
      <name val="Arial Narrow"/>
      <family val="2"/>
    </font>
    <font>
      <i/>
      <u/>
      <sz val="10"/>
      <color indexed="12"/>
      <name val="Arial Narrow"/>
      <family val="2"/>
    </font>
    <font>
      <u/>
      <sz val="10"/>
      <name val="Arial Narrow"/>
      <family val="2"/>
    </font>
    <font>
      <sz val="10"/>
      <name val="Arial"/>
      <family val="2"/>
    </font>
    <font>
      <b/>
      <sz val="10"/>
      <name val="Arial"/>
      <family val="2"/>
    </font>
    <font>
      <b/>
      <sz val="12"/>
      <name val="Arial"/>
      <family val="2"/>
    </font>
    <font>
      <b/>
      <sz val="14"/>
      <name val="Arial"/>
      <family val="2"/>
    </font>
    <font>
      <sz val="10"/>
      <color theme="1"/>
      <name val="宋体"/>
      <family val="3"/>
      <charset val="134"/>
      <scheme val="minor"/>
    </font>
    <font>
      <sz val="12"/>
      <name val="Arial"/>
      <family val="2"/>
    </font>
    <font>
      <u/>
      <sz val="10"/>
      <color theme="10"/>
      <name val="宋体"/>
      <family val="3"/>
      <charset val="134"/>
    </font>
    <font>
      <sz val="10"/>
      <name val="Times New Roman"/>
      <family val="1"/>
    </font>
    <font>
      <b/>
      <sz val="10"/>
      <color indexed="10"/>
      <name val="Arial"/>
      <family val="2"/>
    </font>
    <font>
      <u/>
      <sz val="10"/>
      <color rgb="FF800080"/>
      <name val="宋体"/>
      <family val="3"/>
      <charset val="134"/>
    </font>
    <font>
      <sz val="10"/>
      <color indexed="8"/>
      <name val="Arial"/>
      <family val="2"/>
    </font>
    <font>
      <sz val="10"/>
      <color indexed="8"/>
      <name val="MS Sans Serif"/>
      <family val="1"/>
    </font>
    <font>
      <sz val="8"/>
      <name val="Times New Roman"/>
      <family val="1"/>
    </font>
    <font>
      <sz val="14"/>
      <name val="柧挬"/>
      <family val="2"/>
    </font>
    <font>
      <sz val="11"/>
      <color theme="1"/>
      <name val="宋体"/>
      <family val="3"/>
      <charset val="134"/>
      <scheme val="minor"/>
    </font>
    <font>
      <sz val="11"/>
      <color rgb="FF006100"/>
      <name val="宋体"/>
      <family val="3"/>
      <charset val="134"/>
      <scheme val="minor"/>
    </font>
    <font>
      <sz val="9"/>
      <name val="Times New Roman"/>
      <family val="1"/>
    </font>
    <font>
      <sz val="10"/>
      <color indexed="16"/>
      <name val="MS Serif"/>
      <family val="1"/>
    </font>
    <font>
      <sz val="12"/>
      <name val="Times New Roman"/>
      <family val="1"/>
    </font>
    <font>
      <sz val="13"/>
      <name val="Tms Rmn"/>
      <family val="1"/>
    </font>
    <font>
      <sz val="12"/>
      <name val="???"/>
      <family val="1"/>
    </font>
    <font>
      <sz val="11"/>
      <color indexed="62"/>
      <name val="Calibri"/>
      <family val="2"/>
    </font>
    <font>
      <b/>
      <sz val="11"/>
      <color indexed="56"/>
      <name val="Calibri"/>
      <family val="2"/>
    </font>
    <font>
      <b/>
      <sz val="10"/>
      <name val="MS Sans Serif"/>
      <family val="2"/>
    </font>
    <font>
      <sz val="12"/>
      <name val="柧挬"/>
      <family val="2"/>
    </font>
    <font>
      <sz val="10"/>
      <name val="MS Sans Serif"/>
      <family val="2"/>
    </font>
    <font>
      <sz val="11"/>
      <color indexed="9"/>
      <name val="Calibri"/>
      <family val="2"/>
    </font>
    <font>
      <sz val="12"/>
      <color indexed="20"/>
      <name val="宋体"/>
      <family val="3"/>
      <charset val="134"/>
    </font>
    <font>
      <sz val="11"/>
      <color indexed="9"/>
      <name val="宋体"/>
      <family val="3"/>
      <charset val="134"/>
    </font>
    <font>
      <sz val="11"/>
      <name val="ＭＳ Ｐゴシック"/>
      <family val="2"/>
    </font>
    <font>
      <sz val="11"/>
      <color indexed="52"/>
      <name val="Calibri"/>
      <family val="2"/>
    </font>
    <font>
      <sz val="9"/>
      <color indexed="8"/>
      <name val="宋体"/>
      <family val="3"/>
      <charset val="134"/>
    </font>
    <font>
      <sz val="8"/>
      <color indexed="16"/>
      <name val="Century Schoolbook"/>
      <family val="1"/>
    </font>
    <font>
      <sz val="10"/>
      <name val="奔覆眉"/>
      <family val="2"/>
    </font>
    <font>
      <sz val="10"/>
      <name val="Courier"/>
      <family val="3"/>
    </font>
    <font>
      <i/>
      <sz val="11"/>
      <color indexed="23"/>
      <name val="Calibri"/>
      <family val="2"/>
    </font>
    <font>
      <sz val="10"/>
      <color indexed="20"/>
      <name val="Times New Roman"/>
      <family val="1"/>
    </font>
    <font>
      <sz val="10"/>
      <color indexed="17"/>
      <name val="Times New Roman"/>
      <family val="1"/>
    </font>
    <font>
      <u val="singleAccounting"/>
      <vertAlign val="subscript"/>
      <sz val="10"/>
      <name val="Times New Roman"/>
      <family val="1"/>
    </font>
    <font>
      <u/>
      <sz val="7.5"/>
      <color indexed="12"/>
      <name val="Arial"/>
      <family val="2"/>
    </font>
    <font>
      <i/>
      <sz val="9"/>
      <name val="Times New Roman"/>
      <family val="1"/>
    </font>
    <font>
      <sz val="8"/>
      <name val="Arial"/>
      <family val="2"/>
    </font>
    <font>
      <b/>
      <sz val="8"/>
      <name val="Arial"/>
      <family val="2"/>
    </font>
    <font>
      <sz val="11"/>
      <color indexed="8"/>
      <name val="Calibri"/>
      <family val="2"/>
    </font>
    <font>
      <sz val="7"/>
      <name val="Helv"/>
      <family val="2"/>
    </font>
    <font>
      <sz val="11"/>
      <color indexed="20"/>
      <name val="Calibri"/>
      <family val="2"/>
    </font>
    <font>
      <b/>
      <sz val="11"/>
      <color indexed="52"/>
      <name val="Calibri"/>
      <family val="2"/>
    </font>
    <font>
      <b/>
      <sz val="10"/>
      <name val="Helv"/>
      <family val="2"/>
    </font>
    <font>
      <b/>
      <sz val="11"/>
      <color indexed="9"/>
      <name val="Calibri"/>
      <family val="2"/>
    </font>
    <font>
      <b/>
      <sz val="13"/>
      <name val="Tms Rmn"/>
      <family val="1"/>
    </font>
    <font>
      <sz val="10"/>
      <name val="MS Serif"/>
      <family val="1"/>
    </font>
    <font>
      <sz val="12"/>
      <name val="Tms Rmn"/>
      <family val="1"/>
    </font>
    <font>
      <u/>
      <sz val="7.5"/>
      <color indexed="36"/>
      <name val="Arial"/>
      <family val="2"/>
    </font>
    <font>
      <sz val="11"/>
      <color indexed="17"/>
      <name val="Calibri"/>
      <family val="2"/>
    </font>
    <font>
      <b/>
      <sz val="12"/>
      <name val="Helv"/>
      <family val="2"/>
    </font>
    <font>
      <b/>
      <sz val="15"/>
      <color indexed="56"/>
      <name val="Calibri"/>
      <family val="2"/>
    </font>
    <font>
      <b/>
      <sz val="13"/>
      <color indexed="56"/>
      <name val="Calibri"/>
      <family val="2"/>
    </font>
    <font>
      <b/>
      <sz val="11"/>
      <color indexed="8"/>
      <name val="Calibri"/>
      <family val="2"/>
    </font>
    <font>
      <sz val="11"/>
      <color indexed="10"/>
      <name val="Calibri"/>
      <family val="2"/>
    </font>
    <font>
      <sz val="12"/>
      <name val="MS Sans Serif"/>
      <family val="2"/>
    </font>
    <font>
      <b/>
      <sz val="11"/>
      <name val="Helv"/>
      <family val="2"/>
    </font>
    <font>
      <sz val="11"/>
      <color indexed="60"/>
      <name val="Calibri"/>
      <family val="2"/>
    </font>
    <font>
      <b/>
      <i/>
      <sz val="10"/>
      <name val="Times New Roman"/>
      <family val="1"/>
    </font>
    <font>
      <sz val="7"/>
      <name val="Small Fonts"/>
      <family val="2"/>
    </font>
    <font>
      <sz val="8"/>
      <name val="Century Schoolbook"/>
      <family val="1"/>
    </font>
    <font>
      <sz val="12"/>
      <name val="楷体"/>
      <family val="3"/>
      <charset val="134"/>
    </font>
    <font>
      <b/>
      <sz val="11"/>
      <color indexed="63"/>
      <name val="Calibri"/>
      <family val="2"/>
    </font>
    <font>
      <sz val="10"/>
      <name val="Tms Rmn"/>
      <family val="1"/>
    </font>
    <font>
      <sz val="7"/>
      <color indexed="10"/>
      <name val="Helv"/>
      <family val="2"/>
    </font>
    <font>
      <sz val="10"/>
      <name val="Geneva"/>
      <family val="1"/>
    </font>
    <font>
      <b/>
      <sz val="12"/>
      <name val="MS Sans Serif"/>
      <family val="2"/>
    </font>
    <font>
      <b/>
      <sz val="8"/>
      <color indexed="8"/>
      <name val="Helv"/>
      <family val="2"/>
    </font>
    <font>
      <b/>
      <sz val="9"/>
      <name val="Times New Roman"/>
      <family val="1"/>
    </font>
    <font>
      <sz val="11"/>
      <name val="明朝"/>
      <family val="2"/>
    </font>
    <font>
      <sz val="11"/>
      <color rgb="FF9C0006"/>
      <name val="宋体"/>
      <family val="3"/>
      <charset val="134"/>
      <scheme val="minor"/>
    </font>
    <font>
      <sz val="11"/>
      <color indexed="8"/>
      <name val="宋体"/>
      <family val="3"/>
      <charset val="134"/>
    </font>
    <font>
      <u/>
      <sz val="10"/>
      <color indexed="12"/>
      <name val="宋体"/>
      <family val="3"/>
      <charset val="134"/>
    </font>
    <font>
      <sz val="12"/>
      <name val="官帕眉"/>
      <family val="2"/>
    </font>
    <font>
      <sz val="12"/>
      <name val="바탕체"/>
      <family val="3"/>
    </font>
    <font>
      <b/>
      <sz val="9"/>
      <color indexed="8"/>
      <name val="宋体"/>
      <family val="3"/>
      <charset val="134"/>
    </font>
    <font>
      <b/>
      <sz val="10"/>
      <color rgb="FFFF0000"/>
      <name val="宋体"/>
      <family val="3"/>
      <charset val="134"/>
    </font>
    <font>
      <sz val="10"/>
      <color indexed="10"/>
      <name val="宋体"/>
      <family val="3"/>
      <charset val="134"/>
    </font>
    <font>
      <sz val="12"/>
      <color rgb="FF000000"/>
      <name val="仿宋_GB2312"/>
      <family val="3"/>
      <charset val="134"/>
    </font>
    <font>
      <sz val="12"/>
      <color theme="1"/>
      <name val="Arial Narrow"/>
      <family val="2"/>
    </font>
    <font>
      <b/>
      <sz val="10.5"/>
      <color theme="1"/>
      <name val="Arial Narrow"/>
      <family val="2"/>
    </font>
    <font>
      <sz val="12"/>
      <color rgb="FFFF0000"/>
      <name val="Arial Narrow"/>
      <family val="2"/>
    </font>
    <font>
      <sz val="11"/>
      <color theme="1"/>
      <name val="宋体"/>
      <family val="3"/>
      <charset val="134"/>
      <scheme val="minor"/>
    </font>
    <font>
      <sz val="9"/>
      <name val="宋体"/>
      <family val="3"/>
      <charset val="134"/>
      <scheme val="minor"/>
    </font>
    <font>
      <sz val="14"/>
      <color rgb="FF0000FF"/>
      <name val="宋体"/>
      <family val="3"/>
      <charset val="134"/>
      <scheme val="minor"/>
    </font>
    <font>
      <sz val="11"/>
      <color rgb="FF0000FF"/>
      <name val="宋体"/>
      <family val="3"/>
      <charset val="134"/>
      <scheme val="minor"/>
    </font>
    <font>
      <sz val="9"/>
      <name val="宋体"/>
      <family val="2"/>
      <charset val="134"/>
      <scheme val="minor"/>
    </font>
    <font>
      <b/>
      <sz val="9"/>
      <color indexed="81"/>
      <name val="宋体"/>
      <family val="3"/>
      <charset val="134"/>
    </font>
    <font>
      <sz val="9"/>
      <color indexed="81"/>
      <name val="宋体"/>
      <family val="3"/>
      <charset val="134"/>
    </font>
    <font>
      <sz val="10"/>
      <color theme="10"/>
      <name val="Arial Narrow"/>
      <family val="2"/>
    </font>
  </fonts>
  <fills count="39">
    <fill>
      <patternFill patternType="none"/>
    </fill>
    <fill>
      <patternFill patternType="gray125"/>
    </fill>
    <fill>
      <patternFill patternType="solid">
        <fgColor theme="7" tint="0.79995117038483843"/>
        <bgColor indexed="64"/>
      </patternFill>
    </fill>
    <fill>
      <patternFill patternType="solid">
        <fgColor rgb="FFFFFFCC"/>
        <bgColor indexed="64"/>
      </patternFill>
    </fill>
    <fill>
      <patternFill patternType="solid">
        <fgColor rgb="FFE4DFEC"/>
        <bgColor indexed="64"/>
      </patternFill>
    </fill>
    <fill>
      <patternFill patternType="solid">
        <fgColor indexed="51"/>
        <bgColor indexed="64"/>
      </patternFill>
    </fill>
    <fill>
      <patternFill patternType="solid">
        <fgColor rgb="FFDCD5E5"/>
        <bgColor indexed="64"/>
      </patternFill>
    </fill>
    <fill>
      <patternFill patternType="solid">
        <fgColor rgb="FFFFFF99"/>
        <bgColor indexed="64"/>
      </patternFill>
    </fill>
    <fill>
      <patternFill patternType="solid">
        <fgColor rgb="FF00B050"/>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rgb="FFE4DFEC"/>
        <bgColor rgb="FFB7DEE8"/>
      </patternFill>
    </fill>
    <fill>
      <patternFill patternType="solid">
        <fgColor theme="7" tint="0.79998168889431442"/>
        <bgColor indexed="64"/>
      </patternFill>
    </fill>
  </fills>
  <borders count="27">
    <border>
      <left/>
      <right/>
      <top/>
      <bottom/>
      <diagonal/>
    </border>
    <border>
      <left/>
      <right/>
      <top/>
      <bottom style="thin">
        <color auto="1"/>
      </bottom>
      <diagonal/>
    </border>
    <border>
      <left/>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402">
    <xf numFmtId="0" fontId="0" fillId="0" borderId="0">
      <alignment vertical="center"/>
    </xf>
    <xf numFmtId="41" fontId="84" fillId="0" borderId="0" applyFont="0" applyFill="0" applyBorder="0" applyAlignment="0" applyProtection="0"/>
    <xf numFmtId="0" fontId="94" fillId="0" borderId="0">
      <alignment vertical="top"/>
      <protection locked="0"/>
    </xf>
    <xf numFmtId="14" fontId="85" fillId="10" borderId="13">
      <alignment horizontal="center" vertical="center" wrapText="1"/>
    </xf>
    <xf numFmtId="0" fontId="20" fillId="0" borderId="0">
      <protection locked="0"/>
    </xf>
    <xf numFmtId="0" fontId="95" fillId="0" borderId="0"/>
    <xf numFmtId="0" fontId="96" fillId="0" borderId="0">
      <alignment horizontal="center" wrapText="1"/>
      <protection locked="0"/>
    </xf>
    <xf numFmtId="0" fontId="97" fillId="0" borderId="0" applyFont="0" applyFill="0" applyBorder="0" applyAlignment="0" applyProtection="0"/>
    <xf numFmtId="0" fontId="84" fillId="0" borderId="0"/>
    <xf numFmtId="188" fontId="84" fillId="0" borderId="0" applyFill="0" applyBorder="0" applyAlignment="0"/>
    <xf numFmtId="0" fontId="98" fillId="0" borderId="0">
      <alignment vertical="center"/>
    </xf>
    <xf numFmtId="192" fontId="84" fillId="0" borderId="0" applyFont="0" applyFill="0" applyBorder="0" applyAlignment="0" applyProtection="0"/>
    <xf numFmtId="43" fontId="170" fillId="0" borderId="0" applyFont="0" applyFill="0" applyBorder="0" applyAlignment="0" applyProtection="0">
      <alignment vertical="center"/>
    </xf>
    <xf numFmtId="0" fontId="94" fillId="0" borderId="0">
      <alignment vertical="top"/>
    </xf>
    <xf numFmtId="0" fontId="46" fillId="0" borderId="0" applyNumberFormat="0" applyFill="0" applyBorder="0" applyAlignment="0" applyProtection="0">
      <alignment vertical="top"/>
      <protection locked="0"/>
    </xf>
    <xf numFmtId="9" fontId="170" fillId="0" borderId="0" applyFont="0" applyFill="0" applyBorder="0" applyAlignment="0" applyProtection="0">
      <alignment vertical="center"/>
    </xf>
    <xf numFmtId="0" fontId="99" fillId="11" borderId="0" applyNumberFormat="0" applyBorder="0" applyAlignment="0" applyProtection="0">
      <alignment vertical="center"/>
    </xf>
    <xf numFmtId="193" fontId="84" fillId="0" borderId="0" applyFont="0" applyFill="0" applyBorder="0" applyAlignment="0" applyProtection="0"/>
    <xf numFmtId="0" fontId="84" fillId="0" borderId="0"/>
    <xf numFmtId="0" fontId="100" fillId="0" borderId="0">
      <alignment horizontal="left"/>
    </xf>
    <xf numFmtId="199" fontId="84" fillId="0" borderId="0" applyFill="0" applyBorder="0" applyAlignment="0"/>
    <xf numFmtId="0" fontId="101" fillId="0" borderId="0" applyNumberFormat="0" applyAlignment="0">
      <alignment horizontal="left"/>
    </xf>
    <xf numFmtId="0" fontId="170" fillId="0" borderId="0">
      <alignment vertical="center"/>
    </xf>
    <xf numFmtId="0" fontId="98" fillId="0" borderId="0">
      <alignment vertical="center"/>
    </xf>
    <xf numFmtId="200" fontId="84" fillId="0" borderId="0" applyFill="0" applyBorder="0" applyAlignment="0"/>
    <xf numFmtId="0" fontId="94" fillId="0" borderId="0">
      <alignment vertical="top"/>
    </xf>
    <xf numFmtId="0" fontId="102" fillId="0" borderId="0"/>
    <xf numFmtId="190" fontId="103" fillId="0" borderId="0" applyFont="0" applyFill="0" applyBorder="0" applyAlignment="0" applyProtection="0"/>
    <xf numFmtId="41" fontId="84" fillId="0" borderId="0" applyFont="0" applyFill="0" applyBorder="0" applyAlignment="0" applyProtection="0"/>
    <xf numFmtId="49" fontId="91" fillId="0" borderId="0" applyProtection="0">
      <alignment horizontal="left"/>
    </xf>
    <xf numFmtId="190" fontId="84" fillId="0" borderId="0" applyFont="0" applyFill="0" applyBorder="0" applyAlignment="0" applyProtection="0"/>
    <xf numFmtId="0" fontId="104" fillId="0" borderId="0"/>
    <xf numFmtId="0" fontId="94" fillId="0" borderId="0">
      <alignment vertical="top"/>
      <protection locked="0"/>
    </xf>
    <xf numFmtId="0" fontId="94" fillId="0" borderId="0">
      <alignment vertical="top"/>
    </xf>
    <xf numFmtId="43" fontId="170" fillId="0" borderId="0" applyFont="0" applyFill="0" applyBorder="0" applyAlignment="0" applyProtection="0">
      <alignment vertical="center"/>
    </xf>
    <xf numFmtId="49" fontId="91" fillId="0" borderId="0" applyProtection="0">
      <alignment horizontal="left"/>
    </xf>
    <xf numFmtId="179" fontId="105" fillId="12" borderId="16" applyNumberFormat="0" applyAlignment="0" applyProtection="0"/>
    <xf numFmtId="0" fontId="98" fillId="0" borderId="0">
      <alignment vertical="center"/>
    </xf>
    <xf numFmtId="199" fontId="84" fillId="0" borderId="0" applyFill="0" applyBorder="0" applyAlignment="0"/>
    <xf numFmtId="200" fontId="84" fillId="0" borderId="0" applyFill="0" applyBorder="0" applyAlignment="0"/>
    <xf numFmtId="179" fontId="106" fillId="0" borderId="17" applyNumberFormat="0" applyFill="0" applyAlignment="0" applyProtection="0"/>
    <xf numFmtId="0" fontId="98" fillId="0" borderId="0">
      <alignment vertical="center"/>
    </xf>
    <xf numFmtId="0" fontId="84" fillId="0" borderId="0" applyNumberFormat="0" applyFill="0" applyBorder="0" applyAlignment="0">
      <protection locked="0"/>
    </xf>
    <xf numFmtId="200" fontId="84" fillId="0" borderId="0" applyFill="0" applyBorder="0" applyAlignment="0"/>
    <xf numFmtId="206" fontId="103" fillId="0" borderId="0" applyFont="0" applyFill="0" applyBorder="0" applyAlignment="0" applyProtection="0"/>
    <xf numFmtId="0" fontId="107" fillId="0" borderId="0" applyNumberFormat="0" applyFill="0" applyBorder="0" applyAlignment="0" applyProtection="0"/>
    <xf numFmtId="0" fontId="84" fillId="0" borderId="0"/>
    <xf numFmtId="41" fontId="20" fillId="0" borderId="0" applyFont="0" applyFill="0" applyBorder="0" applyAlignment="0" applyProtection="0"/>
    <xf numFmtId="0" fontId="108" fillId="0" borderId="0"/>
    <xf numFmtId="0" fontId="109" fillId="0" borderId="0" applyNumberFormat="0" applyFont="0" applyFill="0" applyBorder="0" applyAlignment="0" applyProtection="0">
      <alignment horizontal="left"/>
    </xf>
    <xf numFmtId="0" fontId="102" fillId="0" borderId="0"/>
    <xf numFmtId="0" fontId="94" fillId="0" borderId="0">
      <alignment vertical="top"/>
    </xf>
    <xf numFmtId="179" fontId="110" fillId="13" borderId="0" applyNumberFormat="0" applyBorder="0" applyAlignment="0" applyProtection="0"/>
    <xf numFmtId="0" fontId="20" fillId="0" borderId="0" applyNumberFormat="0" applyFill="0" applyBorder="0" applyAlignment="0" applyProtection="0"/>
    <xf numFmtId="0" fontId="111" fillId="14" borderId="0" applyNumberFormat="0" applyBorder="0" applyAlignment="0" applyProtection="0">
      <alignment vertical="center"/>
    </xf>
    <xf numFmtId="0" fontId="94" fillId="0" borderId="0">
      <alignment vertical="top"/>
      <protection locked="0"/>
    </xf>
    <xf numFmtId="43" fontId="102" fillId="0" borderId="0" applyFont="0" applyFill="0" applyBorder="0" applyAlignment="0" applyProtection="0"/>
    <xf numFmtId="193" fontId="102" fillId="0" borderId="0" applyFont="0" applyFill="0" applyBorder="0" applyAlignment="0" applyProtection="0"/>
    <xf numFmtId="0" fontId="84" fillId="0" borderId="0"/>
    <xf numFmtId="0" fontId="94" fillId="0" borderId="0">
      <alignment vertical="top"/>
    </xf>
    <xf numFmtId="0" fontId="84" fillId="0" borderId="0"/>
    <xf numFmtId="0" fontId="84" fillId="0" borderId="0"/>
    <xf numFmtId="0" fontId="112" fillId="13" borderId="0" applyNumberFormat="0" applyBorder="0" applyAlignment="0" applyProtection="0">
      <alignment vertical="center"/>
    </xf>
    <xf numFmtId="40" fontId="97" fillId="0" borderId="0" applyFont="0" applyFill="0" applyBorder="0" applyAlignment="0" applyProtection="0"/>
    <xf numFmtId="0" fontId="113" fillId="0" borderId="0" applyFont="0" applyFill="0" applyBorder="0" applyAlignment="0" applyProtection="0"/>
    <xf numFmtId="0" fontId="113" fillId="0" borderId="0" applyFont="0" applyFill="0" applyBorder="0" applyAlignment="0" applyProtection="0"/>
    <xf numFmtId="0" fontId="94" fillId="0" borderId="0">
      <alignment vertical="top"/>
      <protection locked="0"/>
    </xf>
    <xf numFmtId="0" fontId="102" fillId="0" borderId="0"/>
    <xf numFmtId="0" fontId="94" fillId="0" borderId="0">
      <alignment vertical="top"/>
      <protection locked="0"/>
    </xf>
    <xf numFmtId="0" fontId="94" fillId="0" borderId="0">
      <alignment vertical="top"/>
      <protection locked="0"/>
    </xf>
    <xf numFmtId="0" fontId="94" fillId="0" borderId="0">
      <alignment vertical="top"/>
      <protection locked="0"/>
    </xf>
    <xf numFmtId="0" fontId="94" fillId="0" borderId="0">
      <alignment vertical="top"/>
      <protection locked="0"/>
    </xf>
    <xf numFmtId="195" fontId="84" fillId="0" borderId="0" applyFill="0" applyBorder="0" applyAlignment="0"/>
    <xf numFmtId="0" fontId="94" fillId="0" borderId="0">
      <alignment vertical="top"/>
      <protection locked="0"/>
    </xf>
    <xf numFmtId="208" fontId="20" fillId="0" borderId="0" applyFont="0" applyFill="0" applyBorder="0" applyAlignment="0" applyProtection="0"/>
    <xf numFmtId="199" fontId="84" fillId="0" borderId="0" applyFill="0" applyBorder="0" applyAlignment="0"/>
    <xf numFmtId="0" fontId="94" fillId="0" borderId="0">
      <alignment vertical="top"/>
      <protection locked="0"/>
    </xf>
    <xf numFmtId="0" fontId="94" fillId="0" borderId="0">
      <alignment vertical="top"/>
      <protection locked="0"/>
    </xf>
    <xf numFmtId="0" fontId="94" fillId="0" borderId="0">
      <alignment vertical="top"/>
      <protection locked="0"/>
    </xf>
    <xf numFmtId="195" fontId="84" fillId="0" borderId="0" applyFont="0" applyFill="0" applyBorder="0" applyAlignment="0" applyProtection="0"/>
    <xf numFmtId="0" fontId="94" fillId="0" borderId="0">
      <alignment vertical="top"/>
      <protection locked="0"/>
    </xf>
    <xf numFmtId="179" fontId="114" fillId="0" borderId="18" applyNumberFormat="0" applyFill="0" applyAlignment="0" applyProtection="0"/>
    <xf numFmtId="0" fontId="84" fillId="0" borderId="0" applyNumberFormat="0" applyFill="0" applyBorder="0" applyAlignment="0">
      <protection locked="0"/>
    </xf>
    <xf numFmtId="0" fontId="94" fillId="0" borderId="0">
      <alignment vertical="top"/>
    </xf>
    <xf numFmtId="43" fontId="20" fillId="0" borderId="0" applyFont="0" applyFill="0" applyBorder="0" applyAlignment="0" applyProtection="0"/>
    <xf numFmtId="0" fontId="94" fillId="0" borderId="0">
      <alignment vertical="top"/>
    </xf>
    <xf numFmtId="0" fontId="84" fillId="0" borderId="0" applyNumberFormat="0" applyFill="0" applyBorder="0" applyAlignment="0" applyProtection="0"/>
    <xf numFmtId="49" fontId="94" fillId="0" borderId="0" applyFill="0" applyBorder="0" applyAlignment="0"/>
    <xf numFmtId="0" fontId="94" fillId="0" borderId="0">
      <alignment vertical="top"/>
      <protection locked="0"/>
    </xf>
    <xf numFmtId="209" fontId="84" fillId="0" borderId="0" applyFill="0" applyBorder="0" applyAlignment="0"/>
    <xf numFmtId="0" fontId="94" fillId="0" borderId="0">
      <alignment vertical="top"/>
      <protection locked="0"/>
    </xf>
    <xf numFmtId="179" fontId="20" fillId="0" borderId="0">
      <protection locked="0"/>
    </xf>
    <xf numFmtId="0" fontId="115" fillId="15" borderId="0">
      <alignment horizontal="left" vertical="center"/>
    </xf>
    <xf numFmtId="179" fontId="110" fillId="16" borderId="0" applyNumberFormat="0" applyBorder="0" applyAlignment="0" applyProtection="0"/>
    <xf numFmtId="0" fontId="94" fillId="0" borderId="0">
      <alignment vertical="top"/>
      <protection locked="0"/>
    </xf>
    <xf numFmtId="0" fontId="94" fillId="0" borderId="0">
      <alignment vertical="top"/>
    </xf>
    <xf numFmtId="0" fontId="94" fillId="0" borderId="0">
      <alignment vertical="top"/>
      <protection locked="0"/>
    </xf>
    <xf numFmtId="0" fontId="94" fillId="0" borderId="0">
      <alignment vertical="top"/>
    </xf>
    <xf numFmtId="0" fontId="102" fillId="0" borderId="0"/>
    <xf numFmtId="0" fontId="94" fillId="0" borderId="0">
      <alignment vertical="top"/>
    </xf>
    <xf numFmtId="0" fontId="94" fillId="0" borderId="0">
      <alignment vertical="top"/>
      <protection locked="0"/>
    </xf>
    <xf numFmtId="9" fontId="102" fillId="0" borderId="0" applyFont="0" applyFill="0" applyBorder="0" applyAlignment="0" applyProtection="0"/>
    <xf numFmtId="0" fontId="94" fillId="0" borderId="0">
      <alignment vertical="top"/>
    </xf>
    <xf numFmtId="9" fontId="20" fillId="0" borderId="0" applyFont="0" applyFill="0" applyBorder="0" applyAlignment="0" applyProtection="0"/>
    <xf numFmtId="195" fontId="84" fillId="0" borderId="0" applyFill="0" applyBorder="0" applyAlignment="0"/>
    <xf numFmtId="0" fontId="94" fillId="0" borderId="0">
      <alignment vertical="top"/>
    </xf>
    <xf numFmtId="179" fontId="20" fillId="0" borderId="0">
      <alignment vertical="center"/>
      <protection locked="0"/>
    </xf>
    <xf numFmtId="210" fontId="84" fillId="0" borderId="0" applyFont="0" applyFill="0" applyBorder="0" applyAlignment="0" applyProtection="0"/>
    <xf numFmtId="0" fontId="94" fillId="0" borderId="0">
      <alignment vertical="top"/>
      <protection locked="0"/>
    </xf>
    <xf numFmtId="0" fontId="94" fillId="0" borderId="0">
      <alignment vertical="top"/>
      <protection locked="0"/>
    </xf>
    <xf numFmtId="211" fontId="84" fillId="0" borderId="0" applyFont="0" applyFill="0" applyBorder="0" applyAlignment="0" applyProtection="0"/>
    <xf numFmtId="4" fontId="116" fillId="0" borderId="0">
      <alignment horizontal="right"/>
    </xf>
    <xf numFmtId="38" fontId="109" fillId="0" borderId="0" applyFont="0" applyFill="0" applyBorder="0" applyAlignment="0" applyProtection="0"/>
    <xf numFmtId="0" fontId="94" fillId="0" borderId="0">
      <alignment vertical="top"/>
      <protection locked="0"/>
    </xf>
    <xf numFmtId="0" fontId="94" fillId="0" borderId="0">
      <alignment vertical="top"/>
    </xf>
    <xf numFmtId="179" fontId="20" fillId="0" borderId="0">
      <protection locked="0"/>
    </xf>
    <xf numFmtId="0" fontId="94" fillId="0" borderId="0">
      <alignment vertical="top"/>
    </xf>
    <xf numFmtId="0" fontId="98" fillId="0" borderId="0">
      <alignment vertical="center"/>
    </xf>
    <xf numFmtId="195" fontId="84" fillId="0" borderId="0" applyFill="0" applyBorder="0" applyAlignment="0"/>
    <xf numFmtId="0" fontId="94" fillId="0" borderId="0">
      <alignment vertical="top"/>
      <protection locked="0"/>
    </xf>
    <xf numFmtId="0" fontId="94" fillId="0" borderId="0">
      <alignment vertical="top"/>
    </xf>
    <xf numFmtId="0" fontId="94" fillId="0" borderId="0">
      <alignment vertical="top"/>
    </xf>
    <xf numFmtId="0" fontId="117" fillId="0" borderId="0"/>
    <xf numFmtId="0" fontId="94" fillId="0" borderId="0">
      <alignment vertical="top"/>
    </xf>
    <xf numFmtId="0" fontId="94" fillId="0" borderId="0">
      <alignment vertical="top"/>
      <protection locked="0"/>
    </xf>
    <xf numFmtId="0" fontId="118" fillId="0" borderId="0"/>
    <xf numFmtId="0" fontId="94" fillId="0" borderId="0">
      <alignment vertical="top"/>
    </xf>
    <xf numFmtId="0" fontId="94" fillId="0" borderId="0">
      <alignment vertical="top"/>
    </xf>
    <xf numFmtId="0" fontId="94" fillId="0" borderId="0">
      <alignment vertical="top"/>
      <protection locked="0"/>
    </xf>
    <xf numFmtId="0" fontId="94" fillId="0" borderId="0">
      <alignment vertical="top"/>
      <protection locked="0"/>
    </xf>
    <xf numFmtId="178" fontId="84" fillId="0" borderId="15" applyNumberFormat="0"/>
    <xf numFmtId="0" fontId="94" fillId="0" borderId="0">
      <alignment vertical="top"/>
      <protection locked="0"/>
    </xf>
    <xf numFmtId="0" fontId="94" fillId="0" borderId="0">
      <alignment vertical="top"/>
    </xf>
    <xf numFmtId="0" fontId="94" fillId="0" borderId="0">
      <alignment vertical="top"/>
    </xf>
    <xf numFmtId="0" fontId="94" fillId="0" borderId="0">
      <alignment vertical="top"/>
    </xf>
    <xf numFmtId="0" fontId="94" fillId="0" borderId="0">
      <alignment vertical="top"/>
    </xf>
    <xf numFmtId="178" fontId="102" fillId="0" borderId="0" applyFont="0" applyFill="0" applyBorder="0" applyAlignment="0" applyProtection="0"/>
    <xf numFmtId="0" fontId="94" fillId="0" borderId="0">
      <alignment vertical="top"/>
      <protection locked="0"/>
    </xf>
    <xf numFmtId="179" fontId="119" fillId="0" borderId="0" applyNumberFormat="0" applyFill="0" applyBorder="0" applyAlignment="0" applyProtection="0"/>
    <xf numFmtId="0" fontId="94" fillId="0" borderId="0">
      <alignment vertical="top"/>
    </xf>
    <xf numFmtId="0" fontId="94" fillId="0" borderId="0">
      <alignment vertical="top"/>
      <protection locked="0"/>
    </xf>
    <xf numFmtId="0" fontId="98" fillId="0" borderId="0">
      <alignment vertical="center"/>
    </xf>
    <xf numFmtId="0" fontId="94" fillId="0" borderId="0">
      <alignment vertical="top"/>
      <protection locked="0"/>
    </xf>
    <xf numFmtId="0" fontId="94" fillId="0" borderId="0">
      <alignment vertical="top"/>
      <protection locked="0"/>
    </xf>
    <xf numFmtId="0" fontId="94" fillId="0" borderId="0">
      <alignment vertical="top"/>
    </xf>
    <xf numFmtId="0" fontId="120" fillId="17" borderId="0" applyNumberFormat="0" applyBorder="0" applyAlignment="0" applyProtection="0">
      <alignment vertical="center"/>
    </xf>
    <xf numFmtId="181" fontId="103" fillId="0" borderId="0" applyFont="0" applyFill="0" applyBorder="0" applyAlignment="0" applyProtection="0"/>
    <xf numFmtId="0" fontId="94" fillId="0" borderId="0">
      <alignment vertical="top"/>
      <protection locked="0"/>
    </xf>
    <xf numFmtId="200" fontId="84" fillId="0" borderId="0" applyFill="0" applyBorder="0" applyAlignment="0"/>
    <xf numFmtId="0" fontId="94" fillId="0" borderId="0">
      <alignment vertical="top"/>
      <protection locked="0"/>
    </xf>
    <xf numFmtId="0" fontId="20" fillId="0" borderId="0">
      <protection locked="0"/>
    </xf>
    <xf numFmtId="211" fontId="84" fillId="0" borderId="0" applyFont="0" applyFill="0" applyBorder="0" applyAlignment="0" applyProtection="0"/>
    <xf numFmtId="0" fontId="94" fillId="0" borderId="0">
      <alignment vertical="top"/>
    </xf>
    <xf numFmtId="195" fontId="84" fillId="0" borderId="0" applyFill="0" applyBorder="0" applyAlignment="0"/>
    <xf numFmtId="0" fontId="94" fillId="0" borderId="0">
      <alignment vertical="top"/>
      <protection locked="0"/>
    </xf>
    <xf numFmtId="0" fontId="94" fillId="0" borderId="0">
      <alignment vertical="top"/>
      <protection locked="0"/>
    </xf>
    <xf numFmtId="213" fontId="91" fillId="0" borderId="0" applyFill="0" applyBorder="0" applyProtection="0">
      <alignment horizontal="right"/>
    </xf>
    <xf numFmtId="214" fontId="91" fillId="0" borderId="0" applyFill="0" applyBorder="0" applyProtection="0">
      <alignment horizontal="right"/>
    </xf>
    <xf numFmtId="0" fontId="121" fillId="10" borderId="0" applyNumberFormat="0" applyBorder="0" applyAlignment="0" applyProtection="0">
      <alignment vertical="center"/>
    </xf>
    <xf numFmtId="197" fontId="122" fillId="0" borderId="0" applyFill="0" applyBorder="0" applyProtection="0">
      <alignment horizontal="center"/>
    </xf>
    <xf numFmtId="0" fontId="170" fillId="0" borderId="0">
      <alignment vertical="center"/>
    </xf>
    <xf numFmtId="14" fontId="96" fillId="0" borderId="0">
      <alignment horizontal="center" wrapText="1"/>
      <protection locked="0"/>
    </xf>
    <xf numFmtId="0" fontId="123" fillId="0" borderId="0" applyNumberFormat="0" applyFill="0" applyBorder="0" applyAlignment="0" applyProtection="0">
      <alignment vertical="top"/>
      <protection locked="0"/>
    </xf>
    <xf numFmtId="179" fontId="110" fillId="18" borderId="0" applyNumberFormat="0" applyBorder="0" applyAlignment="0" applyProtection="0"/>
    <xf numFmtId="215" fontId="91" fillId="0" borderId="0" applyFill="0" applyBorder="0" applyProtection="0">
      <alignment horizontal="right"/>
    </xf>
    <xf numFmtId="216" fontId="122" fillId="0" borderId="0" applyFill="0" applyBorder="0" applyProtection="0">
      <alignment horizontal="center"/>
    </xf>
    <xf numFmtId="201" fontId="124" fillId="0" borderId="0" applyFill="0" applyBorder="0" applyProtection="0">
      <alignment horizontal="right"/>
    </xf>
    <xf numFmtId="198" fontId="91" fillId="0" borderId="0" applyFill="0" applyBorder="0" applyProtection="0">
      <alignment horizontal="right"/>
    </xf>
    <xf numFmtId="218" fontId="91" fillId="0" borderId="0" applyFill="0" applyBorder="0" applyProtection="0">
      <alignment horizontal="right"/>
    </xf>
    <xf numFmtId="202" fontId="91" fillId="0" borderId="0" applyFill="0" applyBorder="0" applyProtection="0">
      <alignment horizontal="right"/>
    </xf>
    <xf numFmtId="38" fontId="125" fillId="19" borderId="0" applyNumberFormat="0" applyBorder="0" applyAlignment="0" applyProtection="0"/>
    <xf numFmtId="0" fontId="126" fillId="0" borderId="19">
      <alignment horizontal="center"/>
    </xf>
    <xf numFmtId="0" fontId="94" fillId="0" borderId="0">
      <alignment vertical="top"/>
      <protection locked="0"/>
    </xf>
    <xf numFmtId="10" fontId="103" fillId="0" borderId="0" applyFont="0" applyFill="0" applyBorder="0" applyAlignment="0" applyProtection="0"/>
    <xf numFmtId="0" fontId="98" fillId="0" borderId="0">
      <alignment vertical="center"/>
    </xf>
    <xf numFmtId="179" fontId="110" fillId="20" borderId="0" applyNumberFormat="0" applyBorder="0" applyAlignment="0" applyProtection="0"/>
    <xf numFmtId="220" fontId="20" fillId="0" borderId="0" applyFont="0" applyFill="0" applyBorder="0" applyAlignment="0" applyProtection="0"/>
    <xf numFmtId="179" fontId="127" fillId="21" borderId="0" applyNumberFormat="0" applyBorder="0" applyAlignment="0" applyProtection="0"/>
    <xf numFmtId="0" fontId="121" fillId="22" borderId="0" applyNumberFormat="0" applyBorder="0" applyAlignment="0" applyProtection="0">
      <alignment vertical="center"/>
    </xf>
    <xf numFmtId="179" fontId="127" fillId="14" borderId="0" applyNumberFormat="0" applyBorder="0" applyAlignment="0" applyProtection="0"/>
    <xf numFmtId="179" fontId="127" fillId="22" borderId="0" applyNumberFormat="0" applyBorder="0" applyAlignment="0" applyProtection="0"/>
    <xf numFmtId="179" fontId="127" fillId="17" borderId="0" applyNumberFormat="0" applyBorder="0" applyAlignment="0" applyProtection="0"/>
    <xf numFmtId="179" fontId="127" fillId="10" borderId="0" applyNumberFormat="0" applyBorder="0" applyAlignment="0" applyProtection="0"/>
    <xf numFmtId="179" fontId="127" fillId="12" borderId="0" applyNumberFormat="0" applyBorder="0" applyAlignment="0" applyProtection="0"/>
    <xf numFmtId="0" fontId="20" fillId="0" borderId="0">
      <alignment vertical="center"/>
    </xf>
    <xf numFmtId="179" fontId="127" fillId="23" borderId="0" applyNumberFormat="0" applyBorder="0" applyAlignment="0" applyProtection="0"/>
    <xf numFmtId="179" fontId="127" fillId="24" borderId="0" applyNumberFormat="0" applyBorder="0" applyAlignment="0" applyProtection="0"/>
    <xf numFmtId="179" fontId="127" fillId="25" borderId="0" applyNumberFormat="0" applyBorder="0" applyAlignment="0" applyProtection="0"/>
    <xf numFmtId="204" fontId="20" fillId="0" borderId="0"/>
    <xf numFmtId="179" fontId="127" fillId="17" borderId="0" applyNumberFormat="0" applyBorder="0" applyAlignment="0" applyProtection="0"/>
    <xf numFmtId="3" fontId="128" fillId="0" borderId="0"/>
    <xf numFmtId="179" fontId="127" fillId="23" borderId="0" applyNumberFormat="0" applyBorder="0" applyAlignment="0" applyProtection="0"/>
    <xf numFmtId="179" fontId="127" fillId="5" borderId="0" applyNumberFormat="0" applyBorder="0" applyAlignment="0" applyProtection="0"/>
    <xf numFmtId="0" fontId="20" fillId="0" borderId="0">
      <protection locked="0"/>
    </xf>
    <xf numFmtId="179" fontId="110" fillId="24" borderId="0" applyNumberFormat="0" applyBorder="0" applyAlignment="0" applyProtection="0"/>
    <xf numFmtId="0" fontId="98" fillId="0" borderId="0">
      <alignment vertical="center"/>
    </xf>
    <xf numFmtId="179" fontId="110" fillId="25" borderId="0" applyNumberFormat="0" applyBorder="0" applyAlignment="0" applyProtection="0"/>
    <xf numFmtId="0" fontId="20" fillId="0" borderId="0">
      <alignment vertical="center"/>
    </xf>
    <xf numFmtId="0" fontId="115" fillId="15" borderId="0">
      <alignment horizontal="right" vertical="center"/>
    </xf>
    <xf numFmtId="179" fontId="110" fillId="26" borderId="0" applyNumberFormat="0" applyBorder="0" applyAlignment="0" applyProtection="0"/>
    <xf numFmtId="0" fontId="98" fillId="0" borderId="0">
      <alignment vertical="center"/>
    </xf>
    <xf numFmtId="179" fontId="110" fillId="27" borderId="0" applyNumberFormat="0" applyBorder="0" applyAlignment="0" applyProtection="0"/>
    <xf numFmtId="0" fontId="98" fillId="0" borderId="0">
      <alignment vertical="center"/>
    </xf>
    <xf numFmtId="179" fontId="110" fillId="28" borderId="0" applyNumberFormat="0" applyBorder="0" applyAlignment="0" applyProtection="0"/>
    <xf numFmtId="181" fontId="107" fillId="0" borderId="20" applyAlignment="0" applyProtection="0"/>
    <xf numFmtId="179" fontId="110" fillId="18" borderId="0" applyNumberFormat="0" applyBorder="0" applyAlignment="0" applyProtection="0"/>
    <xf numFmtId="179" fontId="110" fillId="16" borderId="0" applyNumberFormat="0" applyBorder="0" applyAlignment="0" applyProtection="0"/>
    <xf numFmtId="179" fontId="110" fillId="29" borderId="0" applyNumberFormat="0" applyBorder="0" applyAlignment="0" applyProtection="0"/>
    <xf numFmtId="0" fontId="170" fillId="0" borderId="0"/>
    <xf numFmtId="179" fontId="129" fillId="14" borderId="0" applyNumberFormat="0" applyBorder="0" applyAlignment="0" applyProtection="0"/>
    <xf numFmtId="189" fontId="94" fillId="0" borderId="0" applyFill="0" applyBorder="0" applyAlignment="0"/>
    <xf numFmtId="0" fontId="98" fillId="0" borderId="0">
      <alignment vertical="center"/>
    </xf>
    <xf numFmtId="195" fontId="84" fillId="0" borderId="0" applyFill="0" applyBorder="0" applyAlignment="0"/>
    <xf numFmtId="219" fontId="84" fillId="0" borderId="0" applyFill="0" applyBorder="0" applyAlignment="0"/>
    <xf numFmtId="0" fontId="20" fillId="0" borderId="0">
      <protection locked="0"/>
    </xf>
    <xf numFmtId="194" fontId="84" fillId="0" borderId="0" applyFill="0" applyBorder="0" applyAlignment="0"/>
    <xf numFmtId="195" fontId="84" fillId="0" borderId="0" applyFill="0" applyBorder="0" applyAlignment="0"/>
    <xf numFmtId="179" fontId="130" fillId="19" borderId="16" applyNumberFormat="0" applyAlignment="0" applyProtection="0"/>
    <xf numFmtId="177" fontId="84" fillId="0" borderId="0"/>
    <xf numFmtId="0" fontId="131" fillId="0" borderId="0"/>
    <xf numFmtId="179" fontId="132" fillId="30" borderId="21" applyNumberFormat="0" applyAlignment="0" applyProtection="0"/>
    <xf numFmtId="0" fontId="133" fillId="0" borderId="1" applyNumberFormat="0" applyFill="0" applyProtection="0">
      <alignment horizontal="center"/>
    </xf>
    <xf numFmtId="0" fontId="91" fillId="0" borderId="0">
      <protection locked="0"/>
    </xf>
    <xf numFmtId="177" fontId="84" fillId="0" borderId="0"/>
    <xf numFmtId="221" fontId="20" fillId="0" borderId="0" applyFont="0" applyFill="0" applyBorder="0" applyAlignment="0" applyProtection="0"/>
    <xf numFmtId="177" fontId="84" fillId="0" borderId="0"/>
    <xf numFmtId="177" fontId="84" fillId="0" borderId="0"/>
    <xf numFmtId="177" fontId="84" fillId="0" borderId="0"/>
    <xf numFmtId="177" fontId="84" fillId="0" borderId="0"/>
    <xf numFmtId="177" fontId="84" fillId="0" borderId="0"/>
    <xf numFmtId="222" fontId="84" fillId="0" borderId="0" applyFont="0" applyFill="0" applyBorder="0" applyAlignment="0" applyProtection="0"/>
    <xf numFmtId="177" fontId="84" fillId="0" borderId="0"/>
    <xf numFmtId="0" fontId="94" fillId="0" borderId="0">
      <alignment vertical="top"/>
      <protection locked="0"/>
    </xf>
    <xf numFmtId="203" fontId="20" fillId="0" borderId="0" applyFont="0" applyFill="0" applyBorder="0" applyAlignment="0" applyProtection="0"/>
    <xf numFmtId="200" fontId="84" fillId="0" borderId="0" applyFont="0" applyFill="0" applyBorder="0" applyAlignment="0" applyProtection="0"/>
    <xf numFmtId="0" fontId="46" fillId="0" borderId="0" applyNumberFormat="0" applyFill="0" applyBorder="0" applyAlignment="0" applyProtection="0">
      <alignment vertical="top"/>
      <protection locked="0"/>
    </xf>
    <xf numFmtId="43" fontId="20" fillId="0" borderId="0" applyFont="0" applyFill="0" applyBorder="0" applyAlignment="0" applyProtection="0"/>
    <xf numFmtId="0" fontId="113" fillId="0" borderId="0" applyFont="0" applyFill="0" applyBorder="0" applyAlignment="0" applyProtection="0"/>
    <xf numFmtId="187" fontId="91" fillId="0" borderId="0"/>
    <xf numFmtId="37" fontId="103" fillId="0" borderId="0" applyFont="0" applyFill="0" applyBorder="0" applyAlignment="0" applyProtection="0"/>
    <xf numFmtId="200" fontId="84" fillId="0" borderId="0" applyFill="0" applyBorder="0" applyAlignment="0"/>
    <xf numFmtId="176" fontId="103" fillId="0" borderId="0" applyFont="0" applyFill="0" applyBorder="0" applyAlignment="0" applyProtection="0"/>
    <xf numFmtId="0" fontId="91" fillId="0" borderId="0"/>
    <xf numFmtId="39" fontId="103" fillId="0" borderId="0" applyFont="0" applyFill="0" applyBorder="0" applyAlignment="0" applyProtection="0"/>
    <xf numFmtId="40" fontId="109" fillId="0" borderId="0" applyFont="0" applyFill="0" applyBorder="0" applyAlignment="0" applyProtection="0"/>
    <xf numFmtId="0" fontId="134" fillId="0" borderId="0" applyNumberFormat="0" applyAlignment="0">
      <alignment horizontal="left"/>
    </xf>
    <xf numFmtId="0" fontId="118" fillId="0" borderId="0" applyNumberFormat="0" applyAlignment="0"/>
    <xf numFmtId="223" fontId="103" fillId="0" borderId="0" applyFont="0" applyFill="0" applyBorder="0" applyAlignment="0" applyProtection="0"/>
    <xf numFmtId="217" fontId="20" fillId="0" borderId="0" applyFont="0" applyFill="0" applyBorder="0" applyAlignment="0" applyProtection="0"/>
    <xf numFmtId="183" fontId="91" fillId="0" borderId="0"/>
    <xf numFmtId="0" fontId="20" fillId="0" borderId="0"/>
    <xf numFmtId="15" fontId="109" fillId="0" borderId="0"/>
    <xf numFmtId="14" fontId="94" fillId="0" borderId="0" applyFill="0" applyBorder="0" applyAlignment="0"/>
    <xf numFmtId="41" fontId="84" fillId="0" borderId="0" applyFont="0" applyFill="0" applyBorder="0" applyAlignment="0" applyProtection="0"/>
    <xf numFmtId="43" fontId="84" fillId="0" borderId="0" applyFont="0" applyFill="0" applyBorder="0" applyAlignment="0" applyProtection="0"/>
    <xf numFmtId="185" fontId="91" fillId="0" borderId="0"/>
    <xf numFmtId="0" fontId="135" fillId="0" borderId="0" applyNumberFormat="0" applyFill="0" applyBorder="0" applyAlignment="0" applyProtection="0"/>
    <xf numFmtId="224" fontId="84" fillId="0" borderId="0" applyFont="0" applyFill="0" applyBorder="0" applyAlignment="0" applyProtection="0"/>
    <xf numFmtId="200" fontId="84" fillId="0" borderId="0" applyFill="0" applyBorder="0" applyAlignment="0"/>
    <xf numFmtId="199" fontId="84" fillId="0" borderId="0" applyFill="0" applyBorder="0" applyAlignment="0"/>
    <xf numFmtId="0" fontId="125" fillId="31" borderId="15"/>
    <xf numFmtId="0" fontId="98" fillId="0" borderId="0">
      <alignment vertical="center"/>
    </xf>
    <xf numFmtId="179" fontId="91" fillId="0" borderId="0" applyFont="0" applyFill="0" applyBorder="0" applyAlignment="0" applyProtection="0"/>
    <xf numFmtId="200" fontId="84" fillId="0" borderId="0" applyFill="0" applyBorder="0" applyAlignment="0"/>
    <xf numFmtId="0" fontId="136" fillId="0" borderId="0" applyNumberFormat="0" applyFill="0" applyBorder="0" applyAlignment="0" applyProtection="0">
      <alignment vertical="top"/>
      <protection locked="0"/>
    </xf>
    <xf numFmtId="0" fontId="98" fillId="0" borderId="0">
      <alignment vertical="center"/>
    </xf>
    <xf numFmtId="179" fontId="137" fillId="22" borderId="0" applyNumberFormat="0" applyBorder="0" applyAlignment="0" applyProtection="0"/>
    <xf numFmtId="43" fontId="91" fillId="0" borderId="0" applyFont="0" applyFill="0" applyBorder="0" applyAlignment="0" applyProtection="0"/>
    <xf numFmtId="0" fontId="138" fillId="0" borderId="0">
      <alignment horizontal="left"/>
    </xf>
    <xf numFmtId="0" fontId="86" fillId="0" borderId="12" applyNumberFormat="0" applyAlignment="0" applyProtection="0">
      <alignment horizontal="left" vertical="center"/>
    </xf>
    <xf numFmtId="0" fontId="86" fillId="0" borderId="2">
      <alignment horizontal="left" vertical="center"/>
    </xf>
    <xf numFmtId="179" fontId="139" fillId="0" borderId="22" applyNumberFormat="0" applyFill="0" applyAlignment="0" applyProtection="0"/>
    <xf numFmtId="0" fontId="20" fillId="0" borderId="0">
      <alignment vertical="center"/>
    </xf>
    <xf numFmtId="179" fontId="140" fillId="0" borderId="23" applyNumberFormat="0" applyFill="0" applyAlignment="0" applyProtection="0"/>
    <xf numFmtId="38" fontId="113" fillId="0" borderId="0" applyFont="0" applyFill="0" applyBorder="0" applyAlignment="0" applyProtection="0"/>
    <xf numFmtId="179" fontId="106" fillId="0" borderId="0" applyNumberFormat="0" applyFill="0" applyBorder="0" applyAlignment="0" applyProtection="0"/>
    <xf numFmtId="43" fontId="20" fillId="0" borderId="0" applyFont="0" applyFill="0" applyBorder="0" applyAlignment="0" applyProtection="0"/>
    <xf numFmtId="10" fontId="125" fillId="32" borderId="15" applyNumberFormat="0" applyBorder="0" applyAlignment="0" applyProtection="0"/>
    <xf numFmtId="180" fontId="20" fillId="33" borderId="0"/>
    <xf numFmtId="0" fontId="91" fillId="0" borderId="0" applyNumberFormat="0" applyFont="0" applyFill="0" applyBorder="0" applyProtection="0">
      <alignment horizontal="left" vertical="center"/>
    </xf>
    <xf numFmtId="179" fontId="141" fillId="0" borderId="24" applyNumberFormat="0" applyFill="0" applyAlignment="0" applyProtection="0"/>
    <xf numFmtId="195" fontId="84" fillId="0" borderId="0" applyFill="0" applyBorder="0" applyAlignment="0"/>
    <xf numFmtId="180" fontId="20" fillId="34" borderId="0"/>
    <xf numFmtId="0" fontId="20" fillId="0" borderId="0">
      <alignment vertical="center"/>
      <protection locked="0"/>
    </xf>
    <xf numFmtId="41" fontId="84" fillId="0" borderId="0" applyFont="0" applyFill="0" applyBorder="0" applyAlignment="0" applyProtection="0"/>
    <xf numFmtId="179" fontId="142" fillId="0" borderId="0" applyNumberFormat="0" applyFill="0" applyBorder="0" applyAlignment="0" applyProtection="0"/>
    <xf numFmtId="0" fontId="143" fillId="0" borderId="0" applyNumberFormat="0" applyFill="0">
      <alignment horizontal="left" vertical="center"/>
    </xf>
    <xf numFmtId="43" fontId="84" fillId="0" borderId="0" applyFont="0" applyFill="0" applyBorder="0" applyAlignment="0" applyProtection="0"/>
    <xf numFmtId="43" fontId="170" fillId="0" borderId="0" applyFont="0" applyFill="0" applyBorder="0" applyAlignment="0" applyProtection="0">
      <alignment vertical="center"/>
    </xf>
    <xf numFmtId="212" fontId="20" fillId="0" borderId="0" applyFont="0" applyFill="0" applyBorder="0" applyAlignment="0" applyProtection="0"/>
    <xf numFmtId="0" fontId="144" fillId="0" borderId="13"/>
    <xf numFmtId="0" fontId="20" fillId="0" borderId="0">
      <protection locked="0"/>
    </xf>
    <xf numFmtId="207" fontId="20" fillId="0" borderId="0" applyFont="0" applyFill="0" applyBorder="0" applyAlignment="0" applyProtection="0"/>
    <xf numFmtId="206" fontId="20" fillId="0" borderId="0" applyFont="0" applyFill="0" applyBorder="0" applyAlignment="0" applyProtection="0"/>
    <xf numFmtId="179" fontId="145" fillId="35" borderId="0" applyNumberFormat="0" applyBorder="0" applyAlignment="0" applyProtection="0"/>
    <xf numFmtId="0" fontId="146" fillId="0" borderId="0">
      <alignment horizontal="left"/>
    </xf>
    <xf numFmtId="0" fontId="91" fillId="0" borderId="0"/>
    <xf numFmtId="37" fontId="147" fillId="0" borderId="0"/>
    <xf numFmtId="0" fontId="84" fillId="0" borderId="0"/>
    <xf numFmtId="4" fontId="148" fillId="0" borderId="0">
      <alignment horizontal="right"/>
    </xf>
    <xf numFmtId="0" fontId="84" fillId="0" borderId="0"/>
    <xf numFmtId="0" fontId="20" fillId="0" borderId="0"/>
    <xf numFmtId="0" fontId="20" fillId="0" borderId="0">
      <alignment vertical="center"/>
    </xf>
    <xf numFmtId="0" fontId="109" fillId="0" borderId="0"/>
    <xf numFmtId="196" fontId="20" fillId="0" borderId="0" applyNumberFormat="0" applyFill="0" applyBorder="0" applyAlignment="0" applyProtection="0">
      <alignment horizontal="left"/>
    </xf>
    <xf numFmtId="0" fontId="149" fillId="0" borderId="0"/>
    <xf numFmtId="0" fontId="20" fillId="0" borderId="0">
      <alignment vertical="center"/>
    </xf>
    <xf numFmtId="179" fontId="84" fillId="32" borderId="25" applyNumberFormat="0" applyFont="0" applyAlignment="0" applyProtection="0"/>
    <xf numFmtId="178" fontId="84" fillId="0" borderId="0" applyFont="0" applyFill="0" applyBorder="0" applyAlignment="0" applyProtection="0"/>
    <xf numFmtId="41" fontId="102" fillId="0" borderId="0" applyFont="0" applyFill="0" applyBorder="0" applyAlignment="0" applyProtection="0"/>
    <xf numFmtId="179" fontId="150" fillId="19" borderId="26" applyNumberFormat="0" applyAlignment="0" applyProtection="0"/>
    <xf numFmtId="194" fontId="84" fillId="0" borderId="0" applyFont="0" applyFill="0" applyBorder="0" applyAlignment="0" applyProtection="0"/>
    <xf numFmtId="10" fontId="84" fillId="0" borderId="0" applyFont="0" applyFill="0" applyBorder="0" applyAlignment="0" applyProtection="0"/>
    <xf numFmtId="0" fontId="94" fillId="0" borderId="0">
      <alignment vertical="top"/>
    </xf>
    <xf numFmtId="0" fontId="125" fillId="19" borderId="15"/>
    <xf numFmtId="195" fontId="84" fillId="0" borderId="0" applyFill="0" applyBorder="0" applyAlignment="0"/>
    <xf numFmtId="4" fontId="100" fillId="0" borderId="0">
      <alignment horizontal="right"/>
    </xf>
    <xf numFmtId="0" fontId="98" fillId="0" borderId="0">
      <alignment vertical="center"/>
    </xf>
    <xf numFmtId="220" fontId="151" fillId="0" borderId="0"/>
    <xf numFmtId="3" fontId="152" fillId="0" borderId="0"/>
    <xf numFmtId="41" fontId="91" fillId="0" borderId="0" applyFont="0" applyFill="0" applyBorder="0" applyAlignment="0" applyProtection="0"/>
    <xf numFmtId="4" fontId="153" fillId="0" borderId="0" applyFont="0" applyFill="0" applyBorder="0" applyAlignment="0" applyProtection="0"/>
    <xf numFmtId="43" fontId="125" fillId="0" borderId="3"/>
    <xf numFmtId="0" fontId="154" fillId="0" borderId="15">
      <alignment horizontal="center"/>
    </xf>
    <xf numFmtId="0" fontId="154" fillId="0" borderId="0">
      <alignment horizontal="center" vertical="center"/>
    </xf>
    <xf numFmtId="0" fontId="144" fillId="0" borderId="0"/>
    <xf numFmtId="0" fontId="28" fillId="0" borderId="0" applyNumberFormat="0" applyFill="0" applyBorder="0" applyAlignment="0" applyProtection="0">
      <alignment vertical="top"/>
      <protection locked="0"/>
    </xf>
    <xf numFmtId="40" fontId="155" fillId="0" borderId="0" applyBorder="0">
      <alignment horizontal="right"/>
    </xf>
    <xf numFmtId="184" fontId="94" fillId="0" borderId="0" applyFill="0" applyBorder="0" applyAlignment="0"/>
    <xf numFmtId="0" fontId="92" fillId="0" borderId="0" applyFill="0" applyBorder="0" applyProtection="0">
      <alignment horizontal="left" vertical="top"/>
    </xf>
    <xf numFmtId="0" fontId="98" fillId="0" borderId="0">
      <alignment vertical="center"/>
    </xf>
    <xf numFmtId="0" fontId="156" fillId="0" borderId="0">
      <alignment horizontal="center"/>
    </xf>
    <xf numFmtId="0" fontId="153" fillId="0" borderId="0" applyNumberFormat="0" applyFont="0" applyFill="0" applyBorder="0" applyProtection="0">
      <alignment horizontal="center" vertical="center" wrapText="1"/>
    </xf>
    <xf numFmtId="9" fontId="157" fillId="0" borderId="0" applyFont="0" applyFill="0" applyBorder="0" applyAlignment="0" applyProtection="0"/>
    <xf numFmtId="0" fontId="4" fillId="0" borderId="0"/>
    <xf numFmtId="9" fontId="20" fillId="0" borderId="0" applyFont="0" applyFill="0" applyBorder="0" applyAlignment="0" applyProtection="0">
      <alignment vertical="center"/>
    </xf>
    <xf numFmtId="9" fontId="170" fillId="0" borderId="0" applyFont="0" applyFill="0" applyBorder="0" applyAlignment="0" applyProtection="0">
      <alignment vertical="center"/>
    </xf>
    <xf numFmtId="9" fontId="20" fillId="0" borderId="0" applyFont="0" applyFill="0" applyBorder="0" applyAlignment="0" applyProtection="0"/>
    <xf numFmtId="9" fontId="170" fillId="0" borderId="0" applyFont="0" applyFill="0" applyBorder="0" applyAlignment="0" applyProtection="0">
      <alignment vertical="center"/>
    </xf>
    <xf numFmtId="0" fontId="97" fillId="0" borderId="0" applyFont="0" applyFill="0" applyBorder="0" applyAlignment="0" applyProtection="0"/>
    <xf numFmtId="0" fontId="158" fillId="36" borderId="0" applyNumberFormat="0" applyBorder="0" applyAlignment="0" applyProtection="0">
      <alignment vertical="center"/>
    </xf>
    <xf numFmtId="0" fontId="98" fillId="0" borderId="0">
      <alignment vertical="center"/>
    </xf>
    <xf numFmtId="0" fontId="98" fillId="0" borderId="0">
      <alignment vertical="center"/>
    </xf>
    <xf numFmtId="0" fontId="98" fillId="0" borderId="0">
      <alignment vertical="center"/>
    </xf>
    <xf numFmtId="0" fontId="20" fillId="0" borderId="0">
      <alignment vertical="center"/>
    </xf>
    <xf numFmtId="0" fontId="20"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84" fillId="0" borderId="0"/>
    <xf numFmtId="0" fontId="20" fillId="0" borderId="0"/>
    <xf numFmtId="0" fontId="20" fillId="0" borderId="0"/>
    <xf numFmtId="0" fontId="20" fillId="0" borderId="0"/>
    <xf numFmtId="179" fontId="20" fillId="0" borderId="0">
      <alignment vertical="center"/>
      <protection locked="0"/>
    </xf>
    <xf numFmtId="0" fontId="20" fillId="0" borderId="0"/>
    <xf numFmtId="0" fontId="102" fillId="0" borderId="0"/>
    <xf numFmtId="0" fontId="159" fillId="0" borderId="0" applyNumberFormat="0" applyBorder="0" applyProtection="0">
      <alignment vertical="center"/>
    </xf>
    <xf numFmtId="0" fontId="20" fillId="0" borderId="0">
      <protection locked="0"/>
    </xf>
    <xf numFmtId="179" fontId="170" fillId="0" borderId="0"/>
    <xf numFmtId="0" fontId="20" fillId="0" borderId="0">
      <alignment vertical="center"/>
    </xf>
    <xf numFmtId="179" fontId="20" fillId="0" borderId="0">
      <protection locked="0"/>
    </xf>
    <xf numFmtId="0" fontId="20" fillId="0" borderId="0">
      <protection locked="0"/>
    </xf>
    <xf numFmtId="179" fontId="20" fillId="0" borderId="0"/>
    <xf numFmtId="179" fontId="20" fillId="0" borderId="0"/>
    <xf numFmtId="182" fontId="84" fillId="0" borderId="0" applyFont="0" applyFill="0" applyBorder="0" applyAlignment="0" applyProtection="0"/>
    <xf numFmtId="179" fontId="98" fillId="0" borderId="0">
      <alignment vertical="center"/>
    </xf>
    <xf numFmtId="0" fontId="20" fillId="0" borderId="0">
      <alignment vertical="center"/>
    </xf>
    <xf numFmtId="0" fontId="159" fillId="0" borderId="0">
      <alignment vertical="center"/>
    </xf>
    <xf numFmtId="0" fontId="20" fillId="0" borderId="0">
      <alignment vertical="center"/>
    </xf>
    <xf numFmtId="0" fontId="20" fillId="0" borderId="0" applyNumberFormat="0" applyFill="0" applyBorder="0" applyAlignment="0" applyProtection="0"/>
    <xf numFmtId="0" fontId="170" fillId="0" borderId="0">
      <alignment vertical="center"/>
    </xf>
    <xf numFmtId="0" fontId="20" fillId="0" borderId="0">
      <protection locked="0"/>
    </xf>
    <xf numFmtId="0" fontId="170" fillId="0" borderId="0">
      <alignment vertical="center"/>
    </xf>
    <xf numFmtId="0" fontId="98" fillId="0" borderId="0">
      <alignment vertical="center"/>
    </xf>
    <xf numFmtId="0" fontId="98" fillId="0" borderId="0">
      <alignment vertical="center"/>
    </xf>
    <xf numFmtId="0" fontId="160" fillId="0" borderId="0" applyNumberFormat="0" applyFill="0" applyBorder="0" applyAlignment="0" applyProtection="0">
      <alignment vertical="top"/>
      <protection locked="0"/>
    </xf>
    <xf numFmtId="179" fontId="20" fillId="0" borderId="0">
      <alignment vertical="center"/>
    </xf>
    <xf numFmtId="0" fontId="98" fillId="0" borderId="0">
      <alignment vertical="center"/>
    </xf>
    <xf numFmtId="0" fontId="20" fillId="0" borderId="0">
      <alignment vertical="center"/>
    </xf>
    <xf numFmtId="179" fontId="91" fillId="0" borderId="0">
      <protection locked="0"/>
    </xf>
    <xf numFmtId="179" fontId="20" fillId="0" borderId="0"/>
    <xf numFmtId="0" fontId="20" fillId="0" borderId="0" applyFill="0" applyBorder="0"/>
    <xf numFmtId="0" fontId="20" fillId="0" borderId="0">
      <alignment vertical="center"/>
    </xf>
    <xf numFmtId="179" fontId="20" fillId="0" borderId="0">
      <alignment vertical="center"/>
    </xf>
    <xf numFmtId="38" fontId="97" fillId="0" borderId="0" applyFont="0" applyFill="0" applyBorder="0" applyAlignment="0" applyProtection="0"/>
    <xf numFmtId="179" fontId="28" fillId="0" borderId="0" applyNumberFormat="0" applyFill="0" applyBorder="0" applyAlignment="0" applyProtection="0">
      <alignment vertical="top"/>
      <protection locked="0"/>
    </xf>
    <xf numFmtId="226" fontId="161" fillId="0" borderId="0" applyFont="0" applyFill="0" applyBorder="0" applyAlignment="0" applyProtection="0"/>
    <xf numFmtId="227" fontId="161" fillId="0" borderId="0" applyFont="0" applyFill="0" applyBorder="0" applyAlignment="0" applyProtection="0"/>
    <xf numFmtId="225" fontId="102" fillId="0" borderId="0" applyFont="0" applyFill="0" applyBorder="0" applyAlignment="0" applyProtection="0"/>
    <xf numFmtId="205" fontId="102" fillId="0" borderId="0" applyFont="0" applyFill="0" applyBorder="0" applyAlignment="0" applyProtection="0"/>
    <xf numFmtId="41" fontId="91" fillId="0" borderId="0" applyFont="0" applyFill="0" applyBorder="0" applyAlignment="0" applyProtection="0"/>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xf numFmtId="43" fontId="20" fillId="0" borderId="0" applyFont="0" applyFill="0" applyBorder="0" applyAlignment="0" applyProtection="0">
      <alignment vertical="center"/>
    </xf>
    <xf numFmtId="228" fontId="153" fillId="0" borderId="0" applyFont="0" applyFill="0" applyBorder="0" applyAlignment="0" applyProtection="0"/>
    <xf numFmtId="40" fontId="113" fillId="0" borderId="0" applyFont="0" applyFill="0" applyBorder="0" applyAlignment="0" applyProtection="0"/>
    <xf numFmtId="0" fontId="113" fillId="0" borderId="0" applyFont="0" applyFill="0" applyBorder="0" applyAlignment="0" applyProtection="0"/>
    <xf numFmtId="0" fontId="162" fillId="0" borderId="0"/>
    <xf numFmtId="179" fontId="1" fillId="0" borderId="0">
      <alignment vertical="center"/>
    </xf>
  </cellStyleXfs>
  <cellXfs count="688">
    <xf numFmtId="0" fontId="0" fillId="0" borderId="0" xfId="0">
      <alignment vertical="center"/>
    </xf>
    <xf numFmtId="0" fontId="2" fillId="0" borderId="0" xfId="379" applyFont="1" applyAlignment="1">
      <alignment vertical="center"/>
    </xf>
    <xf numFmtId="0" fontId="3" fillId="0" borderId="0" xfId="379" applyFont="1" applyAlignment="1">
      <alignment vertical="center"/>
    </xf>
    <xf numFmtId="0" fontId="4" fillId="0" borderId="0" xfId="291" applyFont="1" applyAlignment="1">
      <alignment vertical="center"/>
      <protection locked="0"/>
    </xf>
    <xf numFmtId="0" fontId="5" fillId="0" borderId="0" xfId="18" applyFont="1" applyAlignment="1">
      <alignment vertical="center"/>
    </xf>
    <xf numFmtId="0" fontId="5" fillId="0" borderId="0" xfId="18" applyFont="1" applyFill="1" applyAlignment="1">
      <alignment vertical="center"/>
    </xf>
    <xf numFmtId="0" fontId="4" fillId="0" borderId="0" xfId="18" applyFont="1" applyAlignment="1">
      <alignment vertical="center"/>
    </xf>
    <xf numFmtId="0" fontId="4" fillId="0" borderId="0" xfId="291" applyFont="1" applyBorder="1" applyAlignment="1">
      <alignment horizontal="left" vertical="center"/>
      <protection locked="0"/>
    </xf>
    <xf numFmtId="14" fontId="4" fillId="0" borderId="0" xfId="291" applyNumberFormat="1" applyFont="1" applyBorder="1" applyAlignment="1">
      <alignment horizontal="left" vertical="center"/>
      <protection locked="0"/>
    </xf>
    <xf numFmtId="0" fontId="4" fillId="0" borderId="0" xfId="291" applyFont="1" applyBorder="1" applyAlignment="1">
      <alignment vertical="center"/>
      <protection locked="0"/>
    </xf>
    <xf numFmtId="0" fontId="8" fillId="0" borderId="0" xfId="14" applyFont="1" applyAlignment="1" applyProtection="1">
      <alignment vertical="center"/>
    </xf>
    <xf numFmtId="0" fontId="5" fillId="0" borderId="0" xfId="291" applyFont="1" applyBorder="1" applyAlignment="1">
      <alignment vertical="center"/>
      <protection locked="0"/>
    </xf>
    <xf numFmtId="0" fontId="9" fillId="0" borderId="0" xfId="291" applyFont="1" applyAlignment="1">
      <alignment vertical="center"/>
      <protection locked="0"/>
    </xf>
    <xf numFmtId="0" fontId="4" fillId="0" borderId="0" xfId="383" applyFont="1" applyAlignment="1">
      <alignment vertical="center"/>
    </xf>
    <xf numFmtId="0" fontId="10" fillId="0" borderId="0" xfId="18" applyFont="1" applyAlignment="1">
      <alignment vertical="center"/>
    </xf>
    <xf numFmtId="0" fontId="11" fillId="0" borderId="0" xfId="18" applyFont="1" applyFill="1" applyAlignment="1">
      <alignment vertical="center"/>
    </xf>
    <xf numFmtId="0" fontId="5" fillId="0" borderId="0" xfId="18" applyFont="1" applyAlignment="1">
      <alignment horizontal="right" vertical="center"/>
    </xf>
    <xf numFmtId="0" fontId="5" fillId="0" borderId="0" xfId="18" applyFont="1" applyAlignment="1">
      <alignment horizontal="center" vertical="center"/>
    </xf>
    <xf numFmtId="0" fontId="4" fillId="0" borderId="1" xfId="18" applyFont="1" applyBorder="1" applyAlignment="1">
      <alignment vertical="center"/>
    </xf>
    <xf numFmtId="0" fontId="4" fillId="0" borderId="2" xfId="18" applyFont="1" applyBorder="1" applyAlignment="1">
      <alignment vertical="center"/>
    </xf>
    <xf numFmtId="0" fontId="4" fillId="0" borderId="0" xfId="18" applyFont="1" applyBorder="1" applyAlignment="1">
      <alignment vertical="center"/>
    </xf>
    <xf numFmtId="0" fontId="13" fillId="0" borderId="0" xfId="18" applyFont="1" applyFill="1" applyAlignment="1">
      <alignment vertical="center"/>
    </xf>
    <xf numFmtId="0" fontId="12" fillId="0" borderId="0" xfId="18" applyFont="1" applyFill="1" applyBorder="1" applyAlignment="1">
      <alignment horizontal="center" vertical="center"/>
    </xf>
    <xf numFmtId="0" fontId="12" fillId="0" borderId="0" xfId="18" applyFont="1" applyFill="1" applyBorder="1" applyAlignment="1">
      <alignment vertical="center"/>
    </xf>
    <xf numFmtId="0" fontId="4" fillId="0" borderId="0" xfId="18" applyFont="1" applyFill="1" applyBorder="1" applyAlignment="1">
      <alignment vertical="center"/>
    </xf>
    <xf numFmtId="0" fontId="13" fillId="0" borderId="0" xfId="18" applyFont="1" applyFill="1" applyBorder="1" applyAlignment="1">
      <alignment vertical="center"/>
    </xf>
    <xf numFmtId="0" fontId="4" fillId="0" borderId="0" xfId="18" applyFont="1" applyFill="1" applyBorder="1" applyAlignment="1">
      <alignment horizontal="center" vertical="center"/>
    </xf>
    <xf numFmtId="0" fontId="10" fillId="0" borderId="0" xfId="18" applyFont="1" applyFill="1" applyBorder="1" applyAlignment="1">
      <alignment vertical="center"/>
    </xf>
    <xf numFmtId="0" fontId="14" fillId="2" borderId="3" xfId="0" applyNumberFormat="1" applyFont="1" applyFill="1" applyBorder="1" applyAlignment="1" applyProtection="1">
      <alignment horizontal="center" vertical="center" wrapText="1"/>
      <protection locked="0"/>
    </xf>
    <xf numFmtId="0" fontId="16" fillId="0" borderId="3" xfId="0" applyNumberFormat="1" applyFont="1" applyFill="1" applyBorder="1" applyAlignment="1" applyProtection="1">
      <alignment vertical="center" wrapText="1"/>
      <protection locked="0"/>
    </xf>
    <xf numFmtId="43" fontId="16" fillId="0" borderId="3" xfId="0" applyNumberFormat="1" applyFont="1" applyFill="1" applyBorder="1" applyAlignment="1" applyProtection="1">
      <alignment horizontal="right" vertical="center" shrinkToFit="1"/>
      <protection locked="0"/>
    </xf>
    <xf numFmtId="0" fontId="17" fillId="0" borderId="0" xfId="0" applyFont="1">
      <alignment vertical="center"/>
    </xf>
    <xf numFmtId="0" fontId="18" fillId="0" borderId="0" xfId="0" applyFont="1">
      <alignment vertical="center"/>
    </xf>
    <xf numFmtId="0" fontId="19" fillId="0" borderId="0" xfId="0" applyFont="1">
      <alignment vertical="center"/>
    </xf>
    <xf numFmtId="0" fontId="5" fillId="2" borderId="3" xfId="330" applyFont="1" applyFill="1" applyBorder="1" applyAlignment="1" applyProtection="1">
      <alignment horizontal="center" vertical="center"/>
      <protection locked="0"/>
    </xf>
    <xf numFmtId="0" fontId="5" fillId="2" borderId="4" xfId="330" applyFont="1" applyFill="1" applyBorder="1" applyAlignment="1" applyProtection="1">
      <alignment horizontal="center" vertical="center"/>
      <protection locked="0"/>
    </xf>
    <xf numFmtId="0" fontId="4" fillId="0" borderId="3" xfId="330" applyNumberFormat="1" applyFont="1" applyBorder="1" applyAlignment="1" applyProtection="1">
      <alignment horizontal="center" vertical="center"/>
      <protection locked="0"/>
    </xf>
    <xf numFmtId="0" fontId="4" fillId="0" borderId="4" xfId="330" applyFont="1" applyBorder="1" applyAlignment="1" applyProtection="1">
      <alignment vertical="center"/>
      <protection locked="0"/>
    </xf>
    <xf numFmtId="0" fontId="4" fillId="0" borderId="3" xfId="330" applyFont="1" applyBorder="1" applyAlignment="1" applyProtection="1">
      <alignment horizontal="center" vertical="center"/>
      <protection locked="0"/>
    </xf>
    <xf numFmtId="0" fontId="6" fillId="0" borderId="0" xfId="379" applyFont="1" applyAlignment="1">
      <alignment vertical="center"/>
    </xf>
    <xf numFmtId="0" fontId="7" fillId="0" borderId="0" xfId="379" applyFont="1" applyAlignment="1">
      <alignment vertical="center"/>
    </xf>
    <xf numFmtId="179" fontId="9" fillId="0" borderId="0" xfId="115" applyFont="1">
      <protection locked="0"/>
    </xf>
    <xf numFmtId="179" fontId="9" fillId="0" borderId="0" xfId="115" applyFont="1" applyAlignment="1">
      <alignment horizontal="center"/>
      <protection locked="0"/>
    </xf>
    <xf numFmtId="179" fontId="20" fillId="0" borderId="0" xfId="115">
      <protection locked="0"/>
    </xf>
    <xf numFmtId="179" fontId="4" fillId="0" borderId="0" xfId="115" applyFont="1" applyBorder="1" applyAlignment="1">
      <alignment vertical="center"/>
      <protection locked="0"/>
    </xf>
    <xf numFmtId="179" fontId="10" fillId="0" borderId="0" xfId="381" applyFont="1" applyAlignment="1">
      <alignment vertical="center"/>
    </xf>
    <xf numFmtId="179" fontId="10" fillId="0" borderId="0" xfId="381" applyFont="1" applyAlignment="1">
      <alignment vertical="center" wrapText="1"/>
    </xf>
    <xf numFmtId="179" fontId="4" fillId="0" borderId="0" xfId="381" applyFont="1" applyAlignment="1">
      <alignment horizontal="left" vertical="center"/>
    </xf>
    <xf numFmtId="179" fontId="10" fillId="0" borderId="0" xfId="381" applyFont="1" applyAlignment="1">
      <alignment horizontal="left" vertical="center" wrapText="1"/>
    </xf>
    <xf numFmtId="179" fontId="10" fillId="0" borderId="0" xfId="381" applyFont="1" applyAlignment="1">
      <alignment horizontal="left" vertical="center"/>
    </xf>
    <xf numFmtId="179" fontId="22" fillId="0" borderId="0" xfId="381" applyFont="1" applyAlignment="1">
      <alignment horizontal="left" vertical="center"/>
    </xf>
    <xf numFmtId="179" fontId="4" fillId="0" borderId="0" xfId="91" applyFont="1">
      <protection locked="0"/>
    </xf>
    <xf numFmtId="179" fontId="10" fillId="0" borderId="0" xfId="381" applyFont="1" applyBorder="1" applyAlignment="1">
      <alignment vertical="center"/>
    </xf>
    <xf numFmtId="179" fontId="23" fillId="0" borderId="0" xfId="91" applyFont="1" applyFill="1" applyBorder="1" applyAlignment="1">
      <alignment horizontal="left" vertical="center"/>
      <protection locked="0"/>
    </xf>
    <xf numFmtId="179" fontId="5" fillId="0" borderId="5" xfId="381" applyFont="1" applyBorder="1" applyAlignment="1">
      <alignment vertical="center"/>
    </xf>
    <xf numFmtId="14" fontId="4" fillId="0" borderId="3" xfId="115" applyNumberFormat="1" applyFont="1" applyBorder="1" applyAlignment="1">
      <alignment horizontal="center" vertical="center"/>
      <protection locked="0"/>
    </xf>
    <xf numFmtId="49" fontId="4" fillId="0" borderId="3" xfId="115" applyNumberFormat="1" applyFont="1" applyBorder="1" applyAlignment="1">
      <alignment horizontal="center" vertical="center"/>
      <protection locked="0"/>
    </xf>
    <xf numFmtId="179" fontId="4" fillId="0" borderId="3" xfId="115" applyFont="1" applyBorder="1" applyAlignment="1">
      <alignment vertical="center"/>
      <protection locked="0"/>
    </xf>
    <xf numFmtId="43" fontId="4" fillId="0" borderId="3" xfId="396" applyFont="1" applyBorder="1" applyAlignment="1" applyProtection="1">
      <alignment vertical="center"/>
      <protection locked="0"/>
    </xf>
    <xf numFmtId="49" fontId="24" fillId="0" borderId="3" xfId="115" applyNumberFormat="1" applyFont="1" applyBorder="1" applyAlignment="1">
      <alignment horizontal="left" vertical="center"/>
      <protection locked="0"/>
    </xf>
    <xf numFmtId="179" fontId="9" fillId="2" borderId="3" xfId="115" applyFont="1" applyFill="1" applyBorder="1" applyAlignment="1">
      <alignment vertical="center"/>
      <protection locked="0"/>
    </xf>
    <xf numFmtId="43" fontId="5" fillId="2" borderId="3" xfId="396" applyFont="1" applyFill="1" applyBorder="1" applyAlignment="1" applyProtection="1">
      <alignment vertical="center"/>
      <protection locked="0"/>
    </xf>
    <xf numFmtId="179" fontId="10" fillId="2" borderId="3" xfId="115" applyFont="1" applyFill="1" applyBorder="1" applyAlignment="1">
      <alignment vertical="center"/>
      <protection locked="0"/>
    </xf>
    <xf numFmtId="0" fontId="5" fillId="0" borderId="0" xfId="193" applyFont="1" applyBorder="1" applyAlignment="1">
      <alignment vertical="center"/>
      <protection locked="0"/>
    </xf>
    <xf numFmtId="0" fontId="4" fillId="0" borderId="0" xfId="193" applyFont="1" applyBorder="1" applyAlignment="1">
      <alignment vertical="center"/>
      <protection locked="0"/>
    </xf>
    <xf numFmtId="179" fontId="10" fillId="0" borderId="0" xfId="115" applyFont="1" applyAlignment="1">
      <alignment vertical="center"/>
      <protection locked="0"/>
    </xf>
    <xf numFmtId="179" fontId="4" fillId="0" borderId="0" xfId="380" applyFont="1">
      <protection locked="0"/>
    </xf>
    <xf numFmtId="179" fontId="9" fillId="0" borderId="0" xfId="115" applyFont="1" applyBorder="1" applyAlignment="1">
      <alignment vertical="center"/>
      <protection locked="0"/>
    </xf>
    <xf numFmtId="179" fontId="20" fillId="0" borderId="0" xfId="91">
      <protection locked="0"/>
    </xf>
    <xf numFmtId="179" fontId="25" fillId="0" borderId="0" xfId="381" applyFont="1" applyAlignment="1">
      <alignment horizontal="left" vertical="center"/>
    </xf>
    <xf numFmtId="179" fontId="9" fillId="0" borderId="0" xfId="381" applyFont="1" applyAlignment="1">
      <alignment horizontal="left" vertical="center"/>
    </xf>
    <xf numFmtId="179" fontId="4" fillId="0" borderId="3" xfId="91" applyFont="1" applyBorder="1" applyAlignment="1">
      <alignment horizontal="center" vertical="center"/>
      <protection locked="0"/>
    </xf>
    <xf numFmtId="49" fontId="4" fillId="0" borderId="3" xfId="115" applyNumberFormat="1" applyFont="1" applyBorder="1" applyAlignment="1">
      <alignment vertical="center"/>
      <protection locked="0"/>
    </xf>
    <xf numFmtId="0" fontId="25" fillId="0" borderId="0" xfId="193" applyFont="1" applyBorder="1" applyAlignment="1">
      <alignment horizontal="left" vertical="center"/>
      <protection locked="0"/>
    </xf>
    <xf numFmtId="179" fontId="26" fillId="0" borderId="0" xfId="115" applyFont="1" applyAlignment="1">
      <alignment vertical="center"/>
      <protection locked="0"/>
    </xf>
    <xf numFmtId="179" fontId="27" fillId="0" borderId="0" xfId="115" applyFont="1">
      <protection locked="0"/>
    </xf>
    <xf numFmtId="179" fontId="27" fillId="0" borderId="0" xfId="115" applyFont="1" applyAlignment="1">
      <alignment vertical="center"/>
      <protection locked="0"/>
    </xf>
    <xf numFmtId="179" fontId="20" fillId="0" borderId="0" xfId="115" applyAlignment="1">
      <alignment vertical="center"/>
      <protection locked="0"/>
    </xf>
    <xf numFmtId="179" fontId="28" fillId="0" borderId="0" xfId="386" applyNumberFormat="1" applyFill="1" applyAlignment="1" applyProtection="1">
      <alignment vertical="center"/>
    </xf>
    <xf numFmtId="179" fontId="22" fillId="0" borderId="0" xfId="115" applyFont="1" applyAlignment="1">
      <alignment horizontal="left"/>
      <protection locked="0"/>
    </xf>
    <xf numFmtId="0" fontId="12" fillId="0" borderId="0" xfId="291" applyFont="1" applyAlignment="1">
      <alignment vertical="center"/>
      <protection locked="0"/>
    </xf>
    <xf numFmtId="0" fontId="12" fillId="0" borderId="0" xfId="291" applyFont="1">
      <protection locked="0"/>
    </xf>
    <xf numFmtId="0" fontId="4" fillId="0" borderId="0" xfId="50" applyFont="1" applyAlignment="1">
      <alignment vertical="center"/>
    </xf>
    <xf numFmtId="0" fontId="4" fillId="0" borderId="0" xfId="50" applyFont="1" applyFill="1" applyAlignment="1">
      <alignment vertical="center"/>
    </xf>
    <xf numFmtId="0" fontId="30" fillId="0" borderId="0" xfId="272" applyFont="1" applyBorder="1" applyAlignment="1">
      <alignment horizontal="left" vertical="center"/>
    </xf>
    <xf numFmtId="0" fontId="30" fillId="0" borderId="0" xfId="272" applyFont="1" applyAlignment="1">
      <alignment vertical="center"/>
    </xf>
    <xf numFmtId="0" fontId="4" fillId="0" borderId="0" xfId="272" applyFont="1" applyAlignment="1">
      <alignment vertical="center"/>
    </xf>
    <xf numFmtId="0" fontId="4" fillId="0" borderId="0" xfId="272" applyFont="1" applyBorder="1" applyAlignment="1">
      <alignment horizontal="justify" vertical="center" wrapText="1"/>
    </xf>
    <xf numFmtId="0" fontId="33" fillId="0" borderId="0" xfId="0" applyFont="1">
      <alignment vertical="center"/>
    </xf>
    <xf numFmtId="0" fontId="19" fillId="0" borderId="0" xfId="0" applyFont="1" applyAlignment="1">
      <alignment horizontal="center" vertical="center"/>
    </xf>
    <xf numFmtId="0" fontId="5" fillId="2" borderId="3" xfId="50" applyFont="1" applyFill="1" applyBorder="1" applyAlignment="1">
      <alignment horizontal="center" vertical="center" wrapText="1"/>
    </xf>
    <xf numFmtId="0" fontId="10" fillId="2" borderId="3" xfId="50" applyFont="1" applyFill="1" applyBorder="1" applyAlignment="1">
      <alignment horizontal="center" vertical="center" wrapText="1"/>
    </xf>
    <xf numFmtId="230" fontId="4" fillId="0" borderId="3" xfId="272" applyNumberFormat="1" applyFont="1" applyBorder="1" applyAlignment="1">
      <alignment vertical="center" wrapText="1"/>
    </xf>
    <xf numFmtId="43" fontId="4" fillId="0" borderId="3" xfId="50" applyNumberFormat="1" applyFont="1" applyBorder="1" applyAlignment="1">
      <alignment vertical="center"/>
    </xf>
    <xf numFmtId="0" fontId="4" fillId="0" borderId="3" xfId="50" applyFont="1" applyBorder="1" applyAlignment="1">
      <alignment vertical="center"/>
    </xf>
    <xf numFmtId="14" fontId="4" fillId="0" borderId="3" xfId="50" applyNumberFormat="1" applyFont="1" applyBorder="1" applyAlignment="1">
      <alignment vertical="center"/>
    </xf>
    <xf numFmtId="14" fontId="5" fillId="0" borderId="3" xfId="50" applyNumberFormat="1" applyFont="1" applyBorder="1" applyAlignment="1">
      <alignment vertical="center"/>
    </xf>
    <xf numFmtId="43" fontId="5" fillId="0" borderId="3" xfId="50" applyNumberFormat="1" applyFont="1" applyBorder="1" applyAlignment="1">
      <alignment vertical="center"/>
    </xf>
    <xf numFmtId="0" fontId="5" fillId="0" borderId="3" xfId="50" applyFont="1" applyBorder="1" applyAlignment="1">
      <alignment vertical="center"/>
    </xf>
    <xf numFmtId="0" fontId="10" fillId="0" borderId="0" xfId="291" applyFont="1" applyBorder="1" applyAlignment="1">
      <alignment vertical="center"/>
      <protection locked="0"/>
    </xf>
    <xf numFmtId="0" fontId="4" fillId="0" borderId="0" xfId="50" applyFont="1" applyBorder="1" applyAlignment="1">
      <alignment vertical="center"/>
    </xf>
    <xf numFmtId="0" fontId="35" fillId="0" borderId="0" xfId="50" applyFont="1" applyAlignment="1">
      <alignment vertical="center" wrapText="1"/>
    </xf>
    <xf numFmtId="0" fontId="12" fillId="0" borderId="0" xfId="50" applyFont="1" applyAlignment="1">
      <alignment vertical="center"/>
    </xf>
    <xf numFmtId="0" fontId="12" fillId="0" borderId="0" xfId="291" applyFont="1" applyAlignment="1">
      <protection locked="0"/>
    </xf>
    <xf numFmtId="0" fontId="36" fillId="0" borderId="0" xfId="291" applyFont="1" applyAlignment="1">
      <alignment horizontal="right"/>
      <protection locked="0"/>
    </xf>
    <xf numFmtId="0" fontId="12" fillId="0" borderId="0" xfId="291" applyFont="1" applyAlignment="1">
      <alignment horizontal="right"/>
      <protection locked="0"/>
    </xf>
    <xf numFmtId="0" fontId="30" fillId="0" borderId="0" xfId="272" applyFont="1" applyBorder="1" applyAlignment="1">
      <alignment horizontal="justify" vertical="center" wrapText="1"/>
    </xf>
    <xf numFmtId="0" fontId="4" fillId="0" borderId="0" xfId="50" applyFont="1" applyFill="1" applyBorder="1" applyAlignment="1">
      <alignment vertical="center"/>
    </xf>
    <xf numFmtId="0" fontId="2" fillId="0" borderId="0" xfId="50" applyFont="1" applyAlignment="1">
      <alignment vertical="center"/>
    </xf>
    <xf numFmtId="0" fontId="3" fillId="0" borderId="0" xfId="50" applyFont="1" applyAlignment="1">
      <alignment vertical="center"/>
    </xf>
    <xf numFmtId="0" fontId="4" fillId="0" borderId="0" xfId="50" applyFont="1" applyAlignment="1">
      <alignment vertical="center" wrapText="1"/>
    </xf>
    <xf numFmtId="0" fontId="4" fillId="0" borderId="0" xfId="214" applyFont="1" applyBorder="1" applyAlignment="1">
      <alignment vertical="center"/>
      <protection locked="0"/>
    </xf>
    <xf numFmtId="230" fontId="4" fillId="0" borderId="3" xfId="272" applyNumberFormat="1" applyFont="1" applyBorder="1" applyAlignment="1">
      <alignment horizontal="left" vertical="center"/>
    </xf>
    <xf numFmtId="43" fontId="4" fillId="4" borderId="3" xfId="50" applyNumberFormat="1" applyFont="1" applyFill="1" applyBorder="1" applyAlignment="1">
      <alignment vertical="center"/>
    </xf>
    <xf numFmtId="230" fontId="10" fillId="0" borderId="3" xfId="272" applyNumberFormat="1" applyFont="1" applyBorder="1" applyAlignment="1">
      <alignment horizontal="center" vertical="center"/>
    </xf>
    <xf numFmtId="43" fontId="5" fillId="4" borderId="3" xfId="50" applyNumberFormat="1" applyFont="1" applyFill="1" applyBorder="1" applyAlignment="1">
      <alignment vertical="center"/>
    </xf>
    <xf numFmtId="14" fontId="4" fillId="0" borderId="0" xfId="50" applyNumberFormat="1" applyFont="1" applyAlignment="1">
      <alignment vertical="center"/>
    </xf>
    <xf numFmtId="0" fontId="10" fillId="2" borderId="3" xfId="50" applyFont="1" applyFill="1" applyBorder="1" applyAlignment="1">
      <alignment horizontal="center" vertical="center"/>
    </xf>
    <xf numFmtId="0" fontId="4" fillId="0" borderId="0" xfId="50" applyFont="1" applyFill="1" applyAlignment="1">
      <alignment horizontal="left" vertical="center"/>
    </xf>
    <xf numFmtId="0" fontId="5" fillId="0" borderId="0" xfId="291" applyFont="1" applyAlignment="1">
      <alignment vertical="center"/>
      <protection locked="0"/>
    </xf>
    <xf numFmtId="0" fontId="4" fillId="0" borderId="0" xfId="291" applyFont="1">
      <protection locked="0"/>
    </xf>
    <xf numFmtId="0" fontId="4" fillId="0" borderId="0" xfId="272" applyFont="1" applyBorder="1" applyAlignment="1">
      <alignment horizontal="left" vertical="center"/>
    </xf>
    <xf numFmtId="14" fontId="4" fillId="0" borderId="0" xfId="272" applyNumberFormat="1" applyFont="1" applyBorder="1" applyAlignment="1">
      <alignment horizontal="justify" vertical="center" wrapText="1"/>
    </xf>
    <xf numFmtId="0" fontId="4" fillId="0" borderId="0" xfId="383" applyFont="1" applyAlignment="1">
      <alignment horizontal="right" vertical="center"/>
    </xf>
    <xf numFmtId="0" fontId="4" fillId="0" borderId="0" xfId="272" applyFont="1" applyBorder="1" applyAlignment="1">
      <alignment vertical="center"/>
    </xf>
    <xf numFmtId="0" fontId="38" fillId="0" borderId="0" xfId="0" applyFont="1">
      <alignment vertical="center"/>
    </xf>
    <xf numFmtId="0" fontId="4" fillId="0" borderId="0" xfId="291" applyFont="1" applyAlignment="1">
      <alignment horizontal="justify" vertical="center"/>
      <protection locked="0"/>
    </xf>
    <xf numFmtId="0" fontId="5" fillId="2" borderId="3" xfId="291" applyFont="1" applyFill="1" applyBorder="1" applyAlignment="1">
      <alignment horizontal="center" vertical="center" wrapText="1"/>
      <protection locked="0"/>
    </xf>
    <xf numFmtId="0" fontId="34" fillId="2" borderId="3" xfId="291" applyFont="1" applyFill="1" applyBorder="1" applyAlignment="1">
      <alignment horizontal="center" vertical="center" wrapText="1"/>
      <protection locked="0"/>
    </xf>
    <xf numFmtId="0" fontId="40" fillId="0" borderId="3" xfId="291" applyFont="1" applyBorder="1" applyAlignment="1">
      <alignment horizontal="justify" vertical="center" wrapText="1"/>
      <protection locked="0"/>
    </xf>
    <xf numFmtId="0" fontId="40" fillId="0" borderId="0" xfId="291" applyFont="1" applyBorder="1" applyAlignment="1">
      <alignment horizontal="justify" vertical="center" wrapText="1"/>
      <protection locked="0"/>
    </xf>
    <xf numFmtId="0" fontId="40" fillId="0" borderId="0" xfId="291" applyFont="1" applyBorder="1" applyAlignment="1">
      <alignment horizontal="left" vertical="center"/>
      <protection locked="0"/>
    </xf>
    <xf numFmtId="0" fontId="4" fillId="0" borderId="0" xfId="291" applyFont="1" applyAlignment="1">
      <alignment horizontal="justify"/>
      <protection locked="0"/>
    </xf>
    <xf numFmtId="0" fontId="5" fillId="0" borderId="0" xfId="291" applyFont="1" applyAlignment="1">
      <alignment horizontal="justify"/>
      <protection locked="0"/>
    </xf>
    <xf numFmtId="0" fontId="36" fillId="5" borderId="0" xfId="291" applyFont="1" applyFill="1" applyAlignment="1">
      <protection locked="0"/>
    </xf>
    <xf numFmtId="0" fontId="36" fillId="5" borderId="0" xfId="291" applyFont="1" applyFill="1">
      <protection locked="0"/>
    </xf>
    <xf numFmtId="0" fontId="2" fillId="0" borderId="0" xfId="379" applyFont="1" applyAlignment="1">
      <alignment vertical="center" wrapText="1"/>
    </xf>
    <xf numFmtId="0" fontId="3" fillId="0" borderId="0" xfId="379" applyFont="1" applyAlignment="1">
      <alignment vertical="center" wrapText="1"/>
    </xf>
    <xf numFmtId="0" fontId="4" fillId="0" borderId="0" xfId="214" applyFont="1" applyAlignment="1">
      <alignment vertical="center"/>
      <protection locked="0"/>
    </xf>
    <xf numFmtId="0" fontId="4" fillId="0" borderId="0" xfId="214" applyFont="1" applyAlignment="1">
      <alignment vertical="center" wrapText="1"/>
      <protection locked="0"/>
    </xf>
    <xf numFmtId="0" fontId="4" fillId="0" borderId="0" xfId="214" applyFont="1" applyBorder="1" applyAlignment="1">
      <alignment vertical="center" wrapText="1"/>
      <protection locked="0"/>
    </xf>
    <xf numFmtId="0" fontId="5" fillId="0" borderId="0" xfId="250" applyFont="1" applyBorder="1" applyAlignment="1">
      <alignment vertical="center"/>
    </xf>
    <xf numFmtId="0" fontId="30" fillId="0" borderId="0" xfId="214" applyFont="1" applyAlignment="1">
      <alignment vertical="center"/>
      <protection locked="0"/>
    </xf>
    <xf numFmtId="0" fontId="25" fillId="0" borderId="0" xfId="214" applyFont="1" applyAlignment="1">
      <alignment vertical="center"/>
      <protection locked="0"/>
    </xf>
    <xf numFmtId="0" fontId="10" fillId="0" borderId="0" xfId="214" applyFont="1" applyAlignment="1">
      <alignment vertical="center"/>
      <protection locked="0"/>
    </xf>
    <xf numFmtId="0" fontId="10" fillId="6" borderId="3" xfId="214" applyFont="1" applyFill="1" applyBorder="1" applyAlignment="1">
      <alignment horizontal="center" vertical="center" wrapText="1"/>
      <protection locked="0"/>
    </xf>
    <xf numFmtId="0" fontId="4" fillId="0" borderId="3" xfId="214" applyFont="1" applyBorder="1" applyAlignment="1">
      <alignment horizontal="left" vertical="center" wrapText="1"/>
      <protection locked="0"/>
    </xf>
    <xf numFmtId="0" fontId="9" fillId="0" borderId="3" xfId="358" applyFont="1" applyBorder="1" applyAlignment="1">
      <alignment horizontal="left" vertical="center" wrapText="1"/>
      <protection locked="0"/>
    </xf>
    <xf numFmtId="0" fontId="24" fillId="0" borderId="3" xfId="358" applyFont="1" applyBorder="1" applyAlignment="1">
      <alignment horizontal="center" vertical="center" wrapText="1"/>
      <protection locked="0"/>
    </xf>
    <xf numFmtId="0" fontId="24" fillId="0" borderId="3" xfId="214" applyFont="1" applyBorder="1" applyAlignment="1">
      <alignment horizontal="center" vertical="center" wrapText="1"/>
      <protection locked="0"/>
    </xf>
    <xf numFmtId="0" fontId="4" fillId="0" borderId="3" xfId="214" applyFont="1" applyBorder="1" applyAlignment="1">
      <alignment horizontal="center" vertical="center" wrapText="1"/>
      <protection locked="0"/>
    </xf>
    <xf numFmtId="0" fontId="10" fillId="6" borderId="9" xfId="214" applyFont="1" applyFill="1" applyBorder="1" applyAlignment="1">
      <alignment horizontal="center" vertical="center" wrapText="1"/>
      <protection locked="0"/>
    </xf>
    <xf numFmtId="0" fontId="10" fillId="6" borderId="4" xfId="214" applyFont="1" applyFill="1" applyBorder="1" applyAlignment="1">
      <alignment horizontal="center" vertical="center" wrapText="1"/>
      <protection locked="0"/>
    </xf>
    <xf numFmtId="0" fontId="9" fillId="0" borderId="3" xfId="214" applyFont="1" applyBorder="1" applyAlignment="1">
      <alignment horizontal="left" vertical="center" wrapText="1"/>
      <protection locked="0"/>
    </xf>
    <xf numFmtId="0" fontId="9" fillId="0" borderId="3" xfId="214" applyFont="1" applyBorder="1" applyAlignment="1">
      <alignment horizontal="center" vertical="center" wrapText="1"/>
      <protection locked="0"/>
    </xf>
    <xf numFmtId="10" fontId="4" fillId="0" borderId="3" xfId="214" applyNumberFormat="1" applyFont="1" applyBorder="1" applyAlignment="1">
      <alignment horizontal="center" vertical="center" wrapText="1"/>
      <protection locked="0"/>
    </xf>
    <xf numFmtId="0" fontId="4" fillId="4" borderId="3" xfId="214" applyFont="1" applyFill="1" applyBorder="1" applyAlignment="1">
      <alignment horizontal="center" vertical="center" wrapText="1"/>
      <protection locked="0"/>
    </xf>
    <xf numFmtId="0" fontId="9" fillId="0" borderId="3" xfId="358" applyFont="1" applyBorder="1" applyAlignment="1">
      <alignment horizontal="center" vertical="center" wrapText="1"/>
      <protection locked="0"/>
    </xf>
    <xf numFmtId="0" fontId="9" fillId="4" borderId="3" xfId="358" applyFont="1" applyFill="1" applyBorder="1" applyAlignment="1">
      <alignment horizontal="center" vertical="center" wrapText="1"/>
      <protection locked="0"/>
    </xf>
    <xf numFmtId="0" fontId="25" fillId="0" borderId="0" xfId="214" applyFont="1" applyAlignment="1">
      <alignment horizontal="left" vertical="center"/>
      <protection locked="0"/>
    </xf>
    <xf numFmtId="0" fontId="22" fillId="0" borderId="0" xfId="214" applyFont="1" applyAlignment="1">
      <alignment horizontal="center" vertical="center" wrapText="1"/>
      <protection locked="0"/>
    </xf>
    <xf numFmtId="0" fontId="22" fillId="0" borderId="0" xfId="214" applyFont="1" applyAlignment="1">
      <alignment vertical="center" wrapText="1"/>
      <protection locked="0"/>
    </xf>
    <xf numFmtId="0" fontId="22" fillId="0" borderId="0" xfId="214" applyFont="1" applyAlignment="1">
      <alignment vertical="center"/>
      <protection locked="0"/>
    </xf>
    <xf numFmtId="0" fontId="41" fillId="0" borderId="0" xfId="250" applyFont="1" applyBorder="1" applyAlignment="1">
      <alignment vertical="center"/>
    </xf>
    <xf numFmtId="0" fontId="22" fillId="0" borderId="0" xfId="214" applyFont="1" applyAlignment="1">
      <alignment horizontal="left" vertical="center" wrapText="1"/>
      <protection locked="0"/>
    </xf>
    <xf numFmtId="0" fontId="42" fillId="0" borderId="0" xfId="214" applyFont="1" applyAlignment="1">
      <alignment vertical="center" wrapText="1"/>
      <protection locked="0"/>
    </xf>
    <xf numFmtId="0" fontId="9" fillId="0" borderId="0" xfId="214" applyFont="1" applyAlignment="1">
      <alignment vertical="center" wrapText="1"/>
      <protection locked="0"/>
    </xf>
    <xf numFmtId="0" fontId="43" fillId="0" borderId="0" xfId="0" applyFont="1">
      <alignment vertical="center"/>
    </xf>
    <xf numFmtId="0" fontId="44" fillId="0" borderId="0" xfId="0" applyFont="1">
      <alignment vertical="center"/>
    </xf>
    <xf numFmtId="14" fontId="4" fillId="0" borderId="0" xfId="272" applyNumberFormat="1" applyFont="1" applyBorder="1" applyAlignment="1">
      <alignment horizontal="left" vertical="center" wrapText="1"/>
    </xf>
    <xf numFmtId="0" fontId="33" fillId="0" borderId="0" xfId="0" applyFont="1" applyAlignment="1">
      <alignment horizontal="left" vertical="center" indent="1"/>
    </xf>
    <xf numFmtId="0" fontId="19" fillId="0" borderId="0" xfId="0" applyFont="1" applyAlignment="1">
      <alignment horizontal="left" vertical="center" indent="1"/>
    </xf>
    <xf numFmtId="0" fontId="17" fillId="4"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33" fillId="4" borderId="3" xfId="0" applyFont="1" applyFill="1" applyBorder="1" applyAlignment="1">
      <alignment horizontal="center" vertical="center" wrapText="1"/>
    </xf>
    <xf numFmtId="43" fontId="40" fillId="0" borderId="3" xfId="395" applyFont="1" applyFill="1" applyBorder="1" applyAlignment="1">
      <alignment horizontal="right" vertical="center"/>
    </xf>
    <xf numFmtId="43" fontId="33" fillId="0" borderId="3" xfId="0" applyNumberFormat="1" applyFont="1" applyBorder="1" applyAlignment="1">
      <alignment horizontal="center" vertical="center"/>
    </xf>
    <xf numFmtId="43" fontId="19" fillId="0" borderId="3" xfId="0" applyNumberFormat="1" applyFont="1" applyBorder="1" applyAlignment="1">
      <alignment horizontal="center" vertical="center"/>
    </xf>
    <xf numFmtId="0" fontId="45" fillId="4" borderId="4" xfId="358" applyNumberFormat="1" applyFont="1" applyFill="1" applyBorder="1" applyAlignment="1" applyProtection="1">
      <alignment horizontal="center" vertical="center" wrapText="1"/>
    </xf>
    <xf numFmtId="43" fontId="34" fillId="4" borderId="3" xfId="395" applyFont="1" applyFill="1" applyBorder="1" applyAlignment="1">
      <alignment horizontal="right" vertical="center"/>
    </xf>
    <xf numFmtId="0" fontId="18"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9" fillId="0" borderId="3" xfId="0" applyFont="1" applyBorder="1">
      <alignment vertical="center"/>
    </xf>
    <xf numFmtId="0" fontId="4" fillId="0" borderId="0" xfId="214" applyFont="1" applyBorder="1" applyAlignment="1">
      <alignment horizontal="right" vertical="center"/>
      <protection locked="0"/>
    </xf>
    <xf numFmtId="0" fontId="9" fillId="0" borderId="0" xfId="214" applyFont="1" applyBorder="1" applyAlignment="1">
      <alignment vertical="center"/>
      <protection locked="0"/>
    </xf>
    <xf numFmtId="0" fontId="42" fillId="0" borderId="0" xfId="214" applyFont="1" applyAlignment="1">
      <alignment vertical="center"/>
      <protection locked="0"/>
    </xf>
    <xf numFmtId="0" fontId="9" fillId="6" borderId="3" xfId="214" applyFont="1" applyFill="1" applyBorder="1" applyAlignment="1">
      <alignment horizontal="center" vertical="center" wrapText="1"/>
      <protection locked="0"/>
    </xf>
    <xf numFmtId="0" fontId="4" fillId="0" borderId="0" xfId="214" applyFont="1" applyAlignment="1">
      <alignment horizontal="center" vertical="center" wrapText="1"/>
      <protection locked="0"/>
    </xf>
    <xf numFmtId="0" fontId="10" fillId="0" borderId="0" xfId="214" applyFont="1" applyAlignment="1">
      <alignment horizontal="center" vertical="center" wrapText="1"/>
      <protection locked="0"/>
    </xf>
    <xf numFmtId="0" fontId="4" fillId="6" borderId="1" xfId="214" applyFont="1" applyFill="1" applyBorder="1" applyAlignment="1">
      <alignment horizontal="center" vertical="center" wrapText="1"/>
      <protection locked="0"/>
    </xf>
    <xf numFmtId="0" fontId="10" fillId="0" borderId="3" xfId="214" applyFont="1" applyBorder="1" applyAlignment="1">
      <alignment horizontal="center" vertical="center" wrapText="1"/>
      <protection locked="0"/>
    </xf>
    <xf numFmtId="0" fontId="25" fillId="0" borderId="0" xfId="214" applyFont="1" applyAlignment="1">
      <alignment horizontal="left" vertical="center" wrapText="1"/>
      <protection locked="0"/>
    </xf>
    <xf numFmtId="0" fontId="22" fillId="0" borderId="0" xfId="214" applyFont="1" applyAlignment="1">
      <alignment horizontal="center" vertical="center"/>
      <protection locked="0"/>
    </xf>
    <xf numFmtId="0" fontId="48" fillId="0" borderId="0" xfId="0" applyFont="1">
      <alignment vertical="center"/>
    </xf>
    <xf numFmtId="0" fontId="30" fillId="0" borderId="0" xfId="291" applyFont="1" applyFill="1" applyAlignment="1">
      <alignment vertical="center"/>
      <protection locked="0"/>
    </xf>
    <xf numFmtId="0" fontId="18" fillId="2" borderId="3" xfId="0" applyFont="1" applyFill="1" applyBorder="1" applyAlignment="1">
      <alignment vertical="center" wrapText="1"/>
    </xf>
    <xf numFmtId="0" fontId="19" fillId="0" borderId="4" xfId="0" applyFont="1" applyBorder="1">
      <alignment vertical="center"/>
    </xf>
    <xf numFmtId="0" fontId="19" fillId="0" borderId="7" xfId="0" applyFont="1" applyBorder="1">
      <alignment vertical="center"/>
    </xf>
    <xf numFmtId="43" fontId="34" fillId="4" borderId="3" xfId="395" applyFont="1" applyFill="1" applyBorder="1" applyAlignment="1">
      <alignment horizontal="centerContinuous" vertical="center"/>
    </xf>
    <xf numFmtId="0" fontId="30" fillId="0" borderId="0" xfId="272" applyFont="1" applyBorder="1" applyAlignment="1">
      <alignment vertical="center"/>
    </xf>
    <xf numFmtId="0" fontId="30" fillId="0" borderId="0" xfId="291" applyFont="1" applyFill="1" applyBorder="1" applyAlignment="1">
      <alignment horizontal="left" vertical="center" wrapText="1"/>
      <protection locked="0"/>
    </xf>
    <xf numFmtId="0" fontId="30" fillId="0" borderId="0" xfId="291" applyFont="1" applyFill="1" applyBorder="1" applyAlignment="1">
      <alignment horizontal="justify" vertical="center" wrapText="1"/>
      <protection locked="0"/>
    </xf>
    <xf numFmtId="43" fontId="40" fillId="4" borderId="3" xfId="395" applyFont="1" applyFill="1" applyBorder="1" applyAlignment="1">
      <alignment horizontal="right" vertical="center"/>
    </xf>
    <xf numFmtId="0" fontId="4" fillId="0" borderId="0" xfId="222" applyFont="1">
      <protection locked="0"/>
    </xf>
    <xf numFmtId="0" fontId="4" fillId="0" borderId="0" xfId="222" applyFont="1" applyFill="1">
      <protection locked="0"/>
    </xf>
    <xf numFmtId="0" fontId="5" fillId="0" borderId="0" xfId="222" applyFont="1" applyFill="1">
      <protection locked="0"/>
    </xf>
    <xf numFmtId="0" fontId="4" fillId="7" borderId="0" xfId="222" applyFont="1" applyFill="1">
      <protection locked="0"/>
    </xf>
    <xf numFmtId="0" fontId="4" fillId="0" borderId="0" xfId="193" applyFont="1" applyAlignment="1">
      <alignment vertical="center"/>
      <protection locked="0"/>
    </xf>
    <xf numFmtId="0" fontId="4" fillId="0" borderId="0" xfId="193" applyFont="1" applyBorder="1" applyAlignment="1">
      <alignment horizontal="left" vertical="center"/>
      <protection locked="0"/>
    </xf>
    <xf numFmtId="0" fontId="10" fillId="0" borderId="0" xfId="272" applyFont="1" applyBorder="1" applyAlignment="1">
      <alignment horizontal="left" vertical="center"/>
    </xf>
    <xf numFmtId="0" fontId="9" fillId="0" borderId="0" xfId="272" applyFont="1" applyAlignment="1">
      <alignment vertical="center"/>
    </xf>
    <xf numFmtId="0" fontId="9" fillId="0" borderId="0" xfId="193" applyFont="1" applyBorder="1" applyAlignment="1">
      <alignment horizontal="left" vertical="center"/>
      <protection locked="0"/>
    </xf>
    <xf numFmtId="0" fontId="4" fillId="0" borderId="0" xfId="291" applyFont="1" applyAlignment="1">
      <alignment horizontal="left" vertical="center" indent="1"/>
      <protection locked="0"/>
    </xf>
    <xf numFmtId="0" fontId="10" fillId="2" borderId="3" xfId="358" applyFont="1" applyFill="1" applyBorder="1" applyAlignment="1">
      <alignment horizontal="center" vertical="center" wrapText="1"/>
      <protection locked="0"/>
    </xf>
    <xf numFmtId="43" fontId="49" fillId="0" borderId="3" xfId="358" applyNumberFormat="1" applyFont="1" applyFill="1" applyBorder="1" applyAlignment="1" applyProtection="1">
      <alignment horizontal="left" vertical="center" shrinkToFit="1"/>
    </xf>
    <xf numFmtId="43" fontId="16" fillId="0" borderId="3" xfId="358" applyNumberFormat="1" applyFont="1" applyFill="1" applyBorder="1" applyAlignment="1" applyProtection="1">
      <alignment horizontal="right" vertical="center" shrinkToFit="1"/>
    </xf>
    <xf numFmtId="43" fontId="50" fillId="0" borderId="3" xfId="358" applyNumberFormat="1" applyFont="1" applyFill="1" applyBorder="1" applyAlignment="1" applyProtection="1">
      <alignment horizontal="center" vertical="center" shrinkToFit="1"/>
    </xf>
    <xf numFmtId="43" fontId="16" fillId="0" borderId="3" xfId="358" applyNumberFormat="1" applyFont="1" applyFill="1" applyBorder="1" applyAlignment="1" applyProtection="1">
      <alignment horizontal="center" vertical="center" shrinkToFit="1"/>
    </xf>
    <xf numFmtId="43" fontId="16" fillId="0" borderId="3" xfId="358" applyNumberFormat="1" applyFont="1" applyFill="1" applyBorder="1" applyAlignment="1" applyProtection="1">
      <alignment horizontal="left" vertical="center" shrinkToFit="1"/>
    </xf>
    <xf numFmtId="0" fontId="10" fillId="0" borderId="0" xfId="193" applyFont="1" applyBorder="1" applyAlignment="1">
      <alignment vertical="center"/>
      <protection locked="0"/>
    </xf>
    <xf numFmtId="0" fontId="4" fillId="0" borderId="0" xfId="193" applyFont="1" applyFill="1" applyBorder="1" applyAlignment="1">
      <alignment vertical="center"/>
      <protection locked="0"/>
    </xf>
    <xf numFmtId="0" fontId="4" fillId="0" borderId="0" xfId="193" applyFont="1" applyFill="1" applyAlignment="1">
      <alignment vertical="center"/>
      <protection locked="0"/>
    </xf>
    <xf numFmtId="0" fontId="10" fillId="0" borderId="0" xfId="193" applyFont="1" applyFill="1" applyBorder="1" applyAlignment="1">
      <alignment vertical="center"/>
      <protection locked="0"/>
    </xf>
    <xf numFmtId="0" fontId="9" fillId="0" borderId="0" xfId="193" applyFont="1" applyBorder="1" applyAlignment="1">
      <alignment vertical="center"/>
      <protection locked="0"/>
    </xf>
    <xf numFmtId="0" fontId="51" fillId="0" borderId="0" xfId="193" applyFont="1" applyAlignment="1">
      <alignment vertical="center"/>
      <protection locked="0"/>
    </xf>
    <xf numFmtId="0" fontId="9" fillId="0" borderId="0" xfId="193" applyFont="1" applyAlignment="1">
      <alignment vertical="center"/>
      <protection locked="0"/>
    </xf>
    <xf numFmtId="0" fontId="12" fillId="0" borderId="0" xfId="193" applyFont="1" applyAlignment="1">
      <alignment vertical="center"/>
      <protection locked="0"/>
    </xf>
    <xf numFmtId="0" fontId="12" fillId="0" borderId="0" xfId="193" applyFont="1" applyAlignment="1">
      <protection locked="0"/>
    </xf>
    <xf numFmtId="0" fontId="52" fillId="0" borderId="0" xfId="193" applyFont="1" applyAlignment="1">
      <alignment horizontal="right"/>
      <protection locked="0"/>
    </xf>
    <xf numFmtId="0" fontId="12" fillId="0" borderId="0" xfId="193" applyFont="1" applyAlignment="1">
      <alignment horizontal="right"/>
      <protection locked="0"/>
    </xf>
    <xf numFmtId="0" fontId="51" fillId="0" borderId="0" xfId="193" applyFont="1" applyAlignment="1">
      <protection locked="0"/>
    </xf>
    <xf numFmtId="0" fontId="10" fillId="2" borderId="10" xfId="358" applyFont="1" applyFill="1" applyBorder="1" applyAlignment="1">
      <alignment horizontal="center" vertical="center" wrapText="1"/>
      <protection locked="0"/>
    </xf>
    <xf numFmtId="43" fontId="50" fillId="0" borderId="3" xfId="358" applyNumberFormat="1" applyFont="1" applyFill="1" applyBorder="1" applyAlignment="1" applyProtection="1">
      <alignment vertical="center" wrapText="1" shrinkToFit="1"/>
    </xf>
    <xf numFmtId="43" fontId="50" fillId="0" borderId="3" xfId="358" applyNumberFormat="1" applyFont="1" applyFill="1" applyBorder="1" applyAlignment="1" applyProtection="1">
      <alignment horizontal="center" vertical="center" wrapText="1" shrinkToFit="1"/>
    </xf>
    <xf numFmtId="43" fontId="16" fillId="0" borderId="3" xfId="358" applyNumberFormat="1" applyFont="1" applyFill="1" applyBorder="1" applyAlignment="1" applyProtection="1">
      <alignment horizontal="center" vertical="center" wrapText="1" shrinkToFit="1"/>
    </xf>
    <xf numFmtId="0" fontId="4" fillId="0" borderId="0" xfId="193" applyFont="1" applyBorder="1" applyAlignment="1">
      <alignment horizontal="right" vertical="center"/>
      <protection locked="0"/>
    </xf>
    <xf numFmtId="0" fontId="4" fillId="0" borderId="0" xfId="193" applyFont="1" applyAlignment="1">
      <alignment horizontal="center" vertical="center"/>
      <protection locked="0"/>
    </xf>
    <xf numFmtId="0" fontId="4" fillId="0" borderId="3" xfId="222" applyFont="1" applyFill="1" applyBorder="1">
      <protection locked="0"/>
    </xf>
    <xf numFmtId="0" fontId="5" fillId="0" borderId="3" xfId="222" applyFont="1" applyFill="1" applyBorder="1">
      <protection locked="0"/>
    </xf>
    <xf numFmtId="0" fontId="5" fillId="4" borderId="3" xfId="222" applyFont="1" applyFill="1" applyBorder="1">
      <protection locked="0"/>
    </xf>
    <xf numFmtId="0" fontId="53" fillId="0" borderId="0" xfId="0" applyFont="1">
      <alignment vertical="center"/>
    </xf>
    <xf numFmtId="0" fontId="9" fillId="0" borderId="0" xfId="272" applyFont="1" applyBorder="1" applyAlignment="1">
      <alignment horizontal="left" vertical="center" indent="1"/>
    </xf>
    <xf numFmtId="0" fontId="9" fillId="0" borderId="0" xfId="272" applyFont="1" applyBorder="1" applyAlignment="1">
      <alignment vertical="center"/>
    </xf>
    <xf numFmtId="0" fontId="4" fillId="0" borderId="3" xfId="351" applyFont="1" applyBorder="1" applyAlignment="1">
      <alignment vertical="center"/>
    </xf>
    <xf numFmtId="43" fontId="4" fillId="0" borderId="3" xfId="393" applyFont="1" applyBorder="1" applyAlignment="1">
      <alignment vertical="center"/>
    </xf>
    <xf numFmtId="10" fontId="4" fillId="0" borderId="3" xfId="351" applyNumberFormat="1" applyFont="1" applyBorder="1" applyAlignment="1">
      <alignment vertical="center"/>
    </xf>
    <xf numFmtId="14" fontId="4" fillId="0" borderId="3" xfId="351" applyNumberFormat="1" applyFont="1" applyBorder="1" applyAlignment="1">
      <alignment horizontal="center" vertical="center"/>
    </xf>
    <xf numFmtId="0" fontId="4" fillId="0" borderId="3" xfId="351" applyNumberFormat="1" applyFont="1" applyBorder="1" applyAlignment="1">
      <alignment vertical="center"/>
    </xf>
    <xf numFmtId="191" fontId="4" fillId="0" borderId="3" xfId="351" applyNumberFormat="1" applyFont="1" applyBorder="1" applyAlignment="1">
      <alignment vertical="center"/>
    </xf>
    <xf numFmtId="0" fontId="4" fillId="0" borderId="3" xfId="351" applyFont="1" applyBorder="1" applyAlignment="1">
      <alignment horizontal="center" vertical="center"/>
    </xf>
    <xf numFmtId="43" fontId="4" fillId="4" borderId="3" xfId="393" applyFont="1" applyFill="1" applyBorder="1" applyAlignment="1">
      <alignment vertical="center"/>
    </xf>
    <xf numFmtId="43" fontId="4" fillId="4" borderId="3" xfId="393" applyFont="1" applyFill="1" applyBorder="1" applyAlignment="1">
      <alignment horizontal="center" vertical="center"/>
    </xf>
    <xf numFmtId="0" fontId="4" fillId="0" borderId="0" xfId="305" applyFont="1"/>
    <xf numFmtId="0" fontId="4" fillId="0" borderId="0" xfId="351" applyFont="1" applyAlignment="1">
      <alignment vertical="center"/>
    </xf>
    <xf numFmtId="0" fontId="4" fillId="2" borderId="3" xfId="351" applyFont="1" applyFill="1" applyBorder="1" applyAlignment="1">
      <alignment horizontal="center" vertical="center"/>
    </xf>
    <xf numFmtId="0" fontId="4" fillId="0" borderId="0" xfId="351" applyFont="1" applyAlignment="1">
      <alignment horizontal="center" vertical="center"/>
    </xf>
    <xf numFmtId="0" fontId="23" fillId="2" borderId="3" xfId="351" applyFont="1" applyFill="1" applyBorder="1" applyAlignment="1">
      <alignment horizontal="center" vertical="center"/>
    </xf>
    <xf numFmtId="0" fontId="32" fillId="0" borderId="0" xfId="305" applyFont="1"/>
    <xf numFmtId="0" fontId="54" fillId="0" borderId="0" xfId="0" applyFont="1">
      <alignment vertical="center"/>
    </xf>
    <xf numFmtId="0" fontId="54" fillId="0" borderId="0" xfId="0" applyFont="1" applyAlignment="1">
      <alignment vertical="center"/>
    </xf>
    <xf numFmtId="43" fontId="4" fillId="4" borderId="3" xfId="351" applyNumberFormat="1" applyFont="1" applyFill="1" applyBorder="1" applyAlignment="1">
      <alignment vertical="center"/>
    </xf>
    <xf numFmtId="43" fontId="4" fillId="4" borderId="3" xfId="393" applyNumberFormat="1" applyFont="1" applyFill="1" applyBorder="1" applyAlignment="1">
      <alignment vertical="center"/>
    </xf>
    <xf numFmtId="0" fontId="5" fillId="0" borderId="0" xfId="305" applyFont="1"/>
    <xf numFmtId="0" fontId="9" fillId="0" borderId="0" xfId="193" applyFont="1" applyBorder="1" applyAlignment="1">
      <alignment horizontal="right" vertical="center"/>
      <protection locked="0"/>
    </xf>
    <xf numFmtId="0" fontId="4" fillId="4" borderId="0" xfId="50" applyFont="1" applyFill="1" applyAlignment="1">
      <alignment vertical="center"/>
    </xf>
    <xf numFmtId="0" fontId="19" fillId="0" borderId="0" xfId="0" applyFont="1" applyAlignment="1">
      <alignment horizontal="left" vertical="center"/>
    </xf>
    <xf numFmtId="10" fontId="4" fillId="0" borderId="3" xfId="50" applyNumberFormat="1" applyFont="1" applyBorder="1" applyAlignment="1">
      <alignment vertical="center"/>
    </xf>
    <xf numFmtId="10" fontId="5" fillId="0" borderId="3" xfId="50" applyNumberFormat="1" applyFont="1" applyBorder="1" applyAlignment="1">
      <alignment vertical="center"/>
    </xf>
    <xf numFmtId="230" fontId="5" fillId="0" borderId="3" xfId="272" applyNumberFormat="1" applyFont="1" applyBorder="1" applyAlignment="1">
      <alignment vertical="center" wrapText="1"/>
    </xf>
    <xf numFmtId="230" fontId="5" fillId="4" borderId="3" xfId="272" applyNumberFormat="1" applyFont="1" applyFill="1" applyBorder="1" applyAlignment="1">
      <alignment horizontal="center" vertical="center" wrapText="1"/>
    </xf>
    <xf numFmtId="14" fontId="4" fillId="4" borderId="3" xfId="50" applyNumberFormat="1" applyFont="1" applyFill="1" applyBorder="1" applyAlignment="1">
      <alignment vertical="center"/>
    </xf>
    <xf numFmtId="10" fontId="4" fillId="4" borderId="3" xfId="50" applyNumberFormat="1" applyFont="1" applyFill="1" applyBorder="1" applyAlignment="1">
      <alignment vertical="center"/>
    </xf>
    <xf numFmtId="14" fontId="4" fillId="0" borderId="0" xfId="291" applyNumberFormat="1" applyFont="1" applyBorder="1" applyAlignment="1">
      <alignment vertical="center"/>
      <protection locked="0"/>
    </xf>
    <xf numFmtId="43" fontId="4" fillId="0" borderId="0" xfId="382" applyNumberFormat="1" applyFont="1" applyBorder="1" applyAlignment="1">
      <alignment vertical="center"/>
    </xf>
    <xf numFmtId="0" fontId="4" fillId="4" borderId="3" xfId="50" applyFont="1" applyFill="1" applyBorder="1" applyAlignment="1">
      <alignment vertical="center"/>
    </xf>
    <xf numFmtId="0" fontId="4" fillId="0" borderId="0" xfId="50" applyFont="1" applyBorder="1" applyAlignment="1">
      <alignment horizontal="right" vertical="center"/>
    </xf>
    <xf numFmtId="0" fontId="4" fillId="0" borderId="0" xfId="50" applyFont="1" applyAlignment="1">
      <alignment horizontal="left" vertical="center"/>
    </xf>
    <xf numFmtId="0" fontId="2" fillId="0" borderId="0" xfId="193" applyFont="1">
      <protection locked="0"/>
    </xf>
    <xf numFmtId="0" fontId="3" fillId="0" borderId="0" xfId="193" applyFont="1">
      <protection locked="0"/>
    </xf>
    <xf numFmtId="0" fontId="29" fillId="0" borderId="0" xfId="193" applyFont="1">
      <protection locked="0"/>
    </xf>
    <xf numFmtId="0" fontId="20" fillId="0" borderId="0" xfId="193">
      <protection locked="0"/>
    </xf>
    <xf numFmtId="0" fontId="20" fillId="0" borderId="0" xfId="4">
      <protection locked="0"/>
    </xf>
    <xf numFmtId="0" fontId="37" fillId="2" borderId="3" xfId="193" applyFont="1" applyFill="1" applyBorder="1" applyAlignment="1" applyProtection="1">
      <alignment horizontal="center" vertical="center"/>
    </xf>
    <xf numFmtId="0" fontId="37" fillId="2" borderId="3" xfId="193" applyFont="1" applyFill="1" applyBorder="1" applyAlignment="1" applyProtection="1">
      <alignment horizontal="center" vertical="center" wrapText="1"/>
    </xf>
    <xf numFmtId="0" fontId="37" fillId="2" borderId="3" xfId="4" applyFont="1" applyFill="1" applyBorder="1" applyAlignment="1" applyProtection="1">
      <alignment horizontal="center" vertical="center" wrapText="1"/>
    </xf>
    <xf numFmtId="179" fontId="10" fillId="2" borderId="3" xfId="364" applyFont="1" applyFill="1" applyBorder="1" applyAlignment="1" applyProtection="1">
      <alignment horizontal="center" vertical="center" wrapText="1"/>
      <protection locked="0"/>
    </xf>
    <xf numFmtId="179" fontId="55" fillId="2" borderId="3" xfId="364" applyFont="1" applyFill="1" applyBorder="1" applyAlignment="1" applyProtection="1">
      <alignment horizontal="center" vertical="center" wrapText="1"/>
      <protection locked="0"/>
    </xf>
    <xf numFmtId="0" fontId="56" fillId="0" borderId="3" xfId="193" applyFont="1" applyFill="1" applyBorder="1" applyAlignment="1" applyProtection="1">
      <alignment vertical="center"/>
    </xf>
    <xf numFmtId="0" fontId="56" fillId="0" borderId="3" xfId="4" applyFont="1" applyFill="1" applyBorder="1" applyAlignment="1" applyProtection="1">
      <alignment vertical="center"/>
    </xf>
    <xf numFmtId="0" fontId="9" fillId="0" borderId="3" xfId="193" applyFont="1" applyFill="1" applyBorder="1" applyAlignment="1" applyProtection="1">
      <alignment vertical="center"/>
    </xf>
    <xf numFmtId="0" fontId="24" fillId="0" borderId="3" xfId="193" applyFont="1" applyFill="1" applyBorder="1" applyAlignment="1" applyProtection="1">
      <alignment horizontal="left" vertical="center" indent="1"/>
    </xf>
    <xf numFmtId="0" fontId="34" fillId="0" borderId="3" xfId="193" applyFont="1" applyFill="1" applyBorder="1" applyAlignment="1" applyProtection="1">
      <alignment horizontal="center" vertical="center"/>
    </xf>
    <xf numFmtId="43" fontId="4" fillId="0" borderId="0" xfId="382" applyNumberFormat="1" applyFont="1" applyBorder="1" applyAlignment="1">
      <alignment horizontal="left" vertical="center"/>
    </xf>
    <xf numFmtId="0" fontId="10" fillId="0" borderId="0" xfId="272" applyFont="1" applyAlignment="1">
      <alignment horizontal="left" vertical="center"/>
    </xf>
    <xf numFmtId="0" fontId="9" fillId="0" borderId="0" xfId="272" applyFont="1" applyFill="1" applyAlignment="1">
      <alignment horizontal="left" vertical="center"/>
    </xf>
    <xf numFmtId="0" fontId="10" fillId="0" borderId="0" xfId="272" applyFont="1" applyFill="1" applyAlignment="1">
      <alignment horizontal="left" vertical="center"/>
    </xf>
    <xf numFmtId="0" fontId="38" fillId="2" borderId="10" xfId="0" applyFont="1" applyFill="1" applyBorder="1" applyAlignment="1">
      <alignment horizontal="left" vertical="center"/>
    </xf>
    <xf numFmtId="0" fontId="0" fillId="2" borderId="10" xfId="0" applyFill="1" applyBorder="1" applyAlignment="1">
      <alignment horizontal="center" vertical="center" wrapText="1"/>
    </xf>
    <xf numFmtId="0" fontId="9" fillId="0" borderId="3" xfId="358" applyNumberFormat="1" applyFont="1" applyFill="1" applyBorder="1" applyAlignment="1" applyProtection="1">
      <alignment horizontal="center" vertical="center" wrapText="1"/>
    </xf>
    <xf numFmtId="43" fontId="9" fillId="0" borderId="3" xfId="358" applyNumberFormat="1" applyFont="1" applyFill="1" applyBorder="1" applyAlignment="1" applyProtection="1">
      <alignment horizontal="left" vertical="center" shrinkToFit="1"/>
    </xf>
    <xf numFmtId="43" fontId="4" fillId="0" borderId="3" xfId="358" applyNumberFormat="1" applyFont="1" applyFill="1" applyBorder="1" applyAlignment="1" applyProtection="1">
      <alignment horizontal="right" vertical="center" shrinkToFit="1"/>
    </xf>
    <xf numFmtId="0" fontId="4" fillId="0" borderId="3" xfId="358" applyNumberFormat="1" applyFont="1" applyFill="1" applyBorder="1" applyAlignment="1" applyProtection="1">
      <alignment horizontal="center" vertical="center" wrapText="1"/>
    </xf>
    <xf numFmtId="43" fontId="4" fillId="0" borderId="3" xfId="358" applyNumberFormat="1" applyFont="1" applyFill="1" applyBorder="1" applyAlignment="1" applyProtection="1">
      <alignment horizontal="left" vertical="center" shrinkToFit="1"/>
    </xf>
    <xf numFmtId="0" fontId="10" fillId="4" borderId="4" xfId="358" applyNumberFormat="1" applyFont="1" applyFill="1" applyBorder="1" applyAlignment="1" applyProtection="1">
      <alignment horizontal="center" vertical="center" wrapText="1"/>
    </xf>
    <xf numFmtId="0" fontId="10" fillId="4" borderId="6" xfId="358" applyNumberFormat="1" applyFont="1" applyFill="1" applyBorder="1" applyAlignment="1" applyProtection="1">
      <alignment vertical="center" wrapText="1"/>
    </xf>
    <xf numFmtId="0" fontId="9" fillId="0" borderId="0" xfId="291" applyFont="1" applyBorder="1" applyAlignment="1">
      <alignment horizontal="left" vertical="center"/>
      <protection locked="0"/>
    </xf>
    <xf numFmtId="43" fontId="4" fillId="0" borderId="1" xfId="12" applyFont="1" applyBorder="1" applyAlignment="1" applyProtection="1">
      <alignment vertical="center"/>
      <protection locked="0"/>
    </xf>
    <xf numFmtId="0" fontId="4" fillId="0" borderId="0" xfId="272" applyFont="1" applyBorder="1" applyAlignment="1">
      <alignment horizontal="center" vertical="center"/>
    </xf>
    <xf numFmtId="0" fontId="4" fillId="0" borderId="0" xfId="291" applyFont="1" applyAlignment="1">
      <alignment horizontal="center" vertical="center"/>
      <protection locked="0"/>
    </xf>
    <xf numFmtId="43" fontId="25" fillId="0" borderId="0" xfId="382" applyNumberFormat="1" applyFont="1" applyBorder="1" applyAlignment="1">
      <alignment horizontal="left" vertical="center"/>
    </xf>
    <xf numFmtId="0" fontId="58" fillId="0" borderId="0" xfId="291" applyFont="1" applyAlignment="1">
      <alignment vertical="center"/>
      <protection locked="0"/>
    </xf>
    <xf numFmtId="43" fontId="59" fillId="0" borderId="0" xfId="382" applyNumberFormat="1" applyFont="1" applyBorder="1" applyAlignment="1">
      <alignment vertical="center"/>
    </xf>
    <xf numFmtId="43" fontId="22" fillId="0" borderId="0" xfId="382" applyNumberFormat="1" applyFont="1" applyBorder="1" applyAlignment="1">
      <alignment vertical="center"/>
    </xf>
    <xf numFmtId="0" fontId="12" fillId="0" borderId="0" xfId="0" applyFont="1" applyAlignment="1" applyProtection="1">
      <alignment vertical="center"/>
      <protection locked="0"/>
    </xf>
    <xf numFmtId="0" fontId="9" fillId="0" borderId="0" xfId="193" applyFont="1" applyAlignment="1">
      <alignment horizontal="left" vertical="center"/>
      <protection locked="0"/>
    </xf>
    <xf numFmtId="0" fontId="4" fillId="0" borderId="3" xfId="222" applyFont="1" applyFill="1" applyBorder="1" applyAlignment="1">
      <alignment horizontal="center"/>
      <protection locked="0"/>
    </xf>
    <xf numFmtId="0" fontId="6" fillId="0" borderId="0" xfId="291" applyFont="1" applyAlignment="1">
      <alignment vertical="center"/>
      <protection locked="0"/>
    </xf>
    <xf numFmtId="0" fontId="7" fillId="0" borderId="0" xfId="291" applyFont="1" applyAlignment="1">
      <alignment vertical="center"/>
      <protection locked="0"/>
    </xf>
    <xf numFmtId="0" fontId="60" fillId="0" borderId="0" xfId="291" applyFont="1" applyAlignment="1">
      <alignment vertical="center"/>
      <protection locked="0"/>
    </xf>
    <xf numFmtId="0" fontId="60" fillId="0" borderId="0" xfId="0" applyFont="1" applyAlignment="1" applyProtection="1">
      <alignment vertical="center"/>
      <protection locked="0"/>
    </xf>
    <xf numFmtId="0" fontId="60" fillId="0" borderId="0" xfId="0" applyFont="1" applyFill="1" applyAlignment="1" applyProtection="1">
      <alignment vertical="center"/>
      <protection locked="0"/>
    </xf>
    <xf numFmtId="0" fontId="61" fillId="0" borderId="0" xfId="291" applyFont="1" applyAlignment="1">
      <alignment vertical="center"/>
      <protection locked="0"/>
    </xf>
    <xf numFmtId="0" fontId="6" fillId="0" borderId="0" xfId="291" applyFont="1" applyAlignment="1">
      <alignment horizontal="center" vertical="center"/>
      <protection locked="0"/>
    </xf>
    <xf numFmtId="0" fontId="7" fillId="0" borderId="0" xfId="291" applyFont="1" applyAlignment="1">
      <alignment horizontal="center" vertical="center"/>
      <protection locked="0"/>
    </xf>
    <xf numFmtId="0" fontId="61" fillId="0" borderId="0" xfId="291" applyFont="1" applyBorder="1" applyAlignment="1">
      <alignment horizontal="left" vertical="center"/>
      <protection locked="0"/>
    </xf>
    <xf numFmtId="0" fontId="60" fillId="0" borderId="0" xfId="0" applyFont="1" applyAlignment="1" applyProtection="1">
      <alignment horizontal="left" vertical="center"/>
      <protection locked="0"/>
    </xf>
    <xf numFmtId="0" fontId="62" fillId="0" borderId="12" xfId="0" applyFont="1" applyBorder="1" applyAlignment="1" applyProtection="1">
      <alignment horizontal="center" vertical="center" wrapText="1"/>
      <protection locked="0"/>
    </xf>
    <xf numFmtId="0" fontId="62" fillId="0" borderId="12" xfId="0" applyFont="1" applyBorder="1" applyAlignment="1" applyProtection="1">
      <alignment horizontal="justify" vertical="center" wrapText="1"/>
      <protection locked="0"/>
    </xf>
    <xf numFmtId="0" fontId="63" fillId="0" borderId="12" xfId="0" applyFont="1" applyBorder="1" applyAlignment="1">
      <alignment horizontal="right" vertical="center" wrapText="1"/>
    </xf>
    <xf numFmtId="0" fontId="63" fillId="0" borderId="0" xfId="0" applyFont="1" applyBorder="1" applyAlignment="1">
      <alignment horizontal="right" vertical="center" wrapText="1"/>
    </xf>
    <xf numFmtId="0" fontId="60" fillId="0" borderId="0" xfId="0" applyFont="1" applyAlignment="1" applyProtection="1">
      <alignment horizontal="justify" vertical="center" wrapText="1"/>
      <protection locked="0"/>
    </xf>
    <xf numFmtId="43" fontId="60" fillId="0" borderId="0" xfId="0" applyNumberFormat="1" applyFont="1" applyFill="1" applyAlignment="1" applyProtection="1">
      <alignment vertical="center"/>
      <protection locked="0"/>
    </xf>
    <xf numFmtId="43" fontId="60" fillId="0" borderId="0" xfId="0" applyNumberFormat="1" applyFont="1" applyAlignment="1" applyProtection="1">
      <alignment vertical="center"/>
      <protection locked="0"/>
    </xf>
    <xf numFmtId="0" fontId="64" fillId="0" borderId="13" xfId="0" applyFont="1" applyBorder="1" applyAlignment="1" applyProtection="1">
      <alignment horizontal="justify" vertical="center" wrapText="1"/>
      <protection locked="0"/>
    </xf>
    <xf numFmtId="43" fontId="64" fillId="0" borderId="13" xfId="0" applyNumberFormat="1" applyFont="1" applyBorder="1" applyAlignment="1" applyProtection="1">
      <alignment vertical="center"/>
      <protection locked="0"/>
    </xf>
    <xf numFmtId="43" fontId="64" fillId="0" borderId="0" xfId="0" applyNumberFormat="1" applyFont="1" applyBorder="1" applyAlignment="1" applyProtection="1">
      <alignment vertical="center"/>
      <protection locked="0"/>
    </xf>
    <xf numFmtId="0" fontId="65" fillId="0" borderId="0" xfId="0" applyFont="1" applyFill="1" applyBorder="1" applyAlignment="1" applyProtection="1">
      <alignment horizontal="left" vertical="center" wrapText="1"/>
      <protection locked="0"/>
    </xf>
    <xf numFmtId="0" fontId="64" fillId="0" borderId="12" xfId="0" applyFont="1" applyBorder="1" applyAlignment="1">
      <alignment horizontal="right" vertical="center" wrapText="1"/>
    </xf>
    <xf numFmtId="0" fontId="64" fillId="0" borderId="0" xfId="0" applyFont="1" applyBorder="1" applyAlignment="1">
      <alignment horizontal="right" vertical="center" wrapText="1"/>
    </xf>
    <xf numFmtId="0" fontId="66" fillId="0" borderId="0" xfId="0" applyFont="1" applyAlignment="1" applyProtection="1">
      <alignment horizontal="justify" vertical="center" wrapText="1"/>
      <protection locked="0"/>
    </xf>
    <xf numFmtId="0" fontId="65" fillId="0" borderId="0" xfId="0" applyFont="1" applyAlignment="1" applyProtection="1">
      <alignment horizontal="left" vertical="center"/>
      <protection locked="0"/>
    </xf>
    <xf numFmtId="0" fontId="29" fillId="0" borderId="0" xfId="291" applyFont="1" applyAlignment="1">
      <alignment vertical="center"/>
      <protection locked="0"/>
    </xf>
    <xf numFmtId="0" fontId="29" fillId="0" borderId="0" xfId="0" applyFont="1" applyAlignment="1" applyProtection="1">
      <alignment vertical="center"/>
      <protection locked="0"/>
    </xf>
    <xf numFmtId="0" fontId="29" fillId="0" borderId="0" xfId="0" applyFont="1" applyFill="1" applyAlignment="1" applyProtection="1">
      <alignment vertical="center"/>
      <protection locked="0"/>
    </xf>
    <xf numFmtId="0" fontId="4" fillId="0" borderId="0" xfId="0" applyFont="1" applyAlignment="1" applyProtection="1">
      <alignment vertical="center"/>
      <protection locked="0"/>
    </xf>
    <xf numFmtId="0" fontId="32" fillId="0" borderId="12" xfId="0" applyFont="1" applyBorder="1" applyAlignment="1" applyProtection="1">
      <alignment horizontal="justify" vertical="center"/>
      <protection locked="0"/>
    </xf>
    <xf numFmtId="0" fontId="29" fillId="0" borderId="12" xfId="0" applyFont="1" applyBorder="1" applyAlignment="1" applyProtection="1">
      <alignment vertical="center"/>
      <protection locked="0"/>
    </xf>
    <xf numFmtId="0" fontId="64" fillId="0" borderId="12" xfId="0" applyFont="1" applyBorder="1" applyAlignment="1" applyProtection="1">
      <alignment horizontal="center" vertical="center" wrapText="1"/>
      <protection locked="0"/>
    </xf>
    <xf numFmtId="43" fontId="29" fillId="0" borderId="0" xfId="0" applyNumberFormat="1" applyFont="1" applyFill="1" applyAlignment="1" applyProtection="1">
      <alignment vertical="center"/>
      <protection locked="0"/>
    </xf>
    <xf numFmtId="0" fontId="29" fillId="0" borderId="0" xfId="0" applyFont="1" applyAlignment="1" applyProtection="1">
      <alignment horizontal="justify" vertical="center"/>
      <protection locked="0"/>
    </xf>
    <xf numFmtId="0" fontId="29" fillId="0" borderId="13" xfId="0" applyFont="1" applyBorder="1" applyAlignment="1" applyProtection="1">
      <alignment horizontal="justify" vertical="center"/>
      <protection locked="0"/>
    </xf>
    <xf numFmtId="43" fontId="29" fillId="0" borderId="13" xfId="0" applyNumberFormat="1" applyFont="1" applyFill="1" applyBorder="1" applyAlignment="1" applyProtection="1">
      <alignment vertical="center"/>
      <protection locked="0"/>
    </xf>
    <xf numFmtId="0" fontId="32" fillId="0" borderId="13" xfId="0" applyFont="1" applyBorder="1" applyAlignment="1" applyProtection="1">
      <alignment horizontal="justify" vertical="center"/>
      <protection locked="0"/>
    </xf>
    <xf numFmtId="43" fontId="32" fillId="0" borderId="13" xfId="0" applyNumberFormat="1" applyFont="1" applyFill="1" applyBorder="1" applyAlignment="1" applyProtection="1">
      <alignment vertical="center"/>
      <protection locked="0"/>
    </xf>
    <xf numFmtId="0" fontId="68" fillId="0" borderId="0" xfId="0" applyFont="1" applyAlignment="1" applyProtection="1">
      <alignment horizontal="left" vertical="center"/>
      <protection locked="0"/>
    </xf>
    <xf numFmtId="0" fontId="62" fillId="0" borderId="12" xfId="0" applyFont="1" applyBorder="1" applyAlignment="1" applyProtection="1">
      <alignment horizontal="center" vertical="center"/>
      <protection locked="0"/>
    </xf>
    <xf numFmtId="0" fontId="64" fillId="0" borderId="12" xfId="0" applyFont="1" applyBorder="1" applyAlignment="1" applyProtection="1">
      <alignment horizontal="center" vertical="center"/>
      <protection locked="0"/>
    </xf>
    <xf numFmtId="43" fontId="29" fillId="0" borderId="0" xfId="0" applyNumberFormat="1" applyFont="1" applyAlignment="1" applyProtection="1">
      <alignment horizontal="center" vertical="center"/>
      <protection locked="0"/>
    </xf>
    <xf numFmtId="43" fontId="32" fillId="0" borderId="12" xfId="0" applyNumberFormat="1" applyFont="1" applyBorder="1" applyAlignment="1" applyProtection="1">
      <alignment horizontal="center" vertical="center"/>
      <protection locked="0"/>
    </xf>
    <xf numFmtId="0" fontId="70" fillId="0" borderId="0" xfId="0" applyFont="1" applyAlignment="1" applyProtection="1">
      <alignment horizontal="left" vertical="center"/>
      <protection locked="0"/>
    </xf>
    <xf numFmtId="0" fontId="71" fillId="0" borderId="0" xfId="0" applyFont="1" applyAlignment="1">
      <alignment horizontal="justify" vertical="center"/>
    </xf>
    <xf numFmtId="0" fontId="72" fillId="0" borderId="0" xfId="0" applyFont="1" applyAlignment="1">
      <alignment horizontal="left" vertical="center"/>
    </xf>
    <xf numFmtId="0" fontId="73" fillId="0" borderId="12" xfId="0" applyFont="1" applyBorder="1" applyAlignment="1">
      <alignment horizontal="justify" vertical="center"/>
    </xf>
    <xf numFmtId="0" fontId="73" fillId="0" borderId="12" xfId="0" applyFont="1" applyBorder="1" applyAlignment="1">
      <alignment horizontal="right" vertical="center" wrapText="1"/>
    </xf>
    <xf numFmtId="0" fontId="74" fillId="0" borderId="0" xfId="0" applyFont="1" applyAlignment="1">
      <alignment horizontal="justify" vertical="center"/>
    </xf>
    <xf numFmtId="0" fontId="75" fillId="0" borderId="0" xfId="0" applyFont="1" applyAlignment="1">
      <alignment horizontal="right" vertical="center" wrapText="1"/>
    </xf>
    <xf numFmtId="0" fontId="75" fillId="0" borderId="0" xfId="0" applyFont="1" applyAlignment="1">
      <alignment horizontal="justify" vertical="center"/>
    </xf>
    <xf numFmtId="0" fontId="74" fillId="0" borderId="13" xfId="0" applyFont="1" applyBorder="1" applyAlignment="1">
      <alignment horizontal="justify" vertical="center"/>
    </xf>
    <xf numFmtId="0" fontId="75" fillId="0" borderId="13" xfId="0" applyFont="1" applyBorder="1" applyAlignment="1">
      <alignment horizontal="right" vertical="center" wrapText="1"/>
    </xf>
    <xf numFmtId="0" fontId="65" fillId="0" borderId="0" xfId="0" applyFont="1" applyAlignment="1">
      <alignment horizontal="left" vertical="center"/>
    </xf>
    <xf numFmtId="0" fontId="66" fillId="0" borderId="0" xfId="0" applyFont="1" applyAlignment="1">
      <alignment horizontal="left" vertical="center"/>
    </xf>
    <xf numFmtId="0" fontId="72" fillId="0" borderId="12" xfId="0" applyFont="1" applyBorder="1" applyAlignment="1">
      <alignment horizontal="left" vertical="center"/>
    </xf>
    <xf numFmtId="0" fontId="73" fillId="0" borderId="12" xfId="0" applyFont="1" applyBorder="1" applyAlignment="1">
      <alignment horizontal="right" vertical="center"/>
    </xf>
    <xf numFmtId="0" fontId="73" fillId="0" borderId="12" xfId="0" applyFont="1" applyBorder="1" applyAlignment="1">
      <alignment horizontal="left" vertical="center"/>
    </xf>
    <xf numFmtId="0" fontId="76" fillId="0" borderId="0" xfId="0" applyFont="1" applyAlignment="1">
      <alignment horizontal="justify" vertical="center"/>
    </xf>
    <xf numFmtId="0" fontId="77" fillId="0" borderId="0" xfId="0" applyFont="1" applyAlignment="1">
      <alignment horizontal="justify" vertical="center" wrapText="1"/>
    </xf>
    <xf numFmtId="0" fontId="72" fillId="0" borderId="0" xfId="0" applyFont="1" applyBorder="1" applyAlignment="1">
      <alignment horizontal="left" vertical="center"/>
    </xf>
    <xf numFmtId="0" fontId="72" fillId="0" borderId="13" xfId="0" applyFont="1" applyBorder="1" applyAlignment="1">
      <alignment horizontal="left" vertical="center"/>
    </xf>
    <xf numFmtId="0" fontId="77" fillId="0" borderId="13" xfId="0" applyFont="1" applyBorder="1" applyAlignment="1">
      <alignment horizontal="justify" vertical="center" wrapText="1"/>
    </xf>
    <xf numFmtId="0" fontId="73" fillId="0" borderId="12" xfId="0" applyFont="1" applyBorder="1" applyAlignment="1">
      <alignment horizontal="center" vertical="center" wrapText="1"/>
    </xf>
    <xf numFmtId="0" fontId="75" fillId="0" borderId="0" xfId="0" applyFont="1" applyAlignment="1">
      <alignment horizontal="justify" vertical="center" wrapText="1"/>
    </xf>
    <xf numFmtId="0" fontId="78" fillId="0" borderId="0" xfId="0" applyFont="1" applyAlignment="1">
      <alignment horizontal="right" vertical="center" wrapText="1"/>
    </xf>
    <xf numFmtId="0" fontId="78" fillId="0" borderId="0" xfId="0" applyFont="1" applyAlignment="1">
      <alignment horizontal="justify" vertical="center" wrapText="1"/>
    </xf>
    <xf numFmtId="3" fontId="78" fillId="0" borderId="13" xfId="0" applyNumberFormat="1" applyFont="1" applyBorder="1" applyAlignment="1">
      <alignment horizontal="right" vertical="center" wrapText="1"/>
    </xf>
    <xf numFmtId="0" fontId="79" fillId="0" borderId="14" xfId="0" applyFont="1" applyBorder="1" applyAlignment="1">
      <alignment horizontal="right" vertical="center" wrapText="1"/>
    </xf>
    <xf numFmtId="0" fontId="79" fillId="0" borderId="13" xfId="0" applyFont="1" applyBorder="1" applyAlignment="1">
      <alignment horizontal="left" vertical="center"/>
    </xf>
    <xf numFmtId="0" fontId="79" fillId="0" borderId="13" xfId="0" applyFont="1" applyBorder="1" applyAlignment="1">
      <alignment horizontal="right" vertical="center" wrapText="1"/>
    </xf>
    <xf numFmtId="0" fontId="80" fillId="0" borderId="0" xfId="0" applyFont="1" applyAlignment="1">
      <alignment horizontal="right" vertical="center" wrapText="1"/>
    </xf>
    <xf numFmtId="0" fontId="80" fillId="0" borderId="13" xfId="0" applyFont="1" applyBorder="1" applyAlignment="1">
      <alignment horizontal="right" vertical="center" wrapText="1"/>
    </xf>
    <xf numFmtId="0" fontId="79" fillId="0" borderId="12" xfId="0" applyFont="1" applyBorder="1" applyAlignment="1">
      <alignment horizontal="left" vertical="center"/>
    </xf>
    <xf numFmtId="0" fontId="81" fillId="0" borderId="13" xfId="0" applyFont="1" applyBorder="1" applyAlignment="1">
      <alignment horizontal="right" vertical="center" wrapText="1"/>
    </xf>
    <xf numFmtId="0" fontId="79" fillId="0" borderId="12" xfId="0" applyFont="1" applyBorder="1" applyAlignment="1">
      <alignment horizontal="right" vertical="center" wrapText="1"/>
    </xf>
    <xf numFmtId="43" fontId="2" fillId="0" borderId="0" xfId="382" applyNumberFormat="1" applyFont="1" applyBorder="1" applyAlignment="1">
      <alignment vertical="center"/>
    </xf>
    <xf numFmtId="43" fontId="3" fillId="0" borderId="0" xfId="382" applyNumberFormat="1" applyFont="1" applyBorder="1" applyAlignment="1">
      <alignment vertical="center"/>
    </xf>
    <xf numFmtId="43" fontId="5" fillId="0" borderId="0" xfId="382" applyNumberFormat="1" applyFont="1" applyBorder="1" applyAlignment="1">
      <alignment vertical="center"/>
    </xf>
    <xf numFmtId="43" fontId="5" fillId="8" borderId="0" xfId="382" applyNumberFormat="1" applyFont="1" applyFill="1" applyBorder="1" applyAlignment="1">
      <alignment vertical="center"/>
    </xf>
    <xf numFmtId="43" fontId="4" fillId="0" borderId="0" xfId="382" applyNumberFormat="1" applyFont="1" applyFill="1" applyBorder="1" applyAlignment="1">
      <alignment vertical="center"/>
    </xf>
    <xf numFmtId="43" fontId="5" fillId="0" borderId="0" xfId="382" applyNumberFormat="1" applyFont="1" applyFill="1" applyBorder="1" applyAlignment="1">
      <alignment vertical="center"/>
    </xf>
    <xf numFmtId="49" fontId="4" fillId="0" borderId="0" xfId="382" applyNumberFormat="1" applyFont="1" applyBorder="1" applyAlignment="1">
      <alignment vertical="center"/>
    </xf>
    <xf numFmtId="179" fontId="5" fillId="2" borderId="3" xfId="364" applyFont="1" applyFill="1" applyBorder="1" applyAlignment="1" applyProtection="1">
      <alignment horizontal="center" vertical="center" wrapText="1"/>
      <protection locked="0"/>
    </xf>
    <xf numFmtId="179" fontId="5" fillId="2" borderId="3" xfId="214" applyNumberFormat="1" applyFont="1" applyFill="1" applyBorder="1" applyAlignment="1" applyProtection="1">
      <alignment horizontal="center" vertical="center"/>
      <protection locked="0"/>
    </xf>
    <xf numFmtId="0" fontId="37" fillId="2" borderId="3" xfId="358" applyFont="1" applyFill="1" applyBorder="1" applyAlignment="1" applyProtection="1">
      <alignment vertical="center"/>
    </xf>
    <xf numFmtId="43" fontId="40" fillId="2" borderId="3" xfId="395" applyFont="1" applyFill="1" applyBorder="1" applyAlignment="1">
      <alignment horizontal="right" vertical="center"/>
    </xf>
    <xf numFmtId="43" fontId="4" fillId="2" borderId="3" xfId="395" applyFont="1" applyFill="1" applyBorder="1" applyAlignment="1">
      <alignment horizontal="right" vertical="center" wrapText="1"/>
    </xf>
    <xf numFmtId="0" fontId="56" fillId="0" borderId="3" xfId="358" applyFont="1" applyFill="1" applyBorder="1" applyAlignment="1" applyProtection="1">
      <alignment vertical="center"/>
    </xf>
    <xf numFmtId="0" fontId="56" fillId="0" borderId="3" xfId="358" applyFont="1" applyFill="1" applyBorder="1" applyAlignment="1" applyProtection="1">
      <alignment vertical="center" wrapText="1"/>
    </xf>
    <xf numFmtId="179" fontId="4" fillId="0" borderId="0" xfId="106" applyFont="1" applyFill="1" applyBorder="1" applyAlignment="1">
      <alignment vertical="center"/>
      <protection locked="0"/>
    </xf>
    <xf numFmtId="179" fontId="4" fillId="0" borderId="0" xfId="106" applyFont="1" applyFill="1" applyBorder="1" applyAlignment="1">
      <alignment horizontal="left" vertical="center"/>
      <protection locked="0"/>
    </xf>
    <xf numFmtId="179" fontId="34" fillId="2" borderId="3" xfId="214" applyNumberFormat="1" applyFont="1" applyFill="1" applyBorder="1" applyAlignment="1" applyProtection="1">
      <alignment horizontal="center" vertical="center" wrapText="1"/>
      <protection locked="0"/>
    </xf>
    <xf numFmtId="10" fontId="4" fillId="2" borderId="3" xfId="15" applyNumberFormat="1" applyFont="1" applyFill="1" applyBorder="1" applyAlignment="1">
      <alignment horizontal="right" vertical="center" wrapText="1"/>
    </xf>
    <xf numFmtId="10" fontId="40" fillId="4" borderId="3" xfId="15" applyNumberFormat="1" applyFont="1" applyFill="1" applyBorder="1" applyAlignment="1">
      <alignment horizontal="right" vertical="center"/>
    </xf>
    <xf numFmtId="43" fontId="4" fillId="0" borderId="3" xfId="395" applyFont="1" applyFill="1" applyBorder="1" applyAlignment="1">
      <alignment horizontal="right" vertical="center" wrapText="1"/>
    </xf>
    <xf numFmtId="43" fontId="10" fillId="0" borderId="0" xfId="382" applyNumberFormat="1" applyFont="1" applyFill="1" applyBorder="1" applyAlignment="1">
      <alignment vertical="center"/>
    </xf>
    <xf numFmtId="0" fontId="4" fillId="0" borderId="8" xfId="356" applyFont="1" applyBorder="1" applyAlignment="1">
      <alignment vertical="center"/>
    </xf>
    <xf numFmtId="43" fontId="40" fillId="4" borderId="0" xfId="395" applyFont="1" applyFill="1" applyBorder="1" applyAlignment="1">
      <alignment horizontal="right" vertical="center"/>
    </xf>
    <xf numFmtId="0" fontId="4" fillId="0" borderId="0" xfId="356" applyFont="1" applyBorder="1" applyAlignment="1">
      <alignment vertical="center"/>
    </xf>
    <xf numFmtId="43" fontId="5" fillId="0" borderId="0" xfId="382" applyNumberFormat="1" applyFont="1" applyBorder="1" applyAlignment="1">
      <alignment horizontal="left" vertical="center"/>
    </xf>
    <xf numFmtId="43" fontId="82" fillId="0" borderId="0" xfId="326" applyNumberFormat="1" applyFont="1" applyBorder="1" applyAlignment="1" applyProtection="1">
      <alignment horizontal="center" vertical="center"/>
    </xf>
    <xf numFmtId="0" fontId="5" fillId="0" borderId="0" xfId="356" applyFont="1" applyBorder="1" applyAlignment="1">
      <alignment vertical="center"/>
    </xf>
    <xf numFmtId="10" fontId="40" fillId="4" borderId="0" xfId="15" applyNumberFormat="1" applyFont="1" applyFill="1" applyBorder="1" applyAlignment="1">
      <alignment horizontal="right" vertical="center"/>
    </xf>
    <xf numFmtId="10" fontId="83" fillId="0" borderId="0" xfId="337" applyNumberFormat="1" applyFont="1" applyBorder="1" applyAlignment="1">
      <alignment horizontal="left" vertical="center"/>
    </xf>
    <xf numFmtId="0" fontId="4" fillId="0" borderId="0" xfId="356" applyFont="1" applyBorder="1" applyAlignment="1">
      <alignment horizontal="left" vertical="center"/>
    </xf>
    <xf numFmtId="43" fontId="10" fillId="0" borderId="0" xfId="382" applyNumberFormat="1" applyFont="1" applyBorder="1" applyAlignment="1">
      <alignment vertical="center"/>
    </xf>
    <xf numFmtId="10" fontId="34" fillId="4" borderId="3" xfId="15" applyNumberFormat="1" applyFont="1" applyFill="1" applyBorder="1" applyAlignment="1">
      <alignment horizontal="right" vertical="center"/>
    </xf>
    <xf numFmtId="43" fontId="4" fillId="0" borderId="8" xfId="382" applyNumberFormat="1" applyFont="1" applyBorder="1" applyAlignment="1">
      <alignment vertical="center"/>
    </xf>
    <xf numFmtId="179" fontId="84" fillId="0" borderId="0" xfId="377" applyFont="1" applyFill="1" applyAlignment="1">
      <alignment vertical="center"/>
    </xf>
    <xf numFmtId="179" fontId="84" fillId="0" borderId="0" xfId="106" applyFont="1" applyFill="1" applyAlignment="1">
      <alignment vertical="center"/>
      <protection locked="0"/>
    </xf>
    <xf numFmtId="49" fontId="85" fillId="0" borderId="0" xfId="384" applyNumberFormat="1" applyFont="1" applyFill="1" applyAlignment="1">
      <alignment horizontal="left" vertical="center"/>
    </xf>
    <xf numFmtId="179" fontId="84" fillId="0" borderId="0" xfId="384" applyFont="1" applyFill="1" applyAlignment="1">
      <alignment vertical="center"/>
    </xf>
    <xf numFmtId="179" fontId="9" fillId="0" borderId="0" xfId="106" applyFont="1" applyFill="1" applyBorder="1" applyAlignment="1">
      <alignment vertical="center"/>
      <protection locked="0"/>
    </xf>
    <xf numFmtId="0" fontId="19" fillId="0" borderId="3" xfId="0" applyFont="1" applyFill="1" applyBorder="1" applyAlignment="1" applyProtection="1">
      <alignment vertical="center" wrapText="1"/>
    </xf>
    <xf numFmtId="0" fontId="33" fillId="0" borderId="3" xfId="0" applyFont="1" applyFill="1" applyBorder="1" applyAlignment="1" applyProtection="1">
      <alignment vertical="center" wrapText="1"/>
    </xf>
    <xf numFmtId="0" fontId="9" fillId="0" borderId="3" xfId="0" applyFont="1" applyFill="1" applyBorder="1" applyAlignment="1" applyProtection="1">
      <alignment vertical="center" wrapText="1"/>
    </xf>
    <xf numFmtId="0" fontId="4" fillId="0" borderId="3" xfId="0" applyFont="1" applyFill="1" applyBorder="1" applyAlignment="1" applyProtection="1">
      <alignment vertical="center" wrapText="1"/>
    </xf>
    <xf numFmtId="179" fontId="84" fillId="0" borderId="0" xfId="384" applyFont="1" applyFill="1" applyAlignment="1">
      <alignment horizontal="center" vertical="center"/>
    </xf>
    <xf numFmtId="0" fontId="33" fillId="0" borderId="3" xfId="0" applyFont="1" applyFill="1" applyBorder="1" applyAlignment="1" applyProtection="1">
      <alignment horizontal="center" vertical="center" wrapText="1"/>
    </xf>
    <xf numFmtId="0" fontId="4" fillId="0" borderId="3" xfId="0" applyFont="1" applyFill="1" applyBorder="1" applyAlignment="1" applyProtection="1">
      <alignment horizontal="center" vertical="center" wrapText="1"/>
    </xf>
    <xf numFmtId="179" fontId="30" fillId="0" borderId="0" xfId="106" applyFont="1" applyFill="1" applyAlignment="1">
      <alignment vertical="center"/>
      <protection locked="0"/>
    </xf>
    <xf numFmtId="179" fontId="84" fillId="0" borderId="0" xfId="384" applyFont="1" applyFill="1" applyAlignment="1">
      <alignment vertical="center" wrapText="1"/>
    </xf>
    <xf numFmtId="179" fontId="4" fillId="0" borderId="0" xfId="106" applyFont="1" applyFill="1" applyAlignment="1">
      <alignment vertical="center"/>
      <protection locked="0"/>
    </xf>
    <xf numFmtId="179" fontId="84" fillId="0" borderId="0" xfId="106" applyFont="1" applyFill="1" applyBorder="1" applyAlignment="1">
      <alignment vertical="center" wrapText="1"/>
      <protection locked="0"/>
    </xf>
    <xf numFmtId="49" fontId="10" fillId="0" borderId="0" xfId="373" applyNumberFormat="1" applyFont="1" applyFill="1" applyAlignment="1" applyProtection="1">
      <alignment horizontal="left" vertical="center"/>
      <protection locked="0"/>
    </xf>
    <xf numFmtId="179" fontId="85" fillId="0" borderId="0" xfId="106" applyFont="1" applyAlignment="1">
      <alignment horizontal="left" vertical="center" wrapText="1"/>
      <protection locked="0"/>
    </xf>
    <xf numFmtId="179" fontId="85" fillId="0" borderId="0" xfId="106" applyFont="1" applyAlignment="1">
      <alignment horizontal="justify" vertical="center"/>
      <protection locked="0"/>
    </xf>
    <xf numFmtId="179" fontId="84" fillId="0" borderId="0" xfId="106" applyFont="1" applyFill="1" applyBorder="1" applyAlignment="1">
      <alignment horizontal="center" vertical="center" wrapText="1"/>
      <protection locked="0"/>
    </xf>
    <xf numFmtId="0" fontId="84" fillId="0" borderId="0" xfId="373" applyFont="1" applyFill="1" applyBorder="1" applyAlignment="1" applyProtection="1">
      <alignment horizontal="center" vertical="center" wrapText="1"/>
      <protection locked="0"/>
    </xf>
    <xf numFmtId="0" fontId="10" fillId="2" borderId="3" xfId="373" applyFont="1" applyFill="1" applyBorder="1" applyAlignment="1" applyProtection="1">
      <alignment horizontal="center" vertical="center"/>
      <protection locked="0"/>
    </xf>
    <xf numFmtId="0" fontId="10" fillId="2" borderId="3" xfId="373" applyFont="1" applyFill="1" applyBorder="1" applyAlignment="1" applyProtection="1">
      <alignment horizontal="center" vertical="center" wrapText="1"/>
      <protection locked="0"/>
    </xf>
    <xf numFmtId="49" fontId="4" fillId="0" borderId="3" xfId="384" applyNumberFormat="1" applyFont="1" applyFill="1" applyBorder="1" applyAlignment="1">
      <alignment horizontal="center" vertical="center"/>
    </xf>
    <xf numFmtId="0" fontId="9" fillId="0" borderId="3" xfId="373" applyFont="1" applyFill="1" applyBorder="1" applyAlignment="1">
      <alignment vertical="center" wrapText="1"/>
    </xf>
    <xf numFmtId="0" fontId="33" fillId="0" borderId="3" xfId="373" applyFont="1" applyFill="1" applyBorder="1" applyAlignment="1">
      <alignment horizontal="center" vertical="center" wrapText="1"/>
    </xf>
    <xf numFmtId="0" fontId="19" fillId="0" borderId="3" xfId="373" applyFont="1" applyFill="1" applyBorder="1" applyAlignment="1">
      <alignment horizontal="center" vertical="center" wrapText="1"/>
    </xf>
    <xf numFmtId="0" fontId="18" fillId="0" borderId="3" xfId="373" applyFont="1" applyFill="1" applyBorder="1" applyAlignment="1">
      <alignment horizontal="center" vertical="center" wrapText="1"/>
    </xf>
    <xf numFmtId="179" fontId="84" fillId="0" borderId="3" xfId="106" applyFont="1" applyFill="1" applyBorder="1" applyAlignment="1">
      <alignment vertical="center" wrapText="1"/>
      <protection locked="0"/>
    </xf>
    <xf numFmtId="0" fontId="33" fillId="0" borderId="3" xfId="373" applyFont="1" applyFill="1" applyBorder="1" applyAlignment="1">
      <alignment vertical="center" wrapText="1"/>
    </xf>
    <xf numFmtId="179" fontId="4" fillId="0" borderId="0" xfId="106" applyFont="1" applyFill="1" applyAlignment="1">
      <alignment horizontal="center" vertical="center"/>
      <protection locked="0"/>
    </xf>
    <xf numFmtId="179" fontId="84" fillId="0" borderId="0" xfId="106" applyFont="1" applyFill="1" applyAlignment="1">
      <alignment horizontal="center" vertical="center"/>
      <protection locked="0"/>
    </xf>
    <xf numFmtId="0" fontId="4" fillId="0" borderId="3" xfId="373" applyFont="1" applyFill="1" applyBorder="1" applyAlignment="1">
      <alignment horizontal="center" vertical="center" wrapText="1"/>
    </xf>
    <xf numFmtId="0" fontId="88" fillId="0" borderId="0" xfId="0" applyFont="1" applyAlignment="1" applyProtection="1">
      <alignment vertical="center"/>
      <protection locked="0"/>
    </xf>
    <xf numFmtId="0" fontId="89" fillId="0" borderId="0" xfId="0" applyFont="1" applyAlignment="1" applyProtection="1">
      <alignment vertical="center"/>
      <protection locked="0"/>
    </xf>
    <xf numFmtId="0" fontId="84" fillId="0" borderId="0" xfId="0" applyFont="1" applyAlignment="1" applyProtection="1">
      <alignment vertical="center"/>
      <protection locked="0"/>
    </xf>
    <xf numFmtId="0" fontId="84" fillId="0" borderId="0" xfId="0" applyFont="1" applyAlignment="1" applyProtection="1">
      <alignment horizontal="center" vertical="center"/>
      <protection locked="0"/>
    </xf>
    <xf numFmtId="0" fontId="0" fillId="0" borderId="0" xfId="0" applyAlignment="1" applyProtection="1">
      <alignment vertical="center"/>
      <protection locked="0"/>
    </xf>
    <xf numFmtId="0" fontId="10" fillId="0" borderId="0" xfId="0" applyFont="1" applyAlignment="1" applyProtection="1">
      <alignment vertical="center"/>
      <protection locked="0"/>
    </xf>
    <xf numFmtId="0" fontId="88" fillId="0" borderId="0" xfId="0" applyFont="1" applyAlignment="1" applyProtection="1">
      <alignment horizontal="center" vertical="center"/>
      <protection locked="0"/>
    </xf>
    <xf numFmtId="0" fontId="4" fillId="9" borderId="0" xfId="0" applyFont="1" applyFill="1" applyBorder="1" applyAlignment="1" applyProtection="1">
      <alignment horizontal="justify" vertical="center" wrapText="1"/>
      <protection locked="0"/>
    </xf>
    <xf numFmtId="0" fontId="84" fillId="0" borderId="0" xfId="0" applyFont="1" applyBorder="1" applyAlignment="1" applyProtection="1">
      <alignment horizontal="justify" vertical="center" wrapText="1"/>
      <protection locked="0"/>
    </xf>
    <xf numFmtId="0" fontId="9" fillId="0" borderId="0" xfId="0" applyFont="1" applyBorder="1" applyAlignment="1" applyProtection="1">
      <alignment horizontal="justify" vertical="center" wrapText="1"/>
      <protection locked="0"/>
    </xf>
    <xf numFmtId="0" fontId="9" fillId="0" borderId="0" xfId="0" applyFont="1" applyAlignment="1" applyProtection="1">
      <alignment horizontal="center" vertical="center"/>
      <protection locked="0"/>
    </xf>
    <xf numFmtId="0" fontId="9" fillId="0" borderId="0" xfId="0" applyFont="1" applyBorder="1" applyAlignment="1" applyProtection="1">
      <alignment horizontal="center" vertical="center"/>
      <protection locked="0"/>
    </xf>
    <xf numFmtId="0" fontId="84" fillId="0" borderId="0" xfId="0" applyFont="1" applyBorder="1" applyAlignment="1" applyProtection="1">
      <alignment vertical="center"/>
      <protection locked="0"/>
    </xf>
    <xf numFmtId="0" fontId="84" fillId="0" borderId="15" xfId="0" applyFont="1" applyBorder="1" applyAlignment="1" applyProtection="1">
      <alignment horizontal="center" vertical="center"/>
      <protection locked="0"/>
    </xf>
    <xf numFmtId="0" fontId="91" fillId="0" borderId="0" xfId="0" applyFont="1" applyBorder="1" applyAlignment="1" applyProtection="1">
      <alignment horizontal="justify" vertical="center" wrapText="1"/>
      <protection locked="0"/>
    </xf>
    <xf numFmtId="0" fontId="88" fillId="0" borderId="0" xfId="0" applyFont="1" applyBorder="1" applyAlignment="1" applyProtection="1">
      <alignment vertical="center"/>
      <protection locked="0"/>
    </xf>
    <xf numFmtId="0" fontId="9" fillId="0" borderId="0" xfId="193" applyFont="1" applyBorder="1">
      <protection locked="0"/>
    </xf>
    <xf numFmtId="0" fontId="9" fillId="0" borderId="0" xfId="193" applyFont="1">
      <protection locked="0"/>
    </xf>
    <xf numFmtId="0" fontId="92" fillId="0" borderId="0" xfId="0" applyFont="1" applyAlignment="1" applyProtection="1">
      <alignment horizontal="justify" vertical="center"/>
      <protection locked="0"/>
    </xf>
    <xf numFmtId="0" fontId="20" fillId="0" borderId="0" xfId="0" applyFont="1" applyAlignment="1" applyProtection="1">
      <alignment horizontal="left" vertical="center"/>
      <protection locked="0"/>
    </xf>
    <xf numFmtId="0" fontId="90" fillId="0" borderId="15" xfId="14" quotePrefix="1" applyFont="1" applyBorder="1" applyAlignment="1">
      <alignment vertical="center"/>
      <protection locked="0"/>
    </xf>
    <xf numFmtId="0" fontId="93" fillId="0" borderId="15" xfId="14" quotePrefix="1" applyFont="1" applyBorder="1" applyAlignment="1">
      <alignment vertical="center"/>
      <protection locked="0"/>
    </xf>
    <xf numFmtId="0" fontId="46" fillId="0" borderId="15" xfId="14" quotePrefix="1" applyBorder="1" applyAlignment="1">
      <alignment vertical="center"/>
      <protection locked="0"/>
    </xf>
    <xf numFmtId="43" fontId="9" fillId="0" borderId="3" xfId="358" quotePrefix="1" applyNumberFormat="1" applyFont="1" applyFill="1" applyBorder="1" applyAlignment="1" applyProtection="1">
      <alignment horizontal="left" vertical="center" shrinkToFit="1"/>
    </xf>
    <xf numFmtId="43" fontId="49" fillId="0" borderId="3" xfId="358" quotePrefix="1" applyNumberFormat="1" applyFont="1" applyFill="1" applyBorder="1" applyAlignment="1" applyProtection="1">
      <alignment horizontal="left" vertical="center" shrinkToFit="1"/>
    </xf>
    <xf numFmtId="0" fontId="23" fillId="0" borderId="3" xfId="373" applyFont="1" applyFill="1" applyBorder="1" applyAlignment="1">
      <alignment horizontal="center" vertical="center" wrapText="1"/>
    </xf>
    <xf numFmtId="0" fontId="25" fillId="0" borderId="0" xfId="214" applyFont="1" applyAlignment="1">
      <alignment vertical="center" wrapText="1"/>
      <protection locked="0"/>
    </xf>
    <xf numFmtId="0" fontId="56" fillId="0" borderId="3" xfId="358" applyFont="1" applyFill="1" applyBorder="1" applyAlignment="1" applyProtection="1">
      <alignment horizontal="left" vertical="center"/>
    </xf>
    <xf numFmtId="0" fontId="10" fillId="4" borderId="3" xfId="358" applyFont="1" applyFill="1" applyBorder="1" applyAlignment="1">
      <alignment horizontal="center" vertical="center" wrapText="1"/>
      <protection locked="0"/>
    </xf>
    <xf numFmtId="0" fontId="10" fillId="4" borderId="4" xfId="358" applyFont="1" applyFill="1" applyBorder="1" applyAlignment="1">
      <alignment horizontal="center" vertical="center" wrapText="1"/>
      <protection locked="0"/>
    </xf>
    <xf numFmtId="179" fontId="10" fillId="4" borderId="3" xfId="115" applyFont="1" applyFill="1" applyBorder="1" applyAlignment="1">
      <alignment horizontal="center" vertical="center"/>
      <protection locked="0"/>
    </xf>
    <xf numFmtId="179" fontId="10" fillId="4" borderId="3" xfId="115" applyFont="1" applyFill="1" applyBorder="1" applyAlignment="1">
      <alignment horizontal="center" vertical="center" wrapText="1"/>
      <protection locked="0"/>
    </xf>
    <xf numFmtId="0" fontId="5" fillId="4" borderId="3" xfId="91" applyNumberFormat="1" applyFont="1" applyFill="1" applyBorder="1" applyAlignment="1">
      <alignment horizontal="center" vertical="center"/>
      <protection locked="0"/>
    </xf>
    <xf numFmtId="179" fontId="5" fillId="0" borderId="5" xfId="381" applyFont="1" applyFill="1" applyBorder="1" applyAlignment="1">
      <alignment vertical="center"/>
    </xf>
    <xf numFmtId="186" fontId="4" fillId="0" borderId="3" xfId="115" applyNumberFormat="1" applyFont="1" applyFill="1" applyBorder="1" applyAlignment="1">
      <alignment horizontal="center" vertical="center" wrapText="1"/>
      <protection locked="0"/>
    </xf>
    <xf numFmtId="49" fontId="4" fillId="0" borderId="3" xfId="115" applyNumberFormat="1" applyFont="1" applyFill="1" applyBorder="1" applyAlignment="1">
      <alignment horizontal="center" vertical="center"/>
      <protection locked="0"/>
    </xf>
    <xf numFmtId="179" fontId="4" fillId="0" borderId="3" xfId="115" applyFont="1" applyFill="1" applyBorder="1" applyAlignment="1">
      <alignment horizontal="center" vertical="center"/>
      <protection locked="0"/>
    </xf>
    <xf numFmtId="229" fontId="4" fillId="0" borderId="3" xfId="115" applyNumberFormat="1" applyFont="1" applyFill="1" applyBorder="1" applyAlignment="1">
      <alignment horizontal="right" vertical="center" shrinkToFit="1"/>
      <protection locked="0"/>
    </xf>
    <xf numFmtId="49" fontId="5" fillId="4" borderId="3" xfId="115" applyNumberFormat="1" applyFont="1" applyFill="1" applyBorder="1" applyAlignment="1">
      <alignment horizontal="center" vertical="center"/>
      <protection locked="0"/>
    </xf>
    <xf numFmtId="179" fontId="5" fillId="4" borderId="3" xfId="115" applyFont="1" applyFill="1" applyBorder="1" applyAlignment="1">
      <alignment vertical="center"/>
      <protection locked="0"/>
    </xf>
    <xf numFmtId="229" fontId="5" fillId="4" borderId="3" xfId="115" applyNumberFormat="1" applyFont="1" applyFill="1" applyBorder="1" applyAlignment="1">
      <alignment horizontal="right" vertical="center" shrinkToFit="1"/>
      <protection locked="0"/>
    </xf>
    <xf numFmtId="179" fontId="10" fillId="4" borderId="3" xfId="115" applyFont="1" applyFill="1" applyBorder="1" applyAlignment="1">
      <alignment vertical="center"/>
      <protection locked="0"/>
    </xf>
    <xf numFmtId="43" fontId="5" fillId="4" borderId="3" xfId="396" applyFont="1" applyFill="1" applyBorder="1" applyAlignment="1" applyProtection="1">
      <alignment vertical="center"/>
      <protection locked="0"/>
    </xf>
    <xf numFmtId="179" fontId="20" fillId="4" borderId="0" xfId="115" applyFill="1">
      <protection locked="0"/>
    </xf>
    <xf numFmtId="0" fontId="9" fillId="9" borderId="0" xfId="0" applyFont="1" applyFill="1" applyBorder="1" applyAlignment="1" applyProtection="1">
      <alignment horizontal="justify" vertical="center" wrapText="1"/>
      <protection locked="0"/>
    </xf>
    <xf numFmtId="0" fontId="67" fillId="0" borderId="0" xfId="379" applyFont="1" applyAlignment="1">
      <alignment vertical="center" wrapText="1"/>
    </xf>
    <xf numFmtId="0" fontId="172" fillId="0" borderId="0" xfId="379" applyFont="1" applyAlignment="1">
      <alignment vertical="center" wrapText="1"/>
    </xf>
    <xf numFmtId="0" fontId="173" fillId="0" borderId="0" xfId="0" applyFont="1" applyAlignment="1">
      <alignment vertical="center" wrapText="1"/>
    </xf>
    <xf numFmtId="0" fontId="21" fillId="0" borderId="0" xfId="0" applyFont="1" applyAlignment="1" applyProtection="1">
      <alignment horizontal="center" vertical="center"/>
      <protection locked="0"/>
    </xf>
    <xf numFmtId="179" fontId="25" fillId="0" borderId="0" xfId="401" applyFont="1" applyFill="1" applyAlignment="1">
      <alignment horizontal="left" vertical="center"/>
    </xf>
    <xf numFmtId="43" fontId="4" fillId="0" borderId="0" xfId="12" applyFont="1" applyBorder="1" applyAlignment="1" applyProtection="1">
      <alignment vertical="center"/>
      <protection locked="0"/>
    </xf>
    <xf numFmtId="0" fontId="10" fillId="2" borderId="3" xfId="351" applyFont="1" applyFill="1" applyBorder="1" applyAlignment="1">
      <alignment horizontal="center" vertical="center"/>
    </xf>
    <xf numFmtId="0" fontId="177" fillId="0" borderId="0" xfId="14" applyFont="1" applyAlignment="1" applyProtection="1">
      <alignment vertical="center"/>
    </xf>
    <xf numFmtId="179" fontId="20" fillId="0" borderId="0" xfId="115" applyBorder="1">
      <protection locked="0"/>
    </xf>
    <xf numFmtId="43" fontId="5" fillId="0" borderId="3" xfId="396" applyFont="1" applyFill="1" applyBorder="1" applyAlignment="1" applyProtection="1">
      <alignment vertical="center"/>
      <protection locked="0"/>
    </xf>
    <xf numFmtId="10" fontId="5" fillId="2" borderId="3" xfId="15" applyNumberFormat="1" applyFont="1" applyFill="1" applyBorder="1" applyAlignment="1" applyProtection="1">
      <alignment horizontal="right" vertical="center"/>
      <protection locked="0"/>
    </xf>
    <xf numFmtId="0" fontId="9" fillId="0" borderId="15" xfId="14" quotePrefix="1" applyFont="1" applyBorder="1" applyAlignment="1">
      <alignment vertical="center"/>
      <protection locked="0"/>
    </xf>
    <xf numFmtId="0" fontId="32" fillId="0" borderId="0" xfId="0" applyFont="1" applyAlignment="1" applyProtection="1">
      <alignment horizontal="left" vertical="center" wrapText="1"/>
      <protection locked="0"/>
    </xf>
    <xf numFmtId="0" fontId="29" fillId="0" borderId="0" xfId="0" applyFont="1" applyAlignment="1" applyProtection="1">
      <alignment horizontal="left" vertical="center" wrapText="1"/>
      <protection locked="0"/>
    </xf>
    <xf numFmtId="0" fontId="9" fillId="0" borderId="3" xfId="373" applyFont="1" applyFill="1" applyBorder="1" applyAlignment="1" applyProtection="1">
      <alignment horizontal="center" vertical="center" wrapText="1"/>
      <protection locked="0"/>
    </xf>
    <xf numFmtId="0" fontId="4" fillId="0" borderId="3" xfId="373" applyFont="1" applyFill="1" applyBorder="1" applyAlignment="1" applyProtection="1">
      <alignment horizontal="left" vertical="center" wrapText="1"/>
      <protection locked="0"/>
    </xf>
    <xf numFmtId="0" fontId="10" fillId="2" borderId="3" xfId="373" applyFont="1" applyFill="1" applyBorder="1" applyAlignment="1" applyProtection="1">
      <alignment horizontal="center" vertical="center" wrapText="1"/>
      <protection locked="0"/>
    </xf>
    <xf numFmtId="0" fontId="10" fillId="0" borderId="5" xfId="373" applyFont="1" applyFill="1" applyBorder="1" applyAlignment="1" applyProtection="1">
      <alignment horizontal="left" vertical="center" wrapText="1"/>
      <protection locked="0"/>
    </xf>
    <xf numFmtId="0" fontId="10" fillId="2" borderId="3" xfId="373" applyFont="1" applyFill="1" applyBorder="1" applyAlignment="1" applyProtection="1">
      <alignment horizontal="center" vertical="center"/>
      <protection locked="0"/>
    </xf>
    <xf numFmtId="0" fontId="5" fillId="2" borderId="3" xfId="373" applyFont="1" applyFill="1" applyBorder="1" applyAlignment="1" applyProtection="1">
      <alignment horizontal="center" vertical="center"/>
      <protection locked="0"/>
    </xf>
    <xf numFmtId="49" fontId="85" fillId="2" borderId="3" xfId="106" applyNumberFormat="1" applyFont="1" applyFill="1" applyBorder="1" applyAlignment="1">
      <alignment horizontal="center" vertical="center"/>
      <protection locked="0"/>
    </xf>
    <xf numFmtId="0" fontId="10" fillId="38" borderId="3" xfId="373" applyFont="1" applyFill="1" applyBorder="1" applyAlignment="1" applyProtection="1">
      <alignment horizontal="center" vertical="center" wrapText="1"/>
      <protection locked="0"/>
    </xf>
    <xf numFmtId="179" fontId="85" fillId="2" borderId="3" xfId="106" applyFont="1" applyFill="1" applyBorder="1" applyAlignment="1">
      <alignment horizontal="center" vertical="center" wrapText="1"/>
      <protection locked="0"/>
    </xf>
    <xf numFmtId="179" fontId="6" fillId="0" borderId="0" xfId="377" applyFont="1" applyFill="1" applyAlignment="1">
      <alignment horizontal="center" vertical="center"/>
    </xf>
    <xf numFmtId="179" fontId="6" fillId="0" borderId="0" xfId="377" applyFont="1" applyFill="1" applyAlignment="1">
      <alignment horizontal="center" vertical="center" wrapText="1"/>
    </xf>
    <xf numFmtId="179" fontId="21" fillId="0" borderId="0" xfId="377" applyFont="1" applyFill="1" applyAlignment="1">
      <alignment horizontal="center" vertical="center"/>
    </xf>
    <xf numFmtId="179" fontId="87" fillId="0" borderId="0" xfId="377" applyFont="1" applyFill="1" applyAlignment="1">
      <alignment horizontal="center" vertical="center" wrapText="1"/>
    </xf>
    <xf numFmtId="179" fontId="87" fillId="0" borderId="0" xfId="377" applyFont="1" applyFill="1" applyAlignment="1">
      <alignment horizontal="center" vertical="center"/>
    </xf>
    <xf numFmtId="179" fontId="4" fillId="0" borderId="0" xfId="106" applyFont="1" applyFill="1" applyBorder="1" applyAlignment="1">
      <alignment horizontal="left" vertical="center"/>
      <protection locked="0"/>
    </xf>
    <xf numFmtId="179" fontId="4" fillId="0" borderId="0" xfId="106" applyFont="1" applyFill="1" applyBorder="1" applyAlignment="1">
      <alignment horizontal="left" vertical="center" wrapText="1"/>
      <protection locked="0"/>
    </xf>
    <xf numFmtId="179" fontId="85" fillId="0" borderId="0" xfId="106" applyFont="1" applyFill="1" applyAlignment="1">
      <alignment horizontal="left" vertical="center"/>
      <protection locked="0"/>
    </xf>
    <xf numFmtId="179" fontId="85" fillId="0" borderId="0" xfId="106" applyFont="1" applyFill="1" applyAlignment="1">
      <alignment horizontal="left" vertical="center" wrapText="1"/>
      <protection locked="0"/>
    </xf>
    <xf numFmtId="0" fontId="85" fillId="38" borderId="3" xfId="373" applyFont="1" applyFill="1" applyBorder="1" applyAlignment="1" applyProtection="1">
      <alignment horizontal="center" vertical="center"/>
      <protection locked="0"/>
    </xf>
    <xf numFmtId="43" fontId="6" fillId="0" borderId="0" xfId="382" applyNumberFormat="1" applyFont="1" applyBorder="1" applyAlignment="1">
      <alignment horizontal="center" vertical="center"/>
    </xf>
    <xf numFmtId="43" fontId="7" fillId="0" borderId="0" xfId="382" applyNumberFormat="1" applyFont="1" applyBorder="1" applyAlignment="1">
      <alignment horizontal="center" vertical="center"/>
    </xf>
    <xf numFmtId="179" fontId="5" fillId="2" borderId="4" xfId="364" applyFont="1" applyFill="1" applyBorder="1" applyAlignment="1" applyProtection="1">
      <alignment horizontal="center" vertical="center" wrapText="1"/>
      <protection locked="0"/>
    </xf>
    <xf numFmtId="179" fontId="5" fillId="2" borderId="6" xfId="364" applyFont="1" applyFill="1" applyBorder="1" applyAlignment="1" applyProtection="1">
      <alignment horizontal="center" vertical="center" wrapText="1"/>
      <protection locked="0"/>
    </xf>
    <xf numFmtId="179" fontId="5" fillId="2" borderId="7" xfId="364" applyFont="1" applyFill="1" applyBorder="1" applyAlignment="1" applyProtection="1">
      <alignment horizontal="center" vertical="center" wrapText="1"/>
      <protection locked="0"/>
    </xf>
    <xf numFmtId="179" fontId="37" fillId="2" borderId="3" xfId="214" applyNumberFormat="1" applyFont="1" applyFill="1" applyBorder="1" applyAlignment="1" applyProtection="1">
      <alignment horizontal="center" vertical="center" wrapText="1"/>
      <protection locked="0"/>
    </xf>
    <xf numFmtId="0" fontId="5" fillId="2" borderId="3" xfId="214" applyFont="1" applyFill="1" applyBorder="1" applyAlignment="1" applyProtection="1">
      <alignment horizontal="center" vertical="center" wrapText="1"/>
      <protection locked="0"/>
    </xf>
    <xf numFmtId="0" fontId="37" fillId="2" borderId="9" xfId="358" applyFont="1" applyFill="1" applyBorder="1" applyAlignment="1" applyProtection="1">
      <alignment horizontal="center" vertical="center" wrapText="1"/>
    </xf>
    <xf numFmtId="0" fontId="34" fillId="2" borderId="10" xfId="358" applyFont="1" applyFill="1" applyBorder="1" applyAlignment="1" applyProtection="1">
      <alignment vertical="center" wrapText="1"/>
    </xf>
    <xf numFmtId="0" fontId="34" fillId="2" borderId="3" xfId="358" applyFont="1" applyFill="1" applyBorder="1" applyAlignment="1" applyProtection="1">
      <alignment horizontal="center" vertical="center"/>
    </xf>
    <xf numFmtId="0" fontId="40" fillId="2" borderId="3" xfId="358" applyFont="1" applyFill="1" applyBorder="1" applyAlignment="1" applyProtection="1">
      <alignment vertical="center"/>
    </xf>
    <xf numFmtId="0" fontId="79" fillId="0" borderId="14" xfId="0" applyFont="1" applyBorder="1" applyAlignment="1">
      <alignment horizontal="right" vertical="center" wrapText="1"/>
    </xf>
    <xf numFmtId="0" fontId="79" fillId="0" borderId="13" xfId="0" applyFont="1" applyBorder="1" applyAlignment="1">
      <alignment horizontal="right" vertical="center" wrapText="1"/>
    </xf>
    <xf numFmtId="0" fontId="79" fillId="0" borderId="14" xfId="0" applyFont="1" applyBorder="1" applyAlignment="1">
      <alignment horizontal="center" vertical="center" wrapText="1"/>
    </xf>
    <xf numFmtId="0" fontId="77" fillId="0" borderId="0" xfId="0" applyFont="1" applyAlignment="1">
      <alignment horizontal="justify" vertical="center" wrapText="1"/>
    </xf>
    <xf numFmtId="0" fontId="77" fillId="0" borderId="0" xfId="0" applyFont="1" applyAlignment="1">
      <alignment horizontal="left" vertical="center"/>
    </xf>
    <xf numFmtId="0" fontId="77" fillId="0" borderId="13" xfId="0" applyFont="1" applyBorder="1" applyAlignment="1">
      <alignment horizontal="left" vertical="center"/>
    </xf>
    <xf numFmtId="0" fontId="79" fillId="0" borderId="14" xfId="0" applyFont="1" applyBorder="1" applyAlignment="1">
      <alignment horizontal="left" vertical="center"/>
    </xf>
    <xf numFmtId="0" fontId="79" fillId="0" borderId="13" xfId="0" applyFont="1" applyBorder="1" applyAlignment="1">
      <alignment horizontal="left" vertical="center"/>
    </xf>
    <xf numFmtId="0" fontId="75" fillId="0" borderId="0" xfId="0" applyFont="1" applyAlignment="1">
      <alignment horizontal="left" vertical="center"/>
    </xf>
    <xf numFmtId="0" fontId="75" fillId="0" borderId="13" xfId="0" applyFont="1" applyBorder="1" applyAlignment="1">
      <alignment horizontal="left" vertical="center"/>
    </xf>
    <xf numFmtId="0" fontId="78" fillId="0" borderId="0" xfId="0" applyFont="1" applyAlignment="1">
      <alignment horizontal="right" vertical="center" wrapText="1"/>
    </xf>
    <xf numFmtId="0" fontId="72" fillId="0" borderId="0" xfId="0" applyFont="1" applyAlignment="1">
      <alignment horizontal="left" vertical="center"/>
    </xf>
    <xf numFmtId="0" fontId="72" fillId="0" borderId="0" xfId="0" applyFont="1" applyBorder="1" applyAlignment="1">
      <alignment horizontal="left" vertical="center"/>
    </xf>
    <xf numFmtId="0" fontId="72" fillId="0" borderId="13" xfId="0" applyFont="1" applyBorder="1" applyAlignment="1">
      <alignment horizontal="left" vertical="center"/>
    </xf>
    <xf numFmtId="0" fontId="6" fillId="0" borderId="0" xfId="291" applyFont="1" applyAlignment="1">
      <alignment horizontal="center" vertical="center"/>
      <protection locked="0"/>
    </xf>
    <xf numFmtId="0" fontId="7" fillId="0" borderId="0" xfId="291" applyFont="1" applyAlignment="1">
      <alignment horizontal="center" vertical="center"/>
      <protection locked="0"/>
    </xf>
    <xf numFmtId="0" fontId="67" fillId="0" borderId="0" xfId="0" applyFont="1" applyFill="1" applyAlignment="1" applyProtection="1">
      <alignment horizontal="left" vertical="center" wrapText="1"/>
      <protection locked="0"/>
    </xf>
    <xf numFmtId="0" fontId="68" fillId="0" borderId="0" xfId="0" applyFont="1" applyFill="1" applyAlignment="1" applyProtection="1">
      <alignment horizontal="left" vertical="center" wrapText="1"/>
      <protection locked="0"/>
    </xf>
    <xf numFmtId="0" fontId="69" fillId="0" borderId="0" xfId="0" applyFont="1" applyFill="1" applyAlignment="1" applyProtection="1">
      <alignment horizontal="left" vertical="center" wrapText="1"/>
      <protection locked="0"/>
    </xf>
    <xf numFmtId="0" fontId="65" fillId="0" borderId="14" xfId="0" applyFont="1" applyFill="1" applyBorder="1" applyAlignment="1" applyProtection="1">
      <alignment horizontal="left" vertical="center" wrapText="1"/>
      <protection locked="0"/>
    </xf>
    <xf numFmtId="0" fontId="10" fillId="4" borderId="9" xfId="358" applyFont="1" applyFill="1" applyBorder="1" applyAlignment="1">
      <alignment horizontal="center" vertical="center" wrapText="1"/>
      <protection locked="0"/>
    </xf>
    <xf numFmtId="0" fontId="10" fillId="4" borderId="10" xfId="358" applyFont="1" applyFill="1" applyBorder="1" applyAlignment="1">
      <alignment horizontal="center" vertical="center" wrapText="1"/>
      <protection locked="0"/>
    </xf>
    <xf numFmtId="0" fontId="6" fillId="0" borderId="0" xfId="379" applyFont="1" applyAlignment="1">
      <alignment horizontal="center" vertical="center"/>
    </xf>
    <xf numFmtId="0" fontId="7" fillId="0" borderId="0" xfId="379" applyFont="1" applyAlignment="1">
      <alignment horizontal="center" vertical="center"/>
    </xf>
    <xf numFmtId="0" fontId="10" fillId="2" borderId="4" xfId="358" applyFont="1" applyFill="1" applyBorder="1" applyAlignment="1">
      <alignment horizontal="center" vertical="center" wrapText="1"/>
      <protection locked="0"/>
    </xf>
    <xf numFmtId="0" fontId="10" fillId="2" borderId="6" xfId="358" applyFont="1" applyFill="1" applyBorder="1" applyAlignment="1">
      <alignment horizontal="center" vertical="center" wrapText="1"/>
      <protection locked="0"/>
    </xf>
    <xf numFmtId="0" fontId="0" fillId="2" borderId="7" xfId="0" applyFill="1" applyBorder="1" applyAlignment="1">
      <alignment horizontal="center" vertical="center" wrapText="1"/>
    </xf>
    <xf numFmtId="0" fontId="10" fillId="2" borderId="7" xfId="358" applyFont="1" applyFill="1" applyBorder="1" applyAlignment="1">
      <alignment horizontal="center" vertical="center" wrapText="1"/>
      <protection locked="0"/>
    </xf>
    <xf numFmtId="0" fontId="0" fillId="0" borderId="7" xfId="0" applyBorder="1" applyAlignment="1">
      <alignment horizontal="center" vertical="center" wrapText="1"/>
    </xf>
    <xf numFmtId="0" fontId="10" fillId="2" borderId="9" xfId="193" applyFont="1" applyFill="1" applyBorder="1" applyAlignment="1">
      <alignment horizontal="center" vertical="center" wrapText="1"/>
      <protection locked="0"/>
    </xf>
    <xf numFmtId="0" fontId="0" fillId="0" borderId="10" xfId="0" applyBorder="1" applyAlignment="1">
      <alignment horizontal="center" vertical="center" wrapText="1"/>
    </xf>
    <xf numFmtId="0" fontId="10" fillId="2" borderId="8" xfId="358" applyFont="1" applyFill="1" applyBorder="1" applyAlignment="1">
      <alignment horizontal="center" vertical="center" wrapText="1"/>
      <protection locked="0"/>
    </xf>
    <xf numFmtId="0" fontId="10" fillId="2" borderId="5" xfId="358" applyFont="1" applyFill="1" applyBorder="1" applyAlignment="1">
      <alignment horizontal="center" vertical="center" wrapText="1"/>
      <protection locked="0"/>
    </xf>
    <xf numFmtId="0" fontId="10" fillId="2" borderId="9" xfId="358" applyFont="1" applyFill="1" applyBorder="1" applyAlignment="1">
      <alignment horizontal="center" vertical="center" wrapText="1"/>
      <protection locked="0"/>
    </xf>
    <xf numFmtId="0" fontId="10" fillId="2" borderId="10" xfId="358" applyFont="1" applyFill="1" applyBorder="1" applyAlignment="1">
      <alignment horizontal="center" vertical="center" wrapText="1"/>
      <protection locked="0"/>
    </xf>
    <xf numFmtId="0" fontId="57" fillId="0" borderId="0" xfId="193" applyFont="1" applyFill="1" applyBorder="1" applyAlignment="1">
      <alignment horizontal="left" vertical="center" wrapText="1"/>
      <protection locked="0"/>
    </xf>
    <xf numFmtId="0" fontId="29" fillId="0" borderId="0" xfId="193" applyFont="1" applyFill="1" applyBorder="1" applyAlignment="1">
      <alignment horizontal="left" vertical="center" wrapText="1"/>
      <protection locked="0"/>
    </xf>
    <xf numFmtId="0" fontId="6" fillId="0" borderId="0" xfId="356" applyFont="1" applyAlignment="1">
      <alignment horizontal="center" vertical="center"/>
    </xf>
    <xf numFmtId="0" fontId="7" fillId="0" borderId="0" xfId="50" applyFont="1" applyBorder="1" applyAlignment="1">
      <alignment horizontal="center" vertical="center"/>
    </xf>
    <xf numFmtId="0" fontId="34" fillId="2" borderId="3" xfId="50" applyFont="1" applyFill="1" applyBorder="1" applyAlignment="1">
      <alignment horizontal="center" vertical="center" wrapText="1"/>
    </xf>
    <xf numFmtId="0" fontId="5" fillId="2" borderId="3" xfId="50" applyFont="1" applyFill="1" applyBorder="1" applyAlignment="1">
      <alignment horizontal="center" vertical="center" wrapText="1"/>
    </xf>
    <xf numFmtId="0" fontId="34" fillId="2" borderId="9" xfId="50" applyFont="1" applyFill="1" applyBorder="1" applyAlignment="1">
      <alignment horizontal="center" vertical="center" wrapText="1"/>
    </xf>
    <xf numFmtId="0" fontId="34" fillId="2" borderId="10" xfId="50" applyFont="1" applyFill="1" applyBorder="1" applyAlignment="1">
      <alignment horizontal="center" vertical="center" wrapText="1"/>
    </xf>
    <xf numFmtId="0" fontId="54" fillId="0" borderId="0" xfId="0" applyFont="1" applyAlignment="1">
      <alignment horizontal="left" vertical="center" wrapText="1"/>
    </xf>
    <xf numFmtId="0" fontId="10" fillId="2" borderId="3" xfId="351" applyFont="1" applyFill="1" applyBorder="1" applyAlignment="1">
      <alignment horizontal="center" vertical="center"/>
    </xf>
    <xf numFmtId="0" fontId="4" fillId="2" borderId="3" xfId="351" applyFont="1" applyFill="1" applyBorder="1" applyAlignment="1">
      <alignment horizontal="center" vertical="center"/>
    </xf>
    <xf numFmtId="0" fontId="4" fillId="2" borderId="3" xfId="305" applyFont="1" applyFill="1" applyBorder="1" applyAlignment="1">
      <alignment horizontal="center"/>
    </xf>
    <xf numFmtId="0" fontId="10" fillId="4" borderId="4" xfId="358" applyFont="1" applyFill="1" applyBorder="1" applyAlignment="1">
      <alignment horizontal="center" vertical="center" wrapText="1"/>
      <protection locked="0"/>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10" fillId="4" borderId="6" xfId="358" applyFont="1" applyFill="1" applyBorder="1" applyAlignment="1">
      <alignment horizontal="center" vertical="center" wrapText="1"/>
      <protection locked="0"/>
    </xf>
    <xf numFmtId="0" fontId="10" fillId="2" borderId="3" xfId="358" applyFont="1" applyFill="1" applyBorder="1" applyAlignment="1">
      <alignment horizontal="center" vertical="center" wrapText="1"/>
      <protection locked="0"/>
    </xf>
    <xf numFmtId="0" fontId="0" fillId="0" borderId="3" xfId="0" applyBorder="1" applyAlignment="1">
      <alignment horizontal="center" vertical="center" wrapText="1"/>
    </xf>
    <xf numFmtId="0" fontId="6" fillId="0" borderId="0" xfId="379" applyFont="1" applyFill="1" applyAlignment="1">
      <alignment horizontal="center" vertical="center"/>
    </xf>
    <xf numFmtId="0" fontId="7" fillId="0" borderId="0" xfId="379" applyFont="1" applyFill="1" applyAlignment="1">
      <alignment horizontal="center" vertical="center"/>
    </xf>
    <xf numFmtId="0" fontId="18" fillId="2" borderId="3"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9" fillId="0" borderId="0" xfId="214" applyFont="1" applyAlignment="1">
      <alignment horizontal="left" vertical="center" wrapText="1"/>
      <protection locked="0"/>
    </xf>
    <xf numFmtId="0" fontId="4" fillId="0" borderId="0" xfId="214" applyFont="1" applyAlignment="1">
      <alignment horizontal="left" vertical="center" wrapText="1"/>
      <protection locked="0"/>
    </xf>
    <xf numFmtId="0" fontId="5" fillId="0" borderId="0" xfId="250" applyFont="1" applyBorder="1" applyAlignment="1">
      <alignment horizontal="left" vertical="center"/>
    </xf>
    <xf numFmtId="0" fontId="22" fillId="0" borderId="0" xfId="214" applyFont="1" applyAlignment="1">
      <alignment horizontal="left" vertical="center"/>
      <protection locked="0"/>
    </xf>
    <xf numFmtId="0" fontId="25" fillId="0" borderId="11" xfId="214" applyFont="1" applyBorder="1" applyAlignment="1">
      <alignment vertical="center" wrapText="1"/>
      <protection locked="0"/>
    </xf>
    <xf numFmtId="0" fontId="69" fillId="0" borderId="11" xfId="358" applyFont="1" applyBorder="1" applyAlignment="1">
      <alignment vertical="center" wrapText="1"/>
      <protection locked="0"/>
    </xf>
    <xf numFmtId="0" fontId="9" fillId="0" borderId="3" xfId="214" applyFont="1" applyBorder="1" applyAlignment="1">
      <alignment horizontal="left" vertical="center" wrapText="1"/>
      <protection locked="0"/>
    </xf>
    <xf numFmtId="0" fontId="20" fillId="0" borderId="3" xfId="358" applyFont="1" applyBorder="1" applyAlignment="1">
      <alignment horizontal="left" vertical="center" wrapText="1"/>
      <protection locked="0"/>
    </xf>
    <xf numFmtId="0" fontId="4" fillId="0" borderId="4" xfId="214" applyFont="1" applyBorder="1" applyAlignment="1">
      <alignment horizontal="left" vertical="center" wrapText="1"/>
      <protection locked="0"/>
    </xf>
    <xf numFmtId="0" fontId="47" fillId="0" borderId="6" xfId="0" applyFont="1" applyBorder="1" applyAlignment="1">
      <alignment horizontal="left" vertical="center" wrapText="1"/>
    </xf>
    <xf numFmtId="0" fontId="47" fillId="0" borderId="7" xfId="0" applyFont="1" applyBorder="1" applyAlignment="1">
      <alignment horizontal="left" vertical="center" wrapText="1"/>
    </xf>
    <xf numFmtId="0" fontId="10" fillId="0" borderId="3" xfId="214" applyFont="1" applyBorder="1" applyAlignment="1">
      <alignment horizontal="center" vertical="center" wrapText="1"/>
      <protection locked="0"/>
    </xf>
    <xf numFmtId="0" fontId="31" fillId="0" borderId="3" xfId="358" applyFont="1" applyBorder="1" applyAlignment="1">
      <alignment horizontal="center" vertical="center" wrapText="1"/>
      <protection locked="0"/>
    </xf>
    <xf numFmtId="0" fontId="10" fillId="0" borderId="4" xfId="214" applyFont="1" applyBorder="1" applyAlignment="1">
      <alignment horizontal="center" vertical="center" wrapText="1"/>
      <protection locked="0"/>
    </xf>
    <xf numFmtId="0" fontId="47" fillId="0" borderId="6" xfId="0" applyFont="1" applyBorder="1" applyAlignment="1">
      <alignment horizontal="center" vertical="center" wrapText="1"/>
    </xf>
    <xf numFmtId="0" fontId="47" fillId="0" borderId="7" xfId="0" applyFont="1" applyBorder="1" applyAlignment="1">
      <alignment horizontal="center" vertical="center" wrapText="1"/>
    </xf>
    <xf numFmtId="0" fontId="20" fillId="0" borderId="6" xfId="358" applyBorder="1" applyAlignment="1">
      <alignment horizontal="left" vertical="center" wrapText="1"/>
      <protection locked="0"/>
    </xf>
    <xf numFmtId="0" fontId="20" fillId="0" borderId="7" xfId="358" applyBorder="1" applyAlignment="1">
      <alignment horizontal="left" vertical="center" wrapText="1"/>
      <protection locked="0"/>
    </xf>
    <xf numFmtId="0" fontId="9" fillId="0" borderId="4" xfId="214" applyFont="1" applyBorder="1" applyAlignment="1">
      <alignment vertical="center" wrapText="1"/>
      <protection locked="0"/>
    </xf>
    <xf numFmtId="0" fontId="20" fillId="0" borderId="7" xfId="358" applyBorder="1" applyAlignment="1">
      <alignment vertical="center" wrapText="1"/>
      <protection locked="0"/>
    </xf>
    <xf numFmtId="0" fontId="10" fillId="4" borderId="4" xfId="214" applyFont="1" applyFill="1" applyBorder="1" applyAlignment="1">
      <alignment horizontal="center" vertical="center" wrapText="1"/>
      <protection locked="0"/>
    </xf>
    <xf numFmtId="0" fontId="31" fillId="3" borderId="6" xfId="358" applyFont="1" applyFill="1" applyBorder="1" applyAlignment="1">
      <alignment horizontal="center" vertical="center" wrapText="1"/>
      <protection locked="0"/>
    </xf>
    <xf numFmtId="0" fontId="31" fillId="3" borderId="7" xfId="358" applyFont="1" applyFill="1" applyBorder="1" applyAlignment="1">
      <alignment horizontal="center" vertical="center" wrapText="1"/>
      <protection locked="0"/>
    </xf>
    <xf numFmtId="0" fontId="23" fillId="4" borderId="4" xfId="214" applyFont="1" applyFill="1" applyBorder="1" applyAlignment="1">
      <alignment horizontal="center" vertical="center" wrapText="1"/>
      <protection locked="0"/>
    </xf>
    <xf numFmtId="0" fontId="27" fillId="3" borderId="7" xfId="358" applyFont="1" applyFill="1" applyBorder="1" applyAlignment="1">
      <alignment vertical="center" wrapText="1"/>
      <protection locked="0"/>
    </xf>
    <xf numFmtId="0" fontId="4" fillId="0" borderId="4" xfId="214" applyFont="1" applyBorder="1" applyAlignment="1">
      <alignment horizontal="left" vertical="center" wrapText="1" indent="1"/>
      <protection locked="0"/>
    </xf>
    <xf numFmtId="0" fontId="20" fillId="0" borderId="6" xfId="358" applyBorder="1" applyAlignment="1">
      <alignment horizontal="left" vertical="center" wrapText="1" indent="1"/>
      <protection locked="0"/>
    </xf>
    <xf numFmtId="0" fontId="20" fillId="0" borderId="7" xfId="358" applyBorder="1" applyAlignment="1">
      <alignment horizontal="left" vertical="center" wrapText="1" indent="1"/>
      <protection locked="0"/>
    </xf>
    <xf numFmtId="0" fontId="9" fillId="0" borderId="4" xfId="214" applyFont="1" applyBorder="1" applyAlignment="1">
      <alignment horizontal="center" vertical="center" wrapText="1"/>
      <protection locked="0"/>
    </xf>
    <xf numFmtId="0" fontId="20" fillId="0" borderId="7" xfId="358" applyBorder="1" applyAlignment="1">
      <alignment horizontal="center" vertical="center" wrapText="1"/>
      <protection locked="0"/>
    </xf>
    <xf numFmtId="0" fontId="6" fillId="0" borderId="0" xfId="272" applyFont="1" applyBorder="1" applyAlignment="1">
      <alignment horizontal="center" vertical="center" wrapText="1"/>
    </xf>
    <xf numFmtId="0" fontId="7" fillId="0" borderId="0" xfId="272" applyFont="1" applyBorder="1" applyAlignment="1">
      <alignment horizontal="center" vertical="center" wrapText="1"/>
    </xf>
    <xf numFmtId="0" fontId="10" fillId="6" borderId="4" xfId="214" applyFont="1" applyFill="1" applyBorder="1" applyAlignment="1">
      <alignment horizontal="center" vertical="center" wrapText="1"/>
      <protection locked="0"/>
    </xf>
    <xf numFmtId="0" fontId="20" fillId="0" borderId="6" xfId="358" applyBorder="1" applyAlignment="1">
      <alignment horizontal="center" vertical="center" wrapText="1"/>
      <protection locked="0"/>
    </xf>
    <xf numFmtId="0" fontId="17" fillId="4" borderId="4" xfId="0" applyFont="1" applyFill="1" applyBorder="1" applyAlignment="1">
      <alignment horizontal="center" vertical="center" wrapText="1"/>
    </xf>
    <xf numFmtId="0" fontId="10" fillId="2" borderId="3" xfId="291" applyFont="1" applyFill="1" applyBorder="1" applyAlignment="1">
      <alignment horizontal="center" vertical="center" wrapText="1"/>
      <protection locked="0"/>
    </xf>
    <xf numFmtId="0" fontId="5" fillId="2" borderId="3" xfId="291" applyFont="1" applyFill="1" applyBorder="1" applyAlignment="1">
      <alignment horizontal="center" vertical="center" wrapText="1"/>
      <protection locked="0"/>
    </xf>
    <xf numFmtId="0" fontId="10" fillId="2" borderId="9" xfId="291" applyFont="1" applyFill="1" applyBorder="1" applyAlignment="1">
      <alignment horizontal="center" vertical="center" wrapText="1"/>
      <protection locked="0"/>
    </xf>
    <xf numFmtId="0" fontId="5" fillId="2" borderId="10" xfId="291" applyFont="1" applyFill="1" applyBorder="1" applyAlignment="1">
      <alignment horizontal="center" vertical="center" wrapText="1"/>
      <protection locked="0"/>
    </xf>
    <xf numFmtId="0" fontId="10" fillId="4" borderId="9" xfId="291" applyFont="1" applyFill="1" applyBorder="1" applyAlignment="1">
      <alignment horizontal="center" vertical="center" wrapText="1"/>
      <protection locked="0"/>
    </xf>
    <xf numFmtId="0" fontId="5" fillId="4" borderId="10" xfId="291" applyFont="1" applyFill="1" applyBorder="1" applyAlignment="1">
      <alignment horizontal="center" vertical="center" wrapText="1"/>
      <protection locked="0"/>
    </xf>
    <xf numFmtId="0" fontId="22" fillId="0" borderId="0" xfId="214" applyFont="1" applyAlignment="1">
      <alignment horizontal="left" vertical="center" wrapText="1"/>
      <protection locked="0"/>
    </xf>
    <xf numFmtId="0" fontId="10" fillId="6" borderId="9" xfId="214" applyFont="1" applyFill="1" applyBorder="1" applyAlignment="1">
      <alignment horizontal="center" vertical="center" wrapText="1"/>
      <protection locked="0"/>
    </xf>
    <xf numFmtId="0" fontId="10" fillId="6" borderId="7" xfId="214" applyFont="1" applyFill="1" applyBorder="1" applyAlignment="1">
      <alignment horizontal="center" vertical="center" wrapText="1"/>
      <protection locked="0"/>
    </xf>
    <xf numFmtId="0" fontId="0" fillId="0" borderId="6" xfId="0" applyBorder="1" applyAlignment="1">
      <alignment horizontal="center" vertical="center" wrapText="1"/>
    </xf>
    <xf numFmtId="0" fontId="9" fillId="0" borderId="4" xfId="358" applyFont="1" applyBorder="1" applyAlignment="1">
      <alignment horizontal="left" vertical="center" wrapText="1"/>
      <protection locked="0"/>
    </xf>
    <xf numFmtId="0" fontId="0" fillId="0" borderId="6" xfId="0" applyBorder="1" applyAlignment="1">
      <alignment horizontal="left" vertical="center" wrapText="1"/>
    </xf>
    <xf numFmtId="0" fontId="0" fillId="0" borderId="7" xfId="0" applyBorder="1" applyAlignment="1">
      <alignment horizontal="left" vertical="center" wrapText="1"/>
    </xf>
    <xf numFmtId="0" fontId="9" fillId="0" borderId="0" xfId="214" applyFont="1" applyBorder="1" applyAlignment="1">
      <alignment vertical="center" wrapText="1"/>
      <protection locked="0"/>
    </xf>
    <xf numFmtId="0" fontId="7" fillId="0" borderId="0" xfId="50" applyFont="1" applyFill="1" applyBorder="1" applyAlignment="1">
      <alignment horizontal="center" vertical="center"/>
    </xf>
    <xf numFmtId="0" fontId="39" fillId="0" borderId="5" xfId="291" applyFont="1" applyBorder="1" applyAlignment="1">
      <alignment horizontal="left" vertical="center"/>
      <protection locked="0"/>
    </xf>
    <xf numFmtId="0" fontId="10" fillId="2" borderId="4" xfId="50" applyFont="1" applyFill="1" applyBorder="1" applyAlignment="1">
      <alignment horizontal="center" vertical="center" wrapText="1"/>
    </xf>
    <xf numFmtId="0" fontId="10" fillId="2" borderId="6" xfId="50" applyFont="1" applyFill="1" applyBorder="1" applyAlignment="1">
      <alignment horizontal="center" vertical="center" wrapText="1"/>
    </xf>
    <xf numFmtId="0" fontId="10" fillId="2" borderId="7" xfId="50" applyFont="1" applyFill="1" applyBorder="1" applyAlignment="1">
      <alignment horizontal="center" vertical="center" wrapText="1"/>
    </xf>
    <xf numFmtId="14" fontId="10" fillId="2" borderId="3" xfId="50" applyNumberFormat="1" applyFont="1" applyFill="1" applyBorder="1" applyAlignment="1">
      <alignment horizontal="center" vertical="center" wrapText="1"/>
    </xf>
    <xf numFmtId="14" fontId="5" fillId="2" borderId="3" xfId="50" applyNumberFormat="1" applyFont="1" applyFill="1" applyBorder="1" applyAlignment="1">
      <alignment horizontal="center" vertical="center" wrapText="1"/>
    </xf>
    <xf numFmtId="43" fontId="10" fillId="2" borderId="3" xfId="50" applyNumberFormat="1" applyFont="1" applyFill="1" applyBorder="1" applyAlignment="1">
      <alignment horizontal="center" vertical="center"/>
    </xf>
    <xf numFmtId="43" fontId="5" fillId="2" borderId="3" xfId="50" applyNumberFormat="1" applyFont="1" applyFill="1" applyBorder="1" applyAlignment="1">
      <alignment horizontal="center" vertical="center"/>
    </xf>
    <xf numFmtId="0" fontId="10" fillId="2" borderId="3" xfId="50" applyFont="1" applyFill="1" applyBorder="1" applyAlignment="1">
      <alignment horizontal="center" vertical="center" wrapText="1"/>
    </xf>
    <xf numFmtId="179" fontId="10" fillId="37" borderId="9" xfId="359" applyFont="1" applyFill="1" applyBorder="1" applyAlignment="1" applyProtection="1">
      <alignment horizontal="center" vertical="center" wrapText="1"/>
    </xf>
    <xf numFmtId="179" fontId="10" fillId="37" borderId="10" xfId="359" applyFont="1" applyFill="1" applyBorder="1" applyAlignment="1" applyProtection="1">
      <alignment horizontal="center" vertical="center" wrapText="1"/>
    </xf>
    <xf numFmtId="179" fontId="10" fillId="4" borderId="3" xfId="354" applyFont="1" applyFill="1" applyBorder="1" applyAlignment="1">
      <alignment horizontal="center" vertical="center"/>
      <protection locked="0"/>
    </xf>
    <xf numFmtId="179" fontId="5" fillId="4" borderId="3" xfId="354" applyFont="1" applyFill="1" applyBorder="1" applyAlignment="1">
      <alignment horizontal="center" vertical="center"/>
      <protection locked="0"/>
    </xf>
    <xf numFmtId="14" fontId="10" fillId="4" borderId="3" xfId="91" applyNumberFormat="1" applyFont="1" applyFill="1" applyBorder="1" applyAlignment="1">
      <alignment horizontal="center" vertical="center"/>
      <protection locked="0"/>
    </xf>
    <xf numFmtId="179" fontId="10" fillId="4" borderId="6" xfId="115" applyFont="1" applyFill="1" applyBorder="1" applyAlignment="1">
      <alignment horizontal="center" vertical="center"/>
      <protection locked="0"/>
    </xf>
    <xf numFmtId="179" fontId="10" fillId="4" borderId="7" xfId="115" applyFont="1" applyFill="1" applyBorder="1" applyAlignment="1">
      <alignment horizontal="center" vertical="center"/>
      <protection locked="0"/>
    </xf>
    <xf numFmtId="179" fontId="5" fillId="4" borderId="4" xfId="91" applyFont="1" applyFill="1" applyBorder="1" applyAlignment="1">
      <alignment horizontal="center" vertical="center"/>
      <protection locked="0"/>
    </xf>
    <xf numFmtId="179" fontId="5" fillId="4" borderId="6" xfId="91" applyFont="1" applyFill="1" applyBorder="1" applyAlignment="1">
      <alignment horizontal="center" vertical="center"/>
      <protection locked="0"/>
    </xf>
    <xf numFmtId="179" fontId="10" fillId="4" borderId="3" xfId="354" applyFont="1" applyFill="1" applyBorder="1" applyAlignment="1">
      <alignment horizontal="center" vertical="center" wrapText="1"/>
      <protection locked="0"/>
    </xf>
    <xf numFmtId="179" fontId="5" fillId="4" borderId="3" xfId="354" applyFont="1" applyFill="1" applyBorder="1" applyAlignment="1">
      <alignment horizontal="center" vertical="center" wrapText="1"/>
      <protection locked="0"/>
    </xf>
    <xf numFmtId="179" fontId="10" fillId="37" borderId="3" xfId="359" applyFont="1" applyFill="1" applyBorder="1" applyAlignment="1" applyProtection="1">
      <alignment horizontal="center" vertical="center" wrapText="1"/>
    </xf>
    <xf numFmtId="179" fontId="6" fillId="0" borderId="0" xfId="377" applyFont="1" applyAlignment="1">
      <alignment horizontal="center" vertical="center" wrapText="1"/>
    </xf>
    <xf numFmtId="179" fontId="21" fillId="0" borderId="0" xfId="377" applyFont="1" applyAlignment="1">
      <alignment horizontal="center" vertical="center" wrapText="1"/>
    </xf>
    <xf numFmtId="179" fontId="10" fillId="4" borderId="4" xfId="115" applyFont="1" applyFill="1" applyBorder="1" applyAlignment="1">
      <alignment horizontal="center" vertical="center"/>
      <protection locked="0"/>
    </xf>
    <xf numFmtId="0" fontId="14" fillId="2" borderId="3" xfId="0" applyNumberFormat="1" applyFont="1" applyFill="1" applyBorder="1" applyAlignment="1" applyProtection="1">
      <alignment horizontal="center" vertical="center" wrapText="1"/>
      <protection locked="0"/>
    </xf>
    <xf numFmtId="0" fontId="15" fillId="2" borderId="3" xfId="0" applyNumberFormat="1" applyFont="1" applyFill="1" applyBorder="1" applyAlignment="1" applyProtection="1">
      <alignment horizontal="center" vertical="center" wrapText="1"/>
      <protection locked="0"/>
    </xf>
    <xf numFmtId="0" fontId="4" fillId="0" borderId="0" xfId="18" applyFont="1" applyAlignment="1">
      <alignment vertical="center" wrapText="1"/>
    </xf>
    <xf numFmtId="0" fontId="12" fillId="0" borderId="0" xfId="18" applyFont="1" applyAlignment="1">
      <alignment vertical="center"/>
    </xf>
    <xf numFmtId="0" fontId="0" fillId="0" borderId="0" xfId="0" applyAlignment="1">
      <alignment vertical="center"/>
    </xf>
    <xf numFmtId="0" fontId="4" fillId="0" borderId="0" xfId="18" applyFont="1" applyAlignment="1">
      <alignment horizontal="left" vertical="center" wrapText="1"/>
    </xf>
    <xf numFmtId="0" fontId="12" fillId="0" borderId="0" xfId="18" applyFont="1" applyAlignment="1">
      <alignment horizontal="left" vertical="center" wrapText="1"/>
    </xf>
    <xf numFmtId="0" fontId="5" fillId="0" borderId="0" xfId="18" applyFont="1" applyAlignment="1">
      <alignment horizontal="left" vertical="center" wrapText="1"/>
    </xf>
    <xf numFmtId="49" fontId="22" fillId="0" borderId="0" xfId="381" applyNumberFormat="1" applyFont="1" applyAlignment="1">
      <alignment horizontal="left" vertical="center"/>
    </xf>
    <xf numFmtId="49" fontId="25" fillId="0" borderId="0" xfId="381" applyNumberFormat="1" applyFont="1" applyAlignment="1">
      <alignment horizontal="left" vertical="center"/>
    </xf>
  </cellXfs>
  <cellStyles count="402">
    <cellStyle name="%" xfId="58"/>
    <cellStyle name="% 2" xfId="53"/>
    <cellStyle name="?" xfId="60"/>
    <cellStyle name="? 2" xfId="62"/>
    <cellStyle name="??" xfId="64"/>
    <cellStyle name="?? [0]" xfId="65"/>
    <cellStyle name="??_0N-HANDLING " xfId="31"/>
    <cellStyle name="?餡_x000c_k" xfId="46"/>
    <cellStyle name="?餡_x000c_k?_x000d_^" xfId="61"/>
    <cellStyle name="?餡_x000c_k?_x000d_^黇_x0001_??_x0007__x0001__x0001_" xfId="8"/>
    <cellStyle name="@_text" xfId="35"/>
    <cellStyle name="@_text_子公司附注汇总(房开公司)" xfId="29"/>
    <cellStyle name="_(本部)2006年年报审计PBC表" xfId="66"/>
    <cellStyle name="_07930建造合同" xfId="33"/>
    <cellStyle name="_12月项目部访问及审计-德勤" xfId="42"/>
    <cellStyle name="_2005-08-31审计底稿－李" xfId="68"/>
    <cellStyle name="_2005审计报表及附注-中国建材股份模板（房屋）" xfId="70"/>
    <cellStyle name="_2006年年报审计PBC表（合并）" xfId="71"/>
    <cellStyle name="_2006年年报审计PBC表-XX" xfId="73"/>
    <cellStyle name="_2006年年报审计PBC表-XXX" xfId="76"/>
    <cellStyle name="_2006年年报审计PBC表-福州分公司" xfId="77"/>
    <cellStyle name="_2006年年报审计PBC表-云南分公司" xfId="78"/>
    <cellStyle name="_2006年年报审计填报资料" xfId="80"/>
    <cellStyle name="_2007调整分录-鲁佳" xfId="82"/>
    <cellStyle name="_Book1" xfId="59"/>
    <cellStyle name="_CREC(Huo" xfId="83"/>
    <cellStyle name="_ET_STYLE_NoName_00_" xfId="85"/>
    <cellStyle name="_ET_STYLE_NoName_00__2007调整分录-鲁佳" xfId="86"/>
    <cellStyle name="_ET_STYLE_NoName_00__股份本部" xfId="32"/>
    <cellStyle name="_ET_STYLE_NoName_00__股份本部_1" xfId="88"/>
    <cellStyle name="_ET_STYLE_NoName_00__股份本部_3" xfId="90"/>
    <cellStyle name="_ET_STYLE_NoName_00__股份本部_6_股份本部_2" xfId="95"/>
    <cellStyle name="_ET_STYLE_NoName_00__股份本部_7_股份本部_3" xfId="97"/>
    <cellStyle name="_J1000-存货-ZHHG" xfId="98"/>
    <cellStyle name="_PBC审核提示" xfId="99"/>
    <cellStyle name="_宝丽华房地产20051231" xfId="100"/>
    <cellStyle name="_保证金-企业填写部分" xfId="102"/>
    <cellStyle name="_北新房屋2004年审-刘" xfId="105"/>
    <cellStyle name="_北新股份2005年审工作底稿" xfId="108"/>
    <cellStyle name="_北新建材关连交易基础表051230（10－12月版）更新稿" xfId="109"/>
    <cellStyle name="_北新建材-会计报表附注模版" xfId="113"/>
    <cellStyle name="_北新龙之星2004年审工作底稿" xfId="114"/>
    <cellStyle name="_北新物流2005底稿-刘" xfId="116"/>
    <cellStyle name="_北新置换memo" xfId="119"/>
    <cellStyle name="_本部其他应收应付年审底稿--鲁佳pb" xfId="55"/>
    <cellStyle name="_存货结转测试" xfId="120"/>
    <cellStyle name="_存货数量与明细05.12" xfId="121"/>
    <cellStyle name="_动力厂2004年审工作底稿-刘" xfId="123"/>
    <cellStyle name="_分工" xfId="124"/>
    <cellStyle name="_工程施工项目现场审计提示" xfId="126"/>
    <cellStyle name="_关联交易" xfId="128"/>
    <cellStyle name="_关联交易、往来统计表" xfId="94"/>
    <cellStyle name="_合并报表审计调整模板(CREC)" xfId="69"/>
    <cellStyle name="_合并公司2006年度科目明细表(定稿)" xfId="129"/>
    <cellStyle name="_建造合同-宜万指（正式版）" xfId="131"/>
    <cellStyle name="_科目核对表" xfId="132"/>
    <cellStyle name="_刘青分工填列信息统计" xfId="133"/>
    <cellStyle name="_刘青分工－子公司审计模板-电务" xfId="134"/>
    <cellStyle name="_刘青分工－子公司审计模板－铁达本部" xfId="25"/>
    <cellStyle name="_母PL" xfId="135"/>
    <cellStyle name="_母公司底稿-鲁佳" xfId="127"/>
    <cellStyle name="_年审筹资循环资料清单" xfId="137"/>
    <cellStyle name="_人员分工备忘录" xfId="139"/>
    <cellStyle name="_审计底稿-轩" xfId="140"/>
    <cellStyle name="_审计所需资料清单－子公司" xfId="51"/>
    <cellStyle name="_审计提示模版" xfId="2"/>
    <cellStyle name="_审计提示模版-母公司部分" xfId="143"/>
    <cellStyle name="_铁鸿源－刘青分工－子公司审计模板" xfId="144"/>
    <cellStyle name="_兴华审计成本" xfId="147"/>
    <cellStyle name="_岩土长投--急0121报王占学" xfId="13"/>
    <cellStyle name="_一公司建造合同前5名" xfId="142"/>
    <cellStyle name="_一公司－刘丰收" xfId="149"/>
    <cellStyle name="_银行询证函统计－大表" xfId="96"/>
    <cellStyle name="_长期借款－江阴" xfId="152"/>
    <cellStyle name="_子公司筹资循环－刘青" xfId="154"/>
    <cellStyle name="_子公司审计提示模版-Liufs" xfId="155"/>
    <cellStyle name="{Comma [0]}" xfId="156"/>
    <cellStyle name="{Comma}" xfId="157"/>
    <cellStyle name="{Date}" xfId="159"/>
    <cellStyle name="{Month}" xfId="165"/>
    <cellStyle name="{Percent}" xfId="166"/>
    <cellStyle name="{Thousand [0]}" xfId="164"/>
    <cellStyle name="{Thousand}" xfId="167"/>
    <cellStyle name="{Z'0000(1 dec)}" xfId="168"/>
    <cellStyle name="{Z'0000(4 dec)}" xfId="169"/>
    <cellStyle name="0%" xfId="27"/>
    <cellStyle name="0,0_x000d__x000a_NA_x000d__x000a_" xfId="26"/>
    <cellStyle name="0,0_x000d__x000a_NA_x000d__x000a_ 2" xfId="172"/>
    <cellStyle name="0.0%" xfId="44"/>
    <cellStyle name="0.00%" xfId="173"/>
    <cellStyle name="00" xfId="176"/>
    <cellStyle name="20% - Accent1" xfId="177"/>
    <cellStyle name="20% - Accent2" xfId="179"/>
    <cellStyle name="20% - Accent3" xfId="180"/>
    <cellStyle name="20% - Accent4" xfId="181"/>
    <cellStyle name="20% - Accent5" xfId="182"/>
    <cellStyle name="20% - Accent6" xfId="183"/>
    <cellStyle name="40% - Accent1" xfId="185"/>
    <cellStyle name="40% - Accent2" xfId="186"/>
    <cellStyle name="40% - Accent3" xfId="187"/>
    <cellStyle name="40% - Accent4" xfId="189"/>
    <cellStyle name="40% - Accent5" xfId="191"/>
    <cellStyle name="40% - Accent6" xfId="192"/>
    <cellStyle name="60% - Accent1" xfId="52"/>
    <cellStyle name="60% - Accent2" xfId="194"/>
    <cellStyle name="60% - Accent3" xfId="196"/>
    <cellStyle name="60% - Accent4" xfId="163"/>
    <cellStyle name="60% - Accent5" xfId="93"/>
    <cellStyle name="60% - Accent6" xfId="199"/>
    <cellStyle name="Accent1" xfId="201"/>
    <cellStyle name="Accent2" xfId="175"/>
    <cellStyle name="Accent3" xfId="203"/>
    <cellStyle name="Accent4" xfId="205"/>
    <cellStyle name="Accent5" xfId="206"/>
    <cellStyle name="Accent6" xfId="207"/>
    <cellStyle name="args.style" xfId="6"/>
    <cellStyle name="Bad" xfId="209"/>
    <cellStyle name="Black" xfId="190"/>
    <cellStyle name="Border" xfId="204"/>
    <cellStyle name="Calc Currency (0)" xfId="210"/>
    <cellStyle name="Calc Currency (2)" xfId="212"/>
    <cellStyle name="Calc Percent (0)" xfId="213"/>
    <cellStyle name="Calc Percent (1)" xfId="9"/>
    <cellStyle name="Calc Percent (2)" xfId="215"/>
    <cellStyle name="Calc Units (0)" xfId="24"/>
    <cellStyle name="Calc Units (1)" xfId="75"/>
    <cellStyle name="Calc Units (2)" xfId="216"/>
    <cellStyle name="Calculation" xfId="217"/>
    <cellStyle name="category" xfId="219"/>
    <cellStyle name="Check Cell" xfId="220"/>
    <cellStyle name="Col Heads" xfId="221"/>
    <cellStyle name="Column_Title" xfId="171"/>
    <cellStyle name="Comma  - Style1" xfId="223"/>
    <cellStyle name="Comma  - Style2" xfId="225"/>
    <cellStyle name="Comma  - Style3" xfId="218"/>
    <cellStyle name="Comma  - Style4" xfId="226"/>
    <cellStyle name="Comma  - Style5" xfId="227"/>
    <cellStyle name="Comma  - Style6" xfId="228"/>
    <cellStyle name="Comma  - Style7" xfId="229"/>
    <cellStyle name="Comma  - Style8" xfId="231"/>
    <cellStyle name="Comma [0]_ rislugp" xfId="112"/>
    <cellStyle name="Comma [00]" xfId="234"/>
    <cellStyle name="Comma 28" xfId="236"/>
    <cellStyle name="comma zerodec" xfId="238"/>
    <cellStyle name="Comma,0" xfId="239"/>
    <cellStyle name="Comma,1" xfId="241"/>
    <cellStyle name="Comma,2" xfId="243"/>
    <cellStyle name="Comma_ rislugp" xfId="244"/>
    <cellStyle name="Copied" xfId="245"/>
    <cellStyle name="COST1" xfId="246"/>
    <cellStyle name="Currency [0]_ rislugp" xfId="74"/>
    <cellStyle name="Currency [00]" xfId="79"/>
    <cellStyle name="Currency,0" xfId="146"/>
    <cellStyle name="Currency,2" xfId="247"/>
    <cellStyle name="Currency_ rislugp" xfId="248"/>
    <cellStyle name="Currency1" xfId="249"/>
    <cellStyle name="Date" xfId="251"/>
    <cellStyle name="Date Short" xfId="252"/>
    <cellStyle name="Dezimal [0]_laroux" xfId="253"/>
    <cellStyle name="Dezimal_laroux" xfId="254"/>
    <cellStyle name="Dollar (zero dec)" xfId="255"/>
    <cellStyle name="E&amp;Y House" xfId="256"/>
    <cellStyle name="Enter Currency (0)" xfId="258"/>
    <cellStyle name="Enter Currency (2)" xfId="104"/>
    <cellStyle name="Enter Units (0)" xfId="39"/>
    <cellStyle name="Enter Units (1)" xfId="259"/>
    <cellStyle name="Enter Units (2)" xfId="72"/>
    <cellStyle name="Entered" xfId="21"/>
    <cellStyle name="entry" xfId="19"/>
    <cellStyle name="entry box" xfId="260"/>
    <cellStyle name="Euro" xfId="262"/>
    <cellStyle name="Explanatory Text" xfId="138"/>
    <cellStyle name="Followed Hyperlink_AheadBehind.xls Chart 23" xfId="264"/>
    <cellStyle name="Good" xfId="266"/>
    <cellStyle name="Grey" xfId="170"/>
    <cellStyle name="HEADER" xfId="268"/>
    <cellStyle name="Header1" xfId="269"/>
    <cellStyle name="Header2" xfId="270"/>
    <cellStyle name="Heading" xfId="3"/>
    <cellStyle name="Heading 1" xfId="271"/>
    <cellStyle name="Heading 2" xfId="273"/>
    <cellStyle name="Heading 3" xfId="40"/>
    <cellStyle name="Heading 4" xfId="275"/>
    <cellStyle name="Hyperlink_AheadBehind.xls Chart 23" xfId="162"/>
    <cellStyle name="Input" xfId="36"/>
    <cellStyle name="Input [yellow]" xfId="277"/>
    <cellStyle name="Input Cells" xfId="278"/>
    <cellStyle name="left" xfId="279"/>
    <cellStyle name="Link Currency (0)" xfId="148"/>
    <cellStyle name="Link Currency (2)" xfId="118"/>
    <cellStyle name="Link Units (0)" xfId="43"/>
    <cellStyle name="Link Units (1)" xfId="38"/>
    <cellStyle name="Link Units (2)" xfId="281"/>
    <cellStyle name="Linked Cell" xfId="81"/>
    <cellStyle name="Linked Cells" xfId="282"/>
    <cellStyle name="Millares [0]_laroux" xfId="284"/>
    <cellStyle name="Millares_laroux" xfId="287"/>
    <cellStyle name="Milliers [0]_!!!GO" xfId="289"/>
    <cellStyle name="Milliers_!!!GO" xfId="224"/>
    <cellStyle name="Model" xfId="290"/>
    <cellStyle name="Moneda [0]_laroux" xfId="11"/>
    <cellStyle name="Moneda_laroux" xfId="151"/>
    <cellStyle name="Monétaire [0]_!!!GO" xfId="292"/>
    <cellStyle name="Monétaire_!!!GO" xfId="293"/>
    <cellStyle name="Mon閠aire [0]_laroux" xfId="107"/>
    <cellStyle name="Mon閠aire_laroux" xfId="233"/>
    <cellStyle name="Neutral" xfId="294"/>
    <cellStyle name="New Times Roman" xfId="296"/>
    <cellStyle name="no dec" xfId="297"/>
    <cellStyle name="Non défini" xfId="125"/>
    <cellStyle name="Normal - Style1" xfId="188"/>
    <cellStyle name="Normal 2" xfId="298"/>
    <cellStyle name="Normal 2 2" xfId="300"/>
    <cellStyle name="Normal 21" xfId="301"/>
    <cellStyle name="Normal 3 2" xfId="302"/>
    <cellStyle name="Normal_ rislugp" xfId="303"/>
    <cellStyle name="Normal_附1 " xfId="305"/>
    <cellStyle name="Normalny_Arkusz1" xfId="5"/>
    <cellStyle name="Note" xfId="307"/>
    <cellStyle name="Œ…‹æØ‚è [0.00]_Region Orders (2)" xfId="308"/>
    <cellStyle name="Œ…‹æØ‚è_Region Orders (2)" xfId="17"/>
    <cellStyle name="Output" xfId="310"/>
    <cellStyle name="per.style" xfId="161"/>
    <cellStyle name="Percent (0)" xfId="257"/>
    <cellStyle name="Percent [0]" xfId="311"/>
    <cellStyle name="Percent [00]" xfId="30"/>
    <cellStyle name="Percent [2]" xfId="312"/>
    <cellStyle name="Prefilled" xfId="314"/>
    <cellStyle name="PrePop Currency (0)" xfId="263"/>
    <cellStyle name="PrePop Currency (2)" xfId="315"/>
    <cellStyle name="PrePop Units (0)" xfId="240"/>
    <cellStyle name="PrePop Units (1)" xfId="20"/>
    <cellStyle name="PrePop Units (2)" xfId="153"/>
    <cellStyle name="price" xfId="316"/>
    <cellStyle name="pricing" xfId="318"/>
    <cellStyle name="PSChar" xfId="49"/>
    <cellStyle name="Red" xfId="319"/>
    <cellStyle name="revised" xfId="111"/>
    <cellStyle name="RevList" xfId="304"/>
    <cellStyle name="row_def_array" xfId="320"/>
    <cellStyle name="S4" xfId="92"/>
    <cellStyle name="S5" xfId="198"/>
    <cellStyle name="section" xfId="295"/>
    <cellStyle name="SOR" xfId="322"/>
    <cellStyle name="style" xfId="323"/>
    <cellStyle name="style1" xfId="324"/>
    <cellStyle name="style2" xfId="286"/>
    <cellStyle name="subhead" xfId="325"/>
    <cellStyle name="Subtotal" xfId="327"/>
    <cellStyle name="Text Indent A" xfId="87"/>
    <cellStyle name="Text Indent B" xfId="328"/>
    <cellStyle name="Text Indent C" xfId="89"/>
    <cellStyle name="Tickmark" xfId="329"/>
    <cellStyle name="title" xfId="331"/>
    <cellStyle name="Total" xfId="280"/>
    <cellStyle name="Warning Text" xfId="285"/>
    <cellStyle name="wrap" xfId="332"/>
    <cellStyle name="パーセント_laroux" xfId="333"/>
    <cellStyle name="_PLDT" xfId="67"/>
    <cellStyle name="_laroux" xfId="334"/>
    <cellStyle name="だ[0]_PLDT" xfId="57"/>
    <cellStyle name="だ_PLDT" xfId="136"/>
    <cellStyle name="だ[0]_Total (2)" xfId="1"/>
    <cellStyle name="だ_laroux" xfId="101"/>
    <cellStyle name="百分比" xfId="15" builtinId="5"/>
    <cellStyle name="百分比 2" xfId="335"/>
    <cellStyle name="百分比 2 2" xfId="103"/>
    <cellStyle name="百分比 2 3" xfId="336"/>
    <cellStyle name="百分比 3" xfId="337"/>
    <cellStyle name="百分比 3 2" xfId="338"/>
    <cellStyle name="捠壿 [0.00]_PRODUCT DETAIL Q1" xfId="7"/>
    <cellStyle name="捠壿_PRODUCT DETAIL Q1" xfId="339"/>
    <cellStyle name="標準_１１月価格表" xfId="299"/>
    <cellStyle name="差_StartUp" xfId="340"/>
    <cellStyle name="差_T1000-主营业务收入-LJCH" xfId="54"/>
    <cellStyle name="差_子公司附注汇总(房开公司)" xfId="145"/>
    <cellStyle name="常规" xfId="0" builtinId="0"/>
    <cellStyle name="常规 10" xfId="265"/>
    <cellStyle name="常规 10 2" xfId="341"/>
    <cellStyle name="常规 10 3" xfId="342"/>
    <cellStyle name="常规 10 4" xfId="343"/>
    <cellStyle name="常规 11 2" xfId="344"/>
    <cellStyle name="常规 11 3" xfId="345"/>
    <cellStyle name="常规 11 4" xfId="306"/>
    <cellStyle name="常规 11 5" xfId="401"/>
    <cellStyle name="常规 12 2" xfId="346"/>
    <cellStyle name="常规 12 3" xfId="347"/>
    <cellStyle name="常规 12 4" xfId="348"/>
    <cellStyle name="常规 13 2" xfId="349"/>
    <cellStyle name="常规 13 3" xfId="261"/>
    <cellStyle name="常规 13 4" xfId="117"/>
    <cellStyle name="常规 2" xfId="330"/>
    <cellStyle name="常规 2 2" xfId="193"/>
    <cellStyle name="常规 2 2 2" xfId="350"/>
    <cellStyle name="常规 2 2 2 2" xfId="351"/>
    <cellStyle name="常规 2 2 3" xfId="352"/>
    <cellStyle name="常规 2 2 3 2" xfId="353"/>
    <cellStyle name="常规 2 2 3 3" xfId="150"/>
    <cellStyle name="常规 2 2 4" xfId="4"/>
    <cellStyle name="常规 2 2 5" xfId="354"/>
    <cellStyle name="常规 2 3" xfId="195"/>
    <cellStyle name="常规 2 3 2" xfId="208"/>
    <cellStyle name="常规 2 3 3" xfId="355"/>
    <cellStyle name="常规 2 3 4" xfId="106"/>
    <cellStyle name="常规 2 4" xfId="160"/>
    <cellStyle name="常规 2 5" xfId="91"/>
    <cellStyle name="常规 2 6" xfId="197"/>
    <cellStyle name="常规 2 7" xfId="357"/>
    <cellStyle name="常规 2 8" xfId="358"/>
    <cellStyle name="常规 2 8 2" xfId="115"/>
    <cellStyle name="常规 2 9" xfId="359"/>
    <cellStyle name="常规 2_经销商信息-1-原始表" xfId="360"/>
    <cellStyle name="常规 3" xfId="283"/>
    <cellStyle name="常规 3 2" xfId="361"/>
    <cellStyle name="常规 3 2 2" xfId="214"/>
    <cellStyle name="常规 3 2 2 2" xfId="184"/>
    <cellStyle name="常规 3 3" xfId="362"/>
    <cellStyle name="常规 3 4" xfId="363"/>
    <cellStyle name="常规 4" xfId="291"/>
    <cellStyle name="常规 4 2" xfId="364"/>
    <cellStyle name="常规 4 3" xfId="366"/>
    <cellStyle name="常规 4 4" xfId="367"/>
    <cellStyle name="常规 5" xfId="368"/>
    <cellStyle name="常规 5 2" xfId="23"/>
    <cellStyle name="常规 5 3" xfId="369"/>
    <cellStyle name="常规 5 4" xfId="211"/>
    <cellStyle name="常规 6" xfId="18"/>
    <cellStyle name="常规 6 2" xfId="370"/>
    <cellStyle name="常规 6 3" xfId="371"/>
    <cellStyle name="常规 6 4" xfId="372"/>
    <cellStyle name="常规 6 5" xfId="22"/>
    <cellStyle name="常规 7" xfId="373"/>
    <cellStyle name="常规 7 2" xfId="374"/>
    <cellStyle name="常规 7 3" xfId="10"/>
    <cellStyle name="常规 7 4" xfId="375"/>
    <cellStyle name="常规 8" xfId="141"/>
    <cellStyle name="常规 8 2" xfId="41"/>
    <cellStyle name="常规 8 3" xfId="37"/>
    <cellStyle name="常规 8 4" xfId="317"/>
    <cellStyle name="常规 9" xfId="378"/>
    <cellStyle name="常规 9 2" xfId="200"/>
    <cellStyle name="常规 9 3" xfId="174"/>
    <cellStyle name="常规 9 4" xfId="202"/>
    <cellStyle name="常规_2-1项目审定表－模板" xfId="272"/>
    <cellStyle name="常规_Book1" xfId="379"/>
    <cellStyle name="常规_Book1 2" xfId="377"/>
    <cellStyle name="常规_c-资产类" xfId="356"/>
    <cellStyle name="常规_F1短期投资及跌价准备" xfId="50"/>
    <cellStyle name="常规_sheet" xfId="222"/>
    <cellStyle name="常规_sheet 2" xfId="380"/>
    <cellStyle name="常规_进一步审计程序--销售与收款循环" xfId="250"/>
    <cellStyle name="常规_进一步审计程序--销售与收款循环 2" xfId="381"/>
    <cellStyle name="常规_新审定表" xfId="382"/>
    <cellStyle name="常规_制造费用" xfId="383"/>
    <cellStyle name="常规_制造费用 2" xfId="384"/>
    <cellStyle name="超级链接_B4-1审计项目工时预算与控制表(集团)" xfId="376"/>
    <cellStyle name="超链接" xfId="14" builtinId="8"/>
    <cellStyle name="超链接 2" xfId="326"/>
    <cellStyle name="超链接 2 2" xfId="386"/>
    <cellStyle name="超链接 3" xfId="235"/>
    <cellStyle name="分级显示行_1_4附件二凯旋评估表" xfId="45"/>
    <cellStyle name="好_StartUp" xfId="16"/>
    <cellStyle name="好_T1000-主营业务收入" xfId="178"/>
    <cellStyle name="好_子公司附注汇总(房开公司)" xfId="158"/>
    <cellStyle name="桁区切り [0.00]_１１月価格表" xfId="321"/>
    <cellStyle name="桁区切り_１１月価格表" xfId="28"/>
    <cellStyle name="霓付 [0]_1202" xfId="365"/>
    <cellStyle name="霓付_1202" xfId="230"/>
    <cellStyle name="烹拳 [0]_1202" xfId="387"/>
    <cellStyle name="烹拳_1202" xfId="388"/>
    <cellStyle name="砯刽 [0]_PLDT" xfId="389"/>
    <cellStyle name="砯刽_PLDT" xfId="390"/>
    <cellStyle name="普通_ 白土" xfId="242"/>
    <cellStyle name="千分位[0]_ 白土" xfId="391"/>
    <cellStyle name="千分位_ 白土" xfId="267"/>
    <cellStyle name="千位[0]_ 应交税金审定表" xfId="309"/>
    <cellStyle name="千位_ 应交税金审定表" xfId="56"/>
    <cellStyle name="千位分隔" xfId="12" builtinId="3"/>
    <cellStyle name="千位分隔 2" xfId="392"/>
    <cellStyle name="千位分隔 2 2" xfId="393"/>
    <cellStyle name="千位分隔 2 3" xfId="394"/>
    <cellStyle name="千位分隔 2 3 2" xfId="288"/>
    <cellStyle name="千位分隔 2 4" xfId="276"/>
    <cellStyle name="千位分隔 3" xfId="395"/>
    <cellStyle name="千位分隔 3 2" xfId="84"/>
    <cellStyle name="千位分隔 3 3" xfId="34"/>
    <cellStyle name="千位分隔 6" xfId="396"/>
    <cellStyle name="千位分隔[0] 2" xfId="47"/>
    <cellStyle name="钎霖_(沥焊何巩)岿喊牢盔拌裙" xfId="122"/>
    <cellStyle name="通貨 [0.00]_１１月価格表" xfId="110"/>
    <cellStyle name="通貨_１１月価格表" xfId="397"/>
    <cellStyle name="样式 1" xfId="313"/>
    <cellStyle name="样式 1 2" xfId="232"/>
    <cellStyle name="昗弨_BOOKSHIP" xfId="48"/>
    <cellStyle name="寘嬫愗傝 [0.00]_PRODUCT DETAIL Q1" xfId="63"/>
    <cellStyle name="寘嬫愗傝_PRODUCT DETAIL Q1" xfId="385"/>
    <cellStyle name="资产" xfId="130"/>
    <cellStyle name="콤마 [0]_BOILER-CO1" xfId="274"/>
    <cellStyle name="콤마_BOILER-CO1" xfId="398"/>
    <cellStyle name="통화 [0]_BOILER-CO1" xfId="399"/>
    <cellStyle name="통화_BOILER-CO1" xfId="237"/>
    <cellStyle name="표준_0N-HANDLING " xfId="400"/>
  </cellStyles>
  <dxfs count="0"/>
  <tableStyles count="0" defaultTableStyle="TableStyleMedium2" defaultPivotStyle="PivotStyleLight16"/>
  <colors>
    <mruColors>
      <color rgb="FF0000FF"/>
      <color rgb="FFE4DFEC"/>
      <color rgb="FFDCD5E5"/>
      <color rgb="FFFFFFCC"/>
      <color rgb="FFFFFF99"/>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8"/>
  <sheetViews>
    <sheetView tabSelected="1" workbookViewId="0"/>
  </sheetViews>
  <sheetFormatPr defaultColWidth="9" defaultRowHeight="20.100000000000001" customHeight="1"/>
  <cols>
    <col min="1" max="1" width="79.33203125" style="459" customWidth="1"/>
    <col min="2" max="2" width="2" style="459" customWidth="1"/>
    <col min="3" max="3" width="2.109375" style="459" customWidth="1"/>
    <col min="4" max="4" width="6.109375" style="460" customWidth="1"/>
    <col min="5" max="5" width="33.33203125" style="460" customWidth="1"/>
    <col min="6" max="6" width="20.44140625" style="461" customWidth="1"/>
    <col min="7" max="16384" width="9" style="462"/>
  </cols>
  <sheetData>
    <row r="1" spans="1:8" s="458" customFormat="1" ht="20.100000000000001" customHeight="1">
      <c r="A1" s="463" t="s">
        <v>0</v>
      </c>
      <c r="B1" s="460"/>
      <c r="C1" s="460"/>
      <c r="F1" s="464"/>
    </row>
    <row r="2" spans="1:8" s="458" customFormat="1" ht="20.100000000000001" customHeight="1">
      <c r="A2" s="465" t="s">
        <v>843</v>
      </c>
      <c r="B2" s="466"/>
      <c r="C2" s="466"/>
      <c r="D2" s="460"/>
      <c r="E2" s="460"/>
      <c r="F2" s="461"/>
      <c r="G2" s="467"/>
      <c r="H2" s="467"/>
    </row>
    <row r="3" spans="1:8" s="458" customFormat="1" ht="18.75" customHeight="1">
      <c r="A3" s="465" t="s">
        <v>848</v>
      </c>
      <c r="B3" s="466"/>
      <c r="C3" s="466"/>
      <c r="D3" s="468" t="s">
        <v>1</v>
      </c>
      <c r="E3" s="469" t="s">
        <v>2</v>
      </c>
      <c r="F3" s="468" t="s">
        <v>3</v>
      </c>
      <c r="G3" s="467"/>
      <c r="H3" s="467"/>
    </row>
    <row r="4" spans="1:8" s="458" customFormat="1" ht="18.75" customHeight="1">
      <c r="A4" s="502" t="s">
        <v>844</v>
      </c>
      <c r="B4" s="470"/>
      <c r="C4" s="470"/>
      <c r="D4" s="471"/>
      <c r="E4" s="478" t="s">
        <v>4</v>
      </c>
      <c r="F4" s="471" t="s">
        <v>5</v>
      </c>
      <c r="G4" s="467"/>
      <c r="H4" s="472"/>
    </row>
    <row r="5" spans="1:8" s="458" customFormat="1" ht="18.75" customHeight="1">
      <c r="A5" s="502" t="s">
        <v>845</v>
      </c>
      <c r="B5" s="460"/>
      <c r="C5" s="460"/>
      <c r="D5" s="471">
        <v>1</v>
      </c>
      <c r="E5" s="478" t="s">
        <v>6</v>
      </c>
      <c r="F5" s="471" t="s">
        <v>7</v>
      </c>
      <c r="G5" s="467"/>
      <c r="H5" s="473"/>
    </row>
    <row r="6" spans="1:8" s="458" customFormat="1" ht="18.75" customHeight="1">
      <c r="A6" s="502" t="s">
        <v>846</v>
      </c>
      <c r="B6" s="460"/>
      <c r="C6" s="460"/>
      <c r="D6" s="471">
        <v>2</v>
      </c>
      <c r="E6" s="478" t="s">
        <v>8</v>
      </c>
      <c r="F6" s="471"/>
      <c r="G6" s="474" t="s">
        <v>9</v>
      </c>
    </row>
    <row r="7" spans="1:8" s="458" customFormat="1" ht="18.75" customHeight="1">
      <c r="A7" s="502" t="s">
        <v>847</v>
      </c>
      <c r="B7" s="460"/>
      <c r="C7" s="460"/>
      <c r="D7" s="471">
        <v>3</v>
      </c>
      <c r="E7" s="478" t="s">
        <v>10</v>
      </c>
      <c r="F7" s="471"/>
      <c r="G7" s="475" t="s">
        <v>9</v>
      </c>
    </row>
    <row r="8" spans="1:8" s="458" customFormat="1" ht="18.75" customHeight="1">
      <c r="A8" s="476"/>
      <c r="B8" s="460"/>
      <c r="C8" s="460"/>
      <c r="D8" s="471">
        <v>4</v>
      </c>
      <c r="E8" s="478" t="s">
        <v>11</v>
      </c>
      <c r="F8" s="471" t="s">
        <v>12</v>
      </c>
    </row>
    <row r="9" spans="1:8" s="458" customFormat="1" ht="18.75" customHeight="1">
      <c r="A9" s="506" t="s">
        <v>849</v>
      </c>
      <c r="B9" s="460"/>
      <c r="C9" s="460"/>
      <c r="D9" s="471">
        <v>5</v>
      </c>
      <c r="E9" s="478" t="s">
        <v>13</v>
      </c>
      <c r="F9" s="471" t="s">
        <v>14</v>
      </c>
    </row>
    <row r="10" spans="1:8" s="458" customFormat="1" ht="18.75" customHeight="1">
      <c r="A10" s="515" t="s">
        <v>850</v>
      </c>
      <c r="B10" s="460"/>
      <c r="C10" s="460"/>
      <c r="D10" s="471">
        <v>6</v>
      </c>
      <c r="E10" s="478" t="s">
        <v>15</v>
      </c>
      <c r="F10" s="471" t="s">
        <v>16</v>
      </c>
    </row>
    <row r="11" spans="1:8" s="458" customFormat="1" ht="18.75" customHeight="1">
      <c r="A11" s="515"/>
      <c r="B11" s="460"/>
      <c r="C11" s="460"/>
      <c r="D11" s="471">
        <v>7</v>
      </c>
      <c r="E11" s="478" t="s">
        <v>17</v>
      </c>
      <c r="F11" s="471" t="s">
        <v>18</v>
      </c>
    </row>
    <row r="12" spans="1:8" s="458" customFormat="1" ht="18.75" customHeight="1">
      <c r="A12" s="515"/>
      <c r="B12" s="460"/>
      <c r="C12" s="460"/>
      <c r="D12" s="471">
        <v>8</v>
      </c>
      <c r="E12" s="479" t="s">
        <v>19</v>
      </c>
      <c r="F12" s="471" t="s">
        <v>20</v>
      </c>
    </row>
    <row r="13" spans="1:8" s="458" customFormat="1" ht="18.75" customHeight="1">
      <c r="A13" s="515"/>
      <c r="B13" s="460"/>
      <c r="C13" s="460"/>
      <c r="D13" s="471">
        <v>9</v>
      </c>
      <c r="E13" s="480" t="s">
        <v>21</v>
      </c>
      <c r="F13" s="471" t="s">
        <v>22</v>
      </c>
    </row>
    <row r="14" spans="1:8" s="458" customFormat="1" ht="18.75" customHeight="1">
      <c r="A14" s="515" t="s">
        <v>851</v>
      </c>
      <c r="B14" s="460"/>
      <c r="C14" s="460"/>
      <c r="D14" s="471">
        <v>10</v>
      </c>
      <c r="E14" s="479" t="s">
        <v>23</v>
      </c>
      <c r="F14" s="471" t="s">
        <v>24</v>
      </c>
    </row>
    <row r="15" spans="1:8" s="458" customFormat="1" ht="18.75" customHeight="1">
      <c r="A15" s="515"/>
      <c r="B15" s="460"/>
      <c r="C15" s="460"/>
      <c r="D15" s="471">
        <v>11</v>
      </c>
      <c r="E15" s="478" t="s">
        <v>25</v>
      </c>
      <c r="F15" s="471" t="s">
        <v>26</v>
      </c>
    </row>
    <row r="16" spans="1:8" s="458" customFormat="1" ht="18.75" customHeight="1">
      <c r="A16" s="515"/>
      <c r="B16" s="460"/>
      <c r="C16" s="460"/>
      <c r="D16" s="471">
        <v>12</v>
      </c>
      <c r="E16" s="478" t="s">
        <v>27</v>
      </c>
      <c r="F16" s="471" t="s">
        <v>28</v>
      </c>
    </row>
    <row r="17" spans="1:6" s="458" customFormat="1" ht="18" customHeight="1">
      <c r="A17" s="516" t="s">
        <v>852</v>
      </c>
      <c r="B17" s="460"/>
      <c r="C17" s="460"/>
      <c r="D17" s="471">
        <v>13</v>
      </c>
      <c r="E17" s="478" t="s">
        <v>29</v>
      </c>
      <c r="F17" s="471" t="s">
        <v>30</v>
      </c>
    </row>
    <row r="18" spans="1:6" s="458" customFormat="1" ht="18" customHeight="1">
      <c r="A18" s="516"/>
      <c r="B18" s="460"/>
      <c r="C18" s="460"/>
      <c r="D18" s="471">
        <v>14</v>
      </c>
      <c r="E18" s="478" t="s">
        <v>31</v>
      </c>
      <c r="F18" s="471" t="s">
        <v>32</v>
      </c>
    </row>
    <row r="19" spans="1:6" s="458" customFormat="1" ht="20.100000000000001" customHeight="1">
      <c r="A19" s="516"/>
      <c r="B19" s="460"/>
      <c r="C19" s="460"/>
      <c r="D19" s="471">
        <v>15</v>
      </c>
      <c r="E19" s="514" t="s">
        <v>862</v>
      </c>
      <c r="F19" s="471" t="s">
        <v>863</v>
      </c>
    </row>
    <row r="20" spans="1:6" s="458" customFormat="1" ht="20.100000000000001" customHeight="1">
      <c r="A20" s="460"/>
      <c r="B20" s="460"/>
      <c r="C20" s="460"/>
      <c r="D20" s="471">
        <v>16</v>
      </c>
      <c r="E20" s="514" t="s">
        <v>864</v>
      </c>
      <c r="F20" s="471" t="s">
        <v>865</v>
      </c>
    </row>
    <row r="21" spans="1:6" ht="20.100000000000001" customHeight="1">
      <c r="A21" s="477"/>
      <c r="D21" s="471">
        <v>17</v>
      </c>
      <c r="E21" s="514" t="s">
        <v>866</v>
      </c>
      <c r="F21" s="471" t="s">
        <v>867</v>
      </c>
    </row>
    <row r="22" spans="1:6" ht="20.100000000000001" customHeight="1">
      <c r="D22" s="471">
        <v>18</v>
      </c>
      <c r="E22" s="514" t="s">
        <v>868</v>
      </c>
      <c r="F22" s="471" t="s">
        <v>869</v>
      </c>
    </row>
    <row r="23" spans="1:6" ht="20.100000000000001" customHeight="1">
      <c r="D23" s="471">
        <v>19</v>
      </c>
      <c r="E23" s="514" t="s">
        <v>870</v>
      </c>
      <c r="F23" s="471" t="s">
        <v>871</v>
      </c>
    </row>
    <row r="24" spans="1:6" ht="20.100000000000001" customHeight="1">
      <c r="D24" s="471">
        <v>20</v>
      </c>
      <c r="E24" s="514" t="s">
        <v>872</v>
      </c>
      <c r="F24" s="471" t="s">
        <v>873</v>
      </c>
    </row>
    <row r="25" spans="1:6" ht="20.100000000000001" customHeight="1">
      <c r="D25" s="471">
        <v>21</v>
      </c>
      <c r="E25" s="514" t="s">
        <v>874</v>
      </c>
      <c r="F25" s="471" t="s">
        <v>875</v>
      </c>
    </row>
    <row r="26" spans="1:6" ht="20.100000000000001" customHeight="1">
      <c r="D26" s="471">
        <v>22</v>
      </c>
      <c r="E26" s="514" t="s">
        <v>876</v>
      </c>
      <c r="F26" s="471" t="s">
        <v>877</v>
      </c>
    </row>
    <row r="27" spans="1:6" ht="20.100000000000001" customHeight="1">
      <c r="D27" s="471">
        <v>23</v>
      </c>
      <c r="E27" s="478" t="s">
        <v>33</v>
      </c>
      <c r="F27" s="471" t="s">
        <v>34</v>
      </c>
    </row>
    <row r="28" spans="1:6" ht="20.100000000000001" customHeight="1">
      <c r="D28" s="471">
        <v>24</v>
      </c>
      <c r="E28" s="478" t="s">
        <v>35</v>
      </c>
      <c r="F28" s="471" t="s">
        <v>36</v>
      </c>
    </row>
  </sheetData>
  <mergeCells count="3">
    <mergeCell ref="A10:A13"/>
    <mergeCell ref="A14:A16"/>
    <mergeCell ref="A17:A19"/>
  </mergeCells>
  <phoneticPr fontId="171" type="noConversion"/>
  <hyperlinks>
    <hyperlink ref="E14" location="'业务模式分析G1-8'!A1" display="业务模式分析"/>
    <hyperlink ref="E16" location="'合同现金流量特征分析G1-10'!A1" display="合同现金流量特征分析"/>
    <hyperlink ref="E17" location="'有价证券监盘表G1-11'!A1" display="有价证券监盘表"/>
    <hyperlink ref="E27" location="'检查表G1-13'!A1" display="检查表"/>
    <hyperlink ref="E28" location="'衍生金融工具核查表G1-14'!A1" display="衍生金融工具核对表"/>
    <hyperlink ref="E15" location="'分类的适当性检查表G1-9'!A1" display="分类的适当性检查表"/>
    <hyperlink ref="E12" location="'公允价值测试表G1-6'!A1" display="公允价值测试表"/>
    <hyperlink ref="E5" location="'审定表G1-1'!A1" display="审定表"/>
    <hyperlink ref="E6" location="'附注披露信息（上市公司）'!Print_Area" display="附注披露信息（上市公司）"/>
    <hyperlink ref="E7" location="'附注披露信息（国企）'!Print_Area" display="附注披露信息（国企）"/>
    <hyperlink ref="E8" location="'明细表G1-2'!A1" display="明细表"/>
    <hyperlink ref="E4" location="'交易性金融资产实质性程序表G1A '!A1" display="交易性金融资产实质性程序表"/>
    <hyperlink ref="E18" location="'有价证券盘点倒轧表G1-12'!A1" display="有价证券盘点倒轧表"/>
    <hyperlink ref="E9" location="'调整分录汇总G1-3'!A1" display="调整分录汇总"/>
    <hyperlink ref="E11" location="'收益测算表G1-5'!A1" display="收益测算表"/>
    <hyperlink ref="E10" location="'结存表G1-4'!A1" display="期末结存表"/>
    <hyperlink ref="E13" location="'第三层次公允价值计量的调节表G1-7'!A1" display="第三层次公允价值计量的调节表"/>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J34"/>
  <sheetViews>
    <sheetView view="pageBreakPreview" zoomScaleNormal="110" workbookViewId="0">
      <selection activeCell="C31" sqref="C31"/>
    </sheetView>
  </sheetViews>
  <sheetFormatPr defaultColWidth="9" defaultRowHeight="13.2"/>
  <cols>
    <col min="1" max="1" width="4.44140625" style="427" customWidth="1"/>
    <col min="2" max="2" width="72.44140625" style="438" customWidth="1"/>
    <col min="3" max="3" width="11.6640625" style="428" customWidth="1"/>
    <col min="4" max="4" width="5.6640625" style="428" customWidth="1"/>
    <col min="5" max="5" width="6.5546875" style="428" customWidth="1"/>
    <col min="6" max="6" width="7" style="428" customWidth="1"/>
    <col min="7" max="7" width="7.33203125" style="428" customWidth="1"/>
    <col min="8" max="8" width="6.109375" style="428" customWidth="1"/>
    <col min="9" max="9" width="7.6640625" style="434" customWidth="1"/>
    <col min="10" max="16384" width="9" style="428"/>
  </cols>
  <sheetData>
    <row r="1" spans="1:10" s="425" customFormat="1" ht="19.95" customHeight="1">
      <c r="A1" s="526" t="s">
        <v>37</v>
      </c>
      <c r="B1" s="527"/>
      <c r="C1" s="526"/>
      <c r="D1" s="526"/>
      <c r="E1" s="526"/>
      <c r="F1" s="526"/>
      <c r="G1" s="526"/>
      <c r="H1" s="526"/>
      <c r="I1" s="526"/>
    </row>
    <row r="2" spans="1:10" s="425" customFormat="1" ht="19.95" customHeight="1">
      <c r="A2" s="528" t="s">
        <v>4</v>
      </c>
      <c r="B2" s="529"/>
      <c r="C2" s="530"/>
      <c r="D2" s="530"/>
      <c r="E2" s="530"/>
      <c r="F2" s="530"/>
      <c r="G2" s="530"/>
      <c r="H2" s="530"/>
      <c r="I2" s="530"/>
    </row>
    <row r="3" spans="1:10" s="437" customFormat="1" ht="19.95" customHeight="1">
      <c r="A3" s="531" t="str">
        <f>底稿目录!A2</f>
        <v>被审计单位：</v>
      </c>
      <c r="B3" s="532"/>
      <c r="C3" s="406" t="str">
        <f>底稿目录!A4</f>
        <v>编制人：</v>
      </c>
      <c r="D3" s="439"/>
      <c r="E3" s="439" t="str">
        <f>底稿目录!A5</f>
        <v>编制日期：</v>
      </c>
      <c r="G3" s="439"/>
      <c r="H3" s="406" t="s">
        <v>38</v>
      </c>
      <c r="I3" s="10" t="str">
        <f>底稿目录!F4</f>
        <v>G1A</v>
      </c>
    </row>
    <row r="4" spans="1:10" s="437" customFormat="1" ht="19.95" customHeight="1">
      <c r="A4" s="531" t="str">
        <f>底稿目录!A3</f>
        <v>截止日：202X年12月31日</v>
      </c>
      <c r="B4" s="532"/>
      <c r="C4" s="406" t="str">
        <f>底稿目录!A6</f>
        <v>复核人：</v>
      </c>
      <c r="D4" s="439"/>
      <c r="E4" s="439" t="str">
        <f>底稿目录!A7</f>
        <v>复核日期：</v>
      </c>
      <c r="G4" s="439"/>
      <c r="H4" s="407" t="s">
        <v>39</v>
      </c>
      <c r="I4" s="455"/>
    </row>
    <row r="5" spans="1:10" ht="19.95" customHeight="1">
      <c r="A5" s="533" t="s">
        <v>40</v>
      </c>
      <c r="B5" s="534"/>
    </row>
    <row r="6" spans="1:10" ht="19.95" customHeight="1">
      <c r="A6" s="429" t="s">
        <v>41</v>
      </c>
      <c r="B6" s="440"/>
      <c r="C6" s="440"/>
      <c r="D6" s="440"/>
      <c r="E6" s="440"/>
      <c r="F6" s="440"/>
      <c r="G6" s="440"/>
      <c r="H6" s="440"/>
      <c r="I6" s="444"/>
    </row>
    <row r="7" spans="1:10" s="426" customFormat="1" ht="19.95" customHeight="1">
      <c r="A7" s="441" t="s">
        <v>42</v>
      </c>
      <c r="B7" s="442"/>
      <c r="C7" s="443"/>
      <c r="I7" s="456"/>
    </row>
    <row r="8" spans="1:10" s="426" customFormat="1" ht="19.95" customHeight="1">
      <c r="A8" s="524" t="s">
        <v>43</v>
      </c>
      <c r="B8" s="524"/>
      <c r="C8" s="524"/>
      <c r="D8" s="524"/>
      <c r="E8" s="524"/>
      <c r="F8" s="524"/>
      <c r="G8" s="535" t="s">
        <v>44</v>
      </c>
      <c r="H8" s="535"/>
      <c r="I8" s="535"/>
    </row>
    <row r="9" spans="1:10" s="426" customFormat="1" ht="19.95" customHeight="1">
      <c r="A9" s="518" t="s">
        <v>45</v>
      </c>
      <c r="B9" s="518"/>
      <c r="C9" s="518"/>
      <c r="D9" s="518"/>
      <c r="E9" s="518"/>
      <c r="F9" s="518"/>
      <c r="G9" s="517" t="s">
        <v>46</v>
      </c>
      <c r="H9" s="517"/>
      <c r="I9" s="517"/>
    </row>
    <row r="10" spans="1:10" s="426" customFormat="1" ht="19.95" customHeight="1">
      <c r="A10" s="518" t="s">
        <v>47</v>
      </c>
      <c r="B10" s="518"/>
      <c r="C10" s="518"/>
      <c r="D10" s="518"/>
      <c r="E10" s="518"/>
      <c r="F10" s="518"/>
      <c r="G10" s="517" t="s">
        <v>48</v>
      </c>
      <c r="H10" s="517"/>
      <c r="I10" s="517"/>
    </row>
    <row r="11" spans="1:10" s="426" customFormat="1" ht="19.95" customHeight="1">
      <c r="A11" s="518" t="s">
        <v>49</v>
      </c>
      <c r="B11" s="518"/>
      <c r="C11" s="518"/>
      <c r="D11" s="518"/>
      <c r="E11" s="518"/>
      <c r="F11" s="518"/>
      <c r="G11" s="517" t="s">
        <v>50</v>
      </c>
      <c r="H11" s="517"/>
      <c r="I11" s="517"/>
    </row>
    <row r="12" spans="1:10" s="426" customFormat="1" ht="19.95" customHeight="1">
      <c r="A12" s="518" t="s">
        <v>855</v>
      </c>
      <c r="B12" s="518"/>
      <c r="C12" s="518"/>
      <c r="D12" s="518"/>
      <c r="E12" s="518"/>
      <c r="F12" s="518"/>
      <c r="G12" s="517" t="s">
        <v>51</v>
      </c>
      <c r="H12" s="517"/>
      <c r="I12" s="517"/>
    </row>
    <row r="13" spans="1:10" s="426" customFormat="1" ht="19.95" customHeight="1">
      <c r="A13" s="518" t="s">
        <v>52</v>
      </c>
      <c r="B13" s="518"/>
      <c r="C13" s="518"/>
      <c r="D13" s="518"/>
      <c r="E13" s="518"/>
      <c r="F13" s="518"/>
      <c r="G13" s="517" t="s">
        <v>53</v>
      </c>
      <c r="H13" s="517"/>
      <c r="I13" s="517"/>
    </row>
    <row r="14" spans="1:10" s="426" customFormat="1" ht="19.95" customHeight="1">
      <c r="A14" s="520" t="s">
        <v>54</v>
      </c>
      <c r="B14" s="520"/>
      <c r="C14" s="445"/>
      <c r="D14" s="445"/>
      <c r="E14" s="445"/>
      <c r="F14" s="445"/>
      <c r="G14" s="445"/>
      <c r="H14" s="445"/>
      <c r="I14" s="445"/>
    </row>
    <row r="15" spans="1:10" s="426" customFormat="1" ht="18" customHeight="1">
      <c r="A15" s="523" t="s">
        <v>55</v>
      </c>
      <c r="B15" s="524" t="s">
        <v>854</v>
      </c>
      <c r="C15" s="525" t="s">
        <v>56</v>
      </c>
      <c r="D15" s="521" t="s">
        <v>57</v>
      </c>
      <c r="E15" s="522"/>
      <c r="F15" s="522"/>
      <c r="G15" s="522"/>
      <c r="H15" s="522"/>
      <c r="I15" s="519" t="s">
        <v>58</v>
      </c>
    </row>
    <row r="16" spans="1:10" s="426" customFormat="1" ht="36">
      <c r="A16" s="523"/>
      <c r="B16" s="524"/>
      <c r="C16" s="525"/>
      <c r="D16" s="446" t="s">
        <v>46</v>
      </c>
      <c r="E16" s="446" t="s">
        <v>48</v>
      </c>
      <c r="F16" s="447" t="s">
        <v>59</v>
      </c>
      <c r="G16" s="447" t="s">
        <v>51</v>
      </c>
      <c r="H16" s="447" t="s">
        <v>53</v>
      </c>
      <c r="I16" s="519"/>
      <c r="J16" s="507" t="s">
        <v>853</v>
      </c>
    </row>
    <row r="17" spans="1:9" ht="114.6" customHeight="1">
      <c r="A17" s="448" t="s">
        <v>60</v>
      </c>
      <c r="B17" s="449" t="s">
        <v>61</v>
      </c>
      <c r="C17" s="435" t="s">
        <v>62</v>
      </c>
      <c r="D17" s="450" t="s">
        <v>63</v>
      </c>
      <c r="E17" s="450" t="s">
        <v>63</v>
      </c>
      <c r="F17" s="451"/>
      <c r="G17" s="452" t="s">
        <v>63</v>
      </c>
      <c r="H17" s="453"/>
      <c r="I17" s="457" t="s">
        <v>64</v>
      </c>
    </row>
    <row r="18" spans="1:9" ht="41.4">
      <c r="A18" s="448" t="s">
        <v>65</v>
      </c>
      <c r="B18" s="454" t="s">
        <v>66</v>
      </c>
      <c r="C18" s="435" t="s">
        <v>62</v>
      </c>
      <c r="D18" s="453"/>
      <c r="E18" s="452" t="s">
        <v>63</v>
      </c>
      <c r="F18" s="450"/>
      <c r="G18" s="450" t="s">
        <v>63</v>
      </c>
      <c r="H18" s="452"/>
      <c r="I18" s="483" t="s">
        <v>67</v>
      </c>
    </row>
    <row r="19" spans="1:9" ht="68.400000000000006" customHeight="1">
      <c r="A19" s="448" t="s">
        <v>68</v>
      </c>
      <c r="B19" s="431" t="s">
        <v>841</v>
      </c>
      <c r="C19" s="435" t="s">
        <v>69</v>
      </c>
      <c r="D19" s="452" t="s">
        <v>63</v>
      </c>
      <c r="E19" s="450" t="s">
        <v>63</v>
      </c>
      <c r="F19" s="450" t="s">
        <v>63</v>
      </c>
      <c r="G19" s="450" t="s">
        <v>63</v>
      </c>
      <c r="H19" s="433"/>
      <c r="I19" s="457"/>
    </row>
    <row r="20" spans="1:9" ht="85.2" customHeight="1">
      <c r="A20" s="448" t="s">
        <v>70</v>
      </c>
      <c r="B20" s="431" t="s">
        <v>71</v>
      </c>
      <c r="C20" s="435" t="s">
        <v>62</v>
      </c>
      <c r="D20" s="452" t="s">
        <v>63</v>
      </c>
      <c r="E20" s="450"/>
      <c r="F20" s="451"/>
      <c r="G20" s="450" t="s">
        <v>63</v>
      </c>
      <c r="H20" s="433"/>
      <c r="I20" s="457" t="s">
        <v>64</v>
      </c>
    </row>
    <row r="21" spans="1:9" ht="108">
      <c r="A21" s="448" t="s">
        <v>72</v>
      </c>
      <c r="B21" s="431" t="s">
        <v>73</v>
      </c>
      <c r="C21" s="435" t="s">
        <v>62</v>
      </c>
      <c r="D21" s="450" t="s">
        <v>63</v>
      </c>
      <c r="E21" s="450" t="s">
        <v>63</v>
      </c>
      <c r="F21" s="451"/>
      <c r="G21" s="450" t="s">
        <v>63</v>
      </c>
      <c r="H21" s="433"/>
      <c r="I21" s="457" t="s">
        <v>74</v>
      </c>
    </row>
    <row r="22" spans="1:9" ht="31.2" customHeight="1">
      <c r="A22" s="448" t="s">
        <v>75</v>
      </c>
      <c r="B22" s="431" t="s">
        <v>76</v>
      </c>
      <c r="C22" s="435" t="s">
        <v>62</v>
      </c>
      <c r="D22" s="452" t="s">
        <v>63</v>
      </c>
      <c r="E22" s="450" t="s">
        <v>63</v>
      </c>
      <c r="F22" s="450" t="s">
        <v>63</v>
      </c>
      <c r="G22" s="450" t="s">
        <v>63</v>
      </c>
      <c r="H22" s="433"/>
      <c r="I22" s="457" t="s">
        <v>16</v>
      </c>
    </row>
    <row r="23" spans="1:9" ht="33.6" customHeight="1">
      <c r="A23" s="448" t="s">
        <v>77</v>
      </c>
      <c r="B23" s="431" t="s">
        <v>78</v>
      </c>
      <c r="C23" s="435" t="s">
        <v>62</v>
      </c>
      <c r="D23" s="430"/>
      <c r="E23" s="430"/>
      <c r="F23" s="452" t="s">
        <v>63</v>
      </c>
      <c r="G23" s="430"/>
      <c r="H23" s="433"/>
      <c r="I23" s="436" t="s">
        <v>79</v>
      </c>
    </row>
    <row r="24" spans="1:9" ht="115.2" customHeight="1">
      <c r="A24" s="448" t="s">
        <v>80</v>
      </c>
      <c r="B24" s="431" t="s">
        <v>842</v>
      </c>
      <c r="C24" s="435" t="s">
        <v>62</v>
      </c>
      <c r="D24" s="452" t="s">
        <v>63</v>
      </c>
      <c r="E24" s="450"/>
      <c r="F24" s="452" t="s">
        <v>63</v>
      </c>
      <c r="G24" s="450" t="s">
        <v>63</v>
      </c>
      <c r="H24" s="433"/>
      <c r="I24" s="436" t="s">
        <v>81</v>
      </c>
    </row>
    <row r="25" spans="1:9" ht="104.4" customHeight="1">
      <c r="A25" s="448" t="s">
        <v>82</v>
      </c>
      <c r="B25" s="431" t="s">
        <v>83</v>
      </c>
      <c r="C25" s="435" t="s">
        <v>62</v>
      </c>
      <c r="D25" s="452" t="s">
        <v>63</v>
      </c>
      <c r="E25" s="450" t="s">
        <v>63</v>
      </c>
      <c r="F25" s="450" t="s">
        <v>63</v>
      </c>
      <c r="G25" s="452" t="s">
        <v>63</v>
      </c>
      <c r="H25" s="433"/>
      <c r="I25" s="436" t="s">
        <v>84</v>
      </c>
    </row>
    <row r="26" spans="1:9" ht="72" customHeight="1">
      <c r="A26" s="448" t="s">
        <v>85</v>
      </c>
      <c r="B26" s="431" t="s">
        <v>86</v>
      </c>
      <c r="C26" s="435" t="s">
        <v>62</v>
      </c>
      <c r="D26" s="430"/>
      <c r="E26" s="430"/>
      <c r="F26" s="430"/>
      <c r="G26" s="450" t="s">
        <v>63</v>
      </c>
      <c r="H26" s="433"/>
      <c r="I26" s="436" t="s">
        <v>87</v>
      </c>
    </row>
    <row r="27" spans="1:9" ht="54.6" customHeight="1">
      <c r="A27" s="448" t="s">
        <v>88</v>
      </c>
      <c r="B27" s="431" t="s">
        <v>89</v>
      </c>
      <c r="C27" s="435" t="s">
        <v>62</v>
      </c>
      <c r="D27" s="430"/>
      <c r="E27" s="430"/>
      <c r="F27" s="430"/>
      <c r="G27" s="452" t="s">
        <v>63</v>
      </c>
      <c r="H27" s="450" t="s">
        <v>63</v>
      </c>
      <c r="I27" s="436" t="s">
        <v>90</v>
      </c>
    </row>
    <row r="28" spans="1:9" ht="104.4" customHeight="1">
      <c r="A28" s="448" t="s">
        <v>91</v>
      </c>
      <c r="B28" s="431" t="s">
        <v>92</v>
      </c>
      <c r="C28" s="435" t="s">
        <v>69</v>
      </c>
      <c r="D28" s="452" t="s">
        <v>63</v>
      </c>
      <c r="E28" s="430"/>
      <c r="F28" s="450" t="s">
        <v>63</v>
      </c>
      <c r="G28" s="430"/>
      <c r="H28" s="433"/>
      <c r="I28" s="436" t="s">
        <v>93</v>
      </c>
    </row>
    <row r="29" spans="1:9" ht="120">
      <c r="A29" s="448" t="s">
        <v>94</v>
      </c>
      <c r="B29" s="431" t="s">
        <v>95</v>
      </c>
      <c r="C29" s="435" t="s">
        <v>62</v>
      </c>
      <c r="D29" s="452" t="s">
        <v>63</v>
      </c>
      <c r="E29" s="430"/>
      <c r="F29" s="450" t="s">
        <v>63</v>
      </c>
      <c r="G29" s="452" t="s">
        <v>63</v>
      </c>
      <c r="H29" s="433"/>
      <c r="I29" s="436" t="s">
        <v>34</v>
      </c>
    </row>
    <row r="30" spans="1:9" ht="51" customHeight="1">
      <c r="A30" s="448" t="s">
        <v>96</v>
      </c>
      <c r="B30" s="431" t="s">
        <v>97</v>
      </c>
      <c r="C30" s="435" t="s">
        <v>62</v>
      </c>
      <c r="D30" s="450" t="s">
        <v>63</v>
      </c>
      <c r="E30" s="450" t="s">
        <v>63</v>
      </c>
      <c r="F30" s="430"/>
      <c r="G30" s="452" t="s">
        <v>63</v>
      </c>
      <c r="H30" s="450"/>
      <c r="I30" s="436" t="s">
        <v>32</v>
      </c>
    </row>
    <row r="31" spans="1:9" ht="144">
      <c r="A31" s="448" t="s">
        <v>98</v>
      </c>
      <c r="B31" s="432" t="s">
        <v>99</v>
      </c>
      <c r="C31" s="435" t="s">
        <v>878</v>
      </c>
      <c r="D31" s="452" t="s">
        <v>63</v>
      </c>
      <c r="E31" s="450" t="s">
        <v>63</v>
      </c>
      <c r="F31" s="452" t="s">
        <v>63</v>
      </c>
      <c r="G31" s="450" t="s">
        <v>63</v>
      </c>
      <c r="H31" s="433"/>
      <c r="I31" s="436" t="s">
        <v>100</v>
      </c>
    </row>
    <row r="32" spans="1:9" ht="117" customHeight="1">
      <c r="A32" s="448" t="s">
        <v>101</v>
      </c>
      <c r="B32" s="431" t="s">
        <v>102</v>
      </c>
      <c r="C32" s="435" t="s">
        <v>62</v>
      </c>
      <c r="D32" s="452" t="s">
        <v>63</v>
      </c>
      <c r="E32" s="450" t="s">
        <v>63</v>
      </c>
      <c r="F32" s="450" t="s">
        <v>63</v>
      </c>
      <c r="G32" s="452" t="s">
        <v>63</v>
      </c>
      <c r="H32" s="450" t="s">
        <v>63</v>
      </c>
      <c r="I32" s="436" t="s">
        <v>32</v>
      </c>
    </row>
    <row r="33" spans="1:9" ht="38.4" customHeight="1">
      <c r="A33" s="448" t="s">
        <v>103</v>
      </c>
      <c r="B33" s="430" t="s">
        <v>104</v>
      </c>
      <c r="C33" s="450" t="s">
        <v>105</v>
      </c>
      <c r="D33" s="452"/>
      <c r="E33" s="450"/>
      <c r="F33" s="452"/>
      <c r="G33" s="450"/>
      <c r="H33" s="433"/>
      <c r="I33" s="436"/>
    </row>
    <row r="34" spans="1:9" ht="30.6" customHeight="1">
      <c r="A34" s="448" t="s">
        <v>106</v>
      </c>
      <c r="B34" s="454" t="s">
        <v>107</v>
      </c>
      <c r="C34" s="435" t="s">
        <v>62</v>
      </c>
      <c r="D34" s="430"/>
      <c r="E34" s="430"/>
      <c r="F34" s="430"/>
      <c r="G34" s="430"/>
      <c r="H34" s="452" t="s">
        <v>63</v>
      </c>
      <c r="I34" s="457" t="s">
        <v>108</v>
      </c>
    </row>
  </sheetData>
  <mergeCells count="23">
    <mergeCell ref="A11:F11"/>
    <mergeCell ref="A12:F12"/>
    <mergeCell ref="A1:I1"/>
    <mergeCell ref="A2:I2"/>
    <mergeCell ref="A3:B3"/>
    <mergeCell ref="A4:B4"/>
    <mergeCell ref="A5:B5"/>
    <mergeCell ref="G11:I11"/>
    <mergeCell ref="G12:I12"/>
    <mergeCell ref="G8:I8"/>
    <mergeCell ref="G9:I9"/>
    <mergeCell ref="G10:I10"/>
    <mergeCell ref="A8:F8"/>
    <mergeCell ref="A9:F9"/>
    <mergeCell ref="A10:F10"/>
    <mergeCell ref="G13:I13"/>
    <mergeCell ref="A13:F13"/>
    <mergeCell ref="I15:I16"/>
    <mergeCell ref="A14:B14"/>
    <mergeCell ref="D15:H15"/>
    <mergeCell ref="A15:A16"/>
    <mergeCell ref="B15:B16"/>
    <mergeCell ref="C15:C16"/>
  </mergeCells>
  <phoneticPr fontId="171" type="noConversion"/>
  <hyperlinks>
    <hyperlink ref="I3" location="底稿目录!A1" display="=底稿目录!F4"/>
  </hyperlinks>
  <printOptions horizontalCentered="1"/>
  <pageMargins left="0.511811023622047" right="0.31496062992126" top="0.55118110236220497" bottom="0.35433070866141703" header="0.511811023622047" footer="0.196850393700787"/>
  <pageSetup paperSize="9" scale="70" fitToHeight="50" orientation="portrait" blackAndWhite="1" r:id="rId1"/>
  <headerFooter alignWithMargins="0">
    <oddFooter>&amp;C&amp;P/&amp;N</oddFooter>
  </headerFooter>
  <rowBreaks count="1" manualBreakCount="1">
    <brk id="26" max="8"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K98"/>
  <sheetViews>
    <sheetView view="pageBreakPreview" zoomScaleNormal="100" workbookViewId="0">
      <pane xSplit="1" ySplit="6" topLeftCell="B7" activePane="bottomRight" state="frozen"/>
      <selection pane="topRight"/>
      <selection pane="bottomLeft"/>
      <selection pane="bottomRight" sqref="A1:J1"/>
    </sheetView>
  </sheetViews>
  <sheetFormatPr defaultColWidth="9" defaultRowHeight="23.25" customHeight="1"/>
  <cols>
    <col min="1" max="1" width="23.77734375" style="273" customWidth="1"/>
    <col min="2" max="2" width="13.109375" style="273" customWidth="1"/>
    <col min="3" max="3" width="12" style="273" customWidth="1"/>
    <col min="4" max="4" width="14.33203125" style="273" customWidth="1"/>
    <col min="5" max="5" width="13" style="273" customWidth="1"/>
    <col min="6" max="6" width="12.21875" style="273" customWidth="1"/>
    <col min="7" max="7" width="13.21875" style="273" customWidth="1"/>
    <col min="8" max="8" width="12" style="273" customWidth="1"/>
    <col min="9" max="9" width="10.21875" style="273" customWidth="1"/>
    <col min="10" max="10" width="11" style="273" customWidth="1"/>
    <col min="11" max="11" width="13.44140625" style="273" customWidth="1"/>
    <col min="12" max="16384" width="9" style="273"/>
  </cols>
  <sheetData>
    <row r="1" spans="1:10" s="392" customFormat="1" ht="15.6">
      <c r="A1" s="536" t="s">
        <v>37</v>
      </c>
      <c r="B1" s="536"/>
      <c r="C1" s="536"/>
      <c r="D1" s="536"/>
      <c r="E1" s="536"/>
      <c r="F1" s="536"/>
      <c r="G1" s="536"/>
      <c r="H1" s="536"/>
      <c r="I1" s="536"/>
      <c r="J1" s="536"/>
    </row>
    <row r="2" spans="1:10" s="393" customFormat="1" ht="21" customHeight="1">
      <c r="A2" s="537" t="s">
        <v>114</v>
      </c>
      <c r="B2" s="537"/>
      <c r="C2" s="537"/>
      <c r="D2" s="537"/>
      <c r="E2" s="537"/>
      <c r="F2" s="537"/>
      <c r="G2" s="537"/>
      <c r="H2" s="537"/>
      <c r="I2" s="537"/>
      <c r="J2" s="537"/>
    </row>
    <row r="3" spans="1:10" ht="20.100000000000001" customHeight="1">
      <c r="A3" s="273" t="str">
        <f>底稿目录!A2</f>
        <v>被审计单位：</v>
      </c>
      <c r="D3" s="292" t="str">
        <f>底稿目录!A4</f>
        <v>编制人：</v>
      </c>
      <c r="G3" s="292" t="str">
        <f>底稿目录!A5</f>
        <v>编制日期：</v>
      </c>
      <c r="I3" s="406" t="s">
        <v>38</v>
      </c>
      <c r="J3" s="510" t="str">
        <f>底稿目录!F5</f>
        <v>G1-1</v>
      </c>
    </row>
    <row r="4" spans="1:10" ht="20.100000000000001" customHeight="1">
      <c r="A4" s="273" t="str">
        <f>底稿目录!A3</f>
        <v>截止日：202X年12月31日</v>
      </c>
      <c r="B4" s="398"/>
      <c r="D4" s="292" t="str">
        <f>底稿目录!A6</f>
        <v>复核人：</v>
      </c>
      <c r="G4" s="292" t="str">
        <f>底稿目录!A7</f>
        <v>复核日期：</v>
      </c>
      <c r="I4" s="407" t="s">
        <v>39</v>
      </c>
    </row>
    <row r="5" spans="1:10" ht="19.5" customHeight="1">
      <c r="A5" s="543" t="s">
        <v>115</v>
      </c>
      <c r="B5" s="538" t="s">
        <v>116</v>
      </c>
      <c r="C5" s="539"/>
      <c r="D5" s="540"/>
      <c r="E5" s="538" t="s">
        <v>117</v>
      </c>
      <c r="F5" s="539"/>
      <c r="G5" s="540"/>
      <c r="H5" s="541" t="s">
        <v>118</v>
      </c>
      <c r="I5" s="542"/>
      <c r="J5" s="545" t="s">
        <v>119</v>
      </c>
    </row>
    <row r="6" spans="1:10" ht="20.100000000000001" customHeight="1">
      <c r="A6" s="544"/>
      <c r="B6" s="399" t="s">
        <v>120</v>
      </c>
      <c r="C6" s="399" t="s">
        <v>121</v>
      </c>
      <c r="D6" s="399" t="s">
        <v>122</v>
      </c>
      <c r="E6" s="399" t="s">
        <v>120</v>
      </c>
      <c r="F6" s="399" t="s">
        <v>121</v>
      </c>
      <c r="G6" s="399" t="s">
        <v>122</v>
      </c>
      <c r="H6" s="400" t="s">
        <v>123</v>
      </c>
      <c r="I6" s="408" t="s">
        <v>124</v>
      </c>
      <c r="J6" s="546"/>
    </row>
    <row r="7" spans="1:10" s="394" customFormat="1" ht="20.100000000000001" customHeight="1">
      <c r="A7" s="401" t="s">
        <v>125</v>
      </c>
      <c r="B7" s="402"/>
      <c r="C7" s="402"/>
      <c r="D7" s="402"/>
      <c r="E7" s="402"/>
      <c r="F7" s="402"/>
      <c r="G7" s="402"/>
      <c r="H7" s="403"/>
      <c r="I7" s="409"/>
      <c r="J7" s="403"/>
    </row>
    <row r="8" spans="1:10" s="394" customFormat="1" ht="20.100000000000001" customHeight="1">
      <c r="A8" s="404" t="s">
        <v>41</v>
      </c>
      <c r="B8" s="202">
        <f>SUM(B9:B15)</f>
        <v>0</v>
      </c>
      <c r="C8" s="202">
        <f t="shared" ref="C8" si="0">SUM(C9:C15)</f>
        <v>0</v>
      </c>
      <c r="D8" s="202">
        <f t="shared" ref="D8" si="1">SUM(D9:D15)</f>
        <v>0</v>
      </c>
      <c r="E8" s="202">
        <f t="shared" ref="E8" si="2">SUM(E9:E15)</f>
        <v>0</v>
      </c>
      <c r="F8" s="202">
        <f t="shared" ref="F8" si="3">SUM(F9:F15)</f>
        <v>0</v>
      </c>
      <c r="G8" s="202">
        <f t="shared" ref="G8" si="4">SUM(G9:G15)</f>
        <v>0</v>
      </c>
      <c r="H8" s="202">
        <f t="shared" ref="H8" si="5">SUM(H9:H15)</f>
        <v>0</v>
      </c>
      <c r="I8" s="410" t="str">
        <f t="shared" ref="I8:I27" si="6">IF(AND(D8=0,G8=0),"",IF(AND(D8=0,G8&gt;0),1,H8/D8))</f>
        <v/>
      </c>
      <c r="J8" s="411"/>
    </row>
    <row r="9" spans="1:10" s="394" customFormat="1" ht="20.100000000000001" customHeight="1">
      <c r="A9" s="404" t="s">
        <v>126</v>
      </c>
      <c r="B9" s="202">
        <f>SUMIF('明细表G1-2'!A12:A16,"债务工具投资",'明细表G1-2'!C12:C16)</f>
        <v>0</v>
      </c>
      <c r="C9" s="202">
        <f>SUMIF('明细表G1-2'!A12:A16,"债务工具投资",'明细表G1-2'!F12:F16)</f>
        <v>0</v>
      </c>
      <c r="D9" s="202">
        <f>B9+C9</f>
        <v>0</v>
      </c>
      <c r="E9" s="202">
        <f>SUMIF('明细表G1-2'!A12:A16,"债务工具投资",'明细表G1-2'!P12:P16)</f>
        <v>0</v>
      </c>
      <c r="F9" s="202">
        <f>SUMIF('明细表G1-2'!A12:A16,"债务工具投资",'明细表G1-2'!S12:S16)</f>
        <v>0</v>
      </c>
      <c r="G9" s="202">
        <f>E9+F9</f>
        <v>0</v>
      </c>
      <c r="H9" s="202">
        <f>G9-D9</f>
        <v>0</v>
      </c>
      <c r="I9" s="410" t="str">
        <f t="shared" si="6"/>
        <v/>
      </c>
      <c r="J9" s="411"/>
    </row>
    <row r="10" spans="1:10" s="394" customFormat="1" ht="20.100000000000001" customHeight="1">
      <c r="A10" s="404" t="s">
        <v>127</v>
      </c>
      <c r="B10" s="202">
        <f>SUMIF('明细表G1-2'!A12:A16,"权益工具投资",'明细表G1-2'!C12:C16)</f>
        <v>0</v>
      </c>
      <c r="C10" s="202">
        <f>SUMIF('明细表G1-2'!A12:A16,"权益工具投资",'明细表G1-2'!F12:F16)</f>
        <v>0</v>
      </c>
      <c r="D10" s="202">
        <f>B10+C10</f>
        <v>0</v>
      </c>
      <c r="E10" s="202">
        <f>SUMIF('明细表G1-2'!A12:A16,"权益工具投资",'明细表G1-2'!P12:P16)</f>
        <v>0</v>
      </c>
      <c r="F10" s="202">
        <f>SUMIF('明细表G1-2'!A12:A16,"权益工具投资",'明细表G1-2'!S12:S16)</f>
        <v>0</v>
      </c>
      <c r="G10" s="202">
        <f t="shared" ref="G10:G15" si="7">E10+F10</f>
        <v>0</v>
      </c>
      <c r="H10" s="202">
        <f>G10-D10</f>
        <v>0</v>
      </c>
      <c r="I10" s="410" t="str">
        <f t="shared" si="6"/>
        <v/>
      </c>
      <c r="J10" s="411"/>
    </row>
    <row r="11" spans="1:10" s="394" customFormat="1" ht="20.100000000000001" customHeight="1">
      <c r="A11" s="404" t="s">
        <v>128</v>
      </c>
      <c r="B11" s="202">
        <f>SUMIF('明细表G1-2'!A12:A16,"衍生金融资产",'明细表G1-2'!C12:C16)</f>
        <v>0</v>
      </c>
      <c r="C11" s="202">
        <f>SUMIF('明细表G1-2'!A12:A16,"衍生金融资产",'明细表G1-2'!A12:A16)</f>
        <v>0</v>
      </c>
      <c r="D11" s="202">
        <f>B11+C11</f>
        <v>0</v>
      </c>
      <c r="E11" s="202">
        <f>SUMIF('明细表G1-2'!A12:A16,"衍生金融资产",'明细表G1-2'!P12:P16)</f>
        <v>0</v>
      </c>
      <c r="F11" s="202">
        <f>SUMIF('明细表G1-2'!A12:A16,"衍生金融资产",'明细表G1-2'!S12:S16)</f>
        <v>0</v>
      </c>
      <c r="G11" s="202">
        <f t="shared" si="7"/>
        <v>0</v>
      </c>
      <c r="H11" s="202">
        <f>G11-D11</f>
        <v>0</v>
      </c>
      <c r="I11" s="410" t="str">
        <f t="shared" si="6"/>
        <v/>
      </c>
      <c r="J11" s="411"/>
    </row>
    <row r="12" spans="1:10" s="394" customFormat="1" ht="20.100000000000001" customHeight="1">
      <c r="A12" s="485" t="s">
        <v>129</v>
      </c>
      <c r="B12" s="202">
        <f>SUMIF('明细表G1-2'!A12:A16,"理财产品",'明细表G1-2'!C12:C16)</f>
        <v>0</v>
      </c>
      <c r="C12" s="202">
        <f>SUMIF('明细表G1-2'!A12:A16,"理财产品",'明细表G1-2'!A12:A16)</f>
        <v>0</v>
      </c>
      <c r="D12" s="202">
        <f t="shared" ref="D12:D15" si="8">B12+C12</f>
        <v>0</v>
      </c>
      <c r="E12" s="202">
        <f>SUMIF('明细表G1-2'!A12:A16,"理财产品",'明细表G1-2'!P12:P16)</f>
        <v>0</v>
      </c>
      <c r="F12" s="202">
        <f>SUMIF('明细表G1-2'!A12:A16,"理财产品",'明细表G1-2'!S12:S16)</f>
        <v>0</v>
      </c>
      <c r="G12" s="202">
        <f t="shared" ref="G12:G14" si="9">E12+F12</f>
        <v>0</v>
      </c>
      <c r="H12" s="202">
        <f t="shared" ref="H12:H15" si="10">G12-D12</f>
        <v>0</v>
      </c>
      <c r="I12" s="410" t="str">
        <f t="shared" si="6"/>
        <v/>
      </c>
      <c r="J12" s="411"/>
    </row>
    <row r="13" spans="1:10" s="394" customFormat="1" ht="20.100000000000001" customHeight="1">
      <c r="A13" s="485" t="s">
        <v>130</v>
      </c>
      <c r="B13" s="202">
        <f>SUMIF('明细表G1-2'!A12:A16,"结构性存款",'明细表G1-2'!C12:C16)</f>
        <v>0</v>
      </c>
      <c r="C13" s="202">
        <f>SUMIF('明细表G1-2'!A12:A16,"结构性存款",'明细表G1-2'!A12:A16)</f>
        <v>0</v>
      </c>
      <c r="D13" s="202">
        <f t="shared" si="8"/>
        <v>0</v>
      </c>
      <c r="E13" s="202">
        <f>SUMIF('明细表G1-2'!A12:A16,"结构性存款",'明细表G1-2'!P12:P16)</f>
        <v>0</v>
      </c>
      <c r="F13" s="202">
        <f>SUMIF('明细表G1-2'!A12:A16,"结构性存款",'明细表G1-2'!S12:S16)</f>
        <v>0</v>
      </c>
      <c r="G13" s="202">
        <f t="shared" si="9"/>
        <v>0</v>
      </c>
      <c r="H13" s="202">
        <f t="shared" si="10"/>
        <v>0</v>
      </c>
      <c r="I13" s="410" t="str">
        <f t="shared" si="6"/>
        <v/>
      </c>
      <c r="J13" s="411"/>
    </row>
    <row r="14" spans="1:10" s="394" customFormat="1" ht="20.100000000000001" customHeight="1">
      <c r="A14" s="485" t="s">
        <v>131</v>
      </c>
      <c r="B14" s="202">
        <f>SUMIF('明细表G1-2'!A12:A16,"基金",'明细表G1-2'!C12:C16)</f>
        <v>0</v>
      </c>
      <c r="C14" s="202">
        <f>SUMIF('明细表G1-2'!A12:A16,"基金",'明细表G1-2'!A12:A16)</f>
        <v>0</v>
      </c>
      <c r="D14" s="202">
        <f t="shared" si="8"/>
        <v>0</v>
      </c>
      <c r="E14" s="202">
        <f>SUMIF('明细表G1-2'!A12:A16,"基金",'明细表G1-2'!P12:P16)</f>
        <v>0</v>
      </c>
      <c r="F14" s="202">
        <f>SUMIF('明细表G1-2'!A12:A16,"基金",'明细表G1-2'!S12:S16)</f>
        <v>0</v>
      </c>
      <c r="G14" s="202">
        <f t="shared" si="9"/>
        <v>0</v>
      </c>
      <c r="H14" s="202">
        <f t="shared" si="10"/>
        <v>0</v>
      </c>
      <c r="I14" s="410" t="str">
        <f t="shared" si="6"/>
        <v/>
      </c>
      <c r="J14" s="411"/>
    </row>
    <row r="15" spans="1:10" s="394" customFormat="1" ht="20.100000000000001" customHeight="1">
      <c r="A15" s="404" t="s">
        <v>132</v>
      </c>
      <c r="B15" s="202">
        <f>SUMIF('明细表G1-2'!A12:A16,"其他",'明细表G1-2'!C12:C16)</f>
        <v>0</v>
      </c>
      <c r="C15" s="202">
        <f>SUMIF('明细表G1-2'!A12:A16,"其他",'明细表G1-2'!A12:A16)</f>
        <v>0</v>
      </c>
      <c r="D15" s="202">
        <f t="shared" si="8"/>
        <v>0</v>
      </c>
      <c r="E15" s="202">
        <f>SUMIF('明细表G1-2'!A12:A16,"其他",'明细表G1-2'!P12:P16)</f>
        <v>0</v>
      </c>
      <c r="F15" s="202">
        <f>SUMIF('明细表G1-2'!A12:A16,"其他",'明细表G1-2'!S12:S16)</f>
        <v>0</v>
      </c>
      <c r="G15" s="202">
        <f t="shared" si="7"/>
        <v>0</v>
      </c>
      <c r="H15" s="202">
        <f t="shared" si="10"/>
        <v>0</v>
      </c>
      <c r="I15" s="410" t="str">
        <f t="shared" si="6"/>
        <v/>
      </c>
      <c r="J15" s="411"/>
    </row>
    <row r="16" spans="1:10" s="394" customFormat="1" ht="31.5" customHeight="1">
      <c r="A16" s="405" t="s">
        <v>133</v>
      </c>
      <c r="B16" s="202">
        <f>SUM(B17:B23)</f>
        <v>0</v>
      </c>
      <c r="C16" s="202">
        <f t="shared" ref="C16:H16" si="11">SUM(C17:C23)</f>
        <v>0</v>
      </c>
      <c r="D16" s="202">
        <f t="shared" si="11"/>
        <v>0</v>
      </c>
      <c r="E16" s="202">
        <f t="shared" si="11"/>
        <v>0</v>
      </c>
      <c r="F16" s="202">
        <f t="shared" si="11"/>
        <v>0</v>
      </c>
      <c r="G16" s="202">
        <f t="shared" si="11"/>
        <v>0</v>
      </c>
      <c r="H16" s="202">
        <f t="shared" si="11"/>
        <v>0</v>
      </c>
      <c r="I16" s="410" t="str">
        <f t="shared" si="6"/>
        <v/>
      </c>
      <c r="J16" s="411"/>
    </row>
    <row r="17" spans="1:10" s="394" customFormat="1" ht="20.100000000000001" customHeight="1">
      <c r="A17" s="404" t="s">
        <v>126</v>
      </c>
      <c r="B17" s="202">
        <f>SUMIF('明细表G1-2'!A19:A23,"债务工具投资",'明细表G1-2'!C19:C23)</f>
        <v>0</v>
      </c>
      <c r="C17" s="202">
        <f>SUMIF('明细表G1-2'!A19:A23,"债务工具投资",'明细表G1-2'!F19:F23)</f>
        <v>0</v>
      </c>
      <c r="D17" s="202">
        <f>B17+C17</f>
        <v>0</v>
      </c>
      <c r="E17" s="202">
        <f>SUMIF('明细表G1-2'!A19:A23,"债务工具投资",'明细表G1-2'!P19:P23)</f>
        <v>0</v>
      </c>
      <c r="F17" s="202">
        <f>SUMIF('明细表G1-2'!A19:A23,"债务工具投资",'明细表G1-2'!S19:S23)</f>
        <v>0</v>
      </c>
      <c r="G17" s="202">
        <f t="shared" ref="G17:G23" si="12">E17+F17</f>
        <v>0</v>
      </c>
      <c r="H17" s="202">
        <f>G17-D17</f>
        <v>0</v>
      </c>
      <c r="I17" s="410" t="str">
        <f t="shared" si="6"/>
        <v/>
      </c>
      <c r="J17" s="411"/>
    </row>
    <row r="18" spans="1:10" s="394" customFormat="1" ht="20.100000000000001" customHeight="1">
      <c r="A18" s="404" t="s">
        <v>127</v>
      </c>
      <c r="B18" s="202">
        <f>SUMIF('明细表G1-2'!A19:A23,"权益工具投资",'明细表G1-2'!C19:C23)</f>
        <v>0</v>
      </c>
      <c r="C18" s="202">
        <f>SUMIF('明细表G1-2'!A19:A23,"权益工具投资",'明细表G1-2'!F19:F23)</f>
        <v>0</v>
      </c>
      <c r="D18" s="202">
        <f>B18+C18</f>
        <v>0</v>
      </c>
      <c r="E18" s="202">
        <f>SUMIF('明细表G1-2'!A19:A23,"权益工具投资",'明细表G1-2'!P19:P23)</f>
        <v>0</v>
      </c>
      <c r="F18" s="202">
        <f>SUMIF('明细表G1-2'!A19:A23,"权益工具投资",'明细表G1-2'!S19:S23)</f>
        <v>0</v>
      </c>
      <c r="G18" s="202">
        <f t="shared" si="12"/>
        <v>0</v>
      </c>
      <c r="H18" s="202">
        <f>G18-D18</f>
        <v>0</v>
      </c>
      <c r="I18" s="410" t="str">
        <f t="shared" si="6"/>
        <v/>
      </c>
      <c r="J18" s="411"/>
    </row>
    <row r="19" spans="1:10" s="394" customFormat="1" ht="20.100000000000001" customHeight="1">
      <c r="A19" s="404" t="s">
        <v>128</v>
      </c>
      <c r="B19" s="202">
        <f>SUMIF('明细表G1-2'!A19:A23,"衍生金融资产",'明细表G1-2'!C19:C23)</f>
        <v>0</v>
      </c>
      <c r="C19" s="202">
        <f>SUMIF('明细表G1-2'!A19:A23,"衍生金融资产",'明细表G1-2'!F19:F23)</f>
        <v>0</v>
      </c>
      <c r="D19" s="202">
        <f>B19+C19</f>
        <v>0</v>
      </c>
      <c r="E19" s="202">
        <f>SUMIF('明细表G1-2'!A19:A23,"衍生金融资产",'明细表G1-2'!P19:P23)</f>
        <v>0</v>
      </c>
      <c r="F19" s="202">
        <f>SUMIF('明细表G1-2'!A19:A23,"衍生金融资产",'明细表G1-2'!S19:S23)</f>
        <v>0</v>
      </c>
      <c r="G19" s="202">
        <f t="shared" si="12"/>
        <v>0</v>
      </c>
      <c r="H19" s="202">
        <f>G19-D19</f>
        <v>0</v>
      </c>
      <c r="I19" s="410" t="str">
        <f t="shared" si="6"/>
        <v/>
      </c>
      <c r="J19" s="411"/>
    </row>
    <row r="20" spans="1:10" s="394" customFormat="1" ht="20.100000000000001" customHeight="1">
      <c r="A20" s="485" t="s">
        <v>129</v>
      </c>
      <c r="B20" s="202">
        <f>SUMIF('明细表G1-2'!A19:A23,"理财产品",'明细表G1-2'!C19:C23)</f>
        <v>0</v>
      </c>
      <c r="C20" s="202">
        <f>SUMIF('明细表G1-2'!A19:A23,"理财产品",'明细表G1-2'!F19:F23)</f>
        <v>0</v>
      </c>
      <c r="D20" s="202">
        <f t="shared" ref="D20:D23" si="13">B20+C20</f>
        <v>0</v>
      </c>
      <c r="E20" s="202">
        <f>SUMIF('明细表G1-2'!A19:A23,"理财产品",'明细表G1-2'!P19:P23)</f>
        <v>0</v>
      </c>
      <c r="F20" s="202">
        <f>SUMIF('明细表G1-2'!A20:A24,"理财产品",'明细表G1-2'!S20:S24)</f>
        <v>0</v>
      </c>
      <c r="G20" s="202">
        <f t="shared" si="12"/>
        <v>0</v>
      </c>
      <c r="H20" s="202">
        <f t="shared" ref="H20:H23" si="14">G20-D20</f>
        <v>0</v>
      </c>
      <c r="I20" s="410" t="str">
        <f t="shared" ref="I20:I22" si="15">IF(AND(D20=0,G20=0),"",IF(AND(D20=0,G20&gt;0),1,H20/D20))</f>
        <v/>
      </c>
      <c r="J20" s="411"/>
    </row>
    <row r="21" spans="1:10" s="394" customFormat="1" ht="20.100000000000001" customHeight="1">
      <c r="A21" s="485" t="s">
        <v>130</v>
      </c>
      <c r="B21" s="202">
        <f>SUMIF('明细表G1-2'!A19:A23,"结构性存款",'明细表G1-2'!C19:C23)</f>
        <v>0</v>
      </c>
      <c r="C21" s="202">
        <f>SUMIF('明细表G1-2'!A19:A23,"结构性存款",'明细表G1-2'!F19:F23)</f>
        <v>0</v>
      </c>
      <c r="D21" s="202">
        <f t="shared" si="13"/>
        <v>0</v>
      </c>
      <c r="E21" s="202">
        <f>SUMIF('明细表G1-2'!A19:A23,"结构性存款",'明细表G1-2'!P19:P23)</f>
        <v>0</v>
      </c>
      <c r="F21" s="202">
        <f>SUMIF('明细表G1-2'!A20:A24,"结构性存款",'明细表G1-2'!S20:S24)</f>
        <v>0</v>
      </c>
      <c r="G21" s="202">
        <f t="shared" si="12"/>
        <v>0</v>
      </c>
      <c r="H21" s="202">
        <f t="shared" si="14"/>
        <v>0</v>
      </c>
      <c r="I21" s="410" t="str">
        <f t="shared" si="15"/>
        <v/>
      </c>
      <c r="J21" s="411"/>
    </row>
    <row r="22" spans="1:10" s="394" customFormat="1" ht="20.100000000000001" customHeight="1">
      <c r="A22" s="485" t="s">
        <v>131</v>
      </c>
      <c r="B22" s="202">
        <f>SUMIF('明细表G1-2'!A19:A23,"基金",'明细表G1-2'!C19:C23)</f>
        <v>0</v>
      </c>
      <c r="C22" s="202">
        <f>SUMIF('明细表G1-2'!A19:A23,"基金",'明细表G1-2'!F19:F23)</f>
        <v>0</v>
      </c>
      <c r="D22" s="202">
        <f t="shared" si="13"/>
        <v>0</v>
      </c>
      <c r="E22" s="202">
        <f>SUMIF('明细表G1-2'!A19:A23,"基金",'明细表G1-2'!P19:P23)</f>
        <v>0</v>
      </c>
      <c r="F22" s="202">
        <f>SUMIF('明细表G1-2'!A20:A24,"基金",'明细表G1-2'!S20:S24)</f>
        <v>0</v>
      </c>
      <c r="G22" s="202">
        <f t="shared" si="12"/>
        <v>0</v>
      </c>
      <c r="H22" s="202">
        <f t="shared" si="14"/>
        <v>0</v>
      </c>
      <c r="I22" s="410" t="str">
        <f t="shared" si="15"/>
        <v/>
      </c>
      <c r="J22" s="411"/>
    </row>
    <row r="23" spans="1:10" s="394" customFormat="1" ht="20.100000000000001" customHeight="1">
      <c r="A23" s="404" t="s">
        <v>132</v>
      </c>
      <c r="B23" s="202">
        <f>SUMIF('明细表G1-2'!A19:A23,"其他",'明细表G1-2'!C19:C23)</f>
        <v>0</v>
      </c>
      <c r="C23" s="202">
        <f>SUMIF('明细表G1-2'!A19:A23,"其他",'明细表G1-2'!F19:F23)</f>
        <v>0</v>
      </c>
      <c r="D23" s="202">
        <f t="shared" si="13"/>
        <v>0</v>
      </c>
      <c r="E23" s="202">
        <f>SUMIF('明细表G1-2'!A19:A23,"其他",'明细表G1-2'!P19:P23)</f>
        <v>0</v>
      </c>
      <c r="F23" s="202">
        <f>SUMIF('明细表G1-2'!A19:A23,"其他",'明细表G1-2'!S19:S23)</f>
        <v>0</v>
      </c>
      <c r="G23" s="202">
        <f t="shared" si="12"/>
        <v>0</v>
      </c>
      <c r="H23" s="202">
        <f t="shared" si="14"/>
        <v>0</v>
      </c>
      <c r="I23" s="410" t="str">
        <f t="shared" si="6"/>
        <v/>
      </c>
      <c r="J23" s="411"/>
    </row>
    <row r="24" spans="1:10" s="394" customFormat="1" ht="31.5" customHeight="1">
      <c r="A24" s="405" t="s">
        <v>134</v>
      </c>
      <c r="B24" s="202">
        <f>SUM(B25:B26)</f>
        <v>0</v>
      </c>
      <c r="C24" s="202">
        <f t="shared" ref="C24:H24" si="16">SUM(C25:C26)</f>
        <v>0</v>
      </c>
      <c r="D24" s="202">
        <f t="shared" si="16"/>
        <v>0</v>
      </c>
      <c r="E24" s="202">
        <f t="shared" si="16"/>
        <v>0</v>
      </c>
      <c r="F24" s="202">
        <f t="shared" si="16"/>
        <v>0</v>
      </c>
      <c r="G24" s="202">
        <f t="shared" si="16"/>
        <v>0</v>
      </c>
      <c r="H24" s="202">
        <f t="shared" si="16"/>
        <v>0</v>
      </c>
      <c r="I24" s="410" t="str">
        <f t="shared" si="6"/>
        <v/>
      </c>
      <c r="J24" s="411"/>
    </row>
    <row r="25" spans="1:10" s="394" customFormat="1" ht="20.100000000000001" customHeight="1">
      <c r="A25" s="404" t="s">
        <v>126</v>
      </c>
      <c r="B25" s="202">
        <f>SUMIF('明细表G1-2'!A26:A28,"债务工具投资",'明细表G1-2'!C26:C28)</f>
        <v>0</v>
      </c>
      <c r="C25" s="202">
        <f>SUMIF('明细表G1-2'!A26:A28,"债务工具投资",'明细表G1-2'!F26:F28)</f>
        <v>0</v>
      </c>
      <c r="D25" s="202">
        <f>B25+C25</f>
        <v>0</v>
      </c>
      <c r="E25" s="202">
        <f>SUMIF('明细表G1-2'!A26:A28,"债务工具投资",'明细表G1-2'!P26:P28)</f>
        <v>0</v>
      </c>
      <c r="F25" s="202">
        <f>SUMIF('明细表G1-2'!A26:A28,"债务工具投资",'明细表G1-2'!S26:S28)</f>
        <v>0</v>
      </c>
      <c r="G25" s="202">
        <f t="shared" ref="G25:G26" si="17">E25+F25</f>
        <v>0</v>
      </c>
      <c r="H25" s="202">
        <f>G25-D25</f>
        <v>0</v>
      </c>
      <c r="I25" s="410" t="str">
        <f t="shared" si="6"/>
        <v/>
      </c>
      <c r="J25" s="411"/>
    </row>
    <row r="26" spans="1:10" s="394" customFormat="1" ht="20.100000000000001" customHeight="1">
      <c r="A26" s="404" t="s">
        <v>132</v>
      </c>
      <c r="B26" s="202">
        <f>SUMIF('明细表G1-2'!A26:A28,"其他",'明细表G1-2'!C26:C28)</f>
        <v>0</v>
      </c>
      <c r="C26" s="202">
        <f>SUMIF('明细表G1-2'!A26:A28,"其他",'明细表G1-2'!F26:F28)</f>
        <v>0</v>
      </c>
      <c r="D26" s="202">
        <f>B26+C26</f>
        <v>0</v>
      </c>
      <c r="E26" s="202">
        <f>SUMIF('明细表G1-2'!A26:A28,"其他",'明细表G1-2'!P26:P28)</f>
        <v>0</v>
      </c>
      <c r="F26" s="202">
        <f>SUMIF('明细表G1-2'!A26:A28,"其他",'明细表G1-2'!S26:S28)</f>
        <v>0</v>
      </c>
      <c r="G26" s="202">
        <f t="shared" si="17"/>
        <v>0</v>
      </c>
      <c r="H26" s="202">
        <f>G26-D26</f>
        <v>0</v>
      </c>
      <c r="I26" s="410" t="str">
        <f t="shared" si="6"/>
        <v/>
      </c>
      <c r="J26" s="411"/>
    </row>
    <row r="27" spans="1:10" s="394" customFormat="1" ht="20.100000000000001" customHeight="1">
      <c r="A27" s="401" t="s">
        <v>135</v>
      </c>
      <c r="B27" s="202">
        <f>SUM(B8,B16,B24)</f>
        <v>0</v>
      </c>
      <c r="C27" s="202">
        <f t="shared" ref="C27:G27" si="18">SUM(C8,C16,C24)</f>
        <v>0</v>
      </c>
      <c r="D27" s="202">
        <f t="shared" si="18"/>
        <v>0</v>
      </c>
      <c r="E27" s="202">
        <f t="shared" si="18"/>
        <v>0</v>
      </c>
      <c r="F27" s="202">
        <f t="shared" si="18"/>
        <v>0</v>
      </c>
      <c r="G27" s="202">
        <f t="shared" si="18"/>
        <v>0</v>
      </c>
      <c r="H27" s="202">
        <f t="shared" ref="H27" si="19">SUM(H8,H24)</f>
        <v>0</v>
      </c>
      <c r="I27" s="410" t="str">
        <f t="shared" si="6"/>
        <v/>
      </c>
      <c r="J27" s="411"/>
    </row>
    <row r="28" spans="1:10" s="394" customFormat="1" ht="20.100000000000001" customHeight="1">
      <c r="A28" s="401" t="s">
        <v>136</v>
      </c>
      <c r="B28" s="202"/>
      <c r="C28" s="202"/>
      <c r="D28" s="202"/>
      <c r="E28" s="202"/>
      <c r="F28" s="202"/>
      <c r="G28" s="202"/>
      <c r="H28" s="202"/>
      <c r="I28" s="410"/>
      <c r="J28" s="403"/>
    </row>
    <row r="29" spans="1:10" s="394" customFormat="1" ht="20.100000000000001" customHeight="1">
      <c r="A29" s="404" t="s">
        <v>41</v>
      </c>
      <c r="B29" s="202">
        <f t="shared" ref="B29:H29" si="20">SUM(B30:B36)</f>
        <v>0</v>
      </c>
      <c r="C29" s="202">
        <f t="shared" si="20"/>
        <v>0</v>
      </c>
      <c r="D29" s="202">
        <f t="shared" si="20"/>
        <v>0</v>
      </c>
      <c r="E29" s="202">
        <f t="shared" si="20"/>
        <v>0</v>
      </c>
      <c r="F29" s="202">
        <f t="shared" si="20"/>
        <v>0</v>
      </c>
      <c r="G29" s="202">
        <f t="shared" si="20"/>
        <v>0</v>
      </c>
      <c r="H29" s="202">
        <f t="shared" si="20"/>
        <v>0</v>
      </c>
      <c r="I29" s="410" t="str">
        <f t="shared" ref="I29:I48" si="21">IF(AND(D29=0,G29=0),"",IF(AND(D29=0,G29&gt;0),1,H29/D29))</f>
        <v/>
      </c>
      <c r="J29" s="411"/>
    </row>
    <row r="30" spans="1:10" s="394" customFormat="1" ht="20.100000000000001" customHeight="1">
      <c r="A30" s="404" t="s">
        <v>126</v>
      </c>
      <c r="B30" s="202">
        <f>SUMIF('明细表G1-2'!A12:A16,"债务工具投资",'明细表G1-2'!D12:D16)</f>
        <v>0</v>
      </c>
      <c r="C30" s="202">
        <f>SUMIF('明细表G1-2'!A12:A16,"债务工具投资",'明细表G1-2'!G12:G16)</f>
        <v>0</v>
      </c>
      <c r="D30" s="202">
        <f>B30+C30</f>
        <v>0</v>
      </c>
      <c r="E30" s="202">
        <f>SUMIF('明细表G1-2'!A12:A16,"债务工具投资",'明细表G1-2'!Q12:Q16)</f>
        <v>0</v>
      </c>
      <c r="F30" s="202">
        <f>SUMIF('明细表G1-2'!A12:A16,"债务工具投资",'明细表G1-2'!T12:T16)</f>
        <v>0</v>
      </c>
      <c r="G30" s="202">
        <f t="shared" ref="G30:G36" si="22">E30+F30</f>
        <v>0</v>
      </c>
      <c r="H30" s="202">
        <f>G30-D30</f>
        <v>0</v>
      </c>
      <c r="I30" s="410" t="str">
        <f t="shared" si="21"/>
        <v/>
      </c>
      <c r="J30" s="411"/>
    </row>
    <row r="31" spans="1:10" s="394" customFormat="1" ht="20.100000000000001" customHeight="1">
      <c r="A31" s="404" t="s">
        <v>127</v>
      </c>
      <c r="B31" s="202">
        <f>SUMIF('明细表G1-2'!A12:A16,"权益工具投资",'明细表G1-2'!D12:D16)</f>
        <v>0</v>
      </c>
      <c r="C31" s="202">
        <f>SUMIF('明细表G1-2'!A12:A16,"权益工具投资",'明细表G1-2'!G12:G16)</f>
        <v>0</v>
      </c>
      <c r="D31" s="202">
        <f t="shared" ref="D31:D36" si="23">B31+C31</f>
        <v>0</v>
      </c>
      <c r="E31" s="202">
        <f>SUMIF('明细表G1-2'!A12:A16,"权益工具投资",'明细表G1-2'!Q12:Q16)</f>
        <v>0</v>
      </c>
      <c r="F31" s="202">
        <f>SUMIF('明细表G1-2'!A12:A16,"权益工具投资",'明细表G1-2'!T12:T16)</f>
        <v>0</v>
      </c>
      <c r="G31" s="202">
        <f t="shared" si="22"/>
        <v>0</v>
      </c>
      <c r="H31" s="202">
        <f>G31-D31</f>
        <v>0</v>
      </c>
      <c r="I31" s="410" t="str">
        <f t="shared" si="21"/>
        <v/>
      </c>
      <c r="J31" s="411"/>
    </row>
    <row r="32" spans="1:10" s="394" customFormat="1" ht="20.100000000000001" customHeight="1">
      <c r="A32" s="404" t="s">
        <v>128</v>
      </c>
      <c r="B32" s="202">
        <f>SUMIF('明细表G1-2'!A12:A16,"衍生金融资产",'明细表G1-2'!D12:D16)</f>
        <v>0</v>
      </c>
      <c r="C32" s="202">
        <f>SUMIF('明细表G1-2'!A12:A16,"衍生金融资产",'明细表G1-2'!G12:G16)</f>
        <v>0</v>
      </c>
      <c r="D32" s="202">
        <f t="shared" si="23"/>
        <v>0</v>
      </c>
      <c r="E32" s="202">
        <f>SUMIF('明细表G1-2'!A12:A16,"衍生金融资产",'明细表G1-2'!Q12:Q16)</f>
        <v>0</v>
      </c>
      <c r="F32" s="202">
        <f>SUMIF('明细表G1-2'!A12:A16,"衍生金融资产",'明细表G1-2'!T12:T16)</f>
        <v>0</v>
      </c>
      <c r="G32" s="202">
        <f t="shared" si="22"/>
        <v>0</v>
      </c>
      <c r="H32" s="202">
        <f>G32-D32</f>
        <v>0</v>
      </c>
      <c r="I32" s="410" t="str">
        <f t="shared" si="21"/>
        <v/>
      </c>
      <c r="J32" s="411"/>
    </row>
    <row r="33" spans="1:10" s="394" customFormat="1" ht="20.100000000000001" customHeight="1">
      <c r="A33" s="485" t="s">
        <v>129</v>
      </c>
      <c r="B33" s="202">
        <f>SUMIF('明细表G1-2'!A12:A16,"理财产品",'明细表G1-2'!D12:D16)</f>
        <v>0</v>
      </c>
      <c r="C33" s="202">
        <f>SUMIF('明细表G1-2'!A31:A34,"理财产品",'明细表G1-2'!A31:A34)</f>
        <v>0</v>
      </c>
      <c r="D33" s="202">
        <f t="shared" si="23"/>
        <v>0</v>
      </c>
      <c r="E33" s="202">
        <f>SUMIF('明细表G1-2'!A12:A16,"理财产品",'明细表G1-2'!Q12:Q16)</f>
        <v>0</v>
      </c>
      <c r="F33" s="202">
        <f>SUMIF('明细表G1-2'!A31:A34,"理财产品",'明细表G1-2'!S31:S34)</f>
        <v>0</v>
      </c>
      <c r="G33" s="202">
        <f t="shared" ref="G33:G35" si="24">E33+F33</f>
        <v>0</v>
      </c>
      <c r="H33" s="202">
        <f t="shared" ref="H33:H36" si="25">G33-D33</f>
        <v>0</v>
      </c>
      <c r="I33" s="410" t="str">
        <f t="shared" ref="I33:I35" si="26">IF(AND(D33=0,G33=0),"",IF(AND(D33=0,G33&gt;0),1,H33/D33))</f>
        <v/>
      </c>
      <c r="J33" s="411"/>
    </row>
    <row r="34" spans="1:10" s="394" customFormat="1" ht="20.100000000000001" customHeight="1">
      <c r="A34" s="485" t="s">
        <v>130</v>
      </c>
      <c r="B34" s="202">
        <f>SUMIF('明细表G1-2'!A12:A16,"结构性存款",'明细表G1-2'!D12:D16)</f>
        <v>0</v>
      </c>
      <c r="C34" s="202">
        <f>SUMIF('明细表G1-2'!A31:A34,"结构性存款",'明细表G1-2'!A31:A34)</f>
        <v>0</v>
      </c>
      <c r="D34" s="202">
        <f t="shared" si="23"/>
        <v>0</v>
      </c>
      <c r="E34" s="202">
        <f>SUMIF('明细表G1-2'!A12:A16,"结构性存款",'明细表G1-2'!Q12:Q16)</f>
        <v>0</v>
      </c>
      <c r="F34" s="202">
        <f>SUMIF('明细表G1-2'!A31:A34,"结构性存款",'明细表G1-2'!S31:S34)</f>
        <v>0</v>
      </c>
      <c r="G34" s="202">
        <f t="shared" si="24"/>
        <v>0</v>
      </c>
      <c r="H34" s="202">
        <f t="shared" si="25"/>
        <v>0</v>
      </c>
      <c r="I34" s="410" t="str">
        <f t="shared" si="26"/>
        <v/>
      </c>
      <c r="J34" s="411"/>
    </row>
    <row r="35" spans="1:10" s="394" customFormat="1" ht="20.100000000000001" customHeight="1">
      <c r="A35" s="485" t="s">
        <v>131</v>
      </c>
      <c r="B35" s="202">
        <f>SUMIF('明细表G1-2'!A12:A16,"基金",'明细表G1-2'!D12:D16)</f>
        <v>0</v>
      </c>
      <c r="C35" s="202">
        <f>SUMIF('明细表G1-2'!A31:A34,"基金",'明细表G1-2'!A31:A34)</f>
        <v>0</v>
      </c>
      <c r="D35" s="202">
        <f t="shared" si="23"/>
        <v>0</v>
      </c>
      <c r="E35" s="202">
        <f>SUMIF('明细表G1-2'!A12:A16,"基金",'明细表G1-2'!Q12:Q16)</f>
        <v>0</v>
      </c>
      <c r="F35" s="202">
        <f>SUMIF('明细表G1-2'!A31:A34,"基金",'明细表G1-2'!S31:S34)</f>
        <v>0</v>
      </c>
      <c r="G35" s="202">
        <f t="shared" si="24"/>
        <v>0</v>
      </c>
      <c r="H35" s="202">
        <f t="shared" si="25"/>
        <v>0</v>
      </c>
      <c r="I35" s="410" t="str">
        <f t="shared" si="26"/>
        <v/>
      </c>
      <c r="J35" s="411"/>
    </row>
    <row r="36" spans="1:10" s="394" customFormat="1" ht="20.100000000000001" customHeight="1">
      <c r="A36" s="404" t="s">
        <v>132</v>
      </c>
      <c r="B36" s="202">
        <f>SUMIF('明细表G1-2'!A12:A16,"其他",'明细表G1-2'!D12:D16)</f>
        <v>0</v>
      </c>
      <c r="C36" s="202">
        <f>SUMIF('明细表G1-2'!A12:A16,"其他",'明细表G1-2'!G12:G16)</f>
        <v>0</v>
      </c>
      <c r="D36" s="202">
        <f t="shared" si="23"/>
        <v>0</v>
      </c>
      <c r="E36" s="202">
        <f>SUMIF('明细表G1-2'!A12:A16,"其他",'明细表G1-2'!Q12:Q16)</f>
        <v>0</v>
      </c>
      <c r="F36" s="202">
        <f>SUMIF('明细表G1-2'!A12:A16,"其他",'明细表G1-2'!T12:T16)</f>
        <v>0</v>
      </c>
      <c r="G36" s="202">
        <f t="shared" si="22"/>
        <v>0</v>
      </c>
      <c r="H36" s="202">
        <f t="shared" si="25"/>
        <v>0</v>
      </c>
      <c r="I36" s="410" t="str">
        <f t="shared" si="21"/>
        <v/>
      </c>
      <c r="J36" s="411"/>
    </row>
    <row r="37" spans="1:10" s="394" customFormat="1" ht="31.5" customHeight="1">
      <c r="A37" s="405" t="s">
        <v>133</v>
      </c>
      <c r="B37" s="202">
        <f>SUM(B38:B44)</f>
        <v>0</v>
      </c>
      <c r="C37" s="202">
        <f t="shared" ref="C37:H37" si="27">SUM(C38:C44)</f>
        <v>0</v>
      </c>
      <c r="D37" s="202">
        <f t="shared" si="27"/>
        <v>0</v>
      </c>
      <c r="E37" s="202">
        <f t="shared" si="27"/>
        <v>0</v>
      </c>
      <c r="F37" s="202">
        <f t="shared" si="27"/>
        <v>0</v>
      </c>
      <c r="G37" s="202">
        <f t="shared" si="27"/>
        <v>0</v>
      </c>
      <c r="H37" s="202">
        <f t="shared" si="27"/>
        <v>0</v>
      </c>
      <c r="I37" s="410" t="str">
        <f t="shared" si="21"/>
        <v/>
      </c>
      <c r="J37" s="411"/>
    </row>
    <row r="38" spans="1:10" s="394" customFormat="1" ht="20.100000000000001" customHeight="1">
      <c r="A38" s="404" t="s">
        <v>126</v>
      </c>
      <c r="B38" s="202">
        <f>SUMIF('明细表G1-2'!A19:A23,"债务工具投资",'明细表G1-2'!D19:D23)</f>
        <v>0</v>
      </c>
      <c r="C38" s="202">
        <f>SUMIF('明细表G1-2'!A19:A23,"债务工具投资",'明细表G1-2'!G19:G23)</f>
        <v>0</v>
      </c>
      <c r="D38" s="202">
        <f t="shared" ref="D38:D44" si="28">B38+C38</f>
        <v>0</v>
      </c>
      <c r="E38" s="202">
        <f>SUMIF('明细表G1-2'!A19:A23,"债务工具投资",'明细表G1-2'!Q19:Q23)</f>
        <v>0</v>
      </c>
      <c r="F38" s="202">
        <f>SUMIF('明细表G1-2'!A19:A23,"债务工具投资",'明细表G1-2'!T19:T23)</f>
        <v>0</v>
      </c>
      <c r="G38" s="202">
        <f t="shared" ref="G38:G44" si="29">E38+F38</f>
        <v>0</v>
      </c>
      <c r="H38" s="202">
        <f>G38-D38</f>
        <v>0</v>
      </c>
      <c r="I38" s="410" t="str">
        <f t="shared" si="21"/>
        <v/>
      </c>
      <c r="J38" s="411"/>
    </row>
    <row r="39" spans="1:10" s="394" customFormat="1" ht="20.100000000000001" customHeight="1">
      <c r="A39" s="404" t="s">
        <v>127</v>
      </c>
      <c r="B39" s="202">
        <f>SUMIF('明细表G1-2'!A19:A23,"权益工具投资",'明细表G1-2'!D19:D23)</f>
        <v>0</v>
      </c>
      <c r="C39" s="202">
        <f>SUMIF('明细表G1-2'!A19:A23,"权益工具投资",'明细表G1-2'!G19:G23)</f>
        <v>0</v>
      </c>
      <c r="D39" s="202">
        <f t="shared" si="28"/>
        <v>0</v>
      </c>
      <c r="E39" s="202">
        <f>SUMIF('明细表G1-2'!A19:A23,"权益工具投资",'明细表G1-2'!Q19:Q23)</f>
        <v>0</v>
      </c>
      <c r="F39" s="202">
        <f>SUMIF('明细表G1-2'!A19:A23,"权益工具投资",'明细表G1-2'!T19:T23)</f>
        <v>0</v>
      </c>
      <c r="G39" s="202">
        <f t="shared" si="29"/>
        <v>0</v>
      </c>
      <c r="H39" s="202">
        <f>G39-D39</f>
        <v>0</v>
      </c>
      <c r="I39" s="410" t="str">
        <f t="shared" si="21"/>
        <v/>
      </c>
      <c r="J39" s="411"/>
    </row>
    <row r="40" spans="1:10" s="394" customFormat="1" ht="20.100000000000001" customHeight="1">
      <c r="A40" s="404" t="s">
        <v>128</v>
      </c>
      <c r="B40" s="202">
        <f>SUMIF('明细表G1-2'!A19:A23,"衍生金融资产",'明细表G1-2'!D19:D23)</f>
        <v>0</v>
      </c>
      <c r="C40" s="202">
        <f>SUMIF('明细表G1-2'!A19:A23,"衍生金融资产",'明细表G1-2'!G19:G23)</f>
        <v>0</v>
      </c>
      <c r="D40" s="202">
        <f t="shared" si="28"/>
        <v>0</v>
      </c>
      <c r="E40" s="202">
        <f>SUMIF('明细表G1-2'!A19:A23,"衍生金融资产",'明细表G1-2'!Q19:Q23)</f>
        <v>0</v>
      </c>
      <c r="F40" s="202">
        <f>SUMIF('明细表G1-2'!A19:A23,"衍生金融资产",'明细表G1-2'!T19:T23)</f>
        <v>0</v>
      </c>
      <c r="G40" s="202">
        <f t="shared" si="29"/>
        <v>0</v>
      </c>
      <c r="H40" s="202">
        <f>G40-D40</f>
        <v>0</v>
      </c>
      <c r="I40" s="410" t="str">
        <f t="shared" si="21"/>
        <v/>
      </c>
      <c r="J40" s="411"/>
    </row>
    <row r="41" spans="1:10" s="394" customFormat="1" ht="20.100000000000001" customHeight="1">
      <c r="A41" s="485" t="s">
        <v>129</v>
      </c>
      <c r="B41" s="202">
        <f>SUMIF('明细表G1-2'!A19:A23,"理财产品",'明细表G1-2'!D19:D23)</f>
        <v>0</v>
      </c>
      <c r="C41" s="202">
        <f>SUMIF('明细表G1-2'!A19:A23,"理财产品",'明细表G1-2'!G19:G23)</f>
        <v>0</v>
      </c>
      <c r="D41" s="202">
        <f t="shared" si="28"/>
        <v>0</v>
      </c>
      <c r="E41" s="202">
        <f>SUMIF('明细表G1-2'!A19:A23,"理财产品",'明细表G1-2'!Q19:Q23)</f>
        <v>0</v>
      </c>
      <c r="F41" s="202">
        <f>SUMIF('明细表G1-2'!A19:A23,"理财产品",'明细表G1-2'!T19:T23)</f>
        <v>0</v>
      </c>
      <c r="G41" s="202">
        <f t="shared" ref="G41:G43" si="30">E41+F41</f>
        <v>0</v>
      </c>
      <c r="H41" s="202">
        <f t="shared" ref="H41:H44" si="31">G41-D41</f>
        <v>0</v>
      </c>
      <c r="I41" s="410" t="str">
        <f t="shared" ref="I41:I43" si="32">IF(AND(D41=0,G41=0),"",IF(AND(D41=0,G41&gt;0),1,H41/D41))</f>
        <v/>
      </c>
      <c r="J41" s="411"/>
    </row>
    <row r="42" spans="1:10" s="394" customFormat="1" ht="20.100000000000001" customHeight="1">
      <c r="A42" s="485" t="s">
        <v>130</v>
      </c>
      <c r="B42" s="202">
        <f>SUMIF('明细表G1-2'!A19:A23,"结构性存款",'明细表G1-2'!D19:D23)</f>
        <v>0</v>
      </c>
      <c r="C42" s="202">
        <f>SUMIF('明细表G1-2'!A19:A23,"结构性存款",'明细表G1-2'!G19:G23)</f>
        <v>0</v>
      </c>
      <c r="D42" s="202">
        <f t="shared" si="28"/>
        <v>0</v>
      </c>
      <c r="E42" s="202">
        <f>SUMIF('明细表G1-2'!A19:A23,"结构性存款",'明细表G1-2'!Q19:Q23)</f>
        <v>0</v>
      </c>
      <c r="F42" s="202">
        <f>SUMIF('明细表G1-2'!A19:A23,"结构性存款",'明细表G1-2'!T19:T23)</f>
        <v>0</v>
      </c>
      <c r="G42" s="202">
        <f t="shared" si="30"/>
        <v>0</v>
      </c>
      <c r="H42" s="202">
        <f t="shared" si="31"/>
        <v>0</v>
      </c>
      <c r="I42" s="410" t="str">
        <f t="shared" si="32"/>
        <v/>
      </c>
      <c r="J42" s="411"/>
    </row>
    <row r="43" spans="1:10" s="394" customFormat="1" ht="20.100000000000001" customHeight="1">
      <c r="A43" s="485" t="s">
        <v>131</v>
      </c>
      <c r="B43" s="202">
        <f>SUMIF('明细表G1-2'!A19:A23,"基金",'明细表G1-2'!D19:D23)</f>
        <v>0</v>
      </c>
      <c r="C43" s="202">
        <f>SUMIF('明细表G1-2'!A19:A23,"基金",'明细表G1-2'!G19:G23)</f>
        <v>0</v>
      </c>
      <c r="D43" s="202">
        <f t="shared" si="28"/>
        <v>0</v>
      </c>
      <c r="E43" s="202">
        <f>SUMIF('明细表G1-2'!A19:A23,"基金",'明细表G1-2'!Q19:Q23)</f>
        <v>0</v>
      </c>
      <c r="F43" s="202">
        <f>SUMIF('明细表G1-2'!A19:A23,"基金",'明细表G1-2'!T19:T23)</f>
        <v>0</v>
      </c>
      <c r="G43" s="202">
        <f t="shared" si="30"/>
        <v>0</v>
      </c>
      <c r="H43" s="202">
        <f t="shared" si="31"/>
        <v>0</v>
      </c>
      <c r="I43" s="410" t="str">
        <f t="shared" si="32"/>
        <v/>
      </c>
      <c r="J43" s="411"/>
    </row>
    <row r="44" spans="1:10" s="394" customFormat="1" ht="20.100000000000001" customHeight="1">
      <c r="A44" s="404" t="s">
        <v>132</v>
      </c>
      <c r="B44" s="202">
        <f>SUMIF('明细表G1-2'!A19:A23,"其他",'明细表G1-2'!D19:D23)</f>
        <v>0</v>
      </c>
      <c r="C44" s="202">
        <f>SUMIF('明细表G1-2'!A19:A23,"其他",'明细表G1-2'!G19:G23)</f>
        <v>0</v>
      </c>
      <c r="D44" s="202">
        <f t="shared" si="28"/>
        <v>0</v>
      </c>
      <c r="E44" s="202">
        <f>SUMIF('明细表G1-2'!A19:A23,"其他",'明细表G1-2'!Q19:Q23)</f>
        <v>0</v>
      </c>
      <c r="F44" s="202">
        <f>SUMIF('明细表G1-2'!A19:A23,"其他",'明细表G1-2'!T19:T23)</f>
        <v>0</v>
      </c>
      <c r="G44" s="202">
        <f t="shared" si="29"/>
        <v>0</v>
      </c>
      <c r="H44" s="202">
        <f t="shared" si="31"/>
        <v>0</v>
      </c>
      <c r="I44" s="410" t="str">
        <f t="shared" si="21"/>
        <v/>
      </c>
      <c r="J44" s="411"/>
    </row>
    <row r="45" spans="1:10" s="394" customFormat="1" ht="31.5" customHeight="1">
      <c r="A45" s="405" t="s">
        <v>134</v>
      </c>
      <c r="B45" s="202">
        <f>SUM(B46:B47)</f>
        <v>0</v>
      </c>
      <c r="C45" s="202">
        <f t="shared" ref="C45" si="33">SUM(C46:C47)</f>
        <v>0</v>
      </c>
      <c r="D45" s="202">
        <f t="shared" ref="D45" si="34">SUM(D46:D47)</f>
        <v>0</v>
      </c>
      <c r="E45" s="202">
        <f t="shared" ref="E45" si="35">SUM(E46:E47)</f>
        <v>0</v>
      </c>
      <c r="F45" s="202">
        <f t="shared" ref="F45" si="36">SUM(F46:F47)</f>
        <v>0</v>
      </c>
      <c r="G45" s="202">
        <f t="shared" ref="G45" si="37">SUM(G46:G47)</f>
        <v>0</v>
      </c>
      <c r="H45" s="202">
        <f t="shared" ref="H45" si="38">SUM(H46:H47)</f>
        <v>0</v>
      </c>
      <c r="I45" s="410" t="str">
        <f t="shared" si="21"/>
        <v/>
      </c>
      <c r="J45" s="411"/>
    </row>
    <row r="46" spans="1:10" s="394" customFormat="1" ht="20.100000000000001" customHeight="1">
      <c r="A46" s="404" t="s">
        <v>126</v>
      </c>
      <c r="B46" s="202">
        <f>SUMIF('明细表G1-2'!A26:A28,"债务工具投资",'明细表G1-2'!D26:D28)</f>
        <v>0</v>
      </c>
      <c r="C46" s="202">
        <f>SUMIF('明细表G1-2'!A26:A28,"债务工具投资",'明细表G1-2'!G26:G28)</f>
        <v>0</v>
      </c>
      <c r="D46" s="202">
        <f t="shared" ref="D46:D47" si="39">B46+C46</f>
        <v>0</v>
      </c>
      <c r="E46" s="202">
        <f>SUMIF('明细表G1-2'!A26:A28,"债务工具投资",'明细表G1-2'!Q26:Q28)</f>
        <v>0</v>
      </c>
      <c r="F46" s="202">
        <f>SUMIF('明细表G1-2'!A26:A28,"债务工具投资",'明细表G1-2'!T26:T28)</f>
        <v>0</v>
      </c>
      <c r="G46" s="202">
        <f t="shared" ref="G46:G47" si="40">E46+F46</f>
        <v>0</v>
      </c>
      <c r="H46" s="202">
        <f>G46-D46</f>
        <v>0</v>
      </c>
      <c r="I46" s="410" t="str">
        <f t="shared" si="21"/>
        <v/>
      </c>
      <c r="J46" s="411"/>
    </row>
    <row r="47" spans="1:10" s="394" customFormat="1" ht="20.100000000000001" customHeight="1">
      <c r="A47" s="404" t="s">
        <v>132</v>
      </c>
      <c r="B47" s="202">
        <f>SUMIF('明细表G1-2'!A26:A28,"其他",'明细表G1-2'!D26:D28)</f>
        <v>0</v>
      </c>
      <c r="C47" s="202">
        <f>SUMIF('明细表G1-2'!A26:A28,"其他",'明细表G1-2'!G26:G28)</f>
        <v>0</v>
      </c>
      <c r="D47" s="202">
        <f t="shared" si="39"/>
        <v>0</v>
      </c>
      <c r="E47" s="202">
        <f>SUMIF('明细表G1-2'!A26:A28,"其他",'明细表G1-2'!Q26:Q28)</f>
        <v>0</v>
      </c>
      <c r="F47" s="202">
        <f>SUMIF('明细表G1-2'!A26:A28,"其他",'明细表G1-2'!T26:T28)</f>
        <v>0</v>
      </c>
      <c r="G47" s="202">
        <f t="shared" si="40"/>
        <v>0</v>
      </c>
      <c r="H47" s="202">
        <f>G47-D47</f>
        <v>0</v>
      </c>
      <c r="I47" s="410" t="str">
        <f t="shared" si="21"/>
        <v/>
      </c>
      <c r="J47" s="411"/>
    </row>
    <row r="48" spans="1:10" s="394" customFormat="1" ht="20.100000000000001" customHeight="1">
      <c r="A48" s="401" t="s">
        <v>137</v>
      </c>
      <c r="B48" s="202">
        <f t="shared" ref="B48:G48" si="41">SUM(B29,B37,B45)</f>
        <v>0</v>
      </c>
      <c r="C48" s="202">
        <f t="shared" si="41"/>
        <v>0</v>
      </c>
      <c r="D48" s="202">
        <f t="shared" si="41"/>
        <v>0</v>
      </c>
      <c r="E48" s="202">
        <f t="shared" si="41"/>
        <v>0</v>
      </c>
      <c r="F48" s="202">
        <f t="shared" si="41"/>
        <v>0</v>
      </c>
      <c r="G48" s="202">
        <f t="shared" si="41"/>
        <v>0</v>
      </c>
      <c r="H48" s="202">
        <f>SUM(H29,H45)</f>
        <v>0</v>
      </c>
      <c r="I48" s="410" t="str">
        <f t="shared" si="21"/>
        <v/>
      </c>
      <c r="J48" s="411"/>
    </row>
    <row r="49" spans="1:10" s="394" customFormat="1" ht="20.100000000000001" customHeight="1">
      <c r="A49" s="401" t="s">
        <v>138</v>
      </c>
      <c r="B49" s="202"/>
      <c r="C49" s="202"/>
      <c r="D49" s="202"/>
      <c r="E49" s="202"/>
      <c r="F49" s="202"/>
      <c r="G49" s="202"/>
      <c r="H49" s="202"/>
      <c r="I49" s="410"/>
      <c r="J49" s="403"/>
    </row>
    <row r="50" spans="1:10" s="394" customFormat="1" ht="20.100000000000001" customHeight="1">
      <c r="A50" s="404" t="s">
        <v>41</v>
      </c>
      <c r="B50" s="202">
        <f t="shared" ref="B50:H53" si="42">B8+B29</f>
        <v>0</v>
      </c>
      <c r="C50" s="202">
        <f t="shared" si="42"/>
        <v>0</v>
      </c>
      <c r="D50" s="202">
        <f t="shared" si="42"/>
        <v>0</v>
      </c>
      <c r="E50" s="202">
        <f t="shared" si="42"/>
        <v>0</v>
      </c>
      <c r="F50" s="202">
        <f t="shared" si="42"/>
        <v>0</v>
      </c>
      <c r="G50" s="202">
        <f t="shared" si="42"/>
        <v>0</v>
      </c>
      <c r="H50" s="202">
        <f t="shared" si="42"/>
        <v>0</v>
      </c>
      <c r="I50" s="410" t="str">
        <f t="shared" ref="I50:I71" si="43">IF(AND(D50=0,G50=0),"",IF(AND(D50=0,G50&gt;0),1,H50/D50))</f>
        <v/>
      </c>
      <c r="J50" s="411"/>
    </row>
    <row r="51" spans="1:10" s="394" customFormat="1" ht="20.100000000000001" customHeight="1">
      <c r="A51" s="404" t="s">
        <v>126</v>
      </c>
      <c r="B51" s="202">
        <f t="shared" si="42"/>
        <v>0</v>
      </c>
      <c r="C51" s="202">
        <f t="shared" si="42"/>
        <v>0</v>
      </c>
      <c r="D51" s="202">
        <f t="shared" si="42"/>
        <v>0</v>
      </c>
      <c r="E51" s="202">
        <f t="shared" si="42"/>
        <v>0</v>
      </c>
      <c r="F51" s="202">
        <f t="shared" si="42"/>
        <v>0</v>
      </c>
      <c r="G51" s="202">
        <f t="shared" si="42"/>
        <v>0</v>
      </c>
      <c r="H51" s="202">
        <f t="shared" si="42"/>
        <v>0</v>
      </c>
      <c r="I51" s="410" t="str">
        <f t="shared" si="43"/>
        <v/>
      </c>
      <c r="J51" s="411"/>
    </row>
    <row r="52" spans="1:10" s="394" customFormat="1" ht="20.100000000000001" customHeight="1">
      <c r="A52" s="404" t="s">
        <v>127</v>
      </c>
      <c r="B52" s="202">
        <f t="shared" si="42"/>
        <v>0</v>
      </c>
      <c r="C52" s="202">
        <f t="shared" si="42"/>
        <v>0</v>
      </c>
      <c r="D52" s="202">
        <f t="shared" si="42"/>
        <v>0</v>
      </c>
      <c r="E52" s="202">
        <f t="shared" si="42"/>
        <v>0</v>
      </c>
      <c r="F52" s="202">
        <f t="shared" si="42"/>
        <v>0</v>
      </c>
      <c r="G52" s="202">
        <f t="shared" si="42"/>
        <v>0</v>
      </c>
      <c r="H52" s="202">
        <f t="shared" si="42"/>
        <v>0</v>
      </c>
      <c r="I52" s="410" t="str">
        <f t="shared" si="43"/>
        <v/>
      </c>
      <c r="J52" s="411"/>
    </row>
    <row r="53" spans="1:10" s="394" customFormat="1" ht="20.100000000000001" customHeight="1">
      <c r="A53" s="404" t="s">
        <v>128</v>
      </c>
      <c r="B53" s="202">
        <f t="shared" si="42"/>
        <v>0</v>
      </c>
      <c r="C53" s="202">
        <f t="shared" si="42"/>
        <v>0</v>
      </c>
      <c r="D53" s="202">
        <f t="shared" si="42"/>
        <v>0</v>
      </c>
      <c r="E53" s="202">
        <f t="shared" si="42"/>
        <v>0</v>
      </c>
      <c r="F53" s="202">
        <f t="shared" si="42"/>
        <v>0</v>
      </c>
      <c r="G53" s="202">
        <f t="shared" si="42"/>
        <v>0</v>
      </c>
      <c r="H53" s="202">
        <f t="shared" si="42"/>
        <v>0</v>
      </c>
      <c r="I53" s="410" t="str">
        <f t="shared" si="43"/>
        <v/>
      </c>
      <c r="J53" s="411"/>
    </row>
    <row r="54" spans="1:10" s="394" customFormat="1" ht="20.100000000000001" customHeight="1">
      <c r="A54" s="485" t="s">
        <v>129</v>
      </c>
      <c r="B54" s="202">
        <f t="shared" ref="B54:H54" si="44">B12+B33</f>
        <v>0</v>
      </c>
      <c r="C54" s="202">
        <f t="shared" si="44"/>
        <v>0</v>
      </c>
      <c r="D54" s="202">
        <f t="shared" si="44"/>
        <v>0</v>
      </c>
      <c r="E54" s="202">
        <f t="shared" si="44"/>
        <v>0</v>
      </c>
      <c r="F54" s="202">
        <f t="shared" si="44"/>
        <v>0</v>
      </c>
      <c r="G54" s="202">
        <f t="shared" si="44"/>
        <v>0</v>
      </c>
      <c r="H54" s="202">
        <f t="shared" si="44"/>
        <v>0</v>
      </c>
      <c r="I54" s="410" t="str">
        <f t="shared" ref="I54:I56" si="45">IF(AND(D54=0,G54=0),"",IF(AND(D54=0,G54&gt;0),1,H54/D54))</f>
        <v/>
      </c>
      <c r="J54" s="411"/>
    </row>
    <row r="55" spans="1:10" s="394" customFormat="1" ht="20.100000000000001" customHeight="1">
      <c r="A55" s="485" t="s">
        <v>130</v>
      </c>
      <c r="B55" s="202">
        <f t="shared" ref="B55:H55" si="46">B13+B34</f>
        <v>0</v>
      </c>
      <c r="C55" s="202">
        <f t="shared" si="46"/>
        <v>0</v>
      </c>
      <c r="D55" s="202">
        <f t="shared" si="46"/>
        <v>0</v>
      </c>
      <c r="E55" s="202">
        <f t="shared" si="46"/>
        <v>0</v>
      </c>
      <c r="F55" s="202">
        <f t="shared" si="46"/>
        <v>0</v>
      </c>
      <c r="G55" s="202">
        <f t="shared" si="46"/>
        <v>0</v>
      </c>
      <c r="H55" s="202">
        <f t="shared" si="46"/>
        <v>0</v>
      </c>
      <c r="I55" s="410" t="str">
        <f t="shared" si="45"/>
        <v/>
      </c>
      <c r="J55" s="411"/>
    </row>
    <row r="56" spans="1:10" s="394" customFormat="1" ht="20.100000000000001" customHeight="1">
      <c r="A56" s="485" t="s">
        <v>131</v>
      </c>
      <c r="B56" s="202">
        <f t="shared" ref="B56:H56" si="47">B14+B35</f>
        <v>0</v>
      </c>
      <c r="C56" s="202">
        <f t="shared" si="47"/>
        <v>0</v>
      </c>
      <c r="D56" s="202">
        <f t="shared" si="47"/>
        <v>0</v>
      </c>
      <c r="E56" s="202">
        <f t="shared" si="47"/>
        <v>0</v>
      </c>
      <c r="F56" s="202">
        <f t="shared" si="47"/>
        <v>0</v>
      </c>
      <c r="G56" s="202">
        <f t="shared" si="47"/>
        <v>0</v>
      </c>
      <c r="H56" s="202">
        <f t="shared" si="47"/>
        <v>0</v>
      </c>
      <c r="I56" s="410" t="str">
        <f t="shared" si="45"/>
        <v/>
      </c>
      <c r="J56" s="411"/>
    </row>
    <row r="57" spans="1:10" s="394" customFormat="1" ht="20.100000000000001" customHeight="1">
      <c r="A57" s="404" t="s">
        <v>132</v>
      </c>
      <c r="B57" s="202">
        <f t="shared" ref="B57:H57" si="48">B15+B36</f>
        <v>0</v>
      </c>
      <c r="C57" s="202">
        <f t="shared" si="48"/>
        <v>0</v>
      </c>
      <c r="D57" s="202">
        <f t="shared" si="48"/>
        <v>0</v>
      </c>
      <c r="E57" s="202">
        <f t="shared" si="48"/>
        <v>0</v>
      </c>
      <c r="F57" s="202">
        <f t="shared" si="48"/>
        <v>0</v>
      </c>
      <c r="G57" s="202">
        <f t="shared" si="48"/>
        <v>0</v>
      </c>
      <c r="H57" s="202">
        <f t="shared" si="48"/>
        <v>0</v>
      </c>
      <c r="I57" s="410" t="str">
        <f t="shared" si="43"/>
        <v/>
      </c>
      <c r="J57" s="411"/>
    </row>
    <row r="58" spans="1:10" s="394" customFormat="1" ht="31.5" customHeight="1">
      <c r="A58" s="404" t="s">
        <v>133</v>
      </c>
      <c r="B58" s="202">
        <f>SUM(B59:B65)</f>
        <v>0</v>
      </c>
      <c r="C58" s="202">
        <f t="shared" ref="C58:H58" si="49">SUM(C59:C65)</f>
        <v>0</v>
      </c>
      <c r="D58" s="202">
        <f t="shared" si="49"/>
        <v>0</v>
      </c>
      <c r="E58" s="202">
        <f t="shared" si="49"/>
        <v>0</v>
      </c>
      <c r="F58" s="202">
        <f t="shared" si="49"/>
        <v>0</v>
      </c>
      <c r="G58" s="202">
        <f t="shared" si="49"/>
        <v>0</v>
      </c>
      <c r="H58" s="202">
        <f t="shared" si="49"/>
        <v>0</v>
      </c>
      <c r="I58" s="410" t="str">
        <f t="shared" si="43"/>
        <v/>
      </c>
      <c r="J58" s="411"/>
    </row>
    <row r="59" spans="1:10" s="394" customFormat="1" ht="20.100000000000001" customHeight="1">
      <c r="A59" s="404" t="s">
        <v>126</v>
      </c>
      <c r="B59" s="202">
        <f t="shared" ref="B59:C61" si="50">B17+B38</f>
        <v>0</v>
      </c>
      <c r="C59" s="202">
        <f t="shared" si="50"/>
        <v>0</v>
      </c>
      <c r="D59" s="202">
        <f>B59+C59</f>
        <v>0</v>
      </c>
      <c r="E59" s="202">
        <f t="shared" ref="E59:F61" si="51">E17+E38</f>
        <v>0</v>
      </c>
      <c r="F59" s="202">
        <f t="shared" si="51"/>
        <v>0</v>
      </c>
      <c r="G59" s="202">
        <f>E59+F59</f>
        <v>0</v>
      </c>
      <c r="H59" s="202">
        <f>G59-D59</f>
        <v>0</v>
      </c>
      <c r="I59" s="410" t="str">
        <f t="shared" si="43"/>
        <v/>
      </c>
      <c r="J59" s="411"/>
    </row>
    <row r="60" spans="1:10" s="394" customFormat="1" ht="20.100000000000001" customHeight="1">
      <c r="A60" s="404" t="s">
        <v>127</v>
      </c>
      <c r="B60" s="202">
        <f t="shared" si="50"/>
        <v>0</v>
      </c>
      <c r="C60" s="202">
        <f t="shared" si="50"/>
        <v>0</v>
      </c>
      <c r="D60" s="202">
        <f t="shared" ref="D60:D65" si="52">B60+C60</f>
        <v>0</v>
      </c>
      <c r="E60" s="202">
        <f t="shared" si="51"/>
        <v>0</v>
      </c>
      <c r="F60" s="202">
        <f t="shared" si="51"/>
        <v>0</v>
      </c>
      <c r="G60" s="202">
        <f t="shared" ref="G60:G65" si="53">E60+F60</f>
        <v>0</v>
      </c>
      <c r="H60" s="202">
        <f>G60-D60</f>
        <v>0</v>
      </c>
      <c r="I60" s="410" t="str">
        <f t="shared" si="43"/>
        <v/>
      </c>
      <c r="J60" s="411"/>
    </row>
    <row r="61" spans="1:10" s="394" customFormat="1" ht="20.100000000000001" customHeight="1">
      <c r="A61" s="404" t="s">
        <v>128</v>
      </c>
      <c r="B61" s="202">
        <f t="shared" si="50"/>
        <v>0</v>
      </c>
      <c r="C61" s="202">
        <f t="shared" si="50"/>
        <v>0</v>
      </c>
      <c r="D61" s="202">
        <f t="shared" si="52"/>
        <v>0</v>
      </c>
      <c r="E61" s="202">
        <f t="shared" si="51"/>
        <v>0</v>
      </c>
      <c r="F61" s="202">
        <f t="shared" si="51"/>
        <v>0</v>
      </c>
      <c r="G61" s="202">
        <f t="shared" si="53"/>
        <v>0</v>
      </c>
      <c r="H61" s="202">
        <f>G61-D61</f>
        <v>0</v>
      </c>
      <c r="I61" s="410" t="str">
        <f t="shared" si="43"/>
        <v/>
      </c>
      <c r="J61" s="411"/>
    </row>
    <row r="62" spans="1:10" s="394" customFormat="1" ht="20.100000000000001" customHeight="1">
      <c r="A62" s="485" t="s">
        <v>129</v>
      </c>
      <c r="B62" s="202">
        <f t="shared" ref="B62:C62" si="54">B20+B41</f>
        <v>0</v>
      </c>
      <c r="C62" s="202">
        <f t="shared" si="54"/>
        <v>0</v>
      </c>
      <c r="D62" s="202">
        <f t="shared" ref="D62:D64" si="55">B62+C62</f>
        <v>0</v>
      </c>
      <c r="E62" s="202">
        <f t="shared" ref="E62:F62" si="56">E20+E41</f>
        <v>0</v>
      </c>
      <c r="F62" s="202">
        <f t="shared" si="56"/>
        <v>0</v>
      </c>
      <c r="G62" s="202">
        <f t="shared" ref="G62:G64" si="57">E62+F62</f>
        <v>0</v>
      </c>
      <c r="H62" s="202">
        <f t="shared" ref="H62:H65" si="58">G62-D62</f>
        <v>0</v>
      </c>
      <c r="I62" s="410" t="str">
        <f t="shared" ref="I62:I64" si="59">IF(AND(D62=0,G62=0),"",IF(AND(D62=0,G62&gt;0),1,H62/D62))</f>
        <v/>
      </c>
      <c r="J62" s="411"/>
    </row>
    <row r="63" spans="1:10" s="394" customFormat="1" ht="20.100000000000001" customHeight="1">
      <c r="A63" s="485" t="s">
        <v>130</v>
      </c>
      <c r="B63" s="202">
        <f t="shared" ref="B63:C63" si="60">B21+B42</f>
        <v>0</v>
      </c>
      <c r="C63" s="202">
        <f t="shared" si="60"/>
        <v>0</v>
      </c>
      <c r="D63" s="202">
        <f t="shared" si="55"/>
        <v>0</v>
      </c>
      <c r="E63" s="202">
        <f t="shared" ref="E63:F63" si="61">E21+E42</f>
        <v>0</v>
      </c>
      <c r="F63" s="202">
        <f t="shared" si="61"/>
        <v>0</v>
      </c>
      <c r="G63" s="202">
        <f t="shared" si="57"/>
        <v>0</v>
      </c>
      <c r="H63" s="202">
        <f t="shared" si="58"/>
        <v>0</v>
      </c>
      <c r="I63" s="410" t="str">
        <f t="shared" si="59"/>
        <v/>
      </c>
      <c r="J63" s="411"/>
    </row>
    <row r="64" spans="1:10" s="394" customFormat="1" ht="20.100000000000001" customHeight="1">
      <c r="A64" s="485" t="s">
        <v>131</v>
      </c>
      <c r="B64" s="202">
        <f t="shared" ref="B64:C64" si="62">B22+B43</f>
        <v>0</v>
      </c>
      <c r="C64" s="202">
        <f t="shared" si="62"/>
        <v>0</v>
      </c>
      <c r="D64" s="202">
        <f t="shared" si="55"/>
        <v>0</v>
      </c>
      <c r="E64" s="202">
        <f t="shared" ref="E64:F64" si="63">E22+E43</f>
        <v>0</v>
      </c>
      <c r="F64" s="202">
        <f t="shared" si="63"/>
        <v>0</v>
      </c>
      <c r="G64" s="202">
        <f t="shared" si="57"/>
        <v>0</v>
      </c>
      <c r="H64" s="202">
        <f t="shared" si="58"/>
        <v>0</v>
      </c>
      <c r="I64" s="410" t="str">
        <f t="shared" si="59"/>
        <v/>
      </c>
      <c r="J64" s="411"/>
    </row>
    <row r="65" spans="1:11" s="394" customFormat="1" ht="19.05" customHeight="1">
      <c r="A65" s="404" t="s">
        <v>132</v>
      </c>
      <c r="B65" s="202">
        <f t="shared" ref="B65:C68" si="64">B23+B44</f>
        <v>0</v>
      </c>
      <c r="C65" s="202">
        <f t="shared" si="64"/>
        <v>0</v>
      </c>
      <c r="D65" s="202">
        <f t="shared" si="52"/>
        <v>0</v>
      </c>
      <c r="E65" s="202">
        <f t="shared" ref="E65:F68" si="65">E23+E44</f>
        <v>0</v>
      </c>
      <c r="F65" s="202">
        <f t="shared" si="65"/>
        <v>0</v>
      </c>
      <c r="G65" s="202">
        <f t="shared" si="53"/>
        <v>0</v>
      </c>
      <c r="H65" s="202">
        <f t="shared" si="58"/>
        <v>0</v>
      </c>
      <c r="I65" s="410" t="str">
        <f t="shared" si="43"/>
        <v/>
      </c>
      <c r="J65" s="411"/>
    </row>
    <row r="66" spans="1:11" s="394" customFormat="1" ht="31.5" customHeight="1">
      <c r="A66" s="404" t="s">
        <v>134</v>
      </c>
      <c r="B66" s="202">
        <f t="shared" si="64"/>
        <v>0</v>
      </c>
      <c r="C66" s="202">
        <f t="shared" si="64"/>
        <v>0</v>
      </c>
      <c r="D66" s="202">
        <f>D24+D45</f>
        <v>0</v>
      </c>
      <c r="E66" s="202">
        <f t="shared" si="65"/>
        <v>0</v>
      </c>
      <c r="F66" s="202">
        <f t="shared" si="65"/>
        <v>0</v>
      </c>
      <c r="G66" s="202">
        <f t="shared" ref="G66:H68" si="66">G24+G45</f>
        <v>0</v>
      </c>
      <c r="H66" s="202">
        <f t="shared" si="66"/>
        <v>0</v>
      </c>
      <c r="I66" s="410" t="str">
        <f t="shared" si="43"/>
        <v/>
      </c>
      <c r="J66" s="411"/>
    </row>
    <row r="67" spans="1:11" s="394" customFormat="1" ht="20.100000000000001" customHeight="1">
      <c r="A67" s="404" t="s">
        <v>126</v>
      </c>
      <c r="B67" s="202">
        <f t="shared" si="64"/>
        <v>0</v>
      </c>
      <c r="C67" s="202">
        <f t="shared" si="64"/>
        <v>0</v>
      </c>
      <c r="D67" s="202">
        <f>D25+D46</f>
        <v>0</v>
      </c>
      <c r="E67" s="202">
        <f t="shared" si="65"/>
        <v>0</v>
      </c>
      <c r="F67" s="202">
        <f t="shared" si="65"/>
        <v>0</v>
      </c>
      <c r="G67" s="202">
        <f t="shared" si="66"/>
        <v>0</v>
      </c>
      <c r="H67" s="202">
        <f t="shared" si="66"/>
        <v>0</v>
      </c>
      <c r="I67" s="410" t="str">
        <f t="shared" si="43"/>
        <v/>
      </c>
      <c r="J67" s="411"/>
    </row>
    <row r="68" spans="1:11" s="394" customFormat="1" ht="20.100000000000001" customHeight="1">
      <c r="A68" s="404" t="s">
        <v>132</v>
      </c>
      <c r="B68" s="202">
        <f t="shared" si="64"/>
        <v>0</v>
      </c>
      <c r="C68" s="202">
        <f t="shared" si="64"/>
        <v>0</v>
      </c>
      <c r="D68" s="202">
        <f>D26+D47</f>
        <v>0</v>
      </c>
      <c r="E68" s="202">
        <f t="shared" si="65"/>
        <v>0</v>
      </c>
      <c r="F68" s="202">
        <f t="shared" si="65"/>
        <v>0</v>
      </c>
      <c r="G68" s="202">
        <f t="shared" si="66"/>
        <v>0</v>
      </c>
      <c r="H68" s="202">
        <f t="shared" si="66"/>
        <v>0</v>
      </c>
      <c r="I68" s="410" t="str">
        <f t="shared" si="43"/>
        <v/>
      </c>
      <c r="J68" s="411"/>
    </row>
    <row r="69" spans="1:11" s="394" customFormat="1" ht="20.100000000000001" customHeight="1">
      <c r="A69" s="401" t="s">
        <v>139</v>
      </c>
      <c r="B69" s="202">
        <f>SUM(B50,B58,B66)</f>
        <v>0</v>
      </c>
      <c r="C69" s="202">
        <f t="shared" ref="C69:H69" si="67">SUM(C50,C58,C66)</f>
        <v>0</v>
      </c>
      <c r="D69" s="202">
        <f t="shared" si="67"/>
        <v>0</v>
      </c>
      <c r="E69" s="202">
        <f t="shared" si="67"/>
        <v>0</v>
      </c>
      <c r="F69" s="202">
        <f t="shared" si="67"/>
        <v>0</v>
      </c>
      <c r="G69" s="202">
        <f t="shared" si="67"/>
        <v>0</v>
      </c>
      <c r="H69" s="202">
        <f t="shared" si="67"/>
        <v>0</v>
      </c>
      <c r="I69" s="410" t="str">
        <f t="shared" si="43"/>
        <v/>
      </c>
      <c r="J69" s="411"/>
    </row>
    <row r="70" spans="1:11" s="394" customFormat="1" ht="20.100000000000001" customHeight="1">
      <c r="A70" s="401" t="s">
        <v>140</v>
      </c>
      <c r="B70" s="202"/>
      <c r="C70" s="202">
        <f>'明细表G1-2'!X30</f>
        <v>0</v>
      </c>
      <c r="D70" s="202">
        <f>B70+C70</f>
        <v>0</v>
      </c>
      <c r="E70" s="202"/>
      <c r="F70" s="202">
        <f>'明细表G1-2'!X30</f>
        <v>0</v>
      </c>
      <c r="G70" s="202">
        <f>E70+F70</f>
        <v>0</v>
      </c>
      <c r="H70" s="202">
        <f>G70-D70</f>
        <v>0</v>
      </c>
      <c r="I70" s="410" t="str">
        <f t="shared" si="43"/>
        <v/>
      </c>
      <c r="J70" s="411"/>
    </row>
    <row r="71" spans="1:11" s="394" customFormat="1" ht="20.100000000000001" customHeight="1">
      <c r="A71" s="401" t="s">
        <v>141</v>
      </c>
      <c r="B71" s="179">
        <f>B69-B70</f>
        <v>0</v>
      </c>
      <c r="C71" s="179">
        <f t="shared" ref="C71" si="68">C69-C70</f>
        <v>0</v>
      </c>
      <c r="D71" s="179">
        <f t="shared" ref="D71" si="69">D69-D70</f>
        <v>0</v>
      </c>
      <c r="E71" s="179">
        <f t="shared" ref="E71" si="70">E69-E70</f>
        <v>0</v>
      </c>
      <c r="F71" s="179">
        <f t="shared" ref="F71" si="71">F69-F70</f>
        <v>0</v>
      </c>
      <c r="G71" s="179">
        <f t="shared" ref="G71:H71" si="72">G69-G70</f>
        <v>0</v>
      </c>
      <c r="H71" s="179">
        <f t="shared" si="72"/>
        <v>0</v>
      </c>
      <c r="I71" s="423" t="str">
        <f t="shared" si="43"/>
        <v/>
      </c>
      <c r="J71" s="411"/>
    </row>
    <row r="72" spans="1:11" s="395" customFormat="1" ht="20.100000000000001" customHeight="1">
      <c r="A72" s="412" t="s">
        <v>142</v>
      </c>
      <c r="B72" s="397"/>
      <c r="C72" s="413"/>
      <c r="D72" s="413"/>
      <c r="E72" s="413"/>
      <c r="F72" s="413"/>
      <c r="G72" s="413"/>
      <c r="H72" s="413"/>
      <c r="I72" s="413"/>
      <c r="J72" s="424"/>
    </row>
    <row r="73" spans="1:11" s="395" customFormat="1" ht="20.100000000000001" customHeight="1">
      <c r="A73" s="412" t="s">
        <v>143</v>
      </c>
      <c r="B73" s="397"/>
      <c r="C73" s="397"/>
      <c r="D73" s="414">
        <f>D71-D72</f>
        <v>0</v>
      </c>
      <c r="E73" s="397"/>
      <c r="F73" s="397"/>
      <c r="G73" s="414">
        <f>G71-G72</f>
        <v>0</v>
      </c>
      <c r="H73" s="415"/>
      <c r="I73" s="415"/>
      <c r="J73" s="273"/>
    </row>
    <row r="74" spans="1:11" s="396" customFormat="1" ht="20.100000000000001" customHeight="1">
      <c r="A74" s="415"/>
      <c r="B74" s="415"/>
      <c r="C74" s="415"/>
      <c r="D74" s="415"/>
      <c r="E74" s="415"/>
      <c r="F74" s="415"/>
      <c r="G74" s="415"/>
      <c r="H74" s="415"/>
      <c r="I74" s="415"/>
      <c r="J74" s="273"/>
      <c r="K74" s="273"/>
    </row>
    <row r="75" spans="1:11" s="397" customFormat="1" ht="20.100000000000001" customHeight="1">
      <c r="A75" s="416" t="s">
        <v>144</v>
      </c>
      <c r="B75" s="292"/>
      <c r="C75" s="292"/>
      <c r="D75" s="292"/>
      <c r="E75" s="417"/>
      <c r="F75" s="417"/>
      <c r="G75" s="418"/>
      <c r="H75" s="273"/>
      <c r="I75" s="273"/>
      <c r="J75" s="273"/>
      <c r="K75" s="273"/>
    </row>
    <row r="76" spans="1:11" s="396" customFormat="1" ht="20.100000000000001" customHeight="1">
      <c r="A76" s="415" t="s">
        <v>145</v>
      </c>
      <c r="B76" s="415"/>
      <c r="C76" s="415"/>
      <c r="D76" s="419">
        <f>IF(AND(D71=0,G71=0),0,IF(AND(D71=0,G71&gt;0),1,(G71-D71)/D71))</f>
        <v>0</v>
      </c>
      <c r="E76" s="420"/>
      <c r="F76" s="420"/>
      <c r="G76" s="420"/>
      <c r="H76" s="420"/>
      <c r="I76" s="420"/>
      <c r="J76" s="273"/>
      <c r="K76" s="273"/>
    </row>
    <row r="77" spans="1:11" s="397" customFormat="1" ht="20.100000000000001" customHeight="1">
      <c r="A77" s="415" t="s">
        <v>146</v>
      </c>
      <c r="B77" s="415"/>
      <c r="C77" s="415"/>
      <c r="D77" s="415"/>
      <c r="E77" s="415"/>
      <c r="F77" s="415"/>
      <c r="G77" s="415"/>
      <c r="H77" s="415"/>
      <c r="I77" s="415"/>
      <c r="J77" s="273"/>
      <c r="K77" s="273"/>
    </row>
    <row r="78" spans="1:11" s="396" customFormat="1" ht="20.100000000000001" customHeight="1">
      <c r="A78" s="415"/>
      <c r="B78" s="415"/>
      <c r="C78" s="415"/>
      <c r="D78" s="415"/>
      <c r="E78" s="415"/>
      <c r="F78" s="415"/>
      <c r="G78" s="415"/>
      <c r="H78" s="415"/>
      <c r="I78" s="415"/>
      <c r="J78" s="273"/>
      <c r="K78" s="273"/>
    </row>
    <row r="79" spans="1:11" s="396" customFormat="1" ht="20.100000000000001" customHeight="1">
      <c r="A79" s="421" t="s">
        <v>147</v>
      </c>
      <c r="B79" s="415"/>
      <c r="C79" s="415"/>
      <c r="D79" s="415"/>
      <c r="E79" s="415"/>
      <c r="F79" s="415"/>
      <c r="G79" s="415"/>
      <c r="H79" s="415"/>
      <c r="I79" s="415"/>
      <c r="J79" s="273"/>
      <c r="K79" s="273"/>
    </row>
    <row r="80" spans="1:11" s="396" customFormat="1" ht="20.100000000000001" customHeight="1">
      <c r="B80" s="421"/>
      <c r="C80" s="421"/>
      <c r="D80" s="421"/>
      <c r="E80" s="421"/>
      <c r="F80" s="421"/>
      <c r="G80" s="421"/>
      <c r="H80" s="421"/>
      <c r="I80" s="421"/>
      <c r="J80" s="273"/>
      <c r="K80" s="273"/>
    </row>
    <row r="81" spans="1:11" s="396" customFormat="1" ht="20.100000000000001" customHeight="1">
      <c r="A81" s="418" t="s">
        <v>148</v>
      </c>
      <c r="B81" s="421"/>
      <c r="C81" s="421"/>
      <c r="D81" s="421"/>
      <c r="E81" s="421"/>
      <c r="F81" s="421"/>
      <c r="G81" s="421"/>
      <c r="H81" s="421"/>
      <c r="I81" s="421"/>
      <c r="J81" s="273"/>
      <c r="K81" s="273"/>
    </row>
    <row r="82" spans="1:11" ht="20.100000000000001" customHeight="1">
      <c r="A82" s="418"/>
      <c r="B82" s="415"/>
      <c r="C82" s="415"/>
      <c r="D82" s="415"/>
      <c r="E82" s="415"/>
      <c r="F82" s="415"/>
      <c r="G82" s="415"/>
      <c r="H82" s="415"/>
      <c r="I82" s="415"/>
    </row>
    <row r="83" spans="1:11" ht="23.25" customHeight="1">
      <c r="A83" s="309" t="s">
        <v>149</v>
      </c>
    </row>
    <row r="84" spans="1:11" ht="18" customHeight="1">
      <c r="A84" s="422" t="s">
        <v>150</v>
      </c>
    </row>
    <row r="85" spans="1:11" ht="18" customHeight="1">
      <c r="A85" s="273" t="s">
        <v>151</v>
      </c>
    </row>
    <row r="86" spans="1:11" ht="18" customHeight="1">
      <c r="A86" s="273" t="s">
        <v>152</v>
      </c>
    </row>
    <row r="87" spans="1:11" ht="18" customHeight="1">
      <c r="A87" s="273" t="s">
        <v>153</v>
      </c>
    </row>
    <row r="88" spans="1:11" ht="18" customHeight="1">
      <c r="A88" s="273" t="s">
        <v>154</v>
      </c>
    </row>
    <row r="89" spans="1:11" ht="18" customHeight="1"/>
    <row r="90" spans="1:11" ht="18" customHeight="1">
      <c r="A90" s="273" t="s">
        <v>155</v>
      </c>
    </row>
    <row r="91" spans="1:11" ht="18" customHeight="1">
      <c r="A91" s="273" t="s">
        <v>156</v>
      </c>
    </row>
    <row r="92" spans="1:11" ht="18.75" customHeight="1"/>
    <row r="93" spans="1:11" ht="18.75" customHeight="1">
      <c r="A93" s="422"/>
    </row>
    <row r="94" spans="1:11" ht="18.75" customHeight="1"/>
    <row r="95" spans="1:11" ht="18.75" customHeight="1"/>
    <row r="96" spans="1:11" ht="18.75" customHeight="1"/>
    <row r="97" ht="18.75" customHeight="1"/>
    <row r="98" ht="18.75" customHeight="1"/>
  </sheetData>
  <mergeCells count="7">
    <mergeCell ref="A1:J1"/>
    <mergeCell ref="A2:J2"/>
    <mergeCell ref="B5:D5"/>
    <mergeCell ref="E5:G5"/>
    <mergeCell ref="H5:I5"/>
    <mergeCell ref="A5:A6"/>
    <mergeCell ref="J5:J6"/>
  </mergeCells>
  <phoneticPr fontId="171" type="noConversion"/>
  <hyperlinks>
    <hyperlink ref="J3" location="底稿目录!A1" display="=底稿目录!F5"/>
  </hyperlinks>
  <pageMargins left="0.74803149606299202" right="0.35433070866141703" top="0.55118110236220497" bottom="0.35433070866141703" header="0.511811023622047" footer="0.23622047244094499"/>
  <pageSetup paperSize="9" scale="69" fitToHeight="3" orientation="portrait" blackAndWhite="1"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L198"/>
  <sheetViews>
    <sheetView view="pageBreakPreview" topLeftCell="A178" zoomScaleNormal="100" workbookViewId="0">
      <selection activeCell="A24" sqref="A24"/>
    </sheetView>
  </sheetViews>
  <sheetFormatPr defaultColWidth="9" defaultRowHeight="13.8"/>
  <cols>
    <col min="1" max="1" width="31.33203125" style="3" customWidth="1"/>
    <col min="2" max="2" width="19.77734375" style="3" customWidth="1"/>
    <col min="3" max="3" width="17.77734375" style="3" customWidth="1"/>
    <col min="4" max="4" width="15.88671875" style="3" customWidth="1"/>
    <col min="5" max="5" width="14.33203125" style="3" customWidth="1"/>
    <col min="6" max="6" width="17.109375" style="3" customWidth="1"/>
    <col min="7" max="16384" width="9" style="3"/>
  </cols>
  <sheetData>
    <row r="1" spans="1:6" s="316" customFormat="1" ht="20.100000000000001" customHeight="1">
      <c r="A1" s="561" t="s">
        <v>37</v>
      </c>
      <c r="B1" s="561"/>
      <c r="C1" s="561"/>
      <c r="D1" s="561"/>
      <c r="E1" s="561"/>
      <c r="F1" s="561"/>
    </row>
    <row r="2" spans="1:6" s="317" customFormat="1" ht="25.05" customHeight="1">
      <c r="A2" s="562" t="s">
        <v>8</v>
      </c>
      <c r="B2" s="562"/>
      <c r="C2" s="562"/>
      <c r="D2" s="562"/>
      <c r="E2" s="562"/>
      <c r="F2" s="562"/>
    </row>
    <row r="3" spans="1:6" ht="20.100000000000001" customHeight="1">
      <c r="A3" s="3" t="str">
        <f>底稿目录!A2</f>
        <v>被审计单位：</v>
      </c>
      <c r="B3" s="7"/>
      <c r="C3" s="7" t="str">
        <f>底稿目录!A4</f>
        <v>编制人：</v>
      </c>
      <c r="D3" s="7" t="str">
        <f>底稿目录!A5</f>
        <v>编制日期：</v>
      </c>
      <c r="E3" s="7" t="s">
        <v>157</v>
      </c>
      <c r="F3" s="3">
        <f>底稿目录!F6</f>
        <v>0</v>
      </c>
    </row>
    <row r="4" spans="1:6" ht="20.100000000000001" customHeight="1">
      <c r="A4" s="3" t="str">
        <f>底稿目录!A3</f>
        <v>截止日：202X年12月31日</v>
      </c>
      <c r="B4" s="7"/>
      <c r="C4" s="7" t="str">
        <f>底稿目录!A6</f>
        <v>复核人：</v>
      </c>
      <c r="D4" s="7" t="str">
        <f>底稿目录!A7</f>
        <v>复核日期：</v>
      </c>
      <c r="E4" s="7" t="s">
        <v>158</v>
      </c>
    </row>
    <row r="5" spans="1:6" s="341" customFormat="1" ht="20.100000000000001" customHeight="1">
      <c r="A5" s="341" t="s">
        <v>159</v>
      </c>
    </row>
    <row r="6" spans="1:6" s="342" customFormat="1" ht="20.100000000000001" customHeight="1">
      <c r="A6" s="325" t="s">
        <v>41</v>
      </c>
    </row>
    <row r="7" spans="1:6" s="342" customFormat="1" ht="20.100000000000001" customHeight="1">
      <c r="A7" s="345" t="s">
        <v>160</v>
      </c>
      <c r="B7" s="346"/>
      <c r="C7" s="347" t="s">
        <v>161</v>
      </c>
      <c r="D7" s="347" t="s">
        <v>162</v>
      </c>
    </row>
    <row r="8" spans="1:6" s="342" customFormat="1" ht="20.100000000000001" customHeight="1">
      <c r="A8" s="325" t="s">
        <v>163</v>
      </c>
      <c r="C8" s="348">
        <f>SUM(C9:C15)</f>
        <v>0</v>
      </c>
      <c r="D8" s="348">
        <f>SUM(D9:D15)</f>
        <v>0</v>
      </c>
    </row>
    <row r="9" spans="1:6" s="342" customFormat="1" ht="20.100000000000001" customHeight="1">
      <c r="A9" s="349" t="s">
        <v>164</v>
      </c>
      <c r="C9" s="348">
        <f>'审定表G1-1'!G51+'审定表G1-1'!G59</f>
        <v>0</v>
      </c>
      <c r="D9" s="348">
        <f>'审定表G1-1'!D51+'审定表G1-1'!D59</f>
        <v>0</v>
      </c>
    </row>
    <row r="10" spans="1:6" s="342" customFormat="1" ht="20.100000000000001" customHeight="1">
      <c r="A10" s="349" t="s">
        <v>165</v>
      </c>
      <c r="C10" s="348">
        <f>'审定表G1-1'!G52+'审定表G1-1'!G60</f>
        <v>0</v>
      </c>
      <c r="D10" s="348">
        <f>'审定表G1-1'!D52+'审定表G1-1'!D60</f>
        <v>0</v>
      </c>
    </row>
    <row r="11" spans="1:6" s="342" customFormat="1" ht="20.100000000000001" customHeight="1">
      <c r="A11" s="349" t="s">
        <v>166</v>
      </c>
      <c r="C11" s="348">
        <f>'审定表G1-1'!G53+'审定表G1-1'!G61</f>
        <v>0</v>
      </c>
      <c r="D11" s="348">
        <f>'审定表G1-1'!D53+'审定表G1-1'!D61</f>
        <v>0</v>
      </c>
    </row>
    <row r="12" spans="1:6" s="342" customFormat="1" ht="20.100000000000001" customHeight="1">
      <c r="A12" s="349" t="s">
        <v>167</v>
      </c>
      <c r="B12" s="343"/>
      <c r="C12" s="348"/>
      <c r="D12" s="348"/>
    </row>
    <row r="13" spans="1:6" s="342" customFormat="1" ht="20.100000000000001" customHeight="1">
      <c r="A13" s="349" t="s">
        <v>168</v>
      </c>
      <c r="B13" s="343"/>
      <c r="C13" s="348"/>
      <c r="D13" s="348"/>
    </row>
    <row r="14" spans="1:6" s="342" customFormat="1" ht="20.100000000000001" customHeight="1">
      <c r="A14" s="349" t="s">
        <v>169</v>
      </c>
      <c r="B14" s="343"/>
      <c r="C14" s="348"/>
      <c r="D14" s="348"/>
    </row>
    <row r="15" spans="1:6" s="342" customFormat="1" ht="20.100000000000001" customHeight="1">
      <c r="A15" s="349" t="s">
        <v>170</v>
      </c>
      <c r="C15" s="348">
        <f>'审定表G1-1'!G57+'审定表G1-1'!G65</f>
        <v>0</v>
      </c>
      <c r="D15" s="348">
        <f>'审定表G1-1'!D57+'审定表G1-1'!D65</f>
        <v>0</v>
      </c>
    </row>
    <row r="16" spans="1:6" s="342" customFormat="1" ht="20.100000000000001" customHeight="1">
      <c r="A16" s="325" t="s">
        <v>134</v>
      </c>
      <c r="C16" s="348">
        <f>SUM(C17:C18)</f>
        <v>0</v>
      </c>
      <c r="D16" s="348">
        <f>SUM(D17:D18)</f>
        <v>0</v>
      </c>
    </row>
    <row r="17" spans="1:6" s="342" customFormat="1" ht="20.100000000000001" customHeight="1">
      <c r="A17" s="349" t="s">
        <v>164</v>
      </c>
      <c r="C17" s="348">
        <f>'审定表G1-1'!G67</f>
        <v>0</v>
      </c>
      <c r="D17" s="348">
        <f>'审定表G1-1'!D67</f>
        <v>0</v>
      </c>
    </row>
    <row r="18" spans="1:6" s="342" customFormat="1" ht="20.100000000000001" customHeight="1">
      <c r="A18" s="350" t="s">
        <v>171</v>
      </c>
      <c r="C18" s="351">
        <f>'审定表G1-1'!G68</f>
        <v>0</v>
      </c>
      <c r="D18" s="351">
        <f>'审定表G1-1'!D68</f>
        <v>0</v>
      </c>
    </row>
    <row r="19" spans="1:6" s="342" customFormat="1" ht="20.100000000000001" customHeight="1">
      <c r="A19" s="352" t="s">
        <v>172</v>
      </c>
      <c r="B19" s="346"/>
      <c r="C19" s="353">
        <f>C8+C16</f>
        <v>0</v>
      </c>
      <c r="D19" s="353">
        <f>D8+D16</f>
        <v>0</v>
      </c>
    </row>
    <row r="20" spans="1:6" s="342" customFormat="1" ht="15.6">
      <c r="A20" s="563" t="s">
        <v>173</v>
      </c>
      <c r="B20" s="564"/>
      <c r="C20" s="564"/>
      <c r="D20" s="564"/>
      <c r="E20" s="564"/>
      <c r="F20" s="564"/>
    </row>
    <row r="21" spans="1:6" s="343" customFormat="1" ht="29.55" customHeight="1">
      <c r="A21" s="565" t="s">
        <v>174</v>
      </c>
      <c r="B21" s="564"/>
      <c r="C21" s="564"/>
      <c r="D21" s="564"/>
      <c r="E21" s="564"/>
      <c r="F21" s="564"/>
    </row>
    <row r="22" spans="1:6" s="342" customFormat="1" ht="20.100000000000001" customHeight="1">
      <c r="A22" s="349" t="s">
        <v>175</v>
      </c>
    </row>
    <row r="23" spans="1:6" s="342" customFormat="1" ht="20.100000000000001" customHeight="1">
      <c r="A23" s="349" t="s">
        <v>176</v>
      </c>
    </row>
    <row r="24" spans="1:6" s="342" customFormat="1" ht="20.100000000000001" customHeight="1">
      <c r="A24" s="354" t="s">
        <v>177</v>
      </c>
    </row>
    <row r="25" spans="1:6" s="342" customFormat="1" ht="20.100000000000001" customHeight="1">
      <c r="A25" s="354" t="s">
        <v>178</v>
      </c>
    </row>
    <row r="26" spans="1:6" s="342" customFormat="1" ht="20.100000000000001" customHeight="1">
      <c r="A26" s="355" t="s">
        <v>179</v>
      </c>
      <c r="B26" s="356" t="s">
        <v>161</v>
      </c>
      <c r="C26" s="356" t="s">
        <v>162</v>
      </c>
    </row>
    <row r="27" spans="1:6" s="342" customFormat="1" ht="20.100000000000001" customHeight="1">
      <c r="A27" s="349"/>
      <c r="B27" s="357"/>
      <c r="C27" s="357"/>
    </row>
    <row r="28" spans="1:6" s="342" customFormat="1" ht="20.100000000000001" customHeight="1">
      <c r="A28" s="349"/>
      <c r="B28" s="357"/>
      <c r="C28" s="357"/>
    </row>
    <row r="29" spans="1:6" s="342" customFormat="1" ht="20.100000000000001" customHeight="1">
      <c r="A29" s="349"/>
      <c r="B29" s="357"/>
      <c r="C29" s="357"/>
    </row>
    <row r="30" spans="1:6" s="342" customFormat="1" ht="20.100000000000001" customHeight="1">
      <c r="A30" s="349"/>
      <c r="B30" s="357"/>
      <c r="C30" s="357"/>
    </row>
    <row r="31" spans="1:6" s="342" customFormat="1" ht="20.100000000000001" customHeight="1">
      <c r="A31" s="349"/>
      <c r="B31" s="357"/>
      <c r="C31" s="357"/>
    </row>
    <row r="32" spans="1:6" s="342" customFormat="1" ht="20.100000000000001" customHeight="1">
      <c r="A32" s="349"/>
      <c r="B32" s="357"/>
      <c r="C32" s="357"/>
    </row>
    <row r="33" spans="1:12" s="342" customFormat="1" ht="20.100000000000001" customHeight="1">
      <c r="A33" s="345" t="s">
        <v>172</v>
      </c>
      <c r="B33" s="358">
        <f>SUM(B27:B32)</f>
        <v>0</v>
      </c>
      <c r="C33" s="358">
        <f>SUM(C27:C32)</f>
        <v>0</v>
      </c>
    </row>
    <row r="34" spans="1:12" s="342" customFormat="1" ht="20.100000000000001" customHeight="1">
      <c r="A34" s="359" t="s">
        <v>180</v>
      </c>
    </row>
    <row r="35" spans="1:12" s="342" customFormat="1" ht="15.6">
      <c r="A35" s="360" t="s">
        <v>181</v>
      </c>
      <c r="B35"/>
      <c r="C35"/>
      <c r="D35"/>
      <c r="E35"/>
      <c r="F35"/>
      <c r="G35"/>
      <c r="H35"/>
      <c r="I35"/>
      <c r="J35"/>
      <c r="K35"/>
      <c r="L35"/>
    </row>
    <row r="36" spans="1:12" s="342" customFormat="1" ht="15.6">
      <c r="A36" s="361" t="s">
        <v>182</v>
      </c>
      <c r="B36"/>
      <c r="C36"/>
      <c r="D36"/>
      <c r="E36"/>
      <c r="F36"/>
      <c r="G36"/>
      <c r="H36"/>
      <c r="I36"/>
      <c r="J36"/>
      <c r="K36"/>
      <c r="L36"/>
    </row>
    <row r="37" spans="1:12" s="342" customFormat="1" ht="15.6">
      <c r="A37" s="361" t="s">
        <v>183</v>
      </c>
      <c r="B37"/>
      <c r="C37"/>
      <c r="D37"/>
      <c r="E37"/>
      <c r="F37"/>
      <c r="G37"/>
      <c r="H37"/>
      <c r="I37"/>
      <c r="J37"/>
      <c r="K37"/>
      <c r="L37"/>
    </row>
    <row r="38" spans="1:12" s="344" customFormat="1" ht="15.6">
      <c r="A38" s="361" t="s">
        <v>184</v>
      </c>
      <c r="B38"/>
      <c r="C38"/>
      <c r="D38"/>
      <c r="E38"/>
      <c r="F38"/>
      <c r="G38"/>
      <c r="H38"/>
      <c r="I38"/>
      <c r="J38"/>
      <c r="K38"/>
      <c r="L38"/>
    </row>
    <row r="39" spans="1:12" ht="15.6">
      <c r="A39" s="361" t="s">
        <v>185</v>
      </c>
      <c r="B39"/>
      <c r="C39"/>
      <c r="D39"/>
      <c r="E39"/>
      <c r="F39"/>
      <c r="G39"/>
      <c r="H39"/>
      <c r="I39"/>
      <c r="J39"/>
      <c r="K39"/>
      <c r="L39"/>
    </row>
    <row r="40" spans="1:12" ht="15.6">
      <c r="A40" s="361" t="s">
        <v>186</v>
      </c>
      <c r="B40"/>
      <c r="C40"/>
      <c r="D40"/>
      <c r="E40"/>
      <c r="F40"/>
      <c r="G40"/>
      <c r="H40"/>
      <c r="I40"/>
      <c r="J40"/>
      <c r="K40"/>
      <c r="L40"/>
    </row>
    <row r="41" spans="1:12" ht="15.6">
      <c r="A41" s="361" t="s">
        <v>187</v>
      </c>
      <c r="B41"/>
      <c r="C41"/>
      <c r="D41"/>
      <c r="E41"/>
      <c r="F41"/>
      <c r="G41"/>
      <c r="H41"/>
      <c r="I41"/>
      <c r="J41"/>
      <c r="K41"/>
      <c r="L41"/>
    </row>
    <row r="42" spans="1:12" ht="28.8">
      <c r="A42" s="362" t="s">
        <v>188</v>
      </c>
      <c r="B42" s="363" t="s">
        <v>189</v>
      </c>
      <c r="C42" s="363" t="s">
        <v>190</v>
      </c>
      <c r="D42" s="363" t="s">
        <v>191</v>
      </c>
      <c r="E42" s="363" t="s">
        <v>192</v>
      </c>
      <c r="F42"/>
      <c r="G42"/>
      <c r="H42"/>
      <c r="I42"/>
      <c r="J42"/>
      <c r="K42"/>
      <c r="L42"/>
    </row>
    <row r="43" spans="1:12" ht="14.4">
      <c r="A43" s="364" t="s">
        <v>193</v>
      </c>
      <c r="B43" s="365"/>
      <c r="C43" s="365"/>
      <c r="D43" s="365"/>
      <c r="E43" s="365"/>
      <c r="F43"/>
      <c r="G43"/>
      <c r="H43"/>
      <c r="I43"/>
      <c r="J43"/>
      <c r="K43"/>
      <c r="L43"/>
    </row>
    <row r="44" spans="1:12" ht="14.4">
      <c r="A44" s="364" t="s">
        <v>194</v>
      </c>
      <c r="B44" s="365"/>
      <c r="C44" s="365"/>
      <c r="D44" s="365"/>
      <c r="E44" s="365"/>
      <c r="F44"/>
      <c r="G44"/>
      <c r="H44"/>
      <c r="I44"/>
      <c r="J44"/>
      <c r="K44"/>
      <c r="L44"/>
    </row>
    <row r="45" spans="1:12" ht="14.4">
      <c r="A45" s="366" t="s">
        <v>195</v>
      </c>
      <c r="B45" s="365"/>
      <c r="C45" s="365"/>
      <c r="D45" s="365"/>
      <c r="E45" s="365"/>
      <c r="F45"/>
      <c r="G45"/>
      <c r="H45"/>
      <c r="I45"/>
      <c r="J45"/>
      <c r="K45"/>
      <c r="L45"/>
    </row>
    <row r="46" spans="1:12" ht="14.4">
      <c r="A46" s="366" t="s">
        <v>196</v>
      </c>
      <c r="B46" s="365"/>
      <c r="C46" s="365"/>
      <c r="D46" s="365"/>
      <c r="E46" s="365"/>
      <c r="F46"/>
      <c r="G46"/>
      <c r="H46"/>
      <c r="I46"/>
      <c r="J46"/>
      <c r="K46"/>
      <c r="L46"/>
    </row>
    <row r="47" spans="1:12" ht="28.8">
      <c r="A47" s="366" t="s">
        <v>197</v>
      </c>
      <c r="B47" s="365"/>
      <c r="C47" s="365"/>
      <c r="D47" s="365"/>
      <c r="E47" s="365"/>
      <c r="F47"/>
      <c r="G47"/>
      <c r="H47"/>
      <c r="I47"/>
      <c r="J47"/>
      <c r="K47"/>
      <c r="L47"/>
    </row>
    <row r="48" spans="1:12" ht="14.4">
      <c r="A48" s="366" t="s">
        <v>198</v>
      </c>
      <c r="B48" s="365"/>
      <c r="C48" s="365"/>
      <c r="D48" s="365"/>
      <c r="E48" s="365"/>
      <c r="F48"/>
      <c r="G48"/>
      <c r="H48"/>
      <c r="I48"/>
      <c r="J48"/>
      <c r="K48"/>
      <c r="L48"/>
    </row>
    <row r="49" spans="1:12" ht="14.4">
      <c r="A49" s="364" t="s">
        <v>199</v>
      </c>
      <c r="B49" s="365"/>
      <c r="C49" s="365"/>
      <c r="D49" s="365"/>
      <c r="E49" s="365"/>
      <c r="F49"/>
      <c r="G49"/>
      <c r="H49"/>
      <c r="I49"/>
      <c r="J49"/>
      <c r="K49"/>
      <c r="L49"/>
    </row>
    <row r="50" spans="1:12" ht="14.4">
      <c r="A50" s="364" t="s">
        <v>200</v>
      </c>
      <c r="B50" s="365" t="s">
        <v>201</v>
      </c>
      <c r="C50" s="365"/>
      <c r="D50" s="365"/>
      <c r="E50" s="365"/>
      <c r="F50"/>
      <c r="G50"/>
      <c r="H50"/>
      <c r="I50"/>
      <c r="J50"/>
      <c r="K50"/>
      <c r="L50"/>
    </row>
    <row r="51" spans="1:12" ht="14.4">
      <c r="A51" s="364" t="s">
        <v>202</v>
      </c>
      <c r="B51" s="365"/>
      <c r="C51" s="365"/>
      <c r="D51" s="365"/>
      <c r="E51" s="365"/>
      <c r="F51"/>
      <c r="G51"/>
      <c r="H51"/>
      <c r="I51"/>
      <c r="J51"/>
      <c r="K51"/>
      <c r="L51"/>
    </row>
    <row r="52" spans="1:12" ht="14.4">
      <c r="A52" s="364" t="s">
        <v>203</v>
      </c>
      <c r="B52" s="365"/>
      <c r="C52" s="365"/>
      <c r="D52" s="365"/>
      <c r="E52" s="365"/>
      <c r="F52"/>
      <c r="G52"/>
      <c r="H52"/>
      <c r="I52"/>
      <c r="J52"/>
      <c r="K52"/>
      <c r="L52"/>
    </row>
    <row r="53" spans="1:12" ht="14.4">
      <c r="A53" s="364" t="s">
        <v>204</v>
      </c>
      <c r="B53" s="365"/>
      <c r="C53" s="365"/>
      <c r="D53" s="365"/>
      <c r="E53" s="365"/>
      <c r="F53"/>
      <c r="G53"/>
      <c r="H53"/>
      <c r="I53"/>
      <c r="J53"/>
      <c r="K53"/>
      <c r="L53"/>
    </row>
    <row r="54" spans="1:12" ht="14.4">
      <c r="A54" s="364" t="s">
        <v>205</v>
      </c>
      <c r="B54" s="365"/>
      <c r="C54" s="365"/>
      <c r="D54" s="365"/>
      <c r="E54" s="365"/>
      <c r="F54"/>
      <c r="G54"/>
      <c r="H54"/>
      <c r="I54"/>
      <c r="J54"/>
      <c r="K54"/>
      <c r="L54"/>
    </row>
    <row r="55" spans="1:12" ht="14.4">
      <c r="A55" s="364" t="s">
        <v>206</v>
      </c>
      <c r="B55" s="365"/>
      <c r="C55" s="365"/>
      <c r="D55" s="365"/>
      <c r="E55" s="365"/>
      <c r="F55"/>
      <c r="G55"/>
      <c r="H55"/>
      <c r="I55"/>
      <c r="J55"/>
      <c r="K55"/>
      <c r="L55"/>
    </row>
    <row r="56" spans="1:12" ht="14.4">
      <c r="A56" s="366" t="s">
        <v>207</v>
      </c>
      <c r="B56" s="365"/>
      <c r="C56" s="365"/>
      <c r="D56" s="365"/>
      <c r="E56" s="365"/>
      <c r="F56"/>
      <c r="G56"/>
      <c r="H56"/>
      <c r="I56"/>
      <c r="J56"/>
      <c r="K56"/>
      <c r="L56"/>
    </row>
    <row r="57" spans="1:12" ht="14.4">
      <c r="A57" s="366" t="s">
        <v>208</v>
      </c>
      <c r="B57" s="365"/>
      <c r="C57" s="365"/>
      <c r="D57" s="365"/>
      <c r="E57" s="365"/>
      <c r="F57"/>
      <c r="G57"/>
      <c r="H57"/>
      <c r="I57"/>
      <c r="J57"/>
      <c r="K57"/>
      <c r="L57"/>
    </row>
    <row r="58" spans="1:12" ht="28.8">
      <c r="A58" s="366" t="s">
        <v>209</v>
      </c>
      <c r="B58" s="365"/>
      <c r="C58" s="365"/>
      <c r="D58" s="365"/>
      <c r="E58" s="365"/>
      <c r="F58"/>
      <c r="G58"/>
      <c r="H58"/>
      <c r="I58"/>
      <c r="J58"/>
      <c r="K58"/>
      <c r="L58"/>
    </row>
    <row r="59" spans="1:12" ht="14.4">
      <c r="A59" s="364" t="s">
        <v>210</v>
      </c>
      <c r="B59" s="365"/>
      <c r="C59" s="365"/>
      <c r="D59" s="365"/>
      <c r="E59" s="365"/>
      <c r="F59"/>
      <c r="G59"/>
      <c r="H59"/>
      <c r="I59"/>
      <c r="J59"/>
      <c r="K59"/>
      <c r="L59"/>
    </row>
    <row r="60" spans="1:12" ht="14.4">
      <c r="A60" s="366" t="s">
        <v>211</v>
      </c>
      <c r="B60" s="365"/>
      <c r="C60" s="365"/>
      <c r="D60" s="365"/>
      <c r="E60" s="365"/>
      <c r="F60"/>
      <c r="G60"/>
      <c r="H60"/>
      <c r="I60"/>
      <c r="J60"/>
      <c r="K60"/>
      <c r="L60"/>
    </row>
    <row r="61" spans="1:12" ht="14.4">
      <c r="A61" s="366" t="s">
        <v>212</v>
      </c>
      <c r="B61" s="365"/>
      <c r="C61" s="365"/>
      <c r="D61" s="365"/>
      <c r="E61" s="365"/>
      <c r="F61"/>
      <c r="G61"/>
      <c r="H61"/>
      <c r="I61"/>
      <c r="J61"/>
      <c r="K61"/>
      <c r="L61"/>
    </row>
    <row r="62" spans="1:12" ht="14.4">
      <c r="A62" s="364" t="s">
        <v>213</v>
      </c>
      <c r="B62" s="365"/>
      <c r="C62" s="365"/>
      <c r="D62" s="365"/>
      <c r="E62" s="365"/>
      <c r="F62"/>
      <c r="G62"/>
      <c r="H62"/>
      <c r="I62"/>
      <c r="J62"/>
      <c r="K62"/>
      <c r="L62"/>
    </row>
    <row r="63" spans="1:12" ht="14.4">
      <c r="A63" s="364" t="s">
        <v>214</v>
      </c>
      <c r="B63" s="365"/>
      <c r="C63" s="365"/>
      <c r="D63" s="365"/>
      <c r="E63" s="365"/>
      <c r="F63"/>
      <c r="G63"/>
      <c r="H63"/>
      <c r="I63"/>
      <c r="J63"/>
      <c r="K63"/>
      <c r="L63"/>
    </row>
    <row r="64" spans="1:12" ht="28.8">
      <c r="A64" s="366" t="s">
        <v>215</v>
      </c>
      <c r="B64" s="365"/>
      <c r="C64" s="365"/>
      <c r="D64" s="365"/>
      <c r="E64" s="365"/>
      <c r="F64"/>
      <c r="G64"/>
      <c r="H64"/>
      <c r="I64"/>
      <c r="J64"/>
      <c r="K64"/>
      <c r="L64"/>
    </row>
    <row r="65" spans="1:12" ht="14.4">
      <c r="A65" s="366" t="s">
        <v>216</v>
      </c>
      <c r="B65" s="365"/>
      <c r="C65" s="365"/>
      <c r="D65" s="365"/>
      <c r="E65" s="365"/>
      <c r="F65"/>
      <c r="G65"/>
      <c r="H65"/>
      <c r="I65"/>
      <c r="J65"/>
      <c r="K65"/>
      <c r="L65"/>
    </row>
    <row r="66" spans="1:12" ht="14.4">
      <c r="A66" s="364" t="s">
        <v>217</v>
      </c>
      <c r="B66" s="365"/>
      <c r="C66" s="365"/>
      <c r="D66" s="365"/>
      <c r="E66" s="365"/>
      <c r="F66"/>
      <c r="G66"/>
      <c r="H66"/>
      <c r="I66"/>
      <c r="J66"/>
      <c r="K66"/>
      <c r="L66"/>
    </row>
    <row r="67" spans="1:12" ht="14.4">
      <c r="A67" s="364" t="s">
        <v>218</v>
      </c>
      <c r="B67" s="365"/>
      <c r="C67" s="365"/>
      <c r="D67" s="365"/>
      <c r="E67" s="365"/>
      <c r="F67"/>
      <c r="G67"/>
      <c r="H67"/>
      <c r="I67"/>
      <c r="J67"/>
      <c r="K67"/>
      <c r="L67"/>
    </row>
    <row r="68" spans="1:12" ht="14.4">
      <c r="A68" s="366"/>
      <c r="B68" s="365"/>
      <c r="C68" s="365"/>
      <c r="D68" s="365"/>
      <c r="E68" s="365"/>
      <c r="F68"/>
      <c r="G68"/>
      <c r="H68"/>
      <c r="I68"/>
      <c r="J68"/>
      <c r="K68"/>
      <c r="L68"/>
    </row>
    <row r="69" spans="1:12" ht="14.4">
      <c r="A69" s="364" t="s">
        <v>219</v>
      </c>
      <c r="B69" s="365"/>
      <c r="C69" s="365"/>
      <c r="D69" s="365"/>
      <c r="E69" s="365"/>
      <c r="F69"/>
      <c r="G69"/>
      <c r="H69"/>
      <c r="I69"/>
      <c r="J69"/>
      <c r="K69"/>
      <c r="L69"/>
    </row>
    <row r="70" spans="1:12" ht="14.4">
      <c r="A70" s="364" t="s">
        <v>220</v>
      </c>
      <c r="B70" s="365"/>
      <c r="C70" s="365"/>
      <c r="D70" s="365"/>
      <c r="E70" s="365"/>
      <c r="F70"/>
      <c r="G70"/>
      <c r="H70"/>
      <c r="I70"/>
      <c r="J70"/>
      <c r="K70"/>
      <c r="L70"/>
    </row>
    <row r="71" spans="1:12" ht="14.4">
      <c r="A71" s="364" t="s">
        <v>221</v>
      </c>
      <c r="B71" s="365"/>
      <c r="C71" s="365"/>
      <c r="D71" s="365"/>
      <c r="E71" s="365"/>
      <c r="F71"/>
      <c r="G71"/>
      <c r="H71"/>
      <c r="I71"/>
      <c r="J71"/>
      <c r="K71"/>
      <c r="L71"/>
    </row>
    <row r="72" spans="1:12" ht="14.4">
      <c r="A72" s="366"/>
      <c r="B72" s="365"/>
      <c r="C72" s="365"/>
      <c r="D72" s="365"/>
      <c r="E72" s="365"/>
      <c r="F72"/>
      <c r="G72"/>
      <c r="H72"/>
      <c r="I72"/>
      <c r="J72"/>
      <c r="K72"/>
      <c r="L72"/>
    </row>
    <row r="73" spans="1:12" ht="14.4">
      <c r="A73" s="367" t="s">
        <v>222</v>
      </c>
      <c r="B73" s="368"/>
      <c r="C73" s="368"/>
      <c r="D73" s="368"/>
      <c r="E73" s="368"/>
      <c r="F73"/>
      <c r="G73"/>
      <c r="H73"/>
      <c r="I73"/>
      <c r="J73"/>
      <c r="K73"/>
      <c r="L73"/>
    </row>
    <row r="74" spans="1:12" ht="15.6">
      <c r="A74" s="369" t="s">
        <v>223</v>
      </c>
      <c r="B74"/>
      <c r="C74"/>
      <c r="D74"/>
      <c r="E74"/>
      <c r="F74"/>
      <c r="G74"/>
      <c r="H74"/>
      <c r="I74"/>
      <c r="J74"/>
      <c r="K74"/>
      <c r="L74"/>
    </row>
    <row r="75" spans="1:12" ht="15.6">
      <c r="A75" s="370" t="s">
        <v>224</v>
      </c>
      <c r="B75"/>
      <c r="C75"/>
      <c r="D75"/>
      <c r="E75"/>
      <c r="F75"/>
      <c r="G75"/>
      <c r="H75"/>
      <c r="I75"/>
      <c r="J75"/>
      <c r="K75"/>
      <c r="L75"/>
    </row>
    <row r="76" spans="1:12" ht="15.6">
      <c r="A76" s="370" t="s">
        <v>225</v>
      </c>
      <c r="B76"/>
      <c r="C76"/>
      <c r="D76"/>
      <c r="E76"/>
      <c r="F76"/>
      <c r="G76"/>
      <c r="H76"/>
      <c r="I76"/>
      <c r="J76"/>
      <c r="K76"/>
      <c r="L76"/>
    </row>
    <row r="77" spans="1:12" ht="15.6">
      <c r="A77" s="369" t="s">
        <v>226</v>
      </c>
      <c r="B77"/>
      <c r="C77"/>
      <c r="D77"/>
      <c r="E77"/>
      <c r="F77"/>
      <c r="G77"/>
      <c r="H77"/>
      <c r="I77"/>
      <c r="J77"/>
      <c r="K77"/>
      <c r="L77"/>
    </row>
    <row r="78" spans="1:12" ht="15.6">
      <c r="A78" s="369" t="s">
        <v>227</v>
      </c>
      <c r="B78"/>
      <c r="C78"/>
      <c r="D78"/>
      <c r="E78"/>
      <c r="F78"/>
      <c r="G78"/>
      <c r="H78"/>
      <c r="I78"/>
      <c r="J78"/>
      <c r="K78"/>
      <c r="L78"/>
    </row>
    <row r="79" spans="1:12" ht="15.6">
      <c r="A79" s="361" t="s">
        <v>228</v>
      </c>
      <c r="B79"/>
      <c r="C79"/>
      <c r="D79"/>
      <c r="E79"/>
      <c r="F79"/>
      <c r="G79"/>
      <c r="H79"/>
      <c r="I79"/>
      <c r="J79"/>
      <c r="K79"/>
      <c r="L79"/>
    </row>
    <row r="80" spans="1:12" ht="15.6">
      <c r="A80" s="371" t="s">
        <v>229</v>
      </c>
      <c r="B80" s="372" t="s">
        <v>230</v>
      </c>
      <c r="C80" s="373" t="s">
        <v>231</v>
      </c>
      <c r="D80" s="362" t="s">
        <v>232</v>
      </c>
      <c r="E80"/>
      <c r="F80"/>
      <c r="G80"/>
      <c r="H80"/>
      <c r="I80"/>
      <c r="J80"/>
      <c r="K80"/>
      <c r="L80"/>
    </row>
    <row r="81" spans="1:12" ht="15.6">
      <c r="A81" s="361" t="s">
        <v>233</v>
      </c>
      <c r="B81" s="364"/>
      <c r="C81" s="374"/>
      <c r="D81" s="374"/>
      <c r="E81"/>
      <c r="F81"/>
      <c r="G81"/>
      <c r="H81"/>
      <c r="I81"/>
      <c r="J81"/>
      <c r="K81"/>
      <c r="L81"/>
    </row>
    <row r="82" spans="1:12" ht="15" customHeight="1">
      <c r="A82" s="558" t="s">
        <v>234</v>
      </c>
      <c r="B82" s="555" t="s">
        <v>201</v>
      </c>
      <c r="C82" s="551" t="s">
        <v>235</v>
      </c>
      <c r="D82" s="375" t="s">
        <v>236</v>
      </c>
      <c r="E82"/>
      <c r="F82"/>
      <c r="G82"/>
      <c r="H82"/>
      <c r="I82"/>
      <c r="J82"/>
      <c r="K82"/>
      <c r="L82"/>
    </row>
    <row r="83" spans="1:12" ht="15" customHeight="1">
      <c r="A83" s="558"/>
      <c r="B83" s="555"/>
      <c r="C83" s="551"/>
      <c r="D83" s="375" t="s">
        <v>237</v>
      </c>
      <c r="E83"/>
      <c r="F83"/>
      <c r="G83"/>
      <c r="H83"/>
      <c r="I83"/>
      <c r="J83"/>
      <c r="K83"/>
      <c r="L83"/>
    </row>
    <row r="84" spans="1:12" ht="28.8">
      <c r="A84" s="558"/>
      <c r="B84" s="555"/>
      <c r="C84" s="551"/>
      <c r="D84" s="375" t="s">
        <v>238</v>
      </c>
      <c r="E84"/>
      <c r="F84"/>
      <c r="G84"/>
      <c r="H84"/>
      <c r="I84"/>
      <c r="J84"/>
      <c r="K84"/>
      <c r="L84"/>
    </row>
    <row r="85" spans="1:12" ht="15" customHeight="1">
      <c r="A85" s="559" t="s">
        <v>239</v>
      </c>
      <c r="B85" s="555" t="s">
        <v>201</v>
      </c>
      <c r="C85" s="551" t="s">
        <v>235</v>
      </c>
      <c r="D85" s="375" t="s">
        <v>236</v>
      </c>
      <c r="E85"/>
      <c r="F85"/>
      <c r="G85"/>
      <c r="H85"/>
      <c r="I85"/>
      <c r="J85"/>
      <c r="K85"/>
      <c r="L85"/>
    </row>
    <row r="86" spans="1:12" ht="15" customHeight="1">
      <c r="A86" s="559"/>
      <c r="B86" s="555"/>
      <c r="C86" s="551"/>
      <c r="D86" s="375" t="s">
        <v>237</v>
      </c>
      <c r="E86"/>
      <c r="F86"/>
      <c r="G86"/>
      <c r="H86"/>
      <c r="I86"/>
      <c r="J86"/>
      <c r="K86"/>
      <c r="L86"/>
    </row>
    <row r="87" spans="1:12" ht="28.8">
      <c r="A87" s="560"/>
      <c r="B87" s="556"/>
      <c r="C87" s="552"/>
      <c r="D87" s="378" t="s">
        <v>238</v>
      </c>
      <c r="E87"/>
      <c r="F87"/>
      <c r="G87"/>
      <c r="H87"/>
      <c r="I87"/>
      <c r="J87"/>
      <c r="K87"/>
      <c r="L87"/>
    </row>
    <row r="88" spans="1:12" ht="15.6">
      <c r="A88" s="361" t="s">
        <v>240</v>
      </c>
      <c r="B88"/>
      <c r="C88"/>
      <c r="D88"/>
      <c r="E88"/>
      <c r="F88"/>
      <c r="G88"/>
      <c r="H88"/>
      <c r="I88"/>
      <c r="J88"/>
      <c r="K88"/>
      <c r="L88"/>
    </row>
    <row r="89" spans="1:12" ht="28.8">
      <c r="A89" s="371" t="s">
        <v>229</v>
      </c>
      <c r="B89" s="379" t="s">
        <v>230</v>
      </c>
      <c r="C89" s="379" t="s">
        <v>231</v>
      </c>
      <c r="D89" s="379" t="s">
        <v>241</v>
      </c>
      <c r="E89" s="379" t="s">
        <v>242</v>
      </c>
      <c r="F89"/>
      <c r="G89"/>
      <c r="H89"/>
      <c r="I89"/>
      <c r="J89"/>
      <c r="K89"/>
      <c r="L89"/>
    </row>
    <row r="90" spans="1:12" ht="15.6">
      <c r="A90" s="361" t="s">
        <v>243</v>
      </c>
      <c r="B90" s="365"/>
      <c r="C90" s="380"/>
      <c r="D90" s="380"/>
      <c r="E90" s="365"/>
      <c r="F90"/>
      <c r="G90"/>
      <c r="H90"/>
      <c r="I90"/>
      <c r="J90"/>
      <c r="K90"/>
      <c r="L90"/>
    </row>
    <row r="91" spans="1:12" ht="15" customHeight="1">
      <c r="A91" s="558" t="s">
        <v>244</v>
      </c>
      <c r="B91" s="557"/>
      <c r="C91" s="550" t="s">
        <v>245</v>
      </c>
      <c r="D91" s="382" t="s">
        <v>246</v>
      </c>
      <c r="E91" s="381" t="s">
        <v>247</v>
      </c>
      <c r="F91"/>
      <c r="G91"/>
      <c r="H91"/>
      <c r="I91"/>
      <c r="J91"/>
      <c r="K91"/>
      <c r="L91"/>
    </row>
    <row r="92" spans="1:12" ht="15" customHeight="1">
      <c r="A92" s="558"/>
      <c r="B92" s="557"/>
      <c r="C92" s="550"/>
      <c r="D92" s="375" t="s">
        <v>248</v>
      </c>
      <c r="E92" s="381" t="s">
        <v>249</v>
      </c>
      <c r="F92"/>
      <c r="G92"/>
      <c r="H92"/>
      <c r="I92"/>
      <c r="J92"/>
      <c r="K92"/>
      <c r="L92"/>
    </row>
    <row r="93" spans="1:12" ht="15" customHeight="1">
      <c r="A93" s="558"/>
      <c r="B93" s="557"/>
      <c r="C93" s="550"/>
      <c r="D93" s="375" t="s">
        <v>250</v>
      </c>
      <c r="E93" s="381" t="s">
        <v>251</v>
      </c>
      <c r="F93"/>
      <c r="G93"/>
      <c r="H93"/>
      <c r="I93"/>
      <c r="J93"/>
      <c r="K93"/>
      <c r="L93"/>
    </row>
    <row r="94" spans="1:12" ht="15" customHeight="1">
      <c r="A94" s="558"/>
      <c r="B94" s="557"/>
      <c r="C94" s="550"/>
      <c r="D94" s="375" t="s">
        <v>252</v>
      </c>
      <c r="E94" s="381" t="s">
        <v>253</v>
      </c>
      <c r="F94"/>
      <c r="G94"/>
      <c r="H94"/>
      <c r="I94"/>
      <c r="J94"/>
      <c r="K94"/>
      <c r="L94"/>
    </row>
    <row r="95" spans="1:12" ht="28.8">
      <c r="A95" s="558"/>
      <c r="B95" s="557"/>
      <c r="C95" s="550" t="s">
        <v>254</v>
      </c>
      <c r="D95" s="375" t="s">
        <v>255</v>
      </c>
      <c r="E95" s="381" t="s">
        <v>256</v>
      </c>
      <c r="F95"/>
      <c r="G95"/>
      <c r="H95"/>
      <c r="I95"/>
      <c r="J95"/>
      <c r="K95"/>
      <c r="L95"/>
    </row>
    <row r="96" spans="1:12" ht="15" customHeight="1">
      <c r="A96" s="558"/>
      <c r="B96" s="557"/>
      <c r="C96" s="550"/>
      <c r="D96" s="375" t="s">
        <v>257</v>
      </c>
      <c r="E96" s="381" t="s">
        <v>258</v>
      </c>
      <c r="F96"/>
      <c r="G96"/>
      <c r="H96"/>
      <c r="I96"/>
      <c r="J96"/>
      <c r="K96"/>
      <c r="L96"/>
    </row>
    <row r="97" spans="1:12" ht="28.8">
      <c r="A97" s="558"/>
      <c r="B97" s="557"/>
      <c r="C97" s="550"/>
      <c r="D97" s="375" t="s">
        <v>259</v>
      </c>
      <c r="E97" s="381" t="s">
        <v>260</v>
      </c>
      <c r="F97"/>
      <c r="G97"/>
      <c r="H97"/>
      <c r="I97"/>
      <c r="J97"/>
      <c r="K97"/>
      <c r="L97"/>
    </row>
    <row r="98" spans="1:12" ht="15" customHeight="1">
      <c r="A98" s="558"/>
      <c r="B98" s="557"/>
      <c r="C98" s="550"/>
      <c r="D98" s="375" t="s">
        <v>250</v>
      </c>
      <c r="E98" s="381" t="s">
        <v>251</v>
      </c>
      <c r="F98"/>
      <c r="G98"/>
      <c r="H98"/>
      <c r="I98"/>
      <c r="J98"/>
      <c r="K98"/>
      <c r="L98"/>
    </row>
    <row r="99" spans="1:12" ht="15" customHeight="1">
      <c r="A99" s="558"/>
      <c r="B99" s="557"/>
      <c r="C99" s="550"/>
      <c r="D99" s="375" t="s">
        <v>252</v>
      </c>
      <c r="E99" s="381" t="s">
        <v>253</v>
      </c>
      <c r="F99"/>
      <c r="G99"/>
      <c r="H99"/>
      <c r="I99"/>
      <c r="J99"/>
      <c r="K99"/>
      <c r="L99"/>
    </row>
    <row r="100" spans="1:12" ht="15.6">
      <c r="A100" s="361" t="s">
        <v>261</v>
      </c>
      <c r="B100" s="381"/>
      <c r="C100" s="375" t="s">
        <v>262</v>
      </c>
      <c r="D100" s="375" t="s">
        <v>263</v>
      </c>
      <c r="E100" s="381" t="s">
        <v>264</v>
      </c>
      <c r="F100"/>
      <c r="G100"/>
      <c r="H100"/>
      <c r="I100"/>
      <c r="J100"/>
      <c r="K100"/>
      <c r="L100"/>
    </row>
    <row r="101" spans="1:12" ht="15.6">
      <c r="A101" s="361" t="s">
        <v>265</v>
      </c>
      <c r="B101" s="365"/>
      <c r="C101" s="382"/>
      <c r="D101" s="382"/>
      <c r="E101" s="381"/>
      <c r="F101"/>
      <c r="G101"/>
      <c r="H101"/>
      <c r="I101"/>
      <c r="J101"/>
      <c r="K101"/>
      <c r="L101"/>
    </row>
    <row r="102" spans="1:12" ht="14.4">
      <c r="A102" s="558" t="s">
        <v>266</v>
      </c>
      <c r="B102" s="557"/>
      <c r="C102" s="550" t="s">
        <v>254</v>
      </c>
      <c r="D102" s="375" t="s">
        <v>267</v>
      </c>
      <c r="E102" s="381" t="s">
        <v>268</v>
      </c>
      <c r="F102"/>
      <c r="G102"/>
      <c r="H102"/>
      <c r="I102"/>
      <c r="J102"/>
      <c r="K102"/>
      <c r="L102"/>
    </row>
    <row r="103" spans="1:12" ht="15" customHeight="1">
      <c r="A103" s="558"/>
      <c r="B103" s="557"/>
      <c r="C103" s="550"/>
      <c r="D103" s="375" t="s">
        <v>269</v>
      </c>
      <c r="E103" s="381" t="s">
        <v>270</v>
      </c>
      <c r="F103"/>
      <c r="G103"/>
      <c r="H103"/>
      <c r="I103"/>
      <c r="J103"/>
      <c r="K103"/>
      <c r="L103"/>
    </row>
    <row r="104" spans="1:12" ht="15" customHeight="1">
      <c r="A104" s="558"/>
      <c r="B104" s="557"/>
      <c r="C104" s="550"/>
      <c r="D104" s="375" t="s">
        <v>271</v>
      </c>
      <c r="E104" s="381" t="s">
        <v>272</v>
      </c>
      <c r="F104"/>
      <c r="G104"/>
      <c r="H104"/>
      <c r="I104"/>
      <c r="J104"/>
      <c r="K104"/>
      <c r="L104"/>
    </row>
    <row r="105" spans="1:12" ht="15" customHeight="1">
      <c r="A105" s="558" t="s">
        <v>273</v>
      </c>
      <c r="B105" s="557"/>
      <c r="C105" s="550" t="s">
        <v>274</v>
      </c>
      <c r="D105" s="375" t="s">
        <v>275</v>
      </c>
      <c r="E105" s="381" t="s">
        <v>276</v>
      </c>
      <c r="F105"/>
      <c r="G105"/>
      <c r="H105"/>
      <c r="I105"/>
      <c r="J105"/>
      <c r="K105"/>
      <c r="L105"/>
    </row>
    <row r="106" spans="1:12" ht="28.8">
      <c r="A106" s="558"/>
      <c r="B106" s="557"/>
      <c r="C106" s="550"/>
      <c r="D106" s="375" t="s">
        <v>277</v>
      </c>
      <c r="E106" s="381" t="s">
        <v>278</v>
      </c>
      <c r="F106"/>
      <c r="G106"/>
      <c r="H106"/>
      <c r="I106"/>
      <c r="J106"/>
      <c r="K106"/>
      <c r="L106"/>
    </row>
    <row r="107" spans="1:12" ht="15.6">
      <c r="A107" s="361" t="s">
        <v>233</v>
      </c>
      <c r="B107" s="365"/>
      <c r="C107" s="380"/>
      <c r="D107" s="380"/>
      <c r="E107" s="365"/>
      <c r="F107"/>
      <c r="G107"/>
      <c r="H107"/>
      <c r="I107"/>
      <c r="J107"/>
      <c r="K107"/>
      <c r="L107"/>
    </row>
    <row r="108" spans="1:12" ht="15" customHeight="1">
      <c r="A108" s="558" t="s">
        <v>279</v>
      </c>
      <c r="B108" s="557"/>
      <c r="C108" s="550" t="s">
        <v>280</v>
      </c>
      <c r="D108" s="375" t="s">
        <v>281</v>
      </c>
      <c r="E108" s="381" t="s">
        <v>282</v>
      </c>
      <c r="F108"/>
      <c r="G108"/>
      <c r="H108"/>
      <c r="I108"/>
      <c r="J108"/>
      <c r="K108"/>
      <c r="L108"/>
    </row>
    <row r="109" spans="1:12" ht="28.8">
      <c r="A109" s="558"/>
      <c r="B109" s="557"/>
      <c r="C109" s="550"/>
      <c r="D109" s="375" t="s">
        <v>283</v>
      </c>
      <c r="E109" s="381" t="s">
        <v>284</v>
      </c>
      <c r="F109"/>
      <c r="G109"/>
      <c r="H109"/>
      <c r="I109"/>
      <c r="J109"/>
      <c r="K109"/>
      <c r="L109"/>
    </row>
    <row r="110" spans="1:12" ht="15" customHeight="1">
      <c r="A110" s="558"/>
      <c r="B110" s="557"/>
      <c r="C110" s="550"/>
      <c r="D110" s="375" t="s">
        <v>285</v>
      </c>
      <c r="E110" s="381" t="s">
        <v>286</v>
      </c>
      <c r="F110"/>
      <c r="G110"/>
      <c r="H110"/>
      <c r="I110"/>
      <c r="J110"/>
      <c r="K110"/>
      <c r="L110"/>
    </row>
    <row r="111" spans="1:12" ht="15.6">
      <c r="A111" s="361" t="s">
        <v>287</v>
      </c>
      <c r="B111" s="365"/>
      <c r="C111" s="382"/>
      <c r="D111" s="382"/>
      <c r="E111" s="381"/>
      <c r="F111"/>
      <c r="G111"/>
      <c r="H111"/>
      <c r="I111"/>
      <c r="J111"/>
      <c r="K111"/>
      <c r="L111"/>
    </row>
    <row r="112" spans="1:12" ht="28.8">
      <c r="A112" s="559" t="s">
        <v>288</v>
      </c>
      <c r="B112" s="557"/>
      <c r="C112" s="550" t="s">
        <v>254</v>
      </c>
      <c r="D112" s="375" t="s">
        <v>289</v>
      </c>
      <c r="E112" s="381" t="s">
        <v>290</v>
      </c>
      <c r="F112"/>
      <c r="G112"/>
      <c r="H112"/>
      <c r="I112"/>
      <c r="J112"/>
      <c r="K112"/>
      <c r="L112"/>
    </row>
    <row r="113" spans="1:12" ht="28.8">
      <c r="A113" s="559"/>
      <c r="B113" s="557"/>
      <c r="C113" s="550"/>
      <c r="D113" s="375" t="s">
        <v>291</v>
      </c>
      <c r="E113" s="381" t="s">
        <v>292</v>
      </c>
      <c r="F113"/>
      <c r="G113"/>
      <c r="H113"/>
      <c r="I113"/>
      <c r="J113"/>
      <c r="K113"/>
      <c r="L113"/>
    </row>
    <row r="114" spans="1:12" ht="28.8">
      <c r="A114" s="560"/>
      <c r="B114" s="368"/>
      <c r="C114" s="378" t="s">
        <v>293</v>
      </c>
      <c r="D114" s="378" t="s">
        <v>294</v>
      </c>
      <c r="E114" s="383">
        <v>60000</v>
      </c>
      <c r="F114"/>
      <c r="G114"/>
      <c r="H114"/>
      <c r="I114"/>
      <c r="J114"/>
      <c r="K114"/>
      <c r="L114"/>
    </row>
    <row r="115" spans="1:12" ht="15.6">
      <c r="A115" s="361"/>
      <c r="B115"/>
      <c r="C115"/>
      <c r="D115"/>
      <c r="E115"/>
      <c r="F115"/>
      <c r="G115"/>
      <c r="H115"/>
      <c r="I115"/>
      <c r="J115"/>
      <c r="K115"/>
      <c r="L115"/>
    </row>
    <row r="116" spans="1:12" ht="15.6">
      <c r="A116" s="361"/>
      <c r="B116"/>
      <c r="C116"/>
      <c r="D116"/>
      <c r="E116"/>
      <c r="F116"/>
      <c r="G116"/>
      <c r="H116"/>
      <c r="I116"/>
      <c r="J116"/>
      <c r="K116"/>
      <c r="L116"/>
    </row>
    <row r="117" spans="1:12" ht="15.6">
      <c r="A117" s="361" t="s">
        <v>295</v>
      </c>
      <c r="B117"/>
      <c r="C117"/>
      <c r="D117"/>
      <c r="E117"/>
      <c r="F117"/>
      <c r="G117"/>
      <c r="H117"/>
      <c r="I117"/>
      <c r="J117"/>
      <c r="K117"/>
      <c r="L117"/>
    </row>
    <row r="118" spans="1:12" ht="82.5" customHeight="1">
      <c r="A118" s="553" t="s">
        <v>296</v>
      </c>
      <c r="B118" s="547" t="s">
        <v>297</v>
      </c>
      <c r="C118" s="547" t="s">
        <v>298</v>
      </c>
      <c r="D118" s="547" t="s">
        <v>299</v>
      </c>
      <c r="E118" s="549" t="s">
        <v>300</v>
      </c>
      <c r="F118" s="549"/>
      <c r="G118" s="549" t="s">
        <v>301</v>
      </c>
      <c r="H118" s="549"/>
      <c r="I118" s="549"/>
      <c r="J118" s="549"/>
      <c r="K118" s="547" t="s">
        <v>161</v>
      </c>
      <c r="L118" s="547" t="s">
        <v>302</v>
      </c>
    </row>
    <row r="119" spans="1:12" ht="15.45" customHeight="1">
      <c r="A119" s="554"/>
      <c r="B119" s="548"/>
      <c r="C119" s="548"/>
      <c r="D119" s="548"/>
      <c r="E119" s="386" t="s">
        <v>303</v>
      </c>
      <c r="F119" s="386" t="s">
        <v>304</v>
      </c>
      <c r="G119" s="386" t="s">
        <v>305</v>
      </c>
      <c r="H119" s="386" t="s">
        <v>306</v>
      </c>
      <c r="I119" s="386" t="s">
        <v>307</v>
      </c>
      <c r="J119" s="386" t="s">
        <v>308</v>
      </c>
      <c r="K119" s="548"/>
      <c r="L119" s="548"/>
    </row>
    <row r="120" spans="1:12" ht="15.6">
      <c r="A120" s="361" t="s">
        <v>309</v>
      </c>
      <c r="B120" s="387"/>
      <c r="C120" s="387"/>
      <c r="D120" s="387"/>
      <c r="E120" s="387"/>
      <c r="F120" s="387"/>
      <c r="G120" s="387"/>
      <c r="H120" s="387"/>
      <c r="I120" s="387"/>
      <c r="J120" s="387"/>
      <c r="K120" s="387"/>
      <c r="L120" s="387"/>
    </row>
    <row r="121" spans="1:12" ht="15.6">
      <c r="A121" s="361" t="s">
        <v>310</v>
      </c>
      <c r="B121" s="387"/>
      <c r="C121" s="387"/>
      <c r="D121" s="387"/>
      <c r="E121" s="387"/>
      <c r="F121" s="387"/>
      <c r="G121" s="387"/>
      <c r="H121" s="387"/>
      <c r="I121" s="387"/>
      <c r="J121" s="387"/>
      <c r="K121" s="387"/>
      <c r="L121" s="387"/>
    </row>
    <row r="122" spans="1:12" ht="15.6">
      <c r="A122" s="361" t="s">
        <v>311</v>
      </c>
      <c r="B122" s="387"/>
      <c r="C122" s="387"/>
      <c r="D122" s="387"/>
      <c r="E122" s="387"/>
      <c r="F122" s="387"/>
      <c r="G122" s="387"/>
      <c r="H122" s="387"/>
      <c r="I122" s="387"/>
      <c r="J122" s="387"/>
      <c r="K122" s="387"/>
      <c r="L122" s="387"/>
    </row>
    <row r="123" spans="1:12" ht="15.6">
      <c r="A123" s="361" t="s">
        <v>134</v>
      </c>
      <c r="B123" s="387"/>
      <c r="C123" s="387"/>
      <c r="D123" s="387"/>
      <c r="E123" s="387"/>
      <c r="F123" s="387"/>
      <c r="G123" s="387"/>
      <c r="H123" s="387"/>
      <c r="I123" s="387"/>
      <c r="J123" s="387"/>
      <c r="K123" s="387"/>
      <c r="L123" s="387"/>
    </row>
    <row r="124" spans="1:12" ht="15.6">
      <c r="A124" s="361" t="s">
        <v>312</v>
      </c>
      <c r="B124" s="387"/>
      <c r="C124" s="387"/>
      <c r="D124" s="387"/>
      <c r="E124" s="387"/>
      <c r="F124" s="387"/>
      <c r="G124" s="387"/>
      <c r="H124" s="387"/>
      <c r="I124" s="387"/>
      <c r="J124" s="387"/>
      <c r="K124" s="387"/>
      <c r="L124" s="387"/>
    </row>
    <row r="125" spans="1:12" ht="15.6">
      <c r="A125" s="361" t="s">
        <v>234</v>
      </c>
      <c r="B125" s="387"/>
      <c r="C125" s="387"/>
      <c r="D125" s="387"/>
      <c r="E125" s="387"/>
      <c r="F125" s="387"/>
      <c r="G125" s="387"/>
      <c r="H125" s="387"/>
      <c r="I125" s="387"/>
      <c r="J125" s="387"/>
      <c r="K125" s="387"/>
      <c r="L125" s="387"/>
    </row>
    <row r="126" spans="1:12" ht="15.6">
      <c r="A126" s="361" t="s">
        <v>313</v>
      </c>
      <c r="B126" s="387"/>
      <c r="C126" s="387"/>
      <c r="D126" s="387"/>
      <c r="E126" s="387"/>
      <c r="F126" s="387"/>
      <c r="G126" s="387"/>
      <c r="H126" s="387"/>
      <c r="I126" s="387"/>
      <c r="J126" s="387"/>
      <c r="K126" s="387"/>
      <c r="L126" s="387"/>
    </row>
    <row r="127" spans="1:12" ht="15.6">
      <c r="A127" s="361" t="s">
        <v>314</v>
      </c>
      <c r="B127" s="387"/>
      <c r="C127" s="387"/>
      <c r="D127" s="387"/>
      <c r="E127" s="387"/>
      <c r="F127" s="387"/>
      <c r="G127" s="387"/>
      <c r="H127" s="387"/>
      <c r="I127" s="387"/>
      <c r="J127" s="387"/>
      <c r="K127" s="387"/>
      <c r="L127" s="387"/>
    </row>
    <row r="128" spans="1:12" ht="15.6">
      <c r="A128" s="361" t="s">
        <v>315</v>
      </c>
      <c r="B128" s="387"/>
      <c r="C128" s="387"/>
      <c r="D128" s="387"/>
      <c r="E128" s="387"/>
      <c r="F128" s="387"/>
      <c r="G128" s="387"/>
      <c r="H128" s="387"/>
      <c r="I128" s="387"/>
      <c r="J128" s="387"/>
      <c r="K128" s="387"/>
      <c r="L128" s="387"/>
    </row>
    <row r="129" spans="1:12" ht="15.6">
      <c r="A129" s="361" t="s">
        <v>316</v>
      </c>
      <c r="B129" s="387"/>
      <c r="C129" s="387"/>
      <c r="D129" s="387"/>
      <c r="E129" s="387"/>
      <c r="F129" s="387"/>
      <c r="G129" s="387"/>
      <c r="H129" s="387"/>
      <c r="I129" s="387"/>
      <c r="J129" s="387"/>
      <c r="K129" s="387"/>
      <c r="L129" s="387"/>
    </row>
    <row r="130" spans="1:12" ht="15.6">
      <c r="A130" s="361" t="s">
        <v>287</v>
      </c>
      <c r="B130" s="387"/>
      <c r="C130" s="387"/>
      <c r="D130" s="387"/>
      <c r="E130" s="387"/>
      <c r="F130" s="387"/>
      <c r="G130" s="387"/>
      <c r="H130" s="387"/>
      <c r="I130" s="387"/>
      <c r="J130" s="387"/>
      <c r="K130" s="387"/>
      <c r="L130" s="387"/>
    </row>
    <row r="131" spans="1:12" ht="15.6">
      <c r="A131" s="361" t="s">
        <v>317</v>
      </c>
      <c r="B131" s="387"/>
      <c r="C131" s="387"/>
      <c r="D131" s="387"/>
      <c r="E131" s="387"/>
      <c r="F131" s="387"/>
      <c r="G131" s="387"/>
      <c r="H131" s="387"/>
      <c r="I131" s="387"/>
      <c r="J131" s="387"/>
      <c r="K131" s="387"/>
      <c r="L131" s="387"/>
    </row>
    <row r="132" spans="1:12" ht="15.6">
      <c r="A132" s="361" t="s">
        <v>318</v>
      </c>
      <c r="B132" s="387"/>
      <c r="C132" s="387"/>
      <c r="D132" s="387"/>
      <c r="E132" s="387"/>
      <c r="F132" s="387"/>
      <c r="G132" s="387"/>
      <c r="H132" s="387"/>
      <c r="I132" s="387"/>
      <c r="J132" s="387"/>
      <c r="K132" s="387"/>
      <c r="L132" s="387"/>
    </row>
    <row r="133" spans="1:12" ht="15.6">
      <c r="A133" s="361" t="s">
        <v>319</v>
      </c>
      <c r="B133" s="387"/>
      <c r="C133" s="387"/>
      <c r="D133" s="387"/>
      <c r="E133" s="387"/>
      <c r="F133" s="387"/>
      <c r="G133" s="387"/>
      <c r="H133" s="387"/>
      <c r="I133" s="387"/>
      <c r="J133" s="387"/>
      <c r="K133" s="387"/>
      <c r="L133" s="387"/>
    </row>
    <row r="134" spans="1:12" ht="15.6">
      <c r="A134" s="361" t="s">
        <v>320</v>
      </c>
      <c r="B134" s="387"/>
      <c r="C134" s="387"/>
      <c r="D134" s="387"/>
      <c r="E134" s="387"/>
      <c r="F134" s="387"/>
      <c r="G134" s="387"/>
      <c r="H134" s="387"/>
      <c r="I134" s="387"/>
      <c r="J134" s="387"/>
      <c r="K134" s="387"/>
      <c r="L134" s="387"/>
    </row>
    <row r="135" spans="1:12" ht="15.6">
      <c r="A135" s="361" t="s">
        <v>321</v>
      </c>
      <c r="B135" s="387"/>
      <c r="C135" s="387"/>
      <c r="D135" s="387"/>
      <c r="E135" s="387"/>
      <c r="F135" s="387"/>
      <c r="G135" s="387"/>
      <c r="H135" s="387"/>
      <c r="I135" s="387"/>
      <c r="J135" s="387"/>
      <c r="K135" s="387"/>
      <c r="L135" s="387"/>
    </row>
    <row r="136" spans="1:12" ht="15.6">
      <c r="A136" s="361" t="s">
        <v>322</v>
      </c>
      <c r="B136" s="388"/>
      <c r="C136" s="388"/>
      <c r="D136" s="388"/>
      <c r="E136" s="388"/>
      <c r="F136" s="388"/>
      <c r="G136" s="388"/>
      <c r="H136" s="388"/>
      <c r="I136" s="388"/>
      <c r="J136" s="388"/>
      <c r="K136" s="388"/>
      <c r="L136" s="388"/>
    </row>
    <row r="137" spans="1:12">
      <c r="A137" s="389" t="s">
        <v>323</v>
      </c>
      <c r="B137" s="390"/>
      <c r="C137" s="390"/>
      <c r="D137" s="390"/>
      <c r="E137" s="390"/>
      <c r="F137" s="390"/>
      <c r="G137" s="390"/>
      <c r="H137" s="390"/>
      <c r="I137" s="390"/>
      <c r="J137" s="390"/>
      <c r="K137" s="390"/>
      <c r="L137" s="390"/>
    </row>
    <row r="138" spans="1:12" ht="15.6">
      <c r="A138" s="361"/>
      <c r="B138"/>
      <c r="C138"/>
      <c r="D138"/>
      <c r="E138"/>
      <c r="F138"/>
      <c r="G138"/>
      <c r="H138"/>
      <c r="I138"/>
      <c r="J138"/>
      <c r="K138"/>
      <c r="L138"/>
    </row>
    <row r="139" spans="1:12" ht="15.6">
      <c r="A139" s="361" t="s">
        <v>324</v>
      </c>
      <c r="B139"/>
      <c r="C139"/>
      <c r="D139"/>
      <c r="E139"/>
      <c r="F139"/>
      <c r="G139"/>
      <c r="H139"/>
      <c r="I139"/>
      <c r="J139"/>
      <c r="K139"/>
      <c r="L139"/>
    </row>
    <row r="140" spans="1:12" ht="21.6">
      <c r="A140" s="389" t="s">
        <v>296</v>
      </c>
      <c r="B140" s="391" t="s">
        <v>325</v>
      </c>
      <c r="C140" s="391" t="s">
        <v>326</v>
      </c>
      <c r="D140"/>
      <c r="E140"/>
      <c r="F140"/>
      <c r="G140"/>
      <c r="H140"/>
      <c r="I140"/>
      <c r="J140"/>
      <c r="K140"/>
      <c r="L140"/>
    </row>
    <row r="141" spans="1:12" ht="15.6">
      <c r="A141" s="361" t="s">
        <v>327</v>
      </c>
      <c r="B141" s="387"/>
      <c r="C141" s="387"/>
      <c r="D141"/>
      <c r="E141"/>
      <c r="F141"/>
      <c r="G141"/>
      <c r="H141"/>
      <c r="I141"/>
      <c r="J141"/>
      <c r="K141"/>
      <c r="L141"/>
    </row>
    <row r="142" spans="1:12" ht="15.6">
      <c r="A142" s="377" t="s">
        <v>302</v>
      </c>
      <c r="B142" s="388"/>
      <c r="C142" s="388"/>
      <c r="D142"/>
      <c r="E142"/>
      <c r="F142"/>
      <c r="G142"/>
      <c r="H142"/>
      <c r="I142"/>
      <c r="J142"/>
      <c r="K142"/>
      <c r="L142"/>
    </row>
    <row r="143" spans="1:12" ht="15.6">
      <c r="A143" s="361"/>
      <c r="B143"/>
      <c r="C143"/>
      <c r="D143"/>
      <c r="E143"/>
      <c r="F143"/>
      <c r="G143"/>
      <c r="H143"/>
      <c r="I143"/>
      <c r="J143"/>
      <c r="K143"/>
      <c r="L143"/>
    </row>
    <row r="144" spans="1:12" ht="82.5" customHeight="1">
      <c r="A144" s="553" t="s">
        <v>328</v>
      </c>
      <c r="B144" s="547" t="s">
        <v>297</v>
      </c>
      <c r="C144" s="384" t="s">
        <v>329</v>
      </c>
      <c r="D144" s="384" t="s">
        <v>330</v>
      </c>
      <c r="E144" s="549" t="s">
        <v>300</v>
      </c>
      <c r="F144" s="549"/>
      <c r="G144" s="549"/>
      <c r="H144" s="549" t="s">
        <v>301</v>
      </c>
      <c r="I144" s="549"/>
      <c r="J144" s="549"/>
      <c r="K144" s="547" t="s">
        <v>331</v>
      </c>
      <c r="L144" s="547" t="s">
        <v>302</v>
      </c>
    </row>
    <row r="145" spans="1:12">
      <c r="A145" s="554"/>
      <c r="B145" s="548"/>
      <c r="C145" s="386" t="s">
        <v>332</v>
      </c>
      <c r="D145" s="386" t="s">
        <v>332</v>
      </c>
      <c r="E145" s="386" t="s">
        <v>303</v>
      </c>
      <c r="F145" s="386" t="s">
        <v>304</v>
      </c>
      <c r="G145" s="386" t="s">
        <v>305</v>
      </c>
      <c r="H145" s="386" t="s">
        <v>306</v>
      </c>
      <c r="I145" s="386" t="s">
        <v>307</v>
      </c>
      <c r="J145" s="386" t="s">
        <v>308</v>
      </c>
      <c r="K145" s="548"/>
      <c r="L145" s="548"/>
    </row>
    <row r="146" spans="1:12" ht="15.6">
      <c r="A146" s="361" t="s">
        <v>309</v>
      </c>
      <c r="B146" s="387"/>
      <c r="C146" s="387"/>
      <c r="D146" s="387"/>
      <c r="E146" s="387"/>
      <c r="F146" s="387"/>
      <c r="G146" s="387"/>
      <c r="H146" s="387"/>
      <c r="I146" s="387"/>
      <c r="J146" s="387"/>
      <c r="K146" s="387"/>
      <c r="L146" s="387"/>
    </row>
    <row r="147" spans="1:12" ht="15.6">
      <c r="A147" s="361" t="s">
        <v>310</v>
      </c>
      <c r="B147" s="387"/>
      <c r="C147" s="387"/>
      <c r="D147" s="387"/>
      <c r="E147" s="387"/>
      <c r="F147" s="387"/>
      <c r="G147" s="387"/>
      <c r="H147" s="387"/>
      <c r="I147" s="387"/>
      <c r="J147" s="387"/>
      <c r="K147" s="387"/>
      <c r="L147" s="387"/>
    </row>
    <row r="148" spans="1:12" ht="15.6">
      <c r="A148" s="361" t="s">
        <v>311</v>
      </c>
      <c r="B148" s="387"/>
      <c r="C148" s="387"/>
      <c r="D148" s="387"/>
      <c r="E148" s="387"/>
      <c r="F148" s="387"/>
      <c r="G148" s="387"/>
      <c r="H148" s="387"/>
      <c r="I148" s="387"/>
      <c r="J148" s="387"/>
      <c r="K148" s="387"/>
      <c r="L148" s="387"/>
    </row>
    <row r="149" spans="1:12" ht="15.6">
      <c r="A149" s="361" t="s">
        <v>134</v>
      </c>
      <c r="B149" s="387"/>
      <c r="C149" s="387"/>
      <c r="D149" s="387"/>
      <c r="E149" s="387"/>
      <c r="F149" s="387"/>
      <c r="G149" s="387"/>
      <c r="H149" s="387"/>
      <c r="I149" s="387"/>
      <c r="J149" s="387"/>
      <c r="K149" s="387"/>
      <c r="L149" s="387"/>
    </row>
    <row r="150" spans="1:12" ht="15.6">
      <c r="A150" s="361" t="s">
        <v>312</v>
      </c>
      <c r="B150" s="387"/>
      <c r="C150" s="387"/>
      <c r="D150" s="387"/>
      <c r="E150" s="387"/>
      <c r="F150" s="387"/>
      <c r="G150" s="387"/>
      <c r="H150" s="387"/>
      <c r="I150" s="387"/>
      <c r="J150" s="387"/>
      <c r="K150" s="387"/>
      <c r="L150" s="387"/>
    </row>
    <row r="151" spans="1:12" ht="15.6">
      <c r="A151" s="361" t="s">
        <v>234</v>
      </c>
      <c r="B151" s="387"/>
      <c r="C151" s="387"/>
      <c r="D151" s="387"/>
      <c r="E151" s="387"/>
      <c r="F151" s="387"/>
      <c r="G151" s="387"/>
      <c r="H151" s="387"/>
      <c r="I151" s="387"/>
      <c r="J151" s="387"/>
      <c r="K151" s="387"/>
      <c r="L151" s="387"/>
    </row>
    <row r="152" spans="1:12" ht="15.6">
      <c r="A152" s="361" t="s">
        <v>313</v>
      </c>
      <c r="B152" s="387"/>
      <c r="C152" s="387"/>
      <c r="D152" s="387"/>
      <c r="E152" s="387"/>
      <c r="F152" s="387"/>
      <c r="G152" s="387"/>
      <c r="H152" s="387"/>
      <c r="I152" s="387"/>
      <c r="J152" s="387"/>
      <c r="K152" s="387"/>
      <c r="L152" s="387"/>
    </row>
    <row r="153" spans="1:12" ht="15.6">
      <c r="A153" s="361" t="s">
        <v>314</v>
      </c>
      <c r="B153" s="387"/>
      <c r="C153" s="387"/>
      <c r="D153" s="387"/>
      <c r="E153" s="387"/>
      <c r="F153" s="387"/>
      <c r="G153" s="387"/>
      <c r="H153" s="387"/>
      <c r="I153" s="387"/>
      <c r="J153" s="387"/>
      <c r="K153" s="387"/>
      <c r="L153" s="387"/>
    </row>
    <row r="154" spans="1:12" ht="15.6">
      <c r="A154" s="361" t="s">
        <v>315</v>
      </c>
      <c r="B154" s="387"/>
      <c r="C154" s="387"/>
      <c r="D154" s="387"/>
      <c r="E154" s="387"/>
      <c r="F154" s="387"/>
      <c r="G154" s="387"/>
      <c r="H154" s="387"/>
      <c r="I154" s="387"/>
      <c r="J154" s="387"/>
      <c r="K154" s="387"/>
      <c r="L154" s="387"/>
    </row>
    <row r="155" spans="1:12" ht="15.6">
      <c r="A155" s="361" t="s">
        <v>316</v>
      </c>
      <c r="B155" s="387"/>
      <c r="C155" s="387"/>
      <c r="D155" s="387"/>
      <c r="E155" s="387"/>
      <c r="F155" s="387"/>
      <c r="G155" s="387"/>
      <c r="H155" s="387"/>
      <c r="I155" s="387"/>
      <c r="J155" s="387"/>
      <c r="K155" s="387"/>
      <c r="L155" s="387"/>
    </row>
    <row r="156" spans="1:12" ht="15.6">
      <c r="A156" s="361" t="s">
        <v>287</v>
      </c>
      <c r="B156" s="387"/>
      <c r="C156" s="387"/>
      <c r="D156" s="387"/>
      <c r="E156" s="387"/>
      <c r="F156" s="387"/>
      <c r="G156" s="387"/>
      <c r="H156" s="387"/>
      <c r="I156" s="387"/>
      <c r="J156" s="387"/>
      <c r="K156" s="387"/>
      <c r="L156" s="387"/>
    </row>
    <row r="157" spans="1:12" ht="15.6">
      <c r="A157" s="361" t="s">
        <v>317</v>
      </c>
      <c r="B157" s="387"/>
      <c r="C157" s="387"/>
      <c r="D157" s="387"/>
      <c r="E157" s="387"/>
      <c r="F157" s="387"/>
      <c r="G157" s="387"/>
      <c r="H157" s="387"/>
      <c r="I157" s="387"/>
      <c r="J157" s="387"/>
      <c r="K157" s="387"/>
      <c r="L157" s="387"/>
    </row>
    <row r="158" spans="1:12" ht="15.6">
      <c r="A158" s="361" t="s">
        <v>318</v>
      </c>
      <c r="B158" s="387"/>
      <c r="C158" s="387"/>
      <c r="D158" s="387"/>
      <c r="E158" s="387"/>
      <c r="F158" s="387"/>
      <c r="G158" s="387"/>
      <c r="H158" s="387"/>
      <c r="I158" s="387"/>
      <c r="J158" s="387"/>
      <c r="K158" s="387"/>
      <c r="L158" s="387"/>
    </row>
    <row r="159" spans="1:12" ht="15.6">
      <c r="A159" s="361" t="s">
        <v>319</v>
      </c>
      <c r="B159" s="387"/>
      <c r="C159" s="387"/>
      <c r="D159" s="387"/>
      <c r="E159" s="387"/>
      <c r="F159" s="387"/>
      <c r="G159" s="387"/>
      <c r="H159" s="387"/>
      <c r="I159" s="387"/>
      <c r="J159" s="387"/>
      <c r="K159" s="387"/>
      <c r="L159" s="387"/>
    </row>
    <row r="160" spans="1:12" ht="15.6">
      <c r="A160" s="361" t="s">
        <v>320</v>
      </c>
      <c r="B160" s="387"/>
      <c r="C160" s="387"/>
      <c r="D160" s="387"/>
      <c r="E160" s="387"/>
      <c r="F160" s="387"/>
      <c r="G160" s="387"/>
      <c r="H160" s="387"/>
      <c r="I160" s="387"/>
      <c r="J160" s="387"/>
      <c r="K160" s="387"/>
      <c r="L160" s="387"/>
    </row>
    <row r="161" spans="1:12" ht="15.6">
      <c r="A161" s="361" t="s">
        <v>321</v>
      </c>
      <c r="B161" s="387"/>
      <c r="C161" s="387"/>
      <c r="D161" s="387"/>
      <c r="E161" s="387"/>
      <c r="F161" s="387"/>
      <c r="G161" s="387"/>
      <c r="H161" s="387"/>
      <c r="I161" s="387"/>
      <c r="J161" s="387"/>
      <c r="K161" s="387"/>
      <c r="L161" s="387"/>
    </row>
    <row r="162" spans="1:12" ht="15.6">
      <c r="A162" s="376" t="s">
        <v>322</v>
      </c>
      <c r="B162" s="387"/>
      <c r="C162" s="387"/>
      <c r="D162" s="387"/>
      <c r="E162" s="387"/>
      <c r="F162" s="387"/>
      <c r="G162" s="387"/>
      <c r="H162" s="387"/>
      <c r="I162" s="387"/>
      <c r="J162" s="387"/>
      <c r="K162" s="387"/>
      <c r="L162" s="387"/>
    </row>
    <row r="163" spans="1:12">
      <c r="A163" s="385" t="s">
        <v>323</v>
      </c>
      <c r="B163" s="390"/>
      <c r="C163" s="390"/>
      <c r="D163" s="390"/>
      <c r="E163" s="390"/>
      <c r="F163" s="390"/>
      <c r="G163" s="390"/>
      <c r="H163" s="390"/>
      <c r="I163" s="390"/>
      <c r="J163" s="390"/>
      <c r="K163" s="390"/>
      <c r="L163" s="390"/>
    </row>
    <row r="164" spans="1:12" ht="15.6">
      <c r="A164" s="361" t="s">
        <v>333</v>
      </c>
      <c r="B164"/>
      <c r="C164"/>
      <c r="D164"/>
      <c r="E164"/>
      <c r="F164"/>
      <c r="G164"/>
      <c r="H164"/>
      <c r="I164"/>
      <c r="J164"/>
      <c r="K164"/>
      <c r="L164"/>
    </row>
    <row r="165" spans="1:12" ht="21.6">
      <c r="A165" s="362" t="s">
        <v>334</v>
      </c>
      <c r="B165" s="391" t="s">
        <v>325</v>
      </c>
      <c r="C165" s="391" t="s">
        <v>326</v>
      </c>
      <c r="D165"/>
      <c r="E165"/>
      <c r="F165"/>
      <c r="G165"/>
      <c r="H165"/>
      <c r="I165"/>
      <c r="J165"/>
      <c r="K165"/>
      <c r="L165"/>
    </row>
    <row r="166" spans="1:12" ht="15.6">
      <c r="A166" s="361" t="s">
        <v>327</v>
      </c>
      <c r="B166" s="387"/>
      <c r="C166" s="387"/>
      <c r="D166"/>
      <c r="E166"/>
      <c r="F166"/>
      <c r="G166"/>
      <c r="H166"/>
      <c r="I166"/>
      <c r="J166"/>
      <c r="K166"/>
      <c r="L166"/>
    </row>
    <row r="167" spans="1:12" ht="15.6">
      <c r="A167" s="377" t="s">
        <v>302</v>
      </c>
      <c r="B167" s="388"/>
      <c r="C167" s="388"/>
      <c r="D167"/>
      <c r="E167"/>
      <c r="F167"/>
      <c r="G167"/>
      <c r="H167"/>
      <c r="I167"/>
      <c r="J167"/>
      <c r="K167"/>
      <c r="L167"/>
    </row>
    <row r="168" spans="1:12" ht="15.6">
      <c r="A168" s="361" t="s">
        <v>335</v>
      </c>
      <c r="B168"/>
      <c r="C168"/>
      <c r="D168"/>
      <c r="E168"/>
      <c r="F168"/>
      <c r="G168"/>
      <c r="H168"/>
      <c r="I168"/>
      <c r="J168"/>
      <c r="K168"/>
      <c r="L168"/>
    </row>
    <row r="169" spans="1:12" ht="15.6">
      <c r="A169" s="361" t="s">
        <v>336</v>
      </c>
      <c r="B169"/>
      <c r="C169"/>
      <c r="D169"/>
      <c r="E169"/>
      <c r="F169"/>
      <c r="G169"/>
      <c r="H169"/>
      <c r="I169"/>
      <c r="J169"/>
      <c r="K169"/>
      <c r="L169"/>
    </row>
    <row r="170" spans="1:12" ht="15.6">
      <c r="A170" s="361" t="s">
        <v>337</v>
      </c>
      <c r="B170"/>
      <c r="C170"/>
      <c r="D170"/>
      <c r="E170"/>
      <c r="F170"/>
      <c r="G170"/>
      <c r="H170"/>
      <c r="I170"/>
      <c r="J170"/>
      <c r="K170"/>
      <c r="L170"/>
    </row>
    <row r="171" spans="1:12" ht="28.8">
      <c r="A171" s="362" t="s">
        <v>338</v>
      </c>
      <c r="B171" s="363" t="s">
        <v>339</v>
      </c>
      <c r="C171" s="363" t="s">
        <v>189</v>
      </c>
      <c r="D171" s="363" t="s">
        <v>190</v>
      </c>
      <c r="E171" s="363" t="s">
        <v>191</v>
      </c>
      <c r="F171" s="363" t="s">
        <v>192</v>
      </c>
      <c r="G171"/>
      <c r="H171"/>
      <c r="I171"/>
      <c r="J171"/>
      <c r="K171"/>
      <c r="L171"/>
    </row>
    <row r="172" spans="1:12" ht="14.4">
      <c r="A172" s="364" t="s">
        <v>340</v>
      </c>
      <c r="B172" s="365"/>
      <c r="C172" s="365"/>
      <c r="D172" s="365"/>
      <c r="E172" s="365"/>
      <c r="F172" s="365"/>
      <c r="G172"/>
      <c r="H172"/>
      <c r="I172"/>
      <c r="J172"/>
      <c r="K172"/>
      <c r="L172"/>
    </row>
    <row r="173" spans="1:12" ht="14.4">
      <c r="A173" s="364" t="s">
        <v>341</v>
      </c>
      <c r="B173" s="365"/>
      <c r="C173" s="365"/>
      <c r="D173" s="365"/>
      <c r="E173" s="365"/>
      <c r="F173" s="365"/>
      <c r="G173"/>
      <c r="H173"/>
      <c r="I173"/>
      <c r="J173"/>
      <c r="K173"/>
      <c r="L173"/>
    </row>
    <row r="174" spans="1:12" ht="14.4">
      <c r="A174" s="364" t="s">
        <v>342</v>
      </c>
      <c r="B174" s="365"/>
      <c r="C174" s="365"/>
      <c r="D174" s="365"/>
      <c r="E174" s="365"/>
      <c r="F174" s="365"/>
      <c r="G174"/>
      <c r="H174"/>
      <c r="I174"/>
      <c r="J174"/>
      <c r="K174"/>
      <c r="L174"/>
    </row>
    <row r="175" spans="1:12" ht="28.8">
      <c r="A175" s="364" t="s">
        <v>343</v>
      </c>
      <c r="B175" s="365"/>
      <c r="C175" s="365"/>
      <c r="D175" s="365"/>
      <c r="E175" s="365"/>
      <c r="F175" s="365"/>
      <c r="G175"/>
      <c r="H175"/>
      <c r="I175"/>
      <c r="J175"/>
      <c r="K175"/>
      <c r="L175"/>
    </row>
    <row r="176" spans="1:12" ht="14.4">
      <c r="A176" s="364" t="s">
        <v>344</v>
      </c>
      <c r="B176" s="365"/>
      <c r="C176" s="365"/>
      <c r="D176" s="365"/>
      <c r="E176" s="365"/>
      <c r="F176" s="365"/>
      <c r="G176"/>
      <c r="H176"/>
      <c r="I176"/>
      <c r="J176"/>
      <c r="K176"/>
      <c r="L176"/>
    </row>
    <row r="177" spans="1:12" ht="14.4">
      <c r="A177" s="364" t="s">
        <v>345</v>
      </c>
      <c r="B177" s="365"/>
      <c r="C177" s="365"/>
      <c r="D177" s="365"/>
      <c r="E177" s="365"/>
      <c r="F177" s="365"/>
      <c r="G177"/>
      <c r="H177"/>
      <c r="I177"/>
      <c r="J177"/>
      <c r="K177"/>
      <c r="L177"/>
    </row>
    <row r="178" spans="1:12" ht="14.4">
      <c r="A178" s="364" t="s">
        <v>346</v>
      </c>
      <c r="B178" s="365"/>
      <c r="C178" s="365"/>
      <c r="D178" s="365"/>
      <c r="E178" s="365"/>
      <c r="F178" s="365"/>
      <c r="G178"/>
      <c r="H178"/>
      <c r="I178"/>
      <c r="J178"/>
      <c r="K178"/>
      <c r="L178"/>
    </row>
    <row r="179" spans="1:12" ht="14.4">
      <c r="A179" s="364" t="s">
        <v>347</v>
      </c>
      <c r="B179" s="365"/>
      <c r="C179" s="365"/>
      <c r="D179" s="365"/>
      <c r="E179" s="365"/>
      <c r="F179" s="365"/>
      <c r="G179"/>
      <c r="H179"/>
      <c r="I179"/>
      <c r="J179"/>
      <c r="K179"/>
      <c r="L179"/>
    </row>
    <row r="180" spans="1:12" ht="14.4">
      <c r="A180" s="364" t="s">
        <v>348</v>
      </c>
      <c r="B180" s="365"/>
      <c r="C180" s="365"/>
      <c r="D180" s="365"/>
      <c r="E180" s="365"/>
      <c r="F180" s="365"/>
      <c r="G180"/>
      <c r="H180"/>
      <c r="I180"/>
      <c r="J180"/>
      <c r="K180"/>
      <c r="L180"/>
    </row>
    <row r="181" spans="1:12" ht="14.4">
      <c r="A181" s="364" t="s">
        <v>349</v>
      </c>
      <c r="B181" s="365"/>
      <c r="C181" s="365"/>
      <c r="D181" s="365"/>
      <c r="E181" s="365"/>
      <c r="F181" s="365"/>
      <c r="G181"/>
      <c r="H181"/>
      <c r="I181"/>
      <c r="J181"/>
      <c r="K181"/>
      <c r="L181"/>
    </row>
    <row r="182" spans="1:12" ht="14.4">
      <c r="A182" s="367" t="s">
        <v>350</v>
      </c>
      <c r="B182" s="368"/>
      <c r="C182" s="368"/>
      <c r="D182" s="368"/>
      <c r="E182" s="368"/>
      <c r="F182" s="368"/>
      <c r="G182"/>
      <c r="H182"/>
      <c r="I182"/>
      <c r="J182"/>
      <c r="K182"/>
      <c r="L182"/>
    </row>
    <row r="183" spans="1:12" ht="15.6">
      <c r="A183" s="361" t="s">
        <v>351</v>
      </c>
      <c r="B183"/>
      <c r="C183"/>
      <c r="D183"/>
      <c r="E183"/>
      <c r="F183"/>
      <c r="G183"/>
      <c r="H183"/>
      <c r="I183"/>
      <c r="J183"/>
      <c r="K183"/>
      <c r="L183"/>
    </row>
    <row r="184" spans="1:12" ht="28.8">
      <c r="A184" s="362" t="s">
        <v>352</v>
      </c>
      <c r="B184" s="363" t="s">
        <v>339</v>
      </c>
      <c r="C184" s="363" t="s">
        <v>189</v>
      </c>
      <c r="D184" s="363" t="s">
        <v>190</v>
      </c>
      <c r="E184" s="363" t="s">
        <v>191</v>
      </c>
      <c r="F184" s="363" t="s">
        <v>192</v>
      </c>
      <c r="G184"/>
      <c r="H184"/>
      <c r="I184"/>
      <c r="J184"/>
      <c r="K184"/>
      <c r="L184"/>
    </row>
    <row r="185" spans="1:12" ht="14.4">
      <c r="A185" s="364" t="s">
        <v>340</v>
      </c>
      <c r="B185" s="365"/>
      <c r="C185" s="365"/>
      <c r="D185" s="365"/>
      <c r="E185" s="365"/>
      <c r="F185" s="365"/>
      <c r="G185"/>
      <c r="H185"/>
      <c r="I185"/>
      <c r="J185"/>
      <c r="K185"/>
      <c r="L185"/>
    </row>
    <row r="186" spans="1:12" ht="14.4">
      <c r="A186" s="364" t="s">
        <v>341</v>
      </c>
      <c r="B186" s="365"/>
      <c r="C186" s="365"/>
      <c r="D186" s="365"/>
      <c r="E186" s="365"/>
      <c r="F186" s="365"/>
      <c r="G186"/>
      <c r="H186"/>
      <c r="I186"/>
      <c r="J186"/>
      <c r="K186"/>
      <c r="L186"/>
    </row>
    <row r="187" spans="1:12" ht="14.4">
      <c r="A187" s="364" t="s">
        <v>342</v>
      </c>
      <c r="B187" s="365"/>
      <c r="C187" s="365"/>
      <c r="D187" s="365"/>
      <c r="E187" s="365"/>
      <c r="F187" s="365"/>
      <c r="G187"/>
      <c r="H187"/>
      <c r="I187"/>
      <c r="J187"/>
      <c r="K187"/>
      <c r="L187"/>
    </row>
    <row r="188" spans="1:12" ht="28.8">
      <c r="A188" s="364" t="s">
        <v>343</v>
      </c>
      <c r="B188" s="365"/>
      <c r="C188" s="365"/>
      <c r="D188" s="365"/>
      <c r="E188" s="365"/>
      <c r="F188" s="365"/>
      <c r="G188"/>
      <c r="H188"/>
      <c r="I188"/>
      <c r="J188"/>
      <c r="K188"/>
      <c r="L188"/>
    </row>
    <row r="189" spans="1:12" ht="14.4">
      <c r="A189" s="364" t="s">
        <v>344</v>
      </c>
      <c r="B189" s="365"/>
      <c r="C189" s="365"/>
      <c r="D189" s="365"/>
      <c r="E189" s="365"/>
      <c r="F189" s="365"/>
      <c r="G189"/>
      <c r="H189"/>
      <c r="I189"/>
      <c r="J189"/>
      <c r="K189"/>
      <c r="L189"/>
    </row>
    <row r="190" spans="1:12" ht="14.4">
      <c r="A190" s="364" t="s">
        <v>345</v>
      </c>
      <c r="B190" s="365"/>
      <c r="C190" s="365"/>
      <c r="D190" s="365"/>
      <c r="E190" s="365"/>
      <c r="F190" s="365"/>
      <c r="G190"/>
      <c r="H190"/>
      <c r="I190"/>
      <c r="J190"/>
      <c r="K190"/>
      <c r="L190"/>
    </row>
    <row r="191" spans="1:12" ht="14.4">
      <c r="A191" s="364" t="s">
        <v>346</v>
      </c>
      <c r="B191" s="365"/>
      <c r="C191" s="365"/>
      <c r="D191" s="365"/>
      <c r="E191" s="365"/>
      <c r="F191" s="365"/>
      <c r="G191"/>
      <c r="H191"/>
      <c r="I191"/>
      <c r="J191"/>
      <c r="K191"/>
      <c r="L191"/>
    </row>
    <row r="192" spans="1:12" ht="14.4">
      <c r="A192" s="364" t="s">
        <v>347</v>
      </c>
      <c r="B192" s="365"/>
      <c r="C192" s="365"/>
      <c r="D192" s="365"/>
      <c r="E192" s="365"/>
      <c r="F192" s="365"/>
      <c r="G192"/>
      <c r="H192"/>
      <c r="I192"/>
      <c r="J192"/>
      <c r="K192"/>
      <c r="L192"/>
    </row>
    <row r="193" spans="1:12" ht="14.4">
      <c r="A193" s="364" t="s">
        <v>348</v>
      </c>
      <c r="B193" s="365"/>
      <c r="C193" s="365"/>
      <c r="D193" s="365"/>
      <c r="E193" s="365"/>
      <c r="F193" s="365"/>
      <c r="G193"/>
      <c r="H193"/>
      <c r="I193"/>
      <c r="J193"/>
      <c r="K193"/>
      <c r="L193"/>
    </row>
    <row r="194" spans="1:12" ht="14.4">
      <c r="A194" s="364" t="s">
        <v>349</v>
      </c>
      <c r="B194" s="365"/>
      <c r="C194" s="365"/>
      <c r="D194" s="365"/>
      <c r="E194" s="365"/>
      <c r="F194" s="365"/>
      <c r="G194"/>
      <c r="H194"/>
      <c r="I194"/>
      <c r="J194"/>
      <c r="K194"/>
      <c r="L194"/>
    </row>
    <row r="195" spans="1:12" ht="14.4">
      <c r="A195" s="367" t="s">
        <v>350</v>
      </c>
      <c r="B195" s="368"/>
      <c r="C195" s="368"/>
      <c r="D195" s="368"/>
      <c r="E195" s="368"/>
      <c r="F195" s="368"/>
      <c r="G195"/>
      <c r="H195"/>
      <c r="I195"/>
      <c r="J195"/>
      <c r="K195"/>
      <c r="L195"/>
    </row>
    <row r="196" spans="1:12" ht="15.6">
      <c r="A196" s="370" t="s">
        <v>353</v>
      </c>
      <c r="B196"/>
      <c r="C196"/>
      <c r="D196"/>
      <c r="E196"/>
      <c r="F196"/>
      <c r="G196"/>
      <c r="H196"/>
      <c r="I196"/>
      <c r="J196"/>
      <c r="K196"/>
      <c r="L196"/>
    </row>
    <row r="197" spans="1:12" ht="15.6">
      <c r="A197" s="369" t="s">
        <v>354</v>
      </c>
      <c r="B197"/>
      <c r="C197"/>
      <c r="D197"/>
      <c r="E197"/>
      <c r="F197"/>
      <c r="G197"/>
      <c r="H197"/>
      <c r="I197"/>
      <c r="J197"/>
      <c r="K197"/>
      <c r="L197"/>
    </row>
    <row r="198" spans="1:12" ht="15.6">
      <c r="A198" s="369" t="s">
        <v>227</v>
      </c>
      <c r="B198"/>
      <c r="C198"/>
      <c r="D198"/>
      <c r="E198"/>
      <c r="F198"/>
      <c r="G198"/>
      <c r="H198"/>
      <c r="I198"/>
      <c r="J198"/>
      <c r="K198"/>
      <c r="L198"/>
    </row>
  </sheetData>
  <mergeCells count="41">
    <mergeCell ref="A1:F1"/>
    <mergeCell ref="A2:F2"/>
    <mergeCell ref="A20:F20"/>
    <mergeCell ref="A21:F21"/>
    <mergeCell ref="E118:F118"/>
    <mergeCell ref="B102:B104"/>
    <mergeCell ref="B105:B106"/>
    <mergeCell ref="B108:B110"/>
    <mergeCell ref="B112:B113"/>
    <mergeCell ref="B118:B119"/>
    <mergeCell ref="D118:D119"/>
    <mergeCell ref="A108:A110"/>
    <mergeCell ref="A112:A114"/>
    <mergeCell ref="A118:A119"/>
    <mergeCell ref="C105:C106"/>
    <mergeCell ref="C108:C110"/>
    <mergeCell ref="A144:A145"/>
    <mergeCell ref="B82:B84"/>
    <mergeCell ref="B85:B87"/>
    <mergeCell ref="B91:B94"/>
    <mergeCell ref="B95:B99"/>
    <mergeCell ref="A82:A84"/>
    <mergeCell ref="A85:A87"/>
    <mergeCell ref="A91:A99"/>
    <mergeCell ref="A102:A104"/>
    <mergeCell ref="A105:A106"/>
    <mergeCell ref="C112:C113"/>
    <mergeCell ref="C118:C119"/>
    <mergeCell ref="G118:J118"/>
    <mergeCell ref="C82:C84"/>
    <mergeCell ref="C85:C87"/>
    <mergeCell ref="C91:C94"/>
    <mergeCell ref="C95:C99"/>
    <mergeCell ref="C102:C104"/>
    <mergeCell ref="K118:K119"/>
    <mergeCell ref="K144:K145"/>
    <mergeCell ref="L118:L119"/>
    <mergeCell ref="L144:L145"/>
    <mergeCell ref="B144:B145"/>
    <mergeCell ref="E144:G144"/>
    <mergeCell ref="H144:J144"/>
  </mergeCells>
  <phoneticPr fontId="171" type="noConversion"/>
  <printOptions horizontalCentered="1"/>
  <pageMargins left="0.98425196850393704" right="0.74803149606299202" top="0.98425196850393704" bottom="0.98425196850393704" header="0.511811023622047" footer="0.511811023622047"/>
  <pageSetup paperSize="9" scale="49" fitToHeight="100" orientation="portrait" blackAndWhite="1"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E32"/>
  <sheetViews>
    <sheetView view="pageBreakPreview" zoomScaleNormal="100" workbookViewId="0">
      <selection activeCell="G23" sqref="G23"/>
    </sheetView>
  </sheetViews>
  <sheetFormatPr defaultColWidth="9" defaultRowHeight="12"/>
  <cols>
    <col min="1" max="1" width="42.21875" style="321" customWidth="1"/>
    <col min="2" max="2" width="12.21875" style="321" customWidth="1"/>
    <col min="3" max="3" width="20.109375" style="321" customWidth="1"/>
    <col min="4" max="4" width="21.33203125" style="321" customWidth="1"/>
    <col min="5" max="5" width="6.77734375" style="321" customWidth="1"/>
    <col min="6" max="16384" width="9" style="321"/>
  </cols>
  <sheetData>
    <row r="1" spans="1:5" s="316" customFormat="1" ht="20.100000000000001" customHeight="1">
      <c r="A1" s="561" t="s">
        <v>37</v>
      </c>
      <c r="B1" s="561"/>
      <c r="C1" s="561"/>
      <c r="D1" s="561"/>
      <c r="E1" s="322"/>
    </row>
    <row r="2" spans="1:5" s="317" customFormat="1" ht="25.05" customHeight="1">
      <c r="A2" s="562" t="s">
        <v>10</v>
      </c>
      <c r="B2" s="562"/>
      <c r="C2" s="562"/>
      <c r="D2" s="562"/>
      <c r="E2" s="323"/>
    </row>
    <row r="3" spans="1:5" ht="20.100000000000001" customHeight="1">
      <c r="A3" s="3" t="str">
        <f>底稿目录!A2</f>
        <v>被审计单位：</v>
      </c>
      <c r="B3" s="7" t="str">
        <f>底稿目录!A4</f>
        <v>编制人：</v>
      </c>
      <c r="C3" s="7" t="str">
        <f>底稿目录!A5</f>
        <v>编制日期：</v>
      </c>
      <c r="D3" s="324" t="s">
        <v>109</v>
      </c>
      <c r="E3" s="324">
        <f>底稿目录!F7</f>
        <v>0</v>
      </c>
    </row>
    <row r="4" spans="1:5" ht="20.100000000000001" customHeight="1">
      <c r="A4" s="3" t="str">
        <f>底稿目录!A3</f>
        <v>截止日：202X年12月31日</v>
      </c>
      <c r="B4" s="7" t="str">
        <f>底稿目录!A6</f>
        <v>复核人：</v>
      </c>
      <c r="C4" s="7" t="str">
        <f>底稿目录!A7</f>
        <v>复核日期：</v>
      </c>
      <c r="D4" s="7" t="s">
        <v>158</v>
      </c>
      <c r="E4" s="7"/>
    </row>
    <row r="5" spans="1:5" s="318" customFormat="1" ht="20.100000000000001" customHeight="1">
      <c r="A5" s="318" t="s">
        <v>355</v>
      </c>
    </row>
    <row r="6" spans="1:5" s="319" customFormat="1" ht="20.100000000000001" customHeight="1">
      <c r="A6" s="325" t="s">
        <v>41</v>
      </c>
    </row>
    <row r="7" spans="1:5" s="319" customFormat="1" ht="20.100000000000001" customHeight="1">
      <c r="A7" s="326" t="s">
        <v>179</v>
      </c>
      <c r="B7" s="327"/>
      <c r="C7" s="328" t="s">
        <v>230</v>
      </c>
      <c r="D7" s="328" t="s">
        <v>356</v>
      </c>
      <c r="E7" s="329"/>
    </row>
    <row r="8" spans="1:5" s="319" customFormat="1" ht="20.100000000000001" customHeight="1">
      <c r="A8" s="325" t="s">
        <v>357</v>
      </c>
      <c r="B8" s="330"/>
      <c r="C8" s="331">
        <f>SUM(C9:C11)</f>
        <v>0</v>
      </c>
      <c r="D8" s="331">
        <f>SUM(D9:D11)</f>
        <v>0</v>
      </c>
      <c r="E8" s="331"/>
    </row>
    <row r="9" spans="1:5" s="319" customFormat="1" ht="20.100000000000001" customHeight="1">
      <c r="A9" s="330" t="s">
        <v>126</v>
      </c>
      <c r="B9" s="330"/>
      <c r="C9" s="331">
        <f>'审定表G1-1'!G51+'审定表G1-1'!G59</f>
        <v>0</v>
      </c>
      <c r="D9" s="331">
        <f>'审定表G1-1'!D51+'审定表G1-1'!D59</f>
        <v>0</v>
      </c>
      <c r="E9" s="331"/>
    </row>
    <row r="10" spans="1:5" s="319" customFormat="1" ht="20.100000000000001" customHeight="1">
      <c r="A10" s="330" t="s">
        <v>358</v>
      </c>
      <c r="B10" s="330"/>
      <c r="C10" s="331">
        <f>'审定表G1-1'!G52+'审定表G1-1'!G60</f>
        <v>0</v>
      </c>
      <c r="D10" s="331">
        <f>'审定表G1-1'!D52+'审定表G1-1'!D60</f>
        <v>0</v>
      </c>
      <c r="E10" s="331"/>
    </row>
    <row r="11" spans="1:5" s="319" customFormat="1" ht="20.100000000000001" customHeight="1">
      <c r="A11" s="325" t="s">
        <v>359</v>
      </c>
      <c r="B11" s="330"/>
      <c r="C11" s="331">
        <f>'审定表G1-1'!G53+'审定表G1-1'!G57+'审定表G1-1'!G61+'审定表G1-1'!G65</f>
        <v>0</v>
      </c>
      <c r="D11" s="331">
        <f>'审定表G1-1'!D53+'审定表G1-1'!D57+'审定表G1-1'!D61+'审定表G1-1'!D65</f>
        <v>0</v>
      </c>
      <c r="E11" s="331"/>
    </row>
    <row r="12" spans="1:5" s="319" customFormat="1" ht="20.100000000000001" customHeight="1">
      <c r="A12" s="325" t="s">
        <v>134</v>
      </c>
      <c r="B12" s="330"/>
      <c r="C12" s="331">
        <f>SUM(C13:C14)</f>
        <v>0</v>
      </c>
      <c r="D12" s="331">
        <f>SUM(D13:D14)</f>
        <v>0</v>
      </c>
      <c r="E12" s="331"/>
    </row>
    <row r="13" spans="1:5" s="319" customFormat="1" ht="20.100000000000001" customHeight="1">
      <c r="A13" s="330" t="s">
        <v>126</v>
      </c>
      <c r="B13" s="330"/>
      <c r="C13" s="331">
        <f>'审定表G1-1'!G67</f>
        <v>0</v>
      </c>
      <c r="D13" s="331">
        <f>'审定表G1-1'!D67</f>
        <v>0</v>
      </c>
      <c r="E13" s="331"/>
    </row>
    <row r="14" spans="1:5" s="319" customFormat="1" ht="20.100000000000001" customHeight="1">
      <c r="A14" s="325" t="s">
        <v>359</v>
      </c>
      <c r="B14" s="330"/>
      <c r="C14" s="332">
        <f>'审定表G1-1'!G68</f>
        <v>0</v>
      </c>
      <c r="D14" s="332">
        <f>'审定表G1-1'!D68</f>
        <v>0</v>
      </c>
      <c r="E14" s="332"/>
    </row>
    <row r="15" spans="1:5" s="319" customFormat="1" ht="20.100000000000001" customHeight="1">
      <c r="A15" s="333" t="s">
        <v>360</v>
      </c>
      <c r="B15" s="333"/>
      <c r="C15" s="334">
        <f>C8+C12</f>
        <v>0</v>
      </c>
      <c r="D15" s="334">
        <f>D8+D12</f>
        <v>0</v>
      </c>
      <c r="E15" s="335"/>
    </row>
    <row r="16" spans="1:5" s="320" customFormat="1" ht="24" customHeight="1">
      <c r="A16" s="566" t="s">
        <v>361</v>
      </c>
      <c r="B16" s="566"/>
      <c r="C16" s="566"/>
      <c r="D16" s="566"/>
      <c r="E16" s="336"/>
    </row>
    <row r="17" spans="1:5" s="319" customFormat="1" ht="15" customHeight="1">
      <c r="A17" s="325" t="s">
        <v>234</v>
      </c>
      <c r="B17" s="325"/>
    </row>
    <row r="18" spans="1:5" s="319" customFormat="1" ht="15" customHeight="1">
      <c r="A18" s="326" t="s">
        <v>179</v>
      </c>
      <c r="B18" s="327"/>
      <c r="C18" s="337" t="s">
        <v>161</v>
      </c>
      <c r="D18" s="337" t="s">
        <v>297</v>
      </c>
      <c r="E18" s="338"/>
    </row>
    <row r="19" spans="1:5" s="319" customFormat="1" ht="15" customHeight="1">
      <c r="A19" s="330"/>
      <c r="B19" s="330"/>
      <c r="C19" s="332"/>
      <c r="D19" s="332"/>
      <c r="E19" s="332"/>
    </row>
    <row r="20" spans="1:5" s="319" customFormat="1" ht="15" customHeight="1">
      <c r="A20" s="330"/>
      <c r="B20" s="330"/>
      <c r="C20" s="332"/>
      <c r="D20" s="332"/>
      <c r="E20" s="332"/>
    </row>
    <row r="21" spans="1:5" s="319" customFormat="1" ht="15" customHeight="1">
      <c r="A21" s="330"/>
      <c r="B21" s="330"/>
      <c r="C21" s="332"/>
      <c r="D21" s="332"/>
      <c r="E21" s="332"/>
    </row>
    <row r="22" spans="1:5" s="319" customFormat="1" ht="15" customHeight="1">
      <c r="A22" s="339"/>
      <c r="B22" s="330"/>
      <c r="C22" s="332"/>
      <c r="D22" s="332"/>
      <c r="E22" s="332"/>
    </row>
    <row r="23" spans="1:5" s="319" customFormat="1" ht="15" customHeight="1">
      <c r="A23" s="339"/>
      <c r="B23" s="330"/>
      <c r="C23" s="332"/>
      <c r="D23" s="332"/>
      <c r="E23" s="332"/>
    </row>
    <row r="24" spans="1:5" s="319" customFormat="1" ht="15" customHeight="1">
      <c r="A24" s="339"/>
      <c r="B24" s="330"/>
      <c r="C24" s="332"/>
      <c r="D24" s="332"/>
      <c r="E24" s="332"/>
    </row>
    <row r="25" spans="1:5" s="319" customFormat="1" ht="15" customHeight="1">
      <c r="A25" s="339"/>
      <c r="B25" s="330"/>
      <c r="C25" s="332"/>
      <c r="D25" s="332"/>
      <c r="E25" s="332"/>
    </row>
    <row r="26" spans="1:5" s="319" customFormat="1" ht="15" customHeight="1">
      <c r="A26" s="325"/>
      <c r="B26" s="330"/>
      <c r="C26" s="332"/>
      <c r="D26" s="332"/>
      <c r="E26" s="332"/>
    </row>
    <row r="27" spans="1:5" s="319" customFormat="1" ht="15" customHeight="1">
      <c r="A27" s="330"/>
      <c r="B27" s="330"/>
      <c r="C27" s="332"/>
      <c r="D27" s="332"/>
      <c r="E27" s="332"/>
    </row>
    <row r="28" spans="1:5" s="319" customFormat="1" ht="15" customHeight="1">
      <c r="A28" s="330"/>
      <c r="B28" s="330"/>
      <c r="C28" s="332"/>
      <c r="D28" s="332"/>
      <c r="E28" s="332"/>
    </row>
    <row r="29" spans="1:5" s="319" customFormat="1" ht="15" customHeight="1">
      <c r="A29" s="325"/>
      <c r="B29" s="330"/>
      <c r="C29" s="332"/>
      <c r="D29" s="332"/>
      <c r="E29" s="332"/>
    </row>
    <row r="30" spans="1:5" s="319" customFormat="1" ht="15" customHeight="1">
      <c r="A30" s="333" t="s">
        <v>360</v>
      </c>
      <c r="B30" s="333"/>
      <c r="C30" s="334">
        <f>SUM(C19:C29)</f>
        <v>0</v>
      </c>
      <c r="D30" s="334">
        <f>SUM(D19:D29)</f>
        <v>0</v>
      </c>
      <c r="E30" s="335"/>
    </row>
    <row r="31" spans="1:5" s="319" customFormat="1" ht="15" customHeight="1">
      <c r="A31" s="340" t="s">
        <v>362</v>
      </c>
    </row>
    <row r="32" spans="1:5" s="319" customFormat="1" ht="15" customHeight="1"/>
  </sheetData>
  <mergeCells count="3">
    <mergeCell ref="A1:D1"/>
    <mergeCell ref="A2:D2"/>
    <mergeCell ref="A16:D16"/>
  </mergeCells>
  <phoneticPr fontId="171" type="noConversion"/>
  <printOptions horizontalCentered="1"/>
  <pageMargins left="0.98425196850393704" right="0.74803149606299202" top="0.98425196850393704" bottom="0.98425196850393704" header="0.511811023622047" footer="0.511811023622047"/>
  <pageSetup paperSize="9" scale="82" fitToHeight="10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AI53"/>
  <sheetViews>
    <sheetView view="pageBreakPreview" zoomScale="90" zoomScaleNormal="100" workbookViewId="0">
      <selection activeCell="B55" sqref="B55"/>
    </sheetView>
  </sheetViews>
  <sheetFormatPr defaultColWidth="9" defaultRowHeight="13.8"/>
  <cols>
    <col min="1" max="1" width="12.109375" style="3" customWidth="1"/>
    <col min="2" max="2" width="12.44140625" style="3" customWidth="1"/>
    <col min="3" max="3" width="12.6640625" style="3" customWidth="1"/>
    <col min="4" max="4" width="11.6640625" style="3" customWidth="1"/>
    <col min="5" max="6" width="11.77734375" style="3" customWidth="1"/>
    <col min="7" max="7" width="13.33203125" style="3" customWidth="1"/>
    <col min="8" max="10" width="11.77734375" style="3" customWidth="1"/>
    <col min="11" max="11" width="10.109375" style="3" customWidth="1"/>
    <col min="12" max="12" width="11.77734375" style="3" customWidth="1"/>
    <col min="13" max="13" width="11.6640625" style="3" customWidth="1"/>
    <col min="14" max="14" width="10.44140625" style="3" customWidth="1"/>
    <col min="15" max="15" width="10.88671875" style="3" customWidth="1"/>
    <col min="16" max="16" width="8.44140625" style="3" customWidth="1"/>
    <col min="17" max="17" width="11.88671875" style="3" customWidth="1"/>
    <col min="18" max="18" width="12.44140625" style="3" customWidth="1"/>
    <col min="19" max="19" width="12.21875" style="3" customWidth="1"/>
    <col min="20" max="20" width="14.109375" style="3" customWidth="1"/>
    <col min="21" max="21" width="12.21875" style="3" customWidth="1"/>
    <col min="22" max="22" width="11.88671875" style="3" customWidth="1"/>
    <col min="23" max="25" width="12.44140625" style="3" customWidth="1"/>
    <col min="26" max="26" width="10.88671875" style="3" customWidth="1"/>
    <col min="27" max="27" width="13.21875" style="3" customWidth="1"/>
    <col min="28" max="16384" width="9" style="3"/>
  </cols>
  <sheetData>
    <row r="1" spans="1:35" s="1" customFormat="1" ht="20.100000000000001" customHeight="1">
      <c r="A1" s="569" t="s">
        <v>37</v>
      </c>
      <c r="B1" s="569"/>
      <c r="C1" s="569"/>
      <c r="D1" s="569"/>
      <c r="E1" s="569"/>
      <c r="F1" s="569"/>
      <c r="G1" s="569"/>
      <c r="H1" s="569"/>
      <c r="I1" s="569"/>
      <c r="J1" s="569"/>
      <c r="K1" s="569"/>
      <c r="L1" s="569"/>
      <c r="M1" s="569"/>
      <c r="N1" s="569"/>
      <c r="O1" s="569"/>
      <c r="P1" s="569"/>
      <c r="Q1" s="569"/>
      <c r="R1" s="569"/>
      <c r="S1" s="569" t="s">
        <v>37</v>
      </c>
      <c r="T1" s="569"/>
      <c r="U1" s="569"/>
      <c r="V1" s="569"/>
      <c r="W1" s="569"/>
      <c r="X1" s="569"/>
      <c r="Y1" s="569"/>
      <c r="Z1" s="569"/>
      <c r="AA1" s="569"/>
      <c r="AB1" s="39"/>
      <c r="AC1" s="39"/>
      <c r="AD1" s="39"/>
      <c r="AE1" s="39"/>
      <c r="AF1" s="39"/>
      <c r="AG1" s="39"/>
      <c r="AH1" s="39"/>
      <c r="AI1" s="39"/>
    </row>
    <row r="2" spans="1:35" s="2" customFormat="1" ht="25.05" customHeight="1">
      <c r="A2" s="570" t="s">
        <v>363</v>
      </c>
      <c r="B2" s="570"/>
      <c r="C2" s="570"/>
      <c r="D2" s="570"/>
      <c r="E2" s="570"/>
      <c r="F2" s="570"/>
      <c r="G2" s="570"/>
      <c r="H2" s="570"/>
      <c r="I2" s="570"/>
      <c r="J2" s="570"/>
      <c r="K2" s="570"/>
      <c r="L2" s="570"/>
      <c r="M2" s="570"/>
      <c r="N2" s="570"/>
      <c r="O2" s="570"/>
      <c r="P2" s="570"/>
      <c r="Q2" s="570"/>
      <c r="R2" s="570"/>
      <c r="S2" s="570" t="s">
        <v>363</v>
      </c>
      <c r="T2" s="570"/>
      <c r="U2" s="570"/>
      <c r="V2" s="570"/>
      <c r="W2" s="570"/>
      <c r="X2" s="570"/>
      <c r="Y2" s="570"/>
      <c r="Z2" s="570"/>
      <c r="AA2" s="570"/>
      <c r="AB2" s="40"/>
      <c r="AC2" s="40"/>
      <c r="AD2" s="40"/>
      <c r="AE2" s="40"/>
      <c r="AF2" s="40"/>
      <c r="AG2" s="40"/>
      <c r="AH2" s="40"/>
      <c r="AI2" s="40"/>
    </row>
    <row r="3" spans="1:35" ht="20.100000000000001" customHeight="1">
      <c r="A3" s="121" t="str">
        <f>底稿目录!A2</f>
        <v>被审计单位：</v>
      </c>
      <c r="C3" s="86"/>
      <c r="F3" s="292" t="str">
        <f>底稿目录!A4</f>
        <v>编制人：</v>
      </c>
      <c r="K3" s="292" t="str">
        <f>底稿目录!A5</f>
        <v>编制日期：</v>
      </c>
      <c r="O3" s="86"/>
      <c r="Q3" s="9" t="s">
        <v>38</v>
      </c>
      <c r="R3" s="510" t="str">
        <f>底稿目录!F8</f>
        <v>G1-2</v>
      </c>
      <c r="S3" s="121" t="str">
        <f>底稿目录!A2</f>
        <v>被审计单位：</v>
      </c>
      <c r="U3" s="86"/>
      <c r="V3" s="3" t="str">
        <f>底稿目录!A4</f>
        <v>编制人：</v>
      </c>
      <c r="X3" s="292" t="str">
        <f>底稿目录!A5</f>
        <v>编制日期：</v>
      </c>
      <c r="Z3" s="9" t="s">
        <v>38</v>
      </c>
      <c r="AA3" s="510" t="str">
        <f>R3</f>
        <v>G1-2</v>
      </c>
      <c r="AF3" s="86"/>
      <c r="AH3" s="9"/>
      <c r="AI3" s="9"/>
    </row>
    <row r="4" spans="1:35" ht="20.100000000000001" customHeight="1">
      <c r="A4" s="121" t="str">
        <f>底稿目录!A3</f>
        <v>截止日：202X年12月31日</v>
      </c>
      <c r="C4" s="86"/>
      <c r="F4" s="292" t="str">
        <f>底稿目录!A6</f>
        <v>复核人：</v>
      </c>
      <c r="K4" s="292" t="str">
        <f>底稿目录!A7</f>
        <v>复核日期：</v>
      </c>
      <c r="O4" s="86"/>
      <c r="Q4" s="9" t="s">
        <v>364</v>
      </c>
      <c r="S4" s="121" t="str">
        <f>底稿目录!A3</f>
        <v>截止日：202X年12月31日</v>
      </c>
      <c r="U4" s="86"/>
      <c r="V4" s="3" t="str">
        <f>底稿目录!A6</f>
        <v>复核人：</v>
      </c>
      <c r="X4" s="292" t="str">
        <f>底稿目录!A7</f>
        <v>复核日期：</v>
      </c>
      <c r="Z4" s="9" t="s">
        <v>364</v>
      </c>
      <c r="AF4" s="86"/>
      <c r="AH4" s="9"/>
    </row>
    <row r="5" spans="1:35" s="207" customFormat="1" ht="20.100000000000001" customHeight="1">
      <c r="A5" s="293" t="s">
        <v>365</v>
      </c>
      <c r="B5" s="293"/>
      <c r="C5" s="294"/>
      <c r="D5" s="295"/>
      <c r="E5" s="295"/>
      <c r="F5" s="295"/>
      <c r="G5" s="3"/>
      <c r="H5" s="3"/>
      <c r="I5" s="3"/>
      <c r="J5" s="3"/>
      <c r="K5" s="3"/>
      <c r="L5" s="3"/>
      <c r="M5" s="3"/>
      <c r="N5" s="3"/>
      <c r="O5" s="3"/>
      <c r="P5" s="3"/>
      <c r="Q5" s="3"/>
      <c r="R5" s="3"/>
      <c r="S5" s="3"/>
      <c r="T5" s="314"/>
      <c r="W5" s="314"/>
      <c r="X5" s="314"/>
    </row>
    <row r="6" spans="1:35" s="207" customFormat="1" ht="20.100000000000001" customHeight="1">
      <c r="A6" s="294" t="s">
        <v>366</v>
      </c>
      <c r="B6" s="293"/>
      <c r="C6" s="294"/>
      <c r="D6" s="295"/>
      <c r="E6" s="295"/>
      <c r="F6" s="295"/>
      <c r="G6" s="3"/>
      <c r="H6" s="3"/>
      <c r="I6" s="3"/>
      <c r="J6" s="3"/>
      <c r="K6" s="3"/>
      <c r="L6" s="3"/>
      <c r="M6" s="3"/>
      <c r="N6" s="3"/>
      <c r="O6" s="3"/>
      <c r="P6" s="3"/>
      <c r="Q6" s="3"/>
      <c r="R6" s="3"/>
      <c r="S6" s="3"/>
      <c r="T6" s="314"/>
      <c r="W6" s="314"/>
      <c r="X6" s="314"/>
    </row>
    <row r="7" spans="1:35" s="207" customFormat="1" ht="20.100000000000001" customHeight="1">
      <c r="A7" s="294" t="s">
        <v>367</v>
      </c>
      <c r="B7" s="293"/>
      <c r="C7" s="294"/>
      <c r="D7" s="295"/>
      <c r="E7" s="295"/>
      <c r="F7" s="295"/>
      <c r="G7" s="3"/>
      <c r="H7" s="3"/>
      <c r="I7" s="3"/>
      <c r="J7" s="3"/>
      <c r="K7" s="3"/>
      <c r="L7" s="3"/>
      <c r="M7" s="3"/>
      <c r="N7" s="3"/>
      <c r="O7" s="3"/>
      <c r="P7" s="3"/>
      <c r="Q7" s="3"/>
      <c r="R7" s="3"/>
      <c r="S7" s="3"/>
      <c r="T7" s="314"/>
      <c r="W7" s="314"/>
      <c r="X7" s="314"/>
    </row>
    <row r="8" spans="1:35" ht="20.100000000000001" customHeight="1">
      <c r="A8" s="209" t="s">
        <v>368</v>
      </c>
      <c r="C8" s="210"/>
      <c r="E8" s="87"/>
      <c r="F8" s="87"/>
      <c r="G8" s="87"/>
      <c r="H8" s="87"/>
      <c r="I8" s="87"/>
      <c r="J8" s="87"/>
      <c r="K8" s="87"/>
      <c r="L8" s="87"/>
      <c r="N8" s="86"/>
      <c r="O8" s="86"/>
      <c r="S8" s="87"/>
      <c r="T8" s="86"/>
      <c r="U8" s="87"/>
      <c r="V8" s="86"/>
    </row>
    <row r="9" spans="1:35" s="203" customFormat="1" ht="20.100000000000001" customHeight="1">
      <c r="A9" s="576" t="s">
        <v>369</v>
      </c>
      <c r="B9" s="576" t="s">
        <v>370</v>
      </c>
      <c r="C9" s="571" t="s">
        <v>297</v>
      </c>
      <c r="D9" s="572"/>
      <c r="E9" s="572"/>
      <c r="F9" s="571" t="s">
        <v>371</v>
      </c>
      <c r="G9" s="573"/>
      <c r="H9" s="571" t="s">
        <v>372</v>
      </c>
      <c r="I9" s="572"/>
      <c r="J9" s="572"/>
      <c r="K9" s="578" t="s">
        <v>373</v>
      </c>
      <c r="L9" s="580" t="s">
        <v>374</v>
      </c>
      <c r="M9" s="571" t="s">
        <v>375</v>
      </c>
      <c r="N9" s="572"/>
      <c r="O9" s="574"/>
      <c r="P9" s="571" t="s">
        <v>161</v>
      </c>
      <c r="Q9" s="572"/>
      <c r="R9" s="572"/>
      <c r="S9" s="571" t="s">
        <v>376</v>
      </c>
      <c r="T9" s="575"/>
      <c r="U9" s="571" t="s">
        <v>377</v>
      </c>
      <c r="V9" s="572"/>
      <c r="W9" s="574"/>
      <c r="X9" s="578" t="s">
        <v>140</v>
      </c>
      <c r="Y9" s="580" t="s">
        <v>378</v>
      </c>
      <c r="Z9" s="567" t="s">
        <v>379</v>
      </c>
      <c r="AA9" s="567" t="s">
        <v>380</v>
      </c>
    </row>
    <row r="10" spans="1:35" s="203" customFormat="1" ht="30" customHeight="1">
      <c r="A10" s="577"/>
      <c r="B10" s="577"/>
      <c r="C10" s="213" t="s">
        <v>381</v>
      </c>
      <c r="D10" s="213" t="s">
        <v>382</v>
      </c>
      <c r="E10" s="213" t="s">
        <v>181</v>
      </c>
      <c r="F10" s="213" t="s">
        <v>381</v>
      </c>
      <c r="G10" s="213" t="s">
        <v>383</v>
      </c>
      <c r="H10" s="213" t="s">
        <v>381</v>
      </c>
      <c r="I10" s="213" t="s">
        <v>382</v>
      </c>
      <c r="J10" s="213" t="s">
        <v>181</v>
      </c>
      <c r="K10" s="579"/>
      <c r="L10" s="581"/>
      <c r="M10" s="213" t="s">
        <v>381</v>
      </c>
      <c r="N10" s="213" t="s">
        <v>384</v>
      </c>
      <c r="O10" s="213" t="s">
        <v>385</v>
      </c>
      <c r="P10" s="213" t="s">
        <v>381</v>
      </c>
      <c r="Q10" s="213" t="s">
        <v>382</v>
      </c>
      <c r="R10" s="213" t="s">
        <v>181</v>
      </c>
      <c r="S10" s="213" t="s">
        <v>381</v>
      </c>
      <c r="T10" s="213" t="s">
        <v>383</v>
      </c>
      <c r="U10" s="213" t="s">
        <v>381</v>
      </c>
      <c r="V10" s="213" t="s">
        <v>382</v>
      </c>
      <c r="W10" s="213" t="s">
        <v>181</v>
      </c>
      <c r="X10" s="579"/>
      <c r="Y10" s="581"/>
      <c r="Z10" s="568"/>
      <c r="AA10" s="568"/>
    </row>
    <row r="11" spans="1:35" s="203" customFormat="1" ht="19.5" customHeight="1">
      <c r="A11" s="296" t="s">
        <v>41</v>
      </c>
      <c r="B11" s="297"/>
      <c r="C11" s="213"/>
      <c r="D11" s="213"/>
      <c r="E11" s="213"/>
      <c r="F11" s="213"/>
      <c r="G11" s="213"/>
      <c r="H11" s="213"/>
      <c r="I11" s="213"/>
      <c r="J11" s="213"/>
      <c r="K11" s="213"/>
      <c r="L11" s="213"/>
      <c r="M11" s="213"/>
      <c r="N11" s="213"/>
      <c r="O11" s="213"/>
      <c r="P11" s="213"/>
      <c r="Q11" s="213"/>
      <c r="R11" s="213"/>
      <c r="S11" s="213"/>
      <c r="T11" s="213"/>
      <c r="U11" s="213"/>
      <c r="V11" s="213"/>
      <c r="W11" s="213"/>
      <c r="X11" s="231"/>
      <c r="Y11" s="231"/>
      <c r="Z11" s="231"/>
      <c r="AA11" s="231"/>
    </row>
    <row r="12" spans="1:35" s="204" customFormat="1" ht="20.100000000000001" customHeight="1">
      <c r="A12" s="298" t="s">
        <v>310</v>
      </c>
      <c r="B12" s="481"/>
      <c r="C12" s="300"/>
      <c r="D12" s="300"/>
      <c r="E12" s="202">
        <f>C12+D12</f>
        <v>0</v>
      </c>
      <c r="F12" s="300"/>
      <c r="G12" s="300"/>
      <c r="H12" s="202">
        <f>C12+F12</f>
        <v>0</v>
      </c>
      <c r="I12" s="202">
        <f>D12+G12</f>
        <v>0</v>
      </c>
      <c r="J12" s="202">
        <f>H12+I12</f>
        <v>0</v>
      </c>
      <c r="K12" s="300"/>
      <c r="L12" s="202">
        <f>J12+K12</f>
        <v>0</v>
      </c>
      <c r="M12" s="300"/>
      <c r="N12" s="300"/>
      <c r="O12" s="300"/>
      <c r="P12" s="202">
        <f t="shared" ref="P12:Q16" si="0">C12+M12</f>
        <v>0</v>
      </c>
      <c r="Q12" s="202">
        <f t="shared" si="0"/>
        <v>0</v>
      </c>
      <c r="R12" s="179">
        <f>P12+Q12</f>
        <v>0</v>
      </c>
      <c r="S12" s="175"/>
      <c r="T12" s="202">
        <f>'公允价值测试表G1-6'!H10-'明细表G1-2'!R12</f>
        <v>0</v>
      </c>
      <c r="U12" s="202">
        <f>P12+S12</f>
        <v>0</v>
      </c>
      <c r="V12" s="202">
        <f>Q12+T12</f>
        <v>0</v>
      </c>
      <c r="W12" s="179">
        <f>U12+V12</f>
        <v>0</v>
      </c>
      <c r="X12" s="300"/>
      <c r="Y12" s="202">
        <f>W12+X12</f>
        <v>0</v>
      </c>
      <c r="Z12" s="315"/>
      <c r="AA12" s="315"/>
    </row>
    <row r="13" spans="1:35" s="204" customFormat="1" ht="20.100000000000001" customHeight="1">
      <c r="A13" s="301"/>
      <c r="B13" s="302"/>
      <c r="C13" s="300"/>
      <c r="D13" s="300"/>
      <c r="E13" s="202">
        <f t="shared" ref="E13:E16" si="1">C13+D13</f>
        <v>0</v>
      </c>
      <c r="F13" s="300"/>
      <c r="G13" s="300"/>
      <c r="H13" s="202">
        <f t="shared" ref="H13:H16" si="2">C13+F13</f>
        <v>0</v>
      </c>
      <c r="I13" s="202">
        <f t="shared" ref="I13:I16" si="3">D13+G13</f>
        <v>0</v>
      </c>
      <c r="J13" s="202">
        <f t="shared" ref="J13:J16" si="4">H13+I13</f>
        <v>0</v>
      </c>
      <c r="K13" s="300"/>
      <c r="L13" s="202">
        <f t="shared" ref="L13:L16" si="5">J13+K13</f>
        <v>0</v>
      </c>
      <c r="M13" s="300"/>
      <c r="N13" s="300"/>
      <c r="O13" s="300"/>
      <c r="P13" s="202">
        <f t="shared" si="0"/>
        <v>0</v>
      </c>
      <c r="Q13" s="202">
        <f t="shared" si="0"/>
        <v>0</v>
      </c>
      <c r="R13" s="179">
        <f t="shared" ref="R13:R16" si="6">P13+Q13</f>
        <v>0</v>
      </c>
      <c r="S13" s="175"/>
      <c r="T13" s="202">
        <f>'公允价值测试表G1-6'!H11-'明细表G1-2'!R13</f>
        <v>0</v>
      </c>
      <c r="U13" s="202">
        <f t="shared" ref="U13:U16" si="7">P13+S13</f>
        <v>0</v>
      </c>
      <c r="V13" s="202">
        <f t="shared" ref="V13:V16" si="8">Q13+T13</f>
        <v>0</v>
      </c>
      <c r="W13" s="179">
        <f>U13+V13</f>
        <v>0</v>
      </c>
      <c r="X13" s="300"/>
      <c r="Y13" s="202">
        <f t="shared" ref="Y13:Y16" si="9">W13+X13</f>
        <v>0</v>
      </c>
      <c r="Z13" s="315"/>
      <c r="AA13" s="315"/>
    </row>
    <row r="14" spans="1:35" s="204" customFormat="1" ht="20.100000000000001" customHeight="1">
      <c r="A14" s="301"/>
      <c r="B14" s="302"/>
      <c r="C14" s="300"/>
      <c r="D14" s="300"/>
      <c r="E14" s="202">
        <f t="shared" si="1"/>
        <v>0</v>
      </c>
      <c r="F14" s="300"/>
      <c r="G14" s="300"/>
      <c r="H14" s="202">
        <f t="shared" si="2"/>
        <v>0</v>
      </c>
      <c r="I14" s="202">
        <f t="shared" si="3"/>
        <v>0</v>
      </c>
      <c r="J14" s="202">
        <f t="shared" si="4"/>
        <v>0</v>
      </c>
      <c r="K14" s="300"/>
      <c r="L14" s="202">
        <f t="shared" si="5"/>
        <v>0</v>
      </c>
      <c r="M14" s="300"/>
      <c r="N14" s="300"/>
      <c r="O14" s="300"/>
      <c r="P14" s="202">
        <f t="shared" si="0"/>
        <v>0</v>
      </c>
      <c r="Q14" s="202">
        <f t="shared" si="0"/>
        <v>0</v>
      </c>
      <c r="R14" s="179">
        <f t="shared" si="6"/>
        <v>0</v>
      </c>
      <c r="S14" s="175"/>
      <c r="T14" s="202">
        <f>'公允价值测试表G1-6'!H12-'明细表G1-2'!R14</f>
        <v>0</v>
      </c>
      <c r="U14" s="202">
        <f t="shared" si="7"/>
        <v>0</v>
      </c>
      <c r="V14" s="202">
        <f t="shared" si="8"/>
        <v>0</v>
      </c>
      <c r="W14" s="179">
        <f>U14+V14</f>
        <v>0</v>
      </c>
      <c r="X14" s="300"/>
      <c r="Y14" s="202">
        <f t="shared" si="9"/>
        <v>0</v>
      </c>
      <c r="Z14" s="315"/>
      <c r="AA14" s="315"/>
    </row>
    <row r="15" spans="1:35" s="204" customFormat="1" ht="20.100000000000001" customHeight="1">
      <c r="A15" s="301"/>
      <c r="B15" s="302"/>
      <c r="C15" s="300"/>
      <c r="D15" s="300"/>
      <c r="E15" s="202">
        <f t="shared" si="1"/>
        <v>0</v>
      </c>
      <c r="F15" s="300"/>
      <c r="G15" s="300"/>
      <c r="H15" s="202">
        <f t="shared" si="2"/>
        <v>0</v>
      </c>
      <c r="I15" s="202">
        <f t="shared" si="3"/>
        <v>0</v>
      </c>
      <c r="J15" s="202">
        <f t="shared" si="4"/>
        <v>0</v>
      </c>
      <c r="K15" s="300"/>
      <c r="L15" s="202">
        <f t="shared" si="5"/>
        <v>0</v>
      </c>
      <c r="M15" s="300"/>
      <c r="N15" s="300"/>
      <c r="O15" s="300"/>
      <c r="P15" s="202">
        <f t="shared" si="0"/>
        <v>0</v>
      </c>
      <c r="Q15" s="202">
        <f t="shared" si="0"/>
        <v>0</v>
      </c>
      <c r="R15" s="179">
        <f t="shared" si="6"/>
        <v>0</v>
      </c>
      <c r="S15" s="175"/>
      <c r="T15" s="202">
        <f>'公允价值测试表G1-6'!H13-'明细表G1-2'!R15</f>
        <v>0</v>
      </c>
      <c r="U15" s="202">
        <f t="shared" si="7"/>
        <v>0</v>
      </c>
      <c r="V15" s="202">
        <f t="shared" si="8"/>
        <v>0</v>
      </c>
      <c r="W15" s="179">
        <f>U15+V15</f>
        <v>0</v>
      </c>
      <c r="X15" s="300"/>
      <c r="Y15" s="202">
        <f t="shared" si="9"/>
        <v>0</v>
      </c>
      <c r="Z15" s="315"/>
      <c r="AA15" s="315"/>
    </row>
    <row r="16" spans="1:35" s="204" customFormat="1" ht="20.100000000000001" customHeight="1">
      <c r="A16" s="301"/>
      <c r="B16" s="302"/>
      <c r="C16" s="300"/>
      <c r="D16" s="300"/>
      <c r="E16" s="202">
        <f t="shared" si="1"/>
        <v>0</v>
      </c>
      <c r="F16" s="300"/>
      <c r="G16" s="300"/>
      <c r="H16" s="202">
        <f t="shared" si="2"/>
        <v>0</v>
      </c>
      <c r="I16" s="202">
        <f t="shared" si="3"/>
        <v>0</v>
      </c>
      <c r="J16" s="202">
        <f t="shared" si="4"/>
        <v>0</v>
      </c>
      <c r="K16" s="300"/>
      <c r="L16" s="202">
        <f t="shared" si="5"/>
        <v>0</v>
      </c>
      <c r="M16" s="300"/>
      <c r="N16" s="300"/>
      <c r="O16" s="300"/>
      <c r="P16" s="202">
        <f t="shared" si="0"/>
        <v>0</v>
      </c>
      <c r="Q16" s="202">
        <f t="shared" si="0"/>
        <v>0</v>
      </c>
      <c r="R16" s="179">
        <f t="shared" si="6"/>
        <v>0</v>
      </c>
      <c r="S16" s="175"/>
      <c r="T16" s="202">
        <f>'公允价值测试表G1-6'!H14-'明细表G1-2'!R16</f>
        <v>0</v>
      </c>
      <c r="U16" s="202">
        <f t="shared" si="7"/>
        <v>0</v>
      </c>
      <c r="V16" s="202">
        <f t="shared" si="8"/>
        <v>0</v>
      </c>
      <c r="W16" s="179">
        <f>U16+V16</f>
        <v>0</v>
      </c>
      <c r="X16" s="300"/>
      <c r="Y16" s="202">
        <f t="shared" si="9"/>
        <v>0</v>
      </c>
      <c r="Z16" s="315"/>
      <c r="AA16" s="315"/>
    </row>
    <row r="17" spans="1:27" s="206" customFormat="1" ht="20.100000000000001" customHeight="1">
      <c r="A17" s="303" t="s">
        <v>387</v>
      </c>
      <c r="B17" s="304"/>
      <c r="C17" s="179">
        <f t="shared" ref="C17:W17" si="10">SUM(C12:C16)</f>
        <v>0</v>
      </c>
      <c r="D17" s="179">
        <f t="shared" si="10"/>
        <v>0</v>
      </c>
      <c r="E17" s="179">
        <f t="shared" si="10"/>
        <v>0</v>
      </c>
      <c r="F17" s="179">
        <f t="shared" si="10"/>
        <v>0</v>
      </c>
      <c r="G17" s="179">
        <f t="shared" si="10"/>
        <v>0</v>
      </c>
      <c r="H17" s="179">
        <f t="shared" si="10"/>
        <v>0</v>
      </c>
      <c r="I17" s="179">
        <f t="shared" si="10"/>
        <v>0</v>
      </c>
      <c r="J17" s="179">
        <f t="shared" si="10"/>
        <v>0</v>
      </c>
      <c r="K17" s="179">
        <f t="shared" si="10"/>
        <v>0</v>
      </c>
      <c r="L17" s="179">
        <f t="shared" si="10"/>
        <v>0</v>
      </c>
      <c r="M17" s="179">
        <f t="shared" si="10"/>
        <v>0</v>
      </c>
      <c r="N17" s="179">
        <f t="shared" si="10"/>
        <v>0</v>
      </c>
      <c r="O17" s="179">
        <f t="shared" si="10"/>
        <v>0</v>
      </c>
      <c r="P17" s="179">
        <f t="shared" si="10"/>
        <v>0</v>
      </c>
      <c r="Q17" s="179">
        <f t="shared" si="10"/>
        <v>0</v>
      </c>
      <c r="R17" s="179">
        <f t="shared" si="10"/>
        <v>0</v>
      </c>
      <c r="S17" s="179">
        <f t="shared" si="10"/>
        <v>0</v>
      </c>
      <c r="T17" s="179">
        <f t="shared" si="10"/>
        <v>0</v>
      </c>
      <c r="U17" s="179">
        <f t="shared" si="10"/>
        <v>0</v>
      </c>
      <c r="V17" s="179">
        <f t="shared" si="10"/>
        <v>0</v>
      </c>
      <c r="W17" s="179">
        <f t="shared" si="10"/>
        <v>0</v>
      </c>
      <c r="X17" s="179">
        <f t="shared" ref="X17:Y17" si="11">SUM(X12:X16)</f>
        <v>0</v>
      </c>
      <c r="Y17" s="179">
        <f t="shared" si="11"/>
        <v>0</v>
      </c>
      <c r="Z17" s="179"/>
      <c r="AA17" s="179"/>
    </row>
    <row r="18" spans="1:27" s="203" customFormat="1" ht="19.5" customHeight="1">
      <c r="A18" s="296" t="s">
        <v>133</v>
      </c>
      <c r="B18" s="297"/>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31"/>
      <c r="AA18" s="231"/>
    </row>
    <row r="19" spans="1:27" s="204" customFormat="1" ht="20.100000000000001" customHeight="1">
      <c r="A19" s="298" t="s">
        <v>310</v>
      </c>
      <c r="B19" s="481" t="s">
        <v>388</v>
      </c>
      <c r="C19" s="300"/>
      <c r="D19" s="300"/>
      <c r="E19" s="202">
        <f t="shared" ref="E19:E23" si="12">C19+D19</f>
        <v>0</v>
      </c>
      <c r="F19" s="300"/>
      <c r="G19" s="300"/>
      <c r="H19" s="202">
        <f t="shared" ref="H19:H23" si="13">C19+F19</f>
        <v>0</v>
      </c>
      <c r="I19" s="202">
        <f t="shared" ref="I19:I23" si="14">D19+G19</f>
        <v>0</v>
      </c>
      <c r="J19" s="202">
        <f>H19+I19</f>
        <v>0</v>
      </c>
      <c r="K19" s="300"/>
      <c r="L19" s="202">
        <f>J19+K19</f>
        <v>0</v>
      </c>
      <c r="M19" s="300"/>
      <c r="N19" s="300"/>
      <c r="O19" s="300"/>
      <c r="P19" s="202">
        <f t="shared" ref="P19:Q23" si="15">C19+M19</f>
        <v>0</v>
      </c>
      <c r="Q19" s="202">
        <f t="shared" si="15"/>
        <v>0</v>
      </c>
      <c r="R19" s="179">
        <f t="shared" ref="R19:R23" si="16">P19+Q19</f>
        <v>0</v>
      </c>
      <c r="S19" s="175"/>
      <c r="T19" s="175"/>
      <c r="U19" s="202">
        <f t="shared" ref="U19:U23" si="17">P19+S19</f>
        <v>0</v>
      </c>
      <c r="V19" s="202">
        <f t="shared" ref="V19:V23" si="18">Q19+T19</f>
        <v>0</v>
      </c>
      <c r="W19" s="179">
        <f>U19+V19</f>
        <v>0</v>
      </c>
      <c r="X19" s="300"/>
      <c r="Y19" s="202">
        <f>W19+X19</f>
        <v>0</v>
      </c>
      <c r="Z19" s="315"/>
      <c r="AA19" s="315"/>
    </row>
    <row r="20" spans="1:27" s="204" customFormat="1" ht="20.100000000000001" customHeight="1">
      <c r="A20" s="301"/>
      <c r="B20" s="302"/>
      <c r="C20" s="300"/>
      <c r="D20" s="300"/>
      <c r="E20" s="202">
        <f t="shared" si="12"/>
        <v>0</v>
      </c>
      <c r="F20" s="300"/>
      <c r="G20" s="300"/>
      <c r="H20" s="202">
        <f t="shared" si="13"/>
        <v>0</v>
      </c>
      <c r="I20" s="202">
        <f t="shared" si="14"/>
        <v>0</v>
      </c>
      <c r="J20" s="202">
        <f t="shared" ref="J20:J23" si="19">H20+I20</f>
        <v>0</v>
      </c>
      <c r="K20" s="300"/>
      <c r="L20" s="202">
        <f t="shared" ref="L20:L23" si="20">J20+K20</f>
        <v>0</v>
      </c>
      <c r="M20" s="300"/>
      <c r="N20" s="300"/>
      <c r="O20" s="300"/>
      <c r="P20" s="202">
        <f t="shared" si="15"/>
        <v>0</v>
      </c>
      <c r="Q20" s="202">
        <f t="shared" si="15"/>
        <v>0</v>
      </c>
      <c r="R20" s="179">
        <f t="shared" si="16"/>
        <v>0</v>
      </c>
      <c r="S20" s="175"/>
      <c r="T20" s="175"/>
      <c r="U20" s="202">
        <f t="shared" si="17"/>
        <v>0</v>
      </c>
      <c r="V20" s="202">
        <f t="shared" si="18"/>
        <v>0</v>
      </c>
      <c r="W20" s="179">
        <f>U20+V20</f>
        <v>0</v>
      </c>
      <c r="X20" s="300"/>
      <c r="Y20" s="202">
        <f t="shared" ref="Y20:Y23" si="21">W20+X20</f>
        <v>0</v>
      </c>
      <c r="Z20" s="315"/>
      <c r="AA20" s="315"/>
    </row>
    <row r="21" spans="1:27" s="204" customFormat="1" ht="20.100000000000001" customHeight="1">
      <c r="A21" s="301"/>
      <c r="B21" s="302"/>
      <c r="C21" s="300"/>
      <c r="D21" s="300"/>
      <c r="E21" s="202">
        <f t="shared" si="12"/>
        <v>0</v>
      </c>
      <c r="F21" s="300"/>
      <c r="G21" s="300"/>
      <c r="H21" s="202">
        <f t="shared" si="13"/>
        <v>0</v>
      </c>
      <c r="I21" s="202">
        <f t="shared" si="14"/>
        <v>0</v>
      </c>
      <c r="J21" s="202">
        <f t="shared" si="19"/>
        <v>0</v>
      </c>
      <c r="K21" s="300"/>
      <c r="L21" s="202">
        <f t="shared" si="20"/>
        <v>0</v>
      </c>
      <c r="M21" s="300"/>
      <c r="N21" s="300"/>
      <c r="O21" s="300"/>
      <c r="P21" s="202">
        <f t="shared" si="15"/>
        <v>0</v>
      </c>
      <c r="Q21" s="202">
        <f t="shared" si="15"/>
        <v>0</v>
      </c>
      <c r="R21" s="179">
        <f t="shared" si="16"/>
        <v>0</v>
      </c>
      <c r="S21" s="175"/>
      <c r="T21" s="175"/>
      <c r="U21" s="202">
        <f t="shared" si="17"/>
        <v>0</v>
      </c>
      <c r="V21" s="202">
        <f t="shared" si="18"/>
        <v>0</v>
      </c>
      <c r="W21" s="179">
        <f>U21+V21</f>
        <v>0</v>
      </c>
      <c r="X21" s="300"/>
      <c r="Y21" s="202">
        <f t="shared" si="21"/>
        <v>0</v>
      </c>
      <c r="Z21" s="315"/>
      <c r="AA21" s="315"/>
    </row>
    <row r="22" spans="1:27" s="204" customFormat="1" ht="20.100000000000001" customHeight="1">
      <c r="A22" s="301"/>
      <c r="B22" s="302"/>
      <c r="C22" s="300"/>
      <c r="D22" s="300"/>
      <c r="E22" s="202">
        <f t="shared" si="12"/>
        <v>0</v>
      </c>
      <c r="F22" s="300"/>
      <c r="G22" s="300"/>
      <c r="H22" s="202">
        <f t="shared" si="13"/>
        <v>0</v>
      </c>
      <c r="I22" s="202">
        <f t="shared" si="14"/>
        <v>0</v>
      </c>
      <c r="J22" s="202">
        <f t="shared" si="19"/>
        <v>0</v>
      </c>
      <c r="K22" s="300"/>
      <c r="L22" s="202">
        <f t="shared" si="20"/>
        <v>0</v>
      </c>
      <c r="M22" s="300"/>
      <c r="N22" s="300"/>
      <c r="O22" s="300"/>
      <c r="P22" s="202">
        <f t="shared" si="15"/>
        <v>0</v>
      </c>
      <c r="Q22" s="202">
        <f t="shared" si="15"/>
        <v>0</v>
      </c>
      <c r="R22" s="179">
        <f t="shared" si="16"/>
        <v>0</v>
      </c>
      <c r="S22" s="175"/>
      <c r="T22" s="175"/>
      <c r="U22" s="202">
        <f t="shared" si="17"/>
        <v>0</v>
      </c>
      <c r="V22" s="202">
        <f t="shared" si="18"/>
        <v>0</v>
      </c>
      <c r="W22" s="179">
        <f>U22+V22</f>
        <v>0</v>
      </c>
      <c r="X22" s="300"/>
      <c r="Y22" s="202">
        <f t="shared" si="21"/>
        <v>0</v>
      </c>
      <c r="Z22" s="315"/>
      <c r="AA22" s="315"/>
    </row>
    <row r="23" spans="1:27" s="204" customFormat="1" ht="20.100000000000001" customHeight="1">
      <c r="A23" s="301"/>
      <c r="B23" s="302"/>
      <c r="C23" s="300"/>
      <c r="D23" s="300"/>
      <c r="E23" s="202">
        <f t="shared" si="12"/>
        <v>0</v>
      </c>
      <c r="F23" s="300"/>
      <c r="G23" s="300"/>
      <c r="H23" s="202">
        <f t="shared" si="13"/>
        <v>0</v>
      </c>
      <c r="I23" s="202">
        <f t="shared" si="14"/>
        <v>0</v>
      </c>
      <c r="J23" s="202">
        <f t="shared" si="19"/>
        <v>0</v>
      </c>
      <c r="K23" s="300"/>
      <c r="L23" s="202">
        <f t="shared" si="20"/>
        <v>0</v>
      </c>
      <c r="M23" s="300"/>
      <c r="N23" s="300"/>
      <c r="O23" s="300"/>
      <c r="P23" s="202">
        <f t="shared" si="15"/>
        <v>0</v>
      </c>
      <c r="Q23" s="202">
        <f t="shared" si="15"/>
        <v>0</v>
      </c>
      <c r="R23" s="179">
        <f t="shared" si="16"/>
        <v>0</v>
      </c>
      <c r="S23" s="175"/>
      <c r="T23" s="175"/>
      <c r="U23" s="202">
        <f t="shared" si="17"/>
        <v>0</v>
      </c>
      <c r="V23" s="202">
        <f t="shared" si="18"/>
        <v>0</v>
      </c>
      <c r="W23" s="179">
        <f>U23+V23</f>
        <v>0</v>
      </c>
      <c r="X23" s="300"/>
      <c r="Y23" s="202">
        <f t="shared" si="21"/>
        <v>0</v>
      </c>
      <c r="Z23" s="315"/>
      <c r="AA23" s="315"/>
    </row>
    <row r="24" spans="1:27" s="206" customFormat="1" ht="20.100000000000001" customHeight="1">
      <c r="A24" s="303" t="s">
        <v>387</v>
      </c>
      <c r="B24" s="304"/>
      <c r="C24" s="179">
        <f t="shared" ref="C24:Y24" si="22">SUM(C19:C23)</f>
        <v>0</v>
      </c>
      <c r="D24" s="179">
        <f t="shared" si="22"/>
        <v>0</v>
      </c>
      <c r="E24" s="179">
        <f t="shared" si="22"/>
        <v>0</v>
      </c>
      <c r="F24" s="179">
        <f t="shared" ref="F24:L24" si="23">SUM(F19:F23)</f>
        <v>0</v>
      </c>
      <c r="G24" s="179">
        <f t="shared" si="23"/>
        <v>0</v>
      </c>
      <c r="H24" s="179">
        <f t="shared" si="23"/>
        <v>0</v>
      </c>
      <c r="I24" s="179">
        <f t="shared" si="23"/>
        <v>0</v>
      </c>
      <c r="J24" s="179">
        <f t="shared" si="23"/>
        <v>0</v>
      </c>
      <c r="K24" s="179">
        <f t="shared" si="23"/>
        <v>0</v>
      </c>
      <c r="L24" s="179">
        <f t="shared" si="23"/>
        <v>0</v>
      </c>
      <c r="M24" s="179">
        <f t="shared" si="22"/>
        <v>0</v>
      </c>
      <c r="N24" s="179">
        <f t="shared" si="22"/>
        <v>0</v>
      </c>
      <c r="O24" s="179">
        <f t="shared" si="22"/>
        <v>0</v>
      </c>
      <c r="P24" s="179">
        <f t="shared" si="22"/>
        <v>0</v>
      </c>
      <c r="Q24" s="179">
        <f t="shared" si="22"/>
        <v>0</v>
      </c>
      <c r="R24" s="179">
        <f t="shared" si="22"/>
        <v>0</v>
      </c>
      <c r="S24" s="179">
        <f t="shared" si="22"/>
        <v>0</v>
      </c>
      <c r="T24" s="179">
        <f t="shared" si="22"/>
        <v>0</v>
      </c>
      <c r="U24" s="179">
        <f t="shared" si="22"/>
        <v>0</v>
      </c>
      <c r="V24" s="179">
        <f t="shared" si="22"/>
        <v>0</v>
      </c>
      <c r="W24" s="179">
        <f t="shared" si="22"/>
        <v>0</v>
      </c>
      <c r="X24" s="179">
        <f t="shared" si="22"/>
        <v>0</v>
      </c>
      <c r="Y24" s="179">
        <f t="shared" si="22"/>
        <v>0</v>
      </c>
      <c r="Z24" s="179"/>
      <c r="AA24" s="179"/>
    </row>
    <row r="25" spans="1:27" s="203" customFormat="1" ht="19.5" customHeight="1">
      <c r="A25" s="296" t="s">
        <v>134</v>
      </c>
      <c r="B25" s="297"/>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31"/>
      <c r="AA25" s="231"/>
    </row>
    <row r="26" spans="1:27" s="204" customFormat="1" ht="20.100000000000001" customHeight="1">
      <c r="A26" s="298"/>
      <c r="B26" s="299"/>
      <c r="C26" s="300"/>
      <c r="D26" s="300"/>
      <c r="E26" s="202">
        <f>C26+D26</f>
        <v>0</v>
      </c>
      <c r="F26" s="300"/>
      <c r="G26" s="300"/>
      <c r="H26" s="202">
        <f t="shared" ref="H26:H28" si="24">C26+F26</f>
        <v>0</v>
      </c>
      <c r="I26" s="202">
        <f t="shared" ref="I26:I28" si="25">D26+G26</f>
        <v>0</v>
      </c>
      <c r="J26" s="202">
        <f>H26+I26</f>
        <v>0</v>
      </c>
      <c r="K26" s="300"/>
      <c r="L26" s="202">
        <f t="shared" ref="L26:L28" si="26">J26+K26</f>
        <v>0</v>
      </c>
      <c r="M26" s="300"/>
      <c r="N26" s="300"/>
      <c r="O26" s="300"/>
      <c r="P26" s="202">
        <f t="shared" ref="P26:Q28" si="27">C26+M26</f>
        <v>0</v>
      </c>
      <c r="Q26" s="202">
        <f t="shared" si="27"/>
        <v>0</v>
      </c>
      <c r="R26" s="179">
        <f>P26+Q26</f>
        <v>0</v>
      </c>
      <c r="S26" s="175"/>
      <c r="T26" s="175"/>
      <c r="U26" s="202">
        <f t="shared" ref="U26:U28" si="28">P26+S26</f>
        <v>0</v>
      </c>
      <c r="V26" s="202">
        <f t="shared" ref="V26:V28" si="29">Q26+T26</f>
        <v>0</v>
      </c>
      <c r="W26" s="179">
        <f>U26+V26</f>
        <v>0</v>
      </c>
      <c r="X26" s="300"/>
      <c r="Y26" s="202">
        <f t="shared" ref="Y26:Y28" si="30">W26+X26</f>
        <v>0</v>
      </c>
      <c r="Z26" s="315"/>
      <c r="AA26" s="315"/>
    </row>
    <row r="27" spans="1:27" s="204" customFormat="1" ht="20.100000000000001" customHeight="1">
      <c r="A27" s="298"/>
      <c r="B27" s="299"/>
      <c r="C27" s="300"/>
      <c r="D27" s="300"/>
      <c r="E27" s="202">
        <f t="shared" ref="E27:E28" si="31">C27+D27</f>
        <v>0</v>
      </c>
      <c r="F27" s="300"/>
      <c r="G27" s="300"/>
      <c r="H27" s="202">
        <f t="shared" si="24"/>
        <v>0</v>
      </c>
      <c r="I27" s="202">
        <f t="shared" si="25"/>
        <v>0</v>
      </c>
      <c r="J27" s="202">
        <f t="shared" ref="J27:J28" si="32">H27+I27</f>
        <v>0</v>
      </c>
      <c r="K27" s="300"/>
      <c r="L27" s="202">
        <f t="shared" si="26"/>
        <v>0</v>
      </c>
      <c r="M27" s="300"/>
      <c r="N27" s="300"/>
      <c r="O27" s="300"/>
      <c r="P27" s="202">
        <f t="shared" si="27"/>
        <v>0</v>
      </c>
      <c r="Q27" s="202">
        <f t="shared" si="27"/>
        <v>0</v>
      </c>
      <c r="R27" s="179">
        <f t="shared" ref="R27:R28" si="33">P27+Q27</f>
        <v>0</v>
      </c>
      <c r="S27" s="175"/>
      <c r="T27" s="175"/>
      <c r="U27" s="202">
        <f t="shared" si="28"/>
        <v>0</v>
      </c>
      <c r="V27" s="202">
        <f t="shared" si="29"/>
        <v>0</v>
      </c>
      <c r="W27" s="179">
        <f>U27+V27</f>
        <v>0</v>
      </c>
      <c r="X27" s="300"/>
      <c r="Y27" s="202">
        <f t="shared" si="30"/>
        <v>0</v>
      </c>
      <c r="Z27" s="315"/>
      <c r="AA27" s="315"/>
    </row>
    <row r="28" spans="1:27" s="204" customFormat="1" ht="20.100000000000001" customHeight="1">
      <c r="A28" s="301"/>
      <c r="B28" s="302"/>
      <c r="C28" s="300"/>
      <c r="D28" s="300"/>
      <c r="E28" s="202">
        <f t="shared" si="31"/>
        <v>0</v>
      </c>
      <c r="F28" s="300"/>
      <c r="G28" s="300"/>
      <c r="H28" s="202">
        <f t="shared" si="24"/>
        <v>0</v>
      </c>
      <c r="I28" s="202">
        <f t="shared" si="25"/>
        <v>0</v>
      </c>
      <c r="J28" s="202">
        <f t="shared" si="32"/>
        <v>0</v>
      </c>
      <c r="K28" s="300"/>
      <c r="L28" s="202">
        <f t="shared" si="26"/>
        <v>0</v>
      </c>
      <c r="M28" s="300"/>
      <c r="N28" s="300"/>
      <c r="O28" s="300"/>
      <c r="P28" s="202">
        <f t="shared" si="27"/>
        <v>0</v>
      </c>
      <c r="Q28" s="202">
        <f t="shared" si="27"/>
        <v>0</v>
      </c>
      <c r="R28" s="179">
        <f t="shared" si="33"/>
        <v>0</v>
      </c>
      <c r="S28" s="175"/>
      <c r="T28" s="175"/>
      <c r="U28" s="202">
        <f t="shared" si="28"/>
        <v>0</v>
      </c>
      <c r="V28" s="202">
        <f t="shared" si="29"/>
        <v>0</v>
      </c>
      <c r="W28" s="179">
        <f>U28+V28</f>
        <v>0</v>
      </c>
      <c r="X28" s="300"/>
      <c r="Y28" s="202">
        <f t="shared" si="30"/>
        <v>0</v>
      </c>
      <c r="Z28" s="315"/>
      <c r="AA28" s="315"/>
    </row>
    <row r="29" spans="1:27" s="206" customFormat="1" ht="20.100000000000001" customHeight="1">
      <c r="A29" s="303" t="s">
        <v>387</v>
      </c>
      <c r="B29" s="304"/>
      <c r="C29" s="179">
        <f t="shared" ref="C29:Y29" si="34">SUM(C26:C28)</f>
        <v>0</v>
      </c>
      <c r="D29" s="179">
        <f t="shared" si="34"/>
        <v>0</v>
      </c>
      <c r="E29" s="179">
        <f t="shared" si="34"/>
        <v>0</v>
      </c>
      <c r="F29" s="179">
        <f t="shared" si="34"/>
        <v>0</v>
      </c>
      <c r="G29" s="179">
        <f t="shared" si="34"/>
        <v>0</v>
      </c>
      <c r="H29" s="179">
        <f t="shared" si="34"/>
        <v>0</v>
      </c>
      <c r="I29" s="179">
        <f t="shared" si="34"/>
        <v>0</v>
      </c>
      <c r="J29" s="179">
        <f t="shared" si="34"/>
        <v>0</v>
      </c>
      <c r="K29" s="179">
        <f t="shared" ref="K29:L29" si="35">SUM(K26:K28)</f>
        <v>0</v>
      </c>
      <c r="L29" s="179">
        <f t="shared" si="35"/>
        <v>0</v>
      </c>
      <c r="M29" s="179">
        <f t="shared" si="34"/>
        <v>0</v>
      </c>
      <c r="N29" s="179">
        <f t="shared" si="34"/>
        <v>0</v>
      </c>
      <c r="O29" s="179">
        <f t="shared" si="34"/>
        <v>0</v>
      </c>
      <c r="P29" s="179">
        <f t="shared" si="34"/>
        <v>0</v>
      </c>
      <c r="Q29" s="179">
        <f t="shared" si="34"/>
        <v>0</v>
      </c>
      <c r="R29" s="179">
        <f t="shared" si="34"/>
        <v>0</v>
      </c>
      <c r="S29" s="179">
        <f t="shared" si="34"/>
        <v>0</v>
      </c>
      <c r="T29" s="179">
        <f t="shared" si="34"/>
        <v>0</v>
      </c>
      <c r="U29" s="179">
        <f t="shared" si="34"/>
        <v>0</v>
      </c>
      <c r="V29" s="179">
        <f t="shared" si="34"/>
        <v>0</v>
      </c>
      <c r="W29" s="179">
        <f t="shared" si="34"/>
        <v>0</v>
      </c>
      <c r="X29" s="179">
        <f t="shared" si="34"/>
        <v>0</v>
      </c>
      <c r="Y29" s="179">
        <f t="shared" si="34"/>
        <v>0</v>
      </c>
      <c r="Z29" s="179"/>
      <c r="AA29" s="179"/>
    </row>
    <row r="30" spans="1:27" s="206" customFormat="1" ht="20.100000000000001" customHeight="1">
      <c r="A30" s="303" t="s">
        <v>192</v>
      </c>
      <c r="B30" s="304"/>
      <c r="C30" s="179">
        <f>SUM(C17,C24,C29)</f>
        <v>0</v>
      </c>
      <c r="D30" s="179">
        <f t="shared" ref="D30:R30" si="36">SUM(D17,D24,D29)</f>
        <v>0</v>
      </c>
      <c r="E30" s="179">
        <f t="shared" si="36"/>
        <v>0</v>
      </c>
      <c r="F30" s="179">
        <f t="shared" ref="F30:J30" si="37">SUM(F17,F24,F29)</f>
        <v>0</v>
      </c>
      <c r="G30" s="179">
        <f t="shared" si="37"/>
        <v>0</v>
      </c>
      <c r="H30" s="179">
        <f t="shared" si="37"/>
        <v>0</v>
      </c>
      <c r="I30" s="179">
        <f t="shared" si="37"/>
        <v>0</v>
      </c>
      <c r="J30" s="179">
        <f t="shared" si="37"/>
        <v>0</v>
      </c>
      <c r="K30" s="179">
        <f t="shared" ref="K30:L30" si="38">SUM(K17,K24,K29)</f>
        <v>0</v>
      </c>
      <c r="L30" s="179">
        <f t="shared" si="38"/>
        <v>0</v>
      </c>
      <c r="M30" s="179">
        <f t="shared" si="36"/>
        <v>0</v>
      </c>
      <c r="N30" s="179">
        <f t="shared" si="36"/>
        <v>0</v>
      </c>
      <c r="O30" s="179">
        <f t="shared" si="36"/>
        <v>0</v>
      </c>
      <c r="P30" s="179">
        <f t="shared" si="36"/>
        <v>0</v>
      </c>
      <c r="Q30" s="179">
        <f t="shared" si="36"/>
        <v>0</v>
      </c>
      <c r="R30" s="179">
        <f t="shared" si="36"/>
        <v>0</v>
      </c>
      <c r="S30" s="179">
        <f t="shared" ref="S30" si="39">SUM(S17,S24,S29)</f>
        <v>0</v>
      </c>
      <c r="T30" s="179">
        <f t="shared" ref="T30" si="40">SUM(T17,T24,T29)</f>
        <v>0</v>
      </c>
      <c r="U30" s="179">
        <f t="shared" ref="U30" si="41">SUM(U17,U24,U29)</f>
        <v>0</v>
      </c>
      <c r="V30" s="179">
        <f t="shared" ref="V30" si="42">SUM(V17,V24,V29)</f>
        <v>0</v>
      </c>
      <c r="W30" s="179">
        <f t="shared" ref="W30:Y30" si="43">SUM(W17,W24,W29)</f>
        <v>0</v>
      </c>
      <c r="X30" s="179">
        <f t="shared" si="43"/>
        <v>0</v>
      </c>
      <c r="Y30" s="179">
        <f t="shared" si="43"/>
        <v>0</v>
      </c>
      <c r="Z30" s="179"/>
      <c r="AA30" s="179"/>
    </row>
    <row r="31" spans="1:27" s="207" customFormat="1" ht="20.100000000000001" customHeight="1">
      <c r="A31" s="305" t="s">
        <v>389</v>
      </c>
      <c r="B31" s="124"/>
      <c r="C31" s="64"/>
      <c r="D31" s="64"/>
      <c r="E31" s="64"/>
      <c r="F31" s="64"/>
      <c r="G31" s="64"/>
      <c r="H31" s="64"/>
      <c r="I31" s="64"/>
      <c r="J31" s="64"/>
      <c r="K31" s="64"/>
      <c r="L31" s="64"/>
      <c r="M31" s="64"/>
      <c r="N31" s="64"/>
      <c r="O31" s="64"/>
      <c r="P31" s="64"/>
      <c r="Q31" s="211"/>
      <c r="R31" s="64"/>
      <c r="S31" s="64"/>
      <c r="T31" s="211"/>
      <c r="U31" s="64"/>
      <c r="V31" s="211"/>
      <c r="W31" s="64"/>
      <c r="X31" s="64"/>
      <c r="Y31" s="64"/>
      <c r="Z31" s="64"/>
      <c r="AA31" s="64"/>
    </row>
    <row r="32" spans="1:27" s="207" customFormat="1" ht="20.100000000000001" customHeight="1">
      <c r="A32" s="219" t="s">
        <v>390</v>
      </c>
      <c r="B32" s="219"/>
      <c r="C32" s="64"/>
      <c r="D32" s="64"/>
      <c r="E32" s="64"/>
      <c r="F32" s="64"/>
      <c r="G32" s="64"/>
      <c r="H32" s="64"/>
      <c r="I32" s="64"/>
      <c r="J32" s="64"/>
      <c r="K32" s="64"/>
      <c r="L32" s="64"/>
      <c r="M32" s="64"/>
      <c r="N32" s="64"/>
      <c r="O32" s="64"/>
      <c r="P32" s="64"/>
      <c r="Q32" s="64"/>
      <c r="R32" s="219"/>
      <c r="S32" s="64"/>
      <c r="T32" s="64"/>
      <c r="U32" s="64"/>
      <c r="V32" s="64"/>
      <c r="W32" s="219"/>
      <c r="X32" s="219"/>
      <c r="Y32" s="219"/>
      <c r="Z32" s="64"/>
      <c r="AA32" s="64"/>
    </row>
    <row r="33" spans="1:27" s="207" customFormat="1" ht="20.100000000000001" customHeight="1">
      <c r="A33" s="64"/>
      <c r="B33" s="223" t="s">
        <v>391</v>
      </c>
      <c r="C33" s="64"/>
      <c r="D33" s="508"/>
      <c r="E33" s="306"/>
      <c r="F33" s="64"/>
      <c r="G33" s="64"/>
      <c r="H33" s="64"/>
      <c r="I33" s="64"/>
      <c r="J33" s="64"/>
      <c r="K33" s="64"/>
      <c r="L33" s="64"/>
      <c r="M33" s="64"/>
      <c r="N33" s="64"/>
      <c r="O33" s="64"/>
      <c r="P33" s="64"/>
      <c r="Q33" s="64"/>
      <c r="R33" s="64"/>
      <c r="S33" s="64"/>
      <c r="T33" s="64"/>
      <c r="U33" s="64"/>
      <c r="V33" s="64"/>
      <c r="W33" s="64"/>
      <c r="X33" s="64"/>
      <c r="Y33" s="64"/>
      <c r="Z33" s="64"/>
      <c r="AA33" s="64"/>
    </row>
    <row r="34" spans="1:27" s="207" customFormat="1" ht="20.100000000000001" customHeight="1">
      <c r="A34" s="64"/>
      <c r="B34" s="223" t="s">
        <v>392</v>
      </c>
      <c r="C34" s="64"/>
      <c r="D34" s="508"/>
      <c r="E34" s="306"/>
      <c r="F34" s="64"/>
      <c r="G34" s="64"/>
      <c r="H34" s="64"/>
      <c r="I34" s="64"/>
      <c r="J34" s="64"/>
      <c r="K34" s="64"/>
      <c r="L34" s="64"/>
      <c r="M34" s="64"/>
      <c r="N34" s="64"/>
      <c r="O34" s="64"/>
      <c r="P34" s="64"/>
      <c r="Q34" s="64"/>
      <c r="R34" s="64"/>
      <c r="S34" s="64"/>
      <c r="T34" s="64"/>
      <c r="U34" s="64"/>
      <c r="V34" s="64"/>
      <c r="W34" s="64"/>
      <c r="X34" s="64"/>
      <c r="Y34" s="64"/>
      <c r="Z34" s="64"/>
      <c r="AA34" s="64"/>
    </row>
    <row r="35" spans="1:27" s="207" customFormat="1" ht="20.100000000000001"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row>
    <row r="36" spans="1:27" s="207" customFormat="1" ht="20.100000000000001" customHeight="1">
      <c r="B36" s="63"/>
      <c r="C36" s="64"/>
      <c r="D36" s="64"/>
      <c r="E36" s="64"/>
      <c r="F36" s="64"/>
      <c r="G36" s="64"/>
      <c r="H36" s="64"/>
      <c r="I36" s="64"/>
      <c r="J36" s="64"/>
      <c r="K36" s="64"/>
      <c r="L36" s="64"/>
      <c r="M36" s="64"/>
      <c r="N36" s="64"/>
      <c r="O36" s="64"/>
      <c r="P36" s="64"/>
      <c r="Q36" s="64"/>
      <c r="R36" s="64"/>
      <c r="S36" s="64"/>
      <c r="T36" s="64"/>
      <c r="U36" s="64"/>
      <c r="V36" s="64"/>
      <c r="W36" s="64"/>
      <c r="X36" s="64"/>
      <c r="Y36" s="64"/>
      <c r="Z36" s="64"/>
      <c r="AA36" s="64"/>
    </row>
    <row r="37" spans="1:27" s="207" customFormat="1" ht="20.100000000000001"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row>
    <row r="38" spans="1:27" ht="20.100000000000001" customHeight="1">
      <c r="A38" s="219" t="s">
        <v>393</v>
      </c>
      <c r="B38" s="210"/>
      <c r="E38" s="307"/>
      <c r="F38" s="307"/>
      <c r="G38" s="307"/>
      <c r="H38" s="307"/>
      <c r="I38" s="307"/>
      <c r="J38" s="307"/>
      <c r="K38" s="307"/>
      <c r="L38" s="307"/>
      <c r="N38" s="86"/>
      <c r="O38" s="86"/>
      <c r="P38" s="87"/>
      <c r="Q38" s="86"/>
      <c r="S38" s="87"/>
      <c r="T38" s="86"/>
      <c r="U38" s="87"/>
      <c r="V38" s="86"/>
    </row>
    <row r="39" spans="1:27" ht="20.100000000000001" customHeight="1">
      <c r="A39" s="308"/>
      <c r="B39" s="210"/>
      <c r="E39" s="307"/>
      <c r="F39" s="307"/>
      <c r="G39" s="307"/>
      <c r="H39" s="307"/>
      <c r="I39" s="307"/>
      <c r="J39" s="307"/>
      <c r="K39" s="307"/>
      <c r="L39" s="307"/>
      <c r="N39" s="86"/>
      <c r="O39" s="86"/>
      <c r="P39" s="87"/>
      <c r="Q39" s="86"/>
      <c r="S39" s="87"/>
      <c r="T39" s="86"/>
      <c r="U39" s="87"/>
      <c r="V39" s="86"/>
    </row>
    <row r="40" spans="1:27" ht="20.100000000000001" customHeight="1">
      <c r="A40" s="309" t="s">
        <v>149</v>
      </c>
      <c r="B40" s="210"/>
      <c r="E40" s="307"/>
      <c r="F40" s="307"/>
      <c r="G40" s="307"/>
      <c r="H40" s="307"/>
      <c r="I40" s="307"/>
      <c r="J40" s="307"/>
      <c r="K40" s="307"/>
      <c r="L40" s="307"/>
      <c r="N40" s="86"/>
      <c r="O40" s="86"/>
      <c r="P40" s="87"/>
      <c r="Q40" s="86"/>
      <c r="S40" s="87"/>
      <c r="T40" s="86"/>
      <c r="U40" s="87"/>
      <c r="V40" s="86"/>
    </row>
    <row r="41" spans="1:27" ht="18" customHeight="1">
      <c r="A41" s="310" t="s">
        <v>394</v>
      </c>
    </row>
    <row r="42" spans="1:27" ht="18" customHeight="1">
      <c r="A42" s="80" t="s">
        <v>395</v>
      </c>
    </row>
    <row r="43" spans="1:27" ht="17.25" customHeight="1">
      <c r="A43" s="311" t="s">
        <v>396</v>
      </c>
    </row>
    <row r="44" spans="1:27" ht="17.25" customHeight="1">
      <c r="A44" s="312" t="s">
        <v>397</v>
      </c>
    </row>
    <row r="45" spans="1:27" ht="17.25" customHeight="1">
      <c r="A45" s="312" t="s">
        <v>398</v>
      </c>
    </row>
    <row r="46" spans="1:27" ht="17.25" customHeight="1">
      <c r="A46" s="312" t="s">
        <v>399</v>
      </c>
    </row>
    <row r="47" spans="1:27" ht="17.25" customHeight="1">
      <c r="A47" s="312" t="s">
        <v>400</v>
      </c>
    </row>
    <row r="48" spans="1:27" ht="17.25" customHeight="1">
      <c r="A48" s="312" t="s">
        <v>401</v>
      </c>
    </row>
    <row r="49" spans="1:2" ht="17.25" customHeight="1">
      <c r="A49" s="686" t="s">
        <v>880</v>
      </c>
    </row>
    <row r="50" spans="1:2" ht="17.25" customHeight="1">
      <c r="A50" s="687" t="s">
        <v>879</v>
      </c>
    </row>
    <row r="51" spans="1:2" ht="18" customHeight="1">
      <c r="A51" s="313" t="s">
        <v>881</v>
      </c>
      <c r="B51" s="80"/>
    </row>
    <row r="52" spans="1:2" ht="18" customHeight="1">
      <c r="A52" s="313" t="s">
        <v>882</v>
      </c>
      <c r="B52" s="103"/>
    </row>
    <row r="53" spans="1:2" ht="18" customHeight="1"/>
  </sheetData>
  <mergeCells count="19">
    <mergeCell ref="X9:X10"/>
    <mergeCell ref="Y9:Y10"/>
    <mergeCell ref="Z9:Z10"/>
    <mergeCell ref="AA9:AA10"/>
    <mergeCell ref="A1:R1"/>
    <mergeCell ref="S1:AA1"/>
    <mergeCell ref="A2:R2"/>
    <mergeCell ref="S2:AA2"/>
    <mergeCell ref="C9:E9"/>
    <mergeCell ref="F9:G9"/>
    <mergeCell ref="H9:J9"/>
    <mergeCell ref="M9:O9"/>
    <mergeCell ref="P9:R9"/>
    <mergeCell ref="S9:T9"/>
    <mergeCell ref="U9:W9"/>
    <mergeCell ref="A9:A10"/>
    <mergeCell ref="B9:B10"/>
    <mergeCell ref="K9:K10"/>
    <mergeCell ref="L9:L10"/>
  </mergeCells>
  <phoneticPr fontId="171" type="noConversion"/>
  <hyperlinks>
    <hyperlink ref="R3" location="底稿目录!A1" display="=底稿目录!F8"/>
    <hyperlink ref="AA3" location="底稿目录!A1" display="=R3"/>
  </hyperlinks>
  <pageMargins left="0.39370078740157499" right="0.23622047244094499" top="0.35433070866141703" bottom="0.31496062992126" header="0.31496062992126" footer="0.196850393700787"/>
  <pageSetup paperSize="9" scale="68" fitToHeight="10" orientation="landscape" blackAndWhite="1" r:id="rId1"/>
  <headerFooter alignWithMargins="0">
    <oddFooter>&amp;C&amp;P/&amp;N</oddFooter>
  </headerFooter>
  <colBreaks count="1" manualBreakCount="1">
    <brk id="18" max="36"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J21"/>
  <sheetViews>
    <sheetView view="pageBreakPreview" zoomScaleNormal="100" workbookViewId="0">
      <selection activeCell="J3" sqref="J3"/>
    </sheetView>
  </sheetViews>
  <sheetFormatPr defaultColWidth="8.88671875" defaultRowHeight="15.6"/>
  <cols>
    <col min="1" max="1" width="23" style="280" customWidth="1"/>
    <col min="2" max="2" width="23.6640625" style="280" customWidth="1"/>
    <col min="3" max="3" width="13.44140625" style="281" customWidth="1"/>
    <col min="4" max="4" width="11.88671875" style="280" customWidth="1"/>
    <col min="5" max="5" width="15" style="280" customWidth="1"/>
    <col min="6" max="6" width="8.88671875" style="280"/>
    <col min="7" max="7" width="10.6640625" style="280" customWidth="1"/>
    <col min="8" max="8" width="10.33203125" style="280" customWidth="1"/>
    <col min="9" max="16384" width="8.88671875" style="280"/>
  </cols>
  <sheetData>
    <row r="1" spans="1:10" s="277" customFormat="1" ht="19.95" customHeight="1">
      <c r="A1" s="536" t="s">
        <v>37</v>
      </c>
      <c r="B1" s="536"/>
      <c r="C1" s="536"/>
      <c r="D1" s="536"/>
      <c r="E1" s="536"/>
      <c r="F1" s="536"/>
      <c r="G1" s="536"/>
      <c r="H1" s="536"/>
      <c r="I1" s="536"/>
      <c r="J1" s="536"/>
    </row>
    <row r="2" spans="1:10" s="278" customFormat="1" ht="19.95" customHeight="1">
      <c r="A2" s="537" t="s">
        <v>402</v>
      </c>
      <c r="B2" s="537"/>
      <c r="C2" s="537"/>
      <c r="D2" s="537"/>
      <c r="E2" s="537"/>
      <c r="F2" s="537"/>
      <c r="G2" s="537"/>
      <c r="H2" s="537"/>
      <c r="I2" s="537"/>
      <c r="J2" s="537"/>
    </row>
    <row r="3" spans="1:10" s="279" customFormat="1" ht="19.95" customHeight="1">
      <c r="A3" s="273" t="str">
        <f>底稿目录!A2</f>
        <v>被审计单位：</v>
      </c>
      <c r="B3" s="273"/>
      <c r="C3" s="273" t="str">
        <f>底稿目录!A4</f>
        <v>编制人：</v>
      </c>
      <c r="E3" s="273"/>
      <c r="F3" s="273" t="str">
        <f>底稿目录!A5</f>
        <v>编制日期：</v>
      </c>
      <c r="H3" s="273"/>
      <c r="I3" s="9" t="s">
        <v>38</v>
      </c>
      <c r="J3" s="510" t="str">
        <f>底稿目录!F9</f>
        <v>G1-3</v>
      </c>
    </row>
    <row r="4" spans="1:10" s="279" customFormat="1" ht="19.95" customHeight="1">
      <c r="A4" s="273" t="str">
        <f>底稿目录!A3</f>
        <v>截止日：202X年12月31日</v>
      </c>
      <c r="B4" s="273"/>
      <c r="C4" s="273" t="str">
        <f>底稿目录!A6</f>
        <v>复核人：</v>
      </c>
      <c r="E4" s="273"/>
      <c r="F4" s="273" t="str">
        <f>底稿目录!A7</f>
        <v>复核日期：</v>
      </c>
      <c r="H4" s="273"/>
      <c r="I4" s="9" t="s">
        <v>364</v>
      </c>
    </row>
    <row r="5" spans="1:10" ht="28.8" customHeight="1">
      <c r="A5" s="282" t="s">
        <v>403</v>
      </c>
      <c r="B5" s="283" t="s">
        <v>404</v>
      </c>
      <c r="C5" s="284" t="s">
        <v>405</v>
      </c>
      <c r="D5" s="285" t="s">
        <v>406</v>
      </c>
      <c r="E5" s="285" t="s">
        <v>407</v>
      </c>
      <c r="F5" s="286" t="s">
        <v>408</v>
      </c>
      <c r="G5" s="285" t="s">
        <v>409</v>
      </c>
      <c r="H5" s="285" t="s">
        <v>410</v>
      </c>
      <c r="I5" s="285" t="s">
        <v>411</v>
      </c>
      <c r="J5" s="285" t="s">
        <v>412</v>
      </c>
    </row>
    <row r="6" spans="1:10" ht="19.95" customHeight="1">
      <c r="A6" s="287"/>
      <c r="B6" s="287"/>
      <c r="C6" s="288"/>
      <c r="D6" s="287"/>
      <c r="E6" s="287"/>
      <c r="F6" s="287"/>
      <c r="G6" s="287"/>
      <c r="H6" s="287"/>
      <c r="I6" s="287"/>
      <c r="J6" s="287"/>
    </row>
    <row r="7" spans="1:10" ht="19.95" customHeight="1">
      <c r="A7" s="289"/>
      <c r="B7" s="287"/>
      <c r="C7" s="288"/>
      <c r="D7" s="287"/>
      <c r="E7" s="287"/>
      <c r="F7" s="287"/>
      <c r="G7" s="287"/>
      <c r="H7" s="287"/>
      <c r="I7" s="287"/>
      <c r="J7" s="287"/>
    </row>
    <row r="8" spans="1:10" ht="19.95" customHeight="1">
      <c r="A8" s="290"/>
      <c r="B8" s="287"/>
      <c r="C8" s="288"/>
      <c r="D8" s="287"/>
      <c r="E8" s="287"/>
      <c r="F8" s="287"/>
      <c r="G8" s="287"/>
      <c r="H8" s="287"/>
      <c r="I8" s="287"/>
      <c r="J8" s="287"/>
    </row>
    <row r="9" spans="1:10" ht="19.95" customHeight="1">
      <c r="A9" s="290"/>
      <c r="B9" s="287"/>
      <c r="C9" s="288"/>
      <c r="D9" s="287"/>
      <c r="E9" s="287"/>
      <c r="F9" s="287"/>
      <c r="G9" s="287"/>
      <c r="H9" s="287"/>
      <c r="I9" s="287"/>
      <c r="J9" s="287"/>
    </row>
    <row r="10" spans="1:10" ht="19.95" customHeight="1">
      <c r="A10" s="290"/>
      <c r="B10" s="287"/>
      <c r="C10" s="288"/>
      <c r="D10" s="287"/>
      <c r="E10" s="287"/>
      <c r="F10" s="287"/>
      <c r="G10" s="287"/>
      <c r="H10" s="287"/>
      <c r="I10" s="287"/>
      <c r="J10" s="287"/>
    </row>
    <row r="11" spans="1:10" ht="19.95" customHeight="1">
      <c r="A11" s="291"/>
      <c r="B11" s="287"/>
      <c r="C11" s="288"/>
      <c r="D11" s="287"/>
      <c r="E11" s="287"/>
      <c r="F11" s="287"/>
      <c r="G11" s="287"/>
      <c r="H11" s="287"/>
      <c r="I11" s="287"/>
      <c r="J11" s="287"/>
    </row>
    <row r="12" spans="1:10" ht="19.95" customHeight="1">
      <c r="A12" s="290"/>
      <c r="B12" s="287"/>
      <c r="C12" s="288"/>
      <c r="D12" s="287"/>
      <c r="E12" s="287"/>
      <c r="F12" s="287"/>
      <c r="G12" s="287"/>
      <c r="H12" s="287"/>
      <c r="I12" s="287"/>
      <c r="J12" s="287"/>
    </row>
    <row r="13" spans="1:10" ht="19.95" customHeight="1">
      <c r="A13" s="290"/>
      <c r="B13" s="287"/>
      <c r="C13" s="288"/>
      <c r="D13" s="287"/>
      <c r="E13" s="287"/>
      <c r="F13" s="287"/>
      <c r="G13" s="287"/>
      <c r="H13" s="287"/>
      <c r="I13" s="287"/>
      <c r="J13" s="287"/>
    </row>
    <row r="14" spans="1:10" ht="19.95" customHeight="1">
      <c r="A14" s="290"/>
      <c r="B14" s="287"/>
      <c r="C14" s="288"/>
      <c r="D14" s="287"/>
      <c r="E14" s="287"/>
      <c r="F14" s="287"/>
      <c r="G14" s="287"/>
      <c r="H14" s="287"/>
      <c r="I14" s="287"/>
      <c r="J14" s="287"/>
    </row>
    <row r="15" spans="1:10" ht="19.95" customHeight="1">
      <c r="A15" s="290"/>
      <c r="B15" s="287"/>
      <c r="C15" s="288"/>
      <c r="D15" s="287"/>
      <c r="E15" s="287"/>
      <c r="F15" s="287"/>
      <c r="G15" s="287"/>
      <c r="H15" s="287"/>
      <c r="I15" s="287"/>
      <c r="J15" s="287"/>
    </row>
    <row r="16" spans="1:10" ht="19.95" customHeight="1">
      <c r="A16" s="290"/>
      <c r="B16" s="287"/>
      <c r="C16" s="288"/>
      <c r="D16" s="287"/>
      <c r="E16" s="287"/>
      <c r="F16" s="287"/>
      <c r="G16" s="287"/>
      <c r="H16" s="287"/>
      <c r="I16" s="287"/>
      <c r="J16" s="287"/>
    </row>
    <row r="17" spans="1:10" ht="19.95" customHeight="1">
      <c r="A17" s="290"/>
      <c r="B17" s="287"/>
      <c r="C17" s="288"/>
      <c r="D17" s="287"/>
      <c r="E17" s="287"/>
      <c r="F17" s="287"/>
      <c r="G17" s="287"/>
      <c r="H17" s="287"/>
      <c r="I17" s="287"/>
      <c r="J17" s="287"/>
    </row>
    <row r="18" spans="1:10" ht="19.95" customHeight="1">
      <c r="A18" s="290"/>
      <c r="B18" s="287"/>
      <c r="C18" s="288"/>
      <c r="D18" s="287"/>
      <c r="E18" s="287"/>
      <c r="F18" s="287"/>
      <c r="G18" s="287"/>
      <c r="H18" s="287"/>
      <c r="I18" s="287"/>
      <c r="J18" s="287"/>
    </row>
    <row r="19" spans="1:10" ht="19.95" customHeight="1">
      <c r="A19" s="290"/>
      <c r="B19" s="287"/>
      <c r="C19" s="288"/>
      <c r="D19" s="287"/>
      <c r="E19" s="287"/>
      <c r="F19" s="287"/>
      <c r="G19" s="287"/>
      <c r="H19" s="287"/>
      <c r="I19" s="287"/>
      <c r="J19" s="287"/>
    </row>
    <row r="20" spans="1:10" ht="19.95" customHeight="1">
      <c r="A20" s="290"/>
      <c r="B20" s="287"/>
      <c r="C20" s="288"/>
      <c r="D20" s="287"/>
      <c r="E20" s="287"/>
      <c r="F20" s="287"/>
      <c r="G20" s="287"/>
      <c r="H20" s="287"/>
      <c r="I20" s="287"/>
      <c r="J20" s="287"/>
    </row>
    <row r="21" spans="1:10" ht="28.5" customHeight="1">
      <c r="A21" s="582" t="s">
        <v>413</v>
      </c>
      <c r="B21" s="583"/>
      <c r="C21" s="583"/>
      <c r="D21" s="583"/>
      <c r="E21" s="583"/>
      <c r="F21" s="583"/>
      <c r="G21" s="583"/>
      <c r="H21" s="583"/>
      <c r="I21" s="583"/>
      <c r="J21" s="583"/>
    </row>
  </sheetData>
  <mergeCells count="3">
    <mergeCell ref="A1:J1"/>
    <mergeCell ref="A2:J2"/>
    <mergeCell ref="A21:J21"/>
  </mergeCells>
  <phoneticPr fontId="171"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505" right="0.70866141732283505" top="0.74803149606299202" bottom="0.74803149606299202" header="0.31496062992126" footer="0.31496062992126"/>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U46"/>
  <sheetViews>
    <sheetView view="pageBreakPreview" zoomScaleNormal="100" workbookViewId="0">
      <selection activeCell="U3" sqref="U3"/>
    </sheetView>
  </sheetViews>
  <sheetFormatPr defaultColWidth="9" defaultRowHeight="13.8"/>
  <cols>
    <col min="1" max="1" width="10.109375" style="82" customWidth="1"/>
    <col min="2" max="2" width="10.6640625" style="82" customWidth="1"/>
    <col min="3" max="3" width="9.88671875" style="82" customWidth="1"/>
    <col min="4" max="4" width="8.109375" style="82" customWidth="1"/>
    <col min="5" max="5" width="9.88671875" style="82" customWidth="1"/>
    <col min="6" max="6" width="4.77734375" style="82" customWidth="1"/>
    <col min="7" max="7" width="8.6640625" style="82" customWidth="1"/>
    <col min="8" max="8" width="11" style="82" customWidth="1"/>
    <col min="9" max="9" width="10.33203125" style="82" customWidth="1"/>
    <col min="10" max="10" width="8.77734375" style="82" customWidth="1"/>
    <col min="11" max="11" width="12.6640625" style="82" customWidth="1"/>
    <col min="12" max="12" width="8.21875" style="82" customWidth="1"/>
    <col min="13" max="13" width="10.33203125" style="82" customWidth="1"/>
    <col min="14" max="14" width="12" style="82" customWidth="1"/>
    <col min="15" max="15" width="8.21875" style="82" customWidth="1"/>
    <col min="16" max="16" width="10.109375" style="82" customWidth="1"/>
    <col min="17" max="17" width="10.77734375" style="82" customWidth="1"/>
    <col min="18" max="18" width="6.77734375" style="82" customWidth="1"/>
    <col min="19" max="19" width="9.44140625" style="82" customWidth="1"/>
    <col min="20" max="20" width="11.33203125" style="82" customWidth="1"/>
    <col min="21" max="21" width="7.21875" style="82" customWidth="1"/>
    <col min="22" max="16384" width="9" style="82"/>
  </cols>
  <sheetData>
    <row r="1" spans="1:21" s="108" customFormat="1" ht="20.100000000000001" customHeight="1">
      <c r="A1" s="584" t="s">
        <v>37</v>
      </c>
      <c r="B1" s="584"/>
      <c r="C1" s="584"/>
      <c r="D1" s="584"/>
      <c r="E1" s="584"/>
      <c r="F1" s="584"/>
      <c r="G1" s="584"/>
      <c r="H1" s="584"/>
      <c r="I1" s="584"/>
      <c r="J1" s="584"/>
      <c r="K1" s="584"/>
      <c r="L1" s="584"/>
      <c r="M1" s="584"/>
      <c r="N1" s="584"/>
      <c r="O1" s="584"/>
      <c r="P1" s="584"/>
      <c r="Q1" s="584"/>
      <c r="R1" s="584"/>
      <c r="S1" s="584"/>
      <c r="T1" s="584"/>
      <c r="U1" s="584"/>
    </row>
    <row r="2" spans="1:21" s="109" customFormat="1" ht="25.05" customHeight="1">
      <c r="A2" s="585" t="s">
        <v>414</v>
      </c>
      <c r="B2" s="585"/>
      <c r="C2" s="585"/>
      <c r="D2" s="585"/>
      <c r="E2" s="585"/>
      <c r="F2" s="585"/>
      <c r="G2" s="585"/>
      <c r="H2" s="585"/>
      <c r="I2" s="585"/>
      <c r="J2" s="585"/>
      <c r="K2" s="585"/>
      <c r="L2" s="585"/>
      <c r="M2" s="585"/>
      <c r="N2" s="585"/>
      <c r="O2" s="585"/>
      <c r="P2" s="585"/>
      <c r="Q2" s="585"/>
      <c r="R2" s="585"/>
      <c r="S2" s="585"/>
      <c r="T2" s="585"/>
      <c r="U2" s="585"/>
    </row>
    <row r="3" spans="1:21" ht="20.100000000000001" customHeight="1">
      <c r="A3" s="121" t="str">
        <f>底稿目录!A2</f>
        <v>被审计单位：</v>
      </c>
      <c r="H3" s="86"/>
      <c r="I3" s="273" t="str">
        <f>底稿目录!A4</f>
        <v>编制人：</v>
      </c>
      <c r="K3" s="86"/>
      <c r="L3" s="86"/>
      <c r="N3" s="273" t="str">
        <f>底稿目录!A5</f>
        <v>编制日期：</v>
      </c>
      <c r="T3" s="275" t="s">
        <v>38</v>
      </c>
      <c r="U3" s="10" t="str">
        <f>底稿目录!F10</f>
        <v>G1-4</v>
      </c>
    </row>
    <row r="4" spans="1:21" ht="20.100000000000001" customHeight="1">
      <c r="A4" s="121" t="str">
        <f>底稿目录!A3</f>
        <v>截止日：202X年12月31日</v>
      </c>
      <c r="H4" s="86"/>
      <c r="I4" s="273" t="str">
        <f>底稿目录!A6</f>
        <v>复核人：</v>
      </c>
      <c r="K4" s="86"/>
      <c r="L4" s="86"/>
      <c r="N4" s="273" t="str">
        <f>底稿目录!A7</f>
        <v>复核日期：</v>
      </c>
      <c r="T4" s="275" t="s">
        <v>39</v>
      </c>
      <c r="U4" s="276">
        <v>1</v>
      </c>
    </row>
    <row r="5" spans="1:21" ht="20.100000000000001" customHeight="1">
      <c r="A5" s="31" t="s">
        <v>415</v>
      </c>
      <c r="B5" s="33"/>
      <c r="C5" s="33"/>
      <c r="D5" s="33"/>
      <c r="E5" s="86"/>
      <c r="F5" s="86"/>
      <c r="G5" s="86"/>
      <c r="I5" s="87"/>
      <c r="J5" s="13"/>
      <c r="K5" s="86"/>
      <c r="L5" s="86"/>
      <c r="M5" s="86"/>
      <c r="N5" s="86"/>
      <c r="O5" s="87"/>
      <c r="U5" s="100"/>
    </row>
    <row r="6" spans="1:21" ht="20.100000000000001" customHeight="1">
      <c r="A6" s="33" t="s">
        <v>416</v>
      </c>
      <c r="B6" s="88"/>
      <c r="C6" s="88"/>
      <c r="D6" s="88"/>
      <c r="E6" s="86"/>
      <c r="F6" s="86"/>
      <c r="G6" s="33" t="s">
        <v>417</v>
      </c>
      <c r="H6" s="33"/>
      <c r="I6" s="87"/>
      <c r="J6" s="13"/>
      <c r="K6" s="86"/>
      <c r="L6" s="86"/>
      <c r="M6" s="86"/>
      <c r="N6" s="86"/>
      <c r="O6" s="87"/>
      <c r="U6" s="100"/>
    </row>
    <row r="7" spans="1:21" ht="20.100000000000001" customHeight="1">
      <c r="A7" s="33" t="s">
        <v>418</v>
      </c>
      <c r="B7" s="88"/>
      <c r="C7" s="88"/>
      <c r="D7" s="88"/>
      <c r="E7" s="86"/>
      <c r="F7" s="86"/>
      <c r="G7" s="33" t="s">
        <v>419</v>
      </c>
      <c r="H7" s="33"/>
      <c r="I7" s="87"/>
      <c r="J7" s="13"/>
      <c r="K7" s="86"/>
      <c r="L7" s="86"/>
      <c r="M7" s="86"/>
      <c r="N7" s="86"/>
      <c r="O7" s="87"/>
      <c r="U7" s="100"/>
    </row>
    <row r="8" spans="1:21" ht="20.100000000000001" customHeight="1">
      <c r="A8" s="31" t="s">
        <v>420</v>
      </c>
      <c r="B8" s="33"/>
      <c r="C8" s="33"/>
      <c r="D8" s="33"/>
      <c r="E8" s="86"/>
      <c r="F8" s="86"/>
      <c r="G8" s="86"/>
      <c r="I8" s="87"/>
      <c r="J8" s="13"/>
      <c r="K8" s="86"/>
      <c r="L8" s="86"/>
      <c r="M8" s="86"/>
      <c r="N8" s="86"/>
      <c r="O8" s="87"/>
      <c r="U8" s="100"/>
    </row>
    <row r="9" spans="1:21" ht="20.100000000000001" customHeight="1">
      <c r="A9" s="88" t="s">
        <v>421</v>
      </c>
      <c r="B9" s="88" t="s">
        <v>421</v>
      </c>
      <c r="C9" s="33"/>
      <c r="D9" s="33"/>
      <c r="E9" s="86"/>
      <c r="F9" s="86"/>
      <c r="G9" s="86"/>
      <c r="I9" s="87"/>
      <c r="J9" s="13"/>
      <c r="K9" s="86"/>
      <c r="L9" s="86"/>
      <c r="M9" s="86"/>
      <c r="N9" s="86"/>
      <c r="O9" s="87"/>
      <c r="U9" s="100"/>
    </row>
    <row r="10" spans="1:21" ht="20.100000000000001" customHeight="1">
      <c r="A10" s="33" t="s">
        <v>422</v>
      </c>
      <c r="B10" s="33"/>
      <c r="C10" s="33"/>
      <c r="D10" s="33"/>
      <c r="E10" s="86"/>
      <c r="F10" s="86"/>
      <c r="G10" s="86"/>
      <c r="I10" s="87"/>
      <c r="J10" s="13"/>
      <c r="K10" s="86"/>
      <c r="L10" s="86"/>
      <c r="M10" s="86"/>
      <c r="N10" s="86"/>
      <c r="O10" s="87"/>
      <c r="U10" s="100"/>
    </row>
    <row r="11" spans="1:21" ht="20.100000000000001" customHeight="1">
      <c r="A11" s="265" t="s">
        <v>423</v>
      </c>
      <c r="B11" s="33"/>
      <c r="C11" s="33"/>
      <c r="D11" s="33"/>
      <c r="E11" s="86"/>
      <c r="F11" s="86"/>
      <c r="G11" s="86"/>
      <c r="I11" s="87"/>
      <c r="J11" s="13"/>
      <c r="K11" s="86"/>
      <c r="L11" s="86"/>
      <c r="M11" s="86"/>
      <c r="N11" s="86"/>
      <c r="O11" s="87"/>
      <c r="U11" s="100"/>
    </row>
    <row r="12" spans="1:21" ht="20.100000000000001" customHeight="1">
      <c r="A12" s="265" t="s">
        <v>424</v>
      </c>
      <c r="B12" s="33"/>
      <c r="C12" s="33"/>
      <c r="D12" s="33"/>
      <c r="E12" s="86"/>
      <c r="F12" s="86"/>
      <c r="G12" s="86"/>
      <c r="I12" s="87"/>
      <c r="J12" s="89"/>
      <c r="K12" s="33"/>
      <c r="L12" s="86"/>
      <c r="M12" s="86"/>
      <c r="N12" s="86"/>
      <c r="O12" s="87"/>
      <c r="U12" s="100"/>
    </row>
    <row r="13" spans="1:21" ht="20.100000000000001" customHeight="1">
      <c r="A13" s="265" t="s">
        <v>425</v>
      </c>
      <c r="B13" s="33"/>
      <c r="C13" s="33"/>
      <c r="D13" s="33"/>
      <c r="E13" s="86"/>
      <c r="F13" s="86"/>
      <c r="G13" s="86"/>
      <c r="I13" s="87"/>
      <c r="J13" s="89"/>
      <c r="K13" s="33"/>
      <c r="L13" s="86"/>
      <c r="M13" s="86"/>
      <c r="N13" s="86"/>
      <c r="O13" s="87"/>
      <c r="U13" s="100"/>
    </row>
    <row r="14" spans="1:21" ht="20.100000000000001" customHeight="1">
      <c r="A14" s="586" t="s">
        <v>426</v>
      </c>
      <c r="B14" s="586"/>
      <c r="C14" s="586"/>
      <c r="D14" s="586"/>
      <c r="E14" s="586"/>
      <c r="F14" s="586"/>
      <c r="G14" s="586"/>
      <c r="H14" s="586"/>
      <c r="I14" s="587" t="s">
        <v>427</v>
      </c>
      <c r="J14" s="587"/>
      <c r="K14" s="587"/>
      <c r="L14" s="586" t="s">
        <v>428</v>
      </c>
      <c r="M14" s="586"/>
      <c r="N14" s="586"/>
      <c r="O14" s="587" t="s">
        <v>429</v>
      </c>
      <c r="P14" s="587"/>
      <c r="Q14" s="587"/>
      <c r="R14" s="587" t="s">
        <v>430</v>
      </c>
      <c r="S14" s="587"/>
      <c r="T14" s="587"/>
      <c r="U14" s="588" t="s">
        <v>431</v>
      </c>
    </row>
    <row r="15" spans="1:21" ht="30" customHeight="1">
      <c r="A15" s="90" t="s">
        <v>432</v>
      </c>
      <c r="B15" s="91" t="s">
        <v>433</v>
      </c>
      <c r="C15" s="91" t="s">
        <v>434</v>
      </c>
      <c r="D15" s="90" t="s">
        <v>435</v>
      </c>
      <c r="E15" s="90" t="s">
        <v>436</v>
      </c>
      <c r="F15" s="91" t="s">
        <v>437</v>
      </c>
      <c r="G15" s="90" t="s">
        <v>438</v>
      </c>
      <c r="H15" s="90" t="s">
        <v>439</v>
      </c>
      <c r="I15" s="90" t="s">
        <v>435</v>
      </c>
      <c r="J15" s="90" t="s">
        <v>436</v>
      </c>
      <c r="K15" s="90" t="s">
        <v>439</v>
      </c>
      <c r="L15" s="90" t="s">
        <v>435</v>
      </c>
      <c r="M15" s="90" t="s">
        <v>436</v>
      </c>
      <c r="N15" s="90" t="s">
        <v>439</v>
      </c>
      <c r="O15" s="90" t="s">
        <v>435</v>
      </c>
      <c r="P15" s="90" t="s">
        <v>436</v>
      </c>
      <c r="Q15" s="90" t="s">
        <v>439</v>
      </c>
      <c r="R15" s="90" t="s">
        <v>435</v>
      </c>
      <c r="S15" s="90" t="s">
        <v>436</v>
      </c>
      <c r="T15" s="90" t="s">
        <v>439</v>
      </c>
      <c r="U15" s="589"/>
    </row>
    <row r="16" spans="1:21" ht="20.100000000000001" customHeight="1">
      <c r="A16" s="92"/>
      <c r="B16" s="92"/>
      <c r="C16" s="92"/>
      <c r="D16" s="95"/>
      <c r="E16" s="93"/>
      <c r="F16" s="266"/>
      <c r="G16" s="95"/>
      <c r="H16" s="113">
        <f>D16*E16</f>
        <v>0</v>
      </c>
      <c r="I16" s="93"/>
      <c r="J16" s="93"/>
      <c r="K16" s="113">
        <f>I16*J16</f>
        <v>0</v>
      </c>
      <c r="L16" s="94"/>
      <c r="M16" s="94"/>
      <c r="N16" s="113">
        <f>L16*M16</f>
        <v>0</v>
      </c>
      <c r="O16" s="94"/>
      <c r="P16" s="94"/>
      <c r="Q16" s="113">
        <f>O16*P16</f>
        <v>0</v>
      </c>
      <c r="R16" s="94"/>
      <c r="S16" s="94"/>
      <c r="T16" s="94"/>
      <c r="U16" s="94"/>
    </row>
    <row r="17" spans="1:21" ht="20.100000000000001" customHeight="1">
      <c r="A17" s="92"/>
      <c r="B17" s="92"/>
      <c r="C17" s="92"/>
      <c r="D17" s="95"/>
      <c r="E17" s="93"/>
      <c r="F17" s="266"/>
      <c r="G17" s="95"/>
      <c r="H17" s="113">
        <f t="shared" ref="H17:H27" si="0">D17*E17</f>
        <v>0</v>
      </c>
      <c r="I17" s="93"/>
      <c r="J17" s="93"/>
      <c r="K17" s="113">
        <f t="shared" ref="K17:K27" si="1">I17*J17</f>
        <v>0</v>
      </c>
      <c r="L17" s="94"/>
      <c r="M17" s="94"/>
      <c r="N17" s="113">
        <f t="shared" ref="N17:N27" si="2">L17*M17</f>
        <v>0</v>
      </c>
      <c r="O17" s="94"/>
      <c r="P17" s="94"/>
      <c r="Q17" s="113">
        <f t="shared" ref="Q17:Q27" si="3">O17*P17</f>
        <v>0</v>
      </c>
      <c r="R17" s="94"/>
      <c r="S17" s="94"/>
      <c r="T17" s="94"/>
      <c r="U17" s="94"/>
    </row>
    <row r="18" spans="1:21" ht="20.100000000000001" customHeight="1">
      <c r="A18" s="92"/>
      <c r="B18" s="92"/>
      <c r="C18" s="92"/>
      <c r="D18" s="95"/>
      <c r="E18" s="93"/>
      <c r="F18" s="266"/>
      <c r="G18" s="95"/>
      <c r="H18" s="113">
        <f t="shared" si="0"/>
        <v>0</v>
      </c>
      <c r="I18" s="93"/>
      <c r="J18" s="93"/>
      <c r="K18" s="113">
        <f t="shared" si="1"/>
        <v>0</v>
      </c>
      <c r="L18" s="94"/>
      <c r="M18" s="94"/>
      <c r="N18" s="113">
        <f t="shared" si="2"/>
        <v>0</v>
      </c>
      <c r="O18" s="94"/>
      <c r="P18" s="94"/>
      <c r="Q18" s="113">
        <f t="shared" si="3"/>
        <v>0</v>
      </c>
      <c r="R18" s="94"/>
      <c r="S18" s="94"/>
      <c r="T18" s="94"/>
      <c r="U18" s="94"/>
    </row>
    <row r="19" spans="1:21" ht="20.100000000000001" customHeight="1">
      <c r="A19" s="92"/>
      <c r="B19" s="92"/>
      <c r="C19" s="92"/>
      <c r="D19" s="96"/>
      <c r="E19" s="97"/>
      <c r="F19" s="267"/>
      <c r="G19" s="96"/>
      <c r="H19" s="113">
        <f t="shared" si="0"/>
        <v>0</v>
      </c>
      <c r="I19" s="97"/>
      <c r="J19" s="97"/>
      <c r="K19" s="113">
        <f t="shared" si="1"/>
        <v>0</v>
      </c>
      <c r="L19" s="98"/>
      <c r="M19" s="98"/>
      <c r="N19" s="113">
        <f t="shared" si="2"/>
        <v>0</v>
      </c>
      <c r="O19" s="98"/>
      <c r="P19" s="98"/>
      <c r="Q19" s="113">
        <f t="shared" si="3"/>
        <v>0</v>
      </c>
      <c r="R19" s="98"/>
      <c r="S19" s="98"/>
      <c r="T19" s="98"/>
      <c r="U19" s="98"/>
    </row>
    <row r="20" spans="1:21" ht="20.100000000000001" customHeight="1">
      <c r="A20" s="92"/>
      <c r="B20" s="92"/>
      <c r="C20" s="92"/>
      <c r="D20" s="95"/>
      <c r="E20" s="93"/>
      <c r="F20" s="266"/>
      <c r="G20" s="95"/>
      <c r="H20" s="113">
        <f t="shared" si="0"/>
        <v>0</v>
      </c>
      <c r="I20" s="93"/>
      <c r="J20" s="93"/>
      <c r="K20" s="113">
        <f t="shared" si="1"/>
        <v>0</v>
      </c>
      <c r="L20" s="94"/>
      <c r="M20" s="94"/>
      <c r="N20" s="113">
        <f t="shared" si="2"/>
        <v>0</v>
      </c>
      <c r="O20" s="94"/>
      <c r="P20" s="94"/>
      <c r="Q20" s="113">
        <f t="shared" si="3"/>
        <v>0</v>
      </c>
      <c r="R20" s="94"/>
      <c r="S20" s="94"/>
      <c r="T20" s="94"/>
      <c r="U20" s="94"/>
    </row>
    <row r="21" spans="1:21" ht="20.100000000000001" customHeight="1">
      <c r="A21" s="92"/>
      <c r="B21" s="92"/>
      <c r="C21" s="92"/>
      <c r="D21" s="95"/>
      <c r="E21" s="93"/>
      <c r="F21" s="266"/>
      <c r="G21" s="95"/>
      <c r="H21" s="113">
        <f t="shared" si="0"/>
        <v>0</v>
      </c>
      <c r="I21" s="93"/>
      <c r="J21" s="93"/>
      <c r="K21" s="113">
        <f t="shared" si="1"/>
        <v>0</v>
      </c>
      <c r="L21" s="94"/>
      <c r="M21" s="94"/>
      <c r="N21" s="113">
        <f t="shared" si="2"/>
        <v>0</v>
      </c>
      <c r="O21" s="94"/>
      <c r="P21" s="94"/>
      <c r="Q21" s="113">
        <f t="shared" si="3"/>
        <v>0</v>
      </c>
      <c r="R21" s="94"/>
      <c r="S21" s="94"/>
      <c r="T21" s="94"/>
      <c r="U21" s="94"/>
    </row>
    <row r="22" spans="1:21" ht="20.100000000000001" customHeight="1">
      <c r="A22" s="92"/>
      <c r="B22" s="92"/>
      <c r="C22" s="92"/>
      <c r="D22" s="95"/>
      <c r="E22" s="93"/>
      <c r="F22" s="266"/>
      <c r="G22" s="95"/>
      <c r="H22" s="113">
        <f t="shared" si="0"/>
        <v>0</v>
      </c>
      <c r="I22" s="93"/>
      <c r="J22" s="93"/>
      <c r="K22" s="113">
        <f t="shared" si="1"/>
        <v>0</v>
      </c>
      <c r="L22" s="94"/>
      <c r="M22" s="94"/>
      <c r="N22" s="113">
        <f t="shared" si="2"/>
        <v>0</v>
      </c>
      <c r="O22" s="94"/>
      <c r="P22" s="94"/>
      <c r="Q22" s="113">
        <f t="shared" si="3"/>
        <v>0</v>
      </c>
      <c r="R22" s="94"/>
      <c r="S22" s="94"/>
      <c r="T22" s="94"/>
      <c r="U22" s="94"/>
    </row>
    <row r="23" spans="1:21" ht="20.100000000000001" customHeight="1">
      <c r="A23" s="92"/>
      <c r="B23" s="92"/>
      <c r="C23" s="92"/>
      <c r="D23" s="96"/>
      <c r="E23" s="97"/>
      <c r="F23" s="267"/>
      <c r="G23" s="96"/>
      <c r="H23" s="113">
        <f t="shared" si="0"/>
        <v>0</v>
      </c>
      <c r="I23" s="97"/>
      <c r="J23" s="97"/>
      <c r="K23" s="113">
        <f t="shared" si="1"/>
        <v>0</v>
      </c>
      <c r="L23" s="98"/>
      <c r="M23" s="98"/>
      <c r="N23" s="113">
        <f t="shared" si="2"/>
        <v>0</v>
      </c>
      <c r="O23" s="98"/>
      <c r="P23" s="98"/>
      <c r="Q23" s="113">
        <f t="shared" si="3"/>
        <v>0</v>
      </c>
      <c r="R23" s="98"/>
      <c r="S23" s="98"/>
      <c r="T23" s="98"/>
      <c r="U23" s="98"/>
    </row>
    <row r="24" spans="1:21" ht="20.100000000000001" customHeight="1">
      <c r="A24" s="92"/>
      <c r="B24" s="92"/>
      <c r="C24" s="92"/>
      <c r="D24" s="95"/>
      <c r="E24" s="93"/>
      <c r="F24" s="266"/>
      <c r="G24" s="95"/>
      <c r="H24" s="113">
        <f t="shared" si="0"/>
        <v>0</v>
      </c>
      <c r="I24" s="93"/>
      <c r="J24" s="93"/>
      <c r="K24" s="113">
        <f t="shared" si="1"/>
        <v>0</v>
      </c>
      <c r="L24" s="94"/>
      <c r="M24" s="94"/>
      <c r="N24" s="113">
        <f t="shared" si="2"/>
        <v>0</v>
      </c>
      <c r="O24" s="94"/>
      <c r="P24" s="94"/>
      <c r="Q24" s="113">
        <f t="shared" si="3"/>
        <v>0</v>
      </c>
      <c r="R24" s="94"/>
      <c r="S24" s="94"/>
      <c r="T24" s="94"/>
      <c r="U24" s="94"/>
    </row>
    <row r="25" spans="1:21" ht="20.100000000000001" customHeight="1">
      <c r="A25" s="92"/>
      <c r="B25" s="92"/>
      <c r="C25" s="92"/>
      <c r="D25" s="95"/>
      <c r="E25" s="93"/>
      <c r="F25" s="266"/>
      <c r="G25" s="95"/>
      <c r="H25" s="113">
        <f t="shared" si="0"/>
        <v>0</v>
      </c>
      <c r="I25" s="93"/>
      <c r="J25" s="93"/>
      <c r="K25" s="113">
        <f t="shared" si="1"/>
        <v>0</v>
      </c>
      <c r="L25" s="94"/>
      <c r="M25" s="94"/>
      <c r="N25" s="113">
        <f t="shared" si="2"/>
        <v>0</v>
      </c>
      <c r="O25" s="94"/>
      <c r="P25" s="94"/>
      <c r="Q25" s="113">
        <f t="shared" si="3"/>
        <v>0</v>
      </c>
      <c r="R25" s="94"/>
      <c r="S25" s="94"/>
      <c r="T25" s="94"/>
      <c r="U25" s="94"/>
    </row>
    <row r="26" spans="1:21" ht="20.100000000000001" customHeight="1">
      <c r="A26" s="92"/>
      <c r="B26" s="92"/>
      <c r="C26" s="92"/>
      <c r="D26" s="95"/>
      <c r="E26" s="93"/>
      <c r="F26" s="266"/>
      <c r="G26" s="95"/>
      <c r="H26" s="113">
        <f t="shared" si="0"/>
        <v>0</v>
      </c>
      <c r="I26" s="93"/>
      <c r="J26" s="93"/>
      <c r="K26" s="113">
        <f t="shared" si="1"/>
        <v>0</v>
      </c>
      <c r="L26" s="94"/>
      <c r="M26" s="94"/>
      <c r="N26" s="113">
        <f t="shared" si="2"/>
        <v>0</v>
      </c>
      <c r="O26" s="94"/>
      <c r="P26" s="94"/>
      <c r="Q26" s="113">
        <f t="shared" si="3"/>
        <v>0</v>
      </c>
      <c r="R26" s="94"/>
      <c r="S26" s="94"/>
      <c r="T26" s="94"/>
      <c r="U26" s="94"/>
    </row>
    <row r="27" spans="1:21" ht="20.100000000000001" customHeight="1">
      <c r="A27" s="268"/>
      <c r="B27" s="268"/>
      <c r="C27" s="268"/>
      <c r="D27" s="95"/>
      <c r="E27" s="93"/>
      <c r="F27" s="266"/>
      <c r="G27" s="95"/>
      <c r="H27" s="113">
        <f t="shared" si="0"/>
        <v>0</v>
      </c>
      <c r="I27" s="93"/>
      <c r="J27" s="93"/>
      <c r="K27" s="113">
        <f t="shared" si="1"/>
        <v>0</v>
      </c>
      <c r="L27" s="94"/>
      <c r="M27" s="94"/>
      <c r="N27" s="113">
        <f t="shared" si="2"/>
        <v>0</v>
      </c>
      <c r="O27" s="94"/>
      <c r="P27" s="94"/>
      <c r="Q27" s="113">
        <f t="shared" si="3"/>
        <v>0</v>
      </c>
      <c r="R27" s="94"/>
      <c r="S27" s="94"/>
      <c r="T27" s="94"/>
      <c r="U27" s="94"/>
    </row>
    <row r="28" spans="1:21" s="264" customFormat="1" ht="20.100000000000001" customHeight="1">
      <c r="A28" s="269" t="s">
        <v>440</v>
      </c>
      <c r="B28" s="269"/>
      <c r="C28" s="269"/>
      <c r="D28" s="270"/>
      <c r="E28" s="113"/>
      <c r="F28" s="271"/>
      <c r="G28" s="270"/>
      <c r="H28" s="115">
        <f>SUM(H16:H27)</f>
        <v>0</v>
      </c>
      <c r="I28" s="113"/>
      <c r="J28" s="113"/>
      <c r="K28" s="115">
        <f>SUM(K16:K27)</f>
        <v>0</v>
      </c>
      <c r="L28" s="274"/>
      <c r="M28" s="274"/>
      <c r="N28" s="115">
        <f>SUM(N16:N27)</f>
        <v>0</v>
      </c>
      <c r="O28" s="274"/>
      <c r="P28" s="274"/>
      <c r="Q28" s="115">
        <f>SUM(Q16:Q27)</f>
        <v>0</v>
      </c>
      <c r="R28" s="274"/>
      <c r="S28" s="274"/>
      <c r="T28" s="115">
        <f>SUM(T16:T27)</f>
        <v>0</v>
      </c>
      <c r="U28" s="274"/>
    </row>
    <row r="29" spans="1:21" ht="20.100000000000001" customHeight="1">
      <c r="A29" s="99" t="s">
        <v>441</v>
      </c>
      <c r="B29" s="99"/>
      <c r="C29" s="99"/>
      <c r="D29" s="9"/>
      <c r="E29" s="9"/>
      <c r="F29" s="9"/>
      <c r="G29" s="272"/>
      <c r="H29" s="9"/>
      <c r="I29" s="9"/>
      <c r="J29" s="9"/>
      <c r="K29" s="9"/>
      <c r="L29" s="9"/>
      <c r="M29" s="9"/>
      <c r="N29" s="9"/>
      <c r="O29" s="99"/>
      <c r="P29" s="9"/>
      <c r="Q29" s="9"/>
      <c r="R29" s="9"/>
      <c r="S29" s="9"/>
      <c r="T29" s="9"/>
      <c r="U29" s="9"/>
    </row>
    <row r="30" spans="1:21" s="3" customFormat="1" ht="20.100000000000001" customHeight="1">
      <c r="A30" s="9"/>
      <c r="B30" s="9"/>
      <c r="C30" s="9"/>
      <c r="D30" s="9"/>
      <c r="E30" s="9"/>
      <c r="F30" s="9"/>
      <c r="G30" s="9"/>
      <c r="H30" s="9"/>
      <c r="I30" s="9"/>
      <c r="J30" s="9"/>
      <c r="K30" s="9"/>
      <c r="L30" s="9"/>
      <c r="M30" s="9"/>
      <c r="N30" s="9"/>
      <c r="O30" s="9"/>
      <c r="P30" s="9"/>
      <c r="Q30" s="9"/>
      <c r="R30" s="9"/>
      <c r="S30" s="9"/>
      <c r="T30" s="9"/>
      <c r="U30" s="9"/>
    </row>
    <row r="31" spans="1:21" ht="20.100000000000001" customHeight="1">
      <c r="A31" s="100"/>
      <c r="B31" s="100"/>
      <c r="C31" s="100"/>
      <c r="D31" s="100"/>
      <c r="E31" s="100"/>
      <c r="F31" s="100"/>
      <c r="G31" s="100"/>
      <c r="H31" s="100"/>
      <c r="I31" s="100"/>
      <c r="J31" s="100"/>
      <c r="K31" s="100"/>
      <c r="L31" s="100"/>
      <c r="M31" s="100"/>
      <c r="N31" s="100"/>
      <c r="O31" s="100"/>
      <c r="P31" s="100"/>
      <c r="Q31" s="100"/>
      <c r="R31" s="100"/>
      <c r="S31" s="100"/>
      <c r="T31" s="100"/>
      <c r="U31" s="100"/>
    </row>
    <row r="32" spans="1:21" ht="20.100000000000001" customHeight="1">
      <c r="A32" s="99" t="s">
        <v>393</v>
      </c>
      <c r="B32" s="100"/>
      <c r="C32" s="100"/>
      <c r="D32" s="100"/>
      <c r="E32" s="100"/>
      <c r="F32" s="100"/>
      <c r="G32" s="100"/>
      <c r="H32" s="100"/>
      <c r="I32" s="100"/>
      <c r="J32" s="100"/>
      <c r="K32" s="100"/>
      <c r="L32" s="100"/>
      <c r="M32" s="100"/>
      <c r="N32" s="100"/>
      <c r="O32" s="100"/>
      <c r="P32" s="100"/>
      <c r="Q32" s="100"/>
      <c r="R32" s="100"/>
      <c r="S32" s="100"/>
      <c r="T32" s="100"/>
      <c r="U32" s="100"/>
    </row>
    <row r="33" spans="2:17" ht="20.100000000000001" customHeight="1"/>
    <row r="34" spans="2:17" ht="20.100000000000001" customHeight="1"/>
    <row r="35" spans="2:17" ht="20.100000000000001" customHeight="1">
      <c r="B35" s="101"/>
      <c r="C35" s="101"/>
      <c r="D35" s="101"/>
    </row>
    <row r="36" spans="2:17" ht="20.100000000000001" customHeight="1">
      <c r="B36" s="102"/>
      <c r="C36" s="102"/>
      <c r="D36" s="102"/>
    </row>
    <row r="37" spans="2:17" ht="20.100000000000001" customHeight="1">
      <c r="B37" s="102"/>
      <c r="C37" s="102"/>
      <c r="D37" s="102"/>
    </row>
    <row r="38" spans="2:17" ht="20.100000000000001" customHeight="1">
      <c r="B38" s="102"/>
      <c r="C38" s="102"/>
      <c r="D38" s="102"/>
    </row>
    <row r="39" spans="2:17" ht="20.100000000000001" customHeight="1">
      <c r="B39" s="102"/>
      <c r="C39" s="102"/>
      <c r="D39" s="102"/>
    </row>
    <row r="40" spans="2:17" s="80" customFormat="1" ht="18" customHeight="1"/>
    <row r="41" spans="2:17" s="81" customFormat="1" ht="18" customHeight="1">
      <c r="B41" s="103"/>
      <c r="C41" s="103"/>
      <c r="D41" s="103"/>
      <c r="E41" s="103"/>
      <c r="F41" s="103"/>
      <c r="G41" s="103"/>
      <c r="H41" s="103"/>
      <c r="I41" s="103"/>
      <c r="J41" s="103"/>
      <c r="K41" s="103"/>
      <c r="L41" s="103"/>
      <c r="M41" s="103"/>
      <c r="N41" s="103"/>
      <c r="O41" s="103"/>
      <c r="P41" s="103"/>
      <c r="Q41" s="103"/>
    </row>
    <row r="42" spans="2:17" s="81" customFormat="1" ht="18" customHeight="1">
      <c r="B42" s="104"/>
      <c r="C42" s="104"/>
      <c r="D42" s="104"/>
      <c r="E42" s="103"/>
      <c r="F42" s="103"/>
      <c r="G42" s="103"/>
      <c r="H42" s="103"/>
      <c r="I42" s="103"/>
      <c r="J42" s="103"/>
      <c r="K42" s="103"/>
      <c r="L42" s="103"/>
      <c r="M42" s="103"/>
      <c r="N42" s="103"/>
      <c r="O42" s="103"/>
      <c r="P42" s="103"/>
      <c r="Q42" s="103"/>
    </row>
    <row r="43" spans="2:17" s="81" customFormat="1" ht="18" customHeight="1">
      <c r="B43" s="105"/>
      <c r="C43" s="105"/>
      <c r="D43" s="105"/>
      <c r="E43" s="103"/>
      <c r="F43" s="103"/>
      <c r="G43" s="103"/>
      <c r="H43" s="103"/>
      <c r="I43" s="103"/>
      <c r="J43" s="103"/>
      <c r="K43" s="103"/>
      <c r="L43" s="103"/>
      <c r="M43" s="103"/>
      <c r="N43" s="103"/>
      <c r="O43" s="103"/>
      <c r="P43" s="103"/>
      <c r="Q43" s="103"/>
    </row>
    <row r="44" spans="2:17" s="81" customFormat="1" ht="18" customHeight="1">
      <c r="B44" s="105"/>
      <c r="C44" s="105"/>
      <c r="D44" s="105"/>
      <c r="E44" s="103"/>
      <c r="F44" s="103"/>
      <c r="G44" s="103"/>
      <c r="H44" s="103"/>
      <c r="I44" s="103"/>
      <c r="J44" s="103"/>
      <c r="K44" s="103"/>
      <c r="L44" s="103"/>
      <c r="M44" s="103"/>
      <c r="N44" s="103"/>
      <c r="O44" s="103"/>
      <c r="P44" s="103"/>
      <c r="Q44" s="103"/>
    </row>
    <row r="45" spans="2:17" s="81" customFormat="1" ht="18" customHeight="1">
      <c r="B45" s="105"/>
      <c r="C45" s="105"/>
      <c r="D45" s="105"/>
      <c r="E45" s="103"/>
      <c r="F45" s="103"/>
      <c r="G45" s="103"/>
      <c r="H45" s="103"/>
      <c r="I45" s="103"/>
      <c r="J45" s="103"/>
      <c r="K45" s="103"/>
      <c r="L45" s="103"/>
      <c r="M45" s="103"/>
      <c r="N45" s="103"/>
      <c r="O45" s="103"/>
      <c r="P45" s="103"/>
      <c r="Q45" s="103"/>
    </row>
    <row r="46" spans="2:17" ht="20.100000000000001" customHeight="1"/>
  </sheetData>
  <mergeCells count="8">
    <mergeCell ref="A1:U1"/>
    <mergeCell ref="A2:U2"/>
    <mergeCell ref="A14:H14"/>
    <mergeCell ref="I14:K14"/>
    <mergeCell ref="L14:N14"/>
    <mergeCell ref="O14:Q14"/>
    <mergeCell ref="R14:T14"/>
    <mergeCell ref="U14:U15"/>
  </mergeCells>
  <phoneticPr fontId="171" type="noConversion"/>
  <hyperlinks>
    <hyperlink ref="U3" location="底稿目录!A1" display="=底稿目录!F10"/>
  </hyperlinks>
  <printOptions horizontalCentered="1"/>
  <pageMargins left="0.27559055118110198" right="0.23622047244094499" top="0.55118110236220497" bottom="0.39370078740157499" header="0.511811023622047" footer="0.27559055118110198"/>
  <pageSetup paperSize="9" scale="69" fitToHeight="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R36"/>
  <sheetViews>
    <sheetView view="pageBreakPreview" zoomScaleNormal="100" workbookViewId="0">
      <selection activeCell="K3" sqref="K3"/>
    </sheetView>
  </sheetViews>
  <sheetFormatPr defaultColWidth="9" defaultRowHeight="14.4"/>
  <cols>
    <col min="1" max="1" width="16.33203125" customWidth="1"/>
    <col min="2" max="2" width="13.88671875" customWidth="1"/>
    <col min="3" max="3" width="9.6640625" customWidth="1"/>
    <col min="4" max="4" width="9.44140625" customWidth="1"/>
    <col min="5" max="5" width="11.21875" customWidth="1"/>
    <col min="6" max="6" width="10.109375" customWidth="1"/>
    <col min="7" max="7" width="10.33203125" customWidth="1"/>
    <col min="8" max="8" width="10.44140625" customWidth="1"/>
    <col min="9" max="9" width="12.109375" customWidth="1"/>
    <col min="10" max="10" width="11.5546875" customWidth="1"/>
    <col min="11" max="11" width="12" customWidth="1"/>
  </cols>
  <sheetData>
    <row r="1" spans="1:18" s="167" customFormat="1" ht="19.95" customHeight="1">
      <c r="A1" s="569" t="s">
        <v>37</v>
      </c>
      <c r="B1" s="569"/>
      <c r="C1" s="569"/>
      <c r="D1" s="569"/>
      <c r="E1" s="569"/>
      <c r="F1" s="569"/>
      <c r="G1" s="569"/>
      <c r="H1" s="569"/>
      <c r="I1" s="569"/>
      <c r="J1" s="569"/>
      <c r="K1" s="569"/>
      <c r="L1" s="39"/>
      <c r="M1" s="39"/>
      <c r="N1" s="39"/>
      <c r="O1" s="39"/>
      <c r="P1" s="39"/>
      <c r="Q1" s="39"/>
      <c r="R1" s="39"/>
    </row>
    <row r="2" spans="1:18" s="168" customFormat="1" ht="19.95" customHeight="1">
      <c r="A2" s="570" t="s">
        <v>17</v>
      </c>
      <c r="B2" s="570"/>
      <c r="C2" s="570"/>
      <c r="D2" s="570"/>
      <c r="E2" s="570"/>
      <c r="F2" s="570"/>
      <c r="G2" s="570"/>
      <c r="H2" s="570"/>
      <c r="I2" s="570"/>
      <c r="J2" s="570"/>
      <c r="K2" s="570"/>
      <c r="L2" s="40"/>
      <c r="M2" s="40"/>
      <c r="N2" s="40"/>
      <c r="O2" s="40"/>
      <c r="P2" s="40"/>
      <c r="Q2" s="40"/>
      <c r="R2" s="40"/>
    </row>
    <row r="3" spans="1:18" s="240" customFormat="1" ht="19.95" customHeight="1">
      <c r="A3" s="207" t="str">
        <f>底稿目录!A2</f>
        <v>被审计单位：</v>
      </c>
      <c r="B3" s="207"/>
      <c r="C3" s="207"/>
      <c r="D3" s="207"/>
      <c r="E3" s="208" t="str">
        <f>底稿目录!A4</f>
        <v>编制人：</v>
      </c>
      <c r="F3" s="208"/>
      <c r="G3" s="208" t="str">
        <f>底稿目录!A5</f>
        <v>编制日期：</v>
      </c>
      <c r="H3" s="208"/>
      <c r="I3" s="208"/>
      <c r="J3" s="235" t="s">
        <v>38</v>
      </c>
      <c r="K3" s="510" t="str">
        <f>底稿目录!F11</f>
        <v>G1-5</v>
      </c>
    </row>
    <row r="4" spans="1:18" s="240" customFormat="1" ht="19.95" customHeight="1">
      <c r="A4" s="121" t="str">
        <f>底稿目录!A3</f>
        <v>截止日：202X年12月31日</v>
      </c>
      <c r="B4" s="121"/>
      <c r="C4" s="207"/>
      <c r="D4" s="207"/>
      <c r="E4" s="208" t="str">
        <f>底稿目录!A6</f>
        <v>复核人：</v>
      </c>
      <c r="F4" s="208"/>
      <c r="G4" s="208" t="str">
        <f>底稿目录!A7</f>
        <v>复核日期：</v>
      </c>
      <c r="H4" s="208"/>
      <c r="I4" s="208"/>
      <c r="J4" s="235" t="s">
        <v>39</v>
      </c>
      <c r="K4" s="236"/>
    </row>
    <row r="5" spans="1:18" ht="19.95" customHeight="1">
      <c r="A5" s="209" t="s">
        <v>365</v>
      </c>
      <c r="B5" s="241"/>
      <c r="C5" s="207"/>
      <c r="D5" s="207"/>
      <c r="E5" s="207"/>
      <c r="F5" s="207"/>
      <c r="G5" s="211"/>
      <c r="H5" s="211"/>
      <c r="I5" s="207"/>
      <c r="J5" s="207"/>
      <c r="K5" s="207"/>
      <c r="L5" s="211"/>
      <c r="M5" s="211"/>
      <c r="N5" s="207"/>
      <c r="O5" s="207"/>
      <c r="P5" s="207"/>
      <c r="Q5" s="263"/>
      <c r="R5" s="236"/>
    </row>
    <row r="6" spans="1:18" ht="19.95" customHeight="1">
      <c r="A6" s="242" t="s">
        <v>442</v>
      </c>
      <c r="B6" s="241"/>
      <c r="C6" s="207"/>
      <c r="D6" s="207"/>
      <c r="E6" s="207"/>
      <c r="F6" s="207"/>
      <c r="G6" s="211"/>
      <c r="H6" s="211"/>
      <c r="I6" s="207"/>
      <c r="J6" s="207"/>
      <c r="K6" s="207"/>
      <c r="L6" s="211"/>
      <c r="M6" s="211"/>
      <c r="N6" s="207"/>
      <c r="O6" s="207"/>
      <c r="P6" s="207"/>
      <c r="Q6" s="263"/>
      <c r="R6" s="236"/>
    </row>
    <row r="7" spans="1:18" ht="19.95" customHeight="1">
      <c r="A7" s="209" t="s">
        <v>368</v>
      </c>
      <c r="B7" s="212"/>
      <c r="C7" s="207"/>
      <c r="D7" s="207"/>
      <c r="E7" s="207"/>
      <c r="F7" s="207"/>
      <c r="G7" s="211"/>
      <c r="H7" s="211"/>
      <c r="I7" s="207"/>
      <c r="J7" s="207"/>
      <c r="K7" s="207"/>
      <c r="L7" s="211"/>
      <c r="M7" s="211"/>
      <c r="N7" s="207"/>
      <c r="O7" s="207"/>
      <c r="P7" s="207"/>
      <c r="Q7" s="263"/>
      <c r="R7" s="236"/>
    </row>
    <row r="8" spans="1:18" ht="19.95" customHeight="1">
      <c r="A8" s="3" t="s">
        <v>443</v>
      </c>
      <c r="B8" s="212"/>
      <c r="C8" s="207"/>
      <c r="D8" s="207"/>
      <c r="E8" s="207"/>
      <c r="F8" s="207"/>
      <c r="G8" s="211"/>
      <c r="H8" s="211"/>
      <c r="I8" s="207"/>
      <c r="J8" s="207"/>
      <c r="K8" s="207"/>
      <c r="L8" s="211"/>
      <c r="M8" s="211"/>
      <c r="N8" s="207"/>
      <c r="O8" s="207"/>
      <c r="P8" s="207"/>
      <c r="Q8" s="263"/>
      <c r="R8" s="236"/>
    </row>
    <row r="9" spans="1:18" ht="19.95" customHeight="1">
      <c r="A9" s="3" t="s">
        <v>444</v>
      </c>
      <c r="B9" s="212"/>
      <c r="C9" s="207"/>
      <c r="D9" s="207"/>
      <c r="E9" s="207"/>
      <c r="F9" s="207"/>
      <c r="G9" s="211"/>
      <c r="H9" s="211"/>
      <c r="I9" s="207"/>
      <c r="J9" s="207"/>
      <c r="K9" s="207"/>
      <c r="L9" s="211"/>
      <c r="M9" s="211"/>
      <c r="N9" s="207"/>
      <c r="O9" s="207"/>
      <c r="P9" s="207"/>
      <c r="Q9" s="263"/>
      <c r="R9" s="236"/>
    </row>
    <row r="10" spans="1:18" ht="19.95" customHeight="1">
      <c r="A10" s="3" t="s">
        <v>445</v>
      </c>
      <c r="B10" s="212"/>
      <c r="C10" s="207"/>
      <c r="D10" s="207"/>
      <c r="E10" s="207"/>
      <c r="F10" s="207"/>
      <c r="G10" s="211"/>
      <c r="H10" s="211"/>
      <c r="I10" s="207"/>
      <c r="J10" s="207"/>
      <c r="K10" s="207"/>
      <c r="L10" s="211"/>
      <c r="M10" s="211"/>
      <c r="N10" s="207"/>
      <c r="O10" s="207"/>
      <c r="P10" s="207"/>
      <c r="Q10" s="263"/>
      <c r="R10" s="236"/>
    </row>
    <row r="11" spans="1:18" ht="19.95" customHeight="1">
      <c r="A11" s="591" t="s">
        <v>446</v>
      </c>
      <c r="B11" s="591" t="s">
        <v>447</v>
      </c>
      <c r="C11" s="591" t="s">
        <v>448</v>
      </c>
      <c r="D11" s="591" t="s">
        <v>449</v>
      </c>
      <c r="E11" s="591" t="s">
        <v>450</v>
      </c>
      <c r="F11" s="591" t="s">
        <v>451</v>
      </c>
      <c r="G11" s="591" t="s">
        <v>452</v>
      </c>
      <c r="H11" s="591"/>
      <c r="I11" s="591" t="s">
        <v>112</v>
      </c>
      <c r="J11" s="591"/>
      <c r="K11" s="591"/>
    </row>
    <row r="12" spans="1:18" ht="19.95" customHeight="1">
      <c r="A12" s="591"/>
      <c r="B12" s="591"/>
      <c r="C12" s="591"/>
      <c r="D12" s="591"/>
      <c r="E12" s="591"/>
      <c r="F12" s="591"/>
      <c r="G12" s="509" t="s">
        <v>453</v>
      </c>
      <c r="H12" s="509" t="s">
        <v>454</v>
      </c>
      <c r="I12" s="509" t="s">
        <v>453</v>
      </c>
      <c r="J12" s="509" t="s">
        <v>454</v>
      </c>
      <c r="K12" s="509" t="s">
        <v>387</v>
      </c>
    </row>
    <row r="13" spans="1:18" ht="19.95" customHeight="1">
      <c r="A13" s="243"/>
      <c r="B13" s="244"/>
      <c r="C13" s="245"/>
      <c r="D13" s="246"/>
      <c r="E13" s="247"/>
      <c r="F13" s="246"/>
      <c r="G13" s="248"/>
      <c r="H13" s="248"/>
      <c r="I13" s="260">
        <f>B13*C13*G13/365</f>
        <v>0</v>
      </c>
      <c r="J13" s="260">
        <f>B13*C13*H13/365</f>
        <v>0</v>
      </c>
      <c r="K13" s="261">
        <f>I13+J13</f>
        <v>0</v>
      </c>
    </row>
    <row r="14" spans="1:18" ht="19.95" customHeight="1">
      <c r="A14" s="243"/>
      <c r="B14" s="244"/>
      <c r="C14" s="245"/>
      <c r="D14" s="246"/>
      <c r="E14" s="247"/>
      <c r="F14" s="246"/>
      <c r="G14" s="248"/>
      <c r="H14" s="248"/>
      <c r="I14" s="260">
        <f t="shared" ref="I14:I18" si="0">B14*C14*G14/365</f>
        <v>0</v>
      </c>
      <c r="J14" s="260">
        <f t="shared" ref="J14:J18" si="1">B14*C14*H14/365</f>
        <v>0</v>
      </c>
      <c r="K14" s="261">
        <f t="shared" ref="K14:K18" si="2">I14+J14</f>
        <v>0</v>
      </c>
    </row>
    <row r="15" spans="1:18" ht="19.95" customHeight="1">
      <c r="A15" s="243"/>
      <c r="B15" s="244"/>
      <c r="C15" s="245"/>
      <c r="D15" s="246"/>
      <c r="E15" s="247"/>
      <c r="F15" s="246"/>
      <c r="G15" s="248"/>
      <c r="H15" s="248"/>
      <c r="I15" s="260">
        <f t="shared" si="0"/>
        <v>0</v>
      </c>
      <c r="J15" s="260">
        <f t="shared" si="1"/>
        <v>0</v>
      </c>
      <c r="K15" s="261">
        <f t="shared" si="2"/>
        <v>0</v>
      </c>
    </row>
    <row r="16" spans="1:18" ht="19.95" customHeight="1">
      <c r="A16" s="243"/>
      <c r="B16" s="244"/>
      <c r="C16" s="245"/>
      <c r="D16" s="246"/>
      <c r="E16" s="247"/>
      <c r="F16" s="246"/>
      <c r="G16" s="248"/>
      <c r="H16" s="248"/>
      <c r="I16" s="260">
        <f t="shared" si="0"/>
        <v>0</v>
      </c>
      <c r="J16" s="260">
        <f t="shared" si="1"/>
        <v>0</v>
      </c>
      <c r="K16" s="261">
        <f t="shared" si="2"/>
        <v>0</v>
      </c>
    </row>
    <row r="17" spans="1:11" ht="19.95" customHeight="1">
      <c r="A17" s="243"/>
      <c r="B17" s="244"/>
      <c r="C17" s="245"/>
      <c r="D17" s="246"/>
      <c r="E17" s="247"/>
      <c r="F17" s="246"/>
      <c r="G17" s="248"/>
      <c r="H17" s="248"/>
      <c r="I17" s="260">
        <f t="shared" si="0"/>
        <v>0</v>
      </c>
      <c r="J17" s="260">
        <f t="shared" si="1"/>
        <v>0</v>
      </c>
      <c r="K17" s="261">
        <f t="shared" si="2"/>
        <v>0</v>
      </c>
    </row>
    <row r="18" spans="1:11" ht="19.95" customHeight="1">
      <c r="A18" s="243"/>
      <c r="B18" s="244"/>
      <c r="C18" s="245"/>
      <c r="D18" s="246"/>
      <c r="E18" s="247"/>
      <c r="F18" s="246"/>
      <c r="G18" s="248"/>
      <c r="H18" s="248"/>
      <c r="I18" s="260">
        <f t="shared" si="0"/>
        <v>0</v>
      </c>
      <c r="J18" s="260">
        <f t="shared" si="1"/>
        <v>0</v>
      </c>
      <c r="K18" s="261">
        <f t="shared" si="2"/>
        <v>0</v>
      </c>
    </row>
    <row r="19" spans="1:11" ht="19.95" customHeight="1">
      <c r="A19" s="249" t="s">
        <v>455</v>
      </c>
      <c r="B19" s="250">
        <f>SUM(B13:B18)</f>
        <v>0</v>
      </c>
      <c r="C19" s="250" t="s">
        <v>456</v>
      </c>
      <c r="D19" s="251" t="s">
        <v>456</v>
      </c>
      <c r="E19" s="250" t="s">
        <v>456</v>
      </c>
      <c r="F19" s="251" t="s">
        <v>456</v>
      </c>
      <c r="G19" s="250" t="s">
        <v>456</v>
      </c>
      <c r="H19" s="250" t="s">
        <v>456</v>
      </c>
      <c r="I19" s="261">
        <f>SUM(I13:I18)</f>
        <v>0</v>
      </c>
      <c r="J19" s="261">
        <f>SUM(J13:J18)</f>
        <v>0</v>
      </c>
      <c r="K19" s="261">
        <f>SUM(K13:K18)</f>
        <v>0</v>
      </c>
    </row>
    <row r="20" spans="1:11" ht="19.95" customHeight="1">
      <c r="A20" s="252" t="s">
        <v>457</v>
      </c>
      <c r="B20" s="253"/>
      <c r="C20" s="253"/>
      <c r="D20" s="253"/>
      <c r="E20" s="253"/>
      <c r="F20" s="253"/>
      <c r="G20" s="253"/>
      <c r="H20" s="253"/>
      <c r="I20" s="253"/>
      <c r="J20" s="262"/>
      <c r="K20" s="240"/>
    </row>
    <row r="21" spans="1:11" ht="19.95" customHeight="1">
      <c r="A21" s="593" t="s">
        <v>458</v>
      </c>
      <c r="B21" s="593"/>
      <c r="C21" s="593"/>
      <c r="D21" s="593"/>
      <c r="E21" s="593"/>
      <c r="F21" s="592" t="s">
        <v>459</v>
      </c>
      <c r="G21" s="255"/>
      <c r="H21" s="255"/>
      <c r="I21" s="253"/>
      <c r="J21" s="262"/>
      <c r="K21" s="240"/>
    </row>
    <row r="22" spans="1:11" ht="19.95" customHeight="1">
      <c r="A22" s="254" t="s">
        <v>460</v>
      </c>
      <c r="B22" s="256"/>
      <c r="C22" s="256"/>
      <c r="D22" s="256" t="s">
        <v>461</v>
      </c>
      <c r="E22" s="254" t="s">
        <v>462</v>
      </c>
      <c r="F22" s="592"/>
      <c r="G22" s="255"/>
      <c r="H22" s="255"/>
      <c r="I22" s="262"/>
      <c r="J22" s="262"/>
      <c r="K22" s="240"/>
    </row>
    <row r="23" spans="1:11" ht="19.95" customHeight="1">
      <c r="A23" s="244"/>
      <c r="B23" s="244"/>
      <c r="C23" s="244"/>
      <c r="D23" s="244"/>
      <c r="E23" s="250">
        <f>SUM(A23:D23)</f>
        <v>0</v>
      </c>
      <c r="F23" s="250">
        <f>E23-K19</f>
        <v>0</v>
      </c>
      <c r="G23" s="257"/>
      <c r="H23" s="257"/>
      <c r="I23" s="262"/>
      <c r="J23" s="262"/>
      <c r="K23" s="240"/>
    </row>
    <row r="24" spans="1:11" ht="19.95" customHeight="1"/>
    <row r="25" spans="1:11" ht="19.95" customHeight="1">
      <c r="A25" s="219" t="s">
        <v>390</v>
      </c>
    </row>
    <row r="26" spans="1:11" ht="19.95" customHeight="1">
      <c r="A26" s="223"/>
    </row>
    <row r="27" spans="1:11" ht="19.95" customHeight="1">
      <c r="A27" s="64"/>
    </row>
    <row r="28" spans="1:11" ht="19.95" customHeight="1">
      <c r="A28" s="64"/>
    </row>
    <row r="29" spans="1:11" ht="19.95" customHeight="1">
      <c r="A29" s="219" t="s">
        <v>393</v>
      </c>
    </row>
    <row r="30" spans="1:11" ht="19.95" customHeight="1">
      <c r="A30" s="219"/>
    </row>
    <row r="31" spans="1:11" ht="19.95" customHeight="1"/>
    <row r="32" spans="1:11">
      <c r="A32" s="258" t="s">
        <v>463</v>
      </c>
    </row>
    <row r="33" spans="1:11" ht="45.6" customHeight="1">
      <c r="A33" s="590" t="s">
        <v>464</v>
      </c>
      <c r="B33" s="590"/>
      <c r="C33" s="590"/>
      <c r="D33" s="590"/>
      <c r="E33" s="590"/>
      <c r="F33" s="590"/>
      <c r="G33" s="590"/>
      <c r="H33" s="590"/>
      <c r="I33" s="590"/>
      <c r="J33" s="590"/>
      <c r="K33" s="590"/>
    </row>
    <row r="34" spans="1:11">
      <c r="A34" s="259"/>
      <c r="B34" s="259"/>
      <c r="C34" s="259"/>
      <c r="D34" s="259"/>
      <c r="E34" s="259"/>
      <c r="F34" s="259"/>
      <c r="G34" s="259"/>
      <c r="H34" s="259"/>
      <c r="I34" s="259"/>
      <c r="J34" s="259"/>
      <c r="K34" s="259"/>
    </row>
    <row r="35" spans="1:11">
      <c r="A35" s="259"/>
      <c r="B35" s="259"/>
      <c r="C35" s="259"/>
      <c r="D35" s="259"/>
      <c r="E35" s="259"/>
      <c r="F35" s="259"/>
      <c r="G35" s="259"/>
      <c r="H35" s="259"/>
      <c r="I35" s="259"/>
      <c r="J35" s="259"/>
      <c r="K35" s="259"/>
    </row>
    <row r="36" spans="1:11">
      <c r="A36" s="259"/>
      <c r="B36" s="259"/>
      <c r="C36" s="259"/>
      <c r="D36" s="259"/>
      <c r="E36" s="259"/>
      <c r="F36" s="259"/>
      <c r="G36" s="259"/>
      <c r="H36" s="259"/>
      <c r="I36" s="259"/>
      <c r="J36" s="259"/>
      <c r="K36" s="259"/>
    </row>
  </sheetData>
  <mergeCells count="13">
    <mergeCell ref="A1:K1"/>
    <mergeCell ref="A2:K2"/>
    <mergeCell ref="G11:H11"/>
    <mergeCell ref="I11:K11"/>
    <mergeCell ref="A21:E21"/>
    <mergeCell ref="A33:K33"/>
    <mergeCell ref="A11:A12"/>
    <mergeCell ref="B11:B12"/>
    <mergeCell ref="C11:C12"/>
    <mergeCell ref="D11:D12"/>
    <mergeCell ref="E11:E12"/>
    <mergeCell ref="F11:F12"/>
    <mergeCell ref="F21:F22"/>
  </mergeCells>
  <phoneticPr fontId="171" type="noConversion"/>
  <hyperlinks>
    <hyperlink ref="K3" location="底稿目录!A1" display="=底稿目录!F11"/>
  </hyperlinks>
  <pageMargins left="0.70866141732283505" right="0.70866141732283505" top="0.74803149606299202" bottom="0.74803149606299202" header="0.31496062992126" footer="0.31496062992126"/>
  <pageSetup paperSize="9" scale="70"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41"/>
  <sheetViews>
    <sheetView view="pageBreakPreview" zoomScaleNormal="115" workbookViewId="0">
      <selection activeCell="R3" sqref="R3"/>
    </sheetView>
  </sheetViews>
  <sheetFormatPr defaultColWidth="9" defaultRowHeight="13.8"/>
  <cols>
    <col min="1" max="1" width="18.77734375" style="207" customWidth="1"/>
    <col min="2" max="2" width="9.33203125" style="207" customWidth="1"/>
    <col min="3" max="3" width="7.21875" style="207" customWidth="1"/>
    <col min="4" max="4" width="11.88671875" style="207" customWidth="1"/>
    <col min="5" max="5" width="8.88671875" style="207" customWidth="1"/>
    <col min="6" max="6" width="10.77734375" style="207" customWidth="1"/>
    <col min="7" max="7" width="7.88671875" style="207" customWidth="1"/>
    <col min="8" max="8" width="11.6640625" style="207" customWidth="1"/>
    <col min="9" max="9" width="9.5546875" style="207" customWidth="1"/>
    <col min="10" max="10" width="6.6640625" style="207" customWidth="1"/>
    <col min="11" max="11" width="11.6640625" style="207" customWidth="1"/>
    <col min="12" max="12" width="12.44140625" style="207" customWidth="1"/>
    <col min="13" max="13" width="12.33203125" style="207" customWidth="1"/>
    <col min="14" max="14" width="13.88671875" style="207" customWidth="1"/>
    <col min="15" max="15" width="10.6640625" style="207" customWidth="1"/>
    <col min="16" max="16" width="16.77734375" style="207" customWidth="1"/>
    <col min="17" max="17" width="8.21875" style="207" customWidth="1"/>
    <col min="18" max="18" width="10.88671875" style="207" customWidth="1"/>
    <col min="19" max="16384" width="9" style="207"/>
  </cols>
  <sheetData>
    <row r="1" spans="1:18" s="1" customFormat="1" ht="20.100000000000001" customHeight="1">
      <c r="A1" s="569" t="s">
        <v>37</v>
      </c>
      <c r="B1" s="569"/>
      <c r="C1" s="569"/>
      <c r="D1" s="569"/>
      <c r="E1" s="569"/>
      <c r="F1" s="569"/>
      <c r="G1" s="569"/>
      <c r="H1" s="569"/>
      <c r="I1" s="569"/>
      <c r="J1" s="569"/>
      <c r="K1" s="569"/>
      <c r="L1" s="569"/>
      <c r="M1" s="569"/>
      <c r="N1" s="569"/>
      <c r="O1" s="569"/>
      <c r="P1" s="569"/>
      <c r="Q1" s="569"/>
      <c r="R1" s="569"/>
    </row>
    <row r="2" spans="1:18" s="2" customFormat="1" ht="25.05" customHeight="1">
      <c r="A2" s="570" t="s">
        <v>465</v>
      </c>
      <c r="B2" s="570"/>
      <c r="C2" s="570"/>
      <c r="D2" s="570"/>
      <c r="E2" s="570"/>
      <c r="F2" s="570"/>
      <c r="G2" s="570"/>
      <c r="H2" s="570"/>
      <c r="I2" s="570"/>
      <c r="J2" s="570"/>
      <c r="K2" s="570"/>
      <c r="L2" s="570"/>
      <c r="M2" s="570"/>
      <c r="N2" s="570"/>
      <c r="O2" s="570"/>
      <c r="P2" s="570"/>
      <c r="Q2" s="570"/>
      <c r="R2" s="570"/>
    </row>
    <row r="3" spans="1:18" ht="20.100000000000001" customHeight="1">
      <c r="A3" s="207" t="str">
        <f>底稿目录!A2</f>
        <v>被审计单位：</v>
      </c>
      <c r="G3" s="208" t="str">
        <f>底稿目录!A4</f>
        <v>编制人：</v>
      </c>
      <c r="L3" s="208" t="str">
        <f>底稿目录!A5</f>
        <v>编制日期：</v>
      </c>
      <c r="M3" s="208"/>
      <c r="Q3" s="235" t="s">
        <v>38</v>
      </c>
      <c r="R3" s="510" t="str">
        <f>底稿目录!F12</f>
        <v>G1-6</v>
      </c>
    </row>
    <row r="4" spans="1:18" ht="20.100000000000001" customHeight="1">
      <c r="A4" s="121" t="str">
        <f>底稿目录!A3</f>
        <v>截止日：202X年12月31日</v>
      </c>
      <c r="B4" s="121"/>
      <c r="G4" s="208" t="str">
        <f>底稿目录!A6</f>
        <v>复核人：</v>
      </c>
      <c r="L4" s="208" t="str">
        <f>底稿目录!A7</f>
        <v>复核日期：</v>
      </c>
      <c r="M4" s="208"/>
      <c r="Q4" s="235" t="s">
        <v>39</v>
      </c>
      <c r="R4" s="236"/>
    </row>
    <row r="5" spans="1:18" ht="20.100000000000001" customHeight="1">
      <c r="A5" s="209" t="s">
        <v>365</v>
      </c>
      <c r="B5" s="210" t="s">
        <v>856</v>
      </c>
      <c r="C5" s="3"/>
      <c r="D5" s="3"/>
      <c r="E5" s="3"/>
      <c r="F5" s="211"/>
      <c r="H5" s="211"/>
      <c r="I5" s="211"/>
      <c r="J5" s="211"/>
      <c r="K5" s="211"/>
    </row>
    <row r="6" spans="1:18" ht="20.100000000000001" customHeight="1">
      <c r="A6" s="209" t="s">
        <v>368</v>
      </c>
      <c r="B6" s="3" t="s">
        <v>466</v>
      </c>
      <c r="D6" s="212"/>
      <c r="H6" s="3" t="s">
        <v>467</v>
      </c>
      <c r="I6" s="3"/>
      <c r="J6" s="3"/>
      <c r="K6" s="3"/>
      <c r="M6" s="211"/>
    </row>
    <row r="7" spans="1:18" ht="20.100000000000001" customHeight="1">
      <c r="B7" s="3" t="s">
        <v>468</v>
      </c>
      <c r="D7" s="212"/>
      <c r="H7" s="3" t="s">
        <v>469</v>
      </c>
      <c r="I7" s="3"/>
      <c r="J7" s="3"/>
      <c r="K7" s="3"/>
      <c r="M7" s="211"/>
    </row>
    <row r="8" spans="1:18" s="203" customFormat="1" ht="20.100000000000001" customHeight="1">
      <c r="A8" s="576" t="s">
        <v>370</v>
      </c>
      <c r="B8" s="594" t="s">
        <v>470</v>
      </c>
      <c r="C8" s="595"/>
      <c r="D8" s="595"/>
      <c r="E8" s="596"/>
      <c r="F8" s="594" t="s">
        <v>377</v>
      </c>
      <c r="G8" s="597"/>
      <c r="H8" s="597"/>
      <c r="I8" s="597"/>
      <c r="J8" s="567" t="s">
        <v>471</v>
      </c>
      <c r="K8" s="567" t="s">
        <v>472</v>
      </c>
      <c r="L8" s="567" t="s">
        <v>473</v>
      </c>
      <c r="M8" s="213" t="s">
        <v>474</v>
      </c>
      <c r="N8" s="213" t="s">
        <v>475</v>
      </c>
      <c r="O8" s="598" t="s">
        <v>332</v>
      </c>
      <c r="P8" s="599"/>
      <c r="Q8" s="599"/>
      <c r="R8" s="580" t="s">
        <v>476</v>
      </c>
    </row>
    <row r="9" spans="1:18" s="203" customFormat="1" ht="30" customHeight="1">
      <c r="A9" s="577"/>
      <c r="B9" s="486" t="s">
        <v>477</v>
      </c>
      <c r="C9" s="486" t="s">
        <v>478</v>
      </c>
      <c r="D9" s="486" t="s">
        <v>181</v>
      </c>
      <c r="E9" s="486" t="s">
        <v>479</v>
      </c>
      <c r="F9" s="486" t="s">
        <v>477</v>
      </c>
      <c r="G9" s="486" t="s">
        <v>478</v>
      </c>
      <c r="H9" s="486" t="s">
        <v>181</v>
      </c>
      <c r="I9" s="487" t="s">
        <v>479</v>
      </c>
      <c r="J9" s="568"/>
      <c r="K9" s="568"/>
      <c r="L9" s="568"/>
      <c r="M9" s="231" t="s">
        <v>480</v>
      </c>
      <c r="N9" s="231" t="s">
        <v>481</v>
      </c>
      <c r="O9" s="181" t="s">
        <v>482</v>
      </c>
      <c r="P9" s="181" t="s">
        <v>483</v>
      </c>
      <c r="Q9" s="180" t="s">
        <v>484</v>
      </c>
      <c r="R9" s="581"/>
    </row>
    <row r="10" spans="1:18" s="204" customFormat="1" ht="86.55" customHeight="1">
      <c r="A10" s="482" t="s">
        <v>386</v>
      </c>
      <c r="B10" s="215"/>
      <c r="C10" s="215"/>
      <c r="D10" s="202">
        <f>B10*C10</f>
        <v>0</v>
      </c>
      <c r="E10" s="216"/>
      <c r="F10" s="175"/>
      <c r="G10" s="175"/>
      <c r="H10" s="202">
        <f>F10*G10</f>
        <v>0</v>
      </c>
      <c r="I10" s="216" t="s">
        <v>475</v>
      </c>
      <c r="J10" s="202">
        <f>H10-D10</f>
        <v>0</v>
      </c>
      <c r="K10" s="175"/>
      <c r="M10" s="216"/>
      <c r="N10" s="232" t="s">
        <v>485</v>
      </c>
      <c r="O10" s="233"/>
      <c r="P10" s="234"/>
      <c r="Q10" s="234"/>
      <c r="R10" s="237"/>
    </row>
    <row r="11" spans="1:18" s="204" customFormat="1" ht="53.25" customHeight="1">
      <c r="A11" s="214"/>
      <c r="B11" s="215"/>
      <c r="C11" s="215"/>
      <c r="D11" s="202">
        <f>B11*C11</f>
        <v>0</v>
      </c>
      <c r="E11" s="217"/>
      <c r="F11" s="175"/>
      <c r="G11" s="175"/>
      <c r="H11" s="202">
        <f t="shared" ref="H11:H19" si="0">F11*G11</f>
        <v>0</v>
      </c>
      <c r="I11" s="216" t="s">
        <v>332</v>
      </c>
      <c r="J11" s="202">
        <f t="shared" ref="J11:J19" si="1">H11-D11</f>
        <v>0</v>
      </c>
      <c r="K11" s="175"/>
      <c r="M11" s="216"/>
      <c r="N11" s="233"/>
      <c r="O11" s="233" t="s">
        <v>486</v>
      </c>
      <c r="P11" s="233" t="s">
        <v>487</v>
      </c>
      <c r="Q11" s="234" t="s">
        <v>488</v>
      </c>
      <c r="R11" s="237"/>
    </row>
    <row r="12" spans="1:18" s="204" customFormat="1" ht="20.100000000000001" customHeight="1">
      <c r="A12" s="218"/>
      <c r="B12" s="215"/>
      <c r="C12" s="215"/>
      <c r="D12" s="202"/>
      <c r="E12" s="217"/>
      <c r="F12" s="175"/>
      <c r="G12" s="175"/>
      <c r="H12" s="202">
        <f t="shared" si="0"/>
        <v>0</v>
      </c>
      <c r="I12" s="175"/>
      <c r="J12" s="202">
        <f t="shared" si="1"/>
        <v>0</v>
      </c>
      <c r="K12" s="175"/>
      <c r="L12" s="217"/>
      <c r="M12" s="217"/>
      <c r="N12" s="233"/>
      <c r="O12" s="233"/>
      <c r="P12" s="217"/>
      <c r="Q12" s="217"/>
      <c r="R12" s="237"/>
    </row>
    <row r="13" spans="1:18" s="204" customFormat="1" ht="20.100000000000001" customHeight="1">
      <c r="A13" s="218"/>
      <c r="B13" s="215"/>
      <c r="C13" s="215"/>
      <c r="D13" s="202"/>
      <c r="E13" s="217"/>
      <c r="F13" s="175"/>
      <c r="G13" s="175"/>
      <c r="H13" s="202">
        <f t="shared" si="0"/>
        <v>0</v>
      </c>
      <c r="I13" s="175"/>
      <c r="J13" s="202">
        <f t="shared" si="1"/>
        <v>0</v>
      </c>
      <c r="K13" s="175"/>
      <c r="L13" s="217"/>
      <c r="M13" s="217"/>
      <c r="N13" s="233"/>
      <c r="O13" s="233"/>
      <c r="P13" s="217"/>
      <c r="Q13" s="217"/>
      <c r="R13" s="237"/>
    </row>
    <row r="14" spans="1:18" s="204" customFormat="1" ht="20.100000000000001" customHeight="1">
      <c r="A14" s="218"/>
      <c r="B14" s="215"/>
      <c r="C14" s="215"/>
      <c r="D14" s="202"/>
      <c r="E14" s="217"/>
      <c r="F14" s="175"/>
      <c r="G14" s="175"/>
      <c r="H14" s="202">
        <f t="shared" si="0"/>
        <v>0</v>
      </c>
      <c r="I14" s="175"/>
      <c r="J14" s="202">
        <f t="shared" si="1"/>
        <v>0</v>
      </c>
      <c r="K14" s="175"/>
      <c r="L14" s="217"/>
      <c r="M14" s="217"/>
      <c r="N14" s="233"/>
      <c r="O14" s="233"/>
      <c r="P14" s="217"/>
      <c r="Q14" s="217"/>
      <c r="R14" s="237"/>
    </row>
    <row r="15" spans="1:18" s="204" customFormat="1" ht="20.100000000000001" customHeight="1">
      <c r="A15" s="218"/>
      <c r="B15" s="215"/>
      <c r="C15" s="215"/>
      <c r="D15" s="202"/>
      <c r="E15" s="217"/>
      <c r="F15" s="175"/>
      <c r="G15" s="175"/>
      <c r="H15" s="202">
        <f t="shared" si="0"/>
        <v>0</v>
      </c>
      <c r="I15" s="175"/>
      <c r="J15" s="202">
        <f t="shared" si="1"/>
        <v>0</v>
      </c>
      <c r="K15" s="175"/>
      <c r="L15" s="217"/>
      <c r="M15" s="217"/>
      <c r="N15" s="233"/>
      <c r="O15" s="233"/>
      <c r="P15" s="217"/>
      <c r="Q15" s="217"/>
      <c r="R15" s="237"/>
    </row>
    <row r="16" spans="1:18" s="204" customFormat="1" ht="20.100000000000001" customHeight="1">
      <c r="A16" s="218"/>
      <c r="B16" s="215"/>
      <c r="C16" s="215"/>
      <c r="D16" s="202"/>
      <c r="E16" s="217"/>
      <c r="F16" s="175"/>
      <c r="G16" s="175"/>
      <c r="H16" s="202">
        <f t="shared" si="0"/>
        <v>0</v>
      </c>
      <c r="I16" s="175"/>
      <c r="J16" s="202">
        <f t="shared" si="1"/>
        <v>0</v>
      </c>
      <c r="K16" s="175"/>
      <c r="L16" s="217"/>
      <c r="M16" s="217"/>
      <c r="N16" s="233"/>
      <c r="O16" s="233"/>
      <c r="P16" s="217"/>
      <c r="Q16" s="217"/>
      <c r="R16" s="237"/>
    </row>
    <row r="17" spans="1:19" s="205" customFormat="1" ht="20.100000000000001" customHeight="1">
      <c r="A17" s="218"/>
      <c r="B17" s="215"/>
      <c r="C17" s="215"/>
      <c r="D17" s="202"/>
      <c r="E17" s="217"/>
      <c r="F17" s="175"/>
      <c r="G17" s="175"/>
      <c r="H17" s="202">
        <f t="shared" si="0"/>
        <v>0</v>
      </c>
      <c r="I17" s="175"/>
      <c r="J17" s="202">
        <f t="shared" si="1"/>
        <v>0</v>
      </c>
      <c r="K17" s="175"/>
      <c r="L17" s="217"/>
      <c r="M17" s="217"/>
      <c r="N17" s="233"/>
      <c r="O17" s="233"/>
      <c r="P17" s="217"/>
      <c r="Q17" s="217"/>
      <c r="R17" s="238"/>
    </row>
    <row r="18" spans="1:19" s="204" customFormat="1" ht="20.100000000000001" customHeight="1">
      <c r="A18" s="218"/>
      <c r="B18" s="215"/>
      <c r="C18" s="215"/>
      <c r="D18" s="202"/>
      <c r="E18" s="217"/>
      <c r="F18" s="175"/>
      <c r="G18" s="175"/>
      <c r="H18" s="202">
        <f t="shared" si="0"/>
        <v>0</v>
      </c>
      <c r="I18" s="175"/>
      <c r="J18" s="202">
        <f t="shared" si="1"/>
        <v>0</v>
      </c>
      <c r="K18" s="175"/>
      <c r="L18" s="217"/>
      <c r="M18" s="217"/>
      <c r="N18" s="233"/>
      <c r="O18" s="233"/>
      <c r="P18" s="217"/>
      <c r="Q18" s="217"/>
      <c r="R18" s="237"/>
    </row>
    <row r="19" spans="1:19" s="204" customFormat="1" ht="20.100000000000001" customHeight="1">
      <c r="A19" s="218"/>
      <c r="B19" s="215"/>
      <c r="C19" s="215"/>
      <c r="D19" s="202"/>
      <c r="E19" s="217"/>
      <c r="F19" s="175"/>
      <c r="G19" s="175"/>
      <c r="H19" s="202">
        <f t="shared" si="0"/>
        <v>0</v>
      </c>
      <c r="I19" s="175"/>
      <c r="J19" s="202">
        <f t="shared" si="1"/>
        <v>0</v>
      </c>
      <c r="K19" s="175"/>
      <c r="L19" s="217"/>
      <c r="M19" s="217"/>
      <c r="N19" s="233"/>
      <c r="O19" s="233"/>
      <c r="P19" s="217"/>
      <c r="Q19" s="217"/>
      <c r="R19" s="237"/>
    </row>
    <row r="20" spans="1:19" s="206" customFormat="1" ht="20.100000000000001" customHeight="1">
      <c r="A20" s="178" t="s">
        <v>192</v>
      </c>
      <c r="B20" s="179"/>
      <c r="C20" s="179"/>
      <c r="D20" s="179">
        <f>SUM(D10:D19)</f>
        <v>0</v>
      </c>
      <c r="E20" s="179"/>
      <c r="F20" s="179"/>
      <c r="G20" s="179"/>
      <c r="H20" s="179">
        <f>SUM(H10:H19)</f>
        <v>0</v>
      </c>
      <c r="I20" s="179"/>
      <c r="J20" s="179">
        <f>SUM(J10:J19)</f>
        <v>0</v>
      </c>
      <c r="K20" s="179"/>
      <c r="L20" s="179"/>
      <c r="M20" s="179"/>
      <c r="N20" s="179"/>
      <c r="O20" s="179"/>
      <c r="P20" s="179"/>
      <c r="Q20" s="179"/>
      <c r="R20" s="239"/>
    </row>
    <row r="21" spans="1:19" ht="20.100000000000001" customHeight="1">
      <c r="A21" s="219" t="s">
        <v>390</v>
      </c>
      <c r="B21" s="219"/>
      <c r="C21" s="64"/>
      <c r="D21" s="64"/>
      <c r="E21" s="64"/>
      <c r="F21" s="220"/>
      <c r="G21" s="221"/>
      <c r="H21" s="222"/>
      <c r="I21" s="222"/>
      <c r="J21" s="222"/>
      <c r="K21" s="222"/>
      <c r="L21" s="220"/>
      <c r="M21" s="64"/>
      <c r="N21" s="64"/>
      <c r="O21" s="64"/>
      <c r="P21" s="64"/>
      <c r="Q21" s="64"/>
      <c r="R21" s="64"/>
    </row>
    <row r="22" spans="1:19" ht="20.100000000000001" customHeight="1">
      <c r="A22" s="223" t="s">
        <v>489</v>
      </c>
      <c r="B22" s="64"/>
      <c r="C22" s="223"/>
      <c r="D22" s="64"/>
      <c r="E22" s="64"/>
      <c r="F22" s="220"/>
      <c r="G22" s="220"/>
      <c r="H22" s="220"/>
      <c r="I22" s="220"/>
      <c r="J22" s="220"/>
      <c r="K22" s="220"/>
      <c r="L22" s="220"/>
      <c r="M22" s="64"/>
      <c r="N22" s="64"/>
      <c r="O22" s="64"/>
      <c r="P22" s="64"/>
      <c r="Q22" s="64"/>
      <c r="R22" s="64"/>
    </row>
    <row r="23" spans="1:19" ht="20.100000000000001" customHeight="1">
      <c r="A23" s="64"/>
      <c r="B23" s="64"/>
      <c r="C23" s="64"/>
      <c r="D23" s="64"/>
      <c r="E23" s="64"/>
      <c r="F23" s="64"/>
      <c r="G23" s="64"/>
      <c r="H23" s="64"/>
      <c r="I23" s="64"/>
      <c r="J23" s="64"/>
      <c r="K23" s="64"/>
      <c r="L23" s="64"/>
      <c r="M23" s="64"/>
      <c r="N23" s="64"/>
      <c r="O23" s="64"/>
      <c r="P23" s="64"/>
      <c r="Q23" s="64"/>
      <c r="R23" s="64"/>
    </row>
    <row r="24" spans="1:19" ht="20.100000000000001" customHeight="1">
      <c r="A24" s="64"/>
      <c r="B24" s="64"/>
      <c r="C24" s="64"/>
      <c r="D24" s="64"/>
      <c r="E24" s="64"/>
      <c r="F24" s="64"/>
      <c r="G24" s="64"/>
      <c r="H24" s="64"/>
      <c r="I24" s="64"/>
      <c r="J24" s="64"/>
      <c r="K24" s="64"/>
      <c r="L24" s="64"/>
      <c r="M24" s="64"/>
      <c r="N24" s="64"/>
      <c r="O24" s="64"/>
      <c r="P24" s="64"/>
      <c r="Q24" s="64"/>
      <c r="R24" s="64"/>
    </row>
    <row r="25" spans="1:19" ht="20.100000000000001" customHeight="1">
      <c r="A25" s="219" t="s">
        <v>393</v>
      </c>
      <c r="B25" s="64"/>
      <c r="C25" s="64"/>
      <c r="D25" s="64"/>
      <c r="E25" s="64"/>
      <c r="F25" s="64"/>
      <c r="G25" s="64"/>
      <c r="H25" s="64"/>
      <c r="I25" s="64"/>
      <c r="J25" s="64"/>
      <c r="K25" s="64"/>
      <c r="L25" s="64"/>
      <c r="M25" s="64"/>
      <c r="N25" s="64"/>
      <c r="O25" s="64"/>
      <c r="P25" s="64"/>
      <c r="Q25" s="64"/>
      <c r="R25" s="64"/>
      <c r="S25" s="64"/>
    </row>
    <row r="26" spans="1:19" ht="20.100000000000001" customHeight="1">
      <c r="A26" s="64"/>
      <c r="B26" s="64"/>
      <c r="C26" s="64"/>
      <c r="D26" s="64"/>
      <c r="E26" s="64"/>
      <c r="F26" s="64"/>
      <c r="G26" s="64"/>
      <c r="H26" s="64"/>
      <c r="I26" s="64"/>
      <c r="J26" s="64"/>
      <c r="K26" s="64"/>
      <c r="L26" s="64"/>
      <c r="M26" s="64"/>
      <c r="N26" s="64"/>
      <c r="O26" s="64"/>
      <c r="P26" s="64"/>
      <c r="Q26" s="64"/>
      <c r="R26" s="64"/>
      <c r="S26" s="64"/>
    </row>
    <row r="27" spans="1:19" ht="18" customHeight="1">
      <c r="A27" s="224" t="s">
        <v>490</v>
      </c>
      <c r="B27" s="224"/>
    </row>
    <row r="28" spans="1:19" ht="18" customHeight="1">
      <c r="A28" s="225" t="s">
        <v>491</v>
      </c>
      <c r="B28" s="224"/>
    </row>
    <row r="29" spans="1:19" ht="18" customHeight="1">
      <c r="A29" s="225" t="s">
        <v>492</v>
      </c>
      <c r="B29" s="224"/>
    </row>
    <row r="30" spans="1:19" ht="18" customHeight="1">
      <c r="A30" s="225" t="s">
        <v>493</v>
      </c>
      <c r="B30" s="224"/>
    </row>
    <row r="31" spans="1:19" ht="18" customHeight="1">
      <c r="A31" s="225" t="s">
        <v>494</v>
      </c>
      <c r="B31" s="224"/>
    </row>
    <row r="32" spans="1:19" ht="18" customHeight="1">
      <c r="A32" s="225" t="s">
        <v>495</v>
      </c>
      <c r="B32" s="224"/>
    </row>
    <row r="33" spans="1:5" ht="18" customHeight="1">
      <c r="A33" s="225" t="s">
        <v>496</v>
      </c>
      <c r="B33" s="224"/>
    </row>
    <row r="34" spans="1:5" ht="18" customHeight="1">
      <c r="A34" s="225" t="s">
        <v>497</v>
      </c>
      <c r="B34" s="224"/>
    </row>
    <row r="35" spans="1:5" ht="18" customHeight="1">
      <c r="A35" s="225"/>
      <c r="B35" s="224"/>
    </row>
    <row r="36" spans="1:5" ht="18" customHeight="1">
      <c r="A36" s="226"/>
      <c r="B36" s="226"/>
      <c r="C36" s="226"/>
      <c r="D36" s="226"/>
      <c r="E36" s="226"/>
    </row>
    <row r="37" spans="1:5" ht="18" customHeight="1">
      <c r="A37" s="227"/>
      <c r="B37" s="227"/>
      <c r="C37" s="227"/>
      <c r="D37" s="227"/>
      <c r="E37" s="227"/>
    </row>
    <row r="38" spans="1:5" ht="18" customHeight="1">
      <c r="A38" s="228"/>
      <c r="B38" s="228"/>
      <c r="C38" s="227"/>
      <c r="D38" s="227"/>
      <c r="E38" s="227"/>
    </row>
    <row r="39" spans="1:5" ht="18" customHeight="1">
      <c r="A39" s="229"/>
      <c r="B39" s="230"/>
      <c r="C39" s="230"/>
      <c r="D39" s="230"/>
      <c r="E39" s="230"/>
    </row>
    <row r="40" spans="1:5" ht="18" customHeight="1">
      <c r="A40" s="229"/>
      <c r="B40" s="230"/>
      <c r="C40" s="230"/>
      <c r="D40" s="230"/>
      <c r="E40" s="230"/>
    </row>
    <row r="41" spans="1:5" ht="18" customHeight="1">
      <c r="A41" s="229"/>
      <c r="B41" s="230"/>
      <c r="C41" s="230"/>
      <c r="D41" s="230"/>
      <c r="E41" s="230"/>
    </row>
  </sheetData>
  <mergeCells count="10">
    <mergeCell ref="A1:R1"/>
    <mergeCell ref="A2:R2"/>
    <mergeCell ref="B8:E8"/>
    <mergeCell ref="F8:I8"/>
    <mergeCell ref="O8:Q8"/>
    <mergeCell ref="A8:A9"/>
    <mergeCell ref="J8:J9"/>
    <mergeCell ref="K8:K9"/>
    <mergeCell ref="L8:L9"/>
    <mergeCell ref="R8:R9"/>
  </mergeCells>
  <phoneticPr fontId="171" type="noConversion"/>
  <hyperlinks>
    <hyperlink ref="R3" location="底稿目录!A1" display="=底稿目录!F12"/>
  </hyperlinks>
  <printOptions horizontalCentered="1"/>
  <pageMargins left="0.47244094488188998" right="0.23622047244094499" top="0.35433070866141703" bottom="0.35433070866141703" header="0.31496062992126" footer="0.196850393700787"/>
  <pageSetup paperSize="9" scale="70" fitToHeight="0" orientation="landscape"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M22"/>
  <sheetViews>
    <sheetView view="pageBreakPreview" zoomScaleNormal="100" zoomScaleSheetLayoutView="100" workbookViewId="0">
      <selection activeCell="M3" sqref="M3"/>
    </sheetView>
  </sheetViews>
  <sheetFormatPr defaultColWidth="9" defaultRowHeight="13.8"/>
  <cols>
    <col min="1" max="1" width="4" style="33" customWidth="1"/>
    <col min="2" max="2" width="15.33203125" style="33" customWidth="1"/>
    <col min="3" max="5" width="9" style="33"/>
    <col min="6" max="6" width="17.21875" style="33" customWidth="1"/>
    <col min="7" max="7" width="12.21875" style="33" customWidth="1"/>
    <col min="8" max="11" width="9" style="33"/>
    <col min="12" max="12" width="11.33203125" style="33" customWidth="1"/>
    <col min="13" max="13" width="23.6640625" style="33" customWidth="1"/>
    <col min="14" max="16384" width="9" style="33"/>
  </cols>
  <sheetData>
    <row r="1" spans="1:13" s="167" customFormat="1" ht="19.95" customHeight="1">
      <c r="A1" s="600" t="s">
        <v>37</v>
      </c>
      <c r="B1" s="600"/>
      <c r="C1" s="600"/>
      <c r="D1" s="600"/>
      <c r="E1" s="600"/>
      <c r="F1" s="600"/>
      <c r="G1" s="600"/>
      <c r="H1" s="600"/>
      <c r="I1" s="600"/>
      <c r="J1" s="600"/>
      <c r="K1" s="600"/>
      <c r="L1" s="600"/>
      <c r="M1" s="600"/>
    </row>
    <row r="2" spans="1:13" s="168" customFormat="1" ht="19.95" customHeight="1">
      <c r="A2" s="601" t="s">
        <v>21</v>
      </c>
      <c r="B2" s="601"/>
      <c r="C2" s="601"/>
      <c r="D2" s="601"/>
      <c r="E2" s="601"/>
      <c r="F2" s="601"/>
      <c r="G2" s="601"/>
      <c r="H2" s="601"/>
      <c r="I2" s="601"/>
      <c r="J2" s="601"/>
      <c r="K2" s="601"/>
      <c r="L2" s="601"/>
      <c r="M2" s="601"/>
    </row>
    <row r="3" spans="1:13" s="193" customFormat="1" ht="19.95" customHeight="1">
      <c r="A3" s="84" t="str">
        <f>底稿目录!A2</f>
        <v>被审计单位：</v>
      </c>
      <c r="B3" s="194"/>
      <c r="C3" s="85"/>
      <c r="D3" s="85"/>
      <c r="F3" s="106" t="str">
        <f>底稿目录!A4</f>
        <v>编制人：</v>
      </c>
      <c r="I3" s="199" t="str">
        <f>底稿目录!A5</f>
        <v>编制日期：</v>
      </c>
      <c r="J3" s="85"/>
      <c r="L3" s="200" t="s">
        <v>109</v>
      </c>
      <c r="M3" s="510" t="str">
        <f>底稿目录!F13</f>
        <v>G1-7</v>
      </c>
    </row>
    <row r="4" spans="1:13" s="193" customFormat="1" ht="19.95" customHeight="1">
      <c r="A4" s="84" t="str">
        <f>底稿目录!A3</f>
        <v>截止日：202X年12月31日</v>
      </c>
      <c r="B4" s="194"/>
      <c r="C4" s="85"/>
      <c r="D4" s="85"/>
      <c r="F4" s="106" t="str">
        <f>底稿目录!A6</f>
        <v>复核人：</v>
      </c>
      <c r="I4" s="199" t="str">
        <f>底稿目录!A7</f>
        <v>复核日期：</v>
      </c>
      <c r="J4" s="85"/>
      <c r="L4" s="201" t="s">
        <v>498</v>
      </c>
    </row>
    <row r="5" spans="1:13" ht="19.95" customHeight="1">
      <c r="A5" s="32" t="s">
        <v>365</v>
      </c>
      <c r="C5" s="88" t="s">
        <v>857</v>
      </c>
    </row>
    <row r="6" spans="1:13" ht="19.95" customHeight="1">
      <c r="A6" s="32" t="s">
        <v>368</v>
      </c>
      <c r="C6" s="88" t="s">
        <v>499</v>
      </c>
      <c r="I6" s="88" t="s">
        <v>500</v>
      </c>
    </row>
    <row r="7" spans="1:13" ht="19.95" customHeight="1">
      <c r="A7" s="602" t="s">
        <v>501</v>
      </c>
      <c r="B7" s="603"/>
      <c r="C7" s="603" t="s">
        <v>502</v>
      </c>
      <c r="D7" s="603" t="s">
        <v>503</v>
      </c>
      <c r="E7" s="603" t="s">
        <v>504</v>
      </c>
      <c r="F7" s="602" t="s">
        <v>300</v>
      </c>
      <c r="G7" s="602"/>
      <c r="H7" s="603" t="s">
        <v>505</v>
      </c>
      <c r="I7" s="603"/>
      <c r="J7" s="603"/>
      <c r="K7" s="603"/>
      <c r="L7" s="603" t="s">
        <v>506</v>
      </c>
      <c r="M7" s="603" t="s">
        <v>507</v>
      </c>
    </row>
    <row r="8" spans="1:13" ht="19.95" customHeight="1">
      <c r="A8" s="603"/>
      <c r="B8" s="603"/>
      <c r="C8" s="603"/>
      <c r="D8" s="603"/>
      <c r="E8" s="603"/>
      <c r="F8" s="195" t="s">
        <v>508</v>
      </c>
      <c r="G8" s="180" t="s">
        <v>509</v>
      </c>
      <c r="H8" s="181" t="s">
        <v>510</v>
      </c>
      <c r="I8" s="181" t="s">
        <v>511</v>
      </c>
      <c r="J8" s="181" t="s">
        <v>512</v>
      </c>
      <c r="K8" s="181" t="s">
        <v>513</v>
      </c>
      <c r="L8" s="603"/>
      <c r="M8" s="603"/>
    </row>
    <row r="9" spans="1:13" ht="19.95" customHeight="1">
      <c r="A9" s="196"/>
      <c r="B9" s="197"/>
      <c r="C9" s="182"/>
      <c r="D9" s="182"/>
      <c r="E9" s="182"/>
      <c r="F9" s="182"/>
      <c r="G9" s="182"/>
      <c r="H9" s="182"/>
      <c r="I9" s="182"/>
      <c r="J9" s="182"/>
      <c r="K9" s="182"/>
      <c r="L9" s="202">
        <f>C9+D9-E9+F9+H9+I9-J9-K9</f>
        <v>0</v>
      </c>
      <c r="M9" s="182"/>
    </row>
    <row r="10" spans="1:13" ht="19.95" customHeight="1">
      <c r="A10" s="196"/>
      <c r="B10" s="197"/>
      <c r="C10" s="182"/>
      <c r="D10" s="182"/>
      <c r="E10" s="182"/>
      <c r="F10" s="182"/>
      <c r="G10" s="182"/>
      <c r="H10" s="182"/>
      <c r="I10" s="182"/>
      <c r="J10" s="182"/>
      <c r="K10" s="182"/>
      <c r="L10" s="202">
        <f t="shared" ref="L10:L17" si="0">C10+D10-E10+F10+H10+I10-J10-K10</f>
        <v>0</v>
      </c>
      <c r="M10" s="182"/>
    </row>
    <row r="11" spans="1:13" ht="19.95" customHeight="1">
      <c r="A11" s="196"/>
      <c r="B11" s="197"/>
      <c r="C11" s="182"/>
      <c r="D11" s="182"/>
      <c r="E11" s="182"/>
      <c r="F11" s="182"/>
      <c r="G11" s="182"/>
      <c r="H11" s="182"/>
      <c r="I11" s="182"/>
      <c r="J11" s="182"/>
      <c r="K11" s="182"/>
      <c r="L11" s="202">
        <f t="shared" si="0"/>
        <v>0</v>
      </c>
      <c r="M11" s="182"/>
    </row>
    <row r="12" spans="1:13" ht="19.95" customHeight="1">
      <c r="A12" s="196"/>
      <c r="B12" s="197"/>
      <c r="C12" s="182"/>
      <c r="D12" s="182"/>
      <c r="E12" s="182"/>
      <c r="F12" s="182"/>
      <c r="G12" s="182"/>
      <c r="H12" s="182"/>
      <c r="I12" s="182"/>
      <c r="J12" s="182"/>
      <c r="K12" s="182"/>
      <c r="L12" s="202">
        <f t="shared" si="0"/>
        <v>0</v>
      </c>
      <c r="M12" s="182"/>
    </row>
    <row r="13" spans="1:13" ht="19.95" customHeight="1">
      <c r="A13" s="196"/>
      <c r="B13" s="197"/>
      <c r="C13" s="182"/>
      <c r="D13" s="182"/>
      <c r="E13" s="182"/>
      <c r="F13" s="182"/>
      <c r="G13" s="182"/>
      <c r="H13" s="182"/>
      <c r="I13" s="182"/>
      <c r="J13" s="182"/>
      <c r="K13" s="182"/>
      <c r="L13" s="202">
        <f t="shared" si="0"/>
        <v>0</v>
      </c>
      <c r="M13" s="182"/>
    </row>
    <row r="14" spans="1:13" ht="19.95" customHeight="1">
      <c r="A14" s="196"/>
      <c r="B14" s="197"/>
      <c r="C14" s="182"/>
      <c r="D14" s="182"/>
      <c r="E14" s="182"/>
      <c r="F14" s="182"/>
      <c r="G14" s="182"/>
      <c r="H14" s="182"/>
      <c r="I14" s="182"/>
      <c r="J14" s="182"/>
      <c r="K14" s="182"/>
      <c r="L14" s="202">
        <f t="shared" si="0"/>
        <v>0</v>
      </c>
      <c r="M14" s="182"/>
    </row>
    <row r="15" spans="1:13" ht="19.95" customHeight="1">
      <c r="A15" s="196"/>
      <c r="B15" s="197"/>
      <c r="C15" s="182"/>
      <c r="D15" s="182"/>
      <c r="E15" s="182"/>
      <c r="F15" s="182"/>
      <c r="G15" s="182"/>
      <c r="H15" s="182"/>
      <c r="I15" s="182"/>
      <c r="J15" s="182"/>
      <c r="K15" s="182"/>
      <c r="L15" s="202">
        <f t="shared" si="0"/>
        <v>0</v>
      </c>
      <c r="M15" s="182"/>
    </row>
    <row r="16" spans="1:13" ht="19.95" customHeight="1">
      <c r="A16" s="196"/>
      <c r="B16" s="197"/>
      <c r="C16" s="182"/>
      <c r="D16" s="182"/>
      <c r="E16" s="182"/>
      <c r="F16" s="182"/>
      <c r="G16" s="182"/>
      <c r="H16" s="182"/>
      <c r="I16" s="182"/>
      <c r="J16" s="182"/>
      <c r="K16" s="182"/>
      <c r="L16" s="202">
        <f t="shared" si="0"/>
        <v>0</v>
      </c>
      <c r="M16" s="182"/>
    </row>
    <row r="17" spans="1:13" ht="19.95" customHeight="1">
      <c r="A17" s="196"/>
      <c r="B17" s="197"/>
      <c r="C17" s="182"/>
      <c r="D17" s="182"/>
      <c r="E17" s="182"/>
      <c r="F17" s="182"/>
      <c r="G17" s="182"/>
      <c r="H17" s="182"/>
      <c r="I17" s="182"/>
      <c r="J17" s="182"/>
      <c r="K17" s="182"/>
      <c r="L17" s="202">
        <f t="shared" si="0"/>
        <v>0</v>
      </c>
      <c r="M17" s="182"/>
    </row>
    <row r="18" spans="1:13" ht="19.95" customHeight="1">
      <c r="A18" s="198" t="s">
        <v>514</v>
      </c>
      <c r="B18" s="198"/>
      <c r="C18" s="179">
        <f>SUM(C9:C17)</f>
        <v>0</v>
      </c>
      <c r="D18" s="179">
        <f t="shared" ref="D18:L18" si="1">SUM(D9:D17)</f>
        <v>0</v>
      </c>
      <c r="E18" s="179">
        <f t="shared" si="1"/>
        <v>0</v>
      </c>
      <c r="F18" s="179">
        <f t="shared" si="1"/>
        <v>0</v>
      </c>
      <c r="G18" s="179">
        <f t="shared" si="1"/>
        <v>0</v>
      </c>
      <c r="H18" s="179">
        <f t="shared" si="1"/>
        <v>0</v>
      </c>
      <c r="I18" s="179">
        <f t="shared" si="1"/>
        <v>0</v>
      </c>
      <c r="J18" s="179">
        <f t="shared" si="1"/>
        <v>0</v>
      </c>
      <c r="K18" s="179">
        <f t="shared" si="1"/>
        <v>0</v>
      </c>
      <c r="L18" s="179">
        <f t="shared" si="1"/>
        <v>0</v>
      </c>
      <c r="M18" s="179"/>
    </row>
    <row r="19" spans="1:13" ht="19.95" customHeight="1">
      <c r="A19" s="32" t="s">
        <v>390</v>
      </c>
    </row>
    <row r="20" spans="1:13" ht="19.95" customHeight="1"/>
    <row r="21" spans="1:13" ht="19.95" customHeight="1">
      <c r="A21" s="32" t="s">
        <v>393</v>
      </c>
    </row>
    <row r="22" spans="1:13" ht="19.95" customHeight="1"/>
  </sheetData>
  <mergeCells count="10">
    <mergeCell ref="A1:M1"/>
    <mergeCell ref="A2:M2"/>
    <mergeCell ref="F7:G7"/>
    <mergeCell ref="H7:K7"/>
    <mergeCell ref="C7:C8"/>
    <mergeCell ref="D7:D8"/>
    <mergeCell ref="E7:E8"/>
    <mergeCell ref="L7:L8"/>
    <mergeCell ref="M7:M8"/>
    <mergeCell ref="A7:B8"/>
  </mergeCells>
  <phoneticPr fontId="171" type="noConversion"/>
  <hyperlinks>
    <hyperlink ref="M3" location="底稿目录!A1" display="底稿目录!A1"/>
  </hyperlinks>
  <printOptions horizontalCentered="1" verticalCentered="1"/>
  <pageMargins left="0.7" right="0.7" top="0.75" bottom="0.75" header="0.3" footer="0.3"/>
  <pageSetup paperSize="9" scale="91" fitToHeight="0" orientation="landscape" blackAndWhite="1"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H54"/>
  <sheetViews>
    <sheetView view="pageBreakPreview" zoomScale="110" zoomScaleNormal="130" workbookViewId="0">
      <selection sqref="A1:G1"/>
    </sheetView>
  </sheetViews>
  <sheetFormatPr defaultColWidth="9" defaultRowHeight="13.8"/>
  <cols>
    <col min="1" max="1" width="12.77734375" style="139" customWidth="1"/>
    <col min="2" max="2" width="12.109375" style="139" customWidth="1"/>
    <col min="3" max="3" width="11.5546875" style="139" customWidth="1"/>
    <col min="4" max="4" width="33" style="139" customWidth="1"/>
    <col min="5" max="5" width="12.6640625" style="139" customWidth="1"/>
    <col min="6" max="6" width="12.109375" style="139" customWidth="1"/>
    <col min="7" max="7" width="15.21875" style="139" customWidth="1"/>
    <col min="8" max="8" width="53.21875" style="139" customWidth="1"/>
    <col min="9" max="16384" width="9" style="139"/>
  </cols>
  <sheetData>
    <row r="1" spans="1:8" s="136" customFormat="1" ht="19.95" customHeight="1">
      <c r="A1" s="634" t="s">
        <v>37</v>
      </c>
      <c r="B1" s="634"/>
      <c r="C1" s="634"/>
      <c r="D1" s="634"/>
      <c r="E1" s="634"/>
      <c r="F1" s="634"/>
      <c r="G1" s="634"/>
    </row>
    <row r="2" spans="1:8" s="137" customFormat="1" ht="19.95" customHeight="1">
      <c r="A2" s="635" t="s">
        <v>23</v>
      </c>
      <c r="B2" s="635"/>
      <c r="C2" s="635"/>
      <c r="D2" s="635"/>
      <c r="E2" s="635"/>
      <c r="F2" s="635"/>
      <c r="G2" s="635"/>
    </row>
    <row r="3" spans="1:8" ht="19.95" customHeight="1">
      <c r="A3" s="111" t="str">
        <f>底稿目录!A2</f>
        <v>被审计单位：</v>
      </c>
      <c r="B3" s="111"/>
      <c r="C3" s="111"/>
      <c r="D3" s="111" t="str">
        <f>底稿目录!A4</f>
        <v>编制人：</v>
      </c>
      <c r="E3" s="111" t="str">
        <f>底稿目录!A5</f>
        <v>编制日期：</v>
      </c>
      <c r="F3" s="183" t="s">
        <v>38</v>
      </c>
      <c r="G3" s="510" t="str">
        <f>底稿目录!F14</f>
        <v>G1-8</v>
      </c>
    </row>
    <row r="4" spans="1:8" ht="19.95" customHeight="1">
      <c r="A4" s="111" t="str">
        <f>底稿目录!A3</f>
        <v>截止日：202X年12月31日</v>
      </c>
      <c r="B4" s="111"/>
      <c r="C4" s="140"/>
      <c r="D4" s="111" t="str">
        <f>底稿目录!A6</f>
        <v>复核人：</v>
      </c>
      <c r="E4" s="111" t="str">
        <f>底稿目录!A7</f>
        <v>复核日期：</v>
      </c>
      <c r="F4" s="183" t="s">
        <v>515</v>
      </c>
    </row>
    <row r="5" spans="1:8" s="138" customFormat="1" ht="19.95" customHeight="1">
      <c r="A5" s="141" t="s">
        <v>516</v>
      </c>
      <c r="B5" s="184" t="s">
        <v>517</v>
      </c>
      <c r="C5" s="141"/>
      <c r="D5" s="141"/>
      <c r="E5" s="141"/>
      <c r="F5" s="141"/>
      <c r="G5" s="141"/>
    </row>
    <row r="6" spans="1:8" s="138" customFormat="1" ht="19.95" customHeight="1">
      <c r="A6" s="141" t="s">
        <v>518</v>
      </c>
      <c r="C6" s="141"/>
      <c r="D6" s="141"/>
      <c r="E6" s="141"/>
      <c r="F6" s="141"/>
      <c r="G6" s="141"/>
    </row>
    <row r="7" spans="1:8" ht="19.95" customHeight="1">
      <c r="A7" s="138" t="s">
        <v>519</v>
      </c>
      <c r="H7" s="143" t="s">
        <v>520</v>
      </c>
    </row>
    <row r="8" spans="1:8" ht="19.95" customHeight="1">
      <c r="A8" s="605" t="s">
        <v>521</v>
      </c>
      <c r="B8" s="605"/>
      <c r="C8" s="605"/>
      <c r="D8" s="605"/>
      <c r="E8" s="605"/>
      <c r="F8" s="605"/>
      <c r="G8" s="605"/>
      <c r="H8" s="143" t="s">
        <v>522</v>
      </c>
    </row>
    <row r="9" spans="1:8" ht="19.95" customHeight="1">
      <c r="A9" s="138" t="s">
        <v>523</v>
      </c>
      <c r="H9" s="143" t="s">
        <v>524</v>
      </c>
    </row>
    <row r="10" spans="1:8" ht="19.95" customHeight="1">
      <c r="A10" s="138" t="s">
        <v>525</v>
      </c>
      <c r="H10" s="143" t="s">
        <v>526</v>
      </c>
    </row>
    <row r="11" spans="1:8" ht="19.95" customHeight="1">
      <c r="A11" s="138" t="s">
        <v>527</v>
      </c>
      <c r="C11" s="143" t="s">
        <v>528</v>
      </c>
      <c r="H11" s="143" t="s">
        <v>529</v>
      </c>
    </row>
    <row r="12" spans="1:8" ht="19.95" customHeight="1">
      <c r="A12" s="138"/>
      <c r="C12" s="143"/>
      <c r="H12" s="185"/>
    </row>
    <row r="13" spans="1:8" ht="19.95" customHeight="1">
      <c r="A13" s="144" t="s">
        <v>530</v>
      </c>
      <c r="H13" s="138"/>
    </row>
    <row r="14" spans="1:8" ht="19.95" customHeight="1">
      <c r="A14" s="636" t="s">
        <v>531</v>
      </c>
      <c r="B14" s="637"/>
      <c r="C14" s="637"/>
      <c r="D14" s="633"/>
      <c r="E14" s="145" t="s">
        <v>532</v>
      </c>
      <c r="F14" s="636" t="s">
        <v>533</v>
      </c>
      <c r="G14" s="633"/>
      <c r="H14" s="138"/>
    </row>
    <row r="15" spans="1:8" ht="19.95" customHeight="1">
      <c r="A15" s="612" t="s">
        <v>534</v>
      </c>
      <c r="B15" s="620"/>
      <c r="C15" s="620"/>
      <c r="D15" s="621"/>
      <c r="E15" s="186" t="s">
        <v>535</v>
      </c>
      <c r="F15" s="632"/>
      <c r="G15" s="633"/>
    </row>
    <row r="16" spans="1:8" ht="19.95" customHeight="1">
      <c r="A16" s="612" t="s">
        <v>536</v>
      </c>
      <c r="B16" s="620"/>
      <c r="C16" s="620"/>
      <c r="D16" s="621"/>
      <c r="E16" s="186" t="str">
        <f>IF(AND(E17="否",E18="否",E19="否"),"否","是")</f>
        <v>是</v>
      </c>
      <c r="F16" s="622"/>
      <c r="G16" s="623"/>
    </row>
    <row r="17" spans="1:8" ht="15.6">
      <c r="A17" s="629" t="s">
        <v>537</v>
      </c>
      <c r="B17" s="630"/>
      <c r="C17" s="630"/>
      <c r="D17" s="631"/>
      <c r="E17" s="186" t="s">
        <v>535</v>
      </c>
      <c r="F17" s="622"/>
      <c r="G17" s="623"/>
    </row>
    <row r="18" spans="1:8" ht="28.2" customHeight="1">
      <c r="A18" s="629" t="s">
        <v>538</v>
      </c>
      <c r="B18" s="630"/>
      <c r="C18" s="630"/>
      <c r="D18" s="631"/>
      <c r="E18" s="186" t="s">
        <v>539</v>
      </c>
      <c r="F18" s="622"/>
      <c r="G18" s="623"/>
    </row>
    <row r="19" spans="1:8" ht="29.4" customHeight="1">
      <c r="A19" s="629" t="s">
        <v>540</v>
      </c>
      <c r="B19" s="630"/>
      <c r="C19" s="630"/>
      <c r="D19" s="631"/>
      <c r="E19" s="186" t="s">
        <v>539</v>
      </c>
      <c r="F19" s="622"/>
      <c r="G19" s="623"/>
    </row>
    <row r="20" spans="1:8" ht="19.95" customHeight="1">
      <c r="A20" s="612" t="s">
        <v>541</v>
      </c>
      <c r="B20" s="620"/>
      <c r="C20" s="620"/>
      <c r="D20" s="621"/>
      <c r="E20" s="186" t="s">
        <v>539</v>
      </c>
      <c r="F20" s="622"/>
      <c r="G20" s="623"/>
    </row>
    <row r="21" spans="1:8" ht="19.95" customHeight="1">
      <c r="A21" s="612" t="s">
        <v>542</v>
      </c>
      <c r="B21" s="620"/>
      <c r="C21" s="620"/>
      <c r="D21" s="621"/>
      <c r="E21" s="186" t="s">
        <v>539</v>
      </c>
      <c r="F21" s="622"/>
      <c r="G21" s="623"/>
    </row>
    <row r="22" spans="1:8" ht="27" customHeight="1">
      <c r="A22" s="612" t="s">
        <v>543</v>
      </c>
      <c r="B22" s="620"/>
      <c r="C22" s="620"/>
      <c r="D22" s="621"/>
      <c r="E22" s="186" t="s">
        <v>539</v>
      </c>
      <c r="F22" s="622"/>
      <c r="G22" s="623"/>
    </row>
    <row r="23" spans="1:8" ht="19.95" customHeight="1">
      <c r="A23" s="624" t="str">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属于其他业务模式</v>
      </c>
      <c r="B23" s="625"/>
      <c r="C23" s="625"/>
      <c r="D23" s="625"/>
      <c r="E23" s="626"/>
      <c r="F23" s="627" t="str">
        <f>IF(AND(E15="否",E16="是"),"逻辑有误","")</f>
        <v/>
      </c>
      <c r="G23" s="628"/>
      <c r="H23" s="166" t="s">
        <v>544</v>
      </c>
    </row>
    <row r="24" spans="1:8" ht="19.95" customHeight="1">
      <c r="A24" s="604"/>
      <c r="B24" s="605"/>
      <c r="C24" s="605"/>
      <c r="D24" s="605"/>
      <c r="E24" s="605"/>
      <c r="F24" s="605"/>
      <c r="G24" s="605"/>
    </row>
    <row r="25" spans="1:8" ht="19.95" customHeight="1">
      <c r="A25" s="144" t="s">
        <v>545</v>
      </c>
      <c r="B25" s="187"/>
      <c r="C25" s="187"/>
      <c r="D25" s="187"/>
      <c r="E25" s="188" t="s">
        <v>546</v>
      </c>
      <c r="F25" s="189" t="s">
        <v>539</v>
      </c>
    </row>
    <row r="26" spans="1:8" ht="19.95" customHeight="1">
      <c r="A26" s="604" t="s">
        <v>547</v>
      </c>
      <c r="B26" s="605"/>
      <c r="C26" s="605"/>
      <c r="D26" s="605"/>
      <c r="E26" s="605"/>
      <c r="F26" s="605"/>
      <c r="G26" s="605"/>
    </row>
    <row r="27" spans="1:8" ht="19.95" customHeight="1">
      <c r="A27" s="190" t="s">
        <v>548</v>
      </c>
      <c r="B27" s="615" t="s">
        <v>549</v>
      </c>
      <c r="C27" s="616"/>
      <c r="D27" s="617" t="s">
        <v>550</v>
      </c>
      <c r="E27" s="618"/>
      <c r="F27" s="619"/>
      <c r="G27" s="190" t="s">
        <v>551</v>
      </c>
      <c r="H27" s="165"/>
    </row>
    <row r="28" spans="1:8" ht="19.95" customHeight="1">
      <c r="A28" s="146" t="s">
        <v>552</v>
      </c>
      <c r="B28" s="610"/>
      <c r="C28" s="611"/>
      <c r="D28" s="612"/>
      <c r="E28" s="613"/>
      <c r="F28" s="614"/>
      <c r="G28" s="146"/>
      <c r="H28" s="608" t="s">
        <v>553</v>
      </c>
    </row>
    <row r="29" spans="1:8" ht="19.95" customHeight="1">
      <c r="A29" s="146" t="s">
        <v>554</v>
      </c>
      <c r="B29" s="610"/>
      <c r="C29" s="611"/>
      <c r="D29" s="612"/>
      <c r="E29" s="613"/>
      <c r="F29" s="614"/>
      <c r="G29" s="146"/>
      <c r="H29" s="609"/>
    </row>
    <row r="30" spans="1:8" ht="19.95" customHeight="1">
      <c r="A30" s="146"/>
      <c r="B30" s="610"/>
      <c r="C30" s="611"/>
      <c r="D30" s="612"/>
      <c r="E30" s="613"/>
      <c r="F30" s="614"/>
      <c r="G30" s="146"/>
    </row>
    <row r="31" spans="1:8" ht="19.95" customHeight="1">
      <c r="A31" s="606" t="s">
        <v>441</v>
      </c>
      <c r="B31" s="606"/>
      <c r="C31" s="606"/>
      <c r="D31" s="606"/>
      <c r="E31" s="606"/>
      <c r="F31" s="606"/>
      <c r="G31" s="606"/>
    </row>
    <row r="32" spans="1:8" ht="19.95" customHeight="1">
      <c r="A32" s="604"/>
      <c r="B32" s="605"/>
      <c r="C32" s="605"/>
      <c r="D32" s="605"/>
      <c r="E32" s="605"/>
      <c r="F32" s="605"/>
      <c r="G32" s="605"/>
    </row>
    <row r="33" spans="1:8" ht="19.95" customHeight="1">
      <c r="A33" s="606" t="s">
        <v>555</v>
      </c>
      <c r="B33" s="606"/>
      <c r="C33" s="606"/>
      <c r="D33" s="606"/>
      <c r="E33" s="606"/>
      <c r="F33" s="606"/>
      <c r="G33" s="606"/>
    </row>
    <row r="34" spans="1:8" ht="19.95" customHeight="1">
      <c r="A34" s="604"/>
      <c r="B34" s="605"/>
      <c r="C34" s="605"/>
      <c r="D34" s="605"/>
      <c r="E34" s="605"/>
      <c r="F34" s="605"/>
      <c r="G34" s="605"/>
    </row>
    <row r="35" spans="1:8">
      <c r="A35" s="191" t="s">
        <v>556</v>
      </c>
      <c r="B35" s="187"/>
      <c r="C35" s="187"/>
      <c r="D35" s="187"/>
      <c r="E35" s="187"/>
      <c r="F35" s="187"/>
    </row>
    <row r="36" spans="1:8">
      <c r="A36" s="159" t="s">
        <v>557</v>
      </c>
      <c r="B36" s="143" t="s">
        <v>558</v>
      </c>
      <c r="C36" s="159" t="s">
        <v>559</v>
      </c>
      <c r="D36" s="160"/>
      <c r="E36" s="160"/>
      <c r="F36" s="160"/>
    </row>
    <row r="37" spans="1:8">
      <c r="B37" s="162"/>
      <c r="C37" s="159" t="s">
        <v>560</v>
      </c>
      <c r="D37" s="192"/>
      <c r="E37" s="192"/>
      <c r="F37" s="192"/>
      <c r="G37" s="138"/>
    </row>
    <row r="38" spans="1:8">
      <c r="B38" s="162"/>
      <c r="C38" s="159" t="s">
        <v>561</v>
      </c>
      <c r="D38" s="192"/>
      <c r="E38" s="192"/>
      <c r="F38" s="192"/>
      <c r="G38" s="138"/>
    </row>
    <row r="39" spans="1:8">
      <c r="B39" s="159" t="s">
        <v>41</v>
      </c>
      <c r="C39" s="159" t="s">
        <v>562</v>
      </c>
      <c r="D39" s="192"/>
      <c r="E39" s="192"/>
      <c r="F39" s="192"/>
      <c r="G39" s="138"/>
    </row>
    <row r="40" spans="1:8">
      <c r="B40" s="159" t="s">
        <v>563</v>
      </c>
      <c r="C40" s="192"/>
      <c r="D40" s="192"/>
      <c r="E40" s="192"/>
      <c r="F40" s="192"/>
      <c r="G40" s="138"/>
    </row>
    <row r="41" spans="1:8">
      <c r="A41" s="162" t="s">
        <v>564</v>
      </c>
      <c r="B41" s="162"/>
      <c r="C41" s="162"/>
      <c r="D41" s="162"/>
      <c r="E41" s="162"/>
      <c r="F41" s="162"/>
      <c r="G41" s="162"/>
      <c r="H41" s="185"/>
    </row>
    <row r="42" spans="1:8">
      <c r="A42" s="162" t="s">
        <v>565</v>
      </c>
      <c r="B42" s="192"/>
      <c r="C42" s="192"/>
      <c r="D42" s="192"/>
      <c r="E42" s="192"/>
      <c r="F42" s="192"/>
      <c r="G42" s="162"/>
    </row>
    <row r="43" spans="1:8">
      <c r="A43" s="162" t="s">
        <v>566</v>
      </c>
      <c r="B43" s="192"/>
      <c r="C43" s="192"/>
      <c r="D43" s="192"/>
      <c r="E43" s="192"/>
      <c r="F43" s="192"/>
      <c r="G43" s="162"/>
    </row>
    <row r="44" spans="1:8">
      <c r="A44" s="607" t="s">
        <v>567</v>
      </c>
      <c r="B44" s="607"/>
      <c r="C44" s="607"/>
      <c r="D44" s="607"/>
      <c r="E44" s="607"/>
      <c r="F44" s="607"/>
      <c r="G44" s="607"/>
      <c r="H44" s="185"/>
    </row>
    <row r="45" spans="1:8">
      <c r="A45" s="162" t="s">
        <v>568</v>
      </c>
      <c r="B45" s="162"/>
      <c r="C45" s="162"/>
      <c r="D45" s="162"/>
      <c r="E45" s="162"/>
      <c r="F45" s="162"/>
      <c r="G45" s="162"/>
      <c r="H45" s="185"/>
    </row>
    <row r="46" spans="1:8">
      <c r="A46" s="162" t="s">
        <v>569</v>
      </c>
      <c r="B46" s="160"/>
      <c r="C46" s="160"/>
      <c r="D46" s="160"/>
      <c r="E46" s="160"/>
      <c r="F46" s="160"/>
      <c r="G46" s="161"/>
    </row>
    <row r="47" spans="1:8">
      <c r="A47" s="162" t="s">
        <v>570</v>
      </c>
      <c r="B47" s="160"/>
      <c r="C47" s="160"/>
      <c r="D47" s="160"/>
      <c r="E47" s="160"/>
      <c r="F47" s="160"/>
      <c r="G47" s="161"/>
    </row>
    <row r="48" spans="1:8">
      <c r="A48" s="162" t="s">
        <v>571</v>
      </c>
      <c r="B48" s="160"/>
      <c r="C48" s="160"/>
      <c r="D48" s="160"/>
      <c r="E48" s="160"/>
      <c r="F48" s="160"/>
      <c r="G48" s="161"/>
    </row>
    <row r="49" spans="1:8">
      <c r="A49" s="162" t="s">
        <v>572</v>
      </c>
      <c r="B49" s="161"/>
      <c r="C49" s="161"/>
      <c r="D49" s="161"/>
      <c r="E49" s="161"/>
      <c r="F49" s="161"/>
      <c r="G49" s="161"/>
      <c r="H49" s="185"/>
    </row>
    <row r="50" spans="1:8">
      <c r="A50" s="162" t="s">
        <v>573</v>
      </c>
      <c r="B50" s="160"/>
      <c r="C50" s="160"/>
      <c r="D50" s="160"/>
      <c r="E50" s="160"/>
      <c r="F50" s="160"/>
      <c r="G50" s="161"/>
    </row>
    <row r="51" spans="1:8">
      <c r="A51" s="162" t="s">
        <v>574</v>
      </c>
      <c r="B51" s="160"/>
      <c r="C51" s="160"/>
      <c r="D51" s="160"/>
      <c r="E51" s="160"/>
      <c r="F51" s="160"/>
      <c r="G51" s="161"/>
    </row>
    <row r="52" spans="1:8">
      <c r="A52" s="162" t="s">
        <v>575</v>
      </c>
      <c r="B52" s="161"/>
      <c r="C52" s="143"/>
      <c r="D52" s="161"/>
      <c r="E52" s="161"/>
      <c r="F52" s="161"/>
      <c r="G52" s="161"/>
      <c r="H52" s="185"/>
    </row>
    <row r="53" spans="1:8">
      <c r="A53" s="162" t="s">
        <v>576</v>
      </c>
      <c r="B53" s="161"/>
      <c r="C53" s="161"/>
      <c r="D53" s="161"/>
      <c r="E53" s="161"/>
      <c r="F53" s="161"/>
      <c r="G53" s="161"/>
    </row>
    <row r="54" spans="1:8">
      <c r="A54" s="162" t="s">
        <v>577</v>
      </c>
      <c r="B54" s="161"/>
      <c r="C54" s="161"/>
      <c r="D54" s="161"/>
      <c r="E54" s="161"/>
      <c r="F54" s="161"/>
      <c r="G54" s="161"/>
    </row>
  </sheetData>
  <mergeCells count="39">
    <mergeCell ref="A1:G1"/>
    <mergeCell ref="A2:G2"/>
    <mergeCell ref="A8:G8"/>
    <mergeCell ref="A14:D14"/>
    <mergeCell ref="F14:G14"/>
    <mergeCell ref="A15:D15"/>
    <mergeCell ref="F15:G15"/>
    <mergeCell ref="A16:D16"/>
    <mergeCell ref="F16:G16"/>
    <mergeCell ref="A17:D17"/>
    <mergeCell ref="F17:G17"/>
    <mergeCell ref="A18:D18"/>
    <mergeCell ref="F18:G18"/>
    <mergeCell ref="A19:D19"/>
    <mergeCell ref="F19:G19"/>
    <mergeCell ref="A20:D20"/>
    <mergeCell ref="F20:G20"/>
    <mergeCell ref="A21:D21"/>
    <mergeCell ref="F21:G21"/>
    <mergeCell ref="A22:D22"/>
    <mergeCell ref="F22:G22"/>
    <mergeCell ref="A23:E23"/>
    <mergeCell ref="F23:G23"/>
    <mergeCell ref="A24:G24"/>
    <mergeCell ref="A26:G26"/>
    <mergeCell ref="B27:C27"/>
    <mergeCell ref="D27:F27"/>
    <mergeCell ref="B28:C28"/>
    <mergeCell ref="D28:F28"/>
    <mergeCell ref="A32:G32"/>
    <mergeCell ref="A33:G33"/>
    <mergeCell ref="A34:G34"/>
    <mergeCell ref="A44:G44"/>
    <mergeCell ref="H28:H29"/>
    <mergeCell ref="B29:C29"/>
    <mergeCell ref="D29:F29"/>
    <mergeCell ref="B30:C30"/>
    <mergeCell ref="D30:F30"/>
    <mergeCell ref="A31:G31"/>
  </mergeCells>
  <phoneticPr fontId="171" type="noConversion"/>
  <dataValidations count="1">
    <dataValidation type="list" allowBlank="1" showInputMessage="1" showErrorMessage="1" sqref="E15 F25 E17:E22">
      <formula1>"是,否"</formula1>
    </dataValidation>
  </dataValidations>
  <hyperlinks>
    <hyperlink ref="G3" location="底稿目录!A1" display="=底稿目录!F14"/>
  </hyperlinks>
  <printOptions horizontalCentered="1"/>
  <pageMargins left="0.74803149606299202" right="0.55118110236220497" top="0.82677165354330695" bottom="0.23622047244094499" header="0.511811023622047" footer="0.196850393700787"/>
  <pageSetup paperSize="9" scale="79" fitToHeight="0" orientation="portrait" blackAndWhite="1" cellComments="atEnd"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U31"/>
  <sheetViews>
    <sheetView view="pageBreakPreview" zoomScaleNormal="100" workbookViewId="0">
      <selection activeCell="J3" sqref="J3"/>
    </sheetView>
  </sheetViews>
  <sheetFormatPr defaultColWidth="9" defaultRowHeight="13.8"/>
  <cols>
    <col min="1" max="1" width="13.77734375" style="33" customWidth="1"/>
    <col min="2" max="2" width="13" style="33" customWidth="1"/>
    <col min="3" max="3" width="15.21875" style="33" customWidth="1"/>
    <col min="4" max="4" width="30.109375" style="33" customWidth="1"/>
    <col min="5" max="5" width="28.21875" style="33" customWidth="1"/>
    <col min="6" max="6" width="22.77734375" style="33" customWidth="1"/>
    <col min="7" max="7" width="13.33203125" style="33" customWidth="1"/>
    <col min="8" max="8" width="16.44140625" style="33" customWidth="1"/>
    <col min="9" max="9" width="8.109375" style="33" customWidth="1"/>
    <col min="10" max="10" width="8.21875" style="33" customWidth="1"/>
    <col min="11" max="16384" width="9" style="33"/>
  </cols>
  <sheetData>
    <row r="1" spans="1:21" s="167" customFormat="1" ht="20.100000000000001" customHeight="1">
      <c r="A1" s="569" t="s">
        <v>37</v>
      </c>
      <c r="B1" s="569"/>
      <c r="C1" s="569"/>
      <c r="D1" s="569"/>
      <c r="E1" s="569"/>
      <c r="F1" s="569"/>
      <c r="G1" s="569"/>
      <c r="H1" s="569"/>
      <c r="I1" s="569"/>
      <c r="J1" s="569"/>
      <c r="K1" s="39"/>
      <c r="L1" s="39"/>
      <c r="M1" s="39"/>
      <c r="N1" s="39"/>
      <c r="O1" s="39"/>
      <c r="P1" s="39"/>
      <c r="Q1" s="39"/>
      <c r="R1" s="39"/>
      <c r="S1" s="39"/>
      <c r="T1" s="39"/>
      <c r="U1" s="39"/>
    </row>
    <row r="2" spans="1:21" s="168" customFormat="1" ht="25.05" customHeight="1">
      <c r="A2" s="570" t="s">
        <v>25</v>
      </c>
      <c r="B2" s="570"/>
      <c r="C2" s="570"/>
      <c r="D2" s="570"/>
      <c r="E2" s="570"/>
      <c r="F2" s="570"/>
      <c r="G2" s="570"/>
      <c r="H2" s="570"/>
      <c r="I2" s="570"/>
      <c r="J2" s="570"/>
      <c r="K2" s="40"/>
      <c r="L2" s="40"/>
      <c r="M2" s="40"/>
      <c r="N2" s="40"/>
      <c r="O2" s="40"/>
      <c r="P2" s="40"/>
      <c r="Q2" s="40"/>
      <c r="R2" s="40"/>
      <c r="S2" s="40"/>
      <c r="T2" s="40"/>
      <c r="U2" s="40"/>
    </row>
    <row r="3" spans="1:21" ht="20.100000000000001" customHeight="1">
      <c r="A3" s="121" t="str">
        <f>底稿目录!A2</f>
        <v>被审计单位：</v>
      </c>
      <c r="D3" s="87" t="str">
        <f>底稿目录!A4</f>
        <v>编制人：</v>
      </c>
      <c r="F3" s="169" t="str">
        <f>底稿目录!A5</f>
        <v>编制日期：</v>
      </c>
      <c r="I3" s="33" t="s">
        <v>578</v>
      </c>
      <c r="J3" s="510" t="str">
        <f>底稿目录!F15</f>
        <v>G1-9</v>
      </c>
      <c r="K3" s="86"/>
      <c r="L3" s="86"/>
      <c r="N3" s="86"/>
      <c r="O3" s="86"/>
      <c r="P3" s="3"/>
      <c r="Q3" s="3"/>
      <c r="R3" s="3"/>
      <c r="S3" s="3"/>
    </row>
    <row r="4" spans="1:21" ht="20.100000000000001" customHeight="1">
      <c r="A4" s="121" t="str">
        <f>底稿目录!A3</f>
        <v>截止日：202X年12月31日</v>
      </c>
      <c r="D4" s="87" t="str">
        <f>底稿目录!A6</f>
        <v>复核人：</v>
      </c>
      <c r="F4" s="169" t="str">
        <f>底稿目录!A7</f>
        <v>复核日期：</v>
      </c>
      <c r="H4" s="122"/>
      <c r="I4" s="122" t="s">
        <v>39</v>
      </c>
      <c r="J4" s="3"/>
      <c r="K4" s="86"/>
      <c r="L4" s="86"/>
      <c r="N4" s="86"/>
      <c r="O4" s="86"/>
      <c r="P4" s="3"/>
      <c r="Q4" s="3"/>
      <c r="R4" s="3"/>
      <c r="S4" s="3"/>
    </row>
    <row r="5" spans="1:21" ht="20.100000000000001" customHeight="1">
      <c r="A5" s="31" t="s">
        <v>415</v>
      </c>
      <c r="B5" s="170" t="s">
        <v>579</v>
      </c>
    </row>
    <row r="6" spans="1:21" ht="20.100000000000001" customHeight="1">
      <c r="A6" s="31" t="s">
        <v>420</v>
      </c>
      <c r="B6" s="171" t="s">
        <v>580</v>
      </c>
    </row>
    <row r="7" spans="1:21" ht="20.100000000000001" customHeight="1">
      <c r="B7" s="171" t="s">
        <v>581</v>
      </c>
    </row>
    <row r="8" spans="1:21" ht="20.100000000000001" customHeight="1">
      <c r="B8" s="171" t="s">
        <v>582</v>
      </c>
    </row>
    <row r="9" spans="1:21" ht="20.100000000000001" customHeight="1">
      <c r="B9" s="171" t="s">
        <v>583</v>
      </c>
    </row>
    <row r="10" spans="1:21" ht="20.100000000000001" customHeight="1">
      <c r="B10" s="171" t="s">
        <v>584</v>
      </c>
      <c r="H10" s="171"/>
      <c r="I10" s="171"/>
    </row>
    <row r="11" spans="1:21" ht="20.100000000000001" customHeight="1">
      <c r="B11" s="171" t="s">
        <v>585</v>
      </c>
    </row>
    <row r="12" spans="1:21" ht="20.100000000000001" customHeight="1">
      <c r="A12" s="639" t="s">
        <v>586</v>
      </c>
      <c r="B12" s="641" t="s">
        <v>587</v>
      </c>
      <c r="C12" s="638" t="s">
        <v>588</v>
      </c>
      <c r="D12" s="595"/>
      <c r="E12" s="596"/>
      <c r="F12" s="173" t="s">
        <v>310</v>
      </c>
      <c r="G12" s="173" t="s">
        <v>311</v>
      </c>
      <c r="H12" s="172" t="s">
        <v>589</v>
      </c>
      <c r="I12" s="643" t="s">
        <v>312</v>
      </c>
      <c r="J12" s="602" t="s">
        <v>590</v>
      </c>
    </row>
    <row r="13" spans="1:21" s="89" customFormat="1" ht="50.25" customHeight="1">
      <c r="A13" s="640"/>
      <c r="B13" s="642"/>
      <c r="C13" s="174" t="s">
        <v>559</v>
      </c>
      <c r="D13" s="174" t="s">
        <v>560</v>
      </c>
      <c r="E13" s="174" t="s">
        <v>561</v>
      </c>
      <c r="F13" s="174" t="s">
        <v>562</v>
      </c>
      <c r="G13" s="174" t="s">
        <v>311</v>
      </c>
      <c r="H13" s="174" t="s">
        <v>591</v>
      </c>
      <c r="I13" s="644"/>
      <c r="J13" s="603"/>
    </row>
    <row r="14" spans="1:21" ht="20.100000000000001" customHeight="1">
      <c r="A14" s="112">
        <f>'明细表G1-2'!B12</f>
        <v>0</v>
      </c>
      <c r="B14" s="175">
        <f>'明细表G1-2'!W12</f>
        <v>0</v>
      </c>
      <c r="C14" s="176"/>
      <c r="D14" s="176"/>
      <c r="E14" s="176"/>
      <c r="F14" s="176" t="s">
        <v>592</v>
      </c>
      <c r="G14" s="176"/>
      <c r="H14" s="176"/>
      <c r="I14" s="176"/>
      <c r="J14" s="182"/>
    </row>
    <row r="15" spans="1:21" ht="20.100000000000001" customHeight="1">
      <c r="A15" s="112"/>
      <c r="B15" s="175">
        <f>'明细表G1-2'!W13</f>
        <v>0</v>
      </c>
      <c r="C15" s="177"/>
      <c r="D15" s="177"/>
      <c r="E15" s="177"/>
      <c r="F15" s="177"/>
      <c r="G15" s="177"/>
      <c r="H15" s="177"/>
      <c r="I15" s="177"/>
      <c r="J15" s="182"/>
    </row>
    <row r="16" spans="1:21" ht="20.100000000000001" customHeight="1">
      <c r="A16" s="112"/>
      <c r="B16" s="175">
        <f>'明细表G1-2'!W14</f>
        <v>0</v>
      </c>
      <c r="C16" s="177"/>
      <c r="D16" s="177"/>
      <c r="E16" s="177"/>
      <c r="F16" s="177"/>
      <c r="G16" s="177"/>
      <c r="H16" s="177"/>
      <c r="I16" s="177"/>
      <c r="J16" s="182"/>
    </row>
    <row r="17" spans="1:10" ht="20.100000000000001" customHeight="1">
      <c r="A17" s="112"/>
      <c r="B17" s="175">
        <f>'明细表G1-2'!W15</f>
        <v>0</v>
      </c>
      <c r="C17" s="177"/>
      <c r="D17" s="177"/>
      <c r="E17" s="177"/>
      <c r="F17" s="177"/>
      <c r="G17" s="177"/>
      <c r="H17" s="177"/>
      <c r="I17" s="177"/>
      <c r="J17" s="182"/>
    </row>
    <row r="18" spans="1:10" ht="20.100000000000001" customHeight="1">
      <c r="A18" s="112"/>
      <c r="B18" s="175">
        <f>'明细表G1-2'!W16</f>
        <v>0</v>
      </c>
      <c r="C18" s="177"/>
      <c r="D18" s="177"/>
      <c r="E18" s="177"/>
      <c r="F18" s="177"/>
      <c r="G18" s="177"/>
      <c r="H18" s="177"/>
      <c r="I18" s="177"/>
      <c r="J18" s="182"/>
    </row>
    <row r="19" spans="1:10" ht="20.100000000000001" customHeight="1">
      <c r="A19" s="112"/>
      <c r="B19" s="175"/>
      <c r="C19" s="177"/>
      <c r="D19" s="177"/>
      <c r="E19" s="177"/>
      <c r="F19" s="177"/>
      <c r="G19" s="177"/>
      <c r="H19" s="177"/>
      <c r="I19" s="177"/>
      <c r="J19" s="182"/>
    </row>
    <row r="20" spans="1:10" ht="20.100000000000001" customHeight="1">
      <c r="A20" s="112"/>
      <c r="B20" s="175"/>
      <c r="C20" s="177"/>
      <c r="D20" s="177"/>
      <c r="E20" s="177"/>
      <c r="F20" s="177"/>
      <c r="G20" s="177"/>
      <c r="H20" s="177"/>
      <c r="I20" s="177"/>
      <c r="J20" s="182"/>
    </row>
    <row r="21" spans="1:10" ht="20.100000000000001" customHeight="1">
      <c r="A21" s="112"/>
      <c r="B21" s="175"/>
      <c r="C21" s="177"/>
      <c r="D21" s="177"/>
      <c r="E21" s="177"/>
      <c r="F21" s="177"/>
      <c r="G21" s="177"/>
      <c r="H21" s="177"/>
      <c r="I21" s="177"/>
      <c r="J21" s="182"/>
    </row>
    <row r="22" spans="1:10" ht="20.100000000000001" customHeight="1">
      <c r="A22" s="112"/>
      <c r="B22" s="175"/>
      <c r="C22" s="177"/>
      <c r="D22" s="177"/>
      <c r="E22" s="177"/>
      <c r="F22" s="177"/>
      <c r="G22" s="177"/>
      <c r="H22" s="177"/>
      <c r="I22" s="177"/>
      <c r="J22" s="182"/>
    </row>
    <row r="23" spans="1:10" ht="20.100000000000001" customHeight="1">
      <c r="A23" s="112"/>
      <c r="B23" s="175"/>
      <c r="C23" s="177"/>
      <c r="D23" s="177"/>
      <c r="E23" s="177"/>
      <c r="F23" s="177"/>
      <c r="G23" s="177"/>
      <c r="H23" s="177"/>
      <c r="I23" s="177"/>
      <c r="J23" s="182"/>
    </row>
    <row r="24" spans="1:10" ht="20.100000000000001" customHeight="1">
      <c r="A24" s="178" t="s">
        <v>192</v>
      </c>
      <c r="B24" s="179">
        <f>SUM(B14:B23)</f>
        <v>0</v>
      </c>
      <c r="C24" s="179"/>
      <c r="D24" s="179"/>
      <c r="E24" s="179"/>
      <c r="F24" s="179"/>
      <c r="G24" s="179"/>
      <c r="H24" s="179"/>
      <c r="I24" s="179"/>
      <c r="J24" s="179"/>
    </row>
    <row r="25" spans="1:10" ht="20.100000000000001" customHeight="1">
      <c r="A25" s="12"/>
    </row>
    <row r="26" spans="1:10" ht="20.100000000000001" customHeight="1">
      <c r="A26" s="11" t="s">
        <v>441</v>
      </c>
    </row>
    <row r="27" spans="1:10" ht="20.100000000000001" customHeight="1">
      <c r="A27" s="3"/>
    </row>
    <row r="28" spans="1:10" ht="20.100000000000001" customHeight="1">
      <c r="A28" s="3"/>
    </row>
    <row r="29" spans="1:10" ht="20.100000000000001" customHeight="1">
      <c r="A29" s="11" t="s">
        <v>593</v>
      </c>
    </row>
    <row r="30" spans="1:10" ht="20.100000000000001" customHeight="1"/>
    <row r="31" spans="1:10" ht="20.100000000000001" customHeight="1"/>
  </sheetData>
  <mergeCells count="7">
    <mergeCell ref="A1:J1"/>
    <mergeCell ref="A2:J2"/>
    <mergeCell ref="C12:E12"/>
    <mergeCell ref="A12:A13"/>
    <mergeCell ref="B12:B13"/>
    <mergeCell ref="I12:I13"/>
    <mergeCell ref="J12:J13"/>
  </mergeCells>
  <phoneticPr fontId="171" type="noConversion"/>
  <hyperlinks>
    <hyperlink ref="J3" location="底稿目录!A1" display="=底稿目录!F15"/>
  </hyperlinks>
  <pageMargins left="0.7" right="0.7" top="0.75" bottom="0.75" header="0.3" footer="0.3"/>
  <pageSetup paperSize="9" scale="75" fitToHeight="0" orientation="landscape" blackAndWhite="1" r:id="rId1"/>
  <headerFooter>
    <oddFooter>&amp;C&amp;P/&amp;N</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80"/>
  <sheetViews>
    <sheetView view="pageBreakPreview" zoomScale="110" zoomScaleNormal="130" workbookViewId="0">
      <selection activeCell="H3" sqref="H3"/>
    </sheetView>
  </sheetViews>
  <sheetFormatPr defaultColWidth="9" defaultRowHeight="13.8"/>
  <cols>
    <col min="1" max="1" width="15.21875" style="139" customWidth="1"/>
    <col min="2" max="2" width="12.109375" style="139" customWidth="1"/>
    <col min="3" max="3" width="9.88671875" style="139" customWidth="1"/>
    <col min="4" max="4" width="13.109375" style="139" customWidth="1"/>
    <col min="5" max="5" width="11.21875" style="139" customWidth="1"/>
    <col min="6" max="6" width="17.21875" style="139" customWidth="1"/>
    <col min="7" max="7" width="11.88671875" style="139" customWidth="1"/>
    <col min="8" max="8" width="15.5546875" style="139" customWidth="1"/>
    <col min="9" max="9" width="62.109375" style="161" customWidth="1"/>
    <col min="10" max="16384" width="9" style="139"/>
  </cols>
  <sheetData>
    <row r="1" spans="1:9" s="136" customFormat="1" ht="20.100000000000001" customHeight="1">
      <c r="A1" s="634" t="s">
        <v>37</v>
      </c>
      <c r="B1" s="634"/>
      <c r="C1" s="634"/>
      <c r="D1" s="634"/>
      <c r="E1" s="634"/>
      <c r="F1" s="634"/>
      <c r="G1" s="634"/>
      <c r="H1" s="634"/>
      <c r="I1" s="503"/>
    </row>
    <row r="2" spans="1:9" s="137" customFormat="1" ht="25.05" customHeight="1">
      <c r="A2" s="635" t="s">
        <v>27</v>
      </c>
      <c r="B2" s="635"/>
      <c r="C2" s="635"/>
      <c r="D2" s="635"/>
      <c r="E2" s="635"/>
      <c r="F2" s="635"/>
      <c r="G2" s="635"/>
      <c r="H2" s="635"/>
      <c r="I2" s="504"/>
    </row>
    <row r="3" spans="1:9" ht="20.100000000000001" customHeight="1">
      <c r="A3" s="111" t="str">
        <f>底稿目录!A2</f>
        <v>被审计单位：</v>
      </c>
      <c r="B3" s="111"/>
      <c r="C3" s="111"/>
      <c r="D3" s="111" t="str">
        <f>底稿目录!A4</f>
        <v>编制人：</v>
      </c>
      <c r="E3" s="111"/>
      <c r="F3" s="111" t="str">
        <f>底稿目录!A5</f>
        <v>编制日期：</v>
      </c>
      <c r="G3" s="111" t="s">
        <v>38</v>
      </c>
      <c r="H3" s="510" t="str">
        <f>底稿目录!F16</f>
        <v>G1-10</v>
      </c>
    </row>
    <row r="4" spans="1:9" ht="20.100000000000001" customHeight="1">
      <c r="A4" s="111" t="str">
        <f>底稿目录!A3</f>
        <v>截止日：202X年12月31日</v>
      </c>
      <c r="B4" s="111"/>
      <c r="C4" s="140"/>
      <c r="D4" s="111" t="str">
        <f>底稿目录!A6</f>
        <v>复核人：</v>
      </c>
      <c r="E4" s="111"/>
      <c r="F4" s="111" t="str">
        <f>底稿目录!A7</f>
        <v>复核日期：</v>
      </c>
      <c r="G4" s="111" t="s">
        <v>515</v>
      </c>
    </row>
    <row r="5" spans="1:9" s="138" customFormat="1" ht="20.100000000000001" customHeight="1">
      <c r="A5" s="606" t="s">
        <v>516</v>
      </c>
      <c r="B5" s="606"/>
      <c r="C5" s="606"/>
      <c r="D5" s="606"/>
      <c r="E5" s="606"/>
      <c r="F5" s="606"/>
      <c r="G5" s="606"/>
      <c r="H5" s="606"/>
      <c r="I5" s="162"/>
    </row>
    <row r="6" spans="1:9" s="138" customFormat="1" ht="29.25" customHeight="1">
      <c r="A6" s="652" t="s">
        <v>594</v>
      </c>
      <c r="B6" s="652"/>
      <c r="C6" s="652"/>
      <c r="D6" s="652"/>
      <c r="E6" s="652"/>
      <c r="F6" s="652"/>
      <c r="G6" s="652"/>
      <c r="H6" s="652"/>
      <c r="I6" s="162"/>
    </row>
    <row r="7" spans="1:9" s="138" customFormat="1" ht="20.100000000000001" customHeight="1">
      <c r="A7" s="141" t="s">
        <v>518</v>
      </c>
      <c r="B7" s="142" t="s">
        <v>595</v>
      </c>
      <c r="D7" s="141"/>
      <c r="E7" s="138" t="s">
        <v>596</v>
      </c>
      <c r="F7" s="141"/>
      <c r="G7" s="141"/>
      <c r="H7" s="141"/>
      <c r="I7" s="162"/>
    </row>
    <row r="8" spans="1:9" ht="22.5" customHeight="1">
      <c r="B8" s="138" t="s">
        <v>597</v>
      </c>
      <c r="E8" s="138" t="s">
        <v>598</v>
      </c>
      <c r="G8" s="143" t="s">
        <v>528</v>
      </c>
      <c r="I8" s="484"/>
    </row>
    <row r="9" spans="1:9" ht="19.5" customHeight="1">
      <c r="B9" s="138" t="s">
        <v>599</v>
      </c>
      <c r="E9" s="138" t="s">
        <v>600</v>
      </c>
      <c r="I9" s="484" t="s">
        <v>839</v>
      </c>
    </row>
    <row r="10" spans="1:9" ht="22.5" customHeight="1">
      <c r="A10" s="144" t="s">
        <v>602</v>
      </c>
    </row>
    <row r="11" spans="1:9" ht="26.25" customHeight="1">
      <c r="A11" s="145" t="s">
        <v>586</v>
      </c>
      <c r="B11" s="145" t="s">
        <v>603</v>
      </c>
      <c r="C11" s="145" t="s">
        <v>437</v>
      </c>
      <c r="D11" s="145" t="s">
        <v>604</v>
      </c>
      <c r="E11" s="145" t="s">
        <v>605</v>
      </c>
      <c r="F11" s="145" t="s">
        <v>606</v>
      </c>
      <c r="G11" s="145" t="s">
        <v>607</v>
      </c>
      <c r="H11" s="145" t="s">
        <v>608</v>
      </c>
    </row>
    <row r="12" spans="1:9" ht="22.5" customHeight="1">
      <c r="A12" s="146"/>
      <c r="B12" s="147"/>
      <c r="C12" s="147"/>
      <c r="D12" s="148"/>
      <c r="E12" s="149"/>
      <c r="F12" s="149"/>
      <c r="G12" s="149"/>
      <c r="H12" s="150" t="s">
        <v>609</v>
      </c>
      <c r="I12" s="484" t="s">
        <v>610</v>
      </c>
    </row>
    <row r="13" spans="1:9" ht="22.5" customHeight="1">
      <c r="A13" s="146"/>
      <c r="B13" s="147"/>
      <c r="C13" s="147"/>
      <c r="D13" s="148"/>
      <c r="E13" s="149"/>
      <c r="F13" s="149"/>
      <c r="G13" s="149"/>
      <c r="H13" s="150" t="s">
        <v>609</v>
      </c>
    </row>
    <row r="14" spans="1:9" ht="22.5" customHeight="1">
      <c r="A14" s="146"/>
      <c r="B14" s="147"/>
      <c r="C14" s="147"/>
      <c r="D14" s="148"/>
      <c r="E14" s="149"/>
      <c r="F14" s="149"/>
      <c r="G14" s="149"/>
      <c r="H14" s="150" t="s">
        <v>609</v>
      </c>
    </row>
    <row r="15" spans="1:9" ht="19.5" customHeight="1">
      <c r="A15" s="604"/>
      <c r="B15" s="605"/>
      <c r="C15" s="605"/>
      <c r="D15" s="605"/>
      <c r="E15" s="605"/>
      <c r="F15" s="605"/>
      <c r="G15" s="605"/>
      <c r="H15" s="605"/>
    </row>
    <row r="16" spans="1:9" ht="22.5" customHeight="1">
      <c r="A16" s="144" t="s">
        <v>611</v>
      </c>
    </row>
    <row r="17" spans="1:9" ht="22.5" customHeight="1">
      <c r="A17" s="144" t="s">
        <v>612</v>
      </c>
    </row>
    <row r="18" spans="1:9" ht="23.25" customHeight="1">
      <c r="A18" s="646" t="s">
        <v>586</v>
      </c>
      <c r="B18" s="646" t="s">
        <v>613</v>
      </c>
      <c r="C18" s="646" t="s">
        <v>614</v>
      </c>
      <c r="D18" s="636" t="s">
        <v>615</v>
      </c>
      <c r="E18" s="575"/>
      <c r="F18" s="636" t="s">
        <v>616</v>
      </c>
      <c r="G18" s="575"/>
      <c r="H18" s="646" t="s">
        <v>608</v>
      </c>
    </row>
    <row r="19" spans="1:9" ht="23.25" customHeight="1">
      <c r="A19" s="577"/>
      <c r="B19" s="577"/>
      <c r="C19" s="577"/>
      <c r="D19" s="145" t="s">
        <v>617</v>
      </c>
      <c r="E19" s="145" t="s">
        <v>618</v>
      </c>
      <c r="F19" s="145" t="s">
        <v>619</v>
      </c>
      <c r="G19" s="145" t="s">
        <v>620</v>
      </c>
      <c r="H19" s="577"/>
    </row>
    <row r="20" spans="1:9" ht="29.25" customHeight="1">
      <c r="A20" s="153" t="s">
        <v>621</v>
      </c>
      <c r="B20" s="147"/>
      <c r="C20" s="154" t="s">
        <v>535</v>
      </c>
      <c r="D20" s="154" t="s">
        <v>535</v>
      </c>
      <c r="E20" s="155">
        <v>3.5000000000000003E-2</v>
      </c>
      <c r="F20" s="154" t="s">
        <v>539</v>
      </c>
      <c r="G20" s="155"/>
      <c r="H20" s="156" t="str">
        <f>IF(AND(C20="是",D20="是",F20="否"),"通过SPPI测试",IF(AND(C20="是",F20="是"),"分析浮动收益是否是不现实的","穿透分析底层资产"))</f>
        <v>通过SPPI测试</v>
      </c>
      <c r="I20" s="484"/>
    </row>
    <row r="21" spans="1:9" ht="29.25" customHeight="1">
      <c r="A21" s="146" t="s">
        <v>622</v>
      </c>
      <c r="B21" s="147"/>
      <c r="C21" s="154" t="s">
        <v>535</v>
      </c>
      <c r="D21" s="154" t="s">
        <v>535</v>
      </c>
      <c r="E21" s="155">
        <v>1.8100000000000002E-2</v>
      </c>
      <c r="F21" s="154" t="s">
        <v>535</v>
      </c>
      <c r="G21" s="155">
        <v>1.7899999999999999E-2</v>
      </c>
      <c r="H21" s="156" t="str">
        <f t="shared" ref="H21:H23" si="0">IF(AND(C21="是",D21="是",F21="否"),"通过SPPI测试",IF(AND(C21="是",F21="是"),"分析浮动收益是否是不现实的","穿透分析底层资产"))</f>
        <v>分析浮动收益是否是不现实的</v>
      </c>
    </row>
    <row r="22" spans="1:9" ht="29.25" customHeight="1">
      <c r="A22" s="153" t="s">
        <v>623</v>
      </c>
      <c r="B22" s="147"/>
      <c r="C22" s="154" t="s">
        <v>535</v>
      </c>
      <c r="D22" s="154" t="s">
        <v>539</v>
      </c>
      <c r="E22" s="155"/>
      <c r="F22" s="154" t="s">
        <v>535</v>
      </c>
      <c r="G22" s="155"/>
      <c r="H22" s="156" t="str">
        <f t="shared" si="0"/>
        <v>分析浮动收益是否是不现实的</v>
      </c>
    </row>
    <row r="23" spans="1:9" ht="52.5" customHeight="1">
      <c r="A23" s="153" t="s">
        <v>624</v>
      </c>
      <c r="B23" s="147"/>
      <c r="C23" s="154" t="s">
        <v>539</v>
      </c>
      <c r="D23" s="154" t="s">
        <v>539</v>
      </c>
      <c r="E23" s="155"/>
      <c r="F23" s="154" t="s">
        <v>535</v>
      </c>
      <c r="G23" s="155"/>
      <c r="H23" s="156" t="str">
        <f t="shared" si="0"/>
        <v>穿透分析底层资产</v>
      </c>
      <c r="I23" s="484" t="s">
        <v>625</v>
      </c>
    </row>
    <row r="24" spans="1:9" ht="22.5" customHeight="1">
      <c r="A24" s="144" t="s">
        <v>626</v>
      </c>
      <c r="I24" s="484" t="s">
        <v>627</v>
      </c>
    </row>
    <row r="25" spans="1:9" ht="33" customHeight="1">
      <c r="A25" s="151" t="s">
        <v>586</v>
      </c>
      <c r="B25" s="151" t="s">
        <v>618</v>
      </c>
      <c r="C25" s="636" t="s">
        <v>628</v>
      </c>
      <c r="D25" s="648"/>
      <c r="E25" s="575"/>
      <c r="F25" s="145" t="s">
        <v>629</v>
      </c>
      <c r="G25" s="151" t="s">
        <v>630</v>
      </c>
      <c r="H25" s="151" t="s">
        <v>608</v>
      </c>
    </row>
    <row r="26" spans="1:9" ht="143.25" customHeight="1">
      <c r="A26" s="146" t="s">
        <v>623</v>
      </c>
      <c r="B26" s="155">
        <v>3.3000000000000002E-2</v>
      </c>
      <c r="C26" s="649" t="s">
        <v>631</v>
      </c>
      <c r="D26" s="650"/>
      <c r="E26" s="651"/>
      <c r="F26" s="157" t="s">
        <v>632</v>
      </c>
      <c r="G26" s="157" t="s">
        <v>633</v>
      </c>
      <c r="H26" s="158" t="str">
        <f>IF(G26="不现实的","通过SPPI测试","通不过SPPI测试")</f>
        <v>通不过SPPI测试</v>
      </c>
      <c r="I26" s="161" t="s">
        <v>840</v>
      </c>
    </row>
    <row r="27" spans="1:9" ht="19.5" customHeight="1">
      <c r="A27" s="604"/>
      <c r="B27" s="605"/>
      <c r="C27" s="605"/>
      <c r="D27" s="605"/>
      <c r="E27" s="605"/>
      <c r="F27" s="605"/>
      <c r="G27" s="605"/>
      <c r="H27" s="605"/>
    </row>
    <row r="28" spans="1:9" ht="22.5" customHeight="1">
      <c r="A28" s="144" t="s">
        <v>634</v>
      </c>
    </row>
    <row r="29" spans="1:9" ht="39.75" customHeight="1">
      <c r="A29" s="145" t="s">
        <v>586</v>
      </c>
      <c r="B29" s="145" t="s">
        <v>603</v>
      </c>
      <c r="C29" s="145" t="s">
        <v>635</v>
      </c>
      <c r="D29" s="145" t="s">
        <v>636</v>
      </c>
      <c r="E29" s="145" t="s">
        <v>637</v>
      </c>
      <c r="F29" s="145" t="s">
        <v>638</v>
      </c>
      <c r="G29" s="145" t="s">
        <v>639</v>
      </c>
      <c r="H29" s="145" t="s">
        <v>608</v>
      </c>
      <c r="I29" s="484" t="s">
        <v>640</v>
      </c>
    </row>
    <row r="30" spans="1:9" ht="39" customHeight="1">
      <c r="A30" s="146" t="s">
        <v>641</v>
      </c>
      <c r="B30" s="147"/>
      <c r="C30" s="157" t="s">
        <v>642</v>
      </c>
      <c r="D30" s="155">
        <v>4.4999999999999998E-2</v>
      </c>
      <c r="E30" s="157" t="s">
        <v>643</v>
      </c>
      <c r="F30" s="154" t="s">
        <v>644</v>
      </c>
      <c r="G30" s="154" t="s">
        <v>539</v>
      </c>
      <c r="H30" s="150" t="s">
        <v>645</v>
      </c>
      <c r="I30" s="484" t="s">
        <v>646</v>
      </c>
    </row>
    <row r="31" spans="1:9" ht="30" customHeight="1">
      <c r="A31" s="146"/>
      <c r="B31" s="147"/>
      <c r="C31" s="157"/>
      <c r="D31" s="157"/>
      <c r="E31" s="154"/>
      <c r="F31" s="154"/>
      <c r="G31" s="154"/>
      <c r="H31" s="150"/>
      <c r="I31" s="484" t="s">
        <v>647</v>
      </c>
    </row>
    <row r="32" spans="1:9" ht="30" customHeight="1">
      <c r="A32" s="146"/>
      <c r="B32" s="147"/>
      <c r="C32" s="157"/>
      <c r="D32" s="157"/>
      <c r="E32" s="154"/>
      <c r="F32" s="154"/>
      <c r="G32" s="154"/>
      <c r="H32" s="150"/>
    </row>
    <row r="33" spans="1:9" ht="19.5" customHeight="1">
      <c r="A33" s="604"/>
      <c r="B33" s="605"/>
      <c r="C33" s="605"/>
      <c r="D33" s="605"/>
      <c r="E33" s="605"/>
      <c r="F33" s="605"/>
      <c r="G33" s="605"/>
      <c r="H33" s="605"/>
    </row>
    <row r="34" spans="1:9" ht="22.5" customHeight="1">
      <c r="A34" s="144" t="s">
        <v>648</v>
      </c>
    </row>
    <row r="35" spans="1:9" ht="39.75" customHeight="1">
      <c r="A35" s="145" t="s">
        <v>586</v>
      </c>
      <c r="B35" s="145" t="s">
        <v>613</v>
      </c>
      <c r="C35" s="145" t="s">
        <v>635</v>
      </c>
      <c r="D35" s="145" t="s">
        <v>437</v>
      </c>
      <c r="E35" s="145" t="s">
        <v>649</v>
      </c>
      <c r="F35" s="636" t="s">
        <v>533</v>
      </c>
      <c r="G35" s="647"/>
      <c r="H35" s="145" t="s">
        <v>608</v>
      </c>
      <c r="I35" s="484"/>
    </row>
    <row r="36" spans="1:9" ht="65.25" customHeight="1">
      <c r="A36" s="146" t="s">
        <v>650</v>
      </c>
      <c r="B36" s="147"/>
      <c r="C36" s="157" t="s">
        <v>651</v>
      </c>
      <c r="D36" s="155" t="s">
        <v>652</v>
      </c>
      <c r="E36" s="157" t="s">
        <v>653</v>
      </c>
      <c r="F36" s="632" t="s">
        <v>654</v>
      </c>
      <c r="G36" s="575"/>
      <c r="H36" s="150" t="s">
        <v>655</v>
      </c>
      <c r="I36" s="484" t="s">
        <v>656</v>
      </c>
    </row>
    <row r="37" spans="1:9" ht="30" customHeight="1">
      <c r="A37" s="146"/>
      <c r="B37" s="147"/>
      <c r="C37" s="157"/>
      <c r="D37" s="157"/>
      <c r="E37" s="154"/>
      <c r="F37" s="632"/>
      <c r="G37" s="575"/>
      <c r="H37" s="150"/>
    </row>
    <row r="38" spans="1:9" ht="30" customHeight="1">
      <c r="A38" s="146"/>
      <c r="B38" s="147"/>
      <c r="C38" s="157"/>
      <c r="D38" s="157"/>
      <c r="E38" s="154"/>
      <c r="F38" s="632"/>
      <c r="G38" s="575"/>
      <c r="H38" s="150"/>
    </row>
    <row r="39" spans="1:9" ht="19.5" customHeight="1">
      <c r="A39" s="604"/>
      <c r="B39" s="605"/>
      <c r="C39" s="605"/>
      <c r="D39" s="605"/>
      <c r="E39" s="605"/>
      <c r="F39" s="605"/>
      <c r="G39" s="605"/>
      <c r="H39" s="605"/>
    </row>
    <row r="40" spans="1:9" ht="22.5" customHeight="1">
      <c r="A40" s="144" t="s">
        <v>657</v>
      </c>
    </row>
    <row r="41" spans="1:9" ht="31.5" customHeight="1">
      <c r="A41" s="151" t="s">
        <v>586</v>
      </c>
      <c r="B41" s="145" t="s">
        <v>613</v>
      </c>
      <c r="C41" s="151" t="s">
        <v>635</v>
      </c>
      <c r="D41" s="151" t="s">
        <v>437</v>
      </c>
      <c r="E41" s="152" t="s">
        <v>658</v>
      </c>
      <c r="F41" s="151" t="s">
        <v>659</v>
      </c>
      <c r="G41" s="151" t="s">
        <v>660</v>
      </c>
      <c r="H41" s="151" t="s">
        <v>608</v>
      </c>
      <c r="I41" s="484"/>
    </row>
    <row r="42" spans="1:9" ht="141" customHeight="1">
      <c r="A42" s="146" t="s">
        <v>661</v>
      </c>
      <c r="B42" s="147"/>
      <c r="C42" s="157" t="s">
        <v>662</v>
      </c>
      <c r="D42" s="155">
        <v>7.0000000000000007E-2</v>
      </c>
      <c r="E42" s="157" t="s">
        <v>663</v>
      </c>
      <c r="F42" s="154" t="s">
        <v>664</v>
      </c>
      <c r="G42" s="154" t="s">
        <v>665</v>
      </c>
      <c r="H42" s="154" t="s">
        <v>666</v>
      </c>
      <c r="I42" s="484" t="s">
        <v>667</v>
      </c>
    </row>
    <row r="43" spans="1:9" ht="56.25" customHeight="1">
      <c r="A43" s="146" t="s">
        <v>668</v>
      </c>
      <c r="B43" s="147"/>
      <c r="C43" s="157" t="s">
        <v>669</v>
      </c>
      <c r="D43" s="157" t="s">
        <v>670</v>
      </c>
      <c r="E43" s="154" t="s">
        <v>671</v>
      </c>
      <c r="F43" s="154" t="s">
        <v>672</v>
      </c>
      <c r="G43" s="154" t="s">
        <v>672</v>
      </c>
      <c r="H43" s="154" t="s">
        <v>673</v>
      </c>
      <c r="I43" s="484" t="s">
        <v>674</v>
      </c>
    </row>
    <row r="44" spans="1:9" ht="30" customHeight="1">
      <c r="A44" s="146"/>
      <c r="B44" s="147"/>
      <c r="C44" s="157"/>
      <c r="D44" s="157"/>
      <c r="E44" s="154"/>
      <c r="F44" s="154"/>
      <c r="G44" s="154"/>
      <c r="H44" s="150"/>
    </row>
    <row r="45" spans="1:9" ht="19.5" customHeight="1">
      <c r="A45" s="604"/>
      <c r="B45" s="605"/>
      <c r="C45" s="605"/>
      <c r="D45" s="605"/>
      <c r="E45" s="605"/>
      <c r="F45" s="605"/>
      <c r="G45" s="605"/>
      <c r="H45" s="605"/>
    </row>
    <row r="46" spans="1:9" ht="22.5" customHeight="1">
      <c r="A46" s="144" t="s">
        <v>675</v>
      </c>
    </row>
    <row r="47" spans="1:9" ht="31.5" customHeight="1">
      <c r="A47" s="151" t="s">
        <v>586</v>
      </c>
      <c r="B47" s="145" t="s">
        <v>613</v>
      </c>
      <c r="C47" s="151" t="s">
        <v>635</v>
      </c>
      <c r="D47" s="151" t="s">
        <v>437</v>
      </c>
      <c r="E47" s="152" t="s">
        <v>676</v>
      </c>
      <c r="F47" s="152" t="s">
        <v>658</v>
      </c>
      <c r="G47" s="152" t="s">
        <v>677</v>
      </c>
      <c r="H47" s="151" t="s">
        <v>608</v>
      </c>
      <c r="I47" s="484"/>
    </row>
    <row r="48" spans="1:9" ht="181.5" customHeight="1">
      <c r="A48" s="146" t="s">
        <v>678</v>
      </c>
      <c r="B48" s="147"/>
      <c r="C48" s="157"/>
      <c r="D48" s="155">
        <v>4.8500000000000001E-2</v>
      </c>
      <c r="E48" s="157" t="s">
        <v>679</v>
      </c>
      <c r="F48" s="154" t="s">
        <v>680</v>
      </c>
      <c r="G48" s="154" t="s">
        <v>681</v>
      </c>
      <c r="H48" s="154" t="s">
        <v>682</v>
      </c>
      <c r="I48" s="484" t="s">
        <v>683</v>
      </c>
    </row>
    <row r="49" spans="1:9" ht="141" customHeight="1">
      <c r="A49" s="146" t="s">
        <v>684</v>
      </c>
      <c r="B49" s="147"/>
      <c r="C49" s="157"/>
      <c r="D49" s="157" t="s">
        <v>685</v>
      </c>
      <c r="E49" s="154" t="s">
        <v>686</v>
      </c>
      <c r="F49" s="154" t="s">
        <v>680</v>
      </c>
      <c r="G49" s="154" t="s">
        <v>687</v>
      </c>
      <c r="H49" s="154" t="s">
        <v>688</v>
      </c>
    </row>
    <row r="50" spans="1:9" ht="30" customHeight="1">
      <c r="A50" s="146"/>
      <c r="B50" s="147"/>
      <c r="C50" s="157"/>
      <c r="D50" s="157"/>
      <c r="E50" s="154"/>
      <c r="F50" s="154"/>
      <c r="G50" s="154"/>
      <c r="H50" s="150"/>
    </row>
    <row r="51" spans="1:9" ht="19.5" customHeight="1">
      <c r="A51" s="604"/>
      <c r="B51" s="605"/>
      <c r="C51" s="605"/>
      <c r="D51" s="605"/>
      <c r="E51" s="605"/>
      <c r="F51" s="605"/>
      <c r="G51" s="605"/>
      <c r="H51" s="605"/>
    </row>
    <row r="52" spans="1:9" ht="19.5" customHeight="1">
      <c r="A52" s="604"/>
      <c r="B52" s="605"/>
      <c r="C52" s="605"/>
      <c r="D52" s="605"/>
      <c r="E52" s="605"/>
      <c r="F52" s="605"/>
      <c r="G52" s="605"/>
      <c r="H52" s="605"/>
    </row>
    <row r="53" spans="1:9" ht="19.5" customHeight="1">
      <c r="A53" s="606" t="s">
        <v>441</v>
      </c>
      <c r="B53" s="606"/>
      <c r="C53" s="606"/>
      <c r="D53" s="606"/>
      <c r="E53" s="606"/>
      <c r="F53" s="606"/>
      <c r="G53" s="606"/>
      <c r="H53" s="606"/>
    </row>
    <row r="54" spans="1:9" ht="19.5" customHeight="1">
      <c r="A54" s="604"/>
      <c r="B54" s="605"/>
      <c r="C54" s="605"/>
      <c r="D54" s="605"/>
      <c r="E54" s="605"/>
      <c r="F54" s="605"/>
      <c r="G54" s="605"/>
      <c r="H54" s="605"/>
    </row>
    <row r="55" spans="1:9" ht="19.5" customHeight="1">
      <c r="A55" s="606" t="s">
        <v>555</v>
      </c>
      <c r="B55" s="606"/>
      <c r="C55" s="606"/>
      <c r="D55" s="606"/>
      <c r="E55" s="606"/>
      <c r="F55" s="606"/>
      <c r="G55" s="606"/>
      <c r="H55" s="606"/>
    </row>
    <row r="56" spans="1:9" ht="19.5" customHeight="1">
      <c r="A56" s="604"/>
      <c r="B56" s="605"/>
      <c r="C56" s="605"/>
      <c r="D56" s="605"/>
      <c r="E56" s="605"/>
      <c r="F56" s="605"/>
      <c r="G56" s="605"/>
      <c r="H56" s="605"/>
    </row>
    <row r="57" spans="1:9" ht="18" customHeight="1">
      <c r="A57" s="159" t="s">
        <v>556</v>
      </c>
      <c r="B57" s="160"/>
      <c r="C57" s="160"/>
      <c r="D57" s="160"/>
      <c r="E57" s="160"/>
      <c r="F57" s="160"/>
      <c r="G57" s="160"/>
      <c r="H57" s="161"/>
    </row>
    <row r="58" spans="1:9" s="138" customFormat="1" ht="20.100000000000001" customHeight="1">
      <c r="A58" s="162" t="s">
        <v>689</v>
      </c>
      <c r="B58" s="162"/>
      <c r="C58" s="162"/>
      <c r="D58" s="163"/>
      <c r="E58" s="162"/>
      <c r="F58" s="163"/>
      <c r="G58" s="163"/>
      <c r="H58" s="163"/>
      <c r="I58" s="162"/>
    </row>
    <row r="59" spans="1:9" ht="21.75" customHeight="1">
      <c r="A59" s="645" t="s">
        <v>690</v>
      </c>
      <c r="B59" s="645"/>
      <c r="C59" s="645"/>
      <c r="D59" s="645"/>
      <c r="E59" s="645"/>
      <c r="F59" s="645"/>
      <c r="G59" s="645"/>
      <c r="H59" s="645"/>
      <c r="I59" s="484"/>
    </row>
    <row r="60" spans="1:9" ht="34.950000000000003" customHeight="1">
      <c r="A60" s="645" t="s">
        <v>691</v>
      </c>
      <c r="B60" s="645"/>
      <c r="C60" s="645"/>
      <c r="D60" s="645"/>
      <c r="E60" s="645"/>
      <c r="F60" s="645"/>
      <c r="G60" s="645"/>
      <c r="H60" s="645"/>
      <c r="I60" s="484" t="s">
        <v>692</v>
      </c>
    </row>
    <row r="61" spans="1:9" ht="33" customHeight="1">
      <c r="A61" s="645" t="s">
        <v>693</v>
      </c>
      <c r="B61" s="645"/>
      <c r="C61" s="645"/>
      <c r="D61" s="645"/>
      <c r="E61" s="645"/>
      <c r="F61" s="645"/>
      <c r="G61" s="645"/>
      <c r="H61" s="645"/>
      <c r="I61" s="484"/>
    </row>
    <row r="62" spans="1:9" ht="22.5" customHeight="1">
      <c r="A62" s="162" t="s">
        <v>694</v>
      </c>
      <c r="B62" s="161"/>
      <c r="C62" s="161"/>
      <c r="D62" s="161"/>
      <c r="E62" s="161"/>
      <c r="F62" s="161"/>
      <c r="G62" s="143" t="s">
        <v>528</v>
      </c>
      <c r="H62" s="161"/>
      <c r="I62" s="484"/>
    </row>
    <row r="63" spans="1:9" ht="19.5" customHeight="1">
      <c r="A63" s="645" t="s">
        <v>695</v>
      </c>
      <c r="B63" s="645"/>
      <c r="C63" s="645"/>
      <c r="D63" s="645"/>
      <c r="E63" s="645"/>
      <c r="F63" s="645"/>
      <c r="G63" s="645"/>
      <c r="H63" s="645"/>
      <c r="I63" s="505"/>
    </row>
    <row r="64" spans="1:9" ht="19.5" customHeight="1">
      <c r="A64" s="645" t="s">
        <v>696</v>
      </c>
      <c r="B64" s="645"/>
      <c r="C64" s="645"/>
      <c r="D64" s="645"/>
      <c r="E64" s="645"/>
      <c r="F64" s="645"/>
      <c r="G64" s="645"/>
      <c r="H64" s="645"/>
      <c r="I64" s="505"/>
    </row>
    <row r="65" spans="1:9" ht="34.5" customHeight="1">
      <c r="A65" s="645" t="s">
        <v>697</v>
      </c>
      <c r="B65" s="645"/>
      <c r="C65" s="645"/>
      <c r="D65" s="645"/>
      <c r="E65" s="645"/>
      <c r="F65" s="645"/>
      <c r="G65" s="645"/>
      <c r="H65" s="645"/>
      <c r="I65" s="505"/>
    </row>
    <row r="66" spans="1:9" ht="19.5" customHeight="1">
      <c r="A66" s="162" t="s">
        <v>698</v>
      </c>
      <c r="B66" s="161"/>
      <c r="C66" s="161"/>
      <c r="D66" s="161"/>
      <c r="E66" s="161"/>
      <c r="F66" s="161"/>
      <c r="G66" s="161"/>
      <c r="H66" s="161"/>
      <c r="I66" s="484" t="s">
        <v>601</v>
      </c>
    </row>
    <row r="67" spans="1:9" ht="21.75" customHeight="1">
      <c r="A67" s="645" t="s">
        <v>699</v>
      </c>
      <c r="B67" s="645"/>
      <c r="C67" s="645"/>
      <c r="D67" s="645"/>
      <c r="E67" s="645"/>
      <c r="F67" s="645"/>
      <c r="G67" s="645"/>
      <c r="H67" s="645"/>
      <c r="I67" s="484"/>
    </row>
    <row r="68" spans="1:9" ht="21.75" customHeight="1">
      <c r="A68" s="645" t="s">
        <v>700</v>
      </c>
      <c r="B68" s="645"/>
      <c r="C68" s="645"/>
      <c r="D68" s="645"/>
      <c r="E68" s="645"/>
      <c r="F68" s="645"/>
      <c r="G68" s="645"/>
      <c r="H68" s="645"/>
      <c r="I68" s="484"/>
    </row>
    <row r="69" spans="1:9" ht="21.75" customHeight="1">
      <c r="A69" s="645" t="s">
        <v>701</v>
      </c>
      <c r="B69" s="645"/>
      <c r="C69" s="645"/>
      <c r="D69" s="645"/>
      <c r="E69" s="645"/>
      <c r="F69" s="645"/>
      <c r="G69" s="645"/>
      <c r="H69" s="645"/>
      <c r="I69" s="484"/>
    </row>
    <row r="70" spans="1:9" ht="21.75" customHeight="1">
      <c r="A70" s="162" t="s">
        <v>702</v>
      </c>
      <c r="B70" s="164"/>
      <c r="C70" s="164"/>
      <c r="D70" s="164"/>
      <c r="E70" s="164"/>
      <c r="F70" s="164"/>
      <c r="G70" s="164"/>
      <c r="H70" s="164"/>
      <c r="I70" s="484"/>
    </row>
    <row r="71" spans="1:9" ht="33.75" customHeight="1">
      <c r="A71" s="645" t="s">
        <v>703</v>
      </c>
      <c r="B71" s="645"/>
      <c r="C71" s="645"/>
      <c r="D71" s="645"/>
      <c r="E71" s="645"/>
      <c r="F71" s="645"/>
      <c r="G71" s="645"/>
      <c r="H71" s="645"/>
      <c r="I71" s="505"/>
    </row>
    <row r="72" spans="1:9" ht="30.75" customHeight="1">
      <c r="A72" s="645" t="s">
        <v>704</v>
      </c>
      <c r="B72" s="645"/>
      <c r="C72" s="645"/>
      <c r="D72" s="645"/>
      <c r="E72" s="645"/>
      <c r="F72" s="645"/>
      <c r="G72" s="645"/>
      <c r="H72" s="645"/>
      <c r="I72" s="484"/>
    </row>
    <row r="73" spans="1:9" ht="32.25" customHeight="1">
      <c r="A73" s="645" t="s">
        <v>705</v>
      </c>
      <c r="B73" s="645"/>
      <c r="C73" s="645"/>
      <c r="D73" s="645"/>
      <c r="E73" s="645"/>
      <c r="F73" s="645"/>
      <c r="G73" s="645"/>
      <c r="H73" s="645"/>
      <c r="I73" s="484"/>
    </row>
    <row r="74" spans="1:9" ht="13.5" customHeight="1">
      <c r="A74" s="162" t="s">
        <v>706</v>
      </c>
      <c r="B74" s="164"/>
      <c r="C74" s="164"/>
      <c r="D74" s="164"/>
      <c r="E74" s="164"/>
      <c r="F74" s="164"/>
      <c r="G74" s="164"/>
      <c r="H74" s="164"/>
      <c r="I74" s="484"/>
    </row>
    <row r="75" spans="1:9" ht="32.25" customHeight="1">
      <c r="A75" s="645" t="s">
        <v>707</v>
      </c>
      <c r="B75" s="645"/>
      <c r="C75" s="645"/>
      <c r="D75" s="645"/>
      <c r="E75" s="645"/>
      <c r="F75" s="645"/>
      <c r="G75" s="645"/>
      <c r="H75" s="645"/>
      <c r="I75" s="484"/>
    </row>
    <row r="76" spans="1:9" ht="21" customHeight="1">
      <c r="A76" s="645" t="s">
        <v>708</v>
      </c>
      <c r="B76" s="645"/>
      <c r="C76" s="645"/>
      <c r="D76" s="645"/>
      <c r="E76" s="645"/>
      <c r="F76" s="645"/>
      <c r="G76" s="645"/>
      <c r="H76" s="645"/>
      <c r="I76" s="484" t="s">
        <v>709</v>
      </c>
    </row>
    <row r="77" spans="1:9" ht="21" customHeight="1">
      <c r="A77" s="645" t="s">
        <v>710</v>
      </c>
      <c r="B77" s="645"/>
      <c r="C77" s="645"/>
      <c r="D77" s="645"/>
      <c r="E77" s="645"/>
      <c r="F77" s="645"/>
      <c r="G77" s="645"/>
      <c r="H77" s="645"/>
      <c r="I77" s="484" t="s">
        <v>711</v>
      </c>
    </row>
    <row r="78" spans="1:9" ht="21" customHeight="1">
      <c r="A78" s="162" t="s">
        <v>712</v>
      </c>
      <c r="B78" s="164"/>
      <c r="C78" s="164"/>
      <c r="D78" s="164"/>
      <c r="E78" s="164"/>
      <c r="F78" s="164"/>
      <c r="G78" s="164"/>
      <c r="H78" s="164"/>
      <c r="I78" s="484"/>
    </row>
    <row r="79" spans="1:9" ht="24" customHeight="1">
      <c r="A79" s="645" t="s">
        <v>713</v>
      </c>
      <c r="B79" s="645"/>
      <c r="C79" s="645"/>
      <c r="D79" s="645"/>
      <c r="E79" s="645"/>
      <c r="F79" s="645"/>
      <c r="G79" s="645"/>
      <c r="H79" s="645"/>
      <c r="I79" s="484" t="s">
        <v>674</v>
      </c>
    </row>
    <row r="80" spans="1:9" ht="36" customHeight="1">
      <c r="A80" s="645" t="s">
        <v>714</v>
      </c>
      <c r="B80" s="645"/>
      <c r="C80" s="645"/>
      <c r="D80" s="645"/>
      <c r="E80" s="645"/>
      <c r="F80" s="645"/>
      <c r="G80" s="645"/>
      <c r="H80" s="645"/>
      <c r="I80" s="484" t="s">
        <v>715</v>
      </c>
    </row>
  </sheetData>
  <mergeCells count="44">
    <mergeCell ref="D18:E18"/>
    <mergeCell ref="F18:G18"/>
    <mergeCell ref="C25:E25"/>
    <mergeCell ref="C26:E26"/>
    <mergeCell ref="A1:H1"/>
    <mergeCell ref="A2:H2"/>
    <mergeCell ref="A5:H5"/>
    <mergeCell ref="A6:H6"/>
    <mergeCell ref="A15:H15"/>
    <mergeCell ref="A27:H27"/>
    <mergeCell ref="A33:H33"/>
    <mergeCell ref="F35:G35"/>
    <mergeCell ref="F36:G36"/>
    <mergeCell ref="F37:G37"/>
    <mergeCell ref="F38:G38"/>
    <mergeCell ref="A39:H39"/>
    <mergeCell ref="A45:H45"/>
    <mergeCell ref="A51:H51"/>
    <mergeCell ref="A52:H52"/>
    <mergeCell ref="A61:H61"/>
    <mergeCell ref="A63:H63"/>
    <mergeCell ref="A64:H64"/>
    <mergeCell ref="A65:H65"/>
    <mergeCell ref="A53:H53"/>
    <mergeCell ref="A54:H54"/>
    <mergeCell ref="A55:H55"/>
    <mergeCell ref="A56:H56"/>
    <mergeCell ref="A59:H59"/>
    <mergeCell ref="A80:H80"/>
    <mergeCell ref="A18:A19"/>
    <mergeCell ref="B18:B19"/>
    <mergeCell ref="C18:C19"/>
    <mergeCell ref="H18:H19"/>
    <mergeCell ref="A73:H73"/>
    <mergeCell ref="A75:H75"/>
    <mergeCell ref="A76:H76"/>
    <mergeCell ref="A77:H77"/>
    <mergeCell ref="A79:H79"/>
    <mergeCell ref="A67:H67"/>
    <mergeCell ref="A68:H68"/>
    <mergeCell ref="A69:H69"/>
    <mergeCell ref="A71:H71"/>
    <mergeCell ref="A72:H72"/>
    <mergeCell ref="A60:H60"/>
  </mergeCells>
  <phoneticPr fontId="171" type="noConversion"/>
  <dataValidations count="1">
    <dataValidation type="list" allowBlank="1" showInputMessage="1" showErrorMessage="1" sqref="F20:F23 C20:D23">
      <formula1>"是,否"</formula1>
    </dataValidation>
  </dataValidations>
  <hyperlinks>
    <hyperlink ref="H3" location="底稿目录!A1" display="=底稿目录!F16"/>
  </hyperlinks>
  <printOptions horizontalCentered="1"/>
  <pageMargins left="0.74803149606299202" right="0.55118110236220497" top="0.82677165354330695" bottom="0.23622047244094499" header="0.511811023622047" footer="0.196850393700787"/>
  <pageSetup paperSize="9" scale="71" fitToHeight="0" orientation="portrait" blackAndWhite="1" r:id="rId1"/>
  <headerFooter alignWithMargins="0">
    <oddFooter>&amp;C&amp;P/&amp;N</oddFooter>
  </headerFooter>
  <rowBreaks count="1" manualBreakCount="1">
    <brk id="33" max="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41"/>
  <sheetViews>
    <sheetView view="pageBreakPreview" zoomScaleNormal="100" workbookViewId="0">
      <selection activeCell="E9" sqref="E9"/>
    </sheetView>
  </sheetViews>
  <sheetFormatPr defaultColWidth="9" defaultRowHeight="13.8"/>
  <cols>
    <col min="1" max="1" width="4.88671875" style="120" customWidth="1"/>
    <col min="2" max="2" width="14.33203125" style="120" customWidth="1"/>
    <col min="3" max="3" width="15.88671875" style="120" customWidth="1"/>
    <col min="4" max="4" width="15.33203125" style="120" customWidth="1"/>
    <col min="5" max="5" width="18.33203125" style="120" customWidth="1"/>
    <col min="6" max="7" width="15.33203125" style="120" customWidth="1"/>
    <col min="8" max="16384" width="9" style="120"/>
  </cols>
  <sheetData>
    <row r="1" spans="1:10" s="108" customFormat="1" ht="19.95" customHeight="1">
      <c r="A1" s="584" t="s">
        <v>37</v>
      </c>
      <c r="B1" s="584"/>
      <c r="C1" s="584"/>
      <c r="D1" s="584"/>
      <c r="E1" s="584"/>
      <c r="F1" s="584"/>
      <c r="G1" s="584"/>
    </row>
    <row r="2" spans="1:10" s="109" customFormat="1" ht="19.95" customHeight="1">
      <c r="A2" s="653" t="s">
        <v>29</v>
      </c>
      <c r="B2" s="653"/>
      <c r="C2" s="653"/>
      <c r="D2" s="653"/>
      <c r="E2" s="653"/>
      <c r="F2" s="653"/>
      <c r="G2" s="653"/>
    </row>
    <row r="3" spans="1:10" s="82" customFormat="1" ht="19.95" customHeight="1">
      <c r="A3" s="121" t="str">
        <f>底稿目录!A2</f>
        <v>被审计单位：</v>
      </c>
      <c r="C3" s="86"/>
      <c r="D3" s="87" t="str">
        <f>底稿目录!A4</f>
        <v>编制人：</v>
      </c>
      <c r="E3" s="122" t="str">
        <f>底稿目录!A5</f>
        <v>编制日期：</v>
      </c>
      <c r="F3" s="123" t="s">
        <v>716</v>
      </c>
      <c r="G3" s="10" t="str">
        <f>底稿目录!F17</f>
        <v>G1-11</v>
      </c>
      <c r="H3" s="86"/>
      <c r="I3" s="86"/>
      <c r="J3" s="86"/>
    </row>
    <row r="4" spans="1:10" s="82" customFormat="1" ht="19.95" customHeight="1">
      <c r="A4" s="124" t="str">
        <f>底稿目录!A3</f>
        <v>截止日：202X年12月31日</v>
      </c>
      <c r="C4" s="86"/>
      <c r="D4" s="87" t="str">
        <f>底稿目录!A6</f>
        <v>复核人：</v>
      </c>
      <c r="E4" s="122" t="str">
        <f>底稿目录!A7</f>
        <v>复核日期：</v>
      </c>
      <c r="F4" s="123" t="s">
        <v>364</v>
      </c>
      <c r="H4" s="86"/>
      <c r="I4" s="86"/>
      <c r="J4" s="86"/>
    </row>
    <row r="5" spans="1:10" s="82" customFormat="1" ht="19.95" customHeight="1">
      <c r="A5" s="125" t="s">
        <v>365</v>
      </c>
      <c r="C5" s="88" t="s">
        <v>717</v>
      </c>
      <c r="D5" s="87"/>
      <c r="E5" s="87"/>
      <c r="F5" s="13"/>
      <c r="G5" s="86"/>
      <c r="H5" s="86"/>
      <c r="I5" s="86"/>
      <c r="J5" s="86"/>
    </row>
    <row r="6" spans="1:10" s="82" customFormat="1" ht="19.95" customHeight="1">
      <c r="A6" s="125" t="s">
        <v>368</v>
      </c>
      <c r="C6" s="33"/>
      <c r="D6" s="87"/>
      <c r="E6" s="87"/>
      <c r="F6" s="13"/>
      <c r="G6" s="86"/>
      <c r="H6" s="86"/>
      <c r="I6" s="86"/>
      <c r="J6" s="86"/>
    </row>
    <row r="7" spans="1:10" s="82" customFormat="1" ht="19.95" customHeight="1">
      <c r="A7" s="82" t="s">
        <v>718</v>
      </c>
      <c r="B7" s="124"/>
      <c r="C7" s="86"/>
      <c r="D7" s="87"/>
      <c r="E7" s="87"/>
      <c r="F7" s="13"/>
      <c r="G7" s="86"/>
      <c r="H7" s="86"/>
      <c r="I7" s="86"/>
      <c r="J7" s="86"/>
    </row>
    <row r="8" spans="1:10" s="3" customFormat="1" ht="19.95" customHeight="1">
      <c r="B8" s="3" t="s">
        <v>719</v>
      </c>
      <c r="C8" s="126"/>
      <c r="F8" s="3" t="s">
        <v>720</v>
      </c>
    </row>
    <row r="9" spans="1:10" s="3" customFormat="1" ht="19.95" customHeight="1">
      <c r="B9" s="3" t="s">
        <v>721</v>
      </c>
      <c r="C9" s="126"/>
      <c r="F9" s="3" t="s">
        <v>722</v>
      </c>
    </row>
    <row r="10" spans="1:10" s="3" customFormat="1" ht="19.95" customHeight="1">
      <c r="B10" s="3" t="s">
        <v>723</v>
      </c>
      <c r="C10" s="126"/>
      <c r="F10" s="3" t="s">
        <v>724</v>
      </c>
    </row>
    <row r="11" spans="1:10" s="3" customFormat="1" ht="19.95" customHeight="1">
      <c r="B11" s="3" t="s">
        <v>725</v>
      </c>
      <c r="C11" s="126"/>
    </row>
    <row r="12" spans="1:10" ht="19.95" customHeight="1">
      <c r="B12" s="654" t="s">
        <v>726</v>
      </c>
      <c r="C12" s="654"/>
      <c r="D12" s="654"/>
      <c r="E12" s="654"/>
      <c r="F12" s="654"/>
      <c r="G12" s="654"/>
    </row>
    <row r="13" spans="1:10" s="119" customFormat="1" ht="19.95" customHeight="1">
      <c r="B13" s="127" t="s">
        <v>432</v>
      </c>
      <c r="C13" s="127" t="s">
        <v>727</v>
      </c>
      <c r="D13" s="127" t="s">
        <v>435</v>
      </c>
      <c r="E13" s="127" t="s">
        <v>439</v>
      </c>
      <c r="F13" s="128" t="s">
        <v>728</v>
      </c>
      <c r="G13" s="128" t="s">
        <v>729</v>
      </c>
    </row>
    <row r="14" spans="1:10" s="3" customFormat="1" ht="19.95" customHeight="1">
      <c r="B14" s="129"/>
      <c r="C14" s="129"/>
      <c r="D14" s="129"/>
      <c r="E14" s="129"/>
      <c r="F14" s="129"/>
      <c r="G14" s="129"/>
    </row>
    <row r="15" spans="1:10" s="3" customFormat="1" ht="19.95" customHeight="1">
      <c r="B15" s="129"/>
      <c r="C15" s="129"/>
      <c r="D15" s="129"/>
      <c r="E15" s="129"/>
      <c r="F15" s="129"/>
      <c r="G15" s="129"/>
    </row>
    <row r="16" spans="1:10" s="3" customFormat="1" ht="19.95" customHeight="1">
      <c r="B16" s="129"/>
      <c r="C16" s="129"/>
      <c r="D16" s="129"/>
      <c r="E16" s="129"/>
      <c r="F16" s="129"/>
      <c r="G16" s="129"/>
    </row>
    <row r="17" spans="1:7" s="3" customFormat="1" ht="19.95" customHeight="1">
      <c r="B17" s="129"/>
      <c r="C17" s="129"/>
      <c r="D17" s="129"/>
      <c r="E17" s="129"/>
      <c r="F17" s="129"/>
      <c r="G17" s="129"/>
    </row>
    <row r="18" spans="1:7" s="3" customFormat="1" ht="19.95" customHeight="1">
      <c r="B18" s="129"/>
      <c r="C18" s="129"/>
      <c r="D18" s="129"/>
      <c r="E18" s="129"/>
      <c r="F18" s="129"/>
      <c r="G18" s="129"/>
    </row>
    <row r="19" spans="1:7" s="3" customFormat="1" ht="19.95" customHeight="1">
      <c r="B19" s="129"/>
      <c r="C19" s="129"/>
      <c r="D19" s="129"/>
      <c r="E19" s="129"/>
      <c r="F19" s="129"/>
      <c r="G19" s="129"/>
    </row>
    <row r="20" spans="1:7" s="3" customFormat="1" ht="19.95" customHeight="1">
      <c r="B20" s="129"/>
      <c r="C20" s="129"/>
      <c r="D20" s="129"/>
      <c r="E20" s="129"/>
      <c r="F20" s="129"/>
      <c r="G20" s="129"/>
    </row>
    <row r="21" spans="1:7" s="3" customFormat="1" ht="19.95" customHeight="1">
      <c r="B21" s="129"/>
      <c r="C21" s="129"/>
      <c r="D21" s="129"/>
      <c r="E21" s="129"/>
      <c r="F21" s="129"/>
      <c r="G21" s="129"/>
    </row>
    <row r="22" spans="1:7" s="3" customFormat="1" ht="19.95" customHeight="1">
      <c r="B22" s="129"/>
      <c r="C22" s="129"/>
      <c r="D22" s="129"/>
      <c r="E22" s="129"/>
      <c r="F22" s="129"/>
      <c r="G22" s="129"/>
    </row>
    <row r="23" spans="1:7" s="3" customFormat="1" ht="19.95" customHeight="1">
      <c r="B23" s="129"/>
      <c r="C23" s="129"/>
      <c r="D23" s="129"/>
      <c r="E23" s="129"/>
      <c r="F23" s="129"/>
      <c r="G23" s="129"/>
    </row>
    <row r="24" spans="1:7" s="3" customFormat="1" ht="19.95" customHeight="1">
      <c r="B24" s="129"/>
      <c r="C24" s="129"/>
      <c r="D24" s="129"/>
      <c r="E24" s="129"/>
      <c r="F24" s="129"/>
      <c r="G24" s="129"/>
    </row>
    <row r="25" spans="1:7" s="3" customFormat="1" ht="19.95" customHeight="1">
      <c r="B25" s="129"/>
      <c r="C25" s="129"/>
      <c r="D25" s="129"/>
      <c r="E25" s="129"/>
      <c r="F25" s="129"/>
      <c r="G25" s="129"/>
    </row>
    <row r="26" spans="1:7" s="3" customFormat="1" ht="19.95" customHeight="1">
      <c r="B26" s="129"/>
      <c r="C26" s="129"/>
      <c r="D26" s="129"/>
      <c r="E26" s="129"/>
      <c r="F26" s="129"/>
      <c r="G26" s="129"/>
    </row>
    <row r="27" spans="1:7" s="3" customFormat="1" ht="19.95" customHeight="1">
      <c r="B27" s="129"/>
      <c r="C27" s="129"/>
      <c r="D27" s="129"/>
      <c r="E27" s="129"/>
      <c r="F27" s="129"/>
      <c r="G27" s="129"/>
    </row>
    <row r="28" spans="1:7" s="3" customFormat="1" ht="19.95" customHeight="1">
      <c r="B28" s="129"/>
      <c r="C28" s="129"/>
      <c r="D28" s="129"/>
      <c r="E28" s="129"/>
      <c r="F28" s="129"/>
      <c r="G28" s="129"/>
    </row>
    <row r="29" spans="1:7" s="3" customFormat="1" ht="19.95" customHeight="1">
      <c r="B29" s="129"/>
      <c r="C29" s="129"/>
      <c r="D29" s="129"/>
      <c r="E29" s="129"/>
      <c r="F29" s="129"/>
      <c r="G29" s="129"/>
    </row>
    <row r="30" spans="1:7" s="3" customFormat="1" ht="19.95" customHeight="1">
      <c r="B30" s="129"/>
      <c r="C30" s="129"/>
      <c r="D30" s="129"/>
      <c r="E30" s="129"/>
      <c r="F30" s="129"/>
      <c r="G30" s="129"/>
    </row>
    <row r="31" spans="1:7" s="3" customFormat="1" ht="19.95" customHeight="1">
      <c r="A31" s="3" t="s">
        <v>730</v>
      </c>
      <c r="B31" s="130"/>
      <c r="C31" s="130"/>
      <c r="D31" s="130"/>
      <c r="E31" s="130"/>
      <c r="F31" s="130"/>
      <c r="G31" s="130"/>
    </row>
    <row r="32" spans="1:7" s="3" customFormat="1" ht="19.95" customHeight="1">
      <c r="B32" s="131" t="s">
        <v>731</v>
      </c>
      <c r="C32" s="130"/>
      <c r="D32" s="130"/>
      <c r="E32" s="130"/>
      <c r="F32" s="130"/>
      <c r="G32" s="130"/>
    </row>
    <row r="33" spans="1:7" ht="19.95" customHeight="1">
      <c r="A33" s="31" t="s">
        <v>732</v>
      </c>
      <c r="C33" s="132"/>
    </row>
    <row r="34" spans="1:7" ht="19.95" customHeight="1">
      <c r="A34" s="33"/>
      <c r="C34" s="132"/>
    </row>
    <row r="35" spans="1:7" ht="19.95" customHeight="1">
      <c r="A35" s="33"/>
      <c r="C35" s="132"/>
    </row>
    <row r="36" spans="1:7" ht="19.95" customHeight="1">
      <c r="A36" s="31" t="s">
        <v>733</v>
      </c>
      <c r="B36" s="133"/>
    </row>
    <row r="37" spans="1:7" ht="19.95" customHeight="1">
      <c r="A37" s="31"/>
      <c r="B37" s="133"/>
    </row>
    <row r="38" spans="1:7" ht="19.95" customHeight="1">
      <c r="A38" s="31"/>
      <c r="B38" s="133"/>
    </row>
    <row r="39" spans="1:7" s="81" customFormat="1">
      <c r="A39" s="134" t="s">
        <v>734</v>
      </c>
      <c r="C39" s="134"/>
      <c r="D39" s="135"/>
      <c r="E39" s="135"/>
      <c r="F39" s="135"/>
      <c r="G39" s="135"/>
    </row>
    <row r="40" spans="1:7" s="81" customFormat="1">
      <c r="A40" s="134" t="s">
        <v>735</v>
      </c>
      <c r="C40" s="134"/>
      <c r="D40" s="135"/>
      <c r="E40" s="135"/>
      <c r="F40" s="135"/>
      <c r="G40" s="135"/>
    </row>
    <row r="41" spans="1:7" s="81" customFormat="1">
      <c r="A41" s="134" t="s">
        <v>736</v>
      </c>
      <c r="C41" s="134"/>
      <c r="D41" s="135"/>
      <c r="E41" s="135"/>
      <c r="F41" s="135"/>
      <c r="G41" s="135"/>
    </row>
  </sheetData>
  <mergeCells count="3">
    <mergeCell ref="A1:G1"/>
    <mergeCell ref="A2:G2"/>
    <mergeCell ref="B12:G12"/>
  </mergeCells>
  <phoneticPr fontId="171" type="noConversion"/>
  <hyperlinks>
    <hyperlink ref="G3" location="底稿目录!A1" display="=底稿目录!F17"/>
  </hyperlinks>
  <printOptions horizontalCentered="1"/>
  <pageMargins left="0.98425196850393704" right="0.74803149606299202" top="0.98425196850393704" bottom="0.98425196850393704" header="0.511811023622047" footer="0.511811023622047"/>
  <pageSetup paperSize="9" scale="80" fitToHeight="100" orientation="portrait" blackAndWhite="1" cellComments="atEnd"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R23"/>
  <sheetViews>
    <sheetView view="pageBreakPreview" zoomScaleNormal="100" workbookViewId="0">
      <selection activeCell="I10" sqref="I10"/>
    </sheetView>
  </sheetViews>
  <sheetFormatPr defaultColWidth="9" defaultRowHeight="13.8"/>
  <cols>
    <col min="1" max="1" width="28.77734375" style="82" customWidth="1"/>
    <col min="2" max="2" width="11.109375" style="82" customWidth="1"/>
    <col min="3" max="3" width="9.109375" style="82" customWidth="1"/>
    <col min="4" max="4" width="9.77734375" style="82" customWidth="1"/>
    <col min="5" max="5" width="10.44140625" style="82" customWidth="1"/>
    <col min="6" max="6" width="12.44140625" style="82" customWidth="1"/>
    <col min="7" max="7" width="12.77734375" style="82" customWidth="1"/>
    <col min="8" max="8" width="12.109375" style="82" customWidth="1"/>
    <col min="9" max="9" width="8.109375" style="82" customWidth="1"/>
    <col min="10" max="10" width="9.44140625" style="82" customWidth="1"/>
    <col min="11" max="11" width="10" style="82" customWidth="1"/>
    <col min="12" max="12" width="10.44140625" style="82" customWidth="1"/>
    <col min="13" max="13" width="10.33203125" style="82" customWidth="1"/>
    <col min="14" max="14" width="6.77734375" style="82" customWidth="1"/>
    <col min="15" max="16" width="9" style="82"/>
    <col min="17" max="17" width="5.5546875" style="82" customWidth="1"/>
    <col min="18" max="18" width="5.33203125" style="82" customWidth="1"/>
    <col min="19" max="16384" width="9" style="82"/>
  </cols>
  <sheetData>
    <row r="1" spans="1:18" s="108" customFormat="1" ht="20.100000000000001" customHeight="1">
      <c r="A1" s="584" t="s">
        <v>37</v>
      </c>
      <c r="B1" s="584"/>
      <c r="C1" s="584"/>
      <c r="D1" s="584"/>
      <c r="E1" s="584"/>
      <c r="F1" s="584"/>
      <c r="G1" s="584"/>
      <c r="H1" s="584"/>
      <c r="I1" s="584"/>
      <c r="J1" s="584"/>
      <c r="K1" s="584"/>
      <c r="L1" s="584"/>
      <c r="M1" s="584"/>
      <c r="N1" s="584"/>
      <c r="O1" s="584"/>
      <c r="P1" s="584"/>
      <c r="Q1" s="584"/>
      <c r="R1" s="584"/>
    </row>
    <row r="2" spans="1:18" s="109" customFormat="1" ht="25.05" customHeight="1">
      <c r="A2" s="653" t="s">
        <v>31</v>
      </c>
      <c r="B2" s="653"/>
      <c r="C2" s="653"/>
      <c r="D2" s="653"/>
      <c r="E2" s="653"/>
      <c r="F2" s="653"/>
      <c r="G2" s="653"/>
      <c r="H2" s="653"/>
      <c r="I2" s="653"/>
      <c r="J2" s="653"/>
      <c r="K2" s="653"/>
      <c r="L2" s="653"/>
      <c r="M2" s="653"/>
      <c r="N2" s="653"/>
      <c r="O2" s="653"/>
      <c r="P2" s="653"/>
      <c r="Q2" s="653"/>
      <c r="R2" s="653"/>
    </row>
    <row r="3" spans="1:18" ht="20.100000000000001" customHeight="1">
      <c r="A3" s="87" t="str">
        <f>底稿目录!A2</f>
        <v>被审计单位：</v>
      </c>
      <c r="B3" s="86"/>
      <c r="E3" s="111" t="str">
        <f>底稿目录!A4</f>
        <v>编制人：</v>
      </c>
      <c r="F3" s="83"/>
      <c r="G3" s="83"/>
      <c r="I3" s="83"/>
      <c r="K3" s="111" t="str">
        <f>底稿目录!A5</f>
        <v>编制日期：</v>
      </c>
      <c r="L3" s="116"/>
      <c r="Q3" s="107" t="s">
        <v>38</v>
      </c>
      <c r="R3" s="10" t="str">
        <f>底稿目录!F18</f>
        <v>G1-12</v>
      </c>
    </row>
    <row r="4" spans="1:18" ht="20.100000000000001" customHeight="1">
      <c r="A4" s="87" t="str">
        <f>底稿目录!A3</f>
        <v>截止日：202X年12月31日</v>
      </c>
      <c r="B4" s="86"/>
      <c r="E4" s="111" t="str">
        <f>底稿目录!A6</f>
        <v>复核人：</v>
      </c>
      <c r="F4" s="83"/>
      <c r="G4" s="83"/>
      <c r="I4" s="83"/>
      <c r="K4" s="111" t="str">
        <f>底稿目录!A7</f>
        <v>复核日期：</v>
      </c>
      <c r="L4" s="116"/>
      <c r="Q4" s="107" t="s">
        <v>364</v>
      </c>
      <c r="R4" s="118">
        <v>1</v>
      </c>
    </row>
    <row r="5" spans="1:18" s="110" customFormat="1" ht="33.75" customHeight="1">
      <c r="A5" s="662" t="s">
        <v>737</v>
      </c>
      <c r="B5" s="655" t="s">
        <v>738</v>
      </c>
      <c r="C5" s="656"/>
      <c r="D5" s="656"/>
      <c r="E5" s="656"/>
      <c r="F5" s="657"/>
      <c r="G5" s="658" t="s">
        <v>739</v>
      </c>
      <c r="H5" s="659"/>
      <c r="I5" s="660" t="s">
        <v>740</v>
      </c>
      <c r="J5" s="661"/>
      <c r="K5" s="661"/>
      <c r="L5" s="661"/>
      <c r="M5" s="661"/>
      <c r="N5" s="662" t="s">
        <v>741</v>
      </c>
      <c r="O5" s="587"/>
      <c r="P5" s="587"/>
      <c r="Q5" s="662" t="s">
        <v>471</v>
      </c>
      <c r="R5" s="662" t="s">
        <v>412</v>
      </c>
    </row>
    <row r="6" spans="1:18" s="110" customFormat="1" ht="20.100000000000001" customHeight="1">
      <c r="A6" s="587"/>
      <c r="B6" s="91" t="s">
        <v>742</v>
      </c>
      <c r="C6" s="91" t="s">
        <v>743</v>
      </c>
      <c r="D6" s="91" t="s">
        <v>744</v>
      </c>
      <c r="E6" s="91" t="s">
        <v>437</v>
      </c>
      <c r="F6" s="91" t="s">
        <v>451</v>
      </c>
      <c r="G6" s="91" t="s">
        <v>742</v>
      </c>
      <c r="H6" s="91" t="s">
        <v>745</v>
      </c>
      <c r="I6" s="117" t="s">
        <v>742</v>
      </c>
      <c r="J6" s="117" t="s">
        <v>743</v>
      </c>
      <c r="K6" s="117" t="s">
        <v>744</v>
      </c>
      <c r="L6" s="117" t="s">
        <v>437</v>
      </c>
      <c r="M6" s="117" t="s">
        <v>451</v>
      </c>
      <c r="N6" s="117" t="s">
        <v>742</v>
      </c>
      <c r="O6" s="117" t="s">
        <v>743</v>
      </c>
      <c r="P6" s="117" t="s">
        <v>744</v>
      </c>
      <c r="Q6" s="587"/>
      <c r="R6" s="587"/>
    </row>
    <row r="7" spans="1:18" ht="20.100000000000001" customHeight="1">
      <c r="A7" s="112" t="s">
        <v>746</v>
      </c>
      <c r="B7" s="93"/>
      <c r="C7" s="93"/>
      <c r="D7" s="113">
        <f>SUM(D8:D10)</f>
        <v>0</v>
      </c>
      <c r="E7" s="95"/>
      <c r="F7" s="95"/>
      <c r="G7" s="93"/>
      <c r="H7" s="93"/>
      <c r="I7" s="93"/>
      <c r="J7" s="93"/>
      <c r="K7" s="113">
        <f>SUM(K8:K10)</f>
        <v>0</v>
      </c>
      <c r="L7" s="94"/>
      <c r="M7" s="95"/>
      <c r="N7" s="94"/>
      <c r="O7" s="94"/>
      <c r="P7" s="113">
        <f>SUM(P8:P10)</f>
        <v>0</v>
      </c>
      <c r="Q7" s="113">
        <f>SUM(Q8:Q10)</f>
        <v>0</v>
      </c>
      <c r="R7" s="94"/>
    </row>
    <row r="8" spans="1:18" ht="20.100000000000001" customHeight="1">
      <c r="A8" s="112" t="s">
        <v>747</v>
      </c>
      <c r="B8" s="93"/>
      <c r="C8" s="93"/>
      <c r="D8" s="113">
        <f>B8*C8</f>
        <v>0</v>
      </c>
      <c r="E8" s="95"/>
      <c r="F8" s="95"/>
      <c r="G8" s="93"/>
      <c r="H8" s="93"/>
      <c r="I8" s="93"/>
      <c r="J8" s="93"/>
      <c r="K8" s="113">
        <f>I8*J8</f>
        <v>0</v>
      </c>
      <c r="L8" s="94"/>
      <c r="M8" s="95"/>
      <c r="N8" s="94"/>
      <c r="O8" s="94"/>
      <c r="P8" s="113">
        <f>N8*O8</f>
        <v>0</v>
      </c>
      <c r="Q8" s="113">
        <f>P8-K8</f>
        <v>0</v>
      </c>
      <c r="R8" s="94"/>
    </row>
    <row r="9" spans="1:18" ht="20.100000000000001" customHeight="1">
      <c r="A9" s="112" t="s">
        <v>748</v>
      </c>
      <c r="B9" s="93"/>
      <c r="C9" s="93"/>
      <c r="D9" s="113">
        <f t="shared" ref="D9:D10" si="0">B9*C9</f>
        <v>0</v>
      </c>
      <c r="E9" s="95"/>
      <c r="F9" s="95"/>
      <c r="G9" s="93"/>
      <c r="H9" s="93"/>
      <c r="I9" s="93"/>
      <c r="J9" s="93"/>
      <c r="K9" s="113">
        <f t="shared" ref="K9:K10" si="1">I9*J9</f>
        <v>0</v>
      </c>
      <c r="L9" s="94"/>
      <c r="M9" s="95"/>
      <c r="N9" s="94"/>
      <c r="O9" s="94"/>
      <c r="P9" s="113">
        <f t="shared" ref="P9:P10" si="2">N9*O9</f>
        <v>0</v>
      </c>
      <c r="Q9" s="113">
        <f t="shared" ref="Q9:Q23" si="3">P9-K9</f>
        <v>0</v>
      </c>
      <c r="R9" s="94"/>
    </row>
    <row r="10" spans="1:18" ht="20.100000000000001" customHeight="1">
      <c r="A10" s="112" t="s">
        <v>408</v>
      </c>
      <c r="B10" s="93"/>
      <c r="C10" s="93"/>
      <c r="D10" s="113">
        <f t="shared" si="0"/>
        <v>0</v>
      </c>
      <c r="E10" s="95"/>
      <c r="F10" s="95"/>
      <c r="G10" s="97"/>
      <c r="H10" s="97"/>
      <c r="I10" s="93"/>
      <c r="J10" s="97"/>
      <c r="K10" s="113">
        <f t="shared" si="1"/>
        <v>0</v>
      </c>
      <c r="L10" s="94"/>
      <c r="M10" s="95"/>
      <c r="N10" s="94"/>
      <c r="O10" s="94"/>
      <c r="P10" s="113">
        <f t="shared" si="2"/>
        <v>0</v>
      </c>
      <c r="Q10" s="113">
        <f t="shared" si="3"/>
        <v>0</v>
      </c>
      <c r="R10" s="94"/>
    </row>
    <row r="11" spans="1:18" ht="20.100000000000001" customHeight="1">
      <c r="A11" s="112" t="s">
        <v>749</v>
      </c>
      <c r="B11" s="93"/>
      <c r="C11" s="93"/>
      <c r="D11" s="113">
        <f>SUM(D12:D14)</f>
        <v>0</v>
      </c>
      <c r="E11" s="94"/>
      <c r="F11" s="95"/>
      <c r="G11" s="93"/>
      <c r="H11" s="93"/>
      <c r="I11" s="93"/>
      <c r="J11" s="93"/>
      <c r="K11" s="113">
        <f>SUM(K12:K14)</f>
        <v>0</v>
      </c>
      <c r="L11" s="94"/>
      <c r="M11" s="95"/>
      <c r="N11" s="94"/>
      <c r="O11" s="94"/>
      <c r="P11" s="113">
        <f>SUM(P12:P14)</f>
        <v>0</v>
      </c>
      <c r="Q11" s="113">
        <f>SUM(Q12:Q14)</f>
        <v>0</v>
      </c>
      <c r="R11" s="94"/>
    </row>
    <row r="12" spans="1:18" ht="20.100000000000001" customHeight="1">
      <c r="A12" s="112" t="s">
        <v>747</v>
      </c>
      <c r="B12" s="93"/>
      <c r="C12" s="93"/>
      <c r="D12" s="113">
        <f>B12*C12</f>
        <v>0</v>
      </c>
      <c r="E12" s="94"/>
      <c r="F12" s="95"/>
      <c r="G12" s="93"/>
      <c r="H12" s="93"/>
      <c r="I12" s="93"/>
      <c r="J12" s="93"/>
      <c r="K12" s="113">
        <f>I12*J12</f>
        <v>0</v>
      </c>
      <c r="L12" s="94"/>
      <c r="M12" s="95"/>
      <c r="N12" s="94"/>
      <c r="O12" s="94"/>
      <c r="P12" s="113">
        <f>N12*O12</f>
        <v>0</v>
      </c>
      <c r="Q12" s="113">
        <f t="shared" si="3"/>
        <v>0</v>
      </c>
      <c r="R12" s="94"/>
    </row>
    <row r="13" spans="1:18" ht="20.100000000000001" customHeight="1">
      <c r="A13" s="112" t="s">
        <v>748</v>
      </c>
      <c r="B13" s="93"/>
      <c r="C13" s="93"/>
      <c r="D13" s="113">
        <f t="shared" ref="D13:D14" si="4">B13*C13</f>
        <v>0</v>
      </c>
      <c r="E13" s="94"/>
      <c r="F13" s="95"/>
      <c r="G13" s="93"/>
      <c r="H13" s="93"/>
      <c r="I13" s="93"/>
      <c r="J13" s="93"/>
      <c r="K13" s="113">
        <f t="shared" ref="K13:K14" si="5">I13*J13</f>
        <v>0</v>
      </c>
      <c r="L13" s="94"/>
      <c r="M13" s="95"/>
      <c r="N13" s="94"/>
      <c r="O13" s="94"/>
      <c r="P13" s="113">
        <f t="shared" ref="P13:P14" si="6">N13*O13</f>
        <v>0</v>
      </c>
      <c r="Q13" s="113">
        <f t="shared" si="3"/>
        <v>0</v>
      </c>
      <c r="R13" s="94"/>
    </row>
    <row r="14" spans="1:18" ht="20.100000000000001" customHeight="1">
      <c r="A14" s="112" t="s">
        <v>408</v>
      </c>
      <c r="B14" s="93"/>
      <c r="C14" s="93"/>
      <c r="D14" s="113">
        <f t="shared" si="4"/>
        <v>0</v>
      </c>
      <c r="E14" s="94"/>
      <c r="F14" s="95"/>
      <c r="G14" s="93"/>
      <c r="H14" s="93"/>
      <c r="I14" s="93"/>
      <c r="J14" s="93"/>
      <c r="K14" s="113">
        <f t="shared" si="5"/>
        <v>0</v>
      </c>
      <c r="L14" s="94"/>
      <c r="M14" s="95"/>
      <c r="N14" s="94"/>
      <c r="O14" s="94"/>
      <c r="P14" s="113">
        <f t="shared" si="6"/>
        <v>0</v>
      </c>
      <c r="Q14" s="113">
        <f t="shared" si="3"/>
        <v>0</v>
      </c>
      <c r="R14" s="94"/>
    </row>
    <row r="15" spans="1:18" ht="20.100000000000001" customHeight="1">
      <c r="A15" s="112" t="s">
        <v>750</v>
      </c>
      <c r="B15" s="93"/>
      <c r="C15" s="93"/>
      <c r="D15" s="113">
        <f>SUM(D16:D18)</f>
        <v>0</v>
      </c>
      <c r="E15" s="94"/>
      <c r="F15" s="95"/>
      <c r="G15" s="93"/>
      <c r="H15" s="93"/>
      <c r="I15" s="93"/>
      <c r="J15" s="93"/>
      <c r="K15" s="113">
        <f>SUM(K16:K18)</f>
        <v>0</v>
      </c>
      <c r="L15" s="94"/>
      <c r="M15" s="95"/>
      <c r="N15" s="94"/>
      <c r="O15" s="94"/>
      <c r="P15" s="113">
        <f>SUM(P16:P18)</f>
        <v>0</v>
      </c>
      <c r="Q15" s="113">
        <f>SUM(Q16:Q18)</f>
        <v>0</v>
      </c>
      <c r="R15" s="94"/>
    </row>
    <row r="16" spans="1:18" ht="20.100000000000001" customHeight="1">
      <c r="A16" s="112" t="s">
        <v>747</v>
      </c>
      <c r="B16" s="93"/>
      <c r="C16" s="93"/>
      <c r="D16" s="113">
        <f>B16*C16</f>
        <v>0</v>
      </c>
      <c r="E16" s="94"/>
      <c r="F16" s="95"/>
      <c r="G16" s="93"/>
      <c r="H16" s="93"/>
      <c r="I16" s="93"/>
      <c r="J16" s="93"/>
      <c r="K16" s="113">
        <f>I16*J16</f>
        <v>0</v>
      </c>
      <c r="L16" s="94"/>
      <c r="M16" s="95"/>
      <c r="N16" s="94"/>
      <c r="O16" s="94"/>
      <c r="P16" s="113">
        <f>N16*O16</f>
        <v>0</v>
      </c>
      <c r="Q16" s="113">
        <f t="shared" si="3"/>
        <v>0</v>
      </c>
      <c r="R16" s="94"/>
    </row>
    <row r="17" spans="1:18" ht="20.100000000000001" customHeight="1">
      <c r="A17" s="112" t="s">
        <v>748</v>
      </c>
      <c r="B17" s="93"/>
      <c r="C17" s="93"/>
      <c r="D17" s="113">
        <f t="shared" ref="D17:D18" si="7">B17*C17</f>
        <v>0</v>
      </c>
      <c r="E17" s="94"/>
      <c r="F17" s="95"/>
      <c r="G17" s="93"/>
      <c r="H17" s="93"/>
      <c r="I17" s="93"/>
      <c r="J17" s="93"/>
      <c r="K17" s="113">
        <f t="shared" ref="K17:K18" si="8">I17*J17</f>
        <v>0</v>
      </c>
      <c r="L17" s="94"/>
      <c r="M17" s="95"/>
      <c r="N17" s="94"/>
      <c r="O17" s="94"/>
      <c r="P17" s="113">
        <f t="shared" ref="P17:P18" si="9">N17*O17</f>
        <v>0</v>
      </c>
      <c r="Q17" s="113">
        <f t="shared" si="3"/>
        <v>0</v>
      </c>
      <c r="R17" s="94"/>
    </row>
    <row r="18" spans="1:18" ht="20.100000000000001" customHeight="1">
      <c r="A18" s="112" t="s">
        <v>408</v>
      </c>
      <c r="B18" s="93"/>
      <c r="C18" s="93"/>
      <c r="D18" s="113">
        <f t="shared" si="7"/>
        <v>0</v>
      </c>
      <c r="E18" s="94"/>
      <c r="F18" s="95"/>
      <c r="G18" s="93"/>
      <c r="H18" s="93"/>
      <c r="I18" s="93"/>
      <c r="J18" s="93"/>
      <c r="K18" s="113">
        <f t="shared" si="8"/>
        <v>0</v>
      </c>
      <c r="L18" s="94"/>
      <c r="M18" s="95"/>
      <c r="N18" s="94"/>
      <c r="O18" s="94"/>
      <c r="P18" s="113">
        <f t="shared" si="9"/>
        <v>0</v>
      </c>
      <c r="Q18" s="113">
        <f t="shared" si="3"/>
        <v>0</v>
      </c>
      <c r="R18" s="94"/>
    </row>
    <row r="19" spans="1:18" ht="20.100000000000001" customHeight="1">
      <c r="A19" s="112" t="s">
        <v>751</v>
      </c>
      <c r="B19" s="93"/>
      <c r="C19" s="93"/>
      <c r="D19" s="113">
        <f>SUM(D20:D22)</f>
        <v>0</v>
      </c>
      <c r="E19" s="94"/>
      <c r="F19" s="95"/>
      <c r="G19" s="93"/>
      <c r="H19" s="93"/>
      <c r="I19" s="93"/>
      <c r="J19" s="93"/>
      <c r="K19" s="113">
        <f>SUM(K20:K22)</f>
        <v>0</v>
      </c>
      <c r="L19" s="94"/>
      <c r="M19" s="95"/>
      <c r="N19" s="94"/>
      <c r="O19" s="94"/>
      <c r="P19" s="113">
        <f>SUM(P20:P22)</f>
        <v>0</v>
      </c>
      <c r="Q19" s="113">
        <f>SUM(Q20:Q22)</f>
        <v>0</v>
      </c>
      <c r="R19" s="94"/>
    </row>
    <row r="20" spans="1:18" ht="20.100000000000001" customHeight="1">
      <c r="A20" s="112" t="s">
        <v>747</v>
      </c>
      <c r="B20" s="93"/>
      <c r="C20" s="93"/>
      <c r="D20" s="113">
        <f>B20*C20</f>
        <v>0</v>
      </c>
      <c r="E20" s="94"/>
      <c r="F20" s="95"/>
      <c r="G20" s="93"/>
      <c r="H20" s="93"/>
      <c r="I20" s="93"/>
      <c r="J20" s="93"/>
      <c r="K20" s="113">
        <f>I20*J20</f>
        <v>0</v>
      </c>
      <c r="L20" s="94"/>
      <c r="M20" s="95"/>
      <c r="N20" s="94"/>
      <c r="O20" s="94"/>
      <c r="P20" s="113">
        <f>N20*O20</f>
        <v>0</v>
      </c>
      <c r="Q20" s="113">
        <f t="shared" si="3"/>
        <v>0</v>
      </c>
      <c r="R20" s="94"/>
    </row>
    <row r="21" spans="1:18" ht="20.100000000000001" customHeight="1">
      <c r="A21" s="112" t="s">
        <v>748</v>
      </c>
      <c r="B21" s="93"/>
      <c r="C21" s="93"/>
      <c r="D21" s="113">
        <f t="shared" ref="D21:D22" si="10">B21*C21</f>
        <v>0</v>
      </c>
      <c r="E21" s="95"/>
      <c r="F21" s="95"/>
      <c r="G21" s="93"/>
      <c r="H21" s="93"/>
      <c r="I21" s="93"/>
      <c r="J21" s="93"/>
      <c r="K21" s="113">
        <f t="shared" ref="K21:K22" si="11">I21*J21</f>
        <v>0</v>
      </c>
      <c r="L21" s="94"/>
      <c r="M21" s="95"/>
      <c r="N21" s="94"/>
      <c r="O21" s="94"/>
      <c r="P21" s="113">
        <f t="shared" ref="P21:P22" si="12">N21*O21</f>
        <v>0</v>
      </c>
      <c r="Q21" s="113">
        <f t="shared" si="3"/>
        <v>0</v>
      </c>
      <c r="R21" s="94"/>
    </row>
    <row r="22" spans="1:18" ht="20.100000000000001" customHeight="1">
      <c r="A22" s="112" t="s">
        <v>408</v>
      </c>
      <c r="B22" s="93"/>
      <c r="C22" s="93"/>
      <c r="D22" s="113">
        <f t="shared" si="10"/>
        <v>0</v>
      </c>
      <c r="E22" s="95"/>
      <c r="F22" s="95"/>
      <c r="G22" s="97"/>
      <c r="H22" s="97"/>
      <c r="I22" s="93"/>
      <c r="J22" s="97"/>
      <c r="K22" s="113">
        <f t="shared" si="11"/>
        <v>0</v>
      </c>
      <c r="L22" s="94"/>
      <c r="M22" s="95"/>
      <c r="N22" s="94"/>
      <c r="O22" s="94"/>
      <c r="P22" s="113">
        <f t="shared" si="12"/>
        <v>0</v>
      </c>
      <c r="Q22" s="113">
        <f t="shared" si="3"/>
        <v>0</v>
      </c>
      <c r="R22" s="94"/>
    </row>
    <row r="23" spans="1:18" ht="20.100000000000001" customHeight="1">
      <c r="A23" s="114" t="s">
        <v>192</v>
      </c>
      <c r="B23" s="97"/>
      <c r="C23" s="97"/>
      <c r="D23" s="115">
        <f>D19+D15+D11+D7</f>
        <v>0</v>
      </c>
      <c r="E23" s="96"/>
      <c r="F23" s="96"/>
      <c r="G23" s="97"/>
      <c r="H23" s="97"/>
      <c r="I23" s="97"/>
      <c r="J23" s="97"/>
      <c r="K23" s="115">
        <f>K19+K15+K11+K7</f>
        <v>0</v>
      </c>
      <c r="L23" s="98"/>
      <c r="M23" s="96"/>
      <c r="N23" s="98"/>
      <c r="O23" s="98"/>
      <c r="P23" s="115">
        <f>P19+P15+P11+P7</f>
        <v>0</v>
      </c>
      <c r="Q23" s="115">
        <f t="shared" si="3"/>
        <v>0</v>
      </c>
      <c r="R23" s="98"/>
    </row>
  </sheetData>
  <mergeCells count="9">
    <mergeCell ref="A1:R1"/>
    <mergeCell ref="A2:R2"/>
    <mergeCell ref="B5:F5"/>
    <mergeCell ref="G5:H5"/>
    <mergeCell ref="I5:M5"/>
    <mergeCell ref="N5:P5"/>
    <mergeCell ref="A5:A6"/>
    <mergeCell ref="Q5:Q6"/>
    <mergeCell ref="R5:R6"/>
  </mergeCells>
  <phoneticPr fontId="171" type="noConversion"/>
  <hyperlinks>
    <hyperlink ref="R3" location="底稿目录!A1" display="=底稿目录!F18"/>
  </hyperlinks>
  <printOptions horizontalCentered="1"/>
  <pageMargins left="0.35433070866141703" right="0.27559055118110198" top="0.43307086614173201" bottom="0.31496062992126" header="0.31496062992126" footer="0.23622047244094499"/>
  <pageSetup paperSize="9" scale="75" fitToWidth="0" fitToHeight="0" orientation="landscape" blackAndWhite="1" horizontalDpi="360" verticalDpi="300" r:id="rId1"/>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view="pageBreakPreview" zoomScale="98" zoomScaleNormal="100" workbookViewId="0">
      <selection activeCell="P3" sqref="P3"/>
    </sheetView>
  </sheetViews>
  <sheetFormatPr defaultColWidth="8.88671875" defaultRowHeight="15.6"/>
  <cols>
    <col min="1" max="1" width="10.33203125" style="43" customWidth="1"/>
    <col min="2" max="2" width="11.44140625" style="43" customWidth="1"/>
    <col min="3" max="3" width="13.109375" style="43" customWidth="1"/>
    <col min="4" max="4" width="13.6640625" style="43" customWidth="1"/>
    <col min="5" max="5" width="14.44140625" style="43" customWidth="1"/>
    <col min="6" max="6" width="11" style="43" customWidth="1"/>
    <col min="7" max="7" width="11.5546875" style="43" customWidth="1"/>
    <col min="8" max="8" width="29.5546875" style="43" customWidth="1"/>
    <col min="9" max="13" width="5.21875" style="43" customWidth="1"/>
    <col min="14" max="15" width="8.88671875" style="43"/>
    <col min="16" max="16" width="13.77734375" style="43" customWidth="1"/>
    <col min="17" max="16384" width="8.88671875" style="43"/>
  </cols>
  <sheetData>
    <row r="1" spans="1:17" ht="19.95" customHeight="1">
      <c r="A1" s="675" t="s">
        <v>37</v>
      </c>
      <c r="B1" s="675"/>
      <c r="C1" s="675"/>
      <c r="D1" s="675"/>
      <c r="E1" s="675"/>
      <c r="F1" s="675"/>
      <c r="G1" s="675"/>
      <c r="H1" s="675"/>
      <c r="I1" s="675"/>
      <c r="J1" s="675"/>
      <c r="K1" s="675"/>
      <c r="L1" s="675"/>
      <c r="M1" s="675"/>
      <c r="N1" s="675"/>
      <c r="O1" s="675"/>
      <c r="P1" s="675"/>
    </row>
    <row r="2" spans="1:17" ht="19.95" customHeight="1">
      <c r="A2" s="676" t="s">
        <v>752</v>
      </c>
      <c r="B2" s="676"/>
      <c r="C2" s="676"/>
      <c r="D2" s="676"/>
      <c r="E2" s="676"/>
      <c r="F2" s="676"/>
      <c r="G2" s="676"/>
      <c r="H2" s="676"/>
      <c r="I2" s="676"/>
      <c r="J2" s="676"/>
      <c r="K2" s="676"/>
      <c r="L2" s="676"/>
      <c r="M2" s="676"/>
      <c r="N2" s="676"/>
      <c r="O2" s="676"/>
      <c r="P2" s="676"/>
      <c r="Q2" s="78"/>
    </row>
    <row r="3" spans="1:17" ht="19.95" customHeight="1">
      <c r="A3" s="44" t="str">
        <f>底稿目录!A2</f>
        <v>被审计单位：</v>
      </c>
      <c r="C3" s="44"/>
      <c r="E3" s="44"/>
      <c r="F3" s="44" t="str">
        <f>底稿目录!A4</f>
        <v>编制人：</v>
      </c>
      <c r="I3" s="44"/>
      <c r="J3" s="44"/>
      <c r="K3" s="44" t="str">
        <f>底稿目录!A5</f>
        <v>编制日期：</v>
      </c>
      <c r="M3" s="66"/>
      <c r="O3" s="67" t="s">
        <v>109</v>
      </c>
      <c r="P3" s="10" t="str">
        <f>底稿目录!F27</f>
        <v>G1-13</v>
      </c>
    </row>
    <row r="4" spans="1:17" ht="19.95" customHeight="1">
      <c r="A4" s="44" t="str">
        <f>底稿目录!A3</f>
        <v>截止日：202X年12月31日</v>
      </c>
      <c r="C4" s="44"/>
      <c r="E4" s="44"/>
      <c r="F4" s="44" t="str">
        <f>底稿目录!A6</f>
        <v>复核人：</v>
      </c>
      <c r="I4" s="44"/>
      <c r="J4" s="44"/>
      <c r="K4" s="44" t="str">
        <f>底稿目录!A7</f>
        <v>复核日期：</v>
      </c>
      <c r="M4" s="66"/>
      <c r="O4" s="44" t="s">
        <v>364</v>
      </c>
    </row>
    <row r="5" spans="1:17" ht="19.95" customHeight="1">
      <c r="A5" s="45" t="s">
        <v>753</v>
      </c>
      <c r="C5" s="46"/>
      <c r="D5" s="46"/>
      <c r="E5" s="46"/>
      <c r="F5" s="46"/>
      <c r="G5" s="46"/>
      <c r="H5" s="46"/>
      <c r="I5" s="46"/>
      <c r="J5" s="46"/>
      <c r="K5" s="46"/>
      <c r="L5" s="46"/>
      <c r="M5" s="46"/>
      <c r="N5" s="46"/>
      <c r="O5" s="46"/>
      <c r="P5" s="46"/>
    </row>
    <row r="6" spans="1:17" ht="19.95" customHeight="1">
      <c r="A6" s="47" t="s">
        <v>754</v>
      </c>
      <c r="C6" s="48"/>
      <c r="D6" s="48"/>
      <c r="E6" s="48"/>
      <c r="F6" s="47" t="s">
        <v>755</v>
      </c>
      <c r="H6" s="48"/>
      <c r="K6" s="48"/>
      <c r="L6" s="48"/>
      <c r="M6" s="48"/>
      <c r="N6" s="48"/>
      <c r="O6" s="48"/>
      <c r="P6" s="48"/>
    </row>
    <row r="7" spans="1:17" ht="19.95" customHeight="1">
      <c r="A7" s="47" t="s">
        <v>756</v>
      </c>
      <c r="C7" s="48"/>
      <c r="D7" s="48"/>
      <c r="E7" s="48"/>
      <c r="F7" s="47"/>
      <c r="H7" s="48"/>
      <c r="I7" s="47"/>
      <c r="K7" s="48"/>
      <c r="L7" s="48"/>
      <c r="M7" s="48"/>
      <c r="N7" s="48"/>
      <c r="O7" s="48"/>
      <c r="P7" s="48"/>
    </row>
    <row r="8" spans="1:17" ht="19.95" customHeight="1">
      <c r="A8" s="49" t="s">
        <v>757</v>
      </c>
    </row>
    <row r="9" spans="1:17" ht="19.95" customHeight="1">
      <c r="A9" s="47" t="s">
        <v>758</v>
      </c>
      <c r="B9" s="50" t="s">
        <v>759</v>
      </c>
      <c r="D9" s="51"/>
      <c r="E9" s="51"/>
      <c r="F9" s="47" t="s">
        <v>760</v>
      </c>
      <c r="G9" s="50" t="s">
        <v>761</v>
      </c>
      <c r="H9" s="51"/>
      <c r="J9" s="68"/>
      <c r="M9" s="68"/>
      <c r="N9" s="68"/>
      <c r="O9" s="68"/>
      <c r="P9" s="68"/>
      <c r="Q9" s="68"/>
    </row>
    <row r="10" spans="1:17" ht="19.95" customHeight="1">
      <c r="A10" s="47" t="s">
        <v>762</v>
      </c>
      <c r="B10" s="50" t="s">
        <v>763</v>
      </c>
      <c r="D10" s="51"/>
      <c r="E10" s="51"/>
      <c r="F10" s="47" t="s">
        <v>764</v>
      </c>
      <c r="G10" s="50" t="s">
        <v>765</v>
      </c>
      <c r="H10" s="50" t="s">
        <v>766</v>
      </c>
      <c r="M10" s="68"/>
      <c r="N10" s="69"/>
      <c r="O10" s="69"/>
      <c r="P10" s="68"/>
      <c r="Q10" s="68"/>
    </row>
    <row r="11" spans="1:17" ht="19.95" customHeight="1">
      <c r="A11" s="47" t="s">
        <v>767</v>
      </c>
      <c r="B11" s="69" t="s">
        <v>858</v>
      </c>
      <c r="D11" s="51"/>
      <c r="E11" s="51"/>
      <c r="F11" s="47" t="s">
        <v>768</v>
      </c>
      <c r="G11" s="50" t="s">
        <v>769</v>
      </c>
      <c r="H11" s="51"/>
      <c r="J11" s="68"/>
      <c r="M11" s="68"/>
      <c r="N11" s="70"/>
      <c r="O11" s="69"/>
      <c r="P11" s="68"/>
      <c r="Q11" s="68"/>
    </row>
    <row r="12" spans="1:17" ht="19.95" customHeight="1">
      <c r="A12" s="52" t="s">
        <v>770</v>
      </c>
    </row>
    <row r="13" spans="1:17" ht="19.95" customHeight="1">
      <c r="A13" s="53" t="s">
        <v>771</v>
      </c>
    </row>
    <row r="14" spans="1:17" ht="19.95" customHeight="1">
      <c r="A14" s="54" t="s">
        <v>772</v>
      </c>
    </row>
    <row r="15" spans="1:17" s="41" customFormat="1" ht="19.95" customHeight="1">
      <c r="A15" s="677" t="s">
        <v>773</v>
      </c>
      <c r="B15" s="668"/>
      <c r="C15" s="668"/>
      <c r="D15" s="668"/>
      <c r="E15" s="668"/>
      <c r="F15" s="668"/>
      <c r="G15" s="669"/>
      <c r="H15" s="672" t="s">
        <v>774</v>
      </c>
      <c r="I15" s="670" t="s">
        <v>775</v>
      </c>
      <c r="J15" s="671"/>
      <c r="K15" s="671"/>
      <c r="L15" s="671"/>
      <c r="M15" s="671"/>
      <c r="N15" s="674" t="s">
        <v>3</v>
      </c>
      <c r="O15" s="663" t="s">
        <v>776</v>
      </c>
      <c r="P15" s="665" t="s">
        <v>777</v>
      </c>
    </row>
    <row r="16" spans="1:17" s="42" customFormat="1" ht="19.95" customHeight="1">
      <c r="A16" s="488" t="s">
        <v>778</v>
      </c>
      <c r="B16" s="488" t="s">
        <v>779</v>
      </c>
      <c r="C16" s="488" t="s">
        <v>780</v>
      </c>
      <c r="D16" s="488" t="s">
        <v>781</v>
      </c>
      <c r="E16" s="488" t="s">
        <v>782</v>
      </c>
      <c r="F16" s="489" t="s">
        <v>783</v>
      </c>
      <c r="G16" s="489" t="s">
        <v>784</v>
      </c>
      <c r="H16" s="673"/>
      <c r="I16" s="490">
        <v>1</v>
      </c>
      <c r="J16" s="490">
        <v>2</v>
      </c>
      <c r="K16" s="490">
        <v>3</v>
      </c>
      <c r="L16" s="490">
        <v>4</v>
      </c>
      <c r="M16" s="490">
        <v>5</v>
      </c>
      <c r="N16" s="674"/>
      <c r="O16" s="664"/>
      <c r="P16" s="666"/>
      <c r="Q16" s="79"/>
    </row>
    <row r="17" spans="1:16" s="41" customFormat="1" ht="19.95" customHeight="1">
      <c r="A17" s="55"/>
      <c r="B17" s="56"/>
      <c r="C17" s="57"/>
      <c r="D17" s="57"/>
      <c r="E17" s="57"/>
      <c r="F17" s="58"/>
      <c r="G17" s="58"/>
      <c r="H17" s="59" t="s">
        <v>785</v>
      </c>
      <c r="I17" s="71"/>
      <c r="J17" s="71"/>
      <c r="K17" s="71"/>
      <c r="L17" s="71"/>
      <c r="M17" s="71"/>
      <c r="N17" s="56"/>
      <c r="O17" s="72"/>
      <c r="P17" s="72"/>
    </row>
    <row r="18" spans="1:16" s="41" customFormat="1" ht="19.95" customHeight="1">
      <c r="A18" s="55"/>
      <c r="B18" s="56"/>
      <c r="C18" s="57"/>
      <c r="D18" s="57"/>
      <c r="E18" s="57"/>
      <c r="F18" s="58"/>
      <c r="G18" s="58"/>
      <c r="H18" s="59"/>
      <c r="I18" s="71"/>
      <c r="J18" s="71"/>
      <c r="K18" s="71"/>
      <c r="L18" s="71"/>
      <c r="M18" s="71"/>
      <c r="N18" s="56"/>
      <c r="O18" s="72"/>
      <c r="P18" s="72"/>
    </row>
    <row r="19" spans="1:16" s="41" customFormat="1" ht="19.95" customHeight="1">
      <c r="A19" s="55"/>
      <c r="B19" s="56"/>
      <c r="C19" s="57"/>
      <c r="D19" s="57"/>
      <c r="E19" s="57"/>
      <c r="F19" s="58"/>
      <c r="G19" s="58"/>
      <c r="H19" s="59"/>
      <c r="I19" s="71"/>
      <c r="J19" s="71"/>
      <c r="K19" s="71"/>
      <c r="L19" s="71"/>
      <c r="M19" s="71"/>
      <c r="N19" s="56"/>
      <c r="O19" s="72"/>
      <c r="P19" s="72"/>
    </row>
    <row r="20" spans="1:16" s="41" customFormat="1" ht="19.95" customHeight="1">
      <c r="A20" s="55"/>
      <c r="B20" s="56"/>
      <c r="C20" s="57"/>
      <c r="D20" s="57"/>
      <c r="E20" s="57"/>
      <c r="F20" s="58"/>
      <c r="G20" s="58"/>
      <c r="H20" s="59"/>
      <c r="I20" s="71"/>
      <c r="J20" s="71"/>
      <c r="K20" s="71"/>
      <c r="L20" s="71"/>
      <c r="M20" s="71"/>
      <c r="N20" s="56"/>
      <c r="O20" s="72"/>
      <c r="P20" s="72"/>
    </row>
    <row r="21" spans="1:16" s="41" customFormat="1" ht="19.95" customHeight="1">
      <c r="A21" s="55"/>
      <c r="B21" s="56"/>
      <c r="C21" s="57"/>
      <c r="D21" s="57"/>
      <c r="E21" s="57"/>
      <c r="F21" s="58"/>
      <c r="G21" s="58"/>
      <c r="H21" s="56"/>
      <c r="I21" s="71"/>
      <c r="J21" s="71"/>
      <c r="K21" s="71"/>
      <c r="L21" s="71"/>
      <c r="M21" s="71"/>
      <c r="N21" s="56"/>
      <c r="O21" s="72"/>
      <c r="P21" s="72"/>
    </row>
    <row r="22" spans="1:16" s="41" customFormat="1" ht="19.95" customHeight="1">
      <c r="A22" s="55"/>
      <c r="B22" s="56"/>
      <c r="C22" s="57"/>
      <c r="D22" s="57"/>
      <c r="E22" s="57"/>
      <c r="F22" s="58"/>
      <c r="G22" s="58"/>
      <c r="H22" s="56"/>
      <c r="I22" s="71"/>
      <c r="J22" s="71"/>
      <c r="K22" s="71"/>
      <c r="L22" s="71"/>
      <c r="M22" s="71"/>
      <c r="N22" s="56"/>
      <c r="O22" s="72"/>
      <c r="P22" s="72"/>
    </row>
    <row r="23" spans="1:16" s="41" customFormat="1" ht="19.95" customHeight="1">
      <c r="A23" s="55"/>
      <c r="B23" s="56"/>
      <c r="C23" s="57"/>
      <c r="D23" s="57"/>
      <c r="E23" s="57"/>
      <c r="F23" s="58"/>
      <c r="G23" s="58"/>
      <c r="H23" s="56"/>
      <c r="I23" s="71"/>
      <c r="J23" s="71"/>
      <c r="K23" s="71"/>
      <c r="L23" s="71"/>
      <c r="M23" s="71"/>
      <c r="N23" s="56"/>
      <c r="O23" s="72"/>
      <c r="P23" s="72"/>
    </row>
    <row r="24" spans="1:16" s="41" customFormat="1" ht="19.95" customHeight="1">
      <c r="A24" s="55"/>
      <c r="B24" s="56"/>
      <c r="C24" s="57"/>
      <c r="D24" s="57"/>
      <c r="E24" s="57"/>
      <c r="F24" s="58"/>
      <c r="G24" s="58"/>
      <c r="H24" s="56"/>
      <c r="I24" s="71"/>
      <c r="J24" s="71"/>
      <c r="K24" s="71"/>
      <c r="L24" s="71"/>
      <c r="M24" s="71"/>
      <c r="N24" s="56"/>
      <c r="O24" s="72"/>
      <c r="P24" s="72"/>
    </row>
    <row r="25" spans="1:16" s="41" customFormat="1" ht="19.95" customHeight="1">
      <c r="A25" s="667" t="s">
        <v>859</v>
      </c>
      <c r="B25" s="667"/>
      <c r="C25" s="667"/>
      <c r="D25" s="667"/>
      <c r="E25" s="60"/>
      <c r="F25" s="61">
        <f>SUM(F17:F24)</f>
        <v>0</v>
      </c>
      <c r="G25" s="61">
        <f>SUM(G17:G24)</f>
        <v>0</v>
      </c>
      <c r="H25" s="62"/>
      <c r="I25" s="62"/>
      <c r="J25" s="62"/>
      <c r="K25" s="61"/>
      <c r="L25" s="62"/>
      <c r="M25" s="62"/>
      <c r="N25" s="61"/>
      <c r="O25" s="62"/>
      <c r="P25" s="62"/>
    </row>
    <row r="26" spans="1:16" s="41" customFormat="1" ht="19.95" customHeight="1">
      <c r="A26" s="667" t="s">
        <v>860</v>
      </c>
      <c r="B26" s="667"/>
      <c r="C26" s="667"/>
      <c r="D26" s="667"/>
      <c r="E26" s="60"/>
      <c r="F26" s="512"/>
      <c r="G26" s="512"/>
      <c r="H26" s="62"/>
      <c r="I26" s="62"/>
      <c r="J26" s="62"/>
      <c r="K26" s="61"/>
      <c r="L26" s="62"/>
      <c r="M26" s="62"/>
      <c r="N26" s="61"/>
      <c r="O26" s="62"/>
      <c r="P26" s="62"/>
    </row>
    <row r="27" spans="1:16" s="41" customFormat="1" ht="19.95" customHeight="1">
      <c r="A27" s="667" t="s">
        <v>861</v>
      </c>
      <c r="B27" s="667"/>
      <c r="C27" s="667"/>
      <c r="D27" s="667"/>
      <c r="E27" s="60"/>
      <c r="F27" s="513" t="e">
        <f>F25/F26</f>
        <v>#DIV/0!</v>
      </c>
      <c r="G27" s="513" t="e">
        <f>G25/G26</f>
        <v>#DIV/0!</v>
      </c>
      <c r="H27" s="62"/>
      <c r="I27" s="62"/>
      <c r="J27" s="62"/>
      <c r="K27" s="61"/>
      <c r="L27" s="62"/>
      <c r="M27" s="62"/>
      <c r="N27" s="61"/>
      <c r="O27" s="62"/>
      <c r="P27" s="62"/>
    </row>
    <row r="28" spans="1:16" ht="19.95" customHeight="1">
      <c r="A28" s="491" t="s">
        <v>786</v>
      </c>
      <c r="B28" s="511"/>
      <c r="C28" s="511"/>
      <c r="D28" s="511"/>
      <c r="E28" s="511"/>
      <c r="F28" s="511"/>
      <c r="G28" s="511"/>
      <c r="H28" s="511"/>
      <c r="I28" s="511"/>
      <c r="J28" s="511"/>
      <c r="K28" s="511"/>
      <c r="L28" s="511"/>
      <c r="M28" s="511"/>
      <c r="N28" s="511"/>
      <c r="O28" s="511"/>
    </row>
    <row r="29" spans="1:16" ht="19.95" customHeight="1">
      <c r="A29" s="668" t="s">
        <v>773</v>
      </c>
      <c r="B29" s="668"/>
      <c r="C29" s="668"/>
      <c r="D29" s="668"/>
      <c r="E29" s="668"/>
      <c r="F29" s="668"/>
      <c r="G29" s="669"/>
      <c r="H29" s="672" t="s">
        <v>774</v>
      </c>
      <c r="I29" s="670" t="s">
        <v>775</v>
      </c>
      <c r="J29" s="671"/>
      <c r="K29" s="671"/>
      <c r="L29" s="671"/>
      <c r="M29" s="671"/>
      <c r="N29" s="674" t="s">
        <v>3</v>
      </c>
      <c r="O29" s="663" t="s">
        <v>776</v>
      </c>
      <c r="P29" s="665" t="s">
        <v>777</v>
      </c>
    </row>
    <row r="30" spans="1:16" ht="19.95" customHeight="1">
      <c r="A30" s="488" t="s">
        <v>778</v>
      </c>
      <c r="B30" s="488" t="s">
        <v>779</v>
      </c>
      <c r="C30" s="488" t="s">
        <v>780</v>
      </c>
      <c r="D30" s="488" t="s">
        <v>781</v>
      </c>
      <c r="E30" s="488" t="s">
        <v>782</v>
      </c>
      <c r="F30" s="489" t="s">
        <v>783</v>
      </c>
      <c r="G30" s="489" t="s">
        <v>784</v>
      </c>
      <c r="H30" s="673"/>
      <c r="I30" s="490">
        <v>1</v>
      </c>
      <c r="J30" s="490">
        <v>2</v>
      </c>
      <c r="K30" s="490">
        <v>3</v>
      </c>
      <c r="L30" s="490">
        <v>4</v>
      </c>
      <c r="M30" s="490">
        <v>5</v>
      </c>
      <c r="N30" s="674"/>
      <c r="O30" s="664"/>
      <c r="P30" s="666"/>
    </row>
    <row r="31" spans="1:16" ht="19.95" customHeight="1">
      <c r="A31" s="492"/>
      <c r="B31" s="493"/>
      <c r="C31" s="494"/>
      <c r="D31" s="494"/>
      <c r="E31" s="494"/>
      <c r="F31" s="495"/>
      <c r="G31" s="495"/>
      <c r="H31" s="56"/>
      <c r="I31" s="71"/>
      <c r="J31" s="71"/>
      <c r="K31" s="71"/>
      <c r="L31" s="71"/>
      <c r="M31" s="71"/>
      <c r="N31" s="56"/>
      <c r="O31" s="72"/>
      <c r="P31" s="72"/>
    </row>
    <row r="32" spans="1:16" ht="19.95" customHeight="1">
      <c r="A32" s="492"/>
      <c r="B32" s="493"/>
      <c r="C32" s="494"/>
      <c r="D32" s="494"/>
      <c r="E32" s="494"/>
      <c r="F32" s="495"/>
      <c r="G32" s="495"/>
      <c r="H32" s="56"/>
      <c r="I32" s="71"/>
      <c r="J32" s="71"/>
      <c r="K32" s="71"/>
      <c r="L32" s="71"/>
      <c r="M32" s="71"/>
      <c r="N32" s="56"/>
      <c r="O32" s="72"/>
      <c r="P32" s="72"/>
    </row>
    <row r="33" spans="1:16" ht="19.95" customHeight="1">
      <c r="A33" s="492"/>
      <c r="B33" s="493"/>
      <c r="C33" s="494"/>
      <c r="D33" s="494"/>
      <c r="E33" s="494"/>
      <c r="F33" s="495"/>
      <c r="G33" s="495"/>
      <c r="H33" s="56"/>
      <c r="I33" s="71"/>
      <c r="J33" s="71"/>
      <c r="K33" s="71"/>
      <c r="L33" s="71"/>
      <c r="M33" s="71"/>
      <c r="N33" s="56"/>
      <c r="O33" s="72"/>
      <c r="P33" s="72"/>
    </row>
    <row r="34" spans="1:16" ht="19.95" customHeight="1">
      <c r="A34" s="492"/>
      <c r="B34" s="493"/>
      <c r="C34" s="494"/>
      <c r="D34" s="494"/>
      <c r="E34" s="494"/>
      <c r="F34" s="495"/>
      <c r="G34" s="495"/>
      <c r="H34" s="56"/>
      <c r="I34" s="71"/>
      <c r="J34" s="71"/>
      <c r="K34" s="71"/>
      <c r="L34" s="71"/>
      <c r="M34" s="71"/>
      <c r="N34" s="56"/>
      <c r="O34" s="72"/>
      <c r="P34" s="72"/>
    </row>
    <row r="35" spans="1:16" s="501" customFormat="1" ht="19.95" customHeight="1">
      <c r="A35" s="488" t="s">
        <v>192</v>
      </c>
      <c r="B35" s="496"/>
      <c r="C35" s="497"/>
      <c r="D35" s="497"/>
      <c r="E35" s="497"/>
      <c r="F35" s="498">
        <f>SUM(F31:F34)</f>
        <v>0</v>
      </c>
      <c r="G35" s="498">
        <f>SUM(G31:G34)</f>
        <v>0</v>
      </c>
      <c r="H35" s="499"/>
      <c r="I35" s="499"/>
      <c r="J35" s="499"/>
      <c r="K35" s="500"/>
      <c r="L35" s="499"/>
      <c r="M35" s="499"/>
      <c r="N35" s="500"/>
      <c r="O35" s="499"/>
      <c r="P35" s="499"/>
    </row>
    <row r="36" spans="1:16" ht="19.95" customHeight="1">
      <c r="A36" s="52" t="s">
        <v>787</v>
      </c>
      <c r="H36" s="63"/>
      <c r="I36" s="73"/>
      <c r="L36" s="73"/>
      <c r="O36" s="73"/>
    </row>
    <row r="37" spans="1:16" ht="19.95" customHeight="1">
      <c r="H37" s="64"/>
      <c r="I37" s="73"/>
      <c r="L37" s="73"/>
      <c r="O37" s="73"/>
    </row>
    <row r="38" spans="1:16" ht="19.95" customHeight="1">
      <c r="I38" s="74"/>
      <c r="J38" s="75"/>
      <c r="L38" s="76"/>
      <c r="M38" s="77"/>
    </row>
    <row r="39" spans="1:16" ht="19.95" customHeight="1">
      <c r="A39" s="65" t="s">
        <v>788</v>
      </c>
    </row>
    <row r="40" spans="1:16" ht="19.95" customHeight="1"/>
    <row r="41" spans="1:16" ht="19.95" customHeight="1"/>
    <row r="42" spans="1:16" ht="19.95" customHeight="1"/>
    <row r="43" spans="1:16" ht="19.95" customHeight="1"/>
    <row r="44" spans="1:16" ht="19.95" customHeight="1"/>
    <row r="45" spans="1:16" ht="19.95" customHeight="1"/>
    <row r="46" spans="1:16" ht="19.95" customHeight="1"/>
    <row r="47" spans="1:16" ht="19.95" customHeight="1"/>
    <row r="48" spans="1:16" ht="19.95" customHeight="1"/>
  </sheetData>
  <mergeCells count="17">
    <mergeCell ref="A1:P1"/>
    <mergeCell ref="A2:P2"/>
    <mergeCell ref="A15:G15"/>
    <mergeCell ref="I15:M15"/>
    <mergeCell ref="O15:O16"/>
    <mergeCell ref="O29:O30"/>
    <mergeCell ref="P15:P16"/>
    <mergeCell ref="P29:P30"/>
    <mergeCell ref="A25:D25"/>
    <mergeCell ref="A26:D26"/>
    <mergeCell ref="A29:G29"/>
    <mergeCell ref="I29:M29"/>
    <mergeCell ref="H15:H16"/>
    <mergeCell ref="H29:H30"/>
    <mergeCell ref="N15:N16"/>
    <mergeCell ref="N29:N30"/>
    <mergeCell ref="A27:D27"/>
  </mergeCells>
  <phoneticPr fontId="171" type="noConversion"/>
  <dataValidations count="1">
    <dataValidation type="list" allowBlank="1" showInputMessage="1" showErrorMessage="1" sqref="I17:M24 I31:M34">
      <formula1>"√,X"</formula1>
    </dataValidation>
  </dataValidations>
  <hyperlinks>
    <hyperlink ref="P3" location="底稿目录!A1" display="=底稿目录!F19"/>
  </hyperlinks>
  <pageMargins left="0.70866141732283505" right="0.70866141732283505" top="0.74803149606299202" bottom="0.74803149606299202" header="0.31496062992126" footer="0.31496062992126"/>
  <pageSetup paperSize="9" scale="69" orientation="landscape" blackAndWhite="1" r:id="rId1"/>
  <headerFooter>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J45"/>
  <sheetViews>
    <sheetView view="pageBreakPreview" zoomScaleNormal="100" workbookViewId="0">
      <selection activeCell="K41" sqref="K41"/>
    </sheetView>
  </sheetViews>
  <sheetFormatPr defaultColWidth="9" defaultRowHeight="13.8"/>
  <cols>
    <col min="1" max="1" width="5.88671875" style="6" customWidth="1"/>
    <col min="2" max="2" width="5.33203125" style="6" customWidth="1"/>
    <col min="3" max="3" width="33.88671875" style="6" customWidth="1"/>
    <col min="4" max="4" width="19.33203125" style="6" customWidth="1"/>
    <col min="5" max="5" width="13.88671875" style="6" customWidth="1"/>
    <col min="6" max="6" width="14.44140625" style="6" customWidth="1"/>
    <col min="7" max="7" width="11.77734375" style="6" customWidth="1"/>
    <col min="8" max="8" width="20.44140625" style="6" customWidth="1"/>
    <col min="9" max="16384" width="9" style="6"/>
  </cols>
  <sheetData>
    <row r="1" spans="1:10" s="1" customFormat="1" ht="20.100000000000001" customHeight="1">
      <c r="A1" s="569" t="s">
        <v>37</v>
      </c>
      <c r="B1" s="569"/>
      <c r="C1" s="569"/>
      <c r="D1" s="569"/>
      <c r="E1" s="569"/>
      <c r="F1" s="569"/>
      <c r="G1" s="569"/>
      <c r="H1" s="569"/>
      <c r="I1" s="39"/>
      <c r="J1" s="39"/>
    </row>
    <row r="2" spans="1:10" s="2" customFormat="1" ht="25.05" customHeight="1">
      <c r="A2" s="570" t="s">
        <v>789</v>
      </c>
      <c r="B2" s="570"/>
      <c r="C2" s="570"/>
      <c r="D2" s="570"/>
      <c r="E2" s="570"/>
      <c r="F2" s="570"/>
      <c r="G2" s="570"/>
      <c r="H2" s="570"/>
      <c r="I2" s="40"/>
      <c r="J2" s="40"/>
    </row>
    <row r="3" spans="1:10" s="3" customFormat="1" ht="20.100000000000001" customHeight="1">
      <c r="A3" s="3" t="str">
        <f>底稿目录!A2</f>
        <v>被审计单位：</v>
      </c>
      <c r="B3" s="7"/>
      <c r="D3" s="7" t="str">
        <f>底稿目录!A4</f>
        <v>编制人：</v>
      </c>
      <c r="E3" s="8" t="str">
        <f>底稿目录!A5</f>
        <v>编制日期：</v>
      </c>
      <c r="G3" s="9" t="s">
        <v>38</v>
      </c>
      <c r="H3" s="10" t="str">
        <f>底稿目录!F28</f>
        <v>G1-14</v>
      </c>
    </row>
    <row r="4" spans="1:10" s="3" customFormat="1" ht="20.100000000000001" customHeight="1">
      <c r="A4" s="3" t="str">
        <f>底稿目录!A3</f>
        <v>截止日：202X年12月31日</v>
      </c>
      <c r="B4" s="7"/>
      <c r="D4" s="7" t="str">
        <f>底稿目录!A6</f>
        <v>复核人：</v>
      </c>
      <c r="E4" s="8" t="str">
        <f>底稿目录!A7</f>
        <v>复核日期：</v>
      </c>
      <c r="G4" s="9" t="s">
        <v>364</v>
      </c>
    </row>
    <row r="5" spans="1:10" s="3" customFormat="1" ht="20.100000000000001" customHeight="1">
      <c r="A5" s="11" t="s">
        <v>790</v>
      </c>
      <c r="C5" s="12" t="s">
        <v>791</v>
      </c>
      <c r="E5" s="9"/>
      <c r="F5" s="13"/>
      <c r="I5" s="9"/>
      <c r="J5" s="9"/>
    </row>
    <row r="6" spans="1:10" s="3" customFormat="1" ht="20.100000000000001" customHeight="1">
      <c r="A6" s="11" t="s">
        <v>792</v>
      </c>
      <c r="E6" s="9"/>
      <c r="F6" s="13"/>
      <c r="G6" s="13"/>
      <c r="I6" s="9"/>
      <c r="J6" s="9"/>
    </row>
    <row r="7" spans="1:10" s="4" customFormat="1" ht="20.100000000000001" customHeight="1">
      <c r="A7" s="4">
        <v>1</v>
      </c>
      <c r="B7" s="14" t="s">
        <v>793</v>
      </c>
    </row>
    <row r="8" spans="1:10" s="5" customFormat="1" ht="20.100000000000001" customHeight="1">
      <c r="A8" s="15"/>
      <c r="C8" s="5" t="s">
        <v>794</v>
      </c>
    </row>
    <row r="9" spans="1:10" s="4" customFormat="1" ht="20.100000000000001" customHeight="1">
      <c r="A9" s="16" t="s">
        <v>111</v>
      </c>
      <c r="B9" s="4" t="s">
        <v>795</v>
      </c>
    </row>
    <row r="10" spans="1:10" s="4" customFormat="1" ht="33.75" customHeight="1">
      <c r="A10" s="16" t="s">
        <v>110</v>
      </c>
      <c r="B10" s="685" t="s">
        <v>796</v>
      </c>
      <c r="C10" s="685"/>
      <c r="D10" s="685"/>
      <c r="E10" s="682"/>
      <c r="F10" s="17" t="s">
        <v>797</v>
      </c>
    </row>
    <row r="11" spans="1:10" ht="20.100000000000001" customHeight="1">
      <c r="B11" s="683" t="s">
        <v>798</v>
      </c>
      <c r="C11" s="683"/>
      <c r="D11" s="683"/>
    </row>
    <row r="12" spans="1:10" ht="20.100000000000001" customHeight="1">
      <c r="C12" s="680" t="s">
        <v>799</v>
      </c>
      <c r="D12" s="680"/>
      <c r="F12" s="18"/>
      <c r="G12" s="6" t="s">
        <v>800</v>
      </c>
    </row>
    <row r="13" spans="1:10" ht="20.100000000000001" customHeight="1">
      <c r="C13" s="680" t="s">
        <v>801</v>
      </c>
      <c r="D13" s="680"/>
      <c r="F13" s="19"/>
      <c r="G13" s="6" t="s">
        <v>800</v>
      </c>
    </row>
    <row r="14" spans="1:10" ht="20.100000000000001" customHeight="1">
      <c r="C14" s="680" t="s">
        <v>802</v>
      </c>
      <c r="D14" s="680"/>
      <c r="F14" s="19"/>
      <c r="G14" s="6" t="s">
        <v>800</v>
      </c>
    </row>
    <row r="15" spans="1:10" ht="20.100000000000001" customHeight="1">
      <c r="C15" s="680" t="s">
        <v>803</v>
      </c>
      <c r="D15" s="680"/>
      <c r="F15" s="19"/>
      <c r="G15" s="6" t="s">
        <v>800</v>
      </c>
    </row>
    <row r="16" spans="1:10" ht="20.100000000000001" customHeight="1">
      <c r="C16" s="680" t="s">
        <v>804</v>
      </c>
      <c r="D16" s="680"/>
      <c r="F16" s="19"/>
      <c r="G16" s="6" t="s">
        <v>800</v>
      </c>
    </row>
    <row r="17" spans="1:8" ht="20.100000000000001" customHeight="1">
      <c r="C17" s="680" t="s">
        <v>805</v>
      </c>
      <c r="D17" s="680"/>
      <c r="F17" s="19"/>
      <c r="G17" s="6" t="s">
        <v>800</v>
      </c>
    </row>
    <row r="18" spans="1:8" ht="20.100000000000001" customHeight="1">
      <c r="C18" s="680" t="s">
        <v>806</v>
      </c>
      <c r="D18" s="680"/>
      <c r="F18" s="19"/>
      <c r="G18" s="6" t="s">
        <v>800</v>
      </c>
    </row>
    <row r="19" spans="1:8" ht="20.100000000000001" customHeight="1">
      <c r="C19" s="680" t="s">
        <v>807</v>
      </c>
      <c r="D19" s="680"/>
      <c r="F19" s="19"/>
      <c r="G19" s="6" t="s">
        <v>800</v>
      </c>
    </row>
    <row r="20" spans="1:8" ht="20.100000000000001" customHeight="1">
      <c r="C20" s="681" t="s">
        <v>808</v>
      </c>
      <c r="D20" s="682"/>
      <c r="E20" s="682"/>
      <c r="F20" s="682"/>
      <c r="G20" s="682"/>
      <c r="H20" s="682"/>
    </row>
    <row r="21" spans="1:8" ht="20.100000000000001" customHeight="1">
      <c r="A21" s="16" t="s">
        <v>113</v>
      </c>
      <c r="B21" s="4" t="s">
        <v>809</v>
      </c>
      <c r="E21" s="20"/>
    </row>
    <row r="22" spans="1:8" ht="20.100000000000001" customHeight="1">
      <c r="C22" s="683" t="s">
        <v>810</v>
      </c>
      <c r="D22" s="683"/>
      <c r="E22" s="683"/>
      <c r="F22" s="683"/>
    </row>
    <row r="23" spans="1:8" ht="20.100000000000001" customHeight="1">
      <c r="C23" s="6" t="s">
        <v>811</v>
      </c>
      <c r="F23" s="18"/>
      <c r="G23" s="6" t="s">
        <v>800</v>
      </c>
    </row>
    <row r="24" spans="1:8" ht="20.100000000000001" customHeight="1">
      <c r="C24" s="6" t="s">
        <v>812</v>
      </c>
      <c r="F24" s="19"/>
      <c r="G24" s="6" t="s">
        <v>800</v>
      </c>
    </row>
    <row r="25" spans="1:8" ht="21" customHeight="1">
      <c r="C25" s="684" t="s">
        <v>813</v>
      </c>
      <c r="D25" s="684"/>
      <c r="E25" s="684"/>
      <c r="F25" s="684"/>
      <c r="G25" s="682"/>
      <c r="H25" s="682"/>
    </row>
    <row r="26" spans="1:8" ht="20.100000000000001" customHeight="1">
      <c r="C26" s="680" t="s">
        <v>814</v>
      </c>
      <c r="D26" s="680"/>
    </row>
    <row r="27" spans="1:8" ht="20.100000000000001" customHeight="1">
      <c r="C27" s="680" t="s">
        <v>815</v>
      </c>
      <c r="D27" s="680"/>
      <c r="F27" s="18"/>
      <c r="G27" s="6" t="s">
        <v>816</v>
      </c>
    </row>
    <row r="28" spans="1:8" ht="20.100000000000001" customHeight="1">
      <c r="C28" s="680" t="s">
        <v>817</v>
      </c>
      <c r="D28" s="680"/>
      <c r="F28" s="19"/>
      <c r="G28" s="6" t="s">
        <v>816</v>
      </c>
    </row>
    <row r="29" spans="1:8" ht="20.100000000000001" customHeight="1">
      <c r="C29" s="680" t="s">
        <v>818</v>
      </c>
      <c r="D29" s="680"/>
      <c r="F29" s="19"/>
      <c r="G29" s="6" t="s">
        <v>816</v>
      </c>
    </row>
    <row r="30" spans="1:8" ht="20.100000000000001" customHeight="1">
      <c r="A30" s="5" t="s">
        <v>819</v>
      </c>
      <c r="B30" s="5"/>
      <c r="D30" s="5"/>
      <c r="E30" s="5"/>
      <c r="F30" s="21"/>
    </row>
    <row r="31" spans="1:8" ht="20.100000000000001" customHeight="1">
      <c r="A31" s="22">
        <v>1</v>
      </c>
      <c r="B31" s="23" t="s">
        <v>820</v>
      </c>
      <c r="D31" s="24"/>
      <c r="E31" s="24"/>
      <c r="F31" s="25"/>
      <c r="G31" s="20"/>
    </row>
    <row r="32" spans="1:8" ht="20.100000000000001" customHeight="1">
      <c r="A32" s="22">
        <v>2</v>
      </c>
      <c r="B32" s="23" t="s">
        <v>821</v>
      </c>
      <c r="D32" s="24"/>
      <c r="E32" s="24"/>
      <c r="F32" s="25"/>
      <c r="G32" s="20"/>
    </row>
    <row r="33" spans="1:8" ht="20.100000000000001" customHeight="1">
      <c r="A33" s="26">
        <v>3</v>
      </c>
      <c r="B33" s="27" t="s">
        <v>822</v>
      </c>
      <c r="D33" s="24"/>
      <c r="E33" s="24"/>
      <c r="F33" s="25"/>
      <c r="G33" s="20"/>
    </row>
    <row r="34" spans="1:8" ht="20.100000000000001" customHeight="1">
      <c r="A34" s="26"/>
      <c r="B34" s="27" t="s">
        <v>823</v>
      </c>
      <c r="D34" s="24"/>
      <c r="E34" s="24"/>
      <c r="F34" s="25"/>
      <c r="G34" s="20"/>
    </row>
    <row r="35" spans="1:8" s="4" customFormat="1" ht="20.100000000000001" customHeight="1">
      <c r="A35" s="17">
        <v>2</v>
      </c>
      <c r="B35" s="14" t="s">
        <v>824</v>
      </c>
    </row>
    <row r="36" spans="1:8" ht="20.100000000000001" customHeight="1">
      <c r="A36" s="678" t="s">
        <v>825</v>
      </c>
      <c r="B36" s="678" t="s">
        <v>826</v>
      </c>
      <c r="C36" s="678" t="s">
        <v>827</v>
      </c>
      <c r="D36" s="678" t="s">
        <v>828</v>
      </c>
      <c r="E36" s="678" t="s">
        <v>829</v>
      </c>
      <c r="F36" s="678" t="s">
        <v>830</v>
      </c>
      <c r="G36" s="679"/>
      <c r="H36" s="678" t="s">
        <v>831</v>
      </c>
    </row>
    <row r="37" spans="1:8" ht="20.100000000000001" customHeight="1">
      <c r="A37" s="679"/>
      <c r="B37" s="679"/>
      <c r="C37" s="679"/>
      <c r="D37" s="679"/>
      <c r="E37" s="679"/>
      <c r="F37" s="28" t="s">
        <v>832</v>
      </c>
      <c r="G37" s="28" t="s">
        <v>833</v>
      </c>
      <c r="H37" s="679"/>
    </row>
    <row r="38" spans="1:8" ht="20.100000000000001" customHeight="1">
      <c r="A38" s="29"/>
      <c r="B38" s="29"/>
      <c r="C38" s="29"/>
      <c r="D38" s="29"/>
      <c r="E38" s="29"/>
      <c r="F38" s="30"/>
      <c r="G38" s="30"/>
      <c r="H38" s="29"/>
    </row>
    <row r="39" spans="1:8" ht="20.100000000000001" customHeight="1">
      <c r="A39" s="29"/>
      <c r="B39" s="29"/>
      <c r="C39" s="29"/>
      <c r="D39" s="29"/>
      <c r="E39" s="29"/>
      <c r="F39" s="30"/>
      <c r="G39" s="30"/>
      <c r="H39" s="29"/>
    </row>
    <row r="40" spans="1:8" ht="20.100000000000001" customHeight="1">
      <c r="A40" s="29"/>
      <c r="B40" s="29"/>
      <c r="C40" s="29"/>
      <c r="D40" s="29"/>
      <c r="E40" s="29"/>
      <c r="F40" s="30"/>
      <c r="G40" s="30"/>
      <c r="H40" s="29"/>
    </row>
    <row r="41" spans="1:8" ht="20.100000000000001" customHeight="1">
      <c r="A41" s="29"/>
      <c r="B41" s="29"/>
      <c r="C41" s="29"/>
      <c r="D41" s="29"/>
      <c r="E41" s="29"/>
      <c r="F41" s="30"/>
      <c r="G41" s="30"/>
      <c r="H41" s="29"/>
    </row>
    <row r="42" spans="1:8" ht="20.100000000000001" customHeight="1">
      <c r="A42" s="31">
        <v>3</v>
      </c>
      <c r="B42" s="32" t="s">
        <v>834</v>
      </c>
      <c r="C42" s="33"/>
      <c r="D42" s="33"/>
    </row>
    <row r="43" spans="1:8" ht="20.100000000000001" customHeight="1">
      <c r="B43" s="34" t="s">
        <v>55</v>
      </c>
      <c r="C43" s="35" t="s">
        <v>835</v>
      </c>
      <c r="D43" s="34" t="s">
        <v>836</v>
      </c>
    </row>
    <row r="44" spans="1:8" ht="20.100000000000001" customHeight="1">
      <c r="B44" s="36">
        <v>1</v>
      </c>
      <c r="C44" s="37" t="s">
        <v>837</v>
      </c>
      <c r="D44" s="38"/>
    </row>
    <row r="45" spans="1:8" ht="20.100000000000001" customHeight="1">
      <c r="B45" s="36">
        <v>2</v>
      </c>
      <c r="C45" s="37" t="s">
        <v>838</v>
      </c>
      <c r="D45" s="38"/>
    </row>
  </sheetData>
  <mergeCells count="26">
    <mergeCell ref="A1:H1"/>
    <mergeCell ref="A2:H2"/>
    <mergeCell ref="B10:E10"/>
    <mergeCell ref="B11:D11"/>
    <mergeCell ref="C12:D12"/>
    <mergeCell ref="C13:D13"/>
    <mergeCell ref="C14:D14"/>
    <mergeCell ref="C15:D15"/>
    <mergeCell ref="C16:D16"/>
    <mergeCell ref="C17:D17"/>
    <mergeCell ref="C18:D18"/>
    <mergeCell ref="C19:D19"/>
    <mergeCell ref="C20:H20"/>
    <mergeCell ref="C22:F22"/>
    <mergeCell ref="C25:H25"/>
    <mergeCell ref="C26:D26"/>
    <mergeCell ref="C27:D27"/>
    <mergeCell ref="C28:D28"/>
    <mergeCell ref="C29:D29"/>
    <mergeCell ref="F36:G36"/>
    <mergeCell ref="H36:H37"/>
    <mergeCell ref="A36:A37"/>
    <mergeCell ref="B36:B37"/>
    <mergeCell ref="C36:C37"/>
    <mergeCell ref="D36:D37"/>
    <mergeCell ref="E36:E37"/>
  </mergeCells>
  <phoneticPr fontId="171" type="noConversion"/>
  <hyperlinks>
    <hyperlink ref="H3" location="底稿目录!A1" display="=底稿目录!F20"/>
  </hyperlinks>
  <printOptions horizontalCentered="1"/>
  <pageMargins left="0.59055118110236204" right="0.74803149606299202" top="0.98425196850393704" bottom="0.98425196850393704" header="0.511811023622047" footer="0.511811023622047"/>
  <pageSetup paperSize="9" scale="68" fitToHeight="100" orientation="portrait" blackAndWhite="1" r:id="rId1"/>
  <headerFooter alignWithMargins="0">
    <oddFooter>&amp;C&amp;P/&amp;N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19</vt:i4>
      </vt:variant>
    </vt:vector>
  </HeadingPairs>
  <TitlesOfParts>
    <vt:vector size="37" baseType="lpstr">
      <vt:lpstr>底稿目录</vt:lpstr>
      <vt:lpstr>交易性金融资产实质性程序表G1A </vt:lpstr>
      <vt:lpstr>审定表G1-1</vt:lpstr>
      <vt:lpstr>附注披露信息（上市公司）</vt:lpstr>
      <vt:lpstr>附注披露信息（国企）</vt:lpstr>
      <vt:lpstr>明细表G1-2</vt:lpstr>
      <vt:lpstr>调整分录汇总G1-3</vt:lpstr>
      <vt:lpstr>结存表G1-4</vt:lpstr>
      <vt:lpstr>收益测算表G1-5</vt:lpstr>
      <vt:lpstr>公允价值测试表G1-6</vt:lpstr>
      <vt:lpstr>第三层次公允价值计量的调节表G1-7</vt:lpstr>
      <vt:lpstr>业务模式分析G1-8</vt:lpstr>
      <vt:lpstr>分类的适当性检查表G1-9</vt:lpstr>
      <vt:lpstr>合同现金流量特征分析G1-10</vt:lpstr>
      <vt:lpstr>有价证券监盘表G1-11</vt:lpstr>
      <vt:lpstr>有价证券盘点倒轧表G1-12</vt:lpstr>
      <vt:lpstr>检查表G1-13</vt:lpstr>
      <vt:lpstr>衍生金融工具核查表G1-14</vt:lpstr>
      <vt:lpstr>'第三层次公允价值计量的调节表G1-7'!Print_Area</vt:lpstr>
      <vt:lpstr>'调整分录汇总G1-3'!Print_Area</vt:lpstr>
      <vt:lpstr>'分类的适当性检查表G1-9'!Print_Area</vt:lpstr>
      <vt:lpstr>'附注披露信息（国企）'!Print_Area</vt:lpstr>
      <vt:lpstr>'附注披露信息（上市公司）'!Print_Area</vt:lpstr>
      <vt:lpstr>'公允价值测试表G1-6'!Print_Area</vt:lpstr>
      <vt:lpstr>'合同现金流量特征分析G1-10'!Print_Area</vt:lpstr>
      <vt:lpstr>'检查表G1-13'!Print_Area</vt:lpstr>
      <vt:lpstr>'交易性金融资产实质性程序表G1A '!Print_Area</vt:lpstr>
      <vt:lpstr>'结存表G1-4'!Print_Area</vt:lpstr>
      <vt:lpstr>'明细表G1-2'!Print_Area</vt:lpstr>
      <vt:lpstr>'审定表G1-1'!Print_Area</vt:lpstr>
      <vt:lpstr>'收益测算表G1-5'!Print_Area</vt:lpstr>
      <vt:lpstr>'衍生金融工具核查表G1-14'!Print_Area</vt:lpstr>
      <vt:lpstr>'业务模式分析G1-8'!Print_Area</vt:lpstr>
      <vt:lpstr>'有价证券监盘表G1-11'!Print_Area</vt:lpstr>
      <vt:lpstr>'有价证券盘点倒轧表G1-12'!Print_Area</vt:lpstr>
      <vt:lpstr>'交易性金融资产实质性程序表G1A '!Print_Titles</vt:lpstr>
      <vt:lpstr>'审定表G1-1'!Print_Titles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2025-10-24T08:29:51Z</cp:lastPrinted>
  <dcterms:created xsi:type="dcterms:W3CDTF">2014-10-22T07:25:00Z</dcterms:created>
  <dcterms:modified xsi:type="dcterms:W3CDTF">2025-10-27T07:23:17Z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2052-11.8.2.12055</vt:lpwstr>
  </property>
  <property fmtid="{D5CDD505-2E9C-101B-9397-08002B2CF9AE}" pid="3" name="ICV">
    <vt:lpwstr>7DC9A59128EF422596714E171E331517</vt:lpwstr>
  </property>
</Properties>
</file>