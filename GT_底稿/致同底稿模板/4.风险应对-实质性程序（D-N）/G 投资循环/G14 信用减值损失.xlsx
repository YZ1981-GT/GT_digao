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0" yWindow="0" windowWidth="23040" windowHeight="9144" tabRatio="814"/>
  </bookViews>
  <sheets>
    <sheet name="底稿目录" sheetId="11" r:id="rId1"/>
    <sheet name="信用减值损失审计程序表G14A" sheetId="28" r:id="rId2"/>
    <sheet name="信用减值损失审计程序表G14A -修订前" sheetId="30" state="hidden" r:id="rId3"/>
    <sheet name="审定表G14-1" sheetId="16" r:id="rId4"/>
    <sheet name="附注披露信息（上市公司）" sheetId="2" r:id="rId5"/>
    <sheet name="附注披露信息（国企）" sheetId="24" r:id="rId6"/>
    <sheet name="明细表G14-2" sheetId="27" r:id="rId7"/>
    <sheet name="调整分录汇总G14-3" sheetId="29" r:id="rId8"/>
  </sheets>
  <definedNames>
    <definedName name="_xlnm.Print_Area" localSheetId="7">'调整分录汇总G14-3'!$A$1:$J$24</definedName>
    <definedName name="_xlnm.Print_Area" localSheetId="5">'附注披露信息（国企）'!$A$1:$E$13</definedName>
    <definedName name="_xlnm.Print_Area" localSheetId="4">'附注披露信息（上市公司）'!$A$1:$E$18</definedName>
    <definedName name="_xlnm.Print_Area" localSheetId="6">'明细表G14-2'!$A$1:$M$25</definedName>
    <definedName name="_xlnm.Print_Area" localSheetId="3">'审定表G14-1'!$A$1:$J$27</definedName>
    <definedName name="_xlnm.Print_Area" localSheetId="1">信用减值损失审计程序表G14A!$A$1:$I$22</definedName>
    <definedName name="_xlnm.Print_Area" localSheetId="2">'信用减值损失审计程序表G14A -修订前'!$A$1:$I$46</definedName>
    <definedName name="_xlnm.Print_Titles" localSheetId="3">'审定表G14-1'!$2:$6</definedName>
    <definedName name="_xlnm.Print_Titles" localSheetId="1">信用减值损失审计程序表G14A!$16:$16</definedName>
    <definedName name="_xlnm.Print_Titles" localSheetId="2">'信用减值损失审计程序表G14A -修订前'!$16:$16</definedName>
  </definedNames>
  <calcPr calcId="162913"/>
</workbook>
</file>

<file path=xl/calcChain.xml><?xml version="1.0" encoding="utf-8"?>
<calcChain xmlns="http://schemas.openxmlformats.org/spreadsheetml/2006/main">
  <c r="K11" i="27" l="1"/>
  <c r="J11" i="27" l="1"/>
  <c r="K12" i="27"/>
  <c r="K13" i="27"/>
  <c r="K14" i="27"/>
  <c r="K15" i="27"/>
  <c r="K16" i="27"/>
  <c r="K17" i="27"/>
  <c r="K18" i="27"/>
  <c r="K19" i="27"/>
  <c r="F4" i="30" l="1"/>
  <c r="C4" i="30"/>
  <c r="A4" i="30"/>
  <c r="I3" i="30"/>
  <c r="F3" i="30"/>
  <c r="C3" i="30"/>
  <c r="A3" i="30"/>
  <c r="B7" i="16" l="1"/>
  <c r="J19" i="27" l="1"/>
  <c r="D19" i="27"/>
  <c r="D11" i="27"/>
  <c r="J3" i="29" l="1"/>
  <c r="M3" i="27"/>
  <c r="E3" i="24"/>
  <c r="E3" i="2"/>
  <c r="J3" i="16"/>
  <c r="I3" i="28"/>
  <c r="D4" i="29" l="1"/>
  <c r="D3" i="29"/>
  <c r="A4" i="29"/>
  <c r="A3" i="29"/>
  <c r="G4" i="29"/>
  <c r="G3" i="29"/>
  <c r="G4" i="27"/>
  <c r="D4" i="27"/>
  <c r="B8" i="16"/>
  <c r="C8" i="16"/>
  <c r="B9" i="16"/>
  <c r="C9" i="16"/>
  <c r="B10" i="16"/>
  <c r="C10" i="16"/>
  <c r="B11" i="16"/>
  <c r="C11" i="16"/>
  <c r="B12" i="16"/>
  <c r="C12" i="16"/>
  <c r="B13" i="16"/>
  <c r="C13" i="16"/>
  <c r="B14" i="16"/>
  <c r="C14" i="16"/>
  <c r="B15" i="16"/>
  <c r="C15" i="16"/>
  <c r="C7" i="16"/>
  <c r="C4" i="24"/>
  <c r="B4" i="24"/>
  <c r="C4" i="2"/>
  <c r="B4" i="2"/>
  <c r="G4" i="16"/>
  <c r="D4" i="16"/>
  <c r="E4" i="28"/>
  <c r="C4" i="28"/>
  <c r="D12" i="27" l="1"/>
  <c r="D13" i="27"/>
  <c r="D14" i="27"/>
  <c r="D15" i="27"/>
  <c r="D16" i="27"/>
  <c r="D17" i="27"/>
  <c r="D18" i="27"/>
  <c r="D12" i="16"/>
  <c r="B13" i="2" s="1"/>
  <c r="D15" i="16"/>
  <c r="B16" i="2" s="1"/>
  <c r="D14" i="16"/>
  <c r="D13" i="16"/>
  <c r="B14" i="2" s="1"/>
  <c r="D11" i="16"/>
  <c r="B9" i="24" s="1"/>
  <c r="D10" i="16"/>
  <c r="D9" i="16"/>
  <c r="D8" i="16"/>
  <c r="B9" i="2" s="1"/>
  <c r="D7" i="16"/>
  <c r="G8" i="16"/>
  <c r="C9" i="2" s="1"/>
  <c r="G9" i="16"/>
  <c r="C10" i="2" s="1"/>
  <c r="G10" i="16"/>
  <c r="C11" i="2" s="1"/>
  <c r="G11" i="16"/>
  <c r="C9" i="24" s="1"/>
  <c r="G12" i="16"/>
  <c r="C10" i="24" s="1"/>
  <c r="G13" i="16"/>
  <c r="C14" i="2" s="1"/>
  <c r="G14" i="16"/>
  <c r="G15" i="16"/>
  <c r="C11" i="24" s="1"/>
  <c r="G7" i="16"/>
  <c r="C8" i="2" s="1"/>
  <c r="B11" i="2" l="1"/>
  <c r="I10" i="16"/>
  <c r="C13" i="2"/>
  <c r="C12" i="2"/>
  <c r="B12" i="2"/>
  <c r="C8" i="24"/>
  <c r="C12" i="24" s="1"/>
  <c r="C16" i="2"/>
  <c r="C15" i="2"/>
  <c r="B8" i="24"/>
  <c r="B15" i="2"/>
  <c r="B11" i="24"/>
  <c r="B10" i="2"/>
  <c r="B10" i="24"/>
  <c r="B8" i="2"/>
  <c r="J12" i="27"/>
  <c r="B17" i="2" l="1"/>
  <c r="C17" i="2"/>
  <c r="B12" i="24"/>
  <c r="E3" i="28"/>
  <c r="C3" i="28"/>
  <c r="A4" i="28"/>
  <c r="A3" i="28"/>
  <c r="F20" i="27" l="1"/>
  <c r="G20" i="27"/>
  <c r="H20" i="27"/>
  <c r="I20" i="27"/>
  <c r="J13" i="27"/>
  <c r="J14" i="27"/>
  <c r="J15" i="27"/>
  <c r="J16" i="27"/>
  <c r="J17" i="27"/>
  <c r="J18" i="27"/>
  <c r="C20" i="27"/>
  <c r="B20" i="27"/>
  <c r="I12" i="16"/>
  <c r="H10" i="16"/>
  <c r="L17" i="27" l="1"/>
  <c r="L11" i="27"/>
  <c r="L15" i="27"/>
  <c r="L18" i="27"/>
  <c r="L13" i="27"/>
  <c r="J20" i="27"/>
  <c r="L14" i="27"/>
  <c r="L16" i="27"/>
  <c r="L19" i="27"/>
  <c r="H12" i="16"/>
  <c r="H11" i="16"/>
  <c r="H13" i="16"/>
  <c r="I11" i="16"/>
  <c r="H9" i="16"/>
  <c r="I9" i="16" s="1"/>
  <c r="K20" i="27"/>
  <c r="L12" i="27"/>
  <c r="D20" i="27"/>
  <c r="I13" i="16"/>
  <c r="L20" i="27" l="1"/>
  <c r="G3" i="27"/>
  <c r="D3" i="27"/>
  <c r="A4" i="27"/>
  <c r="A3" i="27"/>
  <c r="A4" i="24" l="1"/>
  <c r="C3" i="24"/>
  <c r="B3" i="24"/>
  <c r="A3" i="24"/>
  <c r="F16" i="16"/>
  <c r="B16" i="16"/>
  <c r="C16" i="16"/>
  <c r="E16" i="16"/>
  <c r="H15" i="16" l="1"/>
  <c r="I15" i="16"/>
  <c r="H14" i="16"/>
  <c r="I14" i="16"/>
  <c r="G16" i="16" l="1"/>
  <c r="G18" i="16" s="1"/>
  <c r="D16" i="16"/>
  <c r="D18" i="16" s="1"/>
  <c r="I8" i="16"/>
  <c r="H8" i="16"/>
  <c r="H7" i="16"/>
  <c r="I7" i="16" s="1"/>
  <c r="H16" i="16" l="1"/>
  <c r="I16" i="16" s="1"/>
  <c r="D20" i="16"/>
  <c r="G3" i="16" l="1"/>
  <c r="D3" i="16"/>
  <c r="A4" i="16"/>
  <c r="A3" i="16"/>
  <c r="A4" i="2" l="1"/>
  <c r="C3" i="2"/>
  <c r="B3" i="2"/>
  <c r="A3" i="2"/>
  <c r="D6" i="11"/>
  <c r="D7" i="11" s="1"/>
  <c r="D8" i="11" s="1"/>
  <c r="D9" i="1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<sst xmlns="http://schemas.openxmlformats.org/spreadsheetml/2006/main" count="387" uniqueCount="272">
  <si>
    <t>底稿开列时，可先在以下单元格填写有关内容，以便其他底稿引用有关数据：</t>
    <phoneticPr fontId="7" type="noConversion"/>
  </si>
  <si>
    <t>编制人：</t>
    <phoneticPr fontId="7" type="noConversion"/>
  </si>
  <si>
    <t>合计</t>
    <phoneticPr fontId="3" type="noConversion"/>
  </si>
  <si>
    <r>
      <rPr>
        <sz val="12"/>
        <color theme="1"/>
        <rFont val="仿宋_GB2312"/>
        <family val="3"/>
        <charset val="134"/>
      </rPr>
      <t>附注披露信息</t>
    </r>
    <phoneticPr fontId="7" type="noConversion"/>
  </si>
  <si>
    <t>项目</t>
    <phoneticPr fontId="7" type="noConversion"/>
  </si>
  <si>
    <t>本期与上期审定数比较</t>
    <phoneticPr fontId="7" type="noConversion"/>
  </si>
  <si>
    <r>
      <rPr>
        <b/>
        <sz val="10"/>
        <color indexed="8"/>
        <rFont val="宋体"/>
        <family val="3"/>
        <charset val="134"/>
      </rPr>
      <t>原因分析</t>
    </r>
    <phoneticPr fontId="7" type="noConversion"/>
  </si>
  <si>
    <r>
      <rPr>
        <b/>
        <sz val="10"/>
        <rFont val="宋体"/>
        <family val="3"/>
        <charset val="134"/>
      </rPr>
      <t>未审数</t>
    </r>
    <phoneticPr fontId="7" type="noConversion"/>
  </si>
  <si>
    <r>
      <rPr>
        <b/>
        <sz val="10"/>
        <rFont val="宋体"/>
        <family val="3"/>
        <charset val="134"/>
      </rPr>
      <t>审定数</t>
    </r>
    <phoneticPr fontId="7" type="noConversion"/>
  </si>
  <si>
    <r>
      <rPr>
        <b/>
        <sz val="10"/>
        <rFont val="宋体"/>
        <family val="3"/>
        <charset val="134"/>
      </rPr>
      <t>变动额</t>
    </r>
    <phoneticPr fontId="7" type="noConversion"/>
  </si>
  <si>
    <r>
      <rPr>
        <b/>
        <sz val="10"/>
        <color indexed="8"/>
        <rFont val="宋体"/>
        <family val="3"/>
        <charset val="134"/>
      </rPr>
      <t>变动率</t>
    </r>
    <phoneticPr fontId="7" type="noConversion"/>
  </si>
  <si>
    <r>
      <t>1</t>
    </r>
    <r>
      <rPr>
        <b/>
        <sz val="10"/>
        <rFont val="宋体"/>
        <family val="3"/>
        <charset val="134"/>
      </rPr>
      <t>、审计说明</t>
    </r>
    <r>
      <rPr>
        <sz val="10"/>
        <color indexed="12"/>
        <rFont val="宋体"/>
        <family val="3"/>
        <charset val="134"/>
      </rPr>
      <t/>
    </r>
    <phoneticPr fontId="7"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</si>
  <si>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7" type="noConversion"/>
  </si>
  <si>
    <r>
      <t>2</t>
    </r>
    <r>
      <rPr>
        <b/>
        <sz val="10"/>
        <rFont val="宋体"/>
        <family val="3"/>
        <charset val="134"/>
      </rPr>
      <t>、审计结论</t>
    </r>
    <phoneticPr fontId="7" type="noConversion"/>
  </si>
  <si>
    <r>
      <rPr>
        <sz val="10"/>
        <rFont val="宋体"/>
        <family val="3"/>
        <charset val="134"/>
      </rPr>
      <t>（</t>
    </r>
    <r>
      <rPr>
        <sz val="10"/>
        <rFont val="Arial Narrow"/>
        <family val="2"/>
      </rPr>
      <t>2</t>
    </r>
    <r>
      <rPr>
        <sz val="10"/>
        <rFont val="宋体"/>
        <family val="3"/>
        <charset val="134"/>
      </rPr>
      <t>）情况说明</t>
    </r>
    <phoneticPr fontId="7" type="noConversion"/>
  </si>
  <si>
    <t>无需打印</t>
    <phoneticPr fontId="3" type="noConversion"/>
  </si>
  <si>
    <t>附注披露信息（国企）</t>
    <phoneticPr fontId="7" type="noConversion"/>
  </si>
  <si>
    <t>上期数</t>
    <phoneticPr fontId="7" type="noConversion"/>
  </si>
  <si>
    <t>本期数</t>
    <phoneticPr fontId="7" type="noConversion"/>
  </si>
  <si>
    <t xml:space="preserve">页  次：  </t>
    <phoneticPr fontId="7" type="noConversion"/>
  </si>
  <si>
    <r>
      <rPr>
        <b/>
        <sz val="10"/>
        <rFont val="宋体"/>
        <family val="3"/>
        <charset val="134"/>
      </rPr>
      <t>二、审计过程：</t>
    </r>
    <phoneticPr fontId="13" type="noConversion"/>
  </si>
  <si>
    <r>
      <rPr>
        <b/>
        <sz val="10"/>
        <rFont val="宋体"/>
        <family val="3"/>
        <charset val="134"/>
      </rPr>
      <t>项目</t>
    </r>
    <phoneticPr fontId="7" type="noConversion"/>
  </si>
  <si>
    <r>
      <rPr>
        <b/>
        <sz val="10"/>
        <rFont val="宋体"/>
        <family val="3"/>
        <charset val="134"/>
      </rPr>
      <t>三、审计说明：</t>
    </r>
    <phoneticPr fontId="7" type="noConversion"/>
  </si>
  <si>
    <r>
      <rPr>
        <b/>
        <sz val="10"/>
        <rFont val="宋体"/>
        <family val="3"/>
        <charset val="134"/>
      </rPr>
      <t>四、审计结论：</t>
    </r>
    <phoneticPr fontId="3" type="noConversion"/>
  </si>
  <si>
    <r>
      <rPr>
        <b/>
        <sz val="10"/>
        <rFont val="宋体"/>
        <family val="3"/>
        <charset val="134"/>
      </rPr>
      <t>合计</t>
    </r>
    <phoneticPr fontId="3" type="noConversion"/>
  </si>
  <si>
    <t>索引号</t>
    <phoneticPr fontId="3" type="noConversion"/>
  </si>
  <si>
    <t>信用减值损失审定表</t>
    <phoneticPr fontId="7" type="noConversion"/>
  </si>
  <si>
    <r>
      <rPr>
        <sz val="10"/>
        <rFont val="宋体"/>
        <family val="3"/>
        <charset val="134"/>
      </rPr>
      <t>（</t>
    </r>
    <r>
      <rPr>
        <sz val="10"/>
        <rFont val="Arial Narrow"/>
        <family val="2"/>
      </rPr>
      <t>1</t>
    </r>
    <r>
      <rPr>
        <sz val="10"/>
        <rFont val="宋体"/>
        <family val="3"/>
        <charset val="134"/>
      </rPr>
      <t>）信用减值损失本期较上期增加（负数为减少）：</t>
    </r>
    <phoneticPr fontId="7" type="noConversion"/>
  </si>
  <si>
    <t>应收票据坏账损失</t>
  </si>
  <si>
    <t>应收账款坏账损失</t>
  </si>
  <si>
    <t>应收款项融资坏账损失</t>
  </si>
  <si>
    <t>其他应收款坏账损失</t>
  </si>
  <si>
    <t>债权投资减值损失</t>
  </si>
  <si>
    <t>其他债权投资减值损失</t>
  </si>
  <si>
    <t>长期应收款坏账损失</t>
  </si>
  <si>
    <t>其他</t>
  </si>
  <si>
    <t>信用减值损失明细表</t>
    <phoneticPr fontId="7" type="noConversion"/>
  </si>
  <si>
    <t>对应科目</t>
    <phoneticPr fontId="3" type="noConversion"/>
  </si>
  <si>
    <t>应收票据坏账准备</t>
  </si>
  <si>
    <t>应收账款坏账准备</t>
  </si>
  <si>
    <t>应收款项融资坏账准备</t>
  </si>
  <si>
    <t>其他应收款坏账准备</t>
  </si>
  <si>
    <t>债权投资减值准备</t>
  </si>
  <si>
    <t>长期应收款坏账准备</t>
  </si>
  <si>
    <t>本期计提</t>
    <phoneticPr fontId="7" type="noConversion"/>
  </si>
  <si>
    <t>本期转回</t>
    <phoneticPr fontId="7" type="noConversion"/>
  </si>
  <si>
    <t>本期转销</t>
    <phoneticPr fontId="110" type="noConversion"/>
  </si>
  <si>
    <t>期初余额</t>
    <phoneticPr fontId="7" type="noConversion"/>
  </si>
  <si>
    <t>期末余额</t>
    <phoneticPr fontId="7" type="noConversion"/>
  </si>
  <si>
    <t>对应科目-减值准备</t>
    <phoneticPr fontId="3" type="noConversion"/>
  </si>
  <si>
    <t>计入损益</t>
    <phoneticPr fontId="3" type="noConversion"/>
  </si>
  <si>
    <t>核对</t>
    <phoneticPr fontId="3" type="noConversion"/>
  </si>
  <si>
    <t>编制说明【非打印内容】</t>
    <phoneticPr fontId="3" type="noConversion"/>
  </si>
  <si>
    <r>
      <rPr>
        <sz val="10"/>
        <rFont val="宋体"/>
        <family val="3"/>
        <charset val="134"/>
      </rPr>
      <t>企业应当将其差额确认为减值损失，借记</t>
    </r>
    <r>
      <rPr>
        <sz val="10"/>
        <rFont val="Arial Narrow"/>
        <family val="2"/>
      </rPr>
      <t>“</t>
    </r>
    <r>
      <rPr>
        <sz val="10"/>
        <rFont val="宋体"/>
        <family val="3"/>
        <charset val="134"/>
      </rPr>
      <t>信用减值损失</t>
    </r>
    <r>
      <rPr>
        <sz val="10"/>
        <rFont val="Arial Narrow"/>
        <family val="2"/>
      </rPr>
      <t>”</t>
    </r>
    <r>
      <rPr>
        <sz val="10"/>
        <rFont val="宋体"/>
        <family val="3"/>
        <charset val="134"/>
      </rPr>
      <t>科目，根据金融工具的种类，贷记</t>
    </r>
    <r>
      <rPr>
        <sz val="10"/>
        <rFont val="Arial Narrow"/>
        <family val="2"/>
      </rPr>
      <t>“</t>
    </r>
    <r>
      <rPr>
        <sz val="10"/>
        <rFont val="宋体"/>
        <family val="3"/>
        <charset val="134"/>
      </rPr>
      <t>贷款损失准备</t>
    </r>
    <r>
      <rPr>
        <sz val="10"/>
        <rFont val="Arial Narrow"/>
        <family val="2"/>
      </rPr>
      <t>”“</t>
    </r>
    <r>
      <rPr>
        <sz val="10"/>
        <rFont val="宋体"/>
        <family val="3"/>
        <charset val="134"/>
      </rPr>
      <t>债权投资减值准备</t>
    </r>
    <r>
      <rPr>
        <sz val="10"/>
        <rFont val="Arial Narrow"/>
        <family val="2"/>
      </rPr>
      <t>”“</t>
    </r>
    <r>
      <rPr>
        <sz val="10"/>
        <rFont val="宋体"/>
        <family val="3"/>
        <charset val="134"/>
      </rPr>
      <t>坏账准备</t>
    </r>
    <r>
      <rPr>
        <sz val="10"/>
        <rFont val="Arial Narrow"/>
        <family val="2"/>
      </rPr>
      <t>”“</t>
    </r>
    <r>
      <rPr>
        <sz val="10"/>
        <rFont val="宋体"/>
        <family val="3"/>
        <charset val="134"/>
      </rPr>
      <t>合同资产减值准备</t>
    </r>
    <r>
      <rPr>
        <sz val="10"/>
        <rFont val="Arial Narrow"/>
        <family val="2"/>
      </rPr>
      <t>”</t>
    </r>
    <phoneticPr fontId="3" type="noConversion"/>
  </si>
  <si>
    <t>预计负债</t>
    <phoneticPr fontId="3" type="noConversion"/>
  </si>
  <si>
    <t>其他综合收益-信用减值准备</t>
    <phoneticPr fontId="3" type="noConversion"/>
  </si>
  <si>
    <r>
      <t>“</t>
    </r>
    <r>
      <rPr>
        <sz val="10"/>
        <rFont val="宋体"/>
        <family val="3"/>
        <charset val="134"/>
      </rPr>
      <t>租赁应收款减值准备</t>
    </r>
    <r>
      <rPr>
        <sz val="10"/>
        <rFont val="Arial Narrow"/>
        <family val="2"/>
      </rPr>
      <t>”“</t>
    </r>
    <r>
      <rPr>
        <sz val="10"/>
        <rFont val="宋体"/>
        <family val="3"/>
        <charset val="134"/>
      </rPr>
      <t>预计负债</t>
    </r>
    <r>
      <rPr>
        <sz val="10"/>
        <rFont val="Arial Narrow"/>
        <family val="2"/>
      </rPr>
      <t>”</t>
    </r>
    <r>
      <rPr>
        <sz val="10"/>
        <rFont val="宋体"/>
        <family val="3"/>
        <charset val="134"/>
      </rPr>
      <t>（用于贷款承诺及财务担保合同）或“其他综合收益”（用于以公允价值计量且其变动计入其他综合收益的债权类资产，</t>
    </r>
    <phoneticPr fontId="3" type="noConversion"/>
  </si>
  <si>
    <t>可能出现这一情况），则应当将差额确认为减值利得，做相反的会计分录。</t>
    <phoneticPr fontId="3" type="noConversion"/>
  </si>
  <si>
    <t>2、企业应当在资产负债表日计算金融工具（或金融工具组合）预期信用损失。如果该预期信用损失大于该工具（或组合）当前减值准备的账面金额，</t>
    <phoneticPr fontId="3" type="noConversion"/>
  </si>
  <si>
    <r>
      <t>3</t>
    </r>
    <r>
      <rPr>
        <sz val="10"/>
        <rFont val="宋体"/>
        <family val="3"/>
        <charset val="134"/>
      </rPr>
      <t>、如果资产负债表日计算的预期信用损失小于该工具（或组合）当前减值准备的账面金额（例如，从按照整个存续期预期信用损失计量损失准备转为按照未来</t>
    </r>
    <r>
      <rPr>
        <sz val="10"/>
        <rFont val="Arial Narrow"/>
        <family val="2"/>
      </rPr>
      <t>12</t>
    </r>
    <r>
      <rPr>
        <sz val="10"/>
        <rFont val="宋体"/>
        <family val="3"/>
        <charset val="134"/>
      </rPr>
      <t>个月预期信用损失计量损失准备时，</t>
    </r>
    <phoneticPr fontId="3" type="noConversion"/>
  </si>
  <si>
    <r>
      <rPr>
        <sz val="10"/>
        <rFont val="宋体"/>
        <family val="3"/>
        <charset val="134"/>
      </rPr>
      <t>企业可以设置二级科目</t>
    </r>
    <r>
      <rPr>
        <sz val="10"/>
        <rFont val="Arial Narrow"/>
        <family val="2"/>
      </rPr>
      <t>“</t>
    </r>
    <r>
      <rPr>
        <sz val="10"/>
        <rFont val="宋体"/>
        <family val="3"/>
        <charset val="134"/>
      </rPr>
      <t>其他综合收益</t>
    </r>
    <r>
      <rPr>
        <sz val="10"/>
        <rFont val="Arial Narrow"/>
        <family val="2"/>
      </rPr>
      <t>——</t>
    </r>
    <r>
      <rPr>
        <sz val="10"/>
        <rFont val="宋体"/>
        <family val="3"/>
        <charset val="134"/>
      </rPr>
      <t>信用减值准备</t>
    </r>
    <r>
      <rPr>
        <sz val="10"/>
        <rFont val="Arial Narrow"/>
        <family val="2"/>
      </rPr>
      <t>”</t>
    </r>
    <r>
      <rPr>
        <sz val="10"/>
        <rFont val="宋体"/>
        <family val="3"/>
        <charset val="134"/>
      </rPr>
      <t>核算此类工具的减值准备）等科目（上述贷记科目，以下统称</t>
    </r>
    <r>
      <rPr>
        <sz val="10"/>
        <rFont val="Arial Narrow"/>
        <family val="2"/>
      </rPr>
      <t>“</t>
    </r>
    <r>
      <rPr>
        <sz val="10"/>
        <rFont val="宋体"/>
        <family val="3"/>
        <charset val="134"/>
      </rPr>
      <t>贷款损失准备</t>
    </r>
    <r>
      <rPr>
        <sz val="10"/>
        <rFont val="Arial Narrow"/>
        <family val="2"/>
      </rPr>
      <t>”</t>
    </r>
    <r>
      <rPr>
        <sz val="10"/>
        <rFont val="宋体"/>
        <family val="3"/>
        <charset val="134"/>
      </rPr>
      <t>等科目）。</t>
    </r>
    <phoneticPr fontId="3" type="noConversion"/>
  </si>
  <si>
    <t>2、企业应当在资产负债表日计算金融工具（或金融工具组合）预期信用损失。如果该预期信用损失大于该工具（或组合）当前减值准备的账面金额，企业应当将其差额确认为减值损失，</t>
    <phoneticPr fontId="3" type="noConversion"/>
  </si>
  <si>
    <t>或“其他综合收益”（用于以公允价值计量且其变动计入其他综合收益的债权类资产，企业可以设置二级科目“其他综合收益——信用减值准备”核算此类工具的减值准备）等科目</t>
    <phoneticPr fontId="3" type="noConversion"/>
  </si>
  <si>
    <r>
      <rPr>
        <sz val="10"/>
        <color rgb="FF0000FF"/>
        <rFont val="宋体"/>
        <family val="3"/>
        <charset val="134"/>
      </rPr>
      <t>借记</t>
    </r>
    <r>
      <rPr>
        <sz val="10"/>
        <color rgb="FF0000FF"/>
        <rFont val="Arial Narrow"/>
        <family val="2"/>
      </rPr>
      <t>“</t>
    </r>
    <r>
      <rPr>
        <sz val="10"/>
        <color rgb="FF0000FF"/>
        <rFont val="宋体"/>
        <family val="3"/>
        <charset val="134"/>
      </rPr>
      <t>信用减值损失</t>
    </r>
    <r>
      <rPr>
        <sz val="10"/>
        <color rgb="FF0000FF"/>
        <rFont val="Arial Narrow"/>
        <family val="2"/>
      </rPr>
      <t>”</t>
    </r>
    <r>
      <rPr>
        <sz val="10"/>
        <color rgb="FF0000FF"/>
        <rFont val="宋体"/>
        <family val="3"/>
        <charset val="134"/>
      </rPr>
      <t>科目，根据金融工具的种类，贷记</t>
    </r>
    <r>
      <rPr>
        <sz val="10"/>
        <color rgb="FF0000FF"/>
        <rFont val="Arial Narrow"/>
        <family val="2"/>
      </rPr>
      <t>“</t>
    </r>
    <r>
      <rPr>
        <sz val="10"/>
        <color rgb="FF0000FF"/>
        <rFont val="宋体"/>
        <family val="3"/>
        <charset val="134"/>
      </rPr>
      <t>贷款损失准备</t>
    </r>
    <r>
      <rPr>
        <sz val="10"/>
        <color rgb="FF0000FF"/>
        <rFont val="Arial Narrow"/>
        <family val="2"/>
      </rPr>
      <t>”“</t>
    </r>
    <r>
      <rPr>
        <sz val="10"/>
        <color rgb="FF0000FF"/>
        <rFont val="宋体"/>
        <family val="3"/>
        <charset val="134"/>
      </rPr>
      <t>债权投资减值准备</t>
    </r>
    <r>
      <rPr>
        <sz val="10"/>
        <color rgb="FF0000FF"/>
        <rFont val="Arial Narrow"/>
        <family val="2"/>
      </rPr>
      <t>”“</t>
    </r>
    <r>
      <rPr>
        <sz val="10"/>
        <color rgb="FF0000FF"/>
        <rFont val="宋体"/>
        <family val="3"/>
        <charset val="134"/>
      </rPr>
      <t>坏账准备</t>
    </r>
    <r>
      <rPr>
        <sz val="10"/>
        <color rgb="FF0000FF"/>
        <rFont val="Arial Narrow"/>
        <family val="2"/>
      </rPr>
      <t>”“</t>
    </r>
    <r>
      <rPr>
        <sz val="10"/>
        <color rgb="FF0000FF"/>
        <rFont val="宋体"/>
        <family val="3"/>
        <charset val="134"/>
      </rPr>
      <t>合同资产减值准备</t>
    </r>
    <r>
      <rPr>
        <sz val="10"/>
        <color rgb="FF0000FF"/>
        <rFont val="Arial Narrow"/>
        <family val="2"/>
      </rPr>
      <t>”“</t>
    </r>
    <r>
      <rPr>
        <sz val="10"/>
        <color rgb="FF0000FF"/>
        <rFont val="宋体"/>
        <family val="3"/>
        <charset val="134"/>
      </rPr>
      <t>租赁应收款减值准备</t>
    </r>
    <r>
      <rPr>
        <sz val="10"/>
        <color rgb="FF0000FF"/>
        <rFont val="Arial Narrow"/>
        <family val="2"/>
      </rPr>
      <t>”“</t>
    </r>
    <r>
      <rPr>
        <sz val="10"/>
        <color rgb="FF0000FF"/>
        <rFont val="宋体"/>
        <family val="3"/>
        <charset val="134"/>
      </rPr>
      <t>预计负债</t>
    </r>
    <r>
      <rPr>
        <sz val="10"/>
        <color rgb="FF0000FF"/>
        <rFont val="Arial Narrow"/>
        <family val="2"/>
      </rPr>
      <t>”</t>
    </r>
    <r>
      <rPr>
        <sz val="10"/>
        <color rgb="FF0000FF"/>
        <rFont val="宋体"/>
        <family val="3"/>
        <charset val="134"/>
      </rPr>
      <t>（用于贷款承诺及财务担保合同）</t>
    </r>
    <phoneticPr fontId="3" type="noConversion"/>
  </si>
  <si>
    <r>
      <rPr>
        <sz val="10"/>
        <color rgb="FF0000FF"/>
        <rFont val="宋体"/>
        <family val="3"/>
        <charset val="134"/>
      </rPr>
      <t>（上述贷记科目，以下统称</t>
    </r>
    <r>
      <rPr>
        <sz val="10"/>
        <color rgb="FF0000FF"/>
        <rFont val="Arial Narrow"/>
        <family val="2"/>
      </rPr>
      <t>“</t>
    </r>
    <r>
      <rPr>
        <sz val="10"/>
        <color rgb="FF0000FF"/>
        <rFont val="宋体"/>
        <family val="3"/>
        <charset val="134"/>
      </rPr>
      <t>贷款损失准备</t>
    </r>
    <r>
      <rPr>
        <sz val="10"/>
        <color rgb="FF0000FF"/>
        <rFont val="Arial Narrow"/>
        <family val="2"/>
      </rPr>
      <t>”</t>
    </r>
    <r>
      <rPr>
        <sz val="10"/>
        <color rgb="FF0000FF"/>
        <rFont val="宋体"/>
        <family val="3"/>
        <charset val="134"/>
      </rPr>
      <t>等科目）。</t>
    </r>
    <phoneticPr fontId="3" type="noConversion"/>
  </si>
  <si>
    <r>
      <t>3</t>
    </r>
    <r>
      <rPr>
        <sz val="10"/>
        <color rgb="FF0000FF"/>
        <rFont val="宋体"/>
        <family val="3"/>
        <charset val="134"/>
      </rPr>
      <t>、如果资产负债表日计算的预期信用损失小于该工具（或组合）当前减值准备的账面金额（例如，从按照整个存续期预期信用损失计量损失准备转为按照未来</t>
    </r>
    <r>
      <rPr>
        <sz val="10"/>
        <color rgb="FF0000FF"/>
        <rFont val="Arial Narrow"/>
        <family val="2"/>
      </rPr>
      <t>12</t>
    </r>
    <r>
      <rPr>
        <sz val="10"/>
        <color rgb="FF0000FF"/>
        <rFont val="宋体"/>
        <family val="3"/>
        <charset val="134"/>
      </rPr>
      <t>个月预期信用损失计量损失准备时，</t>
    </r>
    <phoneticPr fontId="3" type="noConversion"/>
  </si>
  <si>
    <r>
      <t>1</t>
    </r>
    <r>
      <rPr>
        <sz val="10"/>
        <color rgb="FF0000FF"/>
        <rFont val="宋体"/>
        <family val="3"/>
        <charset val="134"/>
      </rPr>
      <t>、</t>
    </r>
    <r>
      <rPr>
        <sz val="10"/>
        <color rgb="FF0000FF"/>
        <rFont val="Arial Narrow"/>
        <family val="2"/>
      </rPr>
      <t>“</t>
    </r>
    <r>
      <rPr>
        <sz val="10"/>
        <color rgb="FF0000FF"/>
        <rFont val="宋体"/>
        <family val="3"/>
        <charset val="134"/>
      </rPr>
      <t>信用减值损失</t>
    </r>
    <r>
      <rPr>
        <sz val="10"/>
        <color rgb="FF0000FF"/>
        <rFont val="Arial Narrow"/>
        <family val="2"/>
      </rPr>
      <t>”</t>
    </r>
    <r>
      <rPr>
        <sz val="10"/>
        <color rgb="FF0000FF"/>
        <rFont val="宋体"/>
        <family val="3"/>
        <charset val="134"/>
      </rPr>
      <t>项目，反映企业按照《企业会计准则第</t>
    </r>
    <r>
      <rPr>
        <sz val="10"/>
        <color rgb="FF0000FF"/>
        <rFont val="Arial Narrow"/>
        <family val="2"/>
      </rPr>
      <t>22</t>
    </r>
    <r>
      <rPr>
        <sz val="10"/>
        <color rgb="FF0000FF"/>
        <rFont val="宋体"/>
        <family val="3"/>
        <charset val="134"/>
      </rPr>
      <t>号</t>
    </r>
    <r>
      <rPr>
        <sz val="10"/>
        <color rgb="FF0000FF"/>
        <rFont val="Arial Narrow"/>
        <family val="2"/>
      </rPr>
      <t>——</t>
    </r>
    <r>
      <rPr>
        <sz val="10"/>
        <color rgb="FF0000FF"/>
        <rFont val="宋体"/>
        <family val="3"/>
        <charset val="134"/>
      </rPr>
      <t>金融工具确认和计量》（财会〔</t>
    </r>
    <r>
      <rPr>
        <sz val="10"/>
        <color rgb="FF0000FF"/>
        <rFont val="Arial Narrow"/>
        <family val="2"/>
      </rPr>
      <t>2017</t>
    </r>
    <r>
      <rPr>
        <sz val="10"/>
        <color rgb="FF0000FF"/>
        <rFont val="宋体"/>
        <family val="3"/>
        <charset val="134"/>
      </rPr>
      <t>〕</t>
    </r>
    <r>
      <rPr>
        <sz val="10"/>
        <color rgb="FF0000FF"/>
        <rFont val="Arial Narrow"/>
        <family val="2"/>
      </rPr>
      <t xml:space="preserve">7 </t>
    </r>
    <r>
      <rPr>
        <sz val="10"/>
        <color rgb="FF0000FF"/>
        <rFont val="宋体"/>
        <family val="3"/>
        <charset val="134"/>
      </rPr>
      <t>号）的要求计提的各项金融工具信用减值准备所确认的信用损失。</t>
    </r>
    <phoneticPr fontId="3" type="noConversion"/>
  </si>
  <si>
    <r>
      <t>1</t>
    </r>
    <r>
      <rPr>
        <sz val="10"/>
        <rFont val="宋体"/>
        <family val="3"/>
        <charset val="134"/>
      </rPr>
      <t>、</t>
    </r>
    <r>
      <rPr>
        <sz val="10"/>
        <rFont val="Arial Narrow"/>
        <family val="2"/>
      </rPr>
      <t>“</t>
    </r>
    <r>
      <rPr>
        <sz val="10"/>
        <rFont val="宋体"/>
        <family val="3"/>
        <charset val="134"/>
      </rPr>
      <t>信用减值损失</t>
    </r>
    <r>
      <rPr>
        <sz val="10"/>
        <rFont val="Arial Narrow"/>
        <family val="2"/>
      </rPr>
      <t>”</t>
    </r>
    <r>
      <rPr>
        <sz val="10"/>
        <rFont val="宋体"/>
        <family val="3"/>
        <charset val="134"/>
      </rPr>
      <t>项目，反映企业按照《企业会计准则第</t>
    </r>
    <r>
      <rPr>
        <sz val="10"/>
        <rFont val="Arial Narrow"/>
        <family val="2"/>
      </rPr>
      <t>22</t>
    </r>
    <r>
      <rPr>
        <sz val="10"/>
        <rFont val="宋体"/>
        <family val="3"/>
        <charset val="134"/>
      </rPr>
      <t>号</t>
    </r>
    <r>
      <rPr>
        <sz val="10"/>
        <rFont val="Arial Narrow"/>
        <family val="2"/>
      </rPr>
      <t>——</t>
    </r>
    <r>
      <rPr>
        <sz val="10"/>
        <rFont val="宋体"/>
        <family val="3"/>
        <charset val="134"/>
      </rPr>
      <t>金融工具确认和计量》（财会〔</t>
    </r>
    <r>
      <rPr>
        <sz val="10"/>
        <rFont val="Arial Narrow"/>
        <family val="2"/>
      </rPr>
      <t>2017</t>
    </r>
    <r>
      <rPr>
        <sz val="10"/>
        <rFont val="宋体"/>
        <family val="3"/>
        <charset val="134"/>
      </rPr>
      <t>〕</t>
    </r>
    <r>
      <rPr>
        <sz val="10"/>
        <rFont val="Arial Narrow"/>
        <family val="2"/>
      </rPr>
      <t xml:space="preserve">7 </t>
    </r>
    <r>
      <rPr>
        <sz val="10"/>
        <rFont val="宋体"/>
        <family val="3"/>
        <charset val="134"/>
      </rPr>
      <t>号）的要求计提的各项金融工具信用减值准备所确认的信用损失。工具减值准备所形成的预期信用损失。</t>
    </r>
    <phoneticPr fontId="3" type="noConversion"/>
  </si>
  <si>
    <r>
      <rPr>
        <b/>
        <sz val="10"/>
        <rFont val="宋体"/>
        <family val="3"/>
        <charset val="134"/>
      </rPr>
      <t>一、本账户涉及的科目</t>
    </r>
    <phoneticPr fontId="7" type="noConversion"/>
  </si>
  <si>
    <r>
      <rPr>
        <b/>
        <sz val="10"/>
        <rFont val="宋体"/>
        <family val="3"/>
        <charset val="134"/>
      </rPr>
      <t>二、重大错报风险需从实质性程序获取的保证程度</t>
    </r>
    <phoneticPr fontId="7" type="noConversion"/>
  </si>
  <si>
    <r>
      <rPr>
        <b/>
        <sz val="10"/>
        <rFont val="宋体"/>
        <family val="3"/>
        <charset val="134"/>
      </rPr>
      <t>审计目标与认定对应关系</t>
    </r>
    <phoneticPr fontId="7" type="noConversion"/>
  </si>
  <si>
    <r>
      <rPr>
        <b/>
        <sz val="10"/>
        <rFont val="宋体"/>
        <family val="3"/>
        <charset val="134"/>
      </rPr>
      <t>财务报表的认定　</t>
    </r>
  </si>
  <si>
    <t>信赖/不信赖/不适用</t>
    <phoneticPr fontId="7" type="noConversion"/>
  </si>
  <si>
    <r>
      <rPr>
        <sz val="10"/>
        <rFont val="宋体"/>
        <family val="3"/>
        <charset val="134"/>
      </rPr>
      <t>索引号</t>
    </r>
  </si>
  <si>
    <t>发生</t>
    <phoneticPr fontId="7" type="noConversion"/>
  </si>
  <si>
    <r>
      <rPr>
        <sz val="10"/>
        <rFont val="宋体"/>
        <family val="3"/>
        <charset val="134"/>
      </rPr>
      <t>完整性</t>
    </r>
    <phoneticPr fontId="7" type="noConversion"/>
  </si>
  <si>
    <t>准确性</t>
    <phoneticPr fontId="7" type="noConversion"/>
  </si>
  <si>
    <t>分类</t>
    <phoneticPr fontId="7" type="noConversion"/>
  </si>
  <si>
    <r>
      <rPr>
        <sz val="10"/>
        <rFont val="宋体"/>
        <family val="3"/>
        <charset val="134"/>
      </rPr>
      <t>列报与披露</t>
    </r>
    <phoneticPr fontId="7" type="noConversion"/>
  </si>
  <si>
    <r>
      <rPr>
        <sz val="10"/>
        <rFont val="宋体"/>
        <family val="3"/>
        <charset val="134"/>
      </rPr>
      <t>√</t>
    </r>
    <phoneticPr fontId="7" type="noConversion"/>
  </si>
  <si>
    <r>
      <rPr>
        <sz val="10"/>
        <rFont val="宋体"/>
        <family val="3"/>
        <charset val="134"/>
      </rPr>
      <t>√</t>
    </r>
    <phoneticPr fontId="7" type="noConversion"/>
  </si>
  <si>
    <t>三、计划实施的实质性程序</t>
    <phoneticPr fontId="7" type="noConversion"/>
  </si>
  <si>
    <r>
      <rPr>
        <b/>
        <sz val="10"/>
        <rFont val="宋体"/>
        <family val="3"/>
        <charset val="134"/>
      </rPr>
      <t>序号</t>
    </r>
    <phoneticPr fontId="7" type="noConversion"/>
  </si>
  <si>
    <r>
      <rPr>
        <b/>
        <sz val="10"/>
        <rFont val="宋体"/>
        <family val="3"/>
        <charset val="134"/>
      </rPr>
      <t>审计程序</t>
    </r>
  </si>
  <si>
    <r>
      <rPr>
        <b/>
        <sz val="10"/>
        <rFont val="宋体"/>
        <family val="3"/>
        <charset val="134"/>
      </rPr>
      <t>程序分类</t>
    </r>
    <phoneticPr fontId="7" type="noConversion"/>
  </si>
  <si>
    <r>
      <rPr>
        <b/>
        <sz val="10"/>
        <rFont val="宋体"/>
        <family val="3"/>
        <charset val="134"/>
      </rPr>
      <t>审计目标</t>
    </r>
    <phoneticPr fontId="7" type="noConversion"/>
  </si>
  <si>
    <r>
      <rPr>
        <b/>
        <sz val="10"/>
        <rFont val="宋体"/>
        <family val="3"/>
        <charset val="134"/>
      </rPr>
      <t>执行情况说明
（含底稿索引）</t>
    </r>
    <phoneticPr fontId="7" type="noConversion"/>
  </si>
  <si>
    <t>（一）</t>
    <phoneticPr fontId="7" type="noConversion"/>
  </si>
  <si>
    <r>
      <rPr>
        <b/>
        <sz val="10"/>
        <rFont val="宋体"/>
        <family val="3"/>
        <charset val="134"/>
      </rPr>
      <t>编制审定表</t>
    </r>
    <phoneticPr fontId="3" type="noConversion"/>
  </si>
  <si>
    <r>
      <rPr>
        <sz val="10"/>
        <color theme="1"/>
        <rFont val="宋体"/>
        <family val="3"/>
        <charset val="134"/>
      </rPr>
      <t>常规★</t>
    </r>
    <phoneticPr fontId="3" type="noConversion"/>
  </si>
  <si>
    <t>D</t>
    <phoneticPr fontId="7" type="noConversion"/>
  </si>
  <si>
    <t>（二）</t>
    <phoneticPr fontId="3" type="noConversion"/>
  </si>
  <si>
    <t>获取或编制明细并执行下列程序：</t>
    <phoneticPr fontId="3" type="noConversion"/>
  </si>
  <si>
    <t>1</t>
    <phoneticPr fontId="3" type="noConversion"/>
  </si>
  <si>
    <r>
      <rPr>
        <sz val="10"/>
        <color theme="1"/>
        <rFont val="宋体"/>
        <family val="3"/>
        <charset val="134"/>
      </rPr>
      <t>复核加计正确</t>
    </r>
    <r>
      <rPr>
        <sz val="10"/>
        <color theme="1"/>
        <rFont val="Arial Narrow"/>
        <family val="2"/>
      </rPr>
      <t xml:space="preserve"> </t>
    </r>
    <r>
      <rPr>
        <sz val="10"/>
        <color theme="1"/>
        <rFont val="宋体"/>
        <family val="3"/>
        <charset val="134"/>
      </rPr>
      <t>。</t>
    </r>
    <r>
      <rPr>
        <sz val="10"/>
        <color theme="1"/>
        <rFont val="Arial Narrow"/>
        <family val="2"/>
      </rPr>
      <t xml:space="preserve"> </t>
    </r>
    <phoneticPr fontId="3" type="noConversion"/>
  </si>
  <si>
    <t>常规★</t>
    <phoneticPr fontId="3" type="noConversion"/>
  </si>
  <si>
    <t>BD</t>
  </si>
  <si>
    <t>2</t>
  </si>
  <si>
    <r>
      <rPr>
        <sz val="10"/>
        <color theme="1"/>
        <rFont val="宋体"/>
        <family val="3"/>
        <charset val="134"/>
      </rPr>
      <t>将总金额与总账、明细账合计数核对相符。</t>
    </r>
    <r>
      <rPr>
        <sz val="10"/>
        <color theme="1"/>
        <rFont val="Arial Narrow"/>
        <family val="2"/>
      </rPr>
      <t xml:space="preserve"> </t>
    </r>
    <phoneticPr fontId="3" type="noConversion"/>
  </si>
  <si>
    <t>常规★</t>
    <phoneticPr fontId="3" type="noConversion"/>
  </si>
  <si>
    <t>3</t>
  </si>
  <si>
    <t>将上期发生额与上期经审计的财务报表核对。</t>
    <phoneticPr fontId="3" type="noConversion"/>
  </si>
  <si>
    <t>常规</t>
  </si>
  <si>
    <t>4</t>
  </si>
  <si>
    <t>追查明细表至调节表。</t>
    <phoneticPr fontId="3" type="noConversion"/>
  </si>
  <si>
    <t>5</t>
  </si>
  <si>
    <r>
      <rPr>
        <sz val="10"/>
        <color theme="1"/>
        <rFont val="宋体"/>
        <family val="3"/>
        <charset val="134"/>
      </rPr>
      <t>与上年明细项目进行比较，确定与上年分类相同。</t>
    </r>
    <phoneticPr fontId="3" type="noConversion"/>
  </si>
  <si>
    <t>6</t>
  </si>
  <si>
    <t>7</t>
  </si>
  <si>
    <r>
      <rPr>
        <sz val="10"/>
        <color theme="1"/>
        <rFont val="宋体"/>
        <family val="3"/>
        <charset val="134"/>
      </rPr>
      <t>调查重大或者异常的调节项目。</t>
    </r>
    <r>
      <rPr>
        <sz val="10"/>
        <color theme="1"/>
        <rFont val="Arial Narrow"/>
        <family val="2"/>
      </rPr>
      <t xml:space="preserve"> </t>
    </r>
    <phoneticPr fontId="3" type="noConversion"/>
  </si>
  <si>
    <t>8</t>
  </si>
  <si>
    <r>
      <rPr>
        <sz val="10"/>
        <color theme="1"/>
        <rFont val="宋体"/>
        <family val="3"/>
        <charset val="134"/>
      </rPr>
      <t>与客户的适当人员讨论差异。</t>
    </r>
    <r>
      <rPr>
        <sz val="10"/>
        <color theme="1"/>
        <rFont val="Arial Narrow"/>
        <family val="2"/>
      </rPr>
      <t xml:space="preserve"> </t>
    </r>
    <phoneticPr fontId="3" type="noConversion"/>
  </si>
  <si>
    <t>9</t>
  </si>
  <si>
    <t>考虑回复的可信度并确认相关解释，以及采取适当的措施。</t>
    <phoneticPr fontId="3" type="noConversion"/>
  </si>
  <si>
    <t>（三）</t>
    <phoneticPr fontId="3"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</si>
  <si>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3" type="noConversion"/>
  </si>
  <si>
    <r>
      <rPr>
        <b/>
        <sz val="10"/>
        <color theme="1"/>
        <rFont val="宋体"/>
        <family val="3"/>
        <charset val="134"/>
      </rPr>
      <t>常规★</t>
    </r>
    <phoneticPr fontId="3" type="noConversion"/>
  </si>
  <si>
    <t>B</t>
    <phoneticPr fontId="7" type="noConversion"/>
  </si>
  <si>
    <t>T1</t>
    <phoneticPr fontId="7" type="noConversion"/>
  </si>
  <si>
    <t>1</t>
    <phoneticPr fontId="7" type="noConversion"/>
  </si>
  <si>
    <r>
      <rPr>
        <sz val="10"/>
        <rFont val="宋体"/>
        <family val="3"/>
        <charset val="134"/>
      </rPr>
      <t>获取有关信息准确性和完整性的审计证据。</t>
    </r>
    <phoneticPr fontId="7" type="noConversion"/>
  </si>
  <si>
    <t>2</t>
    <phoneticPr fontId="7" type="noConversion"/>
  </si>
  <si>
    <r>
      <rPr>
        <sz val="10"/>
        <rFont val="宋体"/>
        <family val="3"/>
        <charset val="134"/>
      </rPr>
      <t>评价信息对实现审计目的是否足够准确和详细。</t>
    </r>
    <phoneticPr fontId="7" type="noConversion"/>
  </si>
  <si>
    <t>（四）</t>
    <phoneticPr fontId="3" type="noConversion"/>
  </si>
  <si>
    <r>
      <rPr>
        <b/>
        <sz val="10"/>
        <color theme="1"/>
        <rFont val="宋体"/>
        <family val="3"/>
        <charset val="134"/>
      </rPr>
      <t>若系首次承接，获取前期期末各科目明细表，执行下列程序：（</t>
    </r>
    <r>
      <rPr>
        <b/>
        <sz val="10"/>
        <color rgb="FFFF0000"/>
        <rFont val="宋体"/>
        <family val="3"/>
        <charset val="134"/>
      </rPr>
      <t>适用于首次审计时对期初余额的审计）</t>
    </r>
    <phoneticPr fontId="3" type="noConversion"/>
  </si>
  <si>
    <r>
      <rPr>
        <sz val="10"/>
        <color theme="1"/>
        <rFont val="宋体"/>
        <family val="3"/>
        <charset val="134"/>
      </rPr>
      <t>备选</t>
    </r>
    <phoneticPr fontId="3" type="noConversion"/>
  </si>
  <si>
    <t>B</t>
  </si>
  <si>
    <t>1</t>
    <phoneticPr fontId="3" type="noConversion"/>
  </si>
  <si>
    <r>
      <rPr>
        <sz val="10"/>
        <color theme="1"/>
        <rFont val="宋体"/>
        <family val="3"/>
        <charset val="134"/>
      </rPr>
      <t>确定计算的准确性。</t>
    </r>
    <r>
      <rPr>
        <sz val="10"/>
        <color theme="1"/>
        <rFont val="Arial Narrow"/>
        <family val="2"/>
      </rPr>
      <t xml:space="preserve"> </t>
    </r>
    <phoneticPr fontId="3" type="noConversion"/>
  </si>
  <si>
    <r>
      <rPr>
        <sz val="10"/>
        <color theme="1"/>
        <rFont val="宋体"/>
        <family val="3"/>
        <charset val="134"/>
      </rPr>
      <t>与总账核对一致。</t>
    </r>
    <r>
      <rPr>
        <sz val="10"/>
        <color theme="1"/>
        <rFont val="Arial Narrow"/>
        <family val="2"/>
      </rPr>
      <t xml:space="preserve"> </t>
    </r>
    <phoneticPr fontId="3" type="noConversion"/>
  </si>
  <si>
    <t>3</t>
    <phoneticPr fontId="3" type="noConversion"/>
  </si>
  <si>
    <t>确定是否需要补充必要的程序，如果是，执行适当的应对程序。</t>
    <phoneticPr fontId="3" type="noConversion"/>
  </si>
  <si>
    <t>根据实际情况，实施以下分析程序：</t>
    <phoneticPr fontId="3" type="noConversion"/>
  </si>
  <si>
    <t>A</t>
  </si>
  <si>
    <r>
      <rPr>
        <sz val="10"/>
        <color theme="1"/>
        <rFont val="宋体"/>
        <family val="3"/>
        <charset val="134"/>
      </rPr>
      <t>获取或编制增、减分析表，确定增加内容及减少方式、对损益的影响；</t>
    </r>
    <phoneticPr fontId="3" type="noConversion"/>
  </si>
  <si>
    <r>
      <rPr>
        <b/>
        <sz val="10"/>
        <color theme="1"/>
        <rFont val="宋体"/>
        <family val="3"/>
        <charset val="134"/>
      </rPr>
      <t>考虑大额或异常的余额或交易是否表明存在未识别的关联方。（参考“</t>
    </r>
    <r>
      <rPr>
        <b/>
        <sz val="10"/>
        <color theme="1"/>
        <rFont val="Arial Narrow"/>
        <family val="2"/>
      </rPr>
      <t xml:space="preserve">D </t>
    </r>
    <r>
      <rPr>
        <b/>
        <sz val="10"/>
        <color theme="1"/>
        <rFont val="宋体"/>
        <family val="3"/>
        <charset val="134"/>
      </rPr>
      <t>收入循环”关联方及关联方交易相关审计程序）</t>
    </r>
    <r>
      <rPr>
        <b/>
        <sz val="10"/>
        <color theme="1"/>
        <rFont val="Arial Narrow"/>
        <family val="2"/>
      </rPr>
      <t xml:space="preserve"> </t>
    </r>
    <phoneticPr fontId="3" type="noConversion"/>
  </si>
  <si>
    <r>
      <rPr>
        <sz val="10"/>
        <color theme="1"/>
        <rFont val="宋体"/>
        <family val="3"/>
        <charset val="134"/>
      </rPr>
      <t>常规</t>
    </r>
    <phoneticPr fontId="3" type="noConversion"/>
  </si>
  <si>
    <t>AD</t>
  </si>
  <si>
    <t>（六）</t>
    <phoneticPr fontId="3" type="noConversion"/>
  </si>
  <si>
    <r>
      <rPr>
        <b/>
        <sz val="10"/>
        <color theme="1"/>
        <rFont val="宋体"/>
        <family val="3"/>
        <charset val="134"/>
      </rPr>
      <t>根据评估的舞弊风险等因素增加审计程序，例如：</t>
    </r>
    <phoneticPr fontId="3" type="noConversion"/>
  </si>
  <si>
    <t>针对识别的特别风险（包括舞弊风险）考虑以下方面：期末或接近期末时的大额记录；在期末或接近期末增加的交易数量；异常的过账分录；期末或接近期末时的大笔日记账分录；会计处理方法或其他方面存在重大调整的项目；与复杂交易有关的项目；涉及重大判断或估计、计量结果具有高度不确定性的项目；涉及重大关联交易的项目；其他特殊项目。</t>
  </si>
  <si>
    <t>询问会计部门以外的负责发起执行投资交易的人员如下内容：存在舞弊或舞弊嫌疑；未披露的附加协议；企业的异常活动或指令。</t>
    <phoneticPr fontId="3" type="noConversion"/>
  </si>
  <si>
    <r>
      <rPr>
        <sz val="10"/>
        <color theme="1"/>
        <rFont val="宋体"/>
        <family val="3"/>
        <charset val="134"/>
      </rPr>
      <t>向被审计单位的具体操作人员或内部法律人员询问：对接近期末进行上述交易的意图；对上述交易存在的任何不正常条款或条件的认知；合同条款完整性的确认，是否存在未提供的补充协议或口头约定。</t>
    </r>
    <phoneticPr fontId="3" type="noConversion"/>
  </si>
  <si>
    <t>获取有关账户交易流水单，追查至被审计单位账面记录是否完整。</t>
    <phoneticPr fontId="3" type="noConversion"/>
  </si>
  <si>
    <r>
      <rPr>
        <sz val="10"/>
        <color theme="1"/>
        <rFont val="宋体"/>
        <family val="3"/>
        <charset val="134"/>
      </rPr>
      <t>查询上述交易对手的工商登记资料和财务资料，判断是否属于关联方，与被审计单位的交易是否为交易对方生产经营所需，交易价格是否公允，交易对方是否有能力履行交易约定。</t>
    </r>
    <phoneticPr fontId="3" type="noConversion"/>
  </si>
  <si>
    <r>
      <rPr>
        <sz val="10"/>
        <color theme="1"/>
        <rFont val="宋体"/>
        <family val="3"/>
        <charset val="134"/>
      </rPr>
      <t>基于对被审计单位及其环境的了解以及在审计过程中获取的其他信息，对于异常的交易应当评价其商业理由（或缺乏商业理由）是否表明被审计单位从事交易的目的是为了对财务信息作出虚假报告或掩盖侵占资产的行为。</t>
    </r>
    <phoneticPr fontId="3" type="noConversion"/>
  </si>
  <si>
    <t>7</t>
    <phoneticPr fontId="3" type="noConversion"/>
  </si>
  <si>
    <r>
      <rPr>
        <sz val="10"/>
        <color theme="1"/>
        <rFont val="宋体"/>
        <family val="3"/>
        <charset val="134"/>
      </rPr>
      <t>取得管理层局声明书，确认合同协议是否已经完整提供。</t>
    </r>
    <phoneticPr fontId="3" type="noConversion"/>
  </si>
  <si>
    <t>确定需在财务报表中单独披露的信息已被记录。</t>
    <phoneticPr fontId="3" type="noConversion"/>
  </si>
  <si>
    <t>常规★</t>
  </si>
  <si>
    <t>E</t>
  </si>
  <si>
    <t>信用减值损失</t>
  </si>
  <si>
    <t>A. 利润表中记录的信用减值损失已发生，且与被审计单位有关。</t>
  </si>
  <si>
    <t>B. 所有应当记录的信用减值损失均已记录。</t>
  </si>
  <si>
    <t>C. 与信用减值损失有关的金额及其他数据已恰当记录于正确的会计期间。</t>
  </si>
  <si>
    <t>D. 信用减值损失已记录于恰当的账户。</t>
  </si>
  <si>
    <t>E. 信用减值损失已按照企业会计准则的规定在财务报表中作出恰当的列报和披露。</t>
  </si>
  <si>
    <t>结合应收账款、应收票据、合同资产、应收款项融资、其他应收款、长期应收款、债权投资、其他债权投资等科目的审计，复核其勾稽关系。</t>
    <phoneticPr fontId="3" type="noConversion"/>
  </si>
  <si>
    <t>信用减值损失实质性程序表</t>
    <phoneticPr fontId="3" type="noConversion"/>
  </si>
  <si>
    <t>（五）</t>
    <phoneticPr fontId="3" type="noConversion"/>
  </si>
  <si>
    <t>（七）</t>
    <phoneticPr fontId="3" type="noConversion"/>
  </si>
  <si>
    <t>（八）</t>
    <phoneticPr fontId="3" type="noConversion"/>
  </si>
  <si>
    <t>I10</t>
  </si>
  <si>
    <t>I10-1</t>
  </si>
  <si>
    <t>I10-2</t>
  </si>
  <si>
    <t>调整数</t>
    <phoneticPr fontId="7" type="noConversion"/>
  </si>
  <si>
    <r>
      <t>信用减值损失</t>
    </r>
    <r>
      <rPr>
        <sz val="12"/>
        <color indexed="12"/>
        <rFont val="仿宋_GB2312"/>
        <family val="3"/>
        <charset val="134"/>
      </rPr>
      <t>（注：</t>
    </r>
    <r>
      <rPr>
        <b/>
        <sz val="12"/>
        <color indexed="12"/>
        <rFont val="仿宋_GB2312"/>
        <family val="3"/>
        <charset val="134"/>
      </rPr>
      <t>损失以“—”号填列</t>
    </r>
    <r>
      <rPr>
        <sz val="12"/>
        <color indexed="12"/>
        <rFont val="仿宋_GB2312"/>
        <family val="3"/>
        <charset val="134"/>
      </rPr>
      <t>，以下不存在的项目可以删除）</t>
    </r>
    <phoneticPr fontId="110" type="noConversion"/>
  </si>
  <si>
    <r>
      <t>信用减值损失</t>
    </r>
    <r>
      <rPr>
        <sz val="12"/>
        <color indexed="12"/>
        <rFont val="仿宋_GB2312"/>
        <family val="3"/>
        <charset val="134"/>
      </rPr>
      <t>（注：</t>
    </r>
    <r>
      <rPr>
        <b/>
        <sz val="12"/>
        <color indexed="12"/>
        <rFont val="仿宋_GB2312"/>
        <family val="3"/>
        <charset val="134"/>
      </rPr>
      <t>损失以“—”号填列</t>
    </r>
    <r>
      <rPr>
        <sz val="12"/>
        <color indexed="12"/>
        <rFont val="仿宋_GB2312"/>
        <family val="3"/>
        <charset val="134"/>
      </rPr>
      <t>，以下不存在的项目可以删除）</t>
    </r>
    <phoneticPr fontId="110" type="noConversion"/>
  </si>
  <si>
    <t>编制日期：</t>
    <phoneticPr fontId="7" type="noConversion"/>
  </si>
  <si>
    <t>复核人：</t>
    <phoneticPr fontId="7" type="noConversion"/>
  </si>
  <si>
    <t>复核日期：</t>
    <phoneticPr fontId="7" type="noConversion"/>
  </si>
  <si>
    <t>试算平衡表数</t>
    <phoneticPr fontId="7" type="noConversion"/>
  </si>
  <si>
    <t>差异数</t>
    <phoneticPr fontId="7" type="noConversion"/>
  </si>
  <si>
    <t>调整事项说明</t>
    <phoneticPr fontId="7" type="noConversion"/>
  </si>
  <si>
    <t>类别（报表调整/账项调整/其他）</t>
    <phoneticPr fontId="7" type="noConversion"/>
  </si>
  <si>
    <t>科目名称</t>
    <phoneticPr fontId="7" type="noConversion"/>
  </si>
  <si>
    <t>附注项目</t>
    <phoneticPr fontId="7" type="noConversion"/>
  </si>
  <si>
    <t>……</t>
    <phoneticPr fontId="7" type="noConversion"/>
  </si>
  <si>
    <t>借方调整金额</t>
    <phoneticPr fontId="7" type="noConversion"/>
  </si>
  <si>
    <t>贷方调整金额</t>
    <phoneticPr fontId="7" type="noConversion"/>
  </si>
  <si>
    <t>索引</t>
    <phoneticPr fontId="7" type="noConversion"/>
  </si>
  <si>
    <t>备注</t>
    <phoneticPr fontId="7" type="noConversion"/>
  </si>
  <si>
    <t>信用减值损失调整分录汇总表</t>
    <phoneticPr fontId="7" type="noConversion"/>
  </si>
  <si>
    <t>坏账损失</t>
    <phoneticPr fontId="3" type="noConversion"/>
  </si>
  <si>
    <t>本期发生额</t>
  </si>
  <si>
    <t>上期发生额</t>
  </si>
  <si>
    <r>
      <t>项</t>
    </r>
    <r>
      <rPr>
        <b/>
        <sz val="12"/>
        <color theme="1"/>
        <rFont val="Arial Narrow"/>
        <family val="2"/>
      </rPr>
      <t xml:space="preserve">  </t>
    </r>
    <r>
      <rPr>
        <b/>
        <sz val="12"/>
        <color theme="1"/>
        <rFont val="仿宋_GB2312"/>
        <family val="3"/>
        <charset val="134"/>
      </rPr>
      <t>目</t>
    </r>
  </si>
  <si>
    <r>
      <t>合</t>
    </r>
    <r>
      <rPr>
        <b/>
        <sz val="12"/>
        <color theme="1"/>
        <rFont val="Arial Narrow"/>
        <family val="2"/>
      </rPr>
      <t xml:space="preserve">  </t>
    </r>
    <r>
      <rPr>
        <b/>
        <sz val="12"/>
        <color theme="1"/>
        <rFont val="仿宋_GB2312"/>
        <family val="3"/>
        <charset val="134"/>
      </rPr>
      <t>计</t>
    </r>
  </si>
  <si>
    <t>财务担保预计损失</t>
  </si>
  <si>
    <t>财务担保预计损失</t>
    <phoneticPr fontId="3" type="noConversion"/>
  </si>
  <si>
    <t>财务担保预计损失</t>
    <phoneticPr fontId="3" type="noConversion"/>
  </si>
  <si>
    <t>应收票据坏账损失</t>
    <phoneticPr fontId="3" type="noConversion"/>
  </si>
  <si>
    <t>被审计单位：</t>
    <phoneticPr fontId="7" type="noConversion"/>
  </si>
  <si>
    <t>G14A</t>
  </si>
  <si>
    <t>G14-2</t>
  </si>
  <si>
    <t>索引号：</t>
    <phoneticPr fontId="3" type="noConversion"/>
  </si>
  <si>
    <t>索引号：</t>
    <phoneticPr fontId="3" type="noConversion"/>
  </si>
  <si>
    <t>二、审计目标与认定的对应关系</t>
    <phoneticPr fontId="7" type="noConversion"/>
  </si>
  <si>
    <t>完整性</t>
    <phoneticPr fontId="7" type="noConversion"/>
  </si>
  <si>
    <t>1</t>
    <phoneticPr fontId="3" type="noConversion"/>
  </si>
  <si>
    <t>常规★</t>
    <phoneticPr fontId="3" type="noConversion"/>
  </si>
  <si>
    <t>√</t>
    <phoneticPr fontId="7" type="noConversion"/>
  </si>
  <si>
    <t>2</t>
    <phoneticPr fontId="7"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</si>
  <si>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</si>
  <si>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t>常规★</t>
    <phoneticPr fontId="3" type="noConversion"/>
  </si>
  <si>
    <t>确定需在财务报表中单独披露的信息已被记录。</t>
    <phoneticPr fontId="3" type="noConversion"/>
  </si>
  <si>
    <t>根据评估的舞弊风险等因素增加的审计程序。</t>
  </si>
  <si>
    <t>报表项目</t>
    <phoneticPr fontId="3" type="noConversion"/>
  </si>
  <si>
    <t>审计目标</t>
    <phoneticPr fontId="7" type="noConversion"/>
  </si>
  <si>
    <t>发生</t>
  </si>
  <si>
    <t>准确性</t>
  </si>
  <si>
    <t>截止</t>
    <phoneticPr fontId="7" type="noConversion"/>
  </si>
  <si>
    <t>列报</t>
    <phoneticPr fontId="7" type="noConversion"/>
  </si>
  <si>
    <r>
      <rPr>
        <b/>
        <sz val="10"/>
        <rFont val="宋体"/>
        <family val="3"/>
        <charset val="134"/>
      </rPr>
      <t>程序分类</t>
    </r>
    <phoneticPr fontId="7" type="noConversion"/>
  </si>
  <si>
    <t>财务报表的认定</t>
    <phoneticPr fontId="7" type="noConversion"/>
  </si>
  <si>
    <t>底稿索引号</t>
    <phoneticPr fontId="7" type="noConversion"/>
  </si>
  <si>
    <t>完整性</t>
  </si>
  <si>
    <t>截止</t>
  </si>
  <si>
    <t>列报</t>
  </si>
  <si>
    <t>G14-1</t>
    <phoneticPr fontId="3" type="noConversion"/>
  </si>
  <si>
    <t>G14-3</t>
    <phoneticPr fontId="3" type="noConversion"/>
  </si>
  <si>
    <t>致同会计师事务所</t>
  </si>
  <si>
    <t>致同会计师事务所</t>
    <phoneticPr fontId="3" type="noConversion"/>
  </si>
  <si>
    <t>致同会计师事务所</t>
    <phoneticPr fontId="3" type="noConversion"/>
  </si>
  <si>
    <t>附注披露信息（上市公司）</t>
    <phoneticPr fontId="7" type="noConversion"/>
  </si>
  <si>
    <r>
      <rPr>
        <sz val="10"/>
        <color indexed="12"/>
        <rFont val="Arial Narrow"/>
        <family val="2"/>
      </rP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3"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</si>
  <si>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3" type="noConversion"/>
  </si>
  <si>
    <t>页次：</t>
  </si>
  <si>
    <t>页  次：</t>
    <phoneticPr fontId="3" type="noConversion"/>
  </si>
  <si>
    <t>页  次：</t>
    <phoneticPr fontId="3" type="noConversion"/>
  </si>
  <si>
    <t>索引号：</t>
    <phoneticPr fontId="3" type="noConversion"/>
  </si>
  <si>
    <t>页 次：</t>
    <phoneticPr fontId="7" type="noConversion"/>
  </si>
  <si>
    <t>1.利润表中记录的信用减值损失已发生，且与被审计单位有关，已记录于恰当的账户；2.所有应记录的信用减值损失均已记录，所有应当包括在财务报表中的相关披露均已包括；</t>
    <phoneticPr fontId="3" type="noConversion"/>
  </si>
  <si>
    <t>3.与信用减值损失有关的金额及其他数据已恰当记录，相关披露已得到恰当计量和描述</t>
    <phoneticPr fontId="3" type="noConversion"/>
  </si>
  <si>
    <t>一、审计目标</t>
    <phoneticPr fontId="3" type="noConversion"/>
  </si>
  <si>
    <t>索引号：</t>
    <phoneticPr fontId="7" type="noConversion"/>
  </si>
  <si>
    <r>
      <rPr>
        <b/>
        <sz val="10"/>
        <rFont val="宋体"/>
        <family val="3"/>
        <charset val="134"/>
      </rPr>
      <t>序号</t>
    </r>
    <phoneticPr fontId="7" type="noConversion"/>
  </si>
  <si>
    <r>
      <rPr>
        <b/>
        <sz val="10"/>
        <rFont val="宋体"/>
        <family val="3"/>
        <charset val="134"/>
      </rPr>
      <t>内容</t>
    </r>
  </si>
  <si>
    <r>
      <rPr>
        <u/>
        <sz val="10"/>
        <color theme="10"/>
        <rFont val="宋体"/>
        <family val="3"/>
        <charset val="134"/>
      </rPr>
      <t>信用减值损失实质性程序表</t>
    </r>
  </si>
  <si>
    <r>
      <rPr>
        <u/>
        <sz val="10"/>
        <color theme="10"/>
        <rFont val="宋体"/>
        <family val="3"/>
        <charset val="134"/>
      </rPr>
      <t>附注披露信息（上市公司）</t>
    </r>
    <phoneticPr fontId="3" type="noConversion"/>
  </si>
  <si>
    <r>
      <rPr>
        <u/>
        <sz val="10"/>
        <color theme="10"/>
        <rFont val="宋体"/>
        <family val="3"/>
        <charset val="134"/>
      </rPr>
      <t>附注披露信息（国企）</t>
    </r>
    <phoneticPr fontId="3" type="noConversion"/>
  </si>
  <si>
    <r>
      <rPr>
        <u/>
        <sz val="10"/>
        <color theme="10"/>
        <rFont val="宋体"/>
        <family val="3"/>
        <charset val="134"/>
      </rPr>
      <t>调整分录汇总</t>
    </r>
  </si>
  <si>
    <r>
      <rPr>
        <u/>
        <sz val="10"/>
        <color theme="10"/>
        <rFont val="宋体"/>
        <family val="3"/>
        <charset val="134"/>
      </rPr>
      <t>明细表</t>
    </r>
    <phoneticPr fontId="3" type="noConversion"/>
  </si>
  <si>
    <r>
      <rPr>
        <u/>
        <sz val="10"/>
        <color theme="10"/>
        <rFont val="宋体"/>
        <family val="3"/>
        <charset val="134"/>
      </rPr>
      <t>审定表</t>
    </r>
    <phoneticPr fontId="3" type="noConversion"/>
  </si>
  <si>
    <r>
      <rPr>
        <b/>
        <sz val="10"/>
        <rFont val="宋体"/>
        <family val="3"/>
        <charset val="134"/>
      </rPr>
      <t>索引号</t>
    </r>
    <phoneticPr fontId="3" type="noConversion"/>
  </si>
  <si>
    <t>获取或编制信用减值损失的明细表，完成以下工作，并编制审定表
（1）复核加计是否正确，与总账、明细账合计数核对是否相符；
（2）将上期发生额与上期经审计的财务报表核对；
（3）追查明细表至调节表；
（4）与上年明细项目进行比较，确定与上年分类相同；
（5）结合应收账款、应收票据、应收款项融资、其他应收款、长期应收款、债权投资、其他债权投资等科目的审计，复核其勾稽关系；
（6）调查重大或者异常的调节项目，并与客户的适当人员讨论差异，考虑回复的可信度并确认相关解释，以及采取适当的措施；</t>
    <phoneticPr fontId="3" type="noConversion"/>
  </si>
  <si>
    <t>G14-2</t>
    <phoneticPr fontId="3" type="noConversion"/>
  </si>
  <si>
    <t>备选</t>
    <phoneticPr fontId="3" type="noConversion"/>
  </si>
  <si>
    <r>
      <t xml:space="preserve">A. </t>
    </r>
    <r>
      <rPr>
        <sz val="10"/>
        <rFont val="宋体"/>
        <family val="3"/>
        <charset val="134"/>
      </rPr>
      <t>利润表中记录的信用减值损失已发生，且与被审计单位有关，已记录于恰当的账户</t>
    </r>
  </si>
  <si>
    <r>
      <t xml:space="preserve">B. </t>
    </r>
    <r>
      <rPr>
        <sz val="10"/>
        <rFont val="宋体"/>
        <family val="3"/>
        <charset val="134"/>
      </rPr>
      <t>所有应记录的信用减值损失均已记录，所有应当包括在财务报表中的相关披露均已包括</t>
    </r>
  </si>
  <si>
    <r>
      <t xml:space="preserve">C. </t>
    </r>
    <r>
      <rPr>
        <sz val="10"/>
        <rFont val="宋体"/>
        <family val="3"/>
        <charset val="134"/>
      </rPr>
      <t>与信用减值损失有关的金额及其他数据已恰当记录，相关披露已得到恰当计量和描述</t>
    </r>
  </si>
  <si>
    <r>
      <t xml:space="preserve">D. </t>
    </r>
    <r>
      <rPr>
        <sz val="10"/>
        <rFont val="宋体"/>
        <family val="3"/>
        <charset val="134"/>
      </rPr>
      <t>信用减值损失已记录于正确的会计期间</t>
    </r>
  </si>
  <si>
    <r>
      <t xml:space="preserve">E. </t>
    </r>
    <r>
      <rPr>
        <sz val="10"/>
        <rFont val="宋体"/>
        <family val="3"/>
        <charset val="134"/>
      </rPr>
      <t>信用减值损失已被恰当地汇总或分解且表述清楚，相关披露在按照企业会计准则的编制基础下是相关的、可理解的</t>
    </r>
  </si>
  <si>
    <r>
      <t>对上期数的审计，取得上期明细表复核加计是否正确，与总账、明细账合计数是否相符，确定计算的准确性；确定是否需要补充必要的程序，如果是，执行适当的应对程序。</t>
    </r>
    <r>
      <rPr>
        <sz val="10"/>
        <color rgb="FFFF0000"/>
        <rFont val="宋体"/>
        <family val="3"/>
        <charset val="134"/>
      </rPr>
      <t>（适用于首次承接）</t>
    </r>
    <phoneticPr fontId="3" type="noConversion"/>
  </si>
  <si>
    <t>IPO/上市/新三板/重组/舞弊应对</t>
    <phoneticPr fontId="3" type="noConversion"/>
  </si>
  <si>
    <t>获取或编制增、减分析表，分析增加内容及减少方式、对损益的影响，与相关科目核对一致。</t>
    <phoneticPr fontId="3" type="noConversion"/>
  </si>
  <si>
    <t>√</t>
    <phoneticPr fontId="7" type="noConversion"/>
  </si>
  <si>
    <t>√</t>
    <phoneticPr fontId="7" type="noConversion"/>
  </si>
  <si>
    <t>√</t>
    <phoneticPr fontId="7" type="noConversion"/>
  </si>
  <si>
    <t>√</t>
    <phoneticPr fontId="7" type="noConversion"/>
  </si>
  <si>
    <t>√</t>
  </si>
  <si>
    <r>
      <t>A1-1/</t>
    </r>
    <r>
      <rPr>
        <sz val="10"/>
        <color rgb="FFFF0000"/>
        <rFont val="Arial Narrow"/>
        <family val="2"/>
      </rPr>
      <t>A1-15 /A1-16</t>
    </r>
    <phoneticPr fontId="7" type="noConversion"/>
  </si>
  <si>
    <r>
      <rPr>
        <sz val="10"/>
        <rFont val="宋体"/>
        <family val="3"/>
        <charset val="134"/>
      </rPr>
      <t>会计期间：</t>
    </r>
    <r>
      <rPr>
        <sz val="10"/>
        <rFont val="Arial Narrow"/>
        <family val="2"/>
      </rPr>
      <t>202X</t>
    </r>
    <r>
      <rPr>
        <sz val="10"/>
        <rFont val="宋体"/>
        <family val="3"/>
        <charset val="134"/>
      </rPr>
      <t>年度</t>
    </r>
    <phoneticPr fontId="7" type="noConversion"/>
  </si>
  <si>
    <t>关于工作底稿与审计程序索引号对应的说明</t>
    <phoneticPr fontId="7"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</si>
  <si>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7"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</si>
  <si>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7"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</si>
  <si>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7" type="noConversion"/>
  </si>
  <si>
    <t>根据被审计单位实际情况和风险评估情况裁剪、修改或增加审计程序</t>
    <phoneticPr fontId="7" type="noConversion"/>
  </si>
  <si>
    <t>审计程序</t>
    <phoneticPr fontId="3" type="noConversion"/>
  </si>
  <si>
    <t>页 次：</t>
    <phoneticPr fontId="3" type="noConversion"/>
  </si>
  <si>
    <t>G14-1
/G14-2</t>
    <phoneticPr fontId="3" type="noConversion"/>
  </si>
  <si>
    <t>T1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</si>
</sst>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s>
  <fonts count="142">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sz val="12"/>
      <name val="Arial Narrow"/>
      <family val="2"/>
    </font>
    <font>
      <sz val="10"/>
      <name val="宋体"/>
      <family val="3"/>
      <charset val="134"/>
    </font>
    <font>
      <sz val="10"/>
      <color indexed="12"/>
      <name val="Arial Narrow"/>
      <family val="2"/>
    </font>
    <font>
      <sz val="10"/>
      <color indexed="12"/>
      <name val="宋体"/>
      <family val="3"/>
      <charset val="134"/>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sz val="10"/>
      <color indexed="8"/>
      <name val="Arial Narrow"/>
      <family val="2"/>
    </font>
    <font>
      <sz val="10"/>
      <color indexed="8"/>
      <name val="宋体"/>
      <family val="3"/>
      <charset val="134"/>
    </font>
    <font>
      <sz val="10"/>
      <color indexed="10"/>
      <name val="宋体"/>
      <family val="3"/>
      <charset val="134"/>
    </font>
    <font>
      <b/>
      <sz val="10"/>
      <color indexed="8"/>
      <name val="宋体"/>
      <family val="3"/>
      <charset val="134"/>
    </font>
    <font>
      <sz val="12"/>
      <name val="Arial"/>
      <family val="2"/>
    </font>
    <font>
      <sz val="10.5"/>
      <name val="Arial"/>
      <family val="2"/>
    </font>
    <font>
      <sz val="10.5"/>
      <name val="宋体"/>
      <family val="3"/>
      <charset val="134"/>
    </font>
    <font>
      <sz val="10.5"/>
      <name val="Times New Roman"/>
      <family val="1"/>
    </font>
    <font>
      <u/>
      <sz val="11"/>
      <color theme="10"/>
      <name val="宋体"/>
      <family val="3"/>
      <charset val="134"/>
    </font>
    <font>
      <sz val="12"/>
      <color theme="1"/>
      <name val="仿宋_GB2312"/>
      <family val="3"/>
      <charset val="134"/>
    </font>
    <font>
      <sz val="12"/>
      <color theme="1"/>
      <name val="Arial Narrow"/>
      <family val="2"/>
    </font>
    <font>
      <b/>
      <sz val="12"/>
      <color rgb="FF000000"/>
      <name val="仿宋_GB2312"/>
      <family val="3"/>
      <charset val="134"/>
    </font>
    <font>
      <sz val="11"/>
      <color theme="1"/>
      <name val="宋体"/>
      <family val="2"/>
      <charset val="134"/>
      <scheme val="minor"/>
    </font>
    <font>
      <sz val="10"/>
      <color rgb="FFFF0000"/>
      <name val="宋体"/>
      <family val="3"/>
      <charset val="134"/>
    </font>
    <font>
      <sz val="10"/>
      <color theme="1"/>
      <name val="Arial Narrow"/>
      <family val="2"/>
    </font>
    <font>
      <sz val="10"/>
      <color theme="1"/>
      <name val="宋体"/>
      <family val="3"/>
      <charset val="134"/>
    </font>
    <font>
      <sz val="11"/>
      <color theme="1"/>
      <name val="宋体"/>
      <family val="3"/>
      <charset val="134"/>
      <scheme val="minor"/>
    </font>
    <font>
      <b/>
      <sz val="10"/>
      <color indexed="8"/>
      <name val="Arial Narrow"/>
      <family val="2"/>
    </font>
    <font>
      <sz val="10"/>
      <color indexed="10"/>
      <name val="Arial Narrow"/>
      <family val="2"/>
    </font>
    <font>
      <sz val="12"/>
      <name val="???"/>
      <family val="1"/>
    </font>
    <font>
      <sz val="8"/>
      <name val="Times New Roman"/>
      <family val="1"/>
    </font>
    <font>
      <sz val="10"/>
      <name val="MS Serif"/>
      <family val="1"/>
    </font>
    <font>
      <sz val="12"/>
      <name val="Tms Rmn"/>
      <family val="1"/>
    </font>
    <font>
      <sz val="10"/>
      <color indexed="16"/>
      <name val="MS Serif"/>
      <family val="1"/>
    </font>
    <font>
      <sz val="10"/>
      <name val="Tms Rmn"/>
      <family val="1"/>
    </font>
    <font>
      <sz val="9"/>
      <color indexed="8"/>
      <name val="宋体"/>
      <family val="3"/>
      <charset val="134"/>
    </font>
    <font>
      <b/>
      <sz val="8"/>
      <color indexed="8"/>
      <name val="Helv"/>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sz val="12"/>
      <color rgb="FF000000"/>
      <name val="仿宋_GB2312"/>
      <family val="3"/>
      <charset val="134"/>
    </font>
    <font>
      <i/>
      <u/>
      <sz val="10"/>
      <color indexed="12"/>
      <name val="Arial Narrow"/>
      <family val="2"/>
    </font>
    <font>
      <u/>
      <sz val="10"/>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name val="宋体"/>
      <family val="3"/>
      <charset val="134"/>
    </font>
    <font>
      <sz val="10"/>
      <color theme="1"/>
      <name val="宋体"/>
      <family val="2"/>
      <charset val="134"/>
    </font>
    <font>
      <sz val="12"/>
      <name val="仿宋_GB2312"/>
      <family val="3"/>
      <charset val="134"/>
    </font>
    <font>
      <sz val="12"/>
      <color indexed="12"/>
      <name val="仿宋_GB2312"/>
      <family val="3"/>
      <charset val="134"/>
    </font>
    <font>
      <sz val="9"/>
      <name val="宋体"/>
      <family val="3"/>
      <charset val="134"/>
      <scheme val="minor"/>
    </font>
    <font>
      <b/>
      <sz val="10"/>
      <name val="宋体"/>
      <family val="3"/>
      <charset val="134"/>
      <scheme val="minor"/>
    </font>
    <font>
      <b/>
      <sz val="10"/>
      <color theme="1"/>
      <name val="宋体"/>
      <family val="3"/>
      <charset val="134"/>
      <scheme val="minor"/>
    </font>
    <font>
      <b/>
      <sz val="10"/>
      <color rgb="FF0000FF"/>
      <name val="宋体"/>
      <family val="3"/>
      <charset val="134"/>
    </font>
    <font>
      <sz val="10"/>
      <color rgb="FF0000FF"/>
      <name val="Arial Narrow"/>
      <family val="2"/>
    </font>
    <font>
      <sz val="10"/>
      <color rgb="FF0000FF"/>
      <name val="宋体"/>
      <family val="3"/>
      <charset val="134"/>
    </font>
    <font>
      <sz val="10"/>
      <color indexed="10"/>
      <name val="Arial"/>
      <family val="2"/>
    </font>
    <font>
      <sz val="10"/>
      <color theme="1"/>
      <name val="Arial"/>
      <family val="2"/>
    </font>
    <font>
      <b/>
      <sz val="10"/>
      <color theme="1"/>
      <name val="Arial"/>
      <family val="2"/>
    </font>
    <font>
      <b/>
      <sz val="10"/>
      <color theme="1"/>
      <name val="宋体"/>
      <family val="3"/>
      <charset val="134"/>
    </font>
    <font>
      <b/>
      <sz val="10"/>
      <color rgb="FFFF0000"/>
      <name val="宋体"/>
      <family val="3"/>
      <charset val="134"/>
    </font>
    <font>
      <b/>
      <sz val="10"/>
      <color theme="1"/>
      <name val="Arial Narrow"/>
      <family val="2"/>
    </font>
    <font>
      <sz val="12"/>
      <color indexed="8"/>
      <name val="宋体"/>
      <family val="3"/>
      <charset val="134"/>
    </font>
    <font>
      <b/>
      <sz val="12"/>
      <color indexed="12"/>
      <name val="仿宋_GB2312"/>
      <family val="3"/>
      <charset val="134"/>
    </font>
    <font>
      <b/>
      <sz val="10"/>
      <color rgb="FFE92841"/>
      <name val="Arial Narrow"/>
      <family val="2"/>
    </font>
    <font>
      <sz val="12"/>
      <color rgb="FFFF0000"/>
      <name val="仿宋_GB2312"/>
      <family val="3"/>
      <charset val="134"/>
    </font>
    <font>
      <b/>
      <sz val="12"/>
      <color theme="1"/>
      <name val="仿宋_GB2312"/>
      <family val="3"/>
      <charset val="134"/>
    </font>
    <font>
      <b/>
      <sz val="12"/>
      <color theme="1"/>
      <name val="Arial Narrow"/>
      <family val="2"/>
    </font>
    <font>
      <sz val="10"/>
      <name val="宋体"/>
      <family val="3"/>
      <charset val="134"/>
      <scheme val="minor"/>
    </font>
    <font>
      <sz val="12"/>
      <name val="宋体"/>
      <family val="3"/>
      <charset val="134"/>
      <scheme val="minor"/>
    </font>
    <font>
      <b/>
      <sz val="12"/>
      <name val="宋体"/>
      <family val="3"/>
      <charset val="134"/>
      <scheme val="minor"/>
    </font>
    <font>
      <b/>
      <sz val="14"/>
      <name val="宋体"/>
      <family val="3"/>
      <charset val="134"/>
      <scheme val="minor"/>
    </font>
    <font>
      <sz val="14"/>
      <name val="宋体"/>
      <family val="3"/>
      <charset val="134"/>
      <scheme val="minor"/>
    </font>
    <font>
      <u/>
      <sz val="10"/>
      <color theme="10"/>
      <name val="宋体"/>
      <family val="3"/>
      <charset val="134"/>
    </font>
    <font>
      <u/>
      <sz val="10"/>
      <color theme="10"/>
      <name val="Arial Narrow"/>
      <family val="2"/>
    </font>
    <font>
      <sz val="10"/>
      <color rgb="FFFF0000"/>
      <name val="Arial Narrow"/>
      <family val="2"/>
    </font>
    <font>
      <b/>
      <sz val="14"/>
      <name val="宋体"/>
      <family val="3"/>
      <charset val="134"/>
    </font>
    <font>
      <b/>
      <sz val="12"/>
      <name val="Arial Narrow"/>
      <family val="2"/>
    </font>
    <font>
      <sz val="10"/>
      <color theme="1"/>
      <name val="宋体"/>
      <family val="3"/>
      <charset val="134"/>
      <scheme val="minor"/>
    </font>
    <font>
      <b/>
      <sz val="9"/>
      <color indexed="81"/>
      <name val="宋体"/>
      <family val="3"/>
      <charset val="134"/>
    </font>
    <font>
      <sz val="9"/>
      <color indexed="81"/>
      <name val="宋体"/>
      <family val="3"/>
      <charset val="134"/>
    </font>
    <font>
      <sz val="10"/>
      <color theme="10"/>
      <name val="Arial Narrow"/>
      <family val="2"/>
    </font>
  </fonts>
  <fills count="37">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indexed="15"/>
      </patternFill>
    </fill>
    <fill>
      <patternFill patternType="solid">
        <fgColor indexed="12"/>
      </patternFill>
    </fill>
    <fill>
      <patternFill patternType="solid">
        <fgColor indexed="9"/>
      </patternFill>
    </fill>
    <fill>
      <patternFill patternType="solid">
        <fgColor indexed="46"/>
      </patternFill>
    </fill>
    <fill>
      <patternFill patternType="solid">
        <fgColor indexed="27"/>
      </patternFill>
    </fill>
    <fill>
      <patternFill patternType="solid">
        <fgColor indexed="31"/>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E4DFEC"/>
        <bgColor indexed="64"/>
      </patternFill>
    </fill>
  </fills>
  <borders count="29">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top/>
      <bottom style="hair">
        <color indexed="64"/>
      </bottom>
      <diagonal/>
    </border>
  </borders>
  <cellStyleXfs count="378">
    <xf numFmtId="0" fontId="0" fillId="0" borderId="0">
      <alignment vertical="center"/>
    </xf>
    <xf numFmtId="0" fontId="1" fillId="0" borderId="0">
      <alignment vertical="center"/>
    </xf>
    <xf numFmtId="0" fontId="1" fillId="0" borderId="0">
      <alignment vertical="center"/>
    </xf>
    <xf numFmtId="0" fontId="1" fillId="0" borderId="0" applyFill="0" applyBorder="0"/>
    <xf numFmtId="0" fontId="12" fillId="0" borderId="0"/>
    <xf numFmtId="0" fontId="12" fillId="0" borderId="0"/>
    <xf numFmtId="0" fontId="12" fillId="0" borderId="0"/>
    <xf numFmtId="0" fontId="12" fillId="0" borderId="0"/>
    <xf numFmtId="0" fontId="12" fillId="0" borderId="0"/>
    <xf numFmtId="49" fontId="13"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5" fillId="0" borderId="0"/>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13" fillId="0" borderId="0" applyFill="0" applyBorder="0" applyProtection="0">
      <alignment horizontal="right"/>
    </xf>
    <xf numFmtId="177" fontId="13" fillId="0" borderId="0" applyFill="0" applyBorder="0" applyProtection="0">
      <alignment horizontal="right"/>
    </xf>
    <xf numFmtId="178" fontId="16" fillId="0" borderId="0" applyFill="0" applyBorder="0" applyProtection="0">
      <alignment horizontal="center"/>
    </xf>
    <xf numFmtId="179" fontId="16" fillId="0" borderId="0" applyFill="0" applyBorder="0" applyProtection="0">
      <alignment horizontal="center"/>
    </xf>
    <xf numFmtId="180" fontId="17" fillId="0" borderId="0" applyFill="0" applyBorder="0" applyProtection="0">
      <alignment horizontal="right"/>
    </xf>
    <xf numFmtId="181" fontId="13" fillId="0" borderId="0" applyFill="0" applyBorder="0" applyProtection="0">
      <alignment horizontal="right"/>
    </xf>
    <xf numFmtId="182" fontId="13" fillId="0" borderId="0" applyFill="0" applyBorder="0" applyProtection="0">
      <alignment horizontal="right"/>
    </xf>
    <xf numFmtId="183" fontId="13" fillId="0" borderId="0" applyFill="0" applyBorder="0" applyProtection="0">
      <alignment horizontal="right"/>
    </xf>
    <xf numFmtId="184" fontId="13" fillId="0" borderId="0" applyFill="0" applyBorder="0" applyProtection="0">
      <alignment horizontal="right"/>
    </xf>
    <xf numFmtId="185" fontId="18" fillId="0" borderId="0" applyFont="0" applyFill="0" applyBorder="0" applyAlignment="0" applyProtection="0"/>
    <xf numFmtId="0" fontId="15" fillId="0" borderId="0"/>
    <xf numFmtId="186" fontId="18" fillId="0" borderId="0" applyFont="0" applyFill="0" applyBorder="0" applyAlignment="0" applyProtection="0"/>
    <xf numFmtId="10" fontId="18" fillId="0" borderId="0" applyFont="0" applyFill="0" applyBorder="0" applyAlignment="0" applyProtection="0"/>
    <xf numFmtId="3" fontId="19" fillId="0" borderId="0"/>
    <xf numFmtId="187" fontId="20" fillId="0" borderId="3" applyAlignment="0" applyProtection="0"/>
    <xf numFmtId="188" fontId="14" fillId="0" borderId="0" applyFill="0" applyBorder="0" applyAlignment="0"/>
    <xf numFmtId="189" fontId="12" fillId="0" borderId="0" applyFill="0" applyBorder="0" applyAlignment="0"/>
    <xf numFmtId="190" fontId="12" fillId="0" borderId="0" applyFill="0" applyBorder="0" applyAlignment="0"/>
    <xf numFmtId="191" fontId="12" fillId="0" borderId="0" applyFill="0" applyBorder="0" applyAlignment="0"/>
    <xf numFmtId="192" fontId="12" fillId="0" borderId="0" applyFill="0" applyBorder="0" applyAlignment="0"/>
    <xf numFmtId="193" fontId="12" fillId="0" borderId="0" applyFill="0" applyBorder="0" applyAlignment="0"/>
    <xf numFmtId="194" fontId="12" fillId="0" borderId="0" applyFill="0" applyBorder="0" applyAlignment="0"/>
    <xf numFmtId="189" fontId="12" fillId="0" borderId="0" applyFill="0" applyBorder="0" applyAlignment="0"/>
    <xf numFmtId="0" fontId="21" fillId="0" borderId="0"/>
    <xf numFmtId="0" fontId="22" fillId="0" borderId="4" applyNumberFormat="0" applyFill="0" applyProtection="0">
      <alignment horizontal="center"/>
    </xf>
    <xf numFmtId="0" fontId="23" fillId="0" borderId="5">
      <alignment horizontal="center"/>
    </xf>
    <xf numFmtId="195" fontId="12" fillId="0" borderId="0"/>
    <xf numFmtId="195" fontId="12" fillId="0" borderId="0"/>
    <xf numFmtId="195" fontId="12" fillId="0" borderId="0"/>
    <xf numFmtId="195" fontId="12" fillId="0" borderId="0"/>
    <xf numFmtId="195" fontId="12" fillId="0" borderId="0"/>
    <xf numFmtId="195" fontId="12" fillId="0" borderId="0"/>
    <xf numFmtId="195" fontId="12" fillId="0" borderId="0"/>
    <xf numFmtId="195" fontId="12" fillId="0" borderId="0"/>
    <xf numFmtId="38" fontId="24" fillId="0" borderId="0" applyFont="0" applyFill="0" applyBorder="0" applyAlignment="0" applyProtection="0"/>
    <xf numFmtId="193" fontId="12" fillId="0" borderId="0" applyFont="0" applyFill="0" applyBorder="0" applyAlignment="0" applyProtection="0"/>
    <xf numFmtId="43" fontId="1" fillId="0" borderId="0" applyFont="0" applyFill="0" applyBorder="0" applyAlignment="0" applyProtection="0"/>
    <xf numFmtId="196" fontId="13" fillId="0" borderId="0"/>
    <xf numFmtId="37" fontId="18" fillId="0" borderId="0" applyFont="0" applyFill="0" applyBorder="0" applyAlignment="0" applyProtection="0"/>
    <xf numFmtId="197" fontId="18" fillId="0" borderId="0" applyFont="0" applyFill="0" applyBorder="0" applyAlignment="0" applyProtection="0"/>
    <xf numFmtId="39" fontId="18" fillId="0" borderId="0" applyFont="0" applyFill="0" applyBorder="0" applyAlignment="0" applyProtection="0"/>
    <xf numFmtId="40" fontId="24" fillId="0" borderId="0" applyFont="0" applyFill="0" applyBorder="0" applyAlignment="0" applyProtection="0"/>
    <xf numFmtId="198" fontId="1" fillId="0" borderId="0" applyFont="0" applyFill="0" applyBorder="0" applyAlignment="0" applyProtection="0"/>
    <xf numFmtId="189" fontId="12" fillId="0" borderId="0" applyFont="0" applyFill="0" applyBorder="0" applyAlignment="0" applyProtection="0"/>
    <xf numFmtId="187" fontId="18" fillId="0" borderId="0" applyFont="0" applyFill="0" applyBorder="0" applyAlignment="0" applyProtection="0"/>
    <xf numFmtId="199" fontId="18" fillId="0" borderId="0" applyFont="0" applyFill="0" applyBorder="0" applyAlignment="0" applyProtection="0"/>
    <xf numFmtId="200" fontId="1" fillId="0" borderId="0" applyFont="0" applyFill="0" applyBorder="0" applyAlignment="0" applyProtection="0"/>
    <xf numFmtId="201" fontId="13" fillId="0" borderId="0"/>
    <xf numFmtId="14" fontId="14" fillId="0" borderId="0" applyFill="0" applyBorder="0" applyAlignment="0"/>
    <xf numFmtId="41" fontId="12" fillId="0" borderId="0" applyFont="0" applyFill="0" applyBorder="0" applyAlignment="0" applyProtection="0"/>
    <xf numFmtId="43" fontId="12" fillId="0" borderId="0" applyFont="0" applyFill="0" applyBorder="0" applyAlignment="0" applyProtection="0"/>
    <xf numFmtId="202" fontId="13" fillId="0" borderId="0"/>
    <xf numFmtId="193" fontId="12" fillId="0" borderId="0" applyFill="0" applyBorder="0" applyAlignment="0"/>
    <xf numFmtId="189" fontId="12" fillId="0" borderId="0" applyFill="0" applyBorder="0" applyAlignment="0"/>
    <xf numFmtId="193" fontId="12" fillId="0" borderId="0" applyFill="0" applyBorder="0" applyAlignment="0"/>
    <xf numFmtId="194" fontId="12" fillId="0" borderId="0" applyFill="0" applyBorder="0" applyAlignment="0"/>
    <xf numFmtId="189" fontId="12" fillId="0" borderId="0" applyFill="0" applyBorder="0" applyAlignment="0"/>
    <xf numFmtId="0" fontId="25" fillId="0" borderId="0">
      <alignment horizontal="left"/>
    </xf>
    <xf numFmtId="0" fontId="26" fillId="2" borderId="6"/>
    <xf numFmtId="203" fontId="13" fillId="0" borderId="0" applyFont="0" applyFill="0" applyBorder="0" applyAlignment="0" applyProtection="0"/>
    <xf numFmtId="0" fontId="27" fillId="0" borderId="0" applyNumberFormat="0" applyFill="0" applyBorder="0" applyAlignment="0" applyProtection="0">
      <alignment vertical="top"/>
      <protection locked="0"/>
    </xf>
    <xf numFmtId="38" fontId="26" fillId="3" borderId="0" applyNumberFormat="0" applyBorder="0" applyAlignment="0" applyProtection="0"/>
    <xf numFmtId="0" fontId="28" fillId="0" borderId="0">
      <alignment horizontal="left"/>
    </xf>
    <xf numFmtId="0" fontId="29" fillId="0" borderId="7" applyNumberFormat="0" applyAlignment="0" applyProtection="0">
      <alignment horizontal="left" vertical="center"/>
    </xf>
    <xf numFmtId="0" fontId="29" fillId="0" borderId="8">
      <alignment horizontal="left" vertical="center"/>
    </xf>
    <xf numFmtId="14" fontId="30" fillId="4" borderId="9">
      <alignment horizontal="center" vertical="center" wrapText="1"/>
    </xf>
    <xf numFmtId="0" fontId="31" fillId="0" borderId="0" applyNumberFormat="0" applyFill="0" applyBorder="0" applyAlignment="0" applyProtection="0">
      <alignment vertical="top"/>
      <protection locked="0"/>
    </xf>
    <xf numFmtId="10" fontId="26" fillId="5" borderId="6" applyNumberFormat="0" applyBorder="0" applyAlignment="0" applyProtection="0"/>
    <xf numFmtId="0" fontId="13" fillId="0" borderId="0" applyNumberFormat="0" applyFont="0" applyFill="0" applyBorder="0" applyProtection="0">
      <alignment horizontal="left" vertical="center"/>
    </xf>
    <xf numFmtId="193" fontId="12" fillId="0" borderId="0" applyFill="0" applyBorder="0" applyAlignment="0"/>
    <xf numFmtId="189" fontId="12" fillId="0" borderId="0" applyFill="0" applyBorder="0" applyAlignment="0"/>
    <xf numFmtId="193" fontId="12" fillId="0" borderId="0" applyFill="0" applyBorder="0" applyAlignment="0"/>
    <xf numFmtId="194" fontId="12" fillId="0" borderId="0" applyFill="0" applyBorder="0" applyAlignment="0"/>
    <xf numFmtId="189" fontId="12" fillId="0" borderId="0" applyFill="0" applyBorder="0" applyAlignment="0"/>
    <xf numFmtId="41" fontId="12" fillId="0" borderId="0" applyFont="0" applyFill="0" applyBorder="0" applyAlignment="0" applyProtection="0"/>
    <xf numFmtId="43" fontId="12" fillId="0" borderId="0" applyFont="0" applyFill="0" applyBorder="0" applyAlignment="0" applyProtection="0"/>
    <xf numFmtId="0" fontId="32" fillId="0" borderId="9"/>
    <xf numFmtId="205" fontId="12"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208" fontId="1" fillId="0" borderId="0" applyFont="0" applyFill="0" applyBorder="0" applyAlignment="0" applyProtection="0"/>
    <xf numFmtId="37" fontId="33" fillId="0" borderId="0"/>
    <xf numFmtId="0" fontId="34" fillId="0" borderId="0"/>
    <xf numFmtId="209" fontId="1" fillId="0" borderId="0"/>
    <xf numFmtId="0" fontId="1" fillId="0" borderId="0"/>
    <xf numFmtId="0" fontId="24" fillId="0" borderId="0"/>
    <xf numFmtId="0" fontId="35" fillId="0" borderId="0"/>
    <xf numFmtId="210" fontId="12" fillId="0" borderId="0" applyFont="0" applyFill="0" applyBorder="0" applyAlignment="0" applyProtection="0"/>
    <xf numFmtId="192" fontId="12" fillId="0" borderId="0" applyFont="0" applyFill="0" applyBorder="0" applyAlignment="0" applyProtection="0"/>
    <xf numFmtId="185" fontId="12" fillId="0" borderId="0" applyFont="0" applyFill="0" applyBorder="0" applyAlignment="0" applyProtection="0"/>
    <xf numFmtId="10" fontId="12" fillId="0" borderId="0" applyFont="0" applyFill="0" applyBorder="0" applyAlignment="0" applyProtection="0"/>
    <xf numFmtId="0" fontId="26" fillId="3" borderId="6"/>
    <xf numFmtId="193" fontId="12" fillId="0" borderId="0" applyFill="0" applyBorder="0" applyAlignment="0"/>
    <xf numFmtId="189" fontId="12" fillId="0" borderId="0" applyFill="0" applyBorder="0" applyAlignment="0"/>
    <xf numFmtId="193" fontId="12" fillId="0" borderId="0" applyFill="0" applyBorder="0" applyAlignment="0"/>
    <xf numFmtId="194" fontId="12" fillId="0" borderId="0" applyFill="0" applyBorder="0" applyAlignment="0"/>
    <xf numFmtId="189" fontId="12" fillId="0" borderId="0" applyFill="0" applyBorder="0" applyAlignment="0"/>
    <xf numFmtId="4" fontId="25" fillId="0" borderId="0">
      <alignment horizontal="right"/>
    </xf>
    <xf numFmtId="3" fontId="36" fillId="0" borderId="0"/>
    <xf numFmtId="4" fontId="37" fillId="0" borderId="0">
      <alignment horizontal="right"/>
    </xf>
    <xf numFmtId="0" fontId="38" fillId="0" borderId="0">
      <alignment horizontal="left"/>
    </xf>
    <xf numFmtId="43" fontId="26" fillId="0" borderId="1"/>
    <xf numFmtId="0" fontId="39" fillId="0" borderId="6">
      <alignment horizontal="center"/>
    </xf>
    <xf numFmtId="0" fontId="39" fillId="0" borderId="0">
      <alignment horizontal="center" vertical="center"/>
    </xf>
    <xf numFmtId="0" fontId="40" fillId="6" borderId="0" applyNumberFormat="0" applyFill="0">
      <alignment horizontal="left" vertical="center"/>
    </xf>
    <xf numFmtId="0" fontId="32" fillId="0" borderId="0"/>
    <xf numFmtId="49" fontId="14" fillId="0" borderId="0" applyFill="0" applyBorder="0" applyAlignment="0"/>
    <xf numFmtId="211" fontId="14" fillId="0" borderId="0" applyFill="0" applyBorder="0" applyAlignment="0"/>
    <xf numFmtId="212" fontId="12" fillId="0" borderId="0" applyFill="0" applyBorder="0" applyAlignment="0"/>
    <xf numFmtId="0" fontId="41" fillId="0" borderId="0" applyFill="0" applyBorder="0" applyProtection="0">
      <alignment horizontal="left" vertical="top"/>
    </xf>
    <xf numFmtId="0" fontId="42" fillId="0" borderId="0">
      <alignment horizontal="center"/>
    </xf>
    <xf numFmtId="0" fontId="43" fillId="0" borderId="0" applyNumberFormat="0" applyFont="0" applyFill="0" applyBorder="0" applyProtection="0">
      <alignment horizontal="center" vertical="center" wrapText="1"/>
    </xf>
    <xf numFmtId="9" fontId="44" fillId="0" borderId="0" applyFont="0" applyFill="0" applyBorder="0" applyAlignment="0" applyProtection="0"/>
    <xf numFmtId="0" fontId="15" fillId="0" borderId="0"/>
    <xf numFmtId="213" fontId="15" fillId="0" borderId="0" applyFont="0" applyFill="0" applyBorder="0" applyAlignment="0" applyProtection="0"/>
    <xf numFmtId="214" fontId="15" fillId="0" borderId="0" applyFont="0" applyFill="0" applyBorder="0" applyAlignment="0" applyProtection="0"/>
    <xf numFmtId="41" fontId="12"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45" fillId="0" borderId="0">
      <alignment horizontal="right"/>
    </xf>
    <xf numFmtId="0" fontId="46" fillId="7" borderId="0" applyNumberFormat="0" applyBorder="0" applyAlignment="0" applyProtection="0">
      <alignment vertical="center"/>
    </xf>
    <xf numFmtId="0" fontId="1" fillId="0" borderId="0">
      <protection locked="0"/>
    </xf>
    <xf numFmtId="0" fontId="1" fillId="0" borderId="0">
      <alignment vertical="center"/>
      <protection locked="0"/>
    </xf>
    <xf numFmtId="0" fontId="1" fillId="0" borderId="0">
      <protection locked="0"/>
    </xf>
    <xf numFmtId="0" fontId="47" fillId="0" borderId="0">
      <alignment vertical="center"/>
    </xf>
    <xf numFmtId="0" fontId="12" fillId="0" borderId="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0" fillId="0" borderId="0" applyNumberFormat="0" applyFill="0" applyBorder="0" applyAlignment="0" applyProtection="0"/>
    <xf numFmtId="0" fontId="50" fillId="8" borderId="0" applyNumberFormat="0" applyBorder="0" applyAlignment="0" applyProtection="0">
      <alignment vertical="center"/>
    </xf>
    <xf numFmtId="4" fontId="43" fillId="0" borderId="0" applyFont="0" applyFill="0" applyBorder="0" applyAlignment="0" applyProtection="0"/>
    <xf numFmtId="41" fontId="12" fillId="0" borderId="0" applyFont="0" applyFill="0" applyBorder="0" applyAlignment="0" applyProtection="0"/>
    <xf numFmtId="215" fontId="15" fillId="0" borderId="0" applyFont="0" applyFill="0" applyBorder="0" applyAlignment="0" applyProtection="0"/>
    <xf numFmtId="216" fontId="15" fillId="0" borderId="0" applyFont="0" applyFill="0" applyBorder="0" applyAlignment="0" applyProtection="0"/>
    <xf numFmtId="0" fontId="13" fillId="0" borderId="0"/>
    <xf numFmtId="41" fontId="13" fillId="0" borderId="0" applyFont="0" applyFill="0" applyBorder="0" applyAlignment="0" applyProtection="0"/>
    <xf numFmtId="43" fontId="1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alignment vertical="center"/>
    </xf>
    <xf numFmtId="206" fontId="12" fillId="0" borderId="0" applyFont="0" applyFill="0" applyBorder="0" applyAlignment="0" applyProtection="0"/>
    <xf numFmtId="217" fontId="43" fillId="0" borderId="0" applyFont="0" applyFill="0" applyBorder="0" applyAlignment="0" applyProtection="0"/>
    <xf numFmtId="0" fontId="14" fillId="0" borderId="0">
      <alignment vertical="top"/>
    </xf>
    <xf numFmtId="38" fontId="51" fillId="0" borderId="0" applyFont="0" applyFill="0" applyBorder="0" applyAlignment="0" applyProtection="0"/>
    <xf numFmtId="40"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0" fontId="52" fillId="0" borderId="0"/>
    <xf numFmtId="0" fontId="15" fillId="0" borderId="0"/>
    <xf numFmtId="0" fontId="61" fillId="0" borderId="0" applyNumberFormat="0" applyFill="0" applyBorder="0" applyAlignment="0" applyProtection="0">
      <alignment vertical="top"/>
      <protection locked="0"/>
    </xf>
    <xf numFmtId="0" fontId="69" fillId="0" borderId="0">
      <alignment vertical="center"/>
    </xf>
    <xf numFmtId="43" fontId="1" fillId="0" borderId="0" applyFont="0" applyFill="0" applyBorder="0" applyAlignment="0" applyProtection="0"/>
    <xf numFmtId="43" fontId="1" fillId="0" borderId="0" applyFont="0" applyFill="0" applyBorder="0" applyAlignment="0" applyProtection="0">
      <alignment vertical="center"/>
    </xf>
    <xf numFmtId="0" fontId="1" fillId="0" borderId="0" applyNumberForma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0" fontId="72" fillId="0" borderId="0"/>
    <xf numFmtId="49" fontId="13" fillId="0" borderId="0" applyProtection="0">
      <alignment horizontal="left"/>
    </xf>
    <xf numFmtId="0" fontId="14" fillId="0" borderId="0">
      <alignment vertical="top"/>
      <protection locked="0"/>
    </xf>
    <xf numFmtId="0" fontId="14" fillId="0" borderId="0">
      <alignment vertical="top"/>
    </xf>
    <xf numFmtId="0" fontId="12" fillId="0" borderId="0" applyNumberFormat="0" applyFill="0" applyBorder="0" applyAlignment="0">
      <protection locked="0"/>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protection locked="0"/>
    </xf>
    <xf numFmtId="0" fontId="12" fillId="0" borderId="0" applyNumberFormat="0" applyFill="0" applyBorder="0" applyAlignment="0">
      <protection locked="0"/>
    </xf>
    <xf numFmtId="0" fontId="14" fillId="0" borderId="0">
      <alignment vertical="top"/>
    </xf>
    <xf numFmtId="0" fontId="14" fillId="0" borderId="0">
      <alignment vertical="top"/>
    </xf>
    <xf numFmtId="0" fontId="12" fillId="0" borderId="0" applyNumberFormat="0" applyFill="0" applyBorder="0" applyAlignment="0" applyProtection="0"/>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218" fontId="1" fillId="0" borderId="0" applyFont="0" applyFill="0" applyBorder="0" applyAlignment="0" applyProtection="0"/>
    <xf numFmtId="0" fontId="73" fillId="0" borderId="0">
      <alignment horizontal="center" wrapText="1"/>
      <protection locked="0"/>
    </xf>
    <xf numFmtId="0" fontId="74" fillId="0" borderId="0" applyNumberFormat="0" applyAlignment="0">
      <alignment horizontal="left"/>
    </xf>
    <xf numFmtId="0" fontId="34" fillId="0" borderId="0" applyNumberFormat="0" applyAlignment="0"/>
    <xf numFmtId="15" fontId="24" fillId="0" borderId="0"/>
    <xf numFmtId="0" fontId="75" fillId="0" borderId="0" applyNumberFormat="0" applyFill="0" applyBorder="0" applyAlignment="0" applyProtection="0"/>
    <xf numFmtId="0" fontId="76" fillId="0" borderId="0" applyNumberFormat="0" applyAlignment="0">
      <alignment horizontal="left"/>
    </xf>
    <xf numFmtId="219" fontId="1" fillId="13" borderId="0"/>
    <xf numFmtId="219" fontId="1" fillId="14" borderId="0"/>
    <xf numFmtId="220"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186" fontId="1" fillId="0" borderId="0" applyFont="0" applyFill="0" applyBorder="0" applyAlignment="0" applyProtection="0"/>
    <xf numFmtId="0" fontId="13" fillId="0" borderId="0"/>
    <xf numFmtId="214" fontId="12" fillId="0" borderId="0" applyFont="0" applyFill="0" applyBorder="0" applyAlignment="0" applyProtection="0"/>
    <xf numFmtId="213" fontId="12" fillId="0" borderId="0" applyFont="0" applyFill="0" applyBorder="0" applyAlignment="0" applyProtection="0"/>
    <xf numFmtId="14" fontId="73" fillId="0" borderId="0">
      <alignment horizontal="center" wrapText="1"/>
      <protection locked="0"/>
    </xf>
    <xf numFmtId="218" fontId="77" fillId="0" borderId="0"/>
    <xf numFmtId="0" fontId="24" fillId="0" borderId="0" applyNumberFormat="0" applyFont="0" applyFill="0" applyBorder="0" applyAlignment="0" applyProtection="0">
      <alignment horizontal="left"/>
    </xf>
    <xf numFmtId="223" fontId="1" fillId="0" borderId="0" applyNumberFormat="0" applyFill="0" applyBorder="0" applyAlignment="0" applyProtection="0">
      <alignment horizontal="left"/>
    </xf>
    <xf numFmtId="41" fontId="13" fillId="0" borderId="0" applyFont="0" applyFill="0" applyBorder="0" applyAlignment="0" applyProtection="0"/>
    <xf numFmtId="0" fontId="78" fillId="15" borderId="0">
      <alignment horizontal="left" vertical="center"/>
    </xf>
    <xf numFmtId="0" fontId="78" fillId="15" borderId="0">
      <alignment horizontal="right" vertical="center"/>
    </xf>
    <xf numFmtId="40" fontId="79" fillId="0" borderId="0" applyBorder="0">
      <alignment horizontal="right"/>
    </xf>
    <xf numFmtId="0" fontId="5" fillId="0" borderId="0"/>
    <xf numFmtId="9" fontId="15"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0" fontId="81" fillId="12" borderId="0" applyNumberFormat="0" applyBorder="0" applyAlignment="0" applyProtection="0">
      <alignment vertical="center"/>
    </xf>
    <xf numFmtId="0" fontId="82" fillId="16" borderId="0" applyNumberFormat="0" applyBorder="0" applyAlignment="0" applyProtection="0">
      <alignment vertical="center"/>
    </xf>
    <xf numFmtId="0" fontId="69" fillId="0" borderId="0">
      <alignment vertical="center"/>
    </xf>
    <xf numFmtId="0" fontId="1" fillId="0" borderId="0" applyNumberFormat="0" applyFill="0" applyBorder="0" applyAlignment="0" applyProtection="0"/>
    <xf numFmtId="0" fontId="65" fillId="0" borderId="0">
      <alignment vertical="center"/>
    </xf>
    <xf numFmtId="0" fontId="83" fillId="11" borderId="0" applyNumberFormat="0" applyBorder="0" applyAlignment="0" applyProtection="0">
      <alignment vertical="center"/>
    </xf>
    <xf numFmtId="0" fontId="50" fillId="17" borderId="0" applyNumberFormat="0" applyBorder="0" applyAlignment="0" applyProtection="0">
      <alignment vertical="center"/>
    </xf>
    <xf numFmtId="204" fontId="12" fillId="0" borderId="0" applyFont="0" applyFill="0" applyBorder="0" applyAlignment="0" applyProtection="0"/>
    <xf numFmtId="224" fontId="12" fillId="0" borderId="0" applyFont="0" applyFill="0" applyBorder="0" applyAlignment="0" applyProtection="0"/>
    <xf numFmtId="225" fontId="84" fillId="0" borderId="0" applyFont="0" applyFill="0" applyBorder="0" applyAlignment="0" applyProtection="0"/>
    <xf numFmtId="226" fontId="84" fillId="0" borderId="0" applyFont="0" applyFill="0" applyBorder="0" applyAlignment="0" applyProtection="0"/>
    <xf numFmtId="41" fontId="1" fillId="0" borderId="0" applyFont="0" applyFill="0" applyBorder="0" applyAlignment="0" applyProtection="0"/>
    <xf numFmtId="0" fontId="85" fillId="0" borderId="0"/>
    <xf numFmtId="0" fontId="86" fillId="0" borderId="0"/>
    <xf numFmtId="40" fontId="80" fillId="0" borderId="0" applyFont="0" applyFill="0" applyBorder="0" applyAlignment="0" applyProtection="0"/>
    <xf numFmtId="38" fontId="80" fillId="0" borderId="0" applyFont="0" applyFill="0" applyBorder="0" applyAlignment="0" applyProtection="0"/>
    <xf numFmtId="214" fontId="12" fillId="0" borderId="6" applyNumberFormat="0"/>
    <xf numFmtId="0" fontId="1" fillId="0" borderId="0">
      <protection locked="0"/>
    </xf>
    <xf numFmtId="203" fontId="1" fillId="0" borderId="0"/>
    <xf numFmtId="0" fontId="1" fillId="0" borderId="0">
      <protection locked="0"/>
    </xf>
    <xf numFmtId="203" fontId="90" fillId="18" borderId="0" applyNumberFormat="0" applyBorder="0" applyAlignment="0" applyProtection="0"/>
    <xf numFmtId="203" fontId="90" fillId="7" borderId="0" applyNumberFormat="0" applyBorder="0" applyAlignment="0" applyProtection="0"/>
    <xf numFmtId="203" fontId="90" fillId="8" borderId="0" applyNumberFormat="0" applyBorder="0" applyAlignment="0" applyProtection="0"/>
    <xf numFmtId="203" fontId="90" fillId="16" borderId="0" applyNumberFormat="0" applyBorder="0" applyAlignment="0" applyProtection="0"/>
    <xf numFmtId="203" fontId="90" fillId="17" borderId="0" applyNumberFormat="0" applyBorder="0" applyAlignment="0" applyProtection="0"/>
    <xf numFmtId="203" fontId="90" fillId="19" borderId="0" applyNumberFormat="0" applyBorder="0" applyAlignment="0" applyProtection="0"/>
    <xf numFmtId="203" fontId="90" fillId="20" borderId="0" applyNumberFormat="0" applyBorder="0" applyAlignment="0" applyProtection="0"/>
    <xf numFmtId="203" fontId="90" fillId="21" borderId="0" applyNumberFormat="0" applyBorder="0" applyAlignment="0" applyProtection="0"/>
    <xf numFmtId="203" fontId="90" fillId="22" borderId="0" applyNumberFormat="0" applyBorder="0" applyAlignment="0" applyProtection="0"/>
    <xf numFmtId="203" fontId="90" fillId="16" borderId="0" applyNumberFormat="0" applyBorder="0" applyAlignment="0" applyProtection="0"/>
    <xf numFmtId="203" fontId="90" fillId="20" borderId="0" applyNumberFormat="0" applyBorder="0" applyAlignment="0" applyProtection="0"/>
    <xf numFmtId="203" fontId="90" fillId="23" borderId="0" applyNumberFormat="0" applyBorder="0" applyAlignment="0" applyProtection="0"/>
    <xf numFmtId="203" fontId="91" fillId="24" borderId="0" applyNumberFormat="0" applyBorder="0" applyAlignment="0" applyProtection="0"/>
    <xf numFmtId="203" fontId="91" fillId="21" borderId="0" applyNumberFormat="0" applyBorder="0" applyAlignment="0" applyProtection="0"/>
    <xf numFmtId="203" fontId="91" fillId="22" borderId="0" applyNumberFormat="0" applyBorder="0" applyAlignment="0" applyProtection="0"/>
    <xf numFmtId="203" fontId="91" fillId="25" borderId="0" applyNumberFormat="0" applyBorder="0" applyAlignment="0" applyProtection="0"/>
    <xf numFmtId="203" fontId="91" fillId="26" borderId="0" applyNumberFormat="0" applyBorder="0" applyAlignment="0" applyProtection="0"/>
    <xf numFmtId="203" fontId="91" fillId="27" borderId="0" applyNumberFormat="0" applyBorder="0" applyAlignment="0" applyProtection="0"/>
    <xf numFmtId="203" fontId="91" fillId="28" borderId="0" applyNumberFormat="0" applyBorder="0" applyAlignment="0" applyProtection="0"/>
    <xf numFmtId="203" fontId="91" fillId="29" borderId="0" applyNumberFormat="0" applyBorder="0" applyAlignment="0" applyProtection="0"/>
    <xf numFmtId="203" fontId="91" fillId="30" borderId="0" applyNumberFormat="0" applyBorder="0" applyAlignment="0" applyProtection="0"/>
    <xf numFmtId="203" fontId="91" fillId="25" borderId="0" applyNumberFormat="0" applyBorder="0" applyAlignment="0" applyProtection="0"/>
    <xf numFmtId="203" fontId="91" fillId="26" borderId="0" applyNumberFormat="0" applyBorder="0" applyAlignment="0" applyProtection="0"/>
    <xf numFmtId="203" fontId="91" fillId="31" borderId="0" applyNumberFormat="0" applyBorder="0" applyAlignment="0" applyProtection="0"/>
    <xf numFmtId="203" fontId="92" fillId="7" borderId="0" applyNumberFormat="0" applyBorder="0" applyAlignment="0" applyProtection="0"/>
    <xf numFmtId="203" fontId="93" fillId="32" borderId="15" applyNumberFormat="0" applyAlignment="0" applyProtection="0"/>
    <xf numFmtId="203" fontId="94" fillId="33" borderId="16" applyNumberFormat="0" applyAlignment="0" applyProtection="0"/>
    <xf numFmtId="203" fontId="95" fillId="0" borderId="0" applyNumberFormat="0" applyFill="0" applyBorder="0" applyAlignment="0" applyProtection="0"/>
    <xf numFmtId="203" fontId="96" fillId="8" borderId="0" applyNumberFormat="0" applyBorder="0" applyAlignment="0" applyProtection="0"/>
    <xf numFmtId="203" fontId="97" fillId="0" borderId="17" applyNumberFormat="0" applyFill="0" applyAlignment="0" applyProtection="0"/>
    <xf numFmtId="203" fontId="98" fillId="0" borderId="18" applyNumberFormat="0" applyFill="0" applyAlignment="0" applyProtection="0"/>
    <xf numFmtId="203" fontId="99" fillId="0" borderId="19" applyNumberFormat="0" applyFill="0" applyAlignment="0" applyProtection="0"/>
    <xf numFmtId="203" fontId="99" fillId="0" borderId="0" applyNumberFormat="0" applyFill="0" applyBorder="0" applyAlignment="0" applyProtection="0"/>
    <xf numFmtId="203" fontId="100" fillId="19" borderId="15" applyNumberFormat="0" applyAlignment="0" applyProtection="0"/>
    <xf numFmtId="203" fontId="101" fillId="0" borderId="20" applyNumberFormat="0" applyFill="0" applyAlignment="0" applyProtection="0"/>
    <xf numFmtId="203" fontId="102" fillId="34" borderId="0" applyNumberFormat="0" applyBorder="0" applyAlignment="0" applyProtection="0"/>
    <xf numFmtId="0" fontId="12" fillId="0" borderId="0"/>
    <xf numFmtId="0" fontId="12" fillId="0" borderId="0"/>
    <xf numFmtId="0" fontId="1" fillId="0" borderId="0">
      <alignment vertical="center"/>
    </xf>
    <xf numFmtId="203" fontId="12" fillId="35" borderId="21" applyNumberFormat="0" applyFont="0" applyAlignment="0" applyProtection="0"/>
    <xf numFmtId="203" fontId="103" fillId="32" borderId="22" applyNumberFormat="0" applyAlignment="0" applyProtection="0"/>
    <xf numFmtId="203" fontId="104" fillId="0" borderId="23" applyNumberFormat="0" applyFill="0" applyAlignment="0" applyProtection="0"/>
    <xf numFmtId="203" fontId="105" fillId="0" borderId="0" applyNumberFormat="0" applyFill="0" applyBorder="0" applyAlignment="0" applyProtection="0"/>
    <xf numFmtId="0" fontId="12" fillId="0" borderId="0"/>
    <xf numFmtId="203" fontId="1" fillId="0" borderId="0">
      <protection locked="0"/>
    </xf>
    <xf numFmtId="0" fontId="1" fillId="0" borderId="0">
      <protection locked="0"/>
    </xf>
    <xf numFmtId="0" fontId="69" fillId="0" borderId="0">
      <alignment vertical="center"/>
    </xf>
    <xf numFmtId="203" fontId="49"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14" fillId="0" borderId="0">
      <alignment vertical="top"/>
      <protection locked="0"/>
    </xf>
    <xf numFmtId="0" fontId="1" fillId="0" borderId="0"/>
    <xf numFmtId="0" fontId="14" fillId="0" borderId="0">
      <alignment vertical="top"/>
      <protection locked="0"/>
    </xf>
    <xf numFmtId="203" fontId="1" fillId="0" borderId="0">
      <alignment vertical="center"/>
    </xf>
    <xf numFmtId="203" fontId="1" fillId="0" borderId="0">
      <alignment vertical="center"/>
      <protection locked="0"/>
    </xf>
    <xf numFmtId="203" fontId="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 fillId="0" borderId="0">
      <alignment vertical="center"/>
    </xf>
    <xf numFmtId="0" fontId="1" fillId="0" borderId="0">
      <alignment vertical="center"/>
    </xf>
    <xf numFmtId="0" fontId="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 fillId="0" borderId="0">
      <protection locked="0"/>
    </xf>
    <xf numFmtId="0" fontId="1" fillId="0" borderId="0">
      <protection locked="0"/>
    </xf>
    <xf numFmtId="0" fontId="1" fillId="0" borderId="0">
      <alignment vertical="center"/>
    </xf>
    <xf numFmtId="0" fontId="1" fillId="0" borderId="0">
      <alignment vertical="center"/>
    </xf>
    <xf numFmtId="0" fontId="47" fillId="0" borderId="0" applyNumberFormat="0" applyBorder="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9" fillId="0" borderId="0">
      <alignment vertical="center"/>
    </xf>
    <xf numFmtId="0" fontId="69" fillId="0" borderId="0">
      <alignment vertical="center"/>
    </xf>
    <xf numFmtId="0" fontId="122" fillId="0" borderId="0" applyNumberFormat="0" applyBorder="0" applyAlignment="0" applyProtection="0">
      <alignment vertical="center"/>
    </xf>
    <xf numFmtId="0" fontId="69" fillId="0" borderId="0">
      <alignment vertical="center"/>
    </xf>
    <xf numFmtId="0" fontId="65"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43" fontId="1" fillId="0" borderId="0" applyFont="0" applyFill="0" applyBorder="0" applyAlignment="0" applyProtection="0"/>
    <xf numFmtId="9" fontId="1" fillId="0" borderId="0" applyFont="0" applyFill="0" applyBorder="0" applyAlignment="0" applyProtection="0"/>
    <xf numFmtId="203" fontId="1" fillId="0" borderId="0">
      <alignment vertical="center"/>
      <protection locked="0"/>
    </xf>
    <xf numFmtId="203" fontId="1" fillId="0" borderId="0">
      <alignment vertical="center"/>
    </xf>
    <xf numFmtId="203" fontId="65" fillId="0" borderId="0">
      <alignment vertical="center"/>
    </xf>
  </cellStyleXfs>
  <cellXfs count="279">
    <xf numFmtId="0" fontId="0" fillId="0" borderId="0" xfId="0">
      <alignment vertical="center"/>
    </xf>
    <xf numFmtId="43" fontId="5" fillId="0" borderId="0" xfId="3" applyNumberFormat="1" applyFont="1" applyBorder="1" applyAlignment="1">
      <alignment vertical="center"/>
    </xf>
    <xf numFmtId="0" fontId="5" fillId="0" borderId="0" xfId="162" applyFont="1" applyAlignment="1">
      <alignment vertical="center"/>
      <protection locked="0"/>
    </xf>
    <xf numFmtId="0" fontId="6" fillId="0" borderId="0" xfId="162" applyFont="1" applyAlignment="1">
      <alignment vertical="center"/>
      <protection locked="0"/>
    </xf>
    <xf numFmtId="0" fontId="57" fillId="0" borderId="0" xfId="162" applyFont="1" applyAlignment="1">
      <alignment vertical="center"/>
      <protection locked="0"/>
    </xf>
    <xf numFmtId="0" fontId="1" fillId="0" borderId="0" xfId="162" applyAlignment="1">
      <alignment vertical="center"/>
      <protection locked="0"/>
    </xf>
    <xf numFmtId="0" fontId="9" fillId="9" borderId="0" xfId="162" applyFont="1" applyFill="1" applyBorder="1" applyAlignment="1">
      <alignment horizontal="justify" vertical="center" wrapText="1"/>
      <protection locked="0"/>
    </xf>
    <xf numFmtId="0" fontId="58" fillId="0" borderId="0" xfId="162" applyFont="1" applyBorder="1" applyAlignment="1">
      <alignment horizontal="justify" wrapText="1"/>
      <protection locked="0"/>
    </xf>
    <xf numFmtId="0" fontId="12" fillId="0" borderId="0" xfId="162" applyFont="1">
      <protection locked="0"/>
    </xf>
    <xf numFmtId="0" fontId="59" fillId="0" borderId="0" xfId="162" applyFont="1" applyBorder="1" applyAlignment="1">
      <alignment horizontal="justify" wrapText="1"/>
      <protection locked="0"/>
    </xf>
    <xf numFmtId="0" fontId="1" fillId="0" borderId="0" xfId="162">
      <protection locked="0"/>
    </xf>
    <xf numFmtId="0" fontId="59" fillId="0" borderId="0" xfId="162" applyFont="1" applyBorder="1" applyAlignment="1">
      <alignment horizontal="justify" vertical="top" wrapText="1"/>
      <protection locked="0"/>
    </xf>
    <xf numFmtId="0" fontId="57" fillId="0" borderId="0" xfId="162" applyFont="1" applyBorder="1">
      <protection locked="0"/>
    </xf>
    <xf numFmtId="0" fontId="60" fillId="0" borderId="0" xfId="162" applyFont="1" applyBorder="1" applyAlignment="1">
      <alignment horizontal="justify" wrapText="1"/>
      <protection locked="0"/>
    </xf>
    <xf numFmtId="0" fontId="57" fillId="0" borderId="0" xfId="162" applyFont="1">
      <protection locked="0"/>
    </xf>
    <xf numFmtId="0" fontId="57" fillId="0" borderId="0" xfId="162" applyFont="1" applyBorder="1" applyAlignment="1">
      <alignment horizontal="center"/>
      <protection locked="0"/>
    </xf>
    <xf numFmtId="0" fontId="49" fillId="0" borderId="0" xfId="168" quotePrefix="1" applyBorder="1" applyAlignment="1">
      <protection locked="0"/>
    </xf>
    <xf numFmtId="0" fontId="1" fillId="0" borderId="0" xfId="162" applyBorder="1">
      <protection locked="0"/>
    </xf>
    <xf numFmtId="0" fontId="49" fillId="0" borderId="0" xfId="168" quotePrefix="1" applyAlignment="1">
      <protection locked="0"/>
    </xf>
    <xf numFmtId="0" fontId="1" fillId="0" borderId="0" xfId="162" applyFont="1" applyAlignment="1">
      <alignment horizontal="left"/>
      <protection locked="0"/>
    </xf>
    <xf numFmtId="0" fontId="62" fillId="0" borderId="0" xfId="0" applyFont="1" applyAlignment="1">
      <alignment horizontal="justify" vertical="center"/>
    </xf>
    <xf numFmtId="0" fontId="62" fillId="0" borderId="0" xfId="0" applyFont="1">
      <alignment vertical="center"/>
    </xf>
    <xf numFmtId="0" fontId="8" fillId="0" borderId="0" xfId="162" applyFont="1">
      <protection locked="0"/>
    </xf>
    <xf numFmtId="0" fontId="5" fillId="0" borderId="0" xfId="162" applyFont="1">
      <protection locked="0"/>
    </xf>
    <xf numFmtId="0" fontId="63" fillId="0" borderId="0" xfId="0" applyFont="1" applyAlignment="1">
      <alignment horizontal="justify" vertical="center"/>
    </xf>
    <xf numFmtId="0" fontId="63" fillId="0" borderId="0" xfId="0" applyFont="1">
      <alignment vertical="center"/>
    </xf>
    <xf numFmtId="43" fontId="5" fillId="0" borderId="0" xfId="3" applyNumberFormat="1" applyFont="1" applyBorder="1" applyAlignment="1">
      <alignment horizontal="left" vertical="center"/>
    </xf>
    <xf numFmtId="203" fontId="4" fillId="10" borderId="1" xfId="278" applyFont="1" applyFill="1" applyBorder="1" applyAlignment="1" applyProtection="1">
      <alignment horizontal="center" vertical="center" wrapText="1"/>
      <protection locked="0"/>
    </xf>
    <xf numFmtId="203" fontId="4" fillId="10" borderId="1" xfId="279" applyNumberFormat="1" applyFont="1" applyFill="1" applyBorder="1" applyAlignment="1" applyProtection="1">
      <alignment horizontal="center" vertical="center"/>
      <protection locked="0"/>
    </xf>
    <xf numFmtId="203" fontId="70" fillId="10" borderId="1" xfId="279" applyNumberFormat="1" applyFont="1" applyFill="1" applyBorder="1" applyAlignment="1" applyProtection="1">
      <alignment horizontal="center" vertical="center" wrapText="1"/>
      <protection locked="0"/>
    </xf>
    <xf numFmtId="43" fontId="4" fillId="0" borderId="0" xfId="3" applyNumberFormat="1" applyFont="1" applyBorder="1" applyAlignment="1">
      <alignment vertical="center"/>
    </xf>
    <xf numFmtId="0" fontId="54" fillId="0" borderId="1" xfId="277" applyFont="1" applyFill="1" applyBorder="1" applyAlignment="1" applyProtection="1">
      <alignment vertical="center"/>
    </xf>
    <xf numFmtId="43" fontId="53" fillId="0" borderId="1" xfId="192" applyFont="1" applyFill="1" applyBorder="1" applyAlignment="1">
      <alignment horizontal="right" vertical="center"/>
    </xf>
    <xf numFmtId="43" fontId="5" fillId="0" borderId="1" xfId="192" applyFont="1" applyFill="1" applyBorder="1" applyAlignment="1">
      <alignment horizontal="right" vertical="center" wrapText="1"/>
    </xf>
    <xf numFmtId="43" fontId="4" fillId="0" borderId="2" xfId="3" applyNumberFormat="1" applyFont="1" applyBorder="1" applyAlignment="1">
      <alignment horizontal="left" vertical="center"/>
    </xf>
    <xf numFmtId="43" fontId="5" fillId="0" borderId="2" xfId="3" applyNumberFormat="1" applyFont="1" applyBorder="1" applyAlignment="1">
      <alignment horizontal="left" vertical="center"/>
    </xf>
    <xf numFmtId="43" fontId="88" fillId="0" borderId="2" xfId="168" applyNumberFormat="1" applyFont="1" applyBorder="1" applyAlignment="1" applyProtection="1">
      <alignment horizontal="center" vertical="center"/>
    </xf>
    <xf numFmtId="43" fontId="5" fillId="0" borderId="2" xfId="3" applyNumberFormat="1" applyFont="1" applyBorder="1" applyAlignment="1">
      <alignment vertical="center"/>
    </xf>
    <xf numFmtId="43" fontId="4" fillId="0" borderId="0" xfId="3" applyNumberFormat="1" applyFont="1" applyFill="1" applyBorder="1" applyAlignment="1">
      <alignment vertical="center"/>
    </xf>
    <xf numFmtId="0" fontId="5" fillId="0" borderId="0" xfId="189" applyFont="1" applyBorder="1" applyAlignment="1">
      <alignment vertical="center"/>
    </xf>
    <xf numFmtId="10" fontId="89" fillId="0" borderId="0" xfId="159" applyNumberFormat="1" applyFont="1" applyBorder="1" applyAlignment="1">
      <alignment horizontal="left" vertical="center"/>
    </xf>
    <xf numFmtId="0" fontId="5" fillId="0" borderId="0" xfId="189" applyFont="1" applyBorder="1" applyAlignment="1">
      <alignment horizontal="left" vertical="center"/>
    </xf>
    <xf numFmtId="43" fontId="5" fillId="0" borderId="0" xfId="3" applyNumberFormat="1" applyFont="1" applyFill="1" applyBorder="1" applyAlignment="1">
      <alignment vertical="center"/>
    </xf>
    <xf numFmtId="0" fontId="4" fillId="0" borderId="0" xfId="189" applyFont="1" applyBorder="1" applyAlignment="1">
      <alignment vertical="center"/>
    </xf>
    <xf numFmtId="0" fontId="106" fillId="0" borderId="0" xfId="162" applyFont="1" applyBorder="1" applyAlignment="1">
      <alignment horizontal="justify" wrapText="1"/>
      <protection locked="0"/>
    </xf>
    <xf numFmtId="0" fontId="106" fillId="0" borderId="0" xfId="162" applyFont="1" applyBorder="1">
      <protection locked="0"/>
    </xf>
    <xf numFmtId="0" fontId="106" fillId="0" borderId="0" xfId="162" applyFont="1">
      <protection locked="0"/>
    </xf>
    <xf numFmtId="43" fontId="5" fillId="0" borderId="0" xfId="3" applyNumberFormat="1" applyFont="1" applyBorder="1" applyAlignment="1">
      <alignment vertical="center"/>
    </xf>
    <xf numFmtId="0" fontId="5" fillId="0" borderId="0" xfId="162" applyFont="1" applyBorder="1" applyAlignment="1">
      <alignment vertical="center"/>
      <protection locked="0"/>
    </xf>
    <xf numFmtId="43" fontId="10" fillId="0" borderId="0" xfId="3" applyNumberFormat="1" applyFont="1" applyBorder="1" applyAlignment="1">
      <alignment vertical="center"/>
    </xf>
    <xf numFmtId="0" fontId="4" fillId="0" borderId="0" xfId="162" applyFont="1" applyBorder="1" applyAlignment="1">
      <alignment vertical="center"/>
      <protection locked="0"/>
    </xf>
    <xf numFmtId="0" fontId="5" fillId="0" borderId="0" xfId="0" applyFont="1" applyFill="1" applyAlignment="1" applyProtection="1">
      <alignment horizontal="left" vertical="center" indent="1"/>
    </xf>
    <xf numFmtId="0" fontId="4" fillId="0" borderId="0" xfId="0" applyFont="1" applyBorder="1" applyAlignment="1" applyProtection="1">
      <alignment vertical="center"/>
      <protection locked="0"/>
    </xf>
    <xf numFmtId="0" fontId="67" fillId="0" borderId="0" xfId="0" applyFont="1" applyFill="1" applyAlignment="1" applyProtection="1">
      <alignment horizontal="left" vertical="center" indent="1"/>
    </xf>
    <xf numFmtId="0" fontId="67" fillId="0" borderId="0" xfId="0" applyFont="1" applyFill="1" applyBorder="1" applyAlignment="1" applyProtection="1">
      <alignment horizontal="left" vertical="center" indent="1"/>
    </xf>
    <xf numFmtId="0" fontId="4" fillId="0" borderId="0" xfId="162" applyFont="1" applyAlignment="1">
      <alignment horizontal="center" vertical="center" wrapText="1"/>
      <protection locked="0"/>
    </xf>
    <xf numFmtId="43" fontId="9" fillId="0" borderId="1" xfId="192" applyFont="1" applyBorder="1" applyAlignment="1">
      <alignment vertical="center" wrapText="1"/>
    </xf>
    <xf numFmtId="43" fontId="5" fillId="0" borderId="1" xfId="192" applyFont="1" applyBorder="1" applyAlignment="1">
      <alignment vertical="center" wrapText="1"/>
    </xf>
    <xf numFmtId="0" fontId="108" fillId="0" borderId="0" xfId="0" applyFont="1" applyFill="1" applyAlignment="1" applyProtection="1">
      <alignment vertical="center"/>
      <protection locked="0"/>
    </xf>
    <xf numFmtId="0" fontId="111" fillId="10" borderId="1" xfId="0" applyFont="1" applyFill="1" applyBorder="1" applyAlignment="1">
      <alignment horizontal="center" vertical="center"/>
    </xf>
    <xf numFmtId="43" fontId="9" fillId="0" borderId="0" xfId="3" applyNumberFormat="1" applyFont="1" applyBorder="1" applyAlignment="1">
      <alignment vertical="center"/>
    </xf>
    <xf numFmtId="43" fontId="2" fillId="0" borderId="0" xfId="3" applyNumberFormat="1" applyFont="1" applyBorder="1" applyAlignment="1">
      <alignment vertical="center"/>
    </xf>
    <xf numFmtId="43" fontId="113" fillId="0" borderId="0" xfId="3" applyNumberFormat="1" applyFont="1" applyBorder="1" applyAlignment="1">
      <alignment vertical="center"/>
    </xf>
    <xf numFmtId="43" fontId="114" fillId="0" borderId="0" xfId="3" applyNumberFormat="1" applyFont="1" applyBorder="1" applyAlignment="1">
      <alignment vertical="center"/>
    </xf>
    <xf numFmtId="43" fontId="115" fillId="0" borderId="0" xfId="3" applyNumberFormat="1" applyFont="1" applyBorder="1" applyAlignment="1">
      <alignment vertical="center"/>
    </xf>
    <xf numFmtId="203" fontId="12" fillId="0" borderId="0" xfId="333" applyFont="1" applyFill="1" applyAlignment="1">
      <alignment vertical="center"/>
      <protection locked="0"/>
    </xf>
    <xf numFmtId="203" fontId="12" fillId="0" borderId="0" xfId="334" applyFont="1" applyFill="1" applyAlignment="1">
      <alignment vertical="center"/>
    </xf>
    <xf numFmtId="49" fontId="30" fillId="0" borderId="0" xfId="333" applyNumberFormat="1" applyFont="1" applyFill="1" applyAlignment="1">
      <alignment horizontal="left" vertical="center"/>
      <protection locked="0"/>
    </xf>
    <xf numFmtId="203" fontId="30" fillId="0" borderId="0" xfId="333" applyFont="1" applyFill="1" applyAlignment="1">
      <alignment horizontal="justify" vertical="center"/>
      <protection locked="0"/>
    </xf>
    <xf numFmtId="203" fontId="9" fillId="0" borderId="1" xfId="333" applyFont="1" applyFill="1" applyBorder="1" applyAlignment="1" applyProtection="1">
      <alignment horizontal="center" vertical="center" wrapText="1"/>
      <protection locked="0"/>
    </xf>
    <xf numFmtId="203" fontId="12" fillId="0" borderId="1" xfId="333" applyFont="1" applyFill="1" applyBorder="1" applyAlignment="1" applyProtection="1">
      <alignment horizontal="center" vertical="center" wrapText="1"/>
      <protection locked="0"/>
    </xf>
    <xf numFmtId="203" fontId="116" fillId="0" borderId="1" xfId="333" applyFont="1" applyFill="1" applyBorder="1" applyAlignment="1">
      <alignment horizontal="center" vertical="center" wrapText="1"/>
      <protection locked="0"/>
    </xf>
    <xf numFmtId="49" fontId="30" fillId="10" borderId="1" xfId="333" applyNumberFormat="1" applyFont="1" applyFill="1" applyBorder="1" applyAlignment="1">
      <alignment horizontal="left" vertical="center"/>
      <protection locked="0"/>
    </xf>
    <xf numFmtId="49" fontId="2" fillId="10" borderId="1" xfId="333" applyNumberFormat="1" applyFont="1" applyFill="1" applyBorder="1" applyAlignment="1">
      <alignment horizontal="left" vertical="center"/>
      <protection locked="0"/>
    </xf>
    <xf numFmtId="203" fontId="30" fillId="10" borderId="1" xfId="333" applyFont="1" applyFill="1" applyBorder="1" applyAlignment="1">
      <alignment horizontal="left" vertical="center" wrapText="1"/>
      <protection locked="0"/>
    </xf>
    <xf numFmtId="203" fontId="117" fillId="10" borderId="1" xfId="333" applyFont="1" applyFill="1" applyBorder="1" applyAlignment="1" applyProtection="1">
      <alignment horizontal="center" vertical="center" wrapText="1"/>
    </xf>
    <xf numFmtId="49" fontId="2" fillId="10" borderId="1" xfId="334" applyNumberFormat="1" applyFont="1" applyFill="1" applyBorder="1" applyAlignment="1">
      <alignment horizontal="left" vertical="center"/>
    </xf>
    <xf numFmtId="203" fontId="2" fillId="10" borderId="1" xfId="333" applyFont="1" applyFill="1" applyBorder="1" applyAlignment="1">
      <alignment horizontal="left" vertical="center" wrapText="1"/>
      <protection locked="0"/>
    </xf>
    <xf numFmtId="49" fontId="5" fillId="0" borderId="1" xfId="0" applyNumberFormat="1" applyFont="1" applyFill="1" applyBorder="1" applyAlignment="1" applyProtection="1">
      <alignment horizontal="left" vertical="center" indent="1"/>
      <protection locked="0"/>
    </xf>
    <xf numFmtId="0" fontId="67" fillId="0" borderId="1" xfId="0" applyFont="1" applyFill="1" applyBorder="1" applyAlignment="1" applyProtection="1">
      <alignment vertical="center" wrapText="1"/>
    </xf>
    <xf numFmtId="0" fontId="67" fillId="0" borderId="1" xfId="0" applyFont="1" applyFill="1" applyBorder="1" applyAlignment="1" applyProtection="1">
      <alignment horizontal="center" vertical="center" wrapText="1"/>
    </xf>
    <xf numFmtId="0" fontId="107" fillId="0" borderId="1" xfId="0" applyFont="1" applyFill="1" applyBorder="1" applyAlignment="1" applyProtection="1">
      <alignment vertical="center" wrapText="1"/>
    </xf>
    <xf numFmtId="0" fontId="68" fillId="0" borderId="1" xfId="0" applyFont="1" applyFill="1" applyBorder="1" applyAlignment="1" applyProtection="1">
      <alignment vertical="center" wrapText="1"/>
    </xf>
    <xf numFmtId="49" fontId="2" fillId="10" borderId="1" xfId="0" applyNumberFormat="1" applyFont="1" applyFill="1" applyBorder="1" applyAlignment="1" applyProtection="1">
      <alignment horizontal="left" vertical="center"/>
      <protection locked="0"/>
    </xf>
    <xf numFmtId="203" fontId="30" fillId="10" borderId="1" xfId="333" applyFont="1" applyFill="1" applyBorder="1" applyAlignment="1" applyProtection="1">
      <alignment horizontal="left" vertical="center" wrapText="1"/>
      <protection locked="0"/>
    </xf>
    <xf numFmtId="203" fontId="118" fillId="10" borderId="1" xfId="333" applyFont="1" applyFill="1" applyBorder="1" applyAlignment="1" applyProtection="1">
      <alignment horizontal="center" vertical="center" wrapText="1"/>
    </xf>
    <xf numFmtId="203" fontId="30" fillId="0" borderId="0" xfId="334" applyFont="1" applyFill="1" applyAlignment="1">
      <alignment vertical="center"/>
    </xf>
    <xf numFmtId="49" fontId="30" fillId="0" borderId="1" xfId="334" applyNumberFormat="1" applyFont="1" applyFill="1" applyBorder="1" applyAlignment="1">
      <alignment horizontal="left" vertical="center" indent="1"/>
    </xf>
    <xf numFmtId="0" fontId="119" fillId="10" borderId="1" xfId="0" applyFont="1" applyFill="1" applyBorder="1" applyAlignment="1" applyProtection="1">
      <alignment vertical="center" wrapText="1"/>
    </xf>
    <xf numFmtId="0" fontId="67" fillId="10" borderId="1" xfId="0" applyFont="1" applyFill="1" applyBorder="1" applyAlignment="1" applyProtection="1">
      <alignment horizontal="center" vertical="center" wrapText="1"/>
    </xf>
    <xf numFmtId="0" fontId="121" fillId="10" borderId="1" xfId="0" applyFont="1" applyFill="1" applyBorder="1" applyAlignment="1" applyProtection="1">
      <alignment vertical="center" wrapText="1"/>
    </xf>
    <xf numFmtId="49" fontId="30" fillId="0" borderId="0" xfId="334" applyNumberFormat="1" applyFont="1" applyFill="1" applyAlignment="1">
      <alignment horizontal="left" vertical="center"/>
    </xf>
    <xf numFmtId="203" fontId="2" fillId="10" borderId="1" xfId="278" applyFont="1" applyFill="1" applyBorder="1" applyAlignment="1" applyProtection="1">
      <alignment horizontal="center" vertical="center" wrapText="1"/>
      <protection locked="0"/>
    </xf>
    <xf numFmtId="43" fontId="87" fillId="0" borderId="0" xfId="0" applyNumberFormat="1" applyFont="1" applyAlignment="1">
      <alignment vertical="center"/>
    </xf>
    <xf numFmtId="0" fontId="9" fillId="9" borderId="0" xfId="0" applyFont="1" applyFill="1" applyBorder="1" applyAlignment="1" applyProtection="1">
      <alignment horizontal="justify" vertical="center" wrapText="1"/>
      <protection locked="0"/>
    </xf>
    <xf numFmtId="43" fontId="2" fillId="0" borderId="0" xfId="3" applyNumberFormat="1" applyFont="1" applyFill="1" applyBorder="1" applyAlignment="1">
      <alignment vertical="center"/>
    </xf>
    <xf numFmtId="0" fontId="5" fillId="0" borderId="2" xfId="189" applyFont="1" applyBorder="1" applyAlignment="1">
      <alignment vertical="center"/>
    </xf>
    <xf numFmtId="0" fontId="1" fillId="0" borderId="0" xfId="348">
      <protection locked="0"/>
    </xf>
    <xf numFmtId="0" fontId="56" fillId="10" borderId="1" xfId="348" applyFont="1" applyFill="1" applyBorder="1" applyAlignment="1" applyProtection="1">
      <alignment horizontal="center" vertical="center"/>
    </xf>
    <xf numFmtId="0" fontId="56" fillId="10" borderId="1" xfId="348" applyFont="1" applyFill="1" applyBorder="1" applyAlignment="1" applyProtection="1">
      <alignment horizontal="center" vertical="center" wrapText="1"/>
    </xf>
    <xf numFmtId="203" fontId="124" fillId="10" borderId="1" xfId="278" applyFont="1" applyFill="1" applyBorder="1" applyAlignment="1" applyProtection="1">
      <alignment horizontal="center" vertical="center" wrapText="1"/>
      <protection locked="0"/>
    </xf>
    <xf numFmtId="0" fontId="54" fillId="0" borderId="1" xfId="348" applyFont="1" applyFill="1" applyBorder="1" applyAlignment="1" applyProtection="1">
      <alignment vertical="center"/>
    </xf>
    <xf numFmtId="0" fontId="9" fillId="0" borderId="1" xfId="348" applyFont="1" applyFill="1" applyBorder="1" applyAlignment="1" applyProtection="1">
      <alignment vertical="center"/>
    </xf>
    <xf numFmtId="0" fontId="66" fillId="0" borderId="1" xfId="348" applyFont="1" applyFill="1" applyBorder="1" applyAlignment="1" applyProtection="1">
      <alignment horizontal="left" vertical="center" indent="1"/>
    </xf>
    <xf numFmtId="0" fontId="70" fillId="0" borderId="1" xfId="348" applyFont="1" applyFill="1" applyBorder="1" applyAlignment="1" applyProtection="1">
      <alignment horizontal="center" vertical="center"/>
    </xf>
    <xf numFmtId="9" fontId="89" fillId="0" borderId="0" xfId="374" applyFont="1" applyBorder="1" applyAlignment="1">
      <alignment horizontal="left" vertical="center"/>
    </xf>
    <xf numFmtId="10" fontId="89" fillId="0" borderId="0" xfId="374" applyNumberFormat="1" applyFont="1" applyBorder="1" applyAlignment="1">
      <alignment horizontal="left" vertical="center"/>
    </xf>
    <xf numFmtId="0" fontId="125" fillId="0" borderId="0" xfId="0" applyFont="1" applyFill="1" applyAlignment="1">
      <alignment horizontal="justify" vertical="center"/>
    </xf>
    <xf numFmtId="43" fontId="87" fillId="0" borderId="0" xfId="0" applyNumberFormat="1" applyFont="1" applyFill="1" applyAlignment="1">
      <alignment vertical="center"/>
    </xf>
    <xf numFmtId="0" fontId="126" fillId="0" borderId="7" xfId="0" applyFont="1" applyBorder="1" applyAlignment="1">
      <alignment horizontal="justify" vertical="center" wrapText="1"/>
    </xf>
    <xf numFmtId="0" fontId="64" fillId="0" borderId="7" xfId="0" applyFont="1" applyBorder="1" applyAlignment="1">
      <alignment horizontal="right" vertical="center" wrapText="1"/>
    </xf>
    <xf numFmtId="43" fontId="127" fillId="0" borderId="7" xfId="0" applyNumberFormat="1" applyFont="1" applyBorder="1" applyAlignment="1">
      <alignment horizontal="right" vertical="center" wrapText="1"/>
    </xf>
    <xf numFmtId="43" fontId="53" fillId="36" borderId="1" xfId="192" applyFont="1" applyFill="1" applyBorder="1" applyAlignment="1">
      <alignment horizontal="right" vertical="center"/>
    </xf>
    <xf numFmtId="43" fontId="53" fillId="36" borderId="1" xfId="192" applyNumberFormat="1" applyFont="1" applyFill="1" applyBorder="1" applyAlignment="1" applyProtection="1">
      <alignment horizontal="right" vertical="center"/>
    </xf>
    <xf numFmtId="43" fontId="53" fillId="36" borderId="1" xfId="373" applyNumberFormat="1" applyFont="1" applyFill="1" applyBorder="1" applyAlignment="1" applyProtection="1">
      <alignment horizontal="right" vertical="center"/>
    </xf>
    <xf numFmtId="43" fontId="70" fillId="36" borderId="1" xfId="192" applyNumberFormat="1" applyFont="1" applyFill="1" applyBorder="1" applyAlignment="1" applyProtection="1">
      <alignment horizontal="right" vertical="center"/>
    </xf>
    <xf numFmtId="0" fontId="56" fillId="36" borderId="1" xfId="277" applyFont="1" applyFill="1" applyBorder="1" applyAlignment="1" applyProtection="1">
      <alignment horizontal="center" vertical="center"/>
    </xf>
    <xf numFmtId="10" fontId="5" fillId="36" borderId="1" xfId="159" applyNumberFormat="1" applyFont="1" applyFill="1" applyBorder="1" applyAlignment="1">
      <alignment horizontal="right" vertical="center" wrapText="1"/>
    </xf>
    <xf numFmtId="43" fontId="5" fillId="36" borderId="1" xfId="192" applyFont="1" applyFill="1" applyBorder="1" applyAlignment="1">
      <alignment horizontal="right" vertical="center" wrapText="1"/>
    </xf>
    <xf numFmtId="10" fontId="89" fillId="36" borderId="0" xfId="159" applyNumberFormat="1" applyFont="1" applyFill="1" applyBorder="1" applyAlignment="1">
      <alignment horizontal="center" vertical="center"/>
    </xf>
    <xf numFmtId="43" fontId="53" fillId="36" borderId="1" xfId="192" applyFont="1" applyFill="1" applyBorder="1" applyAlignment="1">
      <alignment horizontal="center" vertical="center"/>
    </xf>
    <xf numFmtId="43" fontId="70" fillId="36" borderId="1" xfId="192" applyFont="1" applyFill="1" applyBorder="1" applyAlignment="1">
      <alignment horizontal="center" vertical="center"/>
    </xf>
    <xf numFmtId="43" fontId="4" fillId="36" borderId="1" xfId="192" applyFont="1" applyFill="1" applyBorder="1" applyAlignment="1">
      <alignment vertical="center"/>
    </xf>
    <xf numFmtId="203" fontId="30" fillId="0" borderId="0" xfId="333" applyFont="1" applyFill="1" applyAlignment="1">
      <alignment horizontal="left" vertical="center"/>
      <protection locked="0"/>
    </xf>
    <xf numFmtId="203" fontId="30" fillId="10" borderId="1" xfId="333" applyFont="1" applyFill="1" applyBorder="1" applyAlignment="1">
      <alignment horizontal="center" vertical="center" wrapText="1"/>
      <protection locked="0"/>
    </xf>
    <xf numFmtId="203" fontId="12" fillId="0" borderId="1" xfId="333" applyFont="1" applyFill="1" applyBorder="1" applyAlignment="1">
      <alignment horizontal="center" vertical="center" wrapText="1"/>
      <protection locked="0"/>
    </xf>
    <xf numFmtId="203" fontId="12" fillId="0" borderId="1" xfId="333" applyFont="1" applyFill="1" applyBorder="1" applyAlignment="1">
      <alignment horizontal="left" vertical="center" wrapText="1"/>
      <protection locked="0"/>
    </xf>
    <xf numFmtId="203" fontId="12" fillId="0" borderId="0" xfId="375" applyFont="1">
      <alignment vertical="center"/>
      <protection locked="0"/>
    </xf>
    <xf numFmtId="49" fontId="5" fillId="0" borderId="1" xfId="376" applyNumberFormat="1" applyFont="1" applyFill="1" applyBorder="1" applyAlignment="1">
      <alignment horizontal="center" vertical="center"/>
    </xf>
    <xf numFmtId="0" fontId="68" fillId="0" borderId="1" xfId="264" applyFont="1" applyFill="1" applyBorder="1" applyAlignment="1">
      <alignment vertical="center" wrapText="1"/>
    </xf>
    <xf numFmtId="0" fontId="68" fillId="0" borderId="1" xfId="264" applyFont="1" applyFill="1" applyBorder="1" applyAlignment="1">
      <alignment horizontal="center" vertical="center" wrapText="1"/>
    </xf>
    <xf numFmtId="0" fontId="119" fillId="0" borderId="1" xfId="264" applyFont="1" applyFill="1" applyBorder="1" applyAlignment="1">
      <alignment horizontal="center" vertical="center" wrapText="1"/>
    </xf>
    <xf numFmtId="203" fontId="12" fillId="0" borderId="0" xfId="376" applyFont="1" applyFill="1" applyAlignment="1">
      <alignment vertical="center"/>
    </xf>
    <xf numFmtId="0" fontId="68" fillId="0" borderId="1" xfId="0" applyFont="1" applyFill="1" applyBorder="1" applyAlignment="1" applyProtection="1">
      <alignment horizontal="center" vertical="center" wrapText="1"/>
    </xf>
    <xf numFmtId="0" fontId="126" fillId="0" borderId="7" xfId="0" applyFont="1" applyFill="1" applyBorder="1" applyAlignment="1">
      <alignment horizontal="justify" vertical="center" wrapText="1"/>
    </xf>
    <xf numFmtId="0" fontId="64" fillId="0" borderId="7" xfId="0" applyFont="1" applyFill="1" applyBorder="1" applyAlignment="1">
      <alignment horizontal="right" vertical="center" wrapText="1"/>
    </xf>
    <xf numFmtId="0" fontId="62" fillId="0" borderId="0" xfId="0" applyFont="1" applyFill="1" applyAlignment="1">
      <alignment horizontal="justify" vertical="center"/>
    </xf>
    <xf numFmtId="43" fontId="127" fillId="0" borderId="7" xfId="0" applyNumberFormat="1" applyFont="1" applyFill="1" applyBorder="1" applyAlignment="1">
      <alignment horizontal="right" vertical="center" wrapText="1"/>
    </xf>
    <xf numFmtId="0" fontId="129" fillId="0" borderId="0" xfId="348" applyFont="1">
      <protection locked="0"/>
    </xf>
    <xf numFmtId="43" fontId="129" fillId="0" borderId="0" xfId="3" applyNumberFormat="1" applyFont="1" applyBorder="1" applyAlignment="1">
      <alignment vertical="center"/>
    </xf>
    <xf numFmtId="0" fontId="129" fillId="0" borderId="0" xfId="1" applyFont="1" applyAlignment="1">
      <alignment vertical="center"/>
    </xf>
    <xf numFmtId="0" fontId="130" fillId="0" borderId="0" xfId="162" applyFont="1" applyAlignment="1">
      <alignment vertical="center"/>
      <protection locked="0"/>
    </xf>
    <xf numFmtId="203" fontId="129" fillId="0" borderId="0" xfId="332" applyFont="1" applyFill="1" applyAlignment="1">
      <alignment vertical="center"/>
    </xf>
    <xf numFmtId="0" fontId="132" fillId="0" borderId="0" xfId="348" applyFont="1">
      <protection locked="0"/>
    </xf>
    <xf numFmtId="0" fontId="132" fillId="0" borderId="0" xfId="1" applyFont="1" applyAlignment="1">
      <alignment vertical="center"/>
    </xf>
    <xf numFmtId="0" fontId="131" fillId="0" borderId="0" xfId="162" applyFont="1" applyAlignment="1">
      <alignment vertical="center"/>
      <protection locked="0"/>
    </xf>
    <xf numFmtId="43" fontId="132" fillId="0" borderId="0" xfId="3" applyNumberFormat="1" applyFont="1" applyBorder="1" applyAlignment="1">
      <alignment vertical="center"/>
    </xf>
    <xf numFmtId="203" fontId="132" fillId="0" borderId="0" xfId="332" applyFont="1" applyFill="1" applyAlignment="1">
      <alignment vertical="center"/>
    </xf>
    <xf numFmtId="10" fontId="4" fillId="36" borderId="1" xfId="159" applyNumberFormat="1" applyFont="1" applyFill="1" applyBorder="1" applyAlignment="1">
      <alignment horizontal="right" vertical="center" wrapText="1"/>
    </xf>
    <xf numFmtId="0" fontId="9" fillId="0" borderId="1" xfId="277" applyFont="1" applyFill="1" applyBorder="1" applyAlignment="1" applyProtection="1">
      <alignment vertical="center"/>
    </xf>
    <xf numFmtId="0" fontId="11" fillId="0" borderId="0" xfId="162" applyFont="1" applyAlignment="1">
      <alignment vertical="center"/>
      <protection locked="0"/>
    </xf>
    <xf numFmtId="0" fontId="10" fillId="0" borderId="0" xfId="162" applyFont="1">
      <protection locked="0"/>
    </xf>
    <xf numFmtId="0" fontId="2" fillId="10" borderId="1" xfId="362" applyFont="1" applyFill="1" applyBorder="1" applyAlignment="1" applyProtection="1">
      <alignment horizontal="center" vertical="center"/>
      <protection locked="0"/>
    </xf>
    <xf numFmtId="0" fontId="56" fillId="0" borderId="0" xfId="0" applyFont="1" applyAlignment="1" applyProtection="1">
      <alignment horizontal="left" vertical="center" wrapText="1"/>
    </xf>
    <xf numFmtId="203" fontId="128" fillId="0" borderId="0" xfId="333" applyFont="1" applyFill="1" applyBorder="1" applyAlignment="1">
      <alignment vertical="center"/>
      <protection locked="0"/>
    </xf>
    <xf numFmtId="203" fontId="128" fillId="0" borderId="0" xfId="333" applyFont="1" applyFill="1" applyAlignment="1">
      <alignment vertical="center"/>
      <protection locked="0"/>
    </xf>
    <xf numFmtId="203" fontId="128" fillId="0" borderId="0" xfId="333" applyFont="1" applyFill="1" applyBorder="1" applyAlignment="1">
      <alignment horizontal="left" vertical="center"/>
      <protection locked="0"/>
    </xf>
    <xf numFmtId="43" fontId="128" fillId="0" borderId="0" xfId="3" applyNumberFormat="1" applyFont="1" applyBorder="1" applyAlignment="1">
      <alignment vertical="center"/>
    </xf>
    <xf numFmtId="43" fontId="128" fillId="0" borderId="0" xfId="3" applyNumberFormat="1" applyFont="1" applyBorder="1" applyAlignment="1">
      <alignment horizontal="left" vertical="center"/>
    </xf>
    <xf numFmtId="0" fontId="128" fillId="0" borderId="0" xfId="162" applyFont="1" applyAlignment="1">
      <alignment vertical="center"/>
      <protection locked="0"/>
    </xf>
    <xf numFmtId="14" fontId="128" fillId="0" borderId="0" xfId="3" applyNumberFormat="1" applyFont="1" applyBorder="1" applyAlignment="1">
      <alignment vertical="center"/>
    </xf>
    <xf numFmtId="49" fontId="128" fillId="0" borderId="0" xfId="3" applyNumberFormat="1" applyFont="1" applyBorder="1" applyAlignment="1">
      <alignment vertical="center"/>
    </xf>
    <xf numFmtId="0" fontId="128" fillId="0" borderId="0" xfId="162" applyFont="1" applyBorder="1" applyAlignment="1">
      <alignment horizontal="left" vertical="center"/>
      <protection locked="0"/>
    </xf>
    <xf numFmtId="14" fontId="128" fillId="0" borderId="0" xfId="162" applyNumberFormat="1" applyFont="1" applyBorder="1" applyAlignment="1">
      <alignment horizontal="left" vertical="center"/>
      <protection locked="0"/>
    </xf>
    <xf numFmtId="0" fontId="128" fillId="0" borderId="0" xfId="2" applyFont="1" applyBorder="1" applyAlignment="1">
      <alignment horizontal="justify" vertical="center" wrapText="1"/>
    </xf>
    <xf numFmtId="49" fontId="2" fillId="0" borderId="0" xfId="362" applyNumberFormat="1" applyFont="1" applyFill="1" applyBorder="1" applyAlignment="1" applyProtection="1">
      <alignment horizontal="left" vertical="center"/>
      <protection locked="0"/>
    </xf>
    <xf numFmtId="203" fontId="30" fillId="0" borderId="0" xfId="375" applyFont="1" applyBorder="1" applyAlignment="1">
      <alignment horizontal="left" vertical="center"/>
      <protection locked="0"/>
    </xf>
    <xf numFmtId="203" fontId="30" fillId="0" borderId="0" xfId="375" applyFont="1" applyBorder="1" applyAlignment="1">
      <alignment horizontal="justify" vertical="center"/>
      <protection locked="0"/>
    </xf>
    <xf numFmtId="203" fontId="12" fillId="0" borderId="0" xfId="375" applyFont="1" applyBorder="1">
      <alignment vertical="center"/>
      <protection locked="0"/>
    </xf>
    <xf numFmtId="203" fontId="12" fillId="0" borderId="0" xfId="375" applyFont="1" applyBorder="1" applyAlignment="1">
      <alignment horizontal="center" vertical="center" wrapText="1"/>
      <protection locked="0"/>
    </xf>
    <xf numFmtId="203" fontId="12" fillId="0" borderId="0" xfId="375" applyFont="1" applyBorder="1" applyAlignment="1">
      <alignment horizontal="left" vertical="center" wrapText="1"/>
      <protection locked="0"/>
    </xf>
    <xf numFmtId="0" fontId="2" fillId="10" borderId="1" xfId="362" applyFont="1" applyFill="1" applyBorder="1" applyAlignment="1" applyProtection="1">
      <alignment horizontal="center" vertical="center" wrapText="1"/>
      <protection locked="0"/>
    </xf>
    <xf numFmtId="0" fontId="5" fillId="0" borderId="1" xfId="264" applyFont="1" applyFill="1" applyBorder="1" applyAlignment="1">
      <alignment horizontal="center" vertical="center" wrapText="1"/>
    </xf>
    <xf numFmtId="0" fontId="56" fillId="0" borderId="0" xfId="0" applyFont="1" applyAlignment="1" applyProtection="1">
      <alignment vertical="center" wrapText="1"/>
    </xf>
    <xf numFmtId="0" fontId="54" fillId="0" borderId="0" xfId="0" applyFont="1" applyAlignment="1" applyProtection="1">
      <alignment horizontal="left" vertical="center"/>
    </xf>
    <xf numFmtId="0" fontId="128" fillId="0" borderId="0" xfId="348" applyFont="1" applyAlignment="1">
      <alignment horizontal="left" vertical="center"/>
      <protection locked="0"/>
    </xf>
    <xf numFmtId="0" fontId="57" fillId="0" borderId="0" xfId="162" applyFont="1" applyBorder="1" applyAlignment="1">
      <alignment horizontal="center" vertical="center"/>
      <protection locked="0"/>
    </xf>
    <xf numFmtId="0" fontId="49" fillId="0" borderId="0" xfId="168" quotePrefix="1" applyBorder="1" applyAlignment="1">
      <alignment vertical="center"/>
      <protection locked="0"/>
    </xf>
    <xf numFmtId="0" fontId="4" fillId="0" borderId="0" xfId="162" applyFont="1" applyAlignment="1">
      <alignment horizontal="center" vertical="center"/>
      <protection locked="0"/>
    </xf>
    <xf numFmtId="0" fontId="4" fillId="0" borderId="0" xfId="162" applyFont="1" applyBorder="1" applyAlignment="1">
      <alignment horizontal="center" vertical="center"/>
      <protection locked="0"/>
    </xf>
    <xf numFmtId="0" fontId="5" fillId="0" borderId="6" xfId="162" applyFont="1" applyBorder="1" applyAlignment="1">
      <alignment horizontal="center" vertical="center" wrapText="1"/>
      <protection locked="0"/>
    </xf>
    <xf numFmtId="0" fontId="134" fillId="0" borderId="6" xfId="190" applyFont="1" applyBorder="1" applyAlignment="1">
      <alignment vertical="center"/>
      <protection locked="0"/>
    </xf>
    <xf numFmtId="0" fontId="5" fillId="0" borderId="6" xfId="162" applyFont="1" applyBorder="1" applyAlignment="1">
      <alignment horizontal="center" vertical="center"/>
      <protection locked="0"/>
    </xf>
    <xf numFmtId="0" fontId="134" fillId="0" borderId="6" xfId="190" quotePrefix="1" applyFont="1" applyBorder="1" applyAlignment="1">
      <alignment vertical="center"/>
      <protection locked="0"/>
    </xf>
    <xf numFmtId="0" fontId="68" fillId="0" borderId="1" xfId="362" applyFont="1" applyFill="1" applyBorder="1" applyAlignment="1">
      <alignment horizontal="center" vertical="center" wrapText="1"/>
    </xf>
    <xf numFmtId="0" fontId="2" fillId="0" borderId="1" xfId="348" applyFont="1" applyBorder="1" applyAlignment="1">
      <alignment horizontal="center" vertical="center" wrapText="1"/>
      <protection locked="0"/>
    </xf>
    <xf numFmtId="0" fontId="9" fillId="0" borderId="1" xfId="362" applyFont="1" applyFill="1" applyBorder="1" applyAlignment="1" applyProtection="1">
      <alignment horizontal="center" vertical="center"/>
      <protection locked="0"/>
    </xf>
    <xf numFmtId="0" fontId="9" fillId="0" borderId="1" xfId="348" applyFont="1" applyBorder="1" applyAlignment="1">
      <alignment horizontal="center" vertical="center" wrapText="1"/>
      <protection locked="0"/>
    </xf>
    <xf numFmtId="203" fontId="12" fillId="0" borderId="1" xfId="375" applyFont="1" applyFill="1" applyBorder="1" applyAlignment="1">
      <alignment vertical="center" wrapText="1"/>
      <protection locked="0"/>
    </xf>
    <xf numFmtId="0" fontId="12" fillId="0" borderId="1" xfId="191" applyFont="1" applyFill="1" applyBorder="1" applyAlignment="1" applyProtection="1">
      <alignment vertical="center" wrapText="1"/>
      <protection locked="0"/>
    </xf>
    <xf numFmtId="0" fontId="119" fillId="0" borderId="1" xfId="362" applyFont="1" applyBorder="1" applyAlignment="1">
      <alignment horizontal="center" vertical="center" wrapText="1"/>
    </xf>
    <xf numFmtId="0" fontId="68" fillId="0" borderId="1" xfId="362" applyFont="1" applyBorder="1" applyAlignment="1">
      <alignment horizontal="center" vertical="center" wrapText="1"/>
    </xf>
    <xf numFmtId="0" fontId="5" fillId="0" borderId="1" xfId="277" applyFont="1" applyBorder="1" applyAlignment="1">
      <alignment horizontal="center" vertical="center" wrapText="1"/>
      <protection locked="0"/>
    </xf>
    <xf numFmtId="43" fontId="4" fillId="0" borderId="0" xfId="3" applyNumberFormat="1" applyFont="1" applyBorder="1" applyAlignment="1">
      <alignment horizontal="left" vertical="center"/>
    </xf>
    <xf numFmtId="43" fontId="88" fillId="0" borderId="0" xfId="168" applyNumberFormat="1" applyFont="1" applyBorder="1" applyAlignment="1" applyProtection="1">
      <alignment horizontal="center" vertical="center"/>
    </xf>
    <xf numFmtId="43" fontId="53" fillId="10" borderId="1" xfId="192" applyNumberFormat="1" applyFont="1" applyFill="1" applyBorder="1" applyAlignment="1" applyProtection="1">
      <alignment horizontal="right" vertical="center"/>
    </xf>
    <xf numFmtId="43" fontId="4" fillId="10" borderId="1" xfId="192" applyFont="1" applyFill="1" applyBorder="1" applyAlignment="1">
      <alignment vertical="center"/>
    </xf>
    <xf numFmtId="0" fontId="5" fillId="0" borderId="1" xfId="0" applyFont="1" applyBorder="1" applyAlignment="1">
      <alignment horizontal="center" vertical="center" wrapText="1"/>
    </xf>
    <xf numFmtId="0" fontId="5" fillId="0" borderId="1" xfId="0" applyFont="1" applyFill="1" applyBorder="1" applyAlignment="1" applyProtection="1">
      <alignment horizontal="center" vertical="center" wrapText="1"/>
    </xf>
    <xf numFmtId="0" fontId="5" fillId="9" borderId="0" xfId="0" applyFont="1" applyFill="1" applyAlignment="1" applyProtection="1">
      <alignment horizontal="justify" vertical="center" wrapText="1"/>
      <protection locked="0"/>
    </xf>
    <xf numFmtId="0" fontId="136" fillId="0" borderId="0" xfId="0" applyFont="1" applyAlignment="1" applyProtection="1">
      <alignment horizontal="center" vertical="center"/>
      <protection locked="0"/>
    </xf>
    <xf numFmtId="203" fontId="115" fillId="0" borderId="0" xfId="377" applyFont="1" applyFill="1" applyAlignment="1">
      <alignment horizontal="left" vertical="center"/>
    </xf>
    <xf numFmtId="0" fontId="141" fillId="0" borderId="0" xfId="190" applyFont="1" applyAlignment="1">
      <alignment horizontal="left" vertical="center"/>
      <protection locked="0"/>
    </xf>
    <xf numFmtId="0" fontId="135" fillId="0" borderId="1" xfId="264" applyFont="1" applyFill="1" applyBorder="1" applyAlignment="1">
      <alignment horizontal="center" vertical="center" wrapText="1"/>
    </xf>
    <xf numFmtId="0" fontId="137" fillId="0" borderId="0" xfId="0" applyFont="1" applyAlignment="1" applyProtection="1">
      <alignment horizontal="left" vertical="center" wrapText="1"/>
      <protection locked="0"/>
    </xf>
    <xf numFmtId="0" fontId="8" fillId="0" borderId="0" xfId="0" applyFont="1" applyAlignment="1" applyProtection="1">
      <alignment horizontal="left" vertical="center" wrapText="1"/>
      <protection locked="0"/>
    </xf>
    <xf numFmtId="203" fontId="9" fillId="0" borderId="0" xfId="333" applyFont="1" applyFill="1" applyBorder="1" applyAlignment="1">
      <alignment horizontal="left" vertical="center" wrapText="1"/>
      <protection locked="0"/>
    </xf>
    <xf numFmtId="203" fontId="12" fillId="0" borderId="0" xfId="333" applyFont="1" applyFill="1" applyBorder="1" applyAlignment="1">
      <alignment horizontal="left" vertical="center" wrapText="1"/>
      <protection locked="0"/>
    </xf>
    <xf numFmtId="49" fontId="30" fillId="10" borderId="1" xfId="375" applyNumberFormat="1" applyFont="1" applyFill="1" applyBorder="1" applyAlignment="1">
      <alignment horizontal="center" vertical="center"/>
      <protection locked="0"/>
    </xf>
    <xf numFmtId="0" fontId="2" fillId="10" borderId="1" xfId="264" applyFont="1" applyFill="1" applyBorder="1" applyAlignment="1" applyProtection="1">
      <alignment horizontal="center" vertical="center" wrapText="1"/>
      <protection locked="0"/>
    </xf>
    <xf numFmtId="203" fontId="130" fillId="0" borderId="0" xfId="332" applyFont="1" applyFill="1" applyAlignment="1">
      <alignment horizontal="center" vertical="center"/>
    </xf>
    <xf numFmtId="203" fontId="131" fillId="0" borderId="0" xfId="332" applyFont="1" applyFill="1" applyAlignment="1">
      <alignment horizontal="center" vertical="center"/>
    </xf>
    <xf numFmtId="203" fontId="128" fillId="0" borderId="0" xfId="333" applyFont="1" applyFill="1" applyBorder="1" applyAlignment="1">
      <alignment horizontal="left" vertical="center"/>
      <protection locked="0"/>
    </xf>
    <xf numFmtId="203" fontId="30" fillId="0" borderId="0" xfId="333" applyFont="1" applyFill="1" applyAlignment="1">
      <alignment horizontal="left" vertical="center"/>
      <protection locked="0"/>
    </xf>
    <xf numFmtId="203" fontId="30" fillId="10" borderId="1" xfId="375" applyFont="1" applyFill="1" applyBorder="1" applyAlignment="1">
      <alignment horizontal="center" vertical="center" wrapText="1"/>
      <protection locked="0"/>
    </xf>
    <xf numFmtId="0" fontId="2" fillId="10" borderId="1" xfId="362" applyFont="1" applyFill="1" applyBorder="1" applyAlignment="1" applyProtection="1">
      <alignment horizontal="center" vertical="center"/>
      <protection locked="0"/>
    </xf>
    <xf numFmtId="0" fontId="4" fillId="10" borderId="1" xfId="362" applyFont="1" applyFill="1" applyBorder="1" applyAlignment="1" applyProtection="1">
      <alignment horizontal="center" vertical="center"/>
      <protection locked="0"/>
    </xf>
    <xf numFmtId="0" fontId="30" fillId="10" borderId="1" xfId="362" applyFont="1" applyFill="1" applyBorder="1" applyAlignment="1" applyProtection="1">
      <alignment horizontal="center" vertical="center"/>
      <protection locked="0"/>
    </xf>
    <xf numFmtId="0" fontId="9" fillId="0" borderId="1" xfId="362" applyFont="1" applyFill="1" applyBorder="1" applyAlignment="1" applyProtection="1">
      <alignment horizontal="center" vertical="center" wrapText="1"/>
      <protection locked="0"/>
    </xf>
    <xf numFmtId="0" fontId="2" fillId="10" borderId="1" xfId="362" applyFont="1" applyFill="1" applyBorder="1" applyAlignment="1" applyProtection="1">
      <alignment horizontal="center" vertical="center" wrapText="1"/>
      <protection locked="0"/>
    </xf>
    <xf numFmtId="0" fontId="2" fillId="0" borderId="28" xfId="362" applyFont="1" applyFill="1" applyBorder="1" applyAlignment="1" applyProtection="1">
      <alignment horizontal="left" vertical="center" wrapText="1"/>
      <protection locked="0"/>
    </xf>
    <xf numFmtId="0" fontId="5" fillId="0" borderId="1" xfId="362" applyFont="1" applyFill="1" applyBorder="1" applyAlignment="1" applyProtection="1">
      <alignment horizontal="left" vertical="center" wrapText="1"/>
      <protection locked="0"/>
    </xf>
    <xf numFmtId="0" fontId="67" fillId="0" borderId="10" xfId="0" applyFont="1" applyFill="1" applyBorder="1" applyAlignment="1" applyProtection="1">
      <alignment horizontal="center" vertical="center" wrapText="1"/>
    </xf>
    <xf numFmtId="0" fontId="67" fillId="0" borderId="11" xfId="0" applyFont="1" applyFill="1" applyBorder="1" applyAlignment="1" applyProtection="1">
      <alignment horizontal="center" vertical="center" wrapText="1"/>
    </xf>
    <xf numFmtId="0" fontId="67" fillId="0" borderId="12" xfId="0" applyFont="1" applyFill="1" applyBorder="1" applyAlignment="1" applyProtection="1">
      <alignment horizontal="center" vertical="center" wrapText="1"/>
    </xf>
    <xf numFmtId="0" fontId="5" fillId="0" borderId="10" xfId="0" applyFont="1" applyFill="1" applyBorder="1" applyAlignment="1" applyProtection="1">
      <alignment horizontal="center" vertical="center" wrapText="1"/>
    </xf>
    <xf numFmtId="0" fontId="5" fillId="0" borderId="12" xfId="0" applyFont="1" applyFill="1" applyBorder="1" applyAlignment="1" applyProtection="1">
      <alignment horizontal="center" vertical="center" wrapText="1"/>
    </xf>
    <xf numFmtId="0" fontId="67" fillId="10" borderId="10" xfId="0" applyFont="1" applyFill="1" applyBorder="1" applyAlignment="1" applyProtection="1">
      <alignment horizontal="center" vertical="center" wrapText="1"/>
    </xf>
    <xf numFmtId="0" fontId="67" fillId="10" borderId="11" xfId="0" applyFont="1" applyFill="1" applyBorder="1" applyAlignment="1" applyProtection="1">
      <alignment horizontal="center" vertical="center" wrapText="1"/>
    </xf>
    <xf numFmtId="0" fontId="67" fillId="10" borderId="12" xfId="0" applyFont="1" applyFill="1" applyBorder="1" applyAlignment="1" applyProtection="1">
      <alignment horizontal="center" vertical="center" wrapText="1"/>
    </xf>
    <xf numFmtId="0" fontId="5" fillId="10" borderId="10" xfId="0" applyFont="1" applyFill="1" applyBorder="1" applyAlignment="1" applyProtection="1">
      <alignment horizontal="center" vertical="center" wrapText="1"/>
    </xf>
    <xf numFmtId="0" fontId="5" fillId="10" borderId="12" xfId="0" applyFont="1" applyFill="1" applyBorder="1" applyAlignment="1" applyProtection="1">
      <alignment horizontal="center" vertical="center" wrapText="1"/>
    </xf>
    <xf numFmtId="203" fontId="12" fillId="0" borderId="1" xfId="333" applyFont="1" applyFill="1" applyBorder="1" applyAlignment="1">
      <alignment horizontal="center" vertical="center" wrapText="1"/>
      <protection locked="0"/>
    </xf>
    <xf numFmtId="203" fontId="12" fillId="0" borderId="10" xfId="333" applyFont="1" applyFill="1" applyBorder="1" applyAlignment="1">
      <alignment horizontal="center" vertical="center" wrapText="1"/>
      <protection locked="0"/>
    </xf>
    <xf numFmtId="203" fontId="12" fillId="0" borderId="12" xfId="333" applyFont="1" applyFill="1" applyBorder="1" applyAlignment="1">
      <alignment horizontal="center" vertical="center" wrapText="1"/>
      <protection locked="0"/>
    </xf>
    <xf numFmtId="203" fontId="12" fillId="10" borderId="1" xfId="333" applyFont="1" applyFill="1" applyBorder="1" applyAlignment="1">
      <alignment horizontal="center" vertical="center" wrapText="1"/>
      <protection locked="0"/>
    </xf>
    <xf numFmtId="0" fontId="4" fillId="0" borderId="10" xfId="0" applyFont="1" applyFill="1" applyBorder="1" applyAlignment="1" applyProtection="1">
      <alignment horizontal="center" vertical="center" wrapText="1"/>
    </xf>
    <xf numFmtId="0" fontId="4" fillId="0" borderId="12" xfId="0" applyFont="1" applyFill="1" applyBorder="1" applyAlignment="1" applyProtection="1">
      <alignment horizontal="center" vertical="center" wrapText="1"/>
    </xf>
    <xf numFmtId="203" fontId="30" fillId="10" borderId="10" xfId="333" applyFont="1" applyFill="1" applyBorder="1" applyAlignment="1">
      <alignment horizontal="center" vertical="center" wrapText="1"/>
      <protection locked="0"/>
    </xf>
    <xf numFmtId="203" fontId="30" fillId="10" borderId="12" xfId="333" applyFont="1" applyFill="1" applyBorder="1" applyAlignment="1">
      <alignment horizontal="center" vertical="center" wrapText="1"/>
      <protection locked="0"/>
    </xf>
    <xf numFmtId="203" fontId="30" fillId="0" borderId="24" xfId="333" applyFont="1" applyFill="1" applyBorder="1" applyAlignment="1">
      <alignment horizontal="left" vertical="center" wrapText="1"/>
      <protection locked="0"/>
    </xf>
    <xf numFmtId="203" fontId="30" fillId="0" borderId="25" xfId="333" applyFont="1" applyFill="1" applyBorder="1" applyAlignment="1">
      <alignment horizontal="left" vertical="center" wrapText="1"/>
      <protection locked="0"/>
    </xf>
    <xf numFmtId="203" fontId="30" fillId="0" borderId="26" xfId="333" applyFont="1" applyFill="1" applyBorder="1" applyAlignment="1">
      <alignment horizontal="left" vertical="center" wrapText="1"/>
      <protection locked="0"/>
    </xf>
    <xf numFmtId="203" fontId="30" fillId="0" borderId="27" xfId="333" applyFont="1" applyFill="1" applyBorder="1" applyAlignment="1">
      <alignment horizontal="left" vertical="center" wrapText="1"/>
      <protection locked="0"/>
    </xf>
    <xf numFmtId="203" fontId="30" fillId="0" borderId="10" xfId="333" applyFont="1" applyFill="1" applyBorder="1" applyAlignment="1">
      <alignment horizontal="center" vertical="center"/>
      <protection locked="0"/>
    </xf>
    <xf numFmtId="203" fontId="30" fillId="0" borderId="11" xfId="333" applyFont="1" applyFill="1" applyBorder="1" applyAlignment="1">
      <alignment horizontal="center" vertical="center"/>
      <protection locked="0"/>
    </xf>
    <xf numFmtId="203" fontId="30" fillId="0" borderId="12" xfId="333" applyFont="1" applyFill="1" applyBorder="1" applyAlignment="1">
      <alignment horizontal="center" vertical="center"/>
      <protection locked="0"/>
    </xf>
    <xf numFmtId="203" fontId="9" fillId="0" borderId="13" xfId="333" applyFont="1" applyFill="1" applyBorder="1" applyAlignment="1">
      <alignment horizontal="center" vertical="center" wrapText="1"/>
      <protection locked="0"/>
    </xf>
    <xf numFmtId="203" fontId="9" fillId="0" borderId="14" xfId="333" applyFont="1" applyFill="1" applyBorder="1" applyAlignment="1">
      <alignment horizontal="center" vertical="center" wrapText="1"/>
      <protection locked="0"/>
    </xf>
    <xf numFmtId="203" fontId="12" fillId="0" borderId="13" xfId="333" applyFont="1" applyFill="1" applyBorder="1" applyAlignment="1">
      <alignment horizontal="center" vertical="center" wrapText="1"/>
      <protection locked="0"/>
    </xf>
    <xf numFmtId="203" fontId="12" fillId="0" borderId="14" xfId="333" applyFont="1" applyFill="1" applyBorder="1" applyAlignment="1">
      <alignment horizontal="center" vertical="center" wrapText="1"/>
      <protection locked="0"/>
    </xf>
    <xf numFmtId="203" fontId="12" fillId="0" borderId="10" xfId="333" applyFont="1" applyFill="1" applyBorder="1" applyAlignment="1">
      <alignment horizontal="left" vertical="center" wrapText="1"/>
      <protection locked="0"/>
    </xf>
    <xf numFmtId="203" fontId="12" fillId="0" borderId="12" xfId="333" applyFont="1" applyFill="1" applyBorder="1" applyAlignment="1">
      <alignment horizontal="left" vertical="center" wrapText="1"/>
      <protection locked="0"/>
    </xf>
    <xf numFmtId="203" fontId="2" fillId="0" borderId="11" xfId="333" applyFont="1" applyFill="1" applyBorder="1" applyAlignment="1">
      <alignment horizontal="left" vertical="center"/>
      <protection locked="0"/>
    </xf>
    <xf numFmtId="203" fontId="30" fillId="10" borderId="10" xfId="333" applyFont="1" applyFill="1" applyBorder="1" applyAlignment="1">
      <alignment horizontal="center" vertical="center"/>
      <protection locked="0"/>
    </xf>
    <xf numFmtId="203" fontId="30" fillId="10" borderId="11" xfId="333" applyFont="1" applyFill="1" applyBorder="1" applyAlignment="1">
      <alignment horizontal="center" vertical="center"/>
      <protection locked="0"/>
    </xf>
    <xf numFmtId="203" fontId="30" fillId="10" borderId="12" xfId="333" applyFont="1" applyFill="1" applyBorder="1" applyAlignment="1">
      <alignment horizontal="center" vertical="center"/>
      <protection locked="0"/>
    </xf>
    <xf numFmtId="203" fontId="9" fillId="0" borderId="10" xfId="333" applyFont="1" applyFill="1" applyBorder="1" applyAlignment="1">
      <alignment horizontal="left" vertical="center" wrapText="1"/>
      <protection locked="0"/>
    </xf>
    <xf numFmtId="203" fontId="12" fillId="0" borderId="11" xfId="333" applyFont="1" applyFill="1" applyBorder="1" applyAlignment="1">
      <alignment horizontal="left" vertical="center" wrapText="1"/>
      <protection locked="0"/>
    </xf>
    <xf numFmtId="43" fontId="130" fillId="0" borderId="0" xfId="3" applyNumberFormat="1" applyFont="1" applyBorder="1" applyAlignment="1">
      <alignment horizontal="center" vertical="center"/>
    </xf>
    <xf numFmtId="43" fontId="131" fillId="0" borderId="0" xfId="3" applyNumberFormat="1" applyFont="1" applyBorder="1" applyAlignment="1">
      <alignment horizontal="center" vertical="center"/>
    </xf>
    <xf numFmtId="0" fontId="56" fillId="10" borderId="13" xfId="277" applyFont="1" applyFill="1" applyBorder="1" applyAlignment="1" applyProtection="1">
      <alignment horizontal="center" vertical="center" wrapText="1"/>
    </xf>
    <xf numFmtId="0" fontId="70" fillId="10" borderId="14" xfId="277" applyFont="1" applyFill="1" applyBorder="1" applyAlignment="1" applyProtection="1">
      <alignment vertical="center" wrapText="1"/>
    </xf>
    <xf numFmtId="203" fontId="2" fillId="10" borderId="10" xfId="278" applyFont="1" applyFill="1" applyBorder="1" applyAlignment="1" applyProtection="1">
      <alignment horizontal="center" vertical="center" wrapText="1"/>
      <protection locked="0"/>
    </xf>
    <xf numFmtId="0" fontId="0" fillId="0" borderId="11" xfId="0" applyBorder="1" applyAlignment="1">
      <alignment horizontal="center" vertical="center" wrapText="1"/>
    </xf>
    <xf numFmtId="0" fontId="0" fillId="0" borderId="12" xfId="0" applyBorder="1" applyAlignment="1">
      <alignment horizontal="center" vertical="center" wrapText="1"/>
    </xf>
    <xf numFmtId="203" fontId="56" fillId="10" borderId="1" xfId="279" applyNumberFormat="1" applyFont="1" applyFill="1" applyBorder="1" applyAlignment="1" applyProtection="1">
      <alignment horizontal="center" vertical="center" wrapText="1"/>
      <protection locked="0"/>
    </xf>
    <xf numFmtId="0" fontId="4" fillId="10" borderId="1" xfId="279" applyFont="1" applyFill="1" applyBorder="1" applyAlignment="1" applyProtection="1">
      <alignment horizontal="center" vertical="center" wrapText="1"/>
      <protection locked="0"/>
    </xf>
    <xf numFmtId="0" fontId="70" fillId="10" borderId="1" xfId="277" applyFont="1" applyFill="1" applyBorder="1" applyAlignment="1" applyProtection="1">
      <alignment horizontal="center" vertical="center"/>
    </xf>
    <xf numFmtId="0" fontId="53" fillId="10" borderId="1" xfId="277" applyFont="1" applyFill="1" applyBorder="1" applyAlignment="1" applyProtection="1">
      <alignment vertical="center"/>
    </xf>
    <xf numFmtId="0" fontId="130" fillId="0" borderId="0" xfId="162" applyFont="1" applyAlignment="1">
      <alignment horizontal="center" vertical="center"/>
      <protection locked="0"/>
    </xf>
    <xf numFmtId="0" fontId="131" fillId="0" borderId="0" xfId="162" applyFont="1" applyAlignment="1">
      <alignment horizontal="center" vertical="center"/>
      <protection locked="0"/>
    </xf>
    <xf numFmtId="0" fontId="2" fillId="10" borderId="1" xfId="162" applyFont="1" applyFill="1" applyBorder="1" applyAlignment="1">
      <alignment horizontal="center" vertical="center" wrapText="1"/>
      <protection locked="0"/>
    </xf>
    <xf numFmtId="0" fontId="130" fillId="0" borderId="0" xfId="1" applyFont="1" applyAlignment="1">
      <alignment horizontal="center" vertical="center"/>
    </xf>
    <xf numFmtId="0" fontId="131" fillId="0" borderId="0" xfId="1" applyFont="1" applyAlignment="1">
      <alignment horizontal="center" vertical="center"/>
    </xf>
    <xf numFmtId="0" fontId="4" fillId="10" borderId="1" xfId="162" applyFont="1" applyFill="1" applyBorder="1" applyAlignment="1">
      <alignment horizontal="center" vertical="center" wrapText="1"/>
      <protection locked="0"/>
    </xf>
    <xf numFmtId="203" fontId="2" fillId="10" borderId="1" xfId="278"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112" fillId="10" borderId="1" xfId="0" applyFont="1" applyFill="1" applyBorder="1" applyAlignment="1">
      <alignment horizontal="center" vertical="center" wrapText="1"/>
    </xf>
  </cellXfs>
  <cellStyles count="378">
    <cellStyle name="%" xfId="4"/>
    <cellStyle name="% 2" xfId="194"/>
    <cellStyle name="?" xfId="5"/>
    <cellStyle name="??" xfId="195"/>
    <cellStyle name="?? [0]" xfId="196"/>
    <cellStyle name="??_0N-HANDLING " xfId="197"/>
    <cellStyle name="?餡_x000c_k" xfId="6"/>
    <cellStyle name="?餡_x000c_k?_x000d_^" xfId="7"/>
    <cellStyle name="?餡_x000c_k?_x000d_^黇_x0001_??_x0007__x0001__x0001_" xfId="8"/>
    <cellStyle name="@_text" xfId="9"/>
    <cellStyle name="@_text_子公司附注汇总(房开公司)" xfId="198"/>
    <cellStyle name="_(本部)2006年年报审计PBC表" xfId="199"/>
    <cellStyle name="_07930建造合同" xfId="200"/>
    <cellStyle name="_12月项目部访问及审计-德勤" xfId="201"/>
    <cellStyle name="_2005-08-31审计底稿－李" xfId="202"/>
    <cellStyle name="_2005审计报表及附注-中国建材股份模板（房屋）" xfId="10"/>
    <cellStyle name="_2006年年报审计PBC表（合并）" xfId="203"/>
    <cellStyle name="_2006年年报审计PBC表-XX" xfId="204"/>
    <cellStyle name="_2006年年报审计PBC表-XXX" xfId="11"/>
    <cellStyle name="_2006年年报审计PBC表-福州分公司" xfId="205"/>
    <cellStyle name="_2006年年报审计PBC表-云南分公司" xfId="206"/>
    <cellStyle name="_2006年年报审计填报资料" xfId="12"/>
    <cellStyle name="_2007调整分录-鲁佳" xfId="207"/>
    <cellStyle name="_Book1" xfId="13"/>
    <cellStyle name="_CREC(Huo" xfId="208"/>
    <cellStyle name="_ET_STYLE_NoName_00_" xfId="209"/>
    <cellStyle name="_ET_STYLE_NoName_00__2007调整分录-鲁佳" xfId="210"/>
    <cellStyle name="_ET_STYLE_NoName_00__股份本部" xfId="211"/>
    <cellStyle name="_ET_STYLE_NoName_00__股份本部_1" xfId="212"/>
    <cellStyle name="_ET_STYLE_NoName_00__股份本部_3" xfId="213"/>
    <cellStyle name="_ET_STYLE_NoName_00__股份本部_6_股份本部_2" xfId="214"/>
    <cellStyle name="_ET_STYLE_NoName_00__股份本部_7_股份本部_3" xfId="215"/>
    <cellStyle name="_J1000-存货-ZHHG"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本部其他应收应付年审底稿--鲁佳pb" xfId="216"/>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合并报表审计调整模板(CREC)" xfId="217"/>
    <cellStyle name="_合并公司2006年度科目明细表(定稿)" xfId="218"/>
    <cellStyle name="_建造合同-宜万指（正式版）" xfId="32"/>
    <cellStyle name="_科目核对表" xfId="33"/>
    <cellStyle name="_刘青分工填列信息统计" xfId="219"/>
    <cellStyle name="_刘青分工－子公司审计模板-电务" xfId="220"/>
    <cellStyle name="_刘青分工－子公司审计模板－铁达本部" xfId="221"/>
    <cellStyle name="_母PL" xfId="34"/>
    <cellStyle name="_母公司底稿-鲁佳" xfId="222"/>
    <cellStyle name="_年审筹资循环资料清单" xfId="223"/>
    <cellStyle name="_人员分工备忘录" xfId="35"/>
    <cellStyle name="_审计底稿-轩" xfId="224"/>
    <cellStyle name="_审计所需资料清单－子公司" xfId="36"/>
    <cellStyle name="_审计提示模版" xfId="225"/>
    <cellStyle name="_审计提示模版-母公司部分" xfId="226"/>
    <cellStyle name="_铁鸿源－刘青分工－子公司审计模板" xfId="227"/>
    <cellStyle name="_兴华审计成本" xfId="228"/>
    <cellStyle name="_岩土长投--急0121报王占学" xfId="229"/>
    <cellStyle name="_一公司建造合同前5名" xfId="37"/>
    <cellStyle name="_一公司－刘丰收" xfId="38"/>
    <cellStyle name="_银行询证函统计－大表" xfId="230"/>
    <cellStyle name="_长期借款－江阴" xfId="39"/>
    <cellStyle name="_子公司筹资循环－刘青" xfId="231"/>
    <cellStyle name="_子公司审计提示模版-Liufs" xfId="40"/>
    <cellStyle name="{Comma [0]}" xfId="41"/>
    <cellStyle name="{Comma}" xfId="42"/>
    <cellStyle name="{Date}" xfId="43"/>
    <cellStyle name="{Month}" xfId="44"/>
    <cellStyle name="{Percent}" xfId="45"/>
    <cellStyle name="{Thousand [0]}" xfId="46"/>
    <cellStyle name="{Thousand}" xfId="47"/>
    <cellStyle name="{Z'0000(1 dec)}" xfId="48"/>
    <cellStyle name="{Z'0000(4 dec)}" xfId="49"/>
    <cellStyle name="0%" xfId="50"/>
    <cellStyle name="0,0_x000d__x000a_NA_x000d__x000a_" xfId="51"/>
    <cellStyle name="0,0_x000d__x000a_NA_x000d__x000a_ 2" xfId="329"/>
    <cellStyle name="0.0%" xfId="52"/>
    <cellStyle name="0.00%" xfId="53"/>
    <cellStyle name="00" xfId="232"/>
    <cellStyle name="20% - Accent1" xfId="280"/>
    <cellStyle name="20% - Accent2" xfId="281"/>
    <cellStyle name="20% - Accent3" xfId="282"/>
    <cellStyle name="20% - Accent4" xfId="283"/>
    <cellStyle name="20% - Accent5" xfId="284"/>
    <cellStyle name="20% - Accent6" xfId="285"/>
    <cellStyle name="40% - Accent1" xfId="286"/>
    <cellStyle name="40% - Accent2" xfId="287"/>
    <cellStyle name="40% - Accent3" xfId="288"/>
    <cellStyle name="40% - Accent4" xfId="289"/>
    <cellStyle name="40% - Accent5" xfId="290"/>
    <cellStyle name="40% - Accent6" xfId="291"/>
    <cellStyle name="60% - Accent1" xfId="292"/>
    <cellStyle name="60% - Accent2" xfId="293"/>
    <cellStyle name="60% - Accent3" xfId="294"/>
    <cellStyle name="60% - Accent4" xfId="295"/>
    <cellStyle name="60% - Accent5" xfId="296"/>
    <cellStyle name="60% - Accent6" xfId="297"/>
    <cellStyle name="Accent1" xfId="298"/>
    <cellStyle name="Accent2" xfId="299"/>
    <cellStyle name="Accent3" xfId="300"/>
    <cellStyle name="Accent4" xfId="301"/>
    <cellStyle name="Accent5" xfId="302"/>
    <cellStyle name="Accent6" xfId="303"/>
    <cellStyle name="args.style" xfId="233"/>
    <cellStyle name="Bad" xfId="304"/>
    <cellStyle name="Black" xfId="54"/>
    <cellStyle name="Border" xfId="55"/>
    <cellStyle name="Calc Currency (0)" xfId="56"/>
    <cellStyle name="Calc Currency (2)" xfId="57"/>
    <cellStyle name="Calc Percent (0)" xfId="58"/>
    <cellStyle name="Calc Percent (1)" xfId="59"/>
    <cellStyle name="Calc Percent (2)" xfId="60"/>
    <cellStyle name="Calc Units (0)" xfId="61"/>
    <cellStyle name="Calc Units (1)" xfId="62"/>
    <cellStyle name="Calc Units (2)" xfId="63"/>
    <cellStyle name="Calculation" xfId="305"/>
    <cellStyle name="category" xfId="64"/>
    <cellStyle name="Check Cell" xfId="306"/>
    <cellStyle name="Col Heads" xfId="65"/>
    <cellStyle name="Column_Title" xfId="66"/>
    <cellStyle name="Comma  - Style1" xfId="67"/>
    <cellStyle name="Comma  - Style2" xfId="68"/>
    <cellStyle name="Comma  - Style3" xfId="69"/>
    <cellStyle name="Comma  - Style4" xfId="70"/>
    <cellStyle name="Comma  - Style5" xfId="71"/>
    <cellStyle name="Comma  - Style6" xfId="72"/>
    <cellStyle name="Comma  - Style7" xfId="73"/>
    <cellStyle name="Comma  - Style8" xfId="74"/>
    <cellStyle name="Comma [0]_ rislugp" xfId="75"/>
    <cellStyle name="Comma [00]" xfId="76"/>
    <cellStyle name="Comma 28" xfId="77"/>
    <cellStyle name="comma zerodec" xfId="78"/>
    <cellStyle name="Comma,0" xfId="79"/>
    <cellStyle name="Comma,1" xfId="80"/>
    <cellStyle name="Comma,2" xfId="81"/>
    <cellStyle name="Comma_ rislugp" xfId="82"/>
    <cellStyle name="Copied" xfId="234"/>
    <cellStyle name="COST1" xfId="235"/>
    <cellStyle name="Currency [0]_ rislugp" xfId="83"/>
    <cellStyle name="Currency [00]" xfId="84"/>
    <cellStyle name="Currency,0" xfId="85"/>
    <cellStyle name="Currency,2" xfId="86"/>
    <cellStyle name="Currency_ rislugp" xfId="87"/>
    <cellStyle name="Currency1" xfId="88"/>
    <cellStyle name="Date" xfId="236"/>
    <cellStyle name="Date Short" xfId="89"/>
    <cellStyle name="Dezimal [0]_laroux" xfId="90"/>
    <cellStyle name="Dezimal_laroux" xfId="91"/>
    <cellStyle name="Dollar (zero dec)" xfId="92"/>
    <cellStyle name="E&amp;Y House" xfId="237"/>
    <cellStyle name="Enter Currency (0)" xfId="93"/>
    <cellStyle name="Enter Currency (2)" xfId="94"/>
    <cellStyle name="Enter Units (0)" xfId="95"/>
    <cellStyle name="Enter Units (1)" xfId="96"/>
    <cellStyle name="Enter Units (2)" xfId="97"/>
    <cellStyle name="Entered" xfId="238"/>
    <cellStyle name="entry" xfId="98"/>
    <cellStyle name="entry box" xfId="99"/>
    <cellStyle name="Euro" xfId="100"/>
    <cellStyle name="Explanatory Text" xfId="307"/>
    <cellStyle name="Followed Hyperlink_AheadBehind.xls Chart 23" xfId="101"/>
    <cellStyle name="Good" xfId="308"/>
    <cellStyle name="Grey" xfId="102"/>
    <cellStyle name="HEADER" xfId="103"/>
    <cellStyle name="Header1" xfId="104"/>
    <cellStyle name="Header2" xfId="105"/>
    <cellStyle name="Heading" xfId="106"/>
    <cellStyle name="Heading 1" xfId="309"/>
    <cellStyle name="Heading 2" xfId="310"/>
    <cellStyle name="Heading 3" xfId="311"/>
    <cellStyle name="Heading 4" xfId="312"/>
    <cellStyle name="Hyperlink_AheadBehind.xls Chart 23" xfId="107"/>
    <cellStyle name="Input" xfId="313"/>
    <cellStyle name="Input [yellow]" xfId="108"/>
    <cellStyle name="Input Cells" xfId="239"/>
    <cellStyle name="left" xfId="109"/>
    <cellStyle name="Link Currency (0)" xfId="110"/>
    <cellStyle name="Link Currency (2)" xfId="111"/>
    <cellStyle name="Link Units (0)" xfId="112"/>
    <cellStyle name="Link Units (1)" xfId="113"/>
    <cellStyle name="Link Units (2)" xfId="114"/>
    <cellStyle name="Linked Cell" xfId="314"/>
    <cellStyle name="Linked Cells" xfId="240"/>
    <cellStyle name="Millares [0]_laroux" xfId="115"/>
    <cellStyle name="Millares_laroux" xfId="116"/>
    <cellStyle name="Milliers [0]_!!!GO" xfId="241"/>
    <cellStyle name="Milliers_!!!GO" xfId="242"/>
    <cellStyle name="Model" xfId="117"/>
    <cellStyle name="Moneda [0]_laroux" xfId="118"/>
    <cellStyle name="Moneda_laroux" xfId="119"/>
    <cellStyle name="Monétaire [0]_!!!GO" xfId="243"/>
    <cellStyle name="Monétaire_!!!GO" xfId="244"/>
    <cellStyle name="Mon閠aire [0]_laroux" xfId="120"/>
    <cellStyle name="Mon閠aire_laroux" xfId="121"/>
    <cellStyle name="Neutral" xfId="315"/>
    <cellStyle name="New Times Roman" xfId="245"/>
    <cellStyle name="no dec" xfId="122"/>
    <cellStyle name="Non défini" xfId="123"/>
    <cellStyle name="Normal - Style1" xfId="124"/>
    <cellStyle name="Normal 2" xfId="316"/>
    <cellStyle name="Normal 2 2" xfId="317"/>
    <cellStyle name="Normal 21" xfId="125"/>
    <cellStyle name="Normal 3 2" xfId="318"/>
    <cellStyle name="Normal_ rislugp" xfId="126"/>
    <cellStyle name="Normalny_Arkusz1" xfId="127"/>
    <cellStyle name="Note" xfId="319"/>
    <cellStyle name="Œ…‹æØ‚è [0.00]_Region Orders (2)" xfId="246"/>
    <cellStyle name="Œ…‹æØ‚è_Region Orders (2)" xfId="247"/>
    <cellStyle name="Output" xfId="320"/>
    <cellStyle name="per.style" xfId="248"/>
    <cellStyle name="Percent (0)" xfId="128"/>
    <cellStyle name="Percent [0]" xfId="129"/>
    <cellStyle name="Percent [00]" xfId="130"/>
    <cellStyle name="Percent [2]" xfId="131"/>
    <cellStyle name="Prefilled" xfId="132"/>
    <cellStyle name="PrePop Currency (0)" xfId="133"/>
    <cellStyle name="PrePop Currency (2)" xfId="134"/>
    <cellStyle name="PrePop Units (0)" xfId="135"/>
    <cellStyle name="PrePop Units (1)" xfId="136"/>
    <cellStyle name="PrePop Units (2)" xfId="137"/>
    <cellStyle name="price" xfId="138"/>
    <cellStyle name="pricing" xfId="249"/>
    <cellStyle name="PSChar" xfId="250"/>
    <cellStyle name="Red" xfId="139"/>
    <cellStyle name="revised" xfId="140"/>
    <cellStyle name="RevList" xfId="251"/>
    <cellStyle name="row_def_array" xfId="252"/>
    <cellStyle name="S4" xfId="253"/>
    <cellStyle name="S5" xfId="254"/>
    <cellStyle name="section" xfId="141"/>
    <cellStyle name="SOR" xfId="142"/>
    <cellStyle name="style" xfId="143"/>
    <cellStyle name="style1" xfId="144"/>
    <cellStyle name="style2" xfId="145"/>
    <cellStyle name="subhead" xfId="146"/>
    <cellStyle name="Subtotal" xfId="255"/>
    <cellStyle name="Text Indent A" xfId="147"/>
    <cellStyle name="Text Indent B" xfId="148"/>
    <cellStyle name="Text Indent C" xfId="149"/>
    <cellStyle name="Tickmark" xfId="150"/>
    <cellStyle name="title" xfId="151"/>
    <cellStyle name="Total" xfId="321"/>
    <cellStyle name="Warning Text" xfId="322"/>
    <cellStyle name="wrap" xfId="152"/>
    <cellStyle name="パーセント_laroux" xfId="153"/>
    <cellStyle name="_PLDT" xfId="154"/>
    <cellStyle name="_laroux" xfId="256"/>
    <cellStyle name="だ[0]_PLDT" xfId="155"/>
    <cellStyle name="だ_PLDT" xfId="156"/>
    <cellStyle name="だ[0]_Total (2)" xfId="157"/>
    <cellStyle name="だ_laroux" xfId="257"/>
    <cellStyle name="百分比 2" xfId="158"/>
    <cellStyle name="百分比 2 2" xfId="374"/>
    <cellStyle name="百分比 3" xfId="159"/>
    <cellStyle name="捠壿 [0.00]_PRODUCT DETAIL Q1" xfId="258"/>
    <cellStyle name="捠壿_PRODUCT DETAIL Q1" xfId="259"/>
    <cellStyle name="標準_１１月価格表" xfId="160"/>
    <cellStyle name="差_StartUp" xfId="260"/>
    <cellStyle name="差_T1000-主营业务收入-LJCH" xfId="161"/>
    <cellStyle name="差_子公司附注汇总(房开公司)" xfId="261"/>
    <cellStyle name="常规" xfId="0" builtinId="0"/>
    <cellStyle name="常规 10" xfId="335"/>
    <cellStyle name="常规 10 2" xfId="336"/>
    <cellStyle name="常规 10 3" xfId="337"/>
    <cellStyle name="常规 10 4" xfId="338"/>
    <cellStyle name="常规 11 2" xfId="339"/>
    <cellStyle name="常规 11 3" xfId="340"/>
    <cellStyle name="常规 11 4" xfId="341"/>
    <cellStyle name="常规 11 5" xfId="377"/>
    <cellStyle name="常规 12 2" xfId="342"/>
    <cellStyle name="常规 12 3" xfId="343"/>
    <cellStyle name="常规 12 4" xfId="344"/>
    <cellStyle name="常规 13 2" xfId="345"/>
    <cellStyle name="常规 13 3" xfId="346"/>
    <cellStyle name="常规 13 4" xfId="347"/>
    <cellStyle name="常规 2" xfId="162"/>
    <cellStyle name="常规 2 2" xfId="191"/>
    <cellStyle name="常规 2 2 2" xfId="323"/>
    <cellStyle name="常规 2 2 3" xfId="330"/>
    <cellStyle name="常规 2 2 4" xfId="348"/>
    <cellStyle name="常规 2 3" xfId="262"/>
    <cellStyle name="常规 2 3 2" xfId="349"/>
    <cellStyle name="常规 2 3 4" xfId="375"/>
    <cellStyle name="常规 2 4" xfId="333"/>
    <cellStyle name="常规 2 5" xfId="350"/>
    <cellStyle name="常规 2 6" xfId="351"/>
    <cellStyle name="常规 2 7" xfId="352"/>
    <cellStyle name="常规 2 8" xfId="277"/>
    <cellStyle name="常规 2_经销商信息-1-原始表" xfId="353"/>
    <cellStyle name="常规 3" xfId="163"/>
    <cellStyle name="常规 3 2" xfId="324"/>
    <cellStyle name="常规 3 2 2" xfId="279"/>
    <cellStyle name="常规 3 3" xfId="325"/>
    <cellStyle name="常规 3 4" xfId="354"/>
    <cellStyle name="常规 4" xfId="164"/>
    <cellStyle name="常规 4 2" xfId="278"/>
    <cellStyle name="常规 4 3" xfId="355"/>
    <cellStyle name="常规 4 4" xfId="356"/>
    <cellStyle name="常规 5" xfId="165"/>
    <cellStyle name="常规 5 2" xfId="326"/>
    <cellStyle name="常规 5 3" xfId="357"/>
    <cellStyle name="常规 5 4" xfId="358"/>
    <cellStyle name="常规 6" xfId="166"/>
    <cellStyle name="常规 6 2" xfId="263"/>
    <cellStyle name="常规 6 3" xfId="359"/>
    <cellStyle name="常规 6 4" xfId="360"/>
    <cellStyle name="常规 6 5" xfId="361"/>
    <cellStyle name="常规 7" xfId="264"/>
    <cellStyle name="常规 7 2" xfId="362"/>
    <cellStyle name="常规 7 3" xfId="363"/>
    <cellStyle name="常规 7 4" xfId="364"/>
    <cellStyle name="常规 8" xfId="365"/>
    <cellStyle name="常规 8 2" xfId="366"/>
    <cellStyle name="常规 8 3" xfId="367"/>
    <cellStyle name="常规 8 4" xfId="368"/>
    <cellStyle name="常规 9" xfId="369"/>
    <cellStyle name="常规 9 2" xfId="370"/>
    <cellStyle name="常规 9 3" xfId="371"/>
    <cellStyle name="常规 9 4" xfId="372"/>
    <cellStyle name="常规_2-1项目审定表－模板" xfId="2"/>
    <cellStyle name="常规_Book1" xfId="1"/>
    <cellStyle name="常规_Book1 2" xfId="332"/>
    <cellStyle name="常规_c-资产类" xfId="189"/>
    <cellStyle name="常规_新审定表" xfId="3"/>
    <cellStyle name="常规_制造费用" xfId="334"/>
    <cellStyle name="常规_制造费用 2" xfId="376"/>
    <cellStyle name="超级链接_B4-1审计项目工时预算与控制表(集团)" xfId="167"/>
    <cellStyle name="超链接" xfId="190" builtinId="8"/>
    <cellStyle name="超链接 2" xfId="168"/>
    <cellStyle name="超链接 2 2" xfId="327"/>
    <cellStyle name="超链接 3" xfId="328"/>
    <cellStyle name="分级显示行_1_4附件二凯旋评估表" xfId="169"/>
    <cellStyle name="好_StartUp" xfId="265"/>
    <cellStyle name="好_T1000-主营业务收入" xfId="170"/>
    <cellStyle name="好_子公司附注汇总(房开公司)" xfId="266"/>
    <cellStyle name="桁区切り [0.00]_１１月価格表" xfId="171"/>
    <cellStyle name="桁区切り_１１月価格表" xfId="172"/>
    <cellStyle name="霓付 [0]_1202" xfId="267"/>
    <cellStyle name="霓付_1202" xfId="268"/>
    <cellStyle name="烹拳 [0]_1202" xfId="269"/>
    <cellStyle name="烹拳_1202" xfId="270"/>
    <cellStyle name="砯刽 [0]_PLDT" xfId="173"/>
    <cellStyle name="砯刽_PLDT" xfId="174"/>
    <cellStyle name="普通_ 白土" xfId="175"/>
    <cellStyle name="千分位[0]_ 白土" xfId="176"/>
    <cellStyle name="千分位_ 白土" xfId="177"/>
    <cellStyle name="千位[0]_ 应交税金审定表" xfId="178"/>
    <cellStyle name="千位_ 应交税金审定表" xfId="179"/>
    <cellStyle name="千位分隔 2" xfId="180"/>
    <cellStyle name="千位分隔 2 3" xfId="193"/>
    <cellStyle name="千位分隔 2 4" xfId="373"/>
    <cellStyle name="千位分隔 3" xfId="192"/>
    <cellStyle name="千位分隔[0] 2" xfId="271"/>
    <cellStyle name="钎霖_(沥焊何巩)岿喊牢盔拌裙" xfId="272"/>
    <cellStyle name="通貨 [0.00]_１１月価格表" xfId="181"/>
    <cellStyle name="通貨_１１月価格表" xfId="182"/>
    <cellStyle name="样式 1" xfId="183"/>
    <cellStyle name="样式 1 2" xfId="331"/>
    <cellStyle name="昗弨_BOOKSHIP" xfId="273"/>
    <cellStyle name="寘嬫愗傝 [0.00]_PRODUCT DETAIL Q1" xfId="274"/>
    <cellStyle name="寘嬫愗傝_PRODUCT DETAIL Q1" xfId="275"/>
    <cellStyle name="资产" xfId="276"/>
    <cellStyle name="콤마 [0]_BOILER-CO1" xfId="184"/>
    <cellStyle name="콤마_BOILER-CO1" xfId="185"/>
    <cellStyle name="통화 [0]_BOILER-CO1" xfId="186"/>
    <cellStyle name="통화_BOILER-CO1" xfId="187"/>
    <cellStyle name="표준_0N-HANDLING " xfId="188"/>
  </cellStyles>
  <dxfs count="0"/>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21"/>
  <sheetViews>
    <sheetView tabSelected="1" workbookViewId="0"/>
  </sheetViews>
  <sheetFormatPr defaultColWidth="9" defaultRowHeight="20.100000000000001" customHeight="1"/>
  <cols>
    <col min="1" max="1" width="85.21875" style="14" customWidth="1"/>
    <col min="2" max="2" width="2" style="14" customWidth="1"/>
    <col min="3" max="3" width="2.109375" style="14" customWidth="1"/>
    <col min="4" max="4" width="6.109375" style="8" customWidth="1"/>
    <col min="5" max="5" width="33.33203125" style="8" customWidth="1"/>
    <col min="6" max="6" width="20.44140625" style="8" bestFit="1" customWidth="1"/>
    <col min="7" max="16384" width="9" style="10"/>
  </cols>
  <sheetData>
    <row r="1" spans="1:8" s="5" customFormat="1" ht="20.100000000000001" customHeight="1">
      <c r="A1" s="3" t="s">
        <v>0</v>
      </c>
      <c r="B1" s="4"/>
      <c r="C1" s="4"/>
    </row>
    <row r="2" spans="1:8" ht="20.100000000000001" customHeight="1">
      <c r="A2" s="6" t="s">
        <v>192</v>
      </c>
      <c r="B2" s="7"/>
      <c r="C2" s="7"/>
      <c r="G2" s="9"/>
      <c r="H2" s="9"/>
    </row>
    <row r="3" spans="1:8" ht="20.100000000000001" customHeight="1">
      <c r="A3" s="199" t="s">
        <v>262</v>
      </c>
      <c r="B3" s="7"/>
      <c r="C3" s="7"/>
      <c r="D3" s="178" t="s">
        <v>236</v>
      </c>
      <c r="E3" s="179" t="s">
        <v>237</v>
      </c>
      <c r="F3" s="178" t="s">
        <v>244</v>
      </c>
      <c r="G3" s="44"/>
      <c r="H3" s="11"/>
    </row>
    <row r="4" spans="1:8" ht="20.100000000000001" customHeight="1">
      <c r="A4" s="6" t="s">
        <v>1</v>
      </c>
      <c r="B4" s="12"/>
      <c r="C4" s="12"/>
      <c r="D4" s="180"/>
      <c r="E4" s="181" t="s">
        <v>238</v>
      </c>
      <c r="F4" s="182" t="s">
        <v>193</v>
      </c>
      <c r="G4" s="44"/>
      <c r="H4" s="13"/>
    </row>
    <row r="5" spans="1:8" ht="20.100000000000001" customHeight="1">
      <c r="A5" s="94" t="s">
        <v>168</v>
      </c>
      <c r="D5" s="180">
        <v>1</v>
      </c>
      <c r="E5" s="181" t="s">
        <v>243</v>
      </c>
      <c r="F5" s="182" t="s">
        <v>219</v>
      </c>
      <c r="G5" s="44"/>
      <c r="H5" s="17"/>
    </row>
    <row r="6" spans="1:8" ht="20.100000000000001" customHeight="1">
      <c r="A6" s="94" t="s">
        <v>169</v>
      </c>
      <c r="D6" s="182">
        <f>D5+1</f>
        <v>2</v>
      </c>
      <c r="E6" s="183" t="s">
        <v>239</v>
      </c>
      <c r="F6" s="182"/>
      <c r="G6" s="45" t="s">
        <v>15</v>
      </c>
    </row>
    <row r="7" spans="1:8" ht="20.100000000000001" customHeight="1">
      <c r="A7" s="94" t="s">
        <v>170</v>
      </c>
      <c r="D7" s="182">
        <f t="shared" ref="D7:D9" si="0">D6+1</f>
        <v>3</v>
      </c>
      <c r="E7" s="183" t="s">
        <v>240</v>
      </c>
      <c r="F7" s="182"/>
      <c r="G7" s="46" t="s">
        <v>15</v>
      </c>
    </row>
    <row r="8" spans="1:8" ht="20.100000000000001" customHeight="1">
      <c r="D8" s="182">
        <f t="shared" si="0"/>
        <v>4</v>
      </c>
      <c r="E8" s="183" t="s">
        <v>242</v>
      </c>
      <c r="F8" s="182" t="s">
        <v>194</v>
      </c>
      <c r="G8" s="46"/>
    </row>
    <row r="9" spans="1:8" ht="20.100000000000001" customHeight="1">
      <c r="A9" s="200" t="s">
        <v>263</v>
      </c>
      <c r="D9" s="182">
        <f t="shared" si="0"/>
        <v>5</v>
      </c>
      <c r="E9" s="183" t="s">
        <v>241</v>
      </c>
      <c r="F9" s="182" t="s">
        <v>220</v>
      </c>
      <c r="G9" s="46"/>
    </row>
    <row r="10" spans="1:8" ht="20.100000000000001" customHeight="1">
      <c r="A10" s="204" t="s">
        <v>264</v>
      </c>
      <c r="D10" s="176"/>
      <c r="E10" s="177"/>
      <c r="G10" s="46"/>
    </row>
    <row r="11" spans="1:8" ht="20.100000000000001" customHeight="1">
      <c r="A11" s="204"/>
      <c r="D11" s="15"/>
      <c r="E11" s="16"/>
      <c r="G11" s="46"/>
    </row>
    <row r="12" spans="1:8" ht="20.100000000000001" customHeight="1">
      <c r="A12" s="204"/>
      <c r="D12" s="15"/>
      <c r="E12" s="16"/>
      <c r="G12" s="46"/>
    </row>
    <row r="13" spans="1:8" ht="20.100000000000001" customHeight="1">
      <c r="A13" s="204"/>
      <c r="D13" s="15"/>
      <c r="E13" s="16"/>
      <c r="G13" s="46"/>
    </row>
    <row r="14" spans="1:8" ht="20.100000000000001" customHeight="1">
      <c r="A14" s="204" t="s">
        <v>265</v>
      </c>
      <c r="D14" s="15"/>
      <c r="E14" s="16"/>
      <c r="G14" s="46"/>
    </row>
    <row r="15" spans="1:8" ht="20.100000000000001" customHeight="1">
      <c r="A15" s="204"/>
      <c r="D15" s="15"/>
      <c r="E15" s="16"/>
      <c r="G15" s="46"/>
    </row>
    <row r="16" spans="1:8" ht="20.100000000000001" customHeight="1">
      <c r="A16" s="204"/>
      <c r="D16" s="15"/>
      <c r="E16" s="16"/>
    </row>
    <row r="17" spans="1:5" ht="20.100000000000001" customHeight="1">
      <c r="A17" s="205" t="s">
        <v>266</v>
      </c>
      <c r="D17" s="15"/>
      <c r="E17" s="16"/>
    </row>
    <row r="18" spans="1:5" ht="15.6">
      <c r="A18" s="205"/>
      <c r="D18" s="15"/>
      <c r="E18" s="16"/>
    </row>
    <row r="19" spans="1:5" ht="15.6">
      <c r="A19" s="205"/>
      <c r="D19" s="15"/>
      <c r="E19" s="16"/>
    </row>
    <row r="20" spans="1:5" ht="20.100000000000001" customHeight="1">
      <c r="A20" s="19"/>
      <c r="D20" s="15"/>
      <c r="E20" s="18"/>
    </row>
    <row r="21" spans="1:5" ht="20.100000000000001" customHeight="1">
      <c r="E21" s="18"/>
    </row>
  </sheetData>
  <mergeCells count="3">
    <mergeCell ref="A10:A13"/>
    <mergeCell ref="A14:A16"/>
    <mergeCell ref="A17:A19"/>
  </mergeCells>
  <phoneticPr fontId="3" type="noConversion"/>
  <hyperlinks>
    <hyperlink ref="E5" location="'审定表G14-1'!A1" display="审定表"/>
    <hyperlink ref="E6" location="'附注披露信息（上市公司）'!A1" display="附注披露信息（上市公司）"/>
    <hyperlink ref="E7" location="'附注披露信息（国企）'!A1" display="附注披露信息（国企）"/>
    <hyperlink ref="E8" location="'明细表G14-2'!A1" display="明细表"/>
    <hyperlink ref="E4" location="信用减值损失审计程序表G14A!A1" display="信用减值损失实质性程序表"/>
    <hyperlink ref="E9" location="'调整分录汇总G14-3'!A1" display="调整分录汇总"/>
  </hyperlinks>
  <printOptions horizontalCentered="1"/>
  <pageMargins left="0.51181102362204722" right="0.31496062992125984" top="0.55118110236220474" bottom="0.35433070866141736" header="0.51181102362204722" footer="0.19685039370078741"/>
  <pageSetup paperSize="9" scale="93" fitToHeight="50" orientation="landscape" blackAndWhite="1" r:id="rId1"/>
  <headerFooter alignWithMargins="0">
    <oddFooter>&amp;C&amp;P/&amp;N&amp;R&amp;10&amp;P/&amp;N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J22"/>
  <sheetViews>
    <sheetView view="pageBreakPreview" zoomScaleNormal="100" zoomScaleSheetLayoutView="100" workbookViewId="0">
      <selection sqref="A1:I1"/>
    </sheetView>
  </sheetViews>
  <sheetFormatPr defaultColWidth="9" defaultRowHeight="13.2"/>
  <cols>
    <col min="1" max="1" width="5" style="91" customWidth="1"/>
    <col min="2" max="2" width="70.6640625" style="66" customWidth="1"/>
    <col min="3" max="3" width="11.88671875" style="66" customWidth="1"/>
    <col min="4" max="4" width="6.21875" style="66" customWidth="1"/>
    <col min="5" max="5" width="7" style="66" customWidth="1"/>
    <col min="6" max="6" width="6.5546875" style="66" customWidth="1"/>
    <col min="7" max="7" width="5.88671875" style="66" customWidth="1"/>
    <col min="8" max="8" width="6.21875" style="66" customWidth="1"/>
    <col min="9" max="9" width="7.77734375" style="66" customWidth="1"/>
    <col min="10" max="16384" width="9" style="66"/>
  </cols>
  <sheetData>
    <row r="1" spans="1:10" s="142" customFormat="1" ht="19.95" customHeight="1">
      <c r="A1" s="210" t="s">
        <v>223</v>
      </c>
      <c r="B1" s="210"/>
      <c r="C1" s="210"/>
      <c r="D1" s="210"/>
      <c r="E1" s="210"/>
      <c r="F1" s="210"/>
      <c r="G1" s="210"/>
      <c r="H1" s="210"/>
      <c r="I1" s="210"/>
    </row>
    <row r="2" spans="1:10" s="147" customFormat="1" ht="19.95" customHeight="1">
      <c r="A2" s="211" t="s">
        <v>158</v>
      </c>
      <c r="B2" s="211"/>
      <c r="C2" s="211"/>
      <c r="D2" s="211"/>
      <c r="E2" s="211"/>
      <c r="F2" s="211"/>
      <c r="G2" s="211"/>
      <c r="H2" s="211"/>
      <c r="I2" s="211"/>
    </row>
    <row r="3" spans="1:10" s="155" customFormat="1" ht="19.95" customHeight="1">
      <c r="A3" s="212" t="str">
        <f>底稿目录!A2</f>
        <v>被审计单位：</v>
      </c>
      <c r="B3" s="212"/>
      <c r="C3" s="154" t="str">
        <f>底稿目录!A4</f>
        <v>编制人：</v>
      </c>
      <c r="E3" s="155" t="str">
        <f>底稿目录!A5</f>
        <v>编制日期：</v>
      </c>
      <c r="H3" s="154" t="s">
        <v>195</v>
      </c>
      <c r="I3" s="202" t="str">
        <f>底稿目录!F4</f>
        <v>G14A</v>
      </c>
    </row>
    <row r="4" spans="1:10" s="155" customFormat="1" ht="19.95" customHeight="1">
      <c r="A4" s="212" t="str">
        <f>底稿目录!A3</f>
        <v>会计期间：202X年度</v>
      </c>
      <c r="B4" s="212"/>
      <c r="C4" s="154" t="str">
        <f>底稿目录!A6</f>
        <v>复核人：</v>
      </c>
      <c r="E4" s="155" t="str">
        <f>底稿目录!A7</f>
        <v>复核日期：</v>
      </c>
      <c r="H4" s="156" t="s">
        <v>229</v>
      </c>
    </row>
    <row r="5" spans="1:10" ht="19.95" customHeight="1">
      <c r="A5" s="213" t="s">
        <v>68</v>
      </c>
      <c r="B5" s="213"/>
    </row>
    <row r="6" spans="1:10" ht="19.95" customHeight="1">
      <c r="A6" s="206" t="s">
        <v>151</v>
      </c>
      <c r="B6" s="207"/>
      <c r="C6" s="207"/>
      <c r="D6" s="207"/>
      <c r="E6" s="207"/>
      <c r="F6" s="207"/>
      <c r="G6" s="207"/>
      <c r="H6" s="207"/>
      <c r="I6" s="207"/>
    </row>
    <row r="7" spans="1:10" s="127" customFormat="1" ht="19.95" customHeight="1">
      <c r="A7" s="165" t="s">
        <v>197</v>
      </c>
      <c r="B7" s="166"/>
      <c r="C7" s="167"/>
      <c r="D7" s="168"/>
      <c r="E7" s="168"/>
      <c r="F7" s="168"/>
      <c r="G7" s="168"/>
      <c r="H7" s="168"/>
      <c r="I7" s="168"/>
    </row>
    <row r="8" spans="1:10" s="127" customFormat="1" ht="19.95" customHeight="1">
      <c r="A8" s="219" t="s">
        <v>208</v>
      </c>
      <c r="B8" s="219"/>
      <c r="C8" s="219"/>
      <c r="D8" s="219"/>
      <c r="E8" s="219"/>
      <c r="F8" s="219"/>
      <c r="G8" s="217" t="s">
        <v>71</v>
      </c>
      <c r="H8" s="217"/>
      <c r="I8" s="217"/>
    </row>
    <row r="9" spans="1:10" s="127" customFormat="1" ht="19.95" customHeight="1">
      <c r="A9" s="221" t="s">
        <v>248</v>
      </c>
      <c r="B9" s="221"/>
      <c r="C9" s="221"/>
      <c r="D9" s="221"/>
      <c r="E9" s="221"/>
      <c r="F9" s="221"/>
      <c r="G9" s="218" t="s">
        <v>209</v>
      </c>
      <c r="H9" s="218"/>
      <c r="I9" s="218"/>
    </row>
    <row r="10" spans="1:10" s="127" customFormat="1" ht="19.95" customHeight="1">
      <c r="A10" s="221" t="s">
        <v>249</v>
      </c>
      <c r="B10" s="221"/>
      <c r="C10" s="221"/>
      <c r="D10" s="221"/>
      <c r="E10" s="221"/>
      <c r="F10" s="221"/>
      <c r="G10" s="218" t="s">
        <v>198</v>
      </c>
      <c r="H10" s="218"/>
      <c r="I10" s="218"/>
    </row>
    <row r="11" spans="1:10" s="127" customFormat="1" ht="19.95" customHeight="1">
      <c r="A11" s="221" t="s">
        <v>250</v>
      </c>
      <c r="B11" s="221"/>
      <c r="C11" s="221"/>
      <c r="D11" s="221"/>
      <c r="E11" s="221"/>
      <c r="F11" s="221"/>
      <c r="G11" s="218" t="s">
        <v>210</v>
      </c>
      <c r="H11" s="218"/>
      <c r="I11" s="218"/>
    </row>
    <row r="12" spans="1:10" s="127" customFormat="1" ht="19.95" customHeight="1">
      <c r="A12" s="221" t="s">
        <v>251</v>
      </c>
      <c r="B12" s="221"/>
      <c r="C12" s="221"/>
      <c r="D12" s="221"/>
      <c r="E12" s="221"/>
      <c r="F12" s="221"/>
      <c r="G12" s="218" t="s">
        <v>211</v>
      </c>
      <c r="H12" s="218"/>
      <c r="I12" s="218"/>
    </row>
    <row r="13" spans="1:10" s="127" customFormat="1" ht="19.95" customHeight="1">
      <c r="A13" s="221" t="s">
        <v>252</v>
      </c>
      <c r="B13" s="221"/>
      <c r="C13" s="221"/>
      <c r="D13" s="221"/>
      <c r="E13" s="221"/>
      <c r="F13" s="221"/>
      <c r="G13" s="218" t="s">
        <v>212</v>
      </c>
      <c r="H13" s="218"/>
      <c r="I13" s="218"/>
    </row>
    <row r="14" spans="1:10" s="127" customFormat="1" ht="19.95" customHeight="1">
      <c r="A14" s="220" t="s">
        <v>81</v>
      </c>
      <c r="B14" s="220"/>
      <c r="C14" s="170"/>
      <c r="D14" s="169"/>
      <c r="E14" s="169"/>
      <c r="F14" s="169"/>
      <c r="G14" s="169"/>
      <c r="H14" s="169"/>
      <c r="I14" s="169"/>
    </row>
    <row r="15" spans="1:10" s="127" customFormat="1" ht="19.95" customHeight="1">
      <c r="A15" s="208" t="s">
        <v>82</v>
      </c>
      <c r="B15" s="209" t="s">
        <v>268</v>
      </c>
      <c r="C15" s="214" t="s">
        <v>213</v>
      </c>
      <c r="D15" s="215" t="s">
        <v>214</v>
      </c>
      <c r="E15" s="216"/>
      <c r="F15" s="216"/>
      <c r="G15" s="216"/>
      <c r="H15" s="216"/>
      <c r="I15" s="219" t="s">
        <v>215</v>
      </c>
    </row>
    <row r="16" spans="1:10" s="127" customFormat="1" ht="19.95" customHeight="1">
      <c r="A16" s="208"/>
      <c r="B16" s="209"/>
      <c r="C16" s="214"/>
      <c r="D16" s="152" t="s">
        <v>209</v>
      </c>
      <c r="E16" s="152" t="s">
        <v>216</v>
      </c>
      <c r="F16" s="171" t="s">
        <v>210</v>
      </c>
      <c r="G16" s="171" t="s">
        <v>217</v>
      </c>
      <c r="H16" s="171" t="s">
        <v>218</v>
      </c>
      <c r="I16" s="219"/>
      <c r="J16" s="201" t="s">
        <v>267</v>
      </c>
    </row>
    <row r="17" spans="1:9" s="132" customFormat="1" ht="117.6" customHeight="1">
      <c r="A17" s="128" t="s">
        <v>199</v>
      </c>
      <c r="B17" s="129" t="s">
        <v>245</v>
      </c>
      <c r="C17" s="133" t="s">
        <v>200</v>
      </c>
      <c r="D17" s="187" t="s">
        <v>257</v>
      </c>
      <c r="E17" s="187" t="s">
        <v>258</v>
      </c>
      <c r="F17" s="185" t="s">
        <v>256</v>
      </c>
      <c r="G17" s="189"/>
      <c r="H17" s="189"/>
      <c r="I17" s="172" t="s">
        <v>270</v>
      </c>
    </row>
    <row r="18" spans="1:9" s="132" customFormat="1" ht="50.4" customHeight="1">
      <c r="A18" s="128" t="s">
        <v>202</v>
      </c>
      <c r="B18" s="129" t="s">
        <v>203</v>
      </c>
      <c r="C18" s="133" t="s">
        <v>204</v>
      </c>
      <c r="D18" s="189"/>
      <c r="E18" s="185" t="s">
        <v>201</v>
      </c>
      <c r="F18" s="187" t="s">
        <v>259</v>
      </c>
      <c r="G18" s="189"/>
      <c r="H18" s="189"/>
      <c r="I18" s="203" t="s">
        <v>271</v>
      </c>
    </row>
    <row r="19" spans="1:9" s="132" customFormat="1" ht="43.8" customHeight="1" collapsed="1">
      <c r="A19" s="128" t="s">
        <v>100</v>
      </c>
      <c r="B19" s="82" t="s">
        <v>253</v>
      </c>
      <c r="C19" s="133" t="s">
        <v>247</v>
      </c>
      <c r="D19" s="190"/>
      <c r="E19" s="191"/>
      <c r="F19" s="191"/>
      <c r="G19" s="191" t="s">
        <v>260</v>
      </c>
      <c r="H19" s="197"/>
      <c r="I19" s="172"/>
    </row>
    <row r="20" spans="1:9" s="132" customFormat="1" ht="33" customHeight="1">
      <c r="A20" s="128" t="s">
        <v>103</v>
      </c>
      <c r="B20" s="82" t="s">
        <v>255</v>
      </c>
      <c r="C20" s="133" t="s">
        <v>200</v>
      </c>
      <c r="D20" s="185" t="s">
        <v>256</v>
      </c>
      <c r="E20" s="186" t="s">
        <v>256</v>
      </c>
      <c r="F20" s="185" t="s">
        <v>256</v>
      </c>
      <c r="G20" s="187" t="s">
        <v>256</v>
      </c>
      <c r="H20" s="188"/>
      <c r="I20" s="198" t="s">
        <v>246</v>
      </c>
    </row>
    <row r="21" spans="1:9" s="132" customFormat="1" ht="39" customHeight="1">
      <c r="A21" s="128" t="s">
        <v>105</v>
      </c>
      <c r="B21" s="82" t="s">
        <v>206</v>
      </c>
      <c r="C21" s="184" t="s">
        <v>254</v>
      </c>
      <c r="D21" s="131"/>
      <c r="E21" s="130"/>
      <c r="F21" s="131"/>
      <c r="G21" s="130"/>
      <c r="H21" s="198"/>
      <c r="I21" s="198"/>
    </row>
    <row r="22" spans="1:9" ht="28.2" customHeight="1">
      <c r="A22" s="128" t="s">
        <v>107</v>
      </c>
      <c r="B22" s="82" t="s">
        <v>205</v>
      </c>
      <c r="C22" s="133" t="s">
        <v>149</v>
      </c>
      <c r="D22" s="80"/>
      <c r="E22" s="80"/>
      <c r="F22" s="80"/>
      <c r="G22" s="130"/>
      <c r="H22" s="130" t="s">
        <v>201</v>
      </c>
      <c r="I22" s="192" t="s">
        <v>261</v>
      </c>
    </row>
  </sheetData>
  <mergeCells count="24">
    <mergeCell ref="A8:F8"/>
    <mergeCell ref="I15:I16"/>
    <mergeCell ref="A14:B14"/>
    <mergeCell ref="A9:F9"/>
    <mergeCell ref="A10:F10"/>
    <mergeCell ref="A11:F11"/>
    <mergeCell ref="A12:F12"/>
    <mergeCell ref="A13:F13"/>
    <mergeCell ref="A6:I6"/>
    <mergeCell ref="A15:A16"/>
    <mergeCell ref="B15:B16"/>
    <mergeCell ref="A1:I1"/>
    <mergeCell ref="A2:I2"/>
    <mergeCell ref="A3:B3"/>
    <mergeCell ref="A4:B4"/>
    <mergeCell ref="A5:B5"/>
    <mergeCell ref="C15:C16"/>
    <mergeCell ref="D15:H15"/>
    <mergeCell ref="G8:I8"/>
    <mergeCell ref="G9:I9"/>
    <mergeCell ref="G10:I10"/>
    <mergeCell ref="G11:I11"/>
    <mergeCell ref="G12:I12"/>
    <mergeCell ref="G13:I13"/>
  </mergeCells>
  <phoneticPr fontId="3" type="noConversion"/>
  <hyperlinks>
    <hyperlink ref="I3" location="底稿目录!F4" display="底稿目录!F4"/>
  </hyperlinks>
  <printOptions horizontalCentered="1"/>
  <pageMargins left="0.51181102362204722" right="0.31496062992125984" top="0.55118110236220474" bottom="0.35433070866141736" header="0.51181102362204722" footer="0.19685039370078741"/>
  <pageSetup paperSize="9" scale="75" fitToWidth="0" fitToHeight="0" orientation="portrait" blackAndWhite="1" r:id="rId1"/>
  <headerFooter alignWithMargins="0">
    <oddFooter>&amp;C&amp;P/&amp;N&amp;R&amp;10&amp;P/&amp;N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46"/>
  <sheetViews>
    <sheetView view="pageBreakPreview" topLeftCell="A25" zoomScaleNormal="100" zoomScaleSheetLayoutView="100" workbookViewId="0">
      <selection activeCell="E13" sqref="E13"/>
    </sheetView>
  </sheetViews>
  <sheetFormatPr defaultColWidth="9" defaultRowHeight="30.75" customHeight="1" outlineLevelRow="1"/>
  <cols>
    <col min="1" max="1" width="8.33203125" style="91" customWidth="1"/>
    <col min="2" max="2" width="80.77734375" style="66" customWidth="1"/>
    <col min="3" max="3" width="9" style="66" customWidth="1"/>
    <col min="4" max="4" width="7.6640625" style="66" customWidth="1"/>
    <col min="5" max="7" width="9.109375" style="66" customWidth="1"/>
    <col min="8" max="8" width="10.77734375" style="66" customWidth="1"/>
    <col min="9" max="9" width="11.21875" style="66" customWidth="1"/>
    <col min="10" max="16384" width="9" style="66"/>
  </cols>
  <sheetData>
    <row r="1" spans="1:9" s="142" customFormat="1" ht="30.75" customHeight="1">
      <c r="A1" s="210" t="s">
        <v>223</v>
      </c>
      <c r="B1" s="210"/>
      <c r="C1" s="210"/>
      <c r="D1" s="210"/>
      <c r="E1" s="210"/>
      <c r="F1" s="210"/>
      <c r="G1" s="210"/>
      <c r="H1" s="210"/>
      <c r="I1" s="210"/>
    </row>
    <row r="2" spans="1:9" s="147" customFormat="1" ht="30.75" customHeight="1">
      <c r="A2" s="211" t="s">
        <v>158</v>
      </c>
      <c r="B2" s="211"/>
      <c r="C2" s="211"/>
      <c r="D2" s="211"/>
      <c r="E2" s="211"/>
      <c r="F2" s="211"/>
      <c r="G2" s="211"/>
      <c r="H2" s="211"/>
      <c r="I2" s="211"/>
    </row>
    <row r="3" spans="1:9" s="155" customFormat="1" ht="30.75" customHeight="1">
      <c r="A3" s="212" t="str">
        <f>底稿目录!A2</f>
        <v>被审计单位：</v>
      </c>
      <c r="B3" s="212"/>
      <c r="C3" s="154" t="str">
        <f>底稿目录!A4</f>
        <v>编制人：</v>
      </c>
      <c r="F3" s="155" t="str">
        <f>底稿目录!A5</f>
        <v>编制日期：</v>
      </c>
      <c r="H3" s="154" t="s">
        <v>195</v>
      </c>
      <c r="I3" s="155" t="str">
        <f>底稿目录!F4</f>
        <v>G14A</v>
      </c>
    </row>
    <row r="4" spans="1:9" s="155" customFormat="1" ht="30.75" customHeight="1">
      <c r="A4" s="212" t="str">
        <f>底稿目录!A3</f>
        <v>会计期间：202X年度</v>
      </c>
      <c r="B4" s="212"/>
      <c r="C4" s="154" t="str">
        <f>底稿目录!A6</f>
        <v>复核人：</v>
      </c>
      <c r="F4" s="155" t="str">
        <f>底稿目录!A7</f>
        <v>复核日期：</v>
      </c>
      <c r="H4" s="156" t="s">
        <v>228</v>
      </c>
    </row>
    <row r="5" spans="1:9" ht="30.75" customHeight="1">
      <c r="A5" s="213" t="s">
        <v>68</v>
      </c>
      <c r="B5" s="213"/>
    </row>
    <row r="6" spans="1:9" ht="30.75" customHeight="1">
      <c r="A6" s="257" t="s">
        <v>151</v>
      </c>
      <c r="B6" s="258"/>
      <c r="C6" s="258"/>
      <c r="D6" s="258"/>
      <c r="E6" s="258"/>
      <c r="F6" s="258"/>
      <c r="G6" s="258"/>
      <c r="H6" s="258"/>
      <c r="I6" s="252"/>
    </row>
    <row r="7" spans="1:9" s="65" customFormat="1" ht="13.2">
      <c r="A7" s="67" t="s">
        <v>69</v>
      </c>
      <c r="B7" s="123"/>
      <c r="C7" s="68"/>
    </row>
    <row r="8" spans="1:9" s="65" customFormat="1" ht="13.2">
      <c r="A8" s="240" t="s">
        <v>70</v>
      </c>
      <c r="B8" s="241"/>
      <c r="C8" s="244" t="s">
        <v>71</v>
      </c>
      <c r="D8" s="245"/>
      <c r="E8" s="245"/>
      <c r="F8" s="245"/>
      <c r="G8" s="246"/>
      <c r="H8" s="247" t="s">
        <v>72</v>
      </c>
      <c r="I8" s="249" t="s">
        <v>73</v>
      </c>
    </row>
    <row r="9" spans="1:9" s="65" customFormat="1" ht="13.05" customHeight="1">
      <c r="A9" s="242"/>
      <c r="B9" s="243"/>
      <c r="C9" s="69" t="s">
        <v>74</v>
      </c>
      <c r="D9" s="70" t="s">
        <v>75</v>
      </c>
      <c r="E9" s="69" t="s">
        <v>76</v>
      </c>
      <c r="F9" s="69" t="s">
        <v>77</v>
      </c>
      <c r="G9" s="70" t="s">
        <v>78</v>
      </c>
      <c r="H9" s="248"/>
      <c r="I9" s="250"/>
    </row>
    <row r="10" spans="1:9" s="65" customFormat="1" ht="13.05" customHeight="1">
      <c r="A10" s="251" t="s">
        <v>152</v>
      </c>
      <c r="B10" s="252"/>
      <c r="C10" s="125" t="s">
        <v>79</v>
      </c>
      <c r="D10" s="125"/>
      <c r="E10" s="125"/>
      <c r="F10" s="125"/>
      <c r="G10" s="125"/>
      <c r="H10" s="125"/>
      <c r="I10" s="71"/>
    </row>
    <row r="11" spans="1:9" s="65" customFormat="1" ht="25.95" customHeight="1">
      <c r="A11" s="251" t="s">
        <v>153</v>
      </c>
      <c r="B11" s="252"/>
      <c r="C11" s="126"/>
      <c r="D11" s="125" t="s">
        <v>80</v>
      </c>
      <c r="E11" s="125"/>
      <c r="F11" s="125"/>
      <c r="G11" s="125"/>
      <c r="H11" s="125"/>
      <c r="I11" s="71"/>
    </row>
    <row r="12" spans="1:9" s="65" customFormat="1" ht="39" customHeight="1">
      <c r="A12" s="251" t="s">
        <v>154</v>
      </c>
      <c r="B12" s="252"/>
      <c r="C12" s="126"/>
      <c r="D12" s="125"/>
      <c r="E12" s="125" t="s">
        <v>80</v>
      </c>
      <c r="F12" s="125"/>
      <c r="G12" s="125"/>
      <c r="H12" s="125"/>
      <c r="I12" s="71"/>
    </row>
    <row r="13" spans="1:9" s="65" customFormat="1" ht="13.05" customHeight="1">
      <c r="A13" s="251" t="s">
        <v>155</v>
      </c>
      <c r="B13" s="252"/>
      <c r="C13" s="126"/>
      <c r="D13" s="125"/>
      <c r="E13" s="125"/>
      <c r="F13" s="125" t="s">
        <v>80</v>
      </c>
      <c r="G13" s="125"/>
      <c r="H13" s="125"/>
      <c r="I13" s="71"/>
    </row>
    <row r="14" spans="1:9" s="65" customFormat="1" ht="13.05" customHeight="1">
      <c r="A14" s="251" t="s">
        <v>156</v>
      </c>
      <c r="B14" s="252"/>
      <c r="C14" s="126"/>
      <c r="D14" s="125"/>
      <c r="E14" s="125"/>
      <c r="F14" s="125"/>
      <c r="G14" s="125" t="s">
        <v>80</v>
      </c>
      <c r="H14" s="125"/>
      <c r="I14" s="125"/>
    </row>
    <row r="15" spans="1:9" s="65" customFormat="1" ht="13.2">
      <c r="A15" s="253" t="s">
        <v>81</v>
      </c>
      <c r="B15" s="253"/>
      <c r="C15" s="68"/>
    </row>
    <row r="16" spans="1:9" s="65" customFormat="1" ht="13.2">
      <c r="A16" s="72" t="s">
        <v>82</v>
      </c>
      <c r="B16" s="124" t="s">
        <v>83</v>
      </c>
      <c r="C16" s="124" t="s">
        <v>84</v>
      </c>
      <c r="D16" s="254" t="s">
        <v>85</v>
      </c>
      <c r="E16" s="255"/>
      <c r="F16" s="255"/>
      <c r="G16" s="256"/>
      <c r="H16" s="238" t="s">
        <v>86</v>
      </c>
      <c r="I16" s="239"/>
    </row>
    <row r="17" spans="1:9" s="65" customFormat="1" ht="30.75" customHeight="1">
      <c r="A17" s="73" t="s">
        <v>87</v>
      </c>
      <c r="B17" s="74" t="s">
        <v>88</v>
      </c>
      <c r="C17" s="75" t="s">
        <v>89</v>
      </c>
      <c r="D17" s="235" t="s">
        <v>90</v>
      </c>
      <c r="E17" s="235"/>
      <c r="F17" s="235"/>
      <c r="G17" s="235"/>
      <c r="H17" s="235" t="s">
        <v>162</v>
      </c>
      <c r="I17" s="235"/>
    </row>
    <row r="18" spans="1:9" ht="30.75" customHeight="1">
      <c r="A18" s="76" t="s">
        <v>91</v>
      </c>
      <c r="B18" s="77" t="s">
        <v>92</v>
      </c>
      <c r="C18" s="75" t="s">
        <v>89</v>
      </c>
      <c r="D18" s="235" t="s">
        <v>90</v>
      </c>
      <c r="E18" s="235"/>
      <c r="F18" s="235"/>
      <c r="G18" s="235"/>
      <c r="H18" s="235"/>
      <c r="I18" s="235"/>
    </row>
    <row r="19" spans="1:9" ht="30.75" customHeight="1" outlineLevel="1">
      <c r="A19" s="78" t="s">
        <v>93</v>
      </c>
      <c r="B19" s="79" t="s">
        <v>94</v>
      </c>
      <c r="C19" s="80" t="s">
        <v>95</v>
      </c>
      <c r="D19" s="222" t="s">
        <v>96</v>
      </c>
      <c r="E19" s="223"/>
      <c r="F19" s="223"/>
      <c r="G19" s="224"/>
      <c r="H19" s="236"/>
      <c r="I19" s="237"/>
    </row>
    <row r="20" spans="1:9" ht="30.75" customHeight="1" outlineLevel="1">
      <c r="A20" s="78" t="s">
        <v>97</v>
      </c>
      <c r="B20" s="79" t="s">
        <v>98</v>
      </c>
      <c r="C20" s="80" t="s">
        <v>99</v>
      </c>
      <c r="D20" s="222" t="s">
        <v>96</v>
      </c>
      <c r="E20" s="223"/>
      <c r="F20" s="223"/>
      <c r="G20" s="224"/>
      <c r="H20" s="236"/>
      <c r="I20" s="237"/>
    </row>
    <row r="21" spans="1:9" ht="30.75" customHeight="1" outlineLevel="1">
      <c r="A21" s="78" t="s">
        <v>100</v>
      </c>
      <c r="B21" s="81" t="s">
        <v>101</v>
      </c>
      <c r="C21" s="80" t="s">
        <v>102</v>
      </c>
      <c r="D21" s="222" t="s">
        <v>96</v>
      </c>
      <c r="E21" s="223"/>
      <c r="F21" s="223"/>
      <c r="G21" s="224"/>
      <c r="H21" s="225"/>
      <c r="I21" s="226"/>
    </row>
    <row r="22" spans="1:9" ht="30.75" customHeight="1" outlineLevel="1">
      <c r="A22" s="78" t="s">
        <v>103</v>
      </c>
      <c r="B22" s="82" t="s">
        <v>104</v>
      </c>
      <c r="C22" s="80" t="s">
        <v>102</v>
      </c>
      <c r="D22" s="222" t="s">
        <v>96</v>
      </c>
      <c r="E22" s="223"/>
      <c r="F22" s="223"/>
      <c r="G22" s="224"/>
      <c r="H22" s="225"/>
      <c r="I22" s="226"/>
    </row>
    <row r="23" spans="1:9" ht="30.75" customHeight="1" outlineLevel="1">
      <c r="A23" s="78" t="s">
        <v>105</v>
      </c>
      <c r="B23" s="79" t="s">
        <v>106</v>
      </c>
      <c r="C23" s="80" t="s">
        <v>102</v>
      </c>
      <c r="D23" s="222" t="s">
        <v>96</v>
      </c>
      <c r="E23" s="223"/>
      <c r="F23" s="223"/>
      <c r="G23" s="224"/>
      <c r="H23" s="225"/>
      <c r="I23" s="226"/>
    </row>
    <row r="24" spans="1:9" ht="30.75" customHeight="1" outlineLevel="1">
      <c r="A24" s="78" t="s">
        <v>107</v>
      </c>
      <c r="B24" s="82" t="s">
        <v>157</v>
      </c>
      <c r="C24" s="80" t="s">
        <v>99</v>
      </c>
      <c r="D24" s="222" t="s">
        <v>96</v>
      </c>
      <c r="E24" s="223"/>
      <c r="F24" s="223"/>
      <c r="G24" s="224"/>
      <c r="H24" s="225"/>
      <c r="I24" s="226"/>
    </row>
    <row r="25" spans="1:9" ht="30.75" customHeight="1" outlineLevel="1">
      <c r="A25" s="78" t="s">
        <v>108</v>
      </c>
      <c r="B25" s="79" t="s">
        <v>109</v>
      </c>
      <c r="C25" s="80" t="s">
        <v>102</v>
      </c>
      <c r="D25" s="222" t="s">
        <v>96</v>
      </c>
      <c r="E25" s="223"/>
      <c r="F25" s="223"/>
      <c r="G25" s="224"/>
      <c r="H25" s="225"/>
      <c r="I25" s="226"/>
    </row>
    <row r="26" spans="1:9" ht="30.75" customHeight="1" outlineLevel="1">
      <c r="A26" s="78" t="s">
        <v>110</v>
      </c>
      <c r="B26" s="79" t="s">
        <v>111</v>
      </c>
      <c r="C26" s="80" t="s">
        <v>102</v>
      </c>
      <c r="D26" s="222" t="s">
        <v>96</v>
      </c>
      <c r="E26" s="223"/>
      <c r="F26" s="223"/>
      <c r="G26" s="224"/>
      <c r="H26" s="225"/>
      <c r="I26" s="226"/>
    </row>
    <row r="27" spans="1:9" ht="30.75" customHeight="1" outlineLevel="1">
      <c r="A27" s="78" t="s">
        <v>112</v>
      </c>
      <c r="B27" s="82" t="s">
        <v>113</v>
      </c>
      <c r="C27" s="80" t="s">
        <v>102</v>
      </c>
      <c r="D27" s="222" t="s">
        <v>96</v>
      </c>
      <c r="E27" s="223"/>
      <c r="F27" s="223"/>
      <c r="G27" s="224"/>
      <c r="H27" s="225"/>
      <c r="I27" s="226"/>
    </row>
    <row r="28" spans="1:9" s="86" customFormat="1" ht="30.75" customHeight="1">
      <c r="A28" s="83" t="s">
        <v>114</v>
      </c>
      <c r="B28" s="84" t="s">
        <v>115</v>
      </c>
      <c r="C28" s="85" t="s">
        <v>116</v>
      </c>
      <c r="D28" s="235" t="s">
        <v>117</v>
      </c>
      <c r="E28" s="235"/>
      <c r="F28" s="235"/>
      <c r="G28" s="235"/>
      <c r="H28" s="235" t="s">
        <v>118</v>
      </c>
      <c r="I28" s="235"/>
    </row>
    <row r="29" spans="1:9" ht="30.75" customHeight="1" outlineLevel="1">
      <c r="A29" s="87" t="s">
        <v>119</v>
      </c>
      <c r="B29" s="126" t="s">
        <v>120</v>
      </c>
      <c r="C29" s="125"/>
      <c r="D29" s="232"/>
      <c r="E29" s="232"/>
      <c r="F29" s="232"/>
      <c r="G29" s="232"/>
      <c r="H29" s="233"/>
      <c r="I29" s="234"/>
    </row>
    <row r="30" spans="1:9" ht="30.75" customHeight="1" outlineLevel="1">
      <c r="A30" s="87" t="s">
        <v>121</v>
      </c>
      <c r="B30" s="126" t="s">
        <v>122</v>
      </c>
      <c r="C30" s="125"/>
      <c r="D30" s="232"/>
      <c r="E30" s="232"/>
      <c r="F30" s="232"/>
      <c r="G30" s="232"/>
      <c r="H30" s="233"/>
      <c r="I30" s="234"/>
    </row>
    <row r="31" spans="1:9" ht="30.75" customHeight="1">
      <c r="A31" s="83" t="s">
        <v>123</v>
      </c>
      <c r="B31" s="88" t="s">
        <v>124</v>
      </c>
      <c r="C31" s="89" t="s">
        <v>125</v>
      </c>
      <c r="D31" s="227" t="s">
        <v>126</v>
      </c>
      <c r="E31" s="228"/>
      <c r="F31" s="228"/>
      <c r="G31" s="229"/>
      <c r="H31" s="230" t="s">
        <v>164</v>
      </c>
      <c r="I31" s="231"/>
    </row>
    <row r="32" spans="1:9" ht="30.75" customHeight="1">
      <c r="A32" s="78" t="s">
        <v>127</v>
      </c>
      <c r="B32" s="79" t="s">
        <v>128</v>
      </c>
      <c r="C32" s="80" t="s">
        <v>125</v>
      </c>
      <c r="D32" s="222" t="s">
        <v>126</v>
      </c>
      <c r="E32" s="223"/>
      <c r="F32" s="223"/>
      <c r="G32" s="224"/>
      <c r="H32" s="225"/>
      <c r="I32" s="226"/>
    </row>
    <row r="33" spans="1:9" ht="30.75" customHeight="1">
      <c r="A33" s="78" t="s">
        <v>97</v>
      </c>
      <c r="B33" s="79" t="s">
        <v>129</v>
      </c>
      <c r="C33" s="80" t="s">
        <v>125</v>
      </c>
      <c r="D33" s="222" t="s">
        <v>126</v>
      </c>
      <c r="E33" s="223"/>
      <c r="F33" s="223"/>
      <c r="G33" s="224"/>
      <c r="H33" s="225"/>
      <c r="I33" s="226"/>
    </row>
    <row r="34" spans="1:9" ht="30.75" customHeight="1">
      <c r="A34" s="78" t="s">
        <v>130</v>
      </c>
      <c r="B34" s="82" t="s">
        <v>131</v>
      </c>
      <c r="C34" s="80" t="s">
        <v>125</v>
      </c>
      <c r="D34" s="222" t="s">
        <v>126</v>
      </c>
      <c r="E34" s="223"/>
      <c r="F34" s="223"/>
      <c r="G34" s="224"/>
      <c r="H34" s="225"/>
      <c r="I34" s="226"/>
    </row>
    <row r="35" spans="1:9" ht="30.75" customHeight="1">
      <c r="A35" s="83" t="s">
        <v>159</v>
      </c>
      <c r="B35" s="88" t="s">
        <v>132</v>
      </c>
      <c r="C35" s="89" t="s">
        <v>102</v>
      </c>
      <c r="D35" s="227" t="s">
        <v>133</v>
      </c>
      <c r="E35" s="228"/>
      <c r="F35" s="228"/>
      <c r="G35" s="229"/>
      <c r="H35" s="230" t="s">
        <v>164</v>
      </c>
      <c r="I35" s="231"/>
    </row>
    <row r="36" spans="1:9" ht="30.75" customHeight="1">
      <c r="A36" s="78" t="s">
        <v>127</v>
      </c>
      <c r="B36" s="79" t="s">
        <v>134</v>
      </c>
      <c r="C36" s="80" t="s">
        <v>102</v>
      </c>
      <c r="D36" s="222" t="s">
        <v>133</v>
      </c>
      <c r="E36" s="223"/>
      <c r="F36" s="223"/>
      <c r="G36" s="224"/>
      <c r="H36" s="225"/>
      <c r="I36" s="226"/>
    </row>
    <row r="37" spans="1:9" ht="30.75" customHeight="1">
      <c r="A37" s="83" t="s">
        <v>138</v>
      </c>
      <c r="B37" s="90" t="s">
        <v>135</v>
      </c>
      <c r="C37" s="89" t="s">
        <v>136</v>
      </c>
      <c r="D37" s="227" t="s">
        <v>137</v>
      </c>
      <c r="E37" s="228"/>
      <c r="F37" s="228"/>
      <c r="G37" s="229"/>
      <c r="H37" s="230" t="s">
        <v>164</v>
      </c>
      <c r="I37" s="231"/>
    </row>
    <row r="38" spans="1:9" ht="30.75" customHeight="1">
      <c r="A38" s="83" t="s">
        <v>160</v>
      </c>
      <c r="B38" s="90" t="s">
        <v>139</v>
      </c>
      <c r="C38" s="89" t="s">
        <v>125</v>
      </c>
      <c r="D38" s="227" t="s">
        <v>133</v>
      </c>
      <c r="E38" s="228"/>
      <c r="F38" s="228"/>
      <c r="G38" s="229"/>
      <c r="H38" s="230" t="s">
        <v>164</v>
      </c>
      <c r="I38" s="231"/>
    </row>
    <row r="39" spans="1:9" ht="48.75" customHeight="1">
      <c r="A39" s="78" t="s">
        <v>127</v>
      </c>
      <c r="B39" s="82" t="s">
        <v>140</v>
      </c>
      <c r="C39" s="80" t="s">
        <v>125</v>
      </c>
      <c r="D39" s="222" t="s">
        <v>133</v>
      </c>
      <c r="E39" s="223"/>
      <c r="F39" s="223"/>
      <c r="G39" s="224"/>
      <c r="H39" s="225"/>
      <c r="I39" s="226"/>
    </row>
    <row r="40" spans="1:9" ht="30.75" customHeight="1">
      <c r="A40" s="78" t="s">
        <v>97</v>
      </c>
      <c r="B40" s="82" t="s">
        <v>141</v>
      </c>
      <c r="C40" s="80" t="s">
        <v>125</v>
      </c>
      <c r="D40" s="222" t="s">
        <v>133</v>
      </c>
      <c r="E40" s="223"/>
      <c r="F40" s="223"/>
      <c r="G40" s="224"/>
      <c r="H40" s="225"/>
      <c r="I40" s="226"/>
    </row>
    <row r="41" spans="1:9" ht="30.75" customHeight="1">
      <c r="A41" s="78" t="s">
        <v>100</v>
      </c>
      <c r="B41" s="79" t="s">
        <v>142</v>
      </c>
      <c r="C41" s="80" t="s">
        <v>125</v>
      </c>
      <c r="D41" s="222" t="s">
        <v>133</v>
      </c>
      <c r="E41" s="223"/>
      <c r="F41" s="223"/>
      <c r="G41" s="224"/>
      <c r="H41" s="225"/>
      <c r="I41" s="226"/>
    </row>
    <row r="42" spans="1:9" ht="30.75" customHeight="1">
      <c r="A42" s="78" t="s">
        <v>103</v>
      </c>
      <c r="B42" s="82" t="s">
        <v>143</v>
      </c>
      <c r="C42" s="80" t="s">
        <v>125</v>
      </c>
      <c r="D42" s="222" t="s">
        <v>133</v>
      </c>
      <c r="E42" s="223"/>
      <c r="F42" s="223"/>
      <c r="G42" s="224"/>
      <c r="H42" s="225"/>
      <c r="I42" s="226"/>
    </row>
    <row r="43" spans="1:9" ht="30.75" customHeight="1">
      <c r="A43" s="78" t="s">
        <v>105</v>
      </c>
      <c r="B43" s="79" t="s">
        <v>144</v>
      </c>
      <c r="C43" s="80" t="s">
        <v>125</v>
      </c>
      <c r="D43" s="222" t="s">
        <v>133</v>
      </c>
      <c r="E43" s="223"/>
      <c r="F43" s="223"/>
      <c r="G43" s="224"/>
      <c r="H43" s="225"/>
      <c r="I43" s="226"/>
    </row>
    <row r="44" spans="1:9" ht="30.75" customHeight="1">
      <c r="A44" s="78" t="s">
        <v>107</v>
      </c>
      <c r="B44" s="79" t="s">
        <v>145</v>
      </c>
      <c r="C44" s="80" t="s">
        <v>125</v>
      </c>
      <c r="D44" s="222" t="s">
        <v>133</v>
      </c>
      <c r="E44" s="223"/>
      <c r="F44" s="223"/>
      <c r="G44" s="224"/>
      <c r="H44" s="225"/>
      <c r="I44" s="226"/>
    </row>
    <row r="45" spans="1:9" ht="30.75" customHeight="1">
      <c r="A45" s="78" t="s">
        <v>146</v>
      </c>
      <c r="B45" s="79" t="s">
        <v>147</v>
      </c>
      <c r="C45" s="80" t="s">
        <v>125</v>
      </c>
      <c r="D45" s="222" t="s">
        <v>133</v>
      </c>
      <c r="E45" s="223"/>
      <c r="F45" s="223"/>
      <c r="G45" s="224"/>
      <c r="H45" s="225"/>
      <c r="I45" s="226"/>
    </row>
    <row r="46" spans="1:9" ht="30.75" customHeight="1">
      <c r="A46" s="83" t="s">
        <v>161</v>
      </c>
      <c r="B46" s="88" t="s">
        <v>148</v>
      </c>
      <c r="C46" s="89" t="s">
        <v>149</v>
      </c>
      <c r="D46" s="227" t="s">
        <v>150</v>
      </c>
      <c r="E46" s="228"/>
      <c r="F46" s="228"/>
      <c r="G46" s="229"/>
      <c r="H46" s="230" t="s">
        <v>163</v>
      </c>
      <c r="I46" s="231"/>
    </row>
  </sheetData>
  <autoFilter ref="A16:I30">
    <filterColumn colId="3" showButton="0"/>
    <filterColumn colId="4" showButton="0"/>
    <filterColumn colId="5" showButton="0"/>
    <filterColumn colId="7" showButton="0"/>
  </autoFilter>
  <mergeCells count="78">
    <mergeCell ref="A6:I6"/>
    <mergeCell ref="A1:I1"/>
    <mergeCell ref="A2:I2"/>
    <mergeCell ref="A3:B3"/>
    <mergeCell ref="A4:B4"/>
    <mergeCell ref="A5:B5"/>
    <mergeCell ref="H16:I16"/>
    <mergeCell ref="A8:B9"/>
    <mergeCell ref="C8:G8"/>
    <mergeCell ref="H8:H9"/>
    <mergeCell ref="I8:I9"/>
    <mergeCell ref="A10:B10"/>
    <mergeCell ref="A11:B11"/>
    <mergeCell ref="A12:B12"/>
    <mergeCell ref="A13:B13"/>
    <mergeCell ref="A14:B14"/>
    <mergeCell ref="A15:B15"/>
    <mergeCell ref="D16:G16"/>
    <mergeCell ref="D17:G17"/>
    <mergeCell ref="H17:I17"/>
    <mergeCell ref="D18:G18"/>
    <mergeCell ref="H18:I18"/>
    <mergeCell ref="D19:G19"/>
    <mergeCell ref="H19:I19"/>
    <mergeCell ref="D20:G20"/>
    <mergeCell ref="H20:I20"/>
    <mergeCell ref="D21:G21"/>
    <mergeCell ref="H21:I21"/>
    <mergeCell ref="D22:G22"/>
    <mergeCell ref="H22:I22"/>
    <mergeCell ref="D23:G23"/>
    <mergeCell ref="H23:I23"/>
    <mergeCell ref="D24:G24"/>
    <mergeCell ref="H24:I24"/>
    <mergeCell ref="D25:G25"/>
    <mergeCell ref="H25:I25"/>
    <mergeCell ref="D26:G26"/>
    <mergeCell ref="H26:I26"/>
    <mergeCell ref="D27:G27"/>
    <mergeCell ref="H27:I27"/>
    <mergeCell ref="D28:G28"/>
    <mergeCell ref="H28:I28"/>
    <mergeCell ref="D29:G29"/>
    <mergeCell ref="H29:I29"/>
    <mergeCell ref="D30:G30"/>
    <mergeCell ref="H30:I30"/>
    <mergeCell ref="D31:G31"/>
    <mergeCell ref="H31:I31"/>
    <mergeCell ref="D32:G32"/>
    <mergeCell ref="H32:I32"/>
    <mergeCell ref="D33:G33"/>
    <mergeCell ref="H33:I33"/>
    <mergeCell ref="D34:G34"/>
    <mergeCell ref="H34:I34"/>
    <mergeCell ref="D35:G35"/>
    <mergeCell ref="H35:I35"/>
    <mergeCell ref="D36:G36"/>
    <mergeCell ref="H36:I36"/>
    <mergeCell ref="D37:G37"/>
    <mergeCell ref="H37:I37"/>
    <mergeCell ref="D38:G38"/>
    <mergeCell ref="H38:I38"/>
    <mergeCell ref="D39:G39"/>
    <mergeCell ref="H39:I39"/>
    <mergeCell ref="D40:G40"/>
    <mergeCell ref="H40:I40"/>
    <mergeCell ref="D41:G41"/>
    <mergeCell ref="H41:I41"/>
    <mergeCell ref="D42:G42"/>
    <mergeCell ref="H42:I42"/>
    <mergeCell ref="D43:G43"/>
    <mergeCell ref="H43:I43"/>
    <mergeCell ref="D44:G44"/>
    <mergeCell ref="H44:I44"/>
    <mergeCell ref="D45:G45"/>
    <mergeCell ref="H45:I45"/>
    <mergeCell ref="D46:G46"/>
    <mergeCell ref="H46:I46"/>
  </mergeCells>
  <phoneticPr fontId="3" type="noConversion"/>
  <printOptions horizontalCentered="1"/>
  <pageMargins left="0.51181102362204722" right="0.31496062992125984" top="0.55118110236220474" bottom="0.35433070866141736" header="0.51181102362204722" footer="0.19685039370078741"/>
  <pageSetup paperSize="9" scale="91" fitToHeight="50" orientation="landscape" blackAndWhite="1" r:id="rId1"/>
  <headerFooter alignWithMargins="0">
    <oddFooter>&amp;C&amp;P/&amp;N&amp;R&amp;10&amp;P/&amp;N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36"/>
  <sheetViews>
    <sheetView view="pageBreakPreview" zoomScaleSheetLayoutView="100" workbookViewId="0">
      <pane xSplit="1" ySplit="6" topLeftCell="B7" activePane="bottomRight" state="frozen"/>
      <selection activeCell="E13" sqref="E13"/>
      <selection pane="topRight" activeCell="E13" sqref="E13"/>
      <selection pane="bottomLeft" activeCell="E13" sqref="E13"/>
      <selection pane="bottomRight" sqref="A1:J1"/>
    </sheetView>
  </sheetViews>
  <sheetFormatPr defaultColWidth="9" defaultRowHeight="23.25" customHeight="1"/>
  <cols>
    <col min="1" max="1" width="25.77734375" style="1" customWidth="1"/>
    <col min="2" max="2" width="14.21875" style="1" customWidth="1"/>
    <col min="3" max="3" width="9.44140625" style="1" customWidth="1"/>
    <col min="4" max="4" width="14.33203125" style="1" bestFit="1" customWidth="1"/>
    <col min="5" max="5" width="13" style="1" customWidth="1"/>
    <col min="6" max="6" width="10.21875" style="1" customWidth="1"/>
    <col min="7" max="7" width="14.33203125" style="1" bestFit="1" customWidth="1"/>
    <col min="8" max="8" width="12" style="1" customWidth="1"/>
    <col min="9" max="9" width="10.6640625" style="1" customWidth="1"/>
    <col min="10" max="11" width="13.44140625" style="1" customWidth="1"/>
    <col min="12" max="16384" width="9" style="1"/>
  </cols>
  <sheetData>
    <row r="1" spans="1:10" s="139" customFormat="1" ht="19.95" customHeight="1">
      <c r="A1" s="259" t="s">
        <v>221</v>
      </c>
      <c r="B1" s="259"/>
      <c r="C1" s="259"/>
      <c r="D1" s="259"/>
      <c r="E1" s="259"/>
      <c r="F1" s="259"/>
      <c r="G1" s="259"/>
      <c r="H1" s="259"/>
      <c r="I1" s="259"/>
      <c r="J1" s="259"/>
    </row>
    <row r="2" spans="1:10" s="146" customFormat="1" ht="19.95" customHeight="1">
      <c r="A2" s="260" t="s">
        <v>26</v>
      </c>
      <c r="B2" s="260"/>
      <c r="C2" s="260"/>
      <c r="D2" s="260"/>
      <c r="E2" s="260"/>
      <c r="F2" s="260"/>
      <c r="G2" s="260"/>
      <c r="H2" s="260"/>
      <c r="I2" s="260"/>
      <c r="J2" s="260"/>
    </row>
    <row r="3" spans="1:10" s="157" customFormat="1" ht="19.95" customHeight="1">
      <c r="A3" s="157" t="str">
        <f>底稿目录!A2</f>
        <v>被审计单位：</v>
      </c>
      <c r="D3" s="158" t="str">
        <f>底稿目录!A4</f>
        <v>编制人：</v>
      </c>
      <c r="G3" s="158" t="str">
        <f>底稿目录!A5</f>
        <v>编制日期：</v>
      </c>
      <c r="I3" s="158" t="s">
        <v>230</v>
      </c>
      <c r="J3" s="202" t="str">
        <f>底稿目录!F5</f>
        <v>G14-1</v>
      </c>
    </row>
    <row r="4" spans="1:10" s="157" customFormat="1" ht="19.95" customHeight="1">
      <c r="A4" s="157" t="str">
        <f>底稿目录!A3</f>
        <v>会计期间：202X年度</v>
      </c>
      <c r="B4" s="161"/>
      <c r="D4" s="158" t="str">
        <f>底稿目录!A6</f>
        <v>复核人：</v>
      </c>
      <c r="G4" s="158" t="str">
        <f>底稿目录!A7</f>
        <v>复核日期：</v>
      </c>
      <c r="I4" s="158" t="s">
        <v>231</v>
      </c>
    </row>
    <row r="5" spans="1:10" ht="19.95" customHeight="1">
      <c r="A5" s="261" t="s">
        <v>4</v>
      </c>
      <c r="B5" s="263" t="s">
        <v>18</v>
      </c>
      <c r="C5" s="264"/>
      <c r="D5" s="265"/>
      <c r="E5" s="263" t="s">
        <v>17</v>
      </c>
      <c r="F5" s="264"/>
      <c r="G5" s="265"/>
      <c r="H5" s="266" t="s">
        <v>5</v>
      </c>
      <c r="I5" s="267"/>
      <c r="J5" s="268" t="s">
        <v>6</v>
      </c>
    </row>
    <row r="6" spans="1:10" ht="19.95" customHeight="1">
      <c r="A6" s="262"/>
      <c r="B6" s="27" t="s">
        <v>7</v>
      </c>
      <c r="C6" s="92" t="s">
        <v>165</v>
      </c>
      <c r="D6" s="27" t="s">
        <v>8</v>
      </c>
      <c r="E6" s="27" t="s">
        <v>7</v>
      </c>
      <c r="F6" s="92" t="s">
        <v>165</v>
      </c>
      <c r="G6" s="27" t="s">
        <v>8</v>
      </c>
      <c r="H6" s="28" t="s">
        <v>9</v>
      </c>
      <c r="I6" s="29" t="s">
        <v>10</v>
      </c>
      <c r="J6" s="269"/>
    </row>
    <row r="7" spans="1:10" s="30" customFormat="1" ht="19.95" customHeight="1">
      <c r="A7" s="31" t="s">
        <v>28</v>
      </c>
      <c r="B7" s="113">
        <f>'明细表G14-2'!B11</f>
        <v>0</v>
      </c>
      <c r="C7" s="113">
        <f>'明细表G14-2'!C11</f>
        <v>0</v>
      </c>
      <c r="D7" s="112">
        <f t="shared" ref="D7:D15" si="0">B7+C7</f>
        <v>0</v>
      </c>
      <c r="E7" s="32"/>
      <c r="F7" s="32"/>
      <c r="G7" s="113">
        <f>E7+F7</f>
        <v>0</v>
      </c>
      <c r="H7" s="118">
        <f t="shared" ref="H7:H13" si="1">D7-G7</f>
        <v>0</v>
      </c>
      <c r="I7" s="117" t="str">
        <f>IF(AND(G7=0,D7=0),"",IF(AND(G7=0,D7&gt;0),1,H7/G7))</f>
        <v/>
      </c>
      <c r="J7" s="33"/>
    </row>
    <row r="8" spans="1:10" s="30" customFormat="1" ht="19.95" customHeight="1">
      <c r="A8" s="31" t="s">
        <v>29</v>
      </c>
      <c r="B8" s="113">
        <f>'明细表G14-2'!B12</f>
        <v>0</v>
      </c>
      <c r="C8" s="113">
        <f>'明细表G14-2'!C12</f>
        <v>0</v>
      </c>
      <c r="D8" s="113">
        <f t="shared" si="0"/>
        <v>0</v>
      </c>
      <c r="E8" s="32"/>
      <c r="F8" s="32"/>
      <c r="G8" s="113">
        <f t="shared" ref="G8:G15" si="2">E8+F8</f>
        <v>0</v>
      </c>
      <c r="H8" s="118">
        <f t="shared" si="1"/>
        <v>0</v>
      </c>
      <c r="I8" s="117" t="str">
        <f t="shared" ref="I8:I13" si="3">IF(AND(G8=0,D8=0),"",IF(AND(G8=0,D8&gt;0),1,H8/G8))</f>
        <v/>
      </c>
      <c r="J8" s="33"/>
    </row>
    <row r="9" spans="1:10" s="30" customFormat="1" ht="19.95" customHeight="1">
      <c r="A9" s="31" t="s">
        <v>30</v>
      </c>
      <c r="B9" s="113">
        <f>'明细表G14-2'!B13</f>
        <v>0</v>
      </c>
      <c r="C9" s="113">
        <f>'明细表G14-2'!C13</f>
        <v>0</v>
      </c>
      <c r="D9" s="113">
        <f t="shared" si="0"/>
        <v>0</v>
      </c>
      <c r="E9" s="32"/>
      <c r="F9" s="32"/>
      <c r="G9" s="113">
        <f t="shared" si="2"/>
        <v>0</v>
      </c>
      <c r="H9" s="118">
        <f t="shared" si="1"/>
        <v>0</v>
      </c>
      <c r="I9" s="117" t="str">
        <f t="shared" si="3"/>
        <v/>
      </c>
      <c r="J9" s="33"/>
    </row>
    <row r="10" spans="1:10" s="30" customFormat="1" ht="19.95" customHeight="1">
      <c r="A10" s="31" t="s">
        <v>31</v>
      </c>
      <c r="B10" s="113">
        <f>'明细表G14-2'!B14</f>
        <v>0</v>
      </c>
      <c r="C10" s="113">
        <f>'明细表G14-2'!C14</f>
        <v>0</v>
      </c>
      <c r="D10" s="113">
        <f t="shared" si="0"/>
        <v>0</v>
      </c>
      <c r="E10" s="32"/>
      <c r="F10" s="32"/>
      <c r="G10" s="113">
        <f t="shared" si="2"/>
        <v>0</v>
      </c>
      <c r="H10" s="118">
        <f t="shared" si="1"/>
        <v>0</v>
      </c>
      <c r="I10" s="117" t="str">
        <f>IF(AND(G10=0,D10=0),"",IF(AND(G10=0,D10&gt;0),1,H10/G10))</f>
        <v/>
      </c>
      <c r="J10" s="33"/>
    </row>
    <row r="11" spans="1:10" s="30" customFormat="1" ht="19.95" customHeight="1">
      <c r="A11" s="31" t="s">
        <v>32</v>
      </c>
      <c r="B11" s="113">
        <f>'明细表G14-2'!B15</f>
        <v>0</v>
      </c>
      <c r="C11" s="113">
        <f>'明细表G14-2'!C15</f>
        <v>0</v>
      </c>
      <c r="D11" s="113">
        <f t="shared" si="0"/>
        <v>0</v>
      </c>
      <c r="E11" s="32"/>
      <c r="F11" s="32"/>
      <c r="G11" s="113">
        <f t="shared" si="2"/>
        <v>0</v>
      </c>
      <c r="H11" s="118">
        <f t="shared" si="1"/>
        <v>0</v>
      </c>
      <c r="I11" s="117" t="str">
        <f t="shared" si="3"/>
        <v/>
      </c>
      <c r="J11" s="33"/>
    </row>
    <row r="12" spans="1:10" s="30" customFormat="1" ht="19.95" customHeight="1">
      <c r="A12" s="31" t="s">
        <v>33</v>
      </c>
      <c r="B12" s="113">
        <f>'明细表G14-2'!B16</f>
        <v>0</v>
      </c>
      <c r="C12" s="113">
        <f>'明细表G14-2'!C16</f>
        <v>0</v>
      </c>
      <c r="D12" s="113">
        <f t="shared" si="0"/>
        <v>0</v>
      </c>
      <c r="E12" s="32"/>
      <c r="F12" s="32"/>
      <c r="G12" s="113">
        <f t="shared" si="2"/>
        <v>0</v>
      </c>
      <c r="H12" s="118">
        <f t="shared" si="1"/>
        <v>0</v>
      </c>
      <c r="I12" s="117" t="str">
        <f t="shared" si="3"/>
        <v/>
      </c>
      <c r="J12" s="33"/>
    </row>
    <row r="13" spans="1:10" s="30" customFormat="1" ht="19.95" customHeight="1">
      <c r="A13" s="149" t="s">
        <v>34</v>
      </c>
      <c r="B13" s="113">
        <f>'明细表G14-2'!B17</f>
        <v>0</v>
      </c>
      <c r="C13" s="113">
        <f>'明细表G14-2'!C17</f>
        <v>0</v>
      </c>
      <c r="D13" s="113">
        <f t="shared" si="0"/>
        <v>0</v>
      </c>
      <c r="E13" s="32"/>
      <c r="F13" s="32"/>
      <c r="G13" s="113">
        <f t="shared" si="2"/>
        <v>0</v>
      </c>
      <c r="H13" s="118">
        <f t="shared" si="1"/>
        <v>0</v>
      </c>
      <c r="I13" s="117" t="str">
        <f t="shared" si="3"/>
        <v/>
      </c>
      <c r="J13" s="33"/>
    </row>
    <row r="14" spans="1:10" s="30" customFormat="1" ht="19.95" customHeight="1">
      <c r="A14" s="149" t="s">
        <v>190</v>
      </c>
      <c r="B14" s="113">
        <f>'明细表G14-2'!B18</f>
        <v>0</v>
      </c>
      <c r="C14" s="113">
        <f>'明细表G14-2'!C18</f>
        <v>0</v>
      </c>
      <c r="D14" s="113">
        <f t="shared" si="0"/>
        <v>0</v>
      </c>
      <c r="E14" s="32"/>
      <c r="F14" s="32"/>
      <c r="G14" s="113">
        <f t="shared" si="2"/>
        <v>0</v>
      </c>
      <c r="H14" s="118">
        <f>D14-G14</f>
        <v>0</v>
      </c>
      <c r="I14" s="117" t="str">
        <f>IF(AND(G14=0,D14=0),"",IF(AND(G14=0,D14&gt;0),1,H14/G14))</f>
        <v/>
      </c>
      <c r="J14" s="33"/>
    </row>
    <row r="15" spans="1:10" s="30" customFormat="1" ht="19.95" customHeight="1">
      <c r="A15" s="149" t="s">
        <v>35</v>
      </c>
      <c r="B15" s="113">
        <f>'明细表G14-2'!B19</f>
        <v>0</v>
      </c>
      <c r="C15" s="113">
        <f>'明细表G14-2'!C19</f>
        <v>0</v>
      </c>
      <c r="D15" s="113">
        <f t="shared" si="0"/>
        <v>0</v>
      </c>
      <c r="E15" s="32"/>
      <c r="F15" s="32"/>
      <c r="G15" s="113">
        <f t="shared" si="2"/>
        <v>0</v>
      </c>
      <c r="H15" s="118">
        <f>D15-G15</f>
        <v>0</v>
      </c>
      <c r="I15" s="117" t="str">
        <f>IF(AND(G15=0,D15=0),"",IF(AND(G15=0,D15&gt;0),1,H15/G15))</f>
        <v/>
      </c>
      <c r="J15" s="33"/>
    </row>
    <row r="16" spans="1:10" s="30" customFormat="1" ht="19.95" customHeight="1">
      <c r="A16" s="116" t="s">
        <v>2</v>
      </c>
      <c r="B16" s="115">
        <f t="shared" ref="B16:H16" si="4">SUM(B7:B15)</f>
        <v>0</v>
      </c>
      <c r="C16" s="115">
        <f t="shared" si="4"/>
        <v>0</v>
      </c>
      <c r="D16" s="115">
        <f t="shared" si="4"/>
        <v>0</v>
      </c>
      <c r="E16" s="115">
        <f t="shared" si="4"/>
        <v>0</v>
      </c>
      <c r="F16" s="115">
        <f t="shared" si="4"/>
        <v>0</v>
      </c>
      <c r="G16" s="115">
        <f t="shared" si="4"/>
        <v>0</v>
      </c>
      <c r="H16" s="115">
        <f t="shared" si="4"/>
        <v>0</v>
      </c>
      <c r="I16" s="148" t="str">
        <f>IF(AND(G16=0,D16=0),"",IF(AND(G16=0,D16&gt;0),1,H16/G16))</f>
        <v/>
      </c>
      <c r="J16" s="148"/>
    </row>
    <row r="17" spans="1:11" s="30" customFormat="1" ht="19.95" customHeight="1">
      <c r="A17" s="95" t="s">
        <v>171</v>
      </c>
      <c r="B17" s="38"/>
      <c r="C17" s="96"/>
      <c r="D17" s="96"/>
      <c r="E17" s="96"/>
      <c r="F17" s="96"/>
      <c r="G17" s="96"/>
      <c r="H17" s="96"/>
      <c r="I17" s="96"/>
      <c r="J17" s="37"/>
    </row>
    <row r="18" spans="1:11" s="30" customFormat="1" ht="19.95" customHeight="1">
      <c r="A18" s="95" t="s">
        <v>172</v>
      </c>
      <c r="B18" s="38"/>
      <c r="C18" s="38"/>
      <c r="D18" s="114">
        <f>D16-D17</f>
        <v>0</v>
      </c>
      <c r="E18" s="38"/>
      <c r="F18" s="38"/>
      <c r="G18" s="114">
        <f>G16-G17</f>
        <v>0</v>
      </c>
      <c r="H18" s="39"/>
      <c r="I18" s="39"/>
      <c r="J18" s="47"/>
    </row>
    <row r="19" spans="1:11" s="38" customFormat="1" ht="19.95" customHeight="1">
      <c r="A19" s="193" t="s">
        <v>11</v>
      </c>
      <c r="B19" s="26"/>
      <c r="C19" s="26"/>
      <c r="D19" s="26"/>
      <c r="E19" s="194"/>
      <c r="F19" s="194"/>
      <c r="G19" s="43"/>
      <c r="H19" s="47"/>
      <c r="I19" s="1"/>
      <c r="J19" s="1"/>
      <c r="K19" s="1"/>
    </row>
    <row r="20" spans="1:11" s="42" customFormat="1" ht="19.95" customHeight="1">
      <c r="A20" s="39" t="s">
        <v>27</v>
      </c>
      <c r="B20" s="39"/>
      <c r="C20" s="39"/>
      <c r="D20" s="119">
        <f>IF(AND(G16=0,D16=0),0,IF(AND(G16=0,D16&gt;0),1,(D16-G16)/G16))</f>
        <v>0</v>
      </c>
      <c r="E20" s="40"/>
      <c r="F20" s="40"/>
      <c r="G20" s="40"/>
      <c r="H20" s="40"/>
      <c r="I20" s="40"/>
      <c r="J20" s="1"/>
      <c r="K20" s="1"/>
    </row>
    <row r="21" spans="1:11" s="38" customFormat="1" ht="19.95" customHeight="1">
      <c r="A21" s="39" t="s">
        <v>12</v>
      </c>
      <c r="B21" s="39"/>
      <c r="C21" s="39"/>
      <c r="D21" s="39"/>
      <c r="E21" s="39"/>
      <c r="F21" s="39"/>
      <c r="G21" s="39"/>
      <c r="H21" s="39"/>
      <c r="I21" s="39"/>
      <c r="J21" s="1"/>
      <c r="K21" s="1"/>
    </row>
    <row r="22" spans="1:11" s="42" customFormat="1" ht="19.95" customHeight="1">
      <c r="A22" s="39"/>
      <c r="B22" s="39"/>
      <c r="C22" s="39"/>
      <c r="D22" s="39"/>
      <c r="E22" s="39"/>
      <c r="F22" s="39"/>
      <c r="G22" s="39"/>
      <c r="H22" s="39"/>
      <c r="I22" s="39"/>
      <c r="J22" s="1"/>
      <c r="K22" s="1"/>
    </row>
    <row r="23" spans="1:11" s="42" customFormat="1" ht="19.95" customHeight="1">
      <c r="A23" s="41" t="s">
        <v>14</v>
      </c>
      <c r="B23" s="39"/>
      <c r="C23" s="39"/>
      <c r="D23" s="39"/>
      <c r="E23" s="39"/>
      <c r="F23" s="39"/>
      <c r="G23" s="39"/>
      <c r="H23" s="39"/>
      <c r="I23" s="39"/>
      <c r="J23" s="1"/>
      <c r="K23" s="1"/>
    </row>
    <row r="24" spans="1:11" s="42" customFormat="1" ht="19.95" customHeight="1">
      <c r="B24" s="41"/>
      <c r="C24" s="41"/>
      <c r="D24" s="41"/>
      <c r="E24" s="41"/>
      <c r="F24" s="41"/>
      <c r="G24" s="41"/>
      <c r="H24" s="41"/>
      <c r="I24" s="41"/>
      <c r="J24" s="1"/>
      <c r="K24" s="1"/>
    </row>
    <row r="25" spans="1:11" s="42" customFormat="1" ht="19.95" customHeight="1">
      <c r="B25" s="41"/>
      <c r="C25" s="41"/>
      <c r="D25" s="41"/>
      <c r="E25" s="41"/>
      <c r="F25" s="41"/>
      <c r="G25" s="41"/>
      <c r="H25" s="41"/>
      <c r="I25" s="41"/>
      <c r="J25" s="1"/>
      <c r="K25" s="1"/>
    </row>
    <row r="26" spans="1:11" s="42" customFormat="1" ht="19.95" customHeight="1">
      <c r="A26" s="43" t="s">
        <v>13</v>
      </c>
      <c r="B26" s="41"/>
      <c r="C26" s="41"/>
      <c r="D26" s="41"/>
      <c r="E26" s="41"/>
      <c r="F26" s="41"/>
      <c r="G26" s="41"/>
      <c r="H26" s="41"/>
      <c r="I26" s="41"/>
      <c r="J26" s="1"/>
      <c r="K26" s="1"/>
    </row>
    <row r="27" spans="1:11" ht="19.95" customHeight="1">
      <c r="A27" s="43"/>
      <c r="B27" s="39"/>
      <c r="C27" s="39"/>
      <c r="D27" s="39"/>
      <c r="E27" s="39"/>
      <c r="F27" s="39"/>
      <c r="G27" s="39"/>
      <c r="H27" s="39"/>
      <c r="I27" s="39"/>
    </row>
    <row r="29" spans="1:11" ht="23.25" customHeight="1">
      <c r="A29" s="61" t="s">
        <v>52</v>
      </c>
    </row>
    <row r="30" spans="1:11" ht="23.25" customHeight="1">
      <c r="A30" s="1" t="s">
        <v>67</v>
      </c>
    </row>
    <row r="31" spans="1:11" ht="23.25" customHeight="1">
      <c r="A31" s="60" t="s">
        <v>58</v>
      </c>
    </row>
    <row r="32" spans="1:11" ht="23.25" customHeight="1">
      <c r="A32" s="1" t="s">
        <v>53</v>
      </c>
    </row>
    <row r="33" spans="1:1" ht="23.25" customHeight="1">
      <c r="A33" s="1" t="s">
        <v>56</v>
      </c>
    </row>
    <row r="34" spans="1:1" ht="23.25" customHeight="1">
      <c r="A34" s="1" t="s">
        <v>60</v>
      </c>
    </row>
    <row r="35" spans="1:1" ht="23.25" customHeight="1">
      <c r="A35" s="1" t="s">
        <v>59</v>
      </c>
    </row>
    <row r="36" spans="1:1" ht="23.25" customHeight="1">
      <c r="A36" s="60" t="s">
        <v>57</v>
      </c>
    </row>
  </sheetData>
  <mergeCells count="7">
    <mergeCell ref="A1:J1"/>
    <mergeCell ref="A2:J2"/>
    <mergeCell ref="A5:A6"/>
    <mergeCell ref="B5:D5"/>
    <mergeCell ref="E5:G5"/>
    <mergeCell ref="H5:I5"/>
    <mergeCell ref="J5:J6"/>
  </mergeCells>
  <phoneticPr fontId="3" type="noConversion"/>
  <hyperlinks>
    <hyperlink ref="J3" location="底稿目录!F5" display="底稿目录!F5"/>
  </hyperlinks>
  <printOptions horizontalCentered="1"/>
  <pageMargins left="0.51181102362204722" right="0.31496062992125984" top="0.55118110236220474" bottom="0.35433070866141736" header="0.51181102362204722" footer="0.19685039370078741"/>
  <pageSetup paperSize="9" fitToHeight="0" orientation="landscape" blackAndWhite="1" r:id="rId1"/>
  <headerFooter alignWithMargins="0">
    <oddFooter>&amp;C&amp;P/&amp;N&amp;R&amp;10&amp;P/&amp;N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E18"/>
  <sheetViews>
    <sheetView view="pageBreakPreview" zoomScaleSheetLayoutView="100" workbookViewId="0">
      <selection sqref="A1:D1"/>
    </sheetView>
  </sheetViews>
  <sheetFormatPr defaultColWidth="9" defaultRowHeight="13.8"/>
  <cols>
    <col min="1" max="1" width="27.21875" style="23" customWidth="1"/>
    <col min="2" max="2" width="15.88671875" style="23" customWidth="1"/>
    <col min="3" max="3" width="14.77734375" style="23" customWidth="1"/>
    <col min="4" max="4" width="12.88671875" style="23" customWidth="1"/>
    <col min="5" max="16384" width="9" style="23"/>
  </cols>
  <sheetData>
    <row r="1" spans="1:5" s="141" customFormat="1" ht="20.100000000000001" customHeight="1">
      <c r="A1" s="270" t="s">
        <v>221</v>
      </c>
      <c r="B1" s="270"/>
      <c r="C1" s="270"/>
      <c r="D1" s="270"/>
    </row>
    <row r="2" spans="1:5" s="145" customFormat="1" ht="25.05" customHeight="1">
      <c r="A2" s="271" t="s">
        <v>224</v>
      </c>
      <c r="B2" s="271"/>
      <c r="C2" s="271"/>
      <c r="D2" s="271"/>
    </row>
    <row r="3" spans="1:5" s="159" customFormat="1" ht="20.100000000000001" customHeight="1">
      <c r="A3" s="159" t="str">
        <f>底稿目录!A2</f>
        <v>被审计单位：</v>
      </c>
      <c r="B3" s="162" t="str">
        <f>底稿目录!A4</f>
        <v>编制人：</v>
      </c>
      <c r="C3" s="163" t="str">
        <f>底稿目录!A5</f>
        <v>编制日期：</v>
      </c>
      <c r="D3" s="162" t="s">
        <v>196</v>
      </c>
      <c r="E3" s="159">
        <f>底稿目录!F6</f>
        <v>0</v>
      </c>
    </row>
    <row r="4" spans="1:5" s="159" customFormat="1" ht="20.100000000000001" customHeight="1">
      <c r="A4" s="164" t="str">
        <f>底稿目录!A3</f>
        <v>会计期间：202X年度</v>
      </c>
      <c r="B4" s="162" t="str">
        <f>底稿目录!A6</f>
        <v>复核人：</v>
      </c>
      <c r="C4" s="163" t="str">
        <f>底稿目录!A7</f>
        <v>复核日期：</v>
      </c>
      <c r="D4" s="162" t="s">
        <v>227</v>
      </c>
    </row>
    <row r="5" spans="1:5" s="22" customFormat="1" ht="20.100000000000001" customHeight="1">
      <c r="A5" s="24" t="s">
        <v>3</v>
      </c>
    </row>
    <row r="6" spans="1:5" s="22" customFormat="1" ht="20.100000000000001" customHeight="1" thickBot="1">
      <c r="A6" s="58" t="s">
        <v>166</v>
      </c>
      <c r="B6" s="25"/>
      <c r="C6" s="25"/>
      <c r="D6" s="25"/>
    </row>
    <row r="7" spans="1:5" s="22" customFormat="1" ht="20.100000000000001" customHeight="1" thickBot="1">
      <c r="A7" s="109" t="s">
        <v>186</v>
      </c>
      <c r="B7" s="110" t="s">
        <v>184</v>
      </c>
      <c r="C7" s="110" t="s">
        <v>185</v>
      </c>
    </row>
    <row r="8" spans="1:5" s="22" customFormat="1" ht="20.100000000000001" customHeight="1">
      <c r="A8" s="20" t="s">
        <v>28</v>
      </c>
      <c r="B8" s="93">
        <f>-'审定表G14-1'!D7</f>
        <v>0</v>
      </c>
      <c r="C8" s="93">
        <f>-'审定表G14-1'!G7</f>
        <v>0</v>
      </c>
    </row>
    <row r="9" spans="1:5" s="22" customFormat="1" ht="20.100000000000001" customHeight="1">
      <c r="A9" s="20" t="s">
        <v>29</v>
      </c>
      <c r="B9" s="93">
        <f>-'审定表G14-1'!D8</f>
        <v>0</v>
      </c>
      <c r="C9" s="93">
        <f>-'审定表G14-1'!G8</f>
        <v>0</v>
      </c>
    </row>
    <row r="10" spans="1:5" s="22" customFormat="1" ht="20.100000000000001" customHeight="1">
      <c r="A10" s="20" t="s">
        <v>30</v>
      </c>
      <c r="B10" s="93">
        <f>-'审定表G14-1'!D9</f>
        <v>0</v>
      </c>
      <c r="C10" s="93">
        <f>-'审定表G14-1'!G9</f>
        <v>0</v>
      </c>
    </row>
    <row r="11" spans="1:5" s="22" customFormat="1" ht="20.100000000000001" customHeight="1">
      <c r="A11" s="20" t="s">
        <v>31</v>
      </c>
      <c r="B11" s="93">
        <f>-'审定表G14-1'!D10</f>
        <v>0</v>
      </c>
      <c r="C11" s="93">
        <f>-'审定表G14-1'!G10</f>
        <v>0</v>
      </c>
    </row>
    <row r="12" spans="1:5" s="22" customFormat="1" ht="20.100000000000001" customHeight="1">
      <c r="A12" s="20" t="s">
        <v>32</v>
      </c>
      <c r="B12" s="93">
        <f>-'审定表G14-1'!D11</f>
        <v>0</v>
      </c>
      <c r="C12" s="93">
        <f>-'审定表G14-1'!G11</f>
        <v>0</v>
      </c>
    </row>
    <row r="13" spans="1:5" s="22" customFormat="1" ht="20.100000000000001" customHeight="1">
      <c r="A13" s="20" t="s">
        <v>33</v>
      </c>
      <c r="B13" s="93">
        <f>-'审定表G14-1'!D12</f>
        <v>0</v>
      </c>
      <c r="C13" s="93">
        <f>-'审定表G14-1'!G12</f>
        <v>0</v>
      </c>
    </row>
    <row r="14" spans="1:5" s="22" customFormat="1" ht="20.100000000000001" customHeight="1">
      <c r="A14" s="20" t="s">
        <v>34</v>
      </c>
      <c r="B14" s="93">
        <f>-'审定表G14-1'!D13</f>
        <v>0</v>
      </c>
      <c r="C14" s="93">
        <f>-'审定表G14-1'!G13</f>
        <v>0</v>
      </c>
    </row>
    <row r="15" spans="1:5" s="22" customFormat="1" ht="20.100000000000001" customHeight="1">
      <c r="A15" s="107" t="s">
        <v>188</v>
      </c>
      <c r="B15" s="108">
        <f>-'审定表G14-1'!D14</f>
        <v>0</v>
      </c>
      <c r="C15" s="108">
        <f>-'审定表G14-1'!G14</f>
        <v>0</v>
      </c>
    </row>
    <row r="16" spans="1:5" s="22" customFormat="1" ht="20.100000000000001" customHeight="1" thickBot="1">
      <c r="A16" s="20" t="s">
        <v>35</v>
      </c>
      <c r="B16" s="93">
        <f>-'审定表G14-1'!D15</f>
        <v>0</v>
      </c>
      <c r="C16" s="93">
        <f>-'审定表G14-1'!G15</f>
        <v>0</v>
      </c>
    </row>
    <row r="17" spans="1:4" s="22" customFormat="1" ht="20.100000000000001" customHeight="1" thickBot="1">
      <c r="A17" s="109" t="s">
        <v>187</v>
      </c>
      <c r="B17" s="111">
        <f>SUM(B8:B16)</f>
        <v>0</v>
      </c>
      <c r="C17" s="111">
        <f>SUM(C8:C16)</f>
        <v>0</v>
      </c>
    </row>
    <row r="18" spans="1:4" s="22" customFormat="1" ht="20.100000000000001" customHeight="1">
      <c r="A18" s="21"/>
      <c r="B18" s="21"/>
      <c r="C18" s="21"/>
      <c r="D18" s="21"/>
    </row>
  </sheetData>
  <mergeCells count="2">
    <mergeCell ref="A1:D1"/>
    <mergeCell ref="A2:D2"/>
  </mergeCells>
  <phoneticPr fontId="3" type="noConversion"/>
  <printOptions horizontalCentered="1"/>
  <pageMargins left="0.51181102362204722" right="0.31496062992125984" top="0.55118110236220474" bottom="0.35433070866141736" header="0.51181102362204722" footer="0.19685039370078741"/>
  <pageSetup paperSize="9" fitToHeight="50" orientation="landscape" blackAndWhite="1" r:id="rId1"/>
  <headerFooter alignWithMargins="0">
    <oddFooter>&amp;C&amp;P/&amp;N&amp;R&amp;10&amp;P/&amp;N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G15"/>
  <sheetViews>
    <sheetView view="pageBreakPreview" zoomScaleSheetLayoutView="100" workbookViewId="0">
      <selection sqref="A1:D1"/>
    </sheetView>
  </sheetViews>
  <sheetFormatPr defaultColWidth="9" defaultRowHeight="13.8"/>
  <cols>
    <col min="1" max="1" width="29.33203125" style="23" customWidth="1"/>
    <col min="2" max="2" width="14.109375" style="23" customWidth="1"/>
    <col min="3" max="3" width="13.88671875" style="23" customWidth="1"/>
    <col min="4" max="4" width="16.44140625" style="23" customWidth="1"/>
    <col min="5" max="16384" width="9" style="23"/>
  </cols>
  <sheetData>
    <row r="1" spans="1:7" s="141" customFormat="1" ht="20.100000000000001" customHeight="1">
      <c r="A1" s="270" t="s">
        <v>221</v>
      </c>
      <c r="B1" s="270"/>
      <c r="C1" s="270"/>
      <c r="D1" s="270"/>
    </row>
    <row r="2" spans="1:7" s="145" customFormat="1" ht="25.05" customHeight="1">
      <c r="A2" s="271" t="s">
        <v>16</v>
      </c>
      <c r="B2" s="271"/>
      <c r="C2" s="271"/>
      <c r="D2" s="271"/>
    </row>
    <row r="3" spans="1:7" s="159" customFormat="1" ht="20.100000000000001" customHeight="1">
      <c r="A3" s="159" t="str">
        <f>底稿目录!A2</f>
        <v>被审计单位：</v>
      </c>
      <c r="B3" s="162" t="str">
        <f>底稿目录!A4</f>
        <v>编制人：</v>
      </c>
      <c r="C3" s="163" t="str">
        <f>底稿目录!A5</f>
        <v>编制日期：</v>
      </c>
      <c r="D3" s="162" t="s">
        <v>196</v>
      </c>
      <c r="E3" s="159">
        <f>底稿目录!F7</f>
        <v>0</v>
      </c>
    </row>
    <row r="4" spans="1:7" s="159" customFormat="1" ht="20.100000000000001" customHeight="1">
      <c r="A4" s="164" t="str">
        <f>底稿目录!A3</f>
        <v>会计期间：202X年度</v>
      </c>
      <c r="B4" s="162" t="str">
        <f>底稿目录!A6</f>
        <v>复核人：</v>
      </c>
      <c r="C4" s="163" t="str">
        <f>底稿目录!A7</f>
        <v>复核日期：</v>
      </c>
      <c r="D4" s="162" t="s">
        <v>227</v>
      </c>
    </row>
    <row r="5" spans="1:7" s="22" customFormat="1" ht="20.100000000000001" customHeight="1">
      <c r="A5" s="24" t="s">
        <v>3</v>
      </c>
    </row>
    <row r="6" spans="1:7" s="22" customFormat="1" ht="20.100000000000001" customHeight="1" thickBot="1">
      <c r="A6" s="58" t="s">
        <v>167</v>
      </c>
      <c r="B6" s="25"/>
      <c r="C6" s="25"/>
      <c r="D6" s="25"/>
    </row>
    <row r="7" spans="1:7" s="22" customFormat="1" ht="20.100000000000001" customHeight="1" thickBot="1">
      <c r="A7" s="134" t="s">
        <v>186</v>
      </c>
      <c r="B7" s="135" t="s">
        <v>184</v>
      </c>
      <c r="C7" s="135" t="s">
        <v>185</v>
      </c>
    </row>
    <row r="8" spans="1:7" s="22" customFormat="1" ht="20.100000000000001" customHeight="1">
      <c r="A8" s="136" t="s">
        <v>183</v>
      </c>
      <c r="B8" s="108">
        <f>-'审定表G14-1'!D7-'审定表G14-1'!D8-'审定表G14-1'!D9-'审定表G14-1'!D10-'审定表G14-1'!D13</f>
        <v>0</v>
      </c>
      <c r="C8" s="108">
        <f>-'审定表G14-1'!G7-'审定表G14-1'!G8-'审定表G14-1'!G9-'审定表G14-1'!G10-'审定表G14-1'!G13</f>
        <v>0</v>
      </c>
    </row>
    <row r="9" spans="1:7" s="22" customFormat="1" ht="20.100000000000001" customHeight="1">
      <c r="A9" s="136" t="s">
        <v>32</v>
      </c>
      <c r="B9" s="108">
        <f>-'审定表G14-1'!D11</f>
        <v>0</v>
      </c>
      <c r="C9" s="108">
        <f>-'审定表G14-1'!G11</f>
        <v>0</v>
      </c>
    </row>
    <row r="10" spans="1:7" s="22" customFormat="1" ht="20.100000000000001" customHeight="1">
      <c r="A10" s="136" t="s">
        <v>33</v>
      </c>
      <c r="B10" s="108">
        <f>-'审定表G14-1'!D12</f>
        <v>0</v>
      </c>
      <c r="C10" s="108">
        <f>-'审定表G14-1'!G12</f>
        <v>0</v>
      </c>
    </row>
    <row r="11" spans="1:7" s="22" customFormat="1" ht="20.100000000000001" customHeight="1" thickBot="1">
      <c r="A11" s="136" t="s">
        <v>35</v>
      </c>
      <c r="B11" s="108">
        <f>-'审定表G14-1'!D15</f>
        <v>0</v>
      </c>
      <c r="C11" s="108">
        <f>-'审定表G14-1'!G15</f>
        <v>0</v>
      </c>
    </row>
    <row r="12" spans="1:7" s="22" customFormat="1" ht="20.100000000000001" customHeight="1" thickBot="1">
      <c r="A12" s="134" t="s">
        <v>187</v>
      </c>
      <c r="B12" s="137">
        <f>SUM(B8:B11)</f>
        <v>0</v>
      </c>
      <c r="C12" s="137">
        <f>SUM(C8:C11)</f>
        <v>0</v>
      </c>
    </row>
    <row r="13" spans="1:7" s="22" customFormat="1" ht="20.100000000000001" customHeight="1">
      <c r="A13" s="21"/>
      <c r="B13" s="21"/>
      <c r="C13" s="21"/>
      <c r="D13" s="21"/>
    </row>
    <row r="15" spans="1:7" ht="15.6">
      <c r="G15" s="22"/>
    </row>
  </sheetData>
  <mergeCells count="2">
    <mergeCell ref="A1:D1"/>
    <mergeCell ref="A2:D2"/>
  </mergeCells>
  <phoneticPr fontId="3" type="noConversion"/>
  <printOptions horizontalCentered="1"/>
  <pageMargins left="0.51181102362204722" right="0.31496062992125984" top="0.55118110236220474" bottom="0.35433070866141736" header="0.51181102362204722" footer="0.19685039370078741"/>
  <pageSetup paperSize="9" fitToHeight="50" orientation="landscape" blackAndWhite="1" r:id="rId1"/>
  <headerFooter alignWithMargins="0">
    <oddFooter>&amp;C&amp;P/&amp;N&amp;R&amp;10&amp;P/&amp;N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M36"/>
  <sheetViews>
    <sheetView showZeros="0" view="pageBreakPreview" zoomScaleNormal="115" zoomScaleSheetLayoutView="100" workbookViewId="0">
      <selection sqref="A1:M1"/>
    </sheetView>
  </sheetViews>
  <sheetFormatPr defaultColWidth="9" defaultRowHeight="13.8"/>
  <cols>
    <col min="1" max="1" width="23.44140625" style="2" customWidth="1"/>
    <col min="2" max="2" width="11" style="2" customWidth="1"/>
    <col min="3" max="3" width="9.33203125" style="2" customWidth="1"/>
    <col min="4" max="4" width="13.21875" style="2" customWidth="1"/>
    <col min="5" max="5" width="26.21875" style="2" customWidth="1"/>
    <col min="6" max="6" width="10.44140625" style="2" customWidth="1"/>
    <col min="7" max="7" width="11" style="2" customWidth="1"/>
    <col min="8" max="8" width="9.88671875" style="2" customWidth="1"/>
    <col min="9" max="9" width="10.109375" style="2" customWidth="1"/>
    <col min="10" max="11" width="10.44140625" style="2" customWidth="1"/>
    <col min="12" max="12" width="8.109375" style="2" customWidth="1"/>
    <col min="13" max="13" width="8" style="2" customWidth="1"/>
    <col min="14" max="16384" width="9" style="2"/>
  </cols>
  <sheetData>
    <row r="1" spans="1:13" s="140" customFormat="1" ht="19.95" customHeight="1">
      <c r="A1" s="273" t="s">
        <v>222</v>
      </c>
      <c r="B1" s="273"/>
      <c r="C1" s="273"/>
      <c r="D1" s="273"/>
      <c r="E1" s="273"/>
      <c r="F1" s="273"/>
      <c r="G1" s="273"/>
      <c r="H1" s="273"/>
      <c r="I1" s="273"/>
      <c r="J1" s="273"/>
      <c r="K1" s="273"/>
      <c r="L1" s="273"/>
      <c r="M1" s="273"/>
    </row>
    <row r="2" spans="1:13" s="144" customFormat="1" ht="19.95" customHeight="1">
      <c r="A2" s="274" t="s">
        <v>36</v>
      </c>
      <c r="B2" s="274"/>
      <c r="C2" s="274"/>
      <c r="D2" s="274"/>
      <c r="E2" s="274"/>
      <c r="F2" s="274"/>
      <c r="G2" s="274"/>
      <c r="H2" s="274"/>
      <c r="I2" s="274"/>
      <c r="J2" s="274"/>
      <c r="K2" s="274"/>
      <c r="L2" s="274"/>
      <c r="M2" s="274"/>
    </row>
    <row r="3" spans="1:13" s="159" customFormat="1" ht="19.95" customHeight="1">
      <c r="A3" s="157" t="str">
        <f>底稿目录!A2</f>
        <v>被审计单位：</v>
      </c>
      <c r="B3" s="157"/>
      <c r="D3" s="158" t="str">
        <f>底稿目录!A4</f>
        <v>编制人：</v>
      </c>
      <c r="G3" s="160" t="str">
        <f>底稿目录!A5</f>
        <v>编制日期：</v>
      </c>
      <c r="L3" s="158" t="s">
        <v>196</v>
      </c>
      <c r="M3" s="202" t="str">
        <f>底稿目录!F8</f>
        <v>G14-2</v>
      </c>
    </row>
    <row r="4" spans="1:13" s="159" customFormat="1" ht="19.95" customHeight="1">
      <c r="A4" s="157" t="str">
        <f>底稿目录!A3</f>
        <v>会计期间：202X年度</v>
      </c>
      <c r="B4" s="161"/>
      <c r="D4" s="158" t="str">
        <f>底稿目录!A6</f>
        <v>复核人：</v>
      </c>
      <c r="G4" s="160" t="str">
        <f>底稿目录!A7</f>
        <v>复核日期：</v>
      </c>
      <c r="L4" s="158" t="s">
        <v>19</v>
      </c>
    </row>
    <row r="5" spans="1:13" ht="19.95" customHeight="1">
      <c r="A5" s="173" t="s">
        <v>234</v>
      </c>
      <c r="B5" s="173"/>
      <c r="C5" s="173"/>
      <c r="D5" s="173"/>
      <c r="E5" s="173"/>
      <c r="F5" s="173"/>
      <c r="G5" s="173"/>
      <c r="H5" s="173"/>
      <c r="I5" s="173"/>
      <c r="J5" s="173"/>
      <c r="K5" s="173"/>
      <c r="L5" s="173"/>
      <c r="M5" s="173"/>
    </row>
    <row r="6" spans="1:13" ht="19.95" customHeight="1">
      <c r="A6" s="174" t="s">
        <v>232</v>
      </c>
      <c r="B6" s="153"/>
      <c r="C6" s="153"/>
      <c r="D6" s="153"/>
      <c r="E6" s="153"/>
      <c r="F6" s="153"/>
      <c r="G6" s="153"/>
      <c r="H6" s="153"/>
      <c r="I6" s="153"/>
      <c r="J6" s="153"/>
      <c r="K6" s="153"/>
      <c r="L6" s="153"/>
      <c r="M6" s="153"/>
    </row>
    <row r="7" spans="1:13" ht="19.95" customHeight="1">
      <c r="A7" s="174" t="s">
        <v>233</v>
      </c>
      <c r="B7" s="153"/>
      <c r="C7" s="153"/>
      <c r="D7" s="153"/>
      <c r="E7" s="153"/>
      <c r="F7" s="153"/>
      <c r="G7" s="153"/>
      <c r="H7" s="153"/>
      <c r="I7" s="153"/>
      <c r="J7" s="153"/>
      <c r="K7" s="153"/>
      <c r="L7" s="153"/>
      <c r="M7" s="153"/>
    </row>
    <row r="8" spans="1:13" ht="19.95" customHeight="1">
      <c r="A8" s="52" t="s">
        <v>20</v>
      </c>
      <c r="B8" s="53"/>
      <c r="C8" s="51"/>
      <c r="D8" s="26"/>
      <c r="E8" s="54"/>
      <c r="I8" s="54"/>
      <c r="K8" s="47"/>
      <c r="L8" s="47"/>
    </row>
    <row r="9" spans="1:13" s="55" customFormat="1" ht="19.95" customHeight="1">
      <c r="A9" s="275" t="s">
        <v>21</v>
      </c>
      <c r="B9" s="276" t="s">
        <v>18</v>
      </c>
      <c r="C9" s="277"/>
      <c r="D9" s="277"/>
      <c r="E9" s="272" t="s">
        <v>37</v>
      </c>
      <c r="F9" s="278" t="s">
        <v>49</v>
      </c>
      <c r="G9" s="278"/>
      <c r="H9" s="278"/>
      <c r="I9" s="278"/>
      <c r="J9" s="278"/>
      <c r="K9" s="278"/>
      <c r="L9" s="272" t="s">
        <v>51</v>
      </c>
      <c r="M9" s="272" t="s">
        <v>25</v>
      </c>
    </row>
    <row r="10" spans="1:13" s="55" customFormat="1" ht="19.95" customHeight="1">
      <c r="A10" s="275"/>
      <c r="B10" s="27" t="s">
        <v>7</v>
      </c>
      <c r="C10" s="92" t="s">
        <v>165</v>
      </c>
      <c r="D10" s="27" t="s">
        <v>8</v>
      </c>
      <c r="E10" s="272"/>
      <c r="F10" s="59" t="s">
        <v>47</v>
      </c>
      <c r="G10" s="59" t="s">
        <v>44</v>
      </c>
      <c r="H10" s="59" t="s">
        <v>45</v>
      </c>
      <c r="I10" s="59" t="s">
        <v>46</v>
      </c>
      <c r="J10" s="59" t="s">
        <v>48</v>
      </c>
      <c r="K10" s="59" t="s">
        <v>50</v>
      </c>
      <c r="L10" s="272"/>
      <c r="M10" s="272"/>
    </row>
    <row r="11" spans="1:13" ht="19.95" customHeight="1">
      <c r="A11" s="56" t="s">
        <v>191</v>
      </c>
      <c r="B11" s="32"/>
      <c r="C11" s="32"/>
      <c r="D11" s="113">
        <f>B11+C11</f>
        <v>0</v>
      </c>
      <c r="E11" s="56" t="s">
        <v>38</v>
      </c>
      <c r="F11" s="57"/>
      <c r="G11" s="57"/>
      <c r="H11" s="57"/>
      <c r="I11" s="57"/>
      <c r="J11" s="113">
        <f>F11+G11-H11-I11</f>
        <v>0</v>
      </c>
      <c r="K11" s="195">
        <f>G11+H11</f>
        <v>0</v>
      </c>
      <c r="L11" s="120" t="b">
        <f>D11=K11</f>
        <v>1</v>
      </c>
      <c r="M11" s="57"/>
    </row>
    <row r="12" spans="1:13" ht="19.95" customHeight="1">
      <c r="A12" s="56" t="s">
        <v>29</v>
      </c>
      <c r="B12" s="32"/>
      <c r="C12" s="32"/>
      <c r="D12" s="113">
        <f t="shared" ref="D12:D18" si="0">B12+C12</f>
        <v>0</v>
      </c>
      <c r="E12" s="56" t="s">
        <v>39</v>
      </c>
      <c r="F12" s="57"/>
      <c r="G12" s="57"/>
      <c r="H12" s="57"/>
      <c r="I12" s="57"/>
      <c r="J12" s="113">
        <f t="shared" ref="J12:J18" si="1">F12+G12-H12-I12</f>
        <v>0</v>
      </c>
      <c r="K12" s="195">
        <f t="shared" ref="K12:K19" si="2">G12+H12</f>
        <v>0</v>
      </c>
      <c r="L12" s="120" t="b">
        <f t="shared" ref="L12:L20" si="3">D12=K12</f>
        <v>1</v>
      </c>
      <c r="M12" s="57"/>
    </row>
    <row r="13" spans="1:13" ht="19.95" customHeight="1">
      <c r="A13" s="56" t="s">
        <v>30</v>
      </c>
      <c r="B13" s="32"/>
      <c r="C13" s="32"/>
      <c r="D13" s="113">
        <f t="shared" si="0"/>
        <v>0</v>
      </c>
      <c r="E13" s="56" t="s">
        <v>40</v>
      </c>
      <c r="F13" s="57"/>
      <c r="G13" s="57"/>
      <c r="H13" s="57"/>
      <c r="I13" s="57"/>
      <c r="J13" s="113">
        <f t="shared" si="1"/>
        <v>0</v>
      </c>
      <c r="K13" s="195">
        <f t="shared" si="2"/>
        <v>0</v>
      </c>
      <c r="L13" s="120" t="b">
        <f t="shared" si="3"/>
        <v>1</v>
      </c>
      <c r="M13" s="57"/>
    </row>
    <row r="14" spans="1:13" ht="19.95" customHeight="1">
      <c r="A14" s="56" t="s">
        <v>31</v>
      </c>
      <c r="B14" s="32"/>
      <c r="C14" s="32"/>
      <c r="D14" s="113">
        <f t="shared" si="0"/>
        <v>0</v>
      </c>
      <c r="E14" s="56" t="s">
        <v>41</v>
      </c>
      <c r="F14" s="57"/>
      <c r="G14" s="57"/>
      <c r="H14" s="57"/>
      <c r="I14" s="57"/>
      <c r="J14" s="113">
        <f t="shared" si="1"/>
        <v>0</v>
      </c>
      <c r="K14" s="195">
        <f t="shared" si="2"/>
        <v>0</v>
      </c>
      <c r="L14" s="120" t="b">
        <f t="shared" si="3"/>
        <v>1</v>
      </c>
      <c r="M14" s="57"/>
    </row>
    <row r="15" spans="1:13" ht="19.95" customHeight="1">
      <c r="A15" s="56" t="s">
        <v>32</v>
      </c>
      <c r="B15" s="32"/>
      <c r="C15" s="32"/>
      <c r="D15" s="113">
        <f t="shared" si="0"/>
        <v>0</v>
      </c>
      <c r="E15" s="56" t="s">
        <v>42</v>
      </c>
      <c r="F15" s="57"/>
      <c r="G15" s="57"/>
      <c r="H15" s="57"/>
      <c r="I15" s="57"/>
      <c r="J15" s="113">
        <f t="shared" si="1"/>
        <v>0</v>
      </c>
      <c r="K15" s="195">
        <f t="shared" si="2"/>
        <v>0</v>
      </c>
      <c r="L15" s="120" t="b">
        <f t="shared" si="3"/>
        <v>1</v>
      </c>
      <c r="M15" s="57"/>
    </row>
    <row r="16" spans="1:13" ht="19.95" customHeight="1">
      <c r="A16" s="56" t="s">
        <v>33</v>
      </c>
      <c r="B16" s="32"/>
      <c r="C16" s="32"/>
      <c r="D16" s="113">
        <f t="shared" si="0"/>
        <v>0</v>
      </c>
      <c r="E16" s="56" t="s">
        <v>55</v>
      </c>
      <c r="F16" s="57"/>
      <c r="G16" s="57"/>
      <c r="H16" s="57"/>
      <c r="I16" s="57"/>
      <c r="J16" s="113">
        <f t="shared" si="1"/>
        <v>0</v>
      </c>
      <c r="K16" s="195">
        <f t="shared" si="2"/>
        <v>0</v>
      </c>
      <c r="L16" s="120" t="b">
        <f t="shared" si="3"/>
        <v>1</v>
      </c>
      <c r="M16" s="57"/>
    </row>
    <row r="17" spans="1:13" ht="19.95" customHeight="1">
      <c r="A17" s="56" t="s">
        <v>34</v>
      </c>
      <c r="B17" s="32"/>
      <c r="C17" s="32"/>
      <c r="D17" s="113">
        <f t="shared" si="0"/>
        <v>0</v>
      </c>
      <c r="E17" s="56" t="s">
        <v>43</v>
      </c>
      <c r="F17" s="57"/>
      <c r="G17" s="57"/>
      <c r="H17" s="57"/>
      <c r="I17" s="57"/>
      <c r="J17" s="113">
        <f t="shared" si="1"/>
        <v>0</v>
      </c>
      <c r="K17" s="195">
        <f t="shared" si="2"/>
        <v>0</v>
      </c>
      <c r="L17" s="120" t="b">
        <f t="shared" si="3"/>
        <v>1</v>
      </c>
      <c r="M17" s="57"/>
    </row>
    <row r="18" spans="1:13" ht="19.95" customHeight="1">
      <c r="A18" s="56" t="s">
        <v>189</v>
      </c>
      <c r="B18" s="32"/>
      <c r="C18" s="32"/>
      <c r="D18" s="113">
        <f t="shared" si="0"/>
        <v>0</v>
      </c>
      <c r="E18" s="56" t="s">
        <v>54</v>
      </c>
      <c r="F18" s="57"/>
      <c r="G18" s="57"/>
      <c r="H18" s="57"/>
      <c r="I18" s="57"/>
      <c r="J18" s="113">
        <f t="shared" si="1"/>
        <v>0</v>
      </c>
      <c r="K18" s="195">
        <f t="shared" si="2"/>
        <v>0</v>
      </c>
      <c r="L18" s="120" t="b">
        <f t="shared" si="3"/>
        <v>1</v>
      </c>
      <c r="M18" s="57"/>
    </row>
    <row r="19" spans="1:13" ht="19.95" customHeight="1">
      <c r="A19" s="56" t="s">
        <v>35</v>
      </c>
      <c r="B19" s="32"/>
      <c r="C19" s="32"/>
      <c r="D19" s="113">
        <f>B19+C19</f>
        <v>0</v>
      </c>
      <c r="E19" s="57"/>
      <c r="F19" s="57"/>
      <c r="G19" s="57"/>
      <c r="H19" s="57"/>
      <c r="I19" s="57"/>
      <c r="J19" s="113">
        <f>F19+G19-H19-I19</f>
        <v>0</v>
      </c>
      <c r="K19" s="195">
        <f t="shared" si="2"/>
        <v>0</v>
      </c>
      <c r="L19" s="120" t="b">
        <f t="shared" si="3"/>
        <v>1</v>
      </c>
      <c r="M19" s="57"/>
    </row>
    <row r="20" spans="1:13" ht="19.95" customHeight="1">
      <c r="A20" s="116" t="s">
        <v>24</v>
      </c>
      <c r="B20" s="115">
        <f>SUM(B11:B19)</f>
        <v>0</v>
      </c>
      <c r="C20" s="115">
        <f>SUM(C11:C19)</f>
        <v>0</v>
      </c>
      <c r="D20" s="115">
        <f>SUM(D11:D19)</f>
        <v>0</v>
      </c>
      <c r="E20" s="122"/>
      <c r="F20" s="122">
        <f t="shared" ref="F20:K20" si="4">SUM(F11:F19)</f>
        <v>0</v>
      </c>
      <c r="G20" s="122">
        <f t="shared" si="4"/>
        <v>0</v>
      </c>
      <c r="H20" s="122">
        <f t="shared" si="4"/>
        <v>0</v>
      </c>
      <c r="I20" s="122">
        <f t="shared" si="4"/>
        <v>0</v>
      </c>
      <c r="J20" s="122">
        <f t="shared" si="4"/>
        <v>0</v>
      </c>
      <c r="K20" s="196">
        <f t="shared" si="4"/>
        <v>0</v>
      </c>
      <c r="L20" s="121" t="b">
        <f t="shared" si="3"/>
        <v>1</v>
      </c>
      <c r="M20" s="122"/>
    </row>
    <row r="21" spans="1:13" ht="19.95" customHeight="1">
      <c r="A21" s="50" t="s">
        <v>22</v>
      </c>
      <c r="B21" s="48"/>
      <c r="C21" s="48"/>
      <c r="E21" s="48"/>
      <c r="F21" s="48"/>
      <c r="G21" s="48"/>
      <c r="H21" s="48"/>
      <c r="I21" s="48"/>
      <c r="J21" s="48"/>
      <c r="L21" s="48"/>
      <c r="M21" s="48"/>
    </row>
    <row r="22" spans="1:13" ht="19.95" customHeight="1">
      <c r="A22" s="48"/>
      <c r="B22" s="48"/>
      <c r="C22" s="48"/>
      <c r="D22" s="48"/>
      <c r="E22" s="48"/>
      <c r="F22" s="48"/>
      <c r="G22" s="48"/>
      <c r="H22" s="48"/>
      <c r="I22" s="48"/>
      <c r="J22" s="48"/>
      <c r="K22" s="48"/>
      <c r="L22" s="48"/>
      <c r="M22" s="48"/>
    </row>
    <row r="23" spans="1:13" ht="19.95" customHeight="1">
      <c r="A23" s="50" t="s">
        <v>23</v>
      </c>
      <c r="B23" s="48"/>
      <c r="C23" s="48"/>
      <c r="D23" s="48"/>
      <c r="E23" s="48"/>
      <c r="F23" s="48"/>
      <c r="G23" s="48"/>
      <c r="H23" s="48"/>
      <c r="I23" s="48"/>
      <c r="J23" s="48"/>
      <c r="K23" s="48"/>
      <c r="L23" s="48"/>
      <c r="M23" s="48"/>
    </row>
    <row r="24" spans="1:13" ht="19.95" customHeight="1">
      <c r="A24" s="48"/>
      <c r="B24" s="48"/>
      <c r="C24" s="48"/>
      <c r="D24" s="48"/>
      <c r="E24" s="48"/>
      <c r="F24" s="48"/>
      <c r="G24" s="48"/>
      <c r="H24" s="48"/>
      <c r="I24" s="48"/>
      <c r="J24" s="48"/>
      <c r="K24" s="48"/>
      <c r="L24" s="48"/>
      <c r="M24" s="48"/>
    </row>
    <row r="25" spans="1:13" ht="19.95" customHeight="1">
      <c r="A25" s="48"/>
      <c r="B25" s="48"/>
      <c r="C25" s="48"/>
      <c r="D25" s="48"/>
      <c r="E25" s="48"/>
      <c r="F25" s="48"/>
      <c r="G25" s="48"/>
      <c r="H25" s="48"/>
      <c r="I25" s="48"/>
      <c r="J25" s="48"/>
      <c r="K25" s="48"/>
      <c r="L25" s="48"/>
      <c r="M25" s="48"/>
    </row>
    <row r="26" spans="1:13" ht="15" customHeight="1">
      <c r="A26" s="49"/>
    </row>
    <row r="27" spans="1:13" ht="18" customHeight="1">
      <c r="A27" s="62" t="s">
        <v>52</v>
      </c>
    </row>
    <row r="28" spans="1:13" ht="18" customHeight="1">
      <c r="A28" s="63" t="s">
        <v>66</v>
      </c>
    </row>
    <row r="29" spans="1:13" ht="18" customHeight="1">
      <c r="A29" s="64" t="s">
        <v>61</v>
      </c>
    </row>
    <row r="30" spans="1:13" ht="18" customHeight="1">
      <c r="A30" s="63" t="s">
        <v>63</v>
      </c>
    </row>
    <row r="31" spans="1:13" ht="18" customHeight="1">
      <c r="A31" s="64" t="s">
        <v>62</v>
      </c>
    </row>
    <row r="32" spans="1:13" ht="18" customHeight="1">
      <c r="A32" s="63" t="s">
        <v>64</v>
      </c>
    </row>
    <row r="33" spans="1:1" ht="18" customHeight="1">
      <c r="A33" s="63" t="s">
        <v>65</v>
      </c>
    </row>
    <row r="34" spans="1:1" ht="18" customHeight="1">
      <c r="A34" s="64" t="s">
        <v>57</v>
      </c>
    </row>
    <row r="35" spans="1:1">
      <c r="A35" s="150" t="s">
        <v>225</v>
      </c>
    </row>
    <row r="36" spans="1:1">
      <c r="A36" s="151" t="s">
        <v>226</v>
      </c>
    </row>
  </sheetData>
  <mergeCells count="8">
    <mergeCell ref="L9:L10"/>
    <mergeCell ref="A1:M1"/>
    <mergeCell ref="A2:M2"/>
    <mergeCell ref="A9:A10"/>
    <mergeCell ref="B9:D9"/>
    <mergeCell ref="E9:E10"/>
    <mergeCell ref="F9:K9"/>
    <mergeCell ref="M9:M10"/>
  </mergeCells>
  <phoneticPr fontId="3" type="noConversion"/>
  <hyperlinks>
    <hyperlink ref="M3" location="底稿目录!F8" display="底稿目录!F8"/>
  </hyperlinks>
  <printOptions horizontalCentered="1"/>
  <pageMargins left="0.51181102362204722" right="0.31496062992125984" top="0.55118110236220474" bottom="0.35433070866141736" header="0.51181102362204722" footer="0.19685039370078741"/>
  <pageSetup paperSize="9" scale="87" fitToHeight="0" orientation="landscape" blackAndWhite="1" r:id="rId1"/>
  <headerFooter alignWithMargins="0">
    <oddFooter>&amp;C&amp;P/&amp;N&amp;R&amp;10&amp;P/&amp;N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4"/>
  <sheetViews>
    <sheetView view="pageBreakPreview" zoomScaleNormal="100" zoomScaleSheetLayoutView="100" workbookViewId="0">
      <selection sqref="A1:J1"/>
    </sheetView>
  </sheetViews>
  <sheetFormatPr defaultColWidth="8.88671875" defaultRowHeight="15.6"/>
  <cols>
    <col min="1" max="1" width="23" style="97" customWidth="1"/>
    <col min="2" max="2" width="17" style="97" customWidth="1"/>
    <col min="3" max="3" width="13.88671875" style="97" customWidth="1"/>
    <col min="4" max="5" width="16.21875" style="97" customWidth="1"/>
    <col min="6" max="6" width="8.88671875" style="97"/>
    <col min="7" max="7" width="11.21875" style="97" customWidth="1"/>
    <col min="8" max="8" width="11.5546875" style="97" customWidth="1"/>
    <col min="9" max="9" width="10.77734375" style="97" customWidth="1"/>
    <col min="10" max="10" width="14.88671875" style="97" customWidth="1"/>
    <col min="11" max="16384" width="8.88671875" style="97"/>
  </cols>
  <sheetData>
    <row r="1" spans="1:10" s="138" customFormat="1" ht="19.95" customHeight="1">
      <c r="A1" s="259" t="s">
        <v>221</v>
      </c>
      <c r="B1" s="259"/>
      <c r="C1" s="259"/>
      <c r="D1" s="259"/>
      <c r="E1" s="259"/>
      <c r="F1" s="259"/>
      <c r="G1" s="259"/>
      <c r="H1" s="259"/>
      <c r="I1" s="259"/>
      <c r="J1" s="259"/>
    </row>
    <row r="2" spans="1:10" s="143" customFormat="1" ht="19.95" customHeight="1">
      <c r="A2" s="260" t="s">
        <v>182</v>
      </c>
      <c r="B2" s="260"/>
      <c r="C2" s="260"/>
      <c r="D2" s="260"/>
      <c r="E2" s="260"/>
      <c r="F2" s="260"/>
      <c r="G2" s="260"/>
      <c r="H2" s="260"/>
      <c r="I2" s="260"/>
      <c r="J2" s="260"/>
    </row>
    <row r="3" spans="1:10" s="175" customFormat="1" ht="19.95" customHeight="1">
      <c r="A3" s="158" t="str">
        <f>底稿目录!A2</f>
        <v>被审计单位：</v>
      </c>
      <c r="B3" s="158"/>
      <c r="C3" s="158"/>
      <c r="D3" s="158" t="str">
        <f>底稿目录!A4</f>
        <v>编制人：</v>
      </c>
      <c r="E3" s="158"/>
      <c r="F3" s="158"/>
      <c r="G3" s="158" t="str">
        <f>底稿目录!A5</f>
        <v>编制日期：</v>
      </c>
      <c r="H3" s="158"/>
      <c r="I3" s="158" t="s">
        <v>235</v>
      </c>
      <c r="J3" s="202" t="str">
        <f>底稿目录!F9</f>
        <v>G14-3</v>
      </c>
    </row>
    <row r="4" spans="1:10" s="175" customFormat="1" ht="19.95" customHeight="1">
      <c r="A4" s="158" t="str">
        <f>底稿目录!A3</f>
        <v>会计期间：202X年度</v>
      </c>
      <c r="B4" s="158"/>
      <c r="C4" s="158"/>
      <c r="D4" s="158" t="str">
        <f>底稿目录!A6</f>
        <v>复核人：</v>
      </c>
      <c r="E4" s="158"/>
      <c r="F4" s="158"/>
      <c r="G4" s="158" t="str">
        <f>底稿目录!A7</f>
        <v>复核日期：</v>
      </c>
      <c r="H4" s="158"/>
      <c r="I4" s="158" t="s">
        <v>269</v>
      </c>
    </row>
    <row r="5" spans="1:10" ht="24">
      <c r="A5" s="98" t="s">
        <v>173</v>
      </c>
      <c r="B5" s="99" t="s">
        <v>174</v>
      </c>
      <c r="C5" s="99" t="s">
        <v>207</v>
      </c>
      <c r="D5" s="92" t="s">
        <v>175</v>
      </c>
      <c r="E5" s="92" t="s">
        <v>176</v>
      </c>
      <c r="F5" s="100" t="s">
        <v>177</v>
      </c>
      <c r="G5" s="92" t="s">
        <v>178</v>
      </c>
      <c r="H5" s="92" t="s">
        <v>179</v>
      </c>
      <c r="I5" s="92" t="s">
        <v>180</v>
      </c>
      <c r="J5" s="92" t="s">
        <v>181</v>
      </c>
    </row>
    <row r="6" spans="1:10" ht="19.95" customHeight="1">
      <c r="A6" s="101"/>
      <c r="B6" s="101"/>
      <c r="C6" s="101"/>
      <c r="D6" s="101"/>
      <c r="E6" s="101"/>
      <c r="F6" s="101"/>
      <c r="G6" s="101"/>
      <c r="H6" s="101"/>
      <c r="I6" s="101"/>
      <c r="J6" s="101"/>
    </row>
    <row r="7" spans="1:10" ht="19.95" customHeight="1">
      <c r="A7" s="102"/>
      <c r="B7" s="101"/>
      <c r="C7" s="101"/>
      <c r="D7" s="101"/>
      <c r="E7" s="101"/>
      <c r="F7" s="101"/>
      <c r="G7" s="101"/>
      <c r="H7" s="101"/>
      <c r="I7" s="101"/>
      <c r="J7" s="101"/>
    </row>
    <row r="8" spans="1:10" ht="19.95" customHeight="1">
      <c r="A8" s="103"/>
      <c r="B8" s="101"/>
      <c r="C8" s="101"/>
      <c r="D8" s="101"/>
      <c r="E8" s="101"/>
      <c r="F8" s="101"/>
      <c r="G8" s="101"/>
      <c r="H8" s="101"/>
      <c r="I8" s="101"/>
      <c r="J8" s="101"/>
    </row>
    <row r="9" spans="1:10" ht="19.95" customHeight="1">
      <c r="A9" s="103"/>
      <c r="B9" s="101"/>
      <c r="C9" s="101"/>
      <c r="D9" s="101"/>
      <c r="E9" s="101"/>
      <c r="F9" s="101"/>
      <c r="G9" s="101"/>
      <c r="H9" s="101"/>
      <c r="I9" s="101"/>
      <c r="J9" s="101"/>
    </row>
    <row r="10" spans="1:10" ht="19.95" customHeight="1">
      <c r="A10" s="103"/>
      <c r="B10" s="101"/>
      <c r="C10" s="101"/>
      <c r="D10" s="101"/>
      <c r="E10" s="101"/>
      <c r="F10" s="101"/>
      <c r="G10" s="101"/>
      <c r="H10" s="101"/>
      <c r="I10" s="101"/>
      <c r="J10" s="101"/>
    </row>
    <row r="11" spans="1:10" ht="19.95" customHeight="1">
      <c r="A11" s="104"/>
      <c r="B11" s="101"/>
      <c r="C11" s="101"/>
      <c r="D11" s="101"/>
      <c r="E11" s="101"/>
      <c r="F11" s="101"/>
      <c r="G11" s="101"/>
      <c r="H11" s="101"/>
      <c r="I11" s="101"/>
      <c r="J11" s="101"/>
    </row>
    <row r="12" spans="1:10" ht="19.95" customHeight="1">
      <c r="A12" s="103"/>
      <c r="B12" s="101"/>
      <c r="C12" s="101"/>
      <c r="D12" s="101"/>
      <c r="E12" s="101"/>
      <c r="F12" s="101"/>
      <c r="G12" s="101"/>
      <c r="H12" s="101"/>
      <c r="I12" s="101"/>
      <c r="J12" s="101"/>
    </row>
    <row r="13" spans="1:10" ht="19.95" customHeight="1">
      <c r="A13" s="103"/>
      <c r="B13" s="101"/>
      <c r="C13" s="101"/>
      <c r="D13" s="101"/>
      <c r="E13" s="101"/>
      <c r="F13" s="101"/>
      <c r="G13" s="101"/>
      <c r="H13" s="101"/>
      <c r="I13" s="101"/>
      <c r="J13" s="101"/>
    </row>
    <row r="14" spans="1:10" ht="19.95" customHeight="1">
      <c r="A14" s="103"/>
      <c r="B14" s="101"/>
      <c r="C14" s="101"/>
      <c r="D14" s="101"/>
      <c r="E14" s="101"/>
      <c r="F14" s="101"/>
      <c r="G14" s="101"/>
      <c r="H14" s="101"/>
      <c r="I14" s="101"/>
      <c r="J14" s="101"/>
    </row>
    <row r="15" spans="1:10" ht="19.95" customHeight="1">
      <c r="A15" s="103"/>
      <c r="B15" s="101"/>
      <c r="C15" s="101"/>
      <c r="D15" s="101"/>
      <c r="E15" s="101"/>
      <c r="F15" s="101"/>
      <c r="G15" s="101"/>
      <c r="H15" s="101"/>
      <c r="I15" s="101"/>
      <c r="J15" s="101"/>
    </row>
    <row r="16" spans="1:10" ht="19.95" customHeight="1">
      <c r="A16" s="103"/>
      <c r="B16" s="101"/>
      <c r="C16" s="101"/>
      <c r="D16" s="101"/>
      <c r="E16" s="101"/>
      <c r="F16" s="101"/>
      <c r="G16" s="101"/>
      <c r="H16" s="101"/>
      <c r="I16" s="101"/>
      <c r="J16" s="101"/>
    </row>
    <row r="17" spans="1:10" ht="19.95" customHeight="1">
      <c r="A17" s="103"/>
      <c r="B17" s="101"/>
      <c r="C17" s="101"/>
      <c r="D17" s="101"/>
      <c r="E17" s="101"/>
      <c r="F17" s="101"/>
      <c r="G17" s="101"/>
      <c r="H17" s="101"/>
      <c r="I17" s="101"/>
      <c r="J17" s="101"/>
    </row>
    <row r="18" spans="1:10" ht="19.95" customHeight="1">
      <c r="A18" s="103"/>
      <c r="B18" s="101"/>
      <c r="C18" s="101"/>
      <c r="D18" s="101"/>
      <c r="E18" s="101"/>
      <c r="F18" s="101"/>
      <c r="G18" s="101"/>
      <c r="H18" s="101"/>
      <c r="I18" s="101"/>
      <c r="J18" s="101"/>
    </row>
    <row r="19" spans="1:10" ht="19.95" customHeight="1">
      <c r="A19" s="103"/>
      <c r="B19" s="101"/>
      <c r="C19" s="101"/>
      <c r="D19" s="101"/>
      <c r="E19" s="101"/>
      <c r="F19" s="101"/>
      <c r="G19" s="101"/>
      <c r="H19" s="101"/>
      <c r="I19" s="101"/>
      <c r="J19" s="101"/>
    </row>
    <row r="20" spans="1:10" ht="19.95" customHeight="1">
      <c r="A20" s="103"/>
      <c r="B20" s="101"/>
      <c r="C20" s="101"/>
      <c r="D20" s="101"/>
      <c r="E20" s="101"/>
      <c r="F20" s="101"/>
      <c r="G20" s="101"/>
      <c r="H20" s="101"/>
      <c r="I20" s="101"/>
      <c r="J20" s="101"/>
    </row>
    <row r="21" spans="1:10" ht="19.95" customHeight="1">
      <c r="A21" s="34"/>
      <c r="B21" s="34"/>
      <c r="C21" s="34"/>
      <c r="D21" s="35"/>
      <c r="E21" s="35"/>
      <c r="F21" s="35"/>
      <c r="G21" s="36"/>
      <c r="H21" s="36"/>
      <c r="I21" s="35"/>
      <c r="J21" s="43"/>
    </row>
    <row r="22" spans="1:10" ht="19.95" customHeight="1">
      <c r="A22" s="39"/>
      <c r="B22" s="39"/>
      <c r="C22" s="39"/>
      <c r="D22" s="39"/>
      <c r="E22" s="105"/>
      <c r="F22" s="41"/>
      <c r="G22" s="106"/>
      <c r="H22" s="106"/>
      <c r="I22" s="106"/>
      <c r="J22" s="106"/>
    </row>
    <row r="23" spans="1:10" ht="19.95" customHeight="1"/>
    <row r="24" spans="1:10" ht="19.95" customHeight="1"/>
  </sheetData>
  <mergeCells count="2">
    <mergeCell ref="A1:J1"/>
    <mergeCell ref="A2:J2"/>
  </mergeCells>
  <phoneticPr fontId="3"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51181102362204722" right="0.31496062992125984" top="0.55118110236220474" bottom="0.35433070866141736" header="0.51181102362204722" footer="0.19685039370078741"/>
  <pageSetup paperSize="9" scale="98" fitToHeight="0" orientation="landscape" blackAndWhite="1" r:id="rId1"/>
  <headerFooter alignWithMargins="0">
    <oddFooter>&amp;C&amp;P/&amp;N&amp;R&amp;10&amp;P/&amp;N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底稿目录</vt:lpstr>
      <vt:lpstr>信用减值损失审计程序表G14A</vt:lpstr>
      <vt:lpstr>信用减值损失审计程序表G14A -修订前</vt:lpstr>
      <vt:lpstr>审定表G14-1</vt:lpstr>
      <vt:lpstr>附注披露信息（上市公司）</vt:lpstr>
      <vt:lpstr>附注披露信息（国企）</vt:lpstr>
      <vt:lpstr>明细表G14-2</vt:lpstr>
      <vt:lpstr>调整分录汇总G14-3</vt:lpstr>
      <vt:lpstr>'调整分录汇总G14-3'!Print_Area</vt:lpstr>
      <vt:lpstr>'附注披露信息（国企）'!Print_Area</vt:lpstr>
      <vt:lpstr>'附注披露信息（上市公司）'!Print_Area</vt:lpstr>
      <vt:lpstr>'明细表G14-2'!Print_Area</vt:lpstr>
      <vt:lpstr>'审定表G14-1'!Print_Area</vt:lpstr>
      <vt:lpstr>信用减值损失审计程序表G14A!Print_Area</vt:lpstr>
      <vt:lpstr>'信用减值损失审计程序表G14A -修订前'!Print_Area</vt:lpstr>
      <vt:lpstr>'审定表G14-1'!Print_Titles</vt:lpstr>
      <vt:lpstr>信用减值损失审计程序表G14A!Print_Titles</vt:lpstr>
      <vt:lpstr>'信用减值损失审计程序表G14A -修订前'!Print_Titles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2025-10-27T05:47:54Z</cp:lastPrinted>
  <dcterms:created xsi:type="dcterms:W3CDTF">2014-10-22T07:44:54Z</dcterms:created>
  <dcterms:modified xsi:type="dcterms:W3CDTF">2025-11-04T09:00:24Z</dcterms:modified>
</cp:coreProperties>
</file>