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G 投资循环\"/>
    </mc:Choice>
  </mc:AlternateContent>
  <bookViews>
    <workbookView xWindow="-96" yWindow="-96" windowWidth="19092" windowHeight="12072" tabRatio="906"/>
  </bookViews>
  <sheets>
    <sheet name="底稿目录" sheetId="18" r:id="rId1"/>
    <sheet name="长期股权投资实质性程序表G7A" sheetId="31" r:id="rId2"/>
    <sheet name="长期股权投资审定表G7-1" sheetId="1" r:id="rId3"/>
    <sheet name="附注披露信息（上市公司）" sheetId="2" r:id="rId4"/>
    <sheet name="附注披露信息（国企）" sheetId="3" r:id="rId5"/>
    <sheet name="明细表G7-2" sheetId="4" r:id="rId6"/>
    <sheet name="调整分录汇总G7-3" sheetId="32" r:id="rId7"/>
    <sheet name="被投资单位基本信息G7-4" sheetId="19" r:id="rId8"/>
    <sheet name="被投资单位财务信息（合营、联营）G7-5" sheetId="21" r:id="rId9"/>
    <sheet name="被投资公司会计政策G7-6" sheetId="12" r:id="rId10"/>
    <sheet name="长期股权投资初始判断G7-7" sheetId="39" r:id="rId11"/>
    <sheet name="子公司初始计量测试（同控）G7-8" sheetId="37" r:id="rId12"/>
    <sheet name="子公司初始计量测试（非同控）G7-9" sheetId="22" r:id="rId13"/>
    <sheet name="子公司后续计量测试表G7-10" sheetId="26" r:id="rId14"/>
    <sheet name="处置子公司测试表（不包含一揽子交易）G7-11" sheetId="8" r:id="rId15"/>
    <sheet name="处置子公司测试表（一揽子交易）G7-12" sheetId="35" r:id="rId16"/>
    <sheet name="合营、联营企业投资成本测试表G7-13" sheetId="30" r:id="rId17"/>
    <sheet name="权益法测算表G7-14" sheetId="36" r:id="rId18"/>
    <sheet name="权益法未实现内部交易抵销测算表G7-15" sheetId="29" r:id="rId19"/>
    <sheet name="未确认投资损失测试表G7-16" sheetId="10" r:id="rId20"/>
    <sheet name="减值测试表G7-17" sheetId="38" r:id="rId21"/>
    <sheet name="凭证检查表G7-18" sheetId="47" r:id="rId22"/>
  </sheets>
  <definedNames>
    <definedName name="_xlnm.Print_Area" localSheetId="8">'被投资单位财务信息（合营、联营）G7-5'!$A$1:$J$57</definedName>
    <definedName name="_xlnm.Print_Area" localSheetId="7">'被投资单位基本信息G7-4'!$A$1:$T$43</definedName>
    <definedName name="_xlnm.Print_Area" localSheetId="9">'被投资公司会计政策G7-6'!$A$1:$F$31</definedName>
    <definedName name="_xlnm.Print_Area" localSheetId="14">'处置子公司测试表（不包含一揽子交易）G7-11'!$A$1:$L$47</definedName>
    <definedName name="_xlnm.Print_Area" localSheetId="15">'处置子公司测试表（一揽子交易）G7-12'!$A$1:$L$54</definedName>
    <definedName name="_xlnm.Print_Area" localSheetId="6">'调整分录汇总G7-3'!$A$1:$J$23</definedName>
    <definedName name="_xlnm.Print_Area" localSheetId="16">'合营、联营企业投资成本测试表G7-13'!$A$1:$M$63</definedName>
    <definedName name="_xlnm.Print_Area" localSheetId="20">'减值测试表G7-17'!$A$1:$I$33</definedName>
    <definedName name="_xlnm.Print_Area" localSheetId="5">'明细表G7-2'!$A$1:$BB$88</definedName>
    <definedName name="_xlnm.Print_Area" localSheetId="21">'凭证检查表G7-18'!$A$1:$Q$41</definedName>
    <definedName name="_xlnm.Print_Area" localSheetId="17">'权益法测算表G7-14'!$A$1:$T$53</definedName>
    <definedName name="_xlnm.Print_Area" localSheetId="18">'权益法未实现内部交易抵销测算表G7-15'!$A$1:$L$26</definedName>
    <definedName name="_xlnm.Print_Area" localSheetId="19">'未确认投资损失测试表G7-16'!$A$1:$K$27</definedName>
    <definedName name="_xlnm.Print_Area" localSheetId="10">'长期股权投资初始判断G7-7'!$A$1:$I$39</definedName>
    <definedName name="_xlnm.Print_Area" localSheetId="2">'长期股权投资审定表G7-1'!$A$1:$G$72</definedName>
    <definedName name="_xlnm.Print_Area" localSheetId="1">长期股权投资实质性程序表G7A!$A$1:$I$32</definedName>
    <definedName name="_xlnm.Print_Area" localSheetId="12">'子公司初始计量测试（非同控）G7-9'!$A$1:$I$46</definedName>
    <definedName name="_xlnm.Print_Area" localSheetId="11">'子公司初始计量测试（同控）G7-8'!$A$1:$I$44</definedName>
    <definedName name="_xlnm.Print_Area" localSheetId="13">'子公司后续计量测试表G7-10'!$A$1:$I$44</definedName>
    <definedName name="_xlnm.Print_Titles" localSheetId="1">长期股权投资实质性程序表G7A!$15:$16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 i="47" l="1"/>
  <c r="H3" i="47"/>
  <c r="E4" i="47"/>
  <c r="E3" i="47"/>
  <c r="A4" i="47"/>
  <c r="A3" i="47"/>
  <c r="Q3" i="47"/>
  <c r="G38" i="47"/>
  <c r="F38" i="47"/>
  <c r="G27" i="47"/>
  <c r="F27" i="47"/>
  <c r="K6" i="36" l="1"/>
  <c r="L6" i="36"/>
  <c r="K7" i="36"/>
  <c r="L7" i="36"/>
  <c r="L5" i="36"/>
  <c r="K5" i="36"/>
  <c r="J6" i="36"/>
  <c r="J7" i="36"/>
  <c r="J5" i="36"/>
  <c r="T3" i="36"/>
  <c r="T4" i="36"/>
  <c r="S4" i="36"/>
  <c r="S3" i="36"/>
  <c r="N4" i="36"/>
  <c r="N3" i="36"/>
  <c r="L4" i="36"/>
  <c r="L3" i="36"/>
  <c r="J3" i="36"/>
  <c r="D3" i="36"/>
  <c r="T3" i="19" l="1"/>
  <c r="V7" i="4"/>
  <c r="AN7" i="4" s="1"/>
  <c r="V8" i="4"/>
  <c r="AN8" i="4" s="1"/>
  <c r="V9" i="4"/>
  <c r="AN9" i="4" s="1"/>
  <c r="V6" i="4"/>
  <c r="AN6" i="4" s="1"/>
  <c r="L10" i="4"/>
  <c r="V10" i="4" s="1"/>
  <c r="AN10" i="4" s="1"/>
  <c r="L11" i="4"/>
  <c r="V11" i="4" s="1"/>
  <c r="AN11" i="4" s="1"/>
  <c r="L5" i="4"/>
  <c r="V5" i="4" s="1"/>
  <c r="AN5" i="4" s="1"/>
  <c r="U4" i="4"/>
  <c r="T4" i="4"/>
  <c r="T3" i="4"/>
  <c r="I12" i="10" l="1"/>
  <c r="J12" i="10" s="1"/>
  <c r="D38" i="26"/>
  <c r="C30" i="37"/>
  <c r="D12" i="37"/>
  <c r="T33" i="4"/>
  <c r="AC16" i="4"/>
  <c r="I3" i="38" l="1"/>
  <c r="I3" i="36"/>
  <c r="L3" i="35"/>
  <c r="I3" i="22"/>
  <c r="H3" i="39"/>
  <c r="F26" i="38" l="1"/>
  <c r="D25" i="38"/>
  <c r="F25" i="38" s="1"/>
  <c r="H25" i="38" s="1"/>
  <c r="G23" i="30"/>
  <c r="H23" i="30" s="1"/>
  <c r="I23" i="30" l="1"/>
  <c r="C32" i="26"/>
  <c r="C38" i="26" s="1"/>
  <c r="D32" i="26"/>
  <c r="G17" i="26"/>
  <c r="D19" i="26"/>
  <c r="D25" i="26" s="1"/>
  <c r="C19" i="26"/>
  <c r="E31" i="22"/>
  <c r="E32" i="22" s="1"/>
  <c r="F29" i="22"/>
  <c r="H12" i="22"/>
  <c r="F12" i="22"/>
  <c r="D12" i="22"/>
  <c r="D21" i="22" s="1"/>
  <c r="G18" i="26" l="1"/>
  <c r="D20" i="22"/>
  <c r="D22" i="22" s="1"/>
  <c r="C25" i="26"/>
  <c r="C31" i="37"/>
  <c r="I28" i="37"/>
  <c r="F28" i="37"/>
  <c r="G15" i="30" l="1"/>
  <c r="K15" i="30"/>
  <c r="G16" i="30"/>
  <c r="K16" i="30"/>
  <c r="G17" i="30"/>
  <c r="K17" i="30"/>
  <c r="D18" i="30"/>
  <c r="E18" i="30"/>
  <c r="F18" i="30"/>
  <c r="H18" i="30"/>
  <c r="I18" i="30"/>
  <c r="J18" i="30"/>
  <c r="E4" i="39"/>
  <c r="D4" i="39"/>
  <c r="A4" i="39"/>
  <c r="E3" i="39"/>
  <c r="D3" i="39"/>
  <c r="A3" i="39"/>
  <c r="G42" i="21"/>
  <c r="G18" i="30" l="1"/>
  <c r="K18" i="30"/>
  <c r="D27" i="38"/>
  <c r="F27" i="38" s="1"/>
  <c r="G44" i="36" l="1"/>
  <c r="G43" i="36"/>
  <c r="G41" i="36"/>
  <c r="G40" i="36"/>
  <c r="G39" i="36"/>
  <c r="G38" i="36"/>
  <c r="G37" i="36"/>
  <c r="G36" i="36"/>
  <c r="G34" i="36"/>
  <c r="F33" i="36"/>
  <c r="F35" i="36" s="1"/>
  <c r="F42" i="36" s="1"/>
  <c r="F45" i="36" s="1"/>
  <c r="E33" i="36"/>
  <c r="E35" i="36" s="1"/>
  <c r="E42" i="36" s="1"/>
  <c r="E45" i="36" s="1"/>
  <c r="D33" i="36"/>
  <c r="D35" i="36" s="1"/>
  <c r="D42" i="36" s="1"/>
  <c r="D45" i="36" s="1"/>
  <c r="G32" i="36"/>
  <c r="G31" i="36"/>
  <c r="G30" i="36"/>
  <c r="G29" i="36"/>
  <c r="G28" i="36"/>
  <c r="G27" i="36"/>
  <c r="G26" i="36"/>
  <c r="G25" i="36"/>
  <c r="H36" i="8"/>
  <c r="D13" i="37"/>
  <c r="D19" i="37" l="1"/>
  <c r="G33" i="36"/>
  <c r="G35" i="36" s="1"/>
  <c r="G42" i="36" s="1"/>
  <c r="G45" i="36" s="1"/>
  <c r="G22" i="36" l="1"/>
  <c r="J22" i="36"/>
  <c r="M22" i="36"/>
  <c r="P22" i="36"/>
  <c r="C12" i="36"/>
  <c r="C20" i="36" s="1"/>
  <c r="Q20" i="36" s="1"/>
  <c r="C13" i="36"/>
  <c r="C21" i="36" s="1"/>
  <c r="Q21" i="36" s="1"/>
  <c r="C14" i="36"/>
  <c r="C11" i="36"/>
  <c r="C19" i="36" s="1"/>
  <c r="Q19" i="36" s="1"/>
  <c r="B12" i="36"/>
  <c r="B20" i="36" s="1"/>
  <c r="B13" i="36"/>
  <c r="B21" i="36" s="1"/>
  <c r="B14" i="36"/>
  <c r="B11" i="36"/>
  <c r="B19" i="36" s="1"/>
  <c r="C21" i="21"/>
  <c r="Q22" i="36" l="1"/>
  <c r="M31" i="30" l="1"/>
  <c r="H31" i="30"/>
  <c r="J31" i="30" s="1"/>
  <c r="F23" i="35" l="1"/>
  <c r="K36" i="8"/>
  <c r="J36" i="8"/>
  <c r="I36" i="8"/>
  <c r="D21" i="8"/>
  <c r="L21" i="8"/>
  <c r="H27" i="8"/>
  <c r="K27" i="8" s="1"/>
  <c r="K22" i="8"/>
  <c r="K23" i="8"/>
  <c r="K24" i="8"/>
  <c r="G4" i="38" l="1"/>
  <c r="E4" i="38"/>
  <c r="A4" i="38"/>
  <c r="G3" i="38"/>
  <c r="E3" i="38"/>
  <c r="A3" i="38"/>
  <c r="H27" i="38" l="1"/>
  <c r="H26" i="38"/>
  <c r="G9" i="26" l="1"/>
  <c r="D31" i="22" l="1"/>
  <c r="D32" i="22" s="1"/>
  <c r="D29" i="35" l="1"/>
  <c r="D28" i="8"/>
  <c r="D27" i="8"/>
  <c r="E27" i="8" s="1"/>
  <c r="D29" i="8"/>
  <c r="E29" i="8" s="1"/>
  <c r="I26" i="37" l="1"/>
  <c r="F26" i="37"/>
  <c r="I25" i="37"/>
  <c r="F25" i="37"/>
  <c r="D30" i="37" s="1"/>
  <c r="H12" i="37"/>
  <c r="H13" i="37"/>
  <c r="F13" i="37"/>
  <c r="F4" i="37"/>
  <c r="D4" i="37"/>
  <c r="A4" i="37"/>
  <c r="I3" i="37"/>
  <c r="F3" i="37"/>
  <c r="D3" i="37"/>
  <c r="A3" i="37"/>
  <c r="E30" i="37" l="1"/>
  <c r="H19" i="37"/>
  <c r="D31" i="37"/>
  <c r="E31" i="37" s="1"/>
  <c r="F12" i="37"/>
  <c r="F19" i="37" s="1"/>
  <c r="O15" i="36"/>
  <c r="M15" i="36"/>
  <c r="K15" i="36"/>
  <c r="J15" i="36"/>
  <c r="F15" i="36"/>
  <c r="E15" i="36"/>
  <c r="D15" i="36"/>
  <c r="I14" i="36"/>
  <c r="P14" i="36" s="1"/>
  <c r="H14" i="36"/>
  <c r="N14" i="36" s="1"/>
  <c r="G14" i="36"/>
  <c r="L14" i="36" s="1"/>
  <c r="I13" i="36"/>
  <c r="P13" i="36" s="1"/>
  <c r="H13" i="36"/>
  <c r="N13" i="36" s="1"/>
  <c r="G13" i="36"/>
  <c r="L13" i="36" s="1"/>
  <c r="I12" i="36"/>
  <c r="P12" i="36" s="1"/>
  <c r="H12" i="36"/>
  <c r="N12" i="36" s="1"/>
  <c r="G12" i="36"/>
  <c r="L12" i="36" s="1"/>
  <c r="I11" i="36"/>
  <c r="P11" i="36" s="1"/>
  <c r="H11" i="36"/>
  <c r="N11" i="36" s="1"/>
  <c r="G11" i="36"/>
  <c r="L11" i="36" s="1"/>
  <c r="F4" i="36"/>
  <c r="D4" i="36"/>
  <c r="A4" i="36"/>
  <c r="J4" i="36" s="1"/>
  <c r="F3" i="36"/>
  <c r="A3" i="36"/>
  <c r="H15" i="36" l="1"/>
  <c r="N15" i="36"/>
  <c r="L15" i="36"/>
  <c r="G15" i="36"/>
  <c r="I15" i="36"/>
  <c r="P15" i="36"/>
  <c r="L46" i="35" l="1"/>
  <c r="K46" i="35"/>
  <c r="J46" i="35"/>
  <c r="I46" i="35"/>
  <c r="H46" i="35"/>
  <c r="L45" i="35"/>
  <c r="K45" i="35"/>
  <c r="J45" i="35"/>
  <c r="I45" i="35"/>
  <c r="H45" i="35"/>
  <c r="L44" i="35"/>
  <c r="K44" i="35"/>
  <c r="J44" i="35"/>
  <c r="I44" i="35"/>
  <c r="H44" i="35"/>
  <c r="L43" i="35"/>
  <c r="K43" i="35"/>
  <c r="J43" i="35"/>
  <c r="I43" i="35"/>
  <c r="H43" i="35"/>
  <c r="H38" i="35"/>
  <c r="K38" i="35" s="1"/>
  <c r="D38" i="35"/>
  <c r="E38" i="35" s="1"/>
  <c r="B38" i="35"/>
  <c r="H37" i="35"/>
  <c r="D37" i="35"/>
  <c r="E37" i="35" s="1"/>
  <c r="B37" i="35"/>
  <c r="H36" i="35"/>
  <c r="K36" i="35" s="1"/>
  <c r="D36" i="35"/>
  <c r="E36" i="35" s="1"/>
  <c r="B36" i="35"/>
  <c r="H35" i="35"/>
  <c r="D35" i="35"/>
  <c r="E35" i="35" s="1"/>
  <c r="B35" i="35"/>
  <c r="L32" i="35"/>
  <c r="K32" i="35"/>
  <c r="D32" i="35"/>
  <c r="E32" i="35" s="1"/>
  <c r="B32" i="35"/>
  <c r="L31" i="35"/>
  <c r="K31" i="35"/>
  <c r="D31" i="35"/>
  <c r="E31" i="35" s="1"/>
  <c r="B31" i="35"/>
  <c r="L30" i="35"/>
  <c r="K30" i="35"/>
  <c r="D30" i="35"/>
  <c r="E30" i="35" s="1"/>
  <c r="B30" i="35"/>
  <c r="L29" i="35"/>
  <c r="E29" i="35"/>
  <c r="B29" i="35"/>
  <c r="F26" i="35"/>
  <c r="F25" i="35"/>
  <c r="F24" i="35"/>
  <c r="I4" i="35"/>
  <c r="E4" i="35"/>
  <c r="A4" i="35"/>
  <c r="I3" i="35"/>
  <c r="E3" i="35"/>
  <c r="A3" i="35"/>
  <c r="G29" i="35" l="1"/>
  <c r="K29" i="35" s="1"/>
  <c r="G35" i="35"/>
  <c r="I35" i="35" s="1"/>
  <c r="G31" i="35"/>
  <c r="G37" i="35"/>
  <c r="I37" i="35" s="1"/>
  <c r="G30" i="35"/>
  <c r="G36" i="35"/>
  <c r="I36" i="35" s="1"/>
  <c r="G32" i="35"/>
  <c r="G38" i="35"/>
  <c r="I38" i="35" s="1"/>
  <c r="K37" i="35"/>
  <c r="K35" i="35"/>
  <c r="B30" i="2" l="1"/>
  <c r="C30" i="2"/>
  <c r="D30" i="2"/>
  <c r="E30" i="2"/>
  <c r="F30" i="2"/>
  <c r="G30" i="2"/>
  <c r="B31" i="2"/>
  <c r="C31" i="2"/>
  <c r="D31" i="2"/>
  <c r="E31" i="2"/>
  <c r="F31" i="2"/>
  <c r="G31" i="2"/>
  <c r="B32" i="2"/>
  <c r="C32" i="2"/>
  <c r="D32" i="2"/>
  <c r="E32" i="2"/>
  <c r="F32" i="2"/>
  <c r="G32" i="2"/>
  <c r="B33" i="2"/>
  <c r="C33" i="2"/>
  <c r="D33" i="2"/>
  <c r="E33" i="2"/>
  <c r="F33" i="2"/>
  <c r="G33" i="2"/>
  <c r="B34" i="2"/>
  <c r="C34" i="2"/>
  <c r="D34" i="2"/>
  <c r="E34" i="2"/>
  <c r="F34" i="2"/>
  <c r="G34" i="2"/>
  <c r="B35" i="2"/>
  <c r="C35" i="2"/>
  <c r="D35" i="2"/>
  <c r="E35" i="2"/>
  <c r="F35" i="2"/>
  <c r="G35" i="2"/>
  <c r="B36" i="2"/>
  <c r="C36" i="2"/>
  <c r="D36" i="2"/>
  <c r="E36" i="2"/>
  <c r="F36" i="2"/>
  <c r="G36" i="2"/>
  <c r="B37" i="2"/>
  <c r="C37" i="2"/>
  <c r="D37" i="2"/>
  <c r="E37" i="2"/>
  <c r="F37" i="2"/>
  <c r="G37" i="2"/>
  <c r="B38" i="2"/>
  <c r="C38" i="2"/>
  <c r="D38" i="2"/>
  <c r="E38" i="2"/>
  <c r="F38" i="2"/>
  <c r="G38" i="2"/>
  <c r="B39" i="2"/>
  <c r="C39" i="2"/>
  <c r="D39" i="2"/>
  <c r="E39" i="2"/>
  <c r="F39" i="2"/>
  <c r="G39" i="2"/>
  <c r="I12" i="29" l="1"/>
  <c r="F15" i="8"/>
  <c r="I9" i="26"/>
  <c r="G50" i="21"/>
  <c r="G51" i="21"/>
  <c r="G52" i="21"/>
  <c r="G53" i="21"/>
  <c r="G49" i="21"/>
  <c r="G43" i="21"/>
  <c r="G44" i="21"/>
  <c r="G45" i="21"/>
  <c r="G46" i="21"/>
  <c r="G35" i="21"/>
  <c r="B66" i="4"/>
  <c r="AR33" i="4"/>
  <c r="AN33" i="4"/>
  <c r="N33" i="4"/>
  <c r="T16" i="4"/>
  <c r="U16" i="4"/>
  <c r="G26" i="4"/>
  <c r="K3" i="10"/>
  <c r="L3" i="29"/>
  <c r="M3" i="30"/>
  <c r="L3" i="8"/>
  <c r="I3" i="26"/>
  <c r="F3" i="12"/>
  <c r="J3" i="32"/>
  <c r="J3" i="21"/>
  <c r="BB3" i="4"/>
  <c r="AM3" i="4"/>
  <c r="J3" i="4"/>
  <c r="U3" i="4" s="1"/>
  <c r="L3" i="3"/>
  <c r="L3" i="2"/>
  <c r="G3" i="1"/>
  <c r="I3" i="31"/>
  <c r="V4" i="4" l="1"/>
  <c r="V3" i="4"/>
  <c r="AA4" i="4"/>
  <c r="AA3" i="4"/>
  <c r="AE4" i="4"/>
  <c r="AE3" i="4"/>
  <c r="AN4" i="4"/>
  <c r="AN3" i="4"/>
  <c r="AS4" i="4"/>
  <c r="AS3" i="4"/>
  <c r="AX4" i="4"/>
  <c r="AX3" i="4"/>
  <c r="AZ41" i="4"/>
  <c r="AZ42" i="4"/>
  <c r="AZ43" i="4"/>
  <c r="AZ44" i="4"/>
  <c r="AZ40" i="4"/>
  <c r="AZ34" i="4"/>
  <c r="AZ35" i="4"/>
  <c r="AZ36" i="4"/>
  <c r="AZ37" i="4"/>
  <c r="AZ33" i="4"/>
  <c r="AV41" i="4"/>
  <c r="AV42" i="4"/>
  <c r="AV43" i="4"/>
  <c r="AV44" i="4"/>
  <c r="AV40" i="4"/>
  <c r="AV34" i="4"/>
  <c r="AV35" i="4"/>
  <c r="AV36" i="4"/>
  <c r="AV37" i="4"/>
  <c r="AV33" i="4"/>
  <c r="AO33" i="4"/>
  <c r="AE45" i="4"/>
  <c r="AJ45" i="4"/>
  <c r="AM45" i="4"/>
  <c r="AM38" i="4"/>
  <c r="AM46" i="4" s="1"/>
  <c r="AM47" i="4" s="1"/>
  <c r="AE38" i="4"/>
  <c r="AE46" i="4" s="1"/>
  <c r="AE47" i="4" s="1"/>
  <c r="AJ38" i="4"/>
  <c r="AJ46" i="4" s="1"/>
  <c r="AJ47" i="4" s="1"/>
  <c r="AA45" i="4"/>
  <c r="AB45" i="4"/>
  <c r="AB38" i="4"/>
  <c r="AB46" i="4" s="1"/>
  <c r="S45" i="4"/>
  <c r="S46" i="4" s="1"/>
  <c r="R45" i="4"/>
  <c r="O45" i="4"/>
  <c r="O38" i="4"/>
  <c r="AZ38" i="4" l="1"/>
  <c r="AZ46" i="4" s="1"/>
  <c r="AZ47" i="4" s="1"/>
  <c r="AV45" i="4"/>
  <c r="AZ45" i="4"/>
  <c r="AV38" i="4"/>
  <c r="AV46" i="4" s="1"/>
  <c r="AV47" i="4" s="1"/>
  <c r="O46" i="4"/>
  <c r="O47" i="4" s="1"/>
  <c r="G4" i="10" l="1"/>
  <c r="E4" i="10"/>
  <c r="H4" i="29"/>
  <c r="E4" i="29"/>
  <c r="I4" i="30"/>
  <c r="F4" i="30"/>
  <c r="I4" i="8"/>
  <c r="E4" i="8"/>
  <c r="F4" i="26"/>
  <c r="D4" i="26"/>
  <c r="F4" i="22"/>
  <c r="D4" i="22"/>
  <c r="D4" i="12"/>
  <c r="C4" i="12"/>
  <c r="G4" i="32"/>
  <c r="G3" i="32"/>
  <c r="D4" i="32"/>
  <c r="D3" i="32"/>
  <c r="A4" i="32"/>
  <c r="A3" i="32"/>
  <c r="F4" i="21" l="1"/>
  <c r="D4" i="21"/>
  <c r="H4" i="3" l="1"/>
  <c r="D4" i="3"/>
  <c r="F4" i="2"/>
  <c r="C4" i="2"/>
  <c r="E4" i="1"/>
  <c r="D4" i="1"/>
  <c r="M4" i="19"/>
  <c r="F4" i="19"/>
  <c r="E4" i="4"/>
  <c r="R4" i="4" s="1"/>
  <c r="C4" i="4"/>
  <c r="P4" i="4" s="1"/>
  <c r="F4" i="31"/>
  <c r="C4" i="31"/>
  <c r="F3" i="31" l="1"/>
  <c r="C3" i="31"/>
  <c r="A4" i="31"/>
  <c r="A3" i="31"/>
  <c r="B52" i="3" l="1"/>
  <c r="B51" i="3"/>
  <c r="H46" i="3"/>
  <c r="H47" i="3"/>
  <c r="H48" i="3"/>
  <c r="H49" i="3"/>
  <c r="H45" i="3"/>
  <c r="H40" i="3"/>
  <c r="H41" i="3"/>
  <c r="H42" i="3"/>
  <c r="H43" i="3"/>
  <c r="H39" i="3"/>
  <c r="G39" i="3"/>
  <c r="G46" i="3"/>
  <c r="G47" i="3"/>
  <c r="G48" i="3"/>
  <c r="G49" i="3"/>
  <c r="G45" i="3"/>
  <c r="G40" i="3"/>
  <c r="G41" i="3"/>
  <c r="G42" i="3"/>
  <c r="G43" i="3"/>
  <c r="F39" i="3"/>
  <c r="F46" i="3"/>
  <c r="F47" i="3"/>
  <c r="F48" i="3"/>
  <c r="F49" i="3"/>
  <c r="F45" i="3"/>
  <c r="E49" i="3"/>
  <c r="F40" i="3"/>
  <c r="F41" i="3"/>
  <c r="F42" i="3"/>
  <c r="F43" i="3"/>
  <c r="E39" i="3"/>
  <c r="E40" i="3"/>
  <c r="E41" i="3"/>
  <c r="E42" i="3"/>
  <c r="E43" i="3"/>
  <c r="E45" i="3"/>
  <c r="E46" i="3"/>
  <c r="E47" i="3"/>
  <c r="E48" i="3"/>
  <c r="D39" i="3"/>
  <c r="D46" i="3"/>
  <c r="D47" i="3"/>
  <c r="D48" i="3"/>
  <c r="D49" i="3"/>
  <c r="D45" i="3"/>
  <c r="C45" i="3"/>
  <c r="D40" i="3"/>
  <c r="D41" i="3"/>
  <c r="D42" i="3"/>
  <c r="D43" i="3"/>
  <c r="C39" i="3"/>
  <c r="C46" i="3"/>
  <c r="C47" i="3"/>
  <c r="C48" i="3"/>
  <c r="C49" i="3"/>
  <c r="B45" i="3"/>
  <c r="C43" i="3"/>
  <c r="C40" i="3"/>
  <c r="C41" i="3"/>
  <c r="C42" i="3"/>
  <c r="B39" i="3"/>
  <c r="B46" i="3"/>
  <c r="B47" i="3"/>
  <c r="B48" i="3"/>
  <c r="B49" i="3"/>
  <c r="B40" i="3"/>
  <c r="B41" i="3"/>
  <c r="B42" i="3"/>
  <c r="B43" i="3"/>
  <c r="H27" i="3"/>
  <c r="H28" i="3"/>
  <c r="H29" i="3"/>
  <c r="H30" i="3"/>
  <c r="H31" i="3"/>
  <c r="H32" i="3"/>
  <c r="H33" i="3"/>
  <c r="H34" i="3"/>
  <c r="H35" i="3"/>
  <c r="H26" i="3"/>
  <c r="G26" i="3"/>
  <c r="G27" i="3"/>
  <c r="G28" i="3"/>
  <c r="G29" i="3"/>
  <c r="G30" i="3"/>
  <c r="G31" i="3"/>
  <c r="G32" i="3"/>
  <c r="G33" i="3"/>
  <c r="G34" i="3"/>
  <c r="G35" i="3"/>
  <c r="F26" i="3"/>
  <c r="F27" i="3"/>
  <c r="F28" i="3"/>
  <c r="F29" i="3"/>
  <c r="F30" i="3"/>
  <c r="F31" i="3"/>
  <c r="F32" i="3"/>
  <c r="F33" i="3"/>
  <c r="F34" i="3"/>
  <c r="F35" i="3"/>
  <c r="E26" i="3"/>
  <c r="E27" i="3"/>
  <c r="E28" i="3"/>
  <c r="E29" i="3"/>
  <c r="E30" i="3"/>
  <c r="E31" i="3"/>
  <c r="E32" i="3"/>
  <c r="E33" i="3"/>
  <c r="E34" i="3"/>
  <c r="E35" i="3"/>
  <c r="D26" i="3"/>
  <c r="D27" i="3"/>
  <c r="D28" i="3"/>
  <c r="D29" i="3"/>
  <c r="D30" i="3"/>
  <c r="D31" i="3"/>
  <c r="D32" i="3"/>
  <c r="D33" i="3"/>
  <c r="D34" i="3"/>
  <c r="D35" i="3"/>
  <c r="C33" i="3"/>
  <c r="C34" i="3"/>
  <c r="C35" i="3"/>
  <c r="C27" i="3"/>
  <c r="C28" i="3"/>
  <c r="C29" i="3"/>
  <c r="C30" i="3"/>
  <c r="C31" i="3"/>
  <c r="C32" i="3"/>
  <c r="C26" i="3"/>
  <c r="A110" i="3"/>
  <c r="C309" i="3" l="1"/>
  <c r="C310" i="3"/>
  <c r="C308" i="3"/>
  <c r="B228" i="2"/>
  <c r="C304" i="3"/>
  <c r="C305" i="3"/>
  <c r="C303" i="3"/>
  <c r="B223" i="2"/>
  <c r="A309" i="3"/>
  <c r="A310" i="3"/>
  <c r="A308" i="3"/>
  <c r="A228" i="2"/>
  <c r="A304" i="3"/>
  <c r="A305" i="3"/>
  <c r="A303" i="3"/>
  <c r="A223" i="2"/>
  <c r="G80" i="3"/>
  <c r="G81" i="3"/>
  <c r="G82" i="3"/>
  <c r="G83" i="3"/>
  <c r="G79" i="3"/>
  <c r="F80" i="3"/>
  <c r="F81" i="3"/>
  <c r="F82" i="3"/>
  <c r="F83" i="3"/>
  <c r="F79" i="3"/>
  <c r="E80" i="3"/>
  <c r="E81" i="3"/>
  <c r="E82" i="3"/>
  <c r="E83" i="3"/>
  <c r="E79" i="3"/>
  <c r="D80" i="3"/>
  <c r="D81" i="3"/>
  <c r="D82" i="3"/>
  <c r="D83" i="3"/>
  <c r="D79" i="3"/>
  <c r="C80" i="3"/>
  <c r="C81" i="3"/>
  <c r="C82" i="3"/>
  <c r="C83" i="3"/>
  <c r="C79" i="3"/>
  <c r="B83" i="3"/>
  <c r="B80" i="3"/>
  <c r="B81" i="3"/>
  <c r="B82" i="3"/>
  <c r="B79" i="3"/>
  <c r="A119" i="3"/>
  <c r="A116" i="3"/>
  <c r="A117" i="3"/>
  <c r="A118" i="3"/>
  <c r="A112" i="3"/>
  <c r="A113" i="3"/>
  <c r="A114" i="3"/>
  <c r="A115" i="3"/>
  <c r="M11" i="3"/>
  <c r="M12" i="3"/>
  <c r="M13" i="3"/>
  <c r="M14" i="3"/>
  <c r="M15" i="3"/>
  <c r="M16" i="3"/>
  <c r="M17" i="3"/>
  <c r="M18" i="3"/>
  <c r="M19" i="3"/>
  <c r="M10" i="3"/>
  <c r="J11" i="3"/>
  <c r="K11" i="3"/>
  <c r="J12" i="3"/>
  <c r="K12" i="3"/>
  <c r="J13" i="3"/>
  <c r="K13" i="3"/>
  <c r="J14" i="3"/>
  <c r="K14" i="3"/>
  <c r="J15" i="3"/>
  <c r="K15" i="3"/>
  <c r="J16" i="3"/>
  <c r="K16" i="3"/>
  <c r="J17" i="3"/>
  <c r="K17" i="3"/>
  <c r="J18" i="3"/>
  <c r="K18" i="3"/>
  <c r="J19" i="3"/>
  <c r="K19" i="3"/>
  <c r="K10" i="3"/>
  <c r="J10" i="3"/>
  <c r="H11" i="3"/>
  <c r="H12" i="3"/>
  <c r="H13" i="3"/>
  <c r="H14" i="3"/>
  <c r="H15" i="3"/>
  <c r="H16" i="3"/>
  <c r="H17" i="3"/>
  <c r="H18" i="3"/>
  <c r="H19" i="3"/>
  <c r="H10" i="3"/>
  <c r="G11" i="3"/>
  <c r="G12" i="3"/>
  <c r="G13" i="3"/>
  <c r="G14" i="3"/>
  <c r="G15" i="3"/>
  <c r="G16" i="3"/>
  <c r="G17" i="3"/>
  <c r="G18" i="3"/>
  <c r="G19" i="3"/>
  <c r="G10" i="3"/>
  <c r="F11" i="3"/>
  <c r="F12" i="3"/>
  <c r="F13" i="3"/>
  <c r="F14" i="3"/>
  <c r="F15" i="3"/>
  <c r="F16" i="3"/>
  <c r="F17" i="3"/>
  <c r="F18" i="3"/>
  <c r="F19" i="3"/>
  <c r="F10" i="3"/>
  <c r="E11" i="3"/>
  <c r="E12" i="3"/>
  <c r="E13" i="3"/>
  <c r="E14" i="3"/>
  <c r="E15" i="3"/>
  <c r="E16" i="3"/>
  <c r="E17" i="3"/>
  <c r="E18" i="3"/>
  <c r="E19" i="3"/>
  <c r="E10" i="3"/>
  <c r="D11" i="3"/>
  <c r="D12" i="3"/>
  <c r="D13" i="3"/>
  <c r="D14" i="3"/>
  <c r="D15" i="3"/>
  <c r="D16" i="3"/>
  <c r="D17" i="3"/>
  <c r="D18" i="3"/>
  <c r="D19" i="3"/>
  <c r="D10" i="3"/>
  <c r="C11" i="3"/>
  <c r="C12" i="3"/>
  <c r="C13" i="3"/>
  <c r="C14" i="3"/>
  <c r="C15" i="3"/>
  <c r="C16" i="3"/>
  <c r="C17" i="3"/>
  <c r="C18" i="3"/>
  <c r="C19" i="3"/>
  <c r="C10" i="3"/>
  <c r="F108" i="2"/>
  <c r="G108" i="2"/>
  <c r="E108" i="2"/>
  <c r="C108" i="2"/>
  <c r="D108" i="2"/>
  <c r="B108" i="2"/>
  <c r="H17" i="26"/>
  <c r="H18" i="26" s="1"/>
  <c r="G30" i="26"/>
  <c r="G31" i="26" s="1"/>
  <c r="H30" i="26"/>
  <c r="D292" i="3"/>
  <c r="D289" i="3"/>
  <c r="D290" i="3"/>
  <c r="D291" i="3"/>
  <c r="D288" i="3"/>
  <c r="D283" i="3"/>
  <c r="D284" i="3"/>
  <c r="D285" i="3"/>
  <c r="D286" i="3"/>
  <c r="D282" i="3"/>
  <c r="D277" i="3"/>
  <c r="E277" i="3"/>
  <c r="F277" i="3"/>
  <c r="G277" i="3"/>
  <c r="H277" i="3"/>
  <c r="C277" i="3"/>
  <c r="D275" i="3"/>
  <c r="E275" i="3"/>
  <c r="F275" i="3"/>
  <c r="G275" i="3"/>
  <c r="H275" i="3"/>
  <c r="C275" i="3"/>
  <c r="D274" i="3"/>
  <c r="E274" i="3"/>
  <c r="F274" i="3"/>
  <c r="G274" i="3"/>
  <c r="H274" i="3"/>
  <c r="C274" i="3"/>
  <c r="D273" i="3"/>
  <c r="E273" i="3"/>
  <c r="F273" i="3"/>
  <c r="G273" i="3"/>
  <c r="H273" i="3"/>
  <c r="C273" i="3"/>
  <c r="G271" i="3"/>
  <c r="G257" i="3"/>
  <c r="E271" i="3"/>
  <c r="E257" i="3"/>
  <c r="C271" i="3"/>
  <c r="C257" i="3"/>
  <c r="D269" i="3"/>
  <c r="C269" i="3"/>
  <c r="D263" i="3"/>
  <c r="C263" i="3"/>
  <c r="D262" i="3"/>
  <c r="C262" i="3"/>
  <c r="D260" i="3"/>
  <c r="C260" i="3"/>
  <c r="D259" i="3"/>
  <c r="E259" i="3"/>
  <c r="F259" i="3"/>
  <c r="G259" i="3"/>
  <c r="H259" i="3"/>
  <c r="C259" i="3"/>
  <c r="D251" i="3"/>
  <c r="C251" i="3"/>
  <c r="D249" i="3"/>
  <c r="C249" i="3"/>
  <c r="D248" i="3"/>
  <c r="C248" i="3"/>
  <c r="D247" i="3"/>
  <c r="C247" i="3"/>
  <c r="D246" i="3"/>
  <c r="C246" i="3"/>
  <c r="D245" i="3"/>
  <c r="C245" i="3"/>
  <c r="C243" i="3"/>
  <c r="C229" i="3"/>
  <c r="D241" i="3"/>
  <c r="C241" i="3"/>
  <c r="D235" i="3"/>
  <c r="C235" i="3"/>
  <c r="D234" i="3"/>
  <c r="C234" i="3"/>
  <c r="D232" i="3"/>
  <c r="C232" i="3"/>
  <c r="D231" i="3"/>
  <c r="C231" i="3"/>
  <c r="H31" i="26" l="1"/>
  <c r="D113" i="3"/>
  <c r="C113" i="3"/>
  <c r="D116" i="3"/>
  <c r="C116" i="3"/>
  <c r="C115" i="3"/>
  <c r="D115" i="3"/>
  <c r="C118" i="3"/>
  <c r="D118" i="3"/>
  <c r="C119" i="3"/>
  <c r="D119" i="3"/>
  <c r="C114" i="3"/>
  <c r="D114" i="3"/>
  <c r="D117" i="3"/>
  <c r="C117" i="3"/>
  <c r="D112" i="3"/>
  <c r="C112" i="3"/>
  <c r="C306" i="3"/>
  <c r="C311" i="3"/>
  <c r="C261" i="3"/>
  <c r="D261" i="3"/>
  <c r="C264" i="3"/>
  <c r="D264" i="3"/>
  <c r="D233" i="3"/>
  <c r="D236" i="3"/>
  <c r="C233" i="3"/>
  <c r="C236" i="3"/>
  <c r="K26" i="4"/>
  <c r="C265" i="3" l="1"/>
  <c r="C312" i="3"/>
  <c r="D265" i="3"/>
  <c r="C237" i="3"/>
  <c r="D237" i="3"/>
  <c r="B229" i="2"/>
  <c r="B230" i="2"/>
  <c r="B224" i="2"/>
  <c r="B225" i="2"/>
  <c r="A229" i="2"/>
  <c r="A230" i="2"/>
  <c r="A224" i="2"/>
  <c r="A225" i="2"/>
  <c r="E20" i="10"/>
  <c r="F20" i="10"/>
  <c r="G20" i="10"/>
  <c r="H20" i="10"/>
  <c r="D20" i="10"/>
  <c r="E15" i="10"/>
  <c r="F15" i="10"/>
  <c r="G15" i="10"/>
  <c r="H15" i="10"/>
  <c r="D15" i="10"/>
  <c r="I13" i="10"/>
  <c r="C224" i="2" s="1"/>
  <c r="I14" i="10"/>
  <c r="D305" i="3" s="1"/>
  <c r="F238" i="2"/>
  <c r="F239" i="2"/>
  <c r="F240" i="2"/>
  <c r="E240" i="2"/>
  <c r="F237" i="2"/>
  <c r="E238" i="2"/>
  <c r="E239" i="2"/>
  <c r="E237" i="2"/>
  <c r="D240" i="2"/>
  <c r="D238" i="2"/>
  <c r="D239" i="2"/>
  <c r="D237" i="2"/>
  <c r="C240" i="2"/>
  <c r="C238" i="2"/>
  <c r="C239" i="2"/>
  <c r="C237" i="2"/>
  <c r="B240" i="2"/>
  <c r="B238" i="2"/>
  <c r="B239" i="2"/>
  <c r="B237" i="2"/>
  <c r="A238" i="2"/>
  <c r="A239" i="2"/>
  <c r="A240" i="2"/>
  <c r="A237" i="2"/>
  <c r="C212" i="2"/>
  <c r="C209" i="2"/>
  <c r="C210" i="2"/>
  <c r="C211" i="2"/>
  <c r="C203" i="2"/>
  <c r="C204" i="2"/>
  <c r="C205" i="2"/>
  <c r="C206" i="2"/>
  <c r="C202" i="2"/>
  <c r="C208" i="2"/>
  <c r="C196" i="2"/>
  <c r="D196" i="2"/>
  <c r="E196" i="2"/>
  <c r="F196" i="2"/>
  <c r="G196" i="2"/>
  <c r="B196" i="2"/>
  <c r="C194" i="2"/>
  <c r="D194" i="2"/>
  <c r="E194" i="2"/>
  <c r="F194" i="2"/>
  <c r="G194" i="2"/>
  <c r="B194" i="2"/>
  <c r="C193" i="2"/>
  <c r="D193" i="2"/>
  <c r="E193" i="2"/>
  <c r="F193" i="2"/>
  <c r="G193" i="2"/>
  <c r="B193" i="2"/>
  <c r="C192" i="2"/>
  <c r="D192" i="2"/>
  <c r="E192" i="2"/>
  <c r="F192" i="2"/>
  <c r="G192" i="2"/>
  <c r="B192" i="2"/>
  <c r="C191" i="2"/>
  <c r="D191" i="2"/>
  <c r="E191" i="2"/>
  <c r="F191" i="2"/>
  <c r="G191" i="2"/>
  <c r="B191" i="2"/>
  <c r="F189" i="2"/>
  <c r="F169" i="2"/>
  <c r="D189" i="2"/>
  <c r="D169" i="2"/>
  <c r="B189" i="2"/>
  <c r="B169" i="2"/>
  <c r="C185" i="2"/>
  <c r="D185" i="2"/>
  <c r="E185" i="2"/>
  <c r="F185" i="2"/>
  <c r="G185" i="2"/>
  <c r="B185" i="2"/>
  <c r="C184" i="2"/>
  <c r="D184" i="2"/>
  <c r="E184" i="2"/>
  <c r="F184" i="2"/>
  <c r="G184" i="2"/>
  <c r="B184" i="2"/>
  <c r="C183" i="2"/>
  <c r="D183" i="2"/>
  <c r="E183" i="2"/>
  <c r="F183" i="2"/>
  <c r="G183" i="2"/>
  <c r="B183" i="2"/>
  <c r="C182" i="2"/>
  <c r="D182" i="2"/>
  <c r="E182" i="2"/>
  <c r="F182" i="2"/>
  <c r="G182" i="2"/>
  <c r="B182" i="2"/>
  <c r="C179" i="2"/>
  <c r="D179" i="2"/>
  <c r="E179" i="2"/>
  <c r="F179" i="2"/>
  <c r="G179" i="2"/>
  <c r="B179" i="2"/>
  <c r="C178" i="2"/>
  <c r="D178" i="2"/>
  <c r="E178" i="2"/>
  <c r="F178" i="2"/>
  <c r="G178" i="2"/>
  <c r="B178" i="2"/>
  <c r="C177" i="2"/>
  <c r="D177" i="2"/>
  <c r="E177" i="2"/>
  <c r="F177" i="2"/>
  <c r="G177" i="2"/>
  <c r="B177" i="2"/>
  <c r="C175" i="2"/>
  <c r="D175" i="2"/>
  <c r="E175" i="2"/>
  <c r="F175" i="2"/>
  <c r="G175" i="2"/>
  <c r="B175" i="2"/>
  <c r="C174" i="2"/>
  <c r="D174" i="2"/>
  <c r="E174" i="2"/>
  <c r="F174" i="2"/>
  <c r="G174" i="2"/>
  <c r="B174" i="2"/>
  <c r="C172" i="2"/>
  <c r="D172" i="2"/>
  <c r="E172" i="2"/>
  <c r="F172" i="2"/>
  <c r="G172" i="2"/>
  <c r="B172" i="2"/>
  <c r="C171" i="2"/>
  <c r="D171" i="2"/>
  <c r="E171" i="2"/>
  <c r="F171" i="2"/>
  <c r="G171" i="2"/>
  <c r="B171" i="2"/>
  <c r="B153" i="2"/>
  <c r="B132" i="2"/>
  <c r="C162" i="2"/>
  <c r="B162" i="2"/>
  <c r="C160" i="2"/>
  <c r="B160" i="2"/>
  <c r="C159" i="2"/>
  <c r="B159" i="2"/>
  <c r="C158" i="2"/>
  <c r="B158" i="2"/>
  <c r="C157" i="2"/>
  <c r="B157" i="2"/>
  <c r="C156" i="2"/>
  <c r="B156" i="2"/>
  <c r="C155" i="2"/>
  <c r="B155" i="2"/>
  <c r="C151" i="2"/>
  <c r="B151" i="2"/>
  <c r="C149" i="2"/>
  <c r="B149" i="2"/>
  <c r="C148" i="2"/>
  <c r="B148" i="2"/>
  <c r="C147" i="2"/>
  <c r="B147" i="2"/>
  <c r="C146" i="2"/>
  <c r="B146" i="2"/>
  <c r="C143" i="2"/>
  <c r="B143" i="2"/>
  <c r="C142" i="2"/>
  <c r="B142" i="2"/>
  <c r="C141" i="2"/>
  <c r="B141" i="2"/>
  <c r="C139" i="2"/>
  <c r="B139" i="2"/>
  <c r="C138" i="2"/>
  <c r="C140" i="2" s="1"/>
  <c r="B138" i="2"/>
  <c r="C136" i="2"/>
  <c r="B136" i="2"/>
  <c r="C135" i="2"/>
  <c r="B135" i="2"/>
  <c r="C134" i="2"/>
  <c r="B134" i="2"/>
  <c r="G124" i="2"/>
  <c r="G121" i="2"/>
  <c r="G122" i="2"/>
  <c r="G123" i="2"/>
  <c r="G120" i="2"/>
  <c r="F124" i="2"/>
  <c r="E124" i="2"/>
  <c r="F121" i="2"/>
  <c r="F122" i="2"/>
  <c r="F123" i="2"/>
  <c r="F120" i="2"/>
  <c r="E121" i="2"/>
  <c r="E122" i="2"/>
  <c r="E123" i="2"/>
  <c r="E120" i="2"/>
  <c r="D124" i="2"/>
  <c r="D121" i="2"/>
  <c r="D122" i="2"/>
  <c r="D123" i="2"/>
  <c r="D120" i="2"/>
  <c r="C124" i="2"/>
  <c r="C121" i="2"/>
  <c r="C122" i="2"/>
  <c r="C123" i="2"/>
  <c r="C120" i="2"/>
  <c r="B124" i="2"/>
  <c r="B121" i="2"/>
  <c r="B122" i="2"/>
  <c r="B123" i="2"/>
  <c r="B120" i="2"/>
  <c r="G115" i="2"/>
  <c r="G116" i="2"/>
  <c r="G117" i="2"/>
  <c r="G118" i="2"/>
  <c r="G114" i="2"/>
  <c r="F114" i="2"/>
  <c r="F115" i="2"/>
  <c r="F116" i="2"/>
  <c r="F117" i="2"/>
  <c r="F118" i="2"/>
  <c r="E115" i="2"/>
  <c r="E116" i="2"/>
  <c r="E117" i="2"/>
  <c r="E118" i="2"/>
  <c r="E114" i="2"/>
  <c r="D115" i="2"/>
  <c r="D116" i="2"/>
  <c r="D117" i="2"/>
  <c r="D118" i="2"/>
  <c r="D114" i="2"/>
  <c r="C115" i="2"/>
  <c r="C116" i="2"/>
  <c r="C117" i="2"/>
  <c r="C118" i="2"/>
  <c r="C114" i="2"/>
  <c r="B115" i="2"/>
  <c r="B116" i="2"/>
  <c r="B117" i="2"/>
  <c r="B118" i="2"/>
  <c r="B114" i="2"/>
  <c r="B30" i="19"/>
  <c r="A121" i="2" s="1"/>
  <c r="B31" i="19"/>
  <c r="A122" i="2" s="1"/>
  <c r="B32" i="19"/>
  <c r="A123" i="2" s="1"/>
  <c r="B33" i="19"/>
  <c r="A124" i="2" s="1"/>
  <c r="B29" i="19"/>
  <c r="A120" i="2" s="1"/>
  <c r="B27" i="19"/>
  <c r="A118" i="2" s="1"/>
  <c r="B24" i="19"/>
  <c r="A115" i="2" s="1"/>
  <c r="B25" i="19"/>
  <c r="A116" i="2" s="1"/>
  <c r="B26" i="19"/>
  <c r="A117" i="2" s="1"/>
  <c r="B23" i="19"/>
  <c r="A114" i="2" s="1"/>
  <c r="B19" i="19"/>
  <c r="B20" i="19"/>
  <c r="B21" i="19"/>
  <c r="B13" i="19"/>
  <c r="A31" i="2" s="1"/>
  <c r="B14" i="19"/>
  <c r="B15" i="19"/>
  <c r="B16" i="19"/>
  <c r="B17" i="19"/>
  <c r="B18" i="19"/>
  <c r="B12" i="19"/>
  <c r="F11" i="1"/>
  <c r="B137" i="2" l="1"/>
  <c r="B35" i="3"/>
  <c r="A39" i="2"/>
  <c r="B34" i="3"/>
  <c r="A38" i="2"/>
  <c r="B32" i="3"/>
  <c r="A36" i="2"/>
  <c r="B33" i="3"/>
  <c r="A37" i="2"/>
  <c r="B31" i="3"/>
  <c r="A35" i="2"/>
  <c r="B30" i="3"/>
  <c r="A34" i="2"/>
  <c r="B29" i="3"/>
  <c r="A33" i="2"/>
  <c r="B26" i="3"/>
  <c r="A30" i="2"/>
  <c r="B28" i="3"/>
  <c r="A32" i="2"/>
  <c r="D21" i="10"/>
  <c r="A111" i="3"/>
  <c r="D111" i="3" s="1"/>
  <c r="B27" i="3"/>
  <c r="D110" i="3"/>
  <c r="C110" i="3"/>
  <c r="B140" i="2"/>
  <c r="H21" i="10"/>
  <c r="E21" i="10"/>
  <c r="F21" i="10"/>
  <c r="G21" i="10"/>
  <c r="J13" i="10"/>
  <c r="D304" i="3"/>
  <c r="C225" i="2"/>
  <c r="J14" i="10"/>
  <c r="B14" i="3"/>
  <c r="B19" i="3"/>
  <c r="B10" i="3"/>
  <c r="B13" i="3"/>
  <c r="B18" i="3"/>
  <c r="B15" i="3"/>
  <c r="B11" i="3"/>
  <c r="B16" i="3"/>
  <c r="B12" i="3"/>
  <c r="B17" i="3"/>
  <c r="B226" i="2"/>
  <c r="B231" i="2"/>
  <c r="E173" i="2"/>
  <c r="E176" i="2"/>
  <c r="B173" i="2"/>
  <c r="D173" i="2"/>
  <c r="B176" i="2"/>
  <c r="D176" i="2"/>
  <c r="F173" i="2"/>
  <c r="F176" i="2"/>
  <c r="G173" i="2"/>
  <c r="C173" i="2"/>
  <c r="G176" i="2"/>
  <c r="C176" i="2"/>
  <c r="C137" i="2"/>
  <c r="C39" i="1"/>
  <c r="J74" i="4"/>
  <c r="J75" i="4"/>
  <c r="J76" i="4"/>
  <c r="J77" i="4"/>
  <c r="J73" i="4"/>
  <c r="J67" i="4"/>
  <c r="J68" i="4"/>
  <c r="J69" i="4"/>
  <c r="J70" i="4"/>
  <c r="J66" i="4"/>
  <c r="Q78" i="4"/>
  <c r="E41" i="1" s="1"/>
  <c r="P78" i="4"/>
  <c r="D41" i="1" s="1"/>
  <c r="O78" i="4"/>
  <c r="E36" i="1" s="1"/>
  <c r="N78" i="4"/>
  <c r="D36" i="1" s="1"/>
  <c r="M78" i="4"/>
  <c r="C41" i="1" s="1"/>
  <c r="L78" i="4"/>
  <c r="C36" i="1" s="1"/>
  <c r="I78" i="4"/>
  <c r="E31" i="1" s="1"/>
  <c r="H78" i="4"/>
  <c r="D31" i="1" s="1"/>
  <c r="G78" i="4"/>
  <c r="C31" i="1" s="1"/>
  <c r="Q71" i="4"/>
  <c r="E40" i="1" s="1"/>
  <c r="N71" i="4"/>
  <c r="D35" i="1" s="1"/>
  <c r="O71" i="4"/>
  <c r="E35" i="1" s="1"/>
  <c r="P71" i="4"/>
  <c r="M71" i="4"/>
  <c r="C40" i="1" s="1"/>
  <c r="L71" i="4"/>
  <c r="C35" i="1" s="1"/>
  <c r="I71" i="4"/>
  <c r="E30" i="1" s="1"/>
  <c r="H71" i="4"/>
  <c r="D30" i="1" s="1"/>
  <c r="G71" i="4"/>
  <c r="C30" i="1" s="1"/>
  <c r="AL45" i="4"/>
  <c r="AK45" i="4"/>
  <c r="AI45" i="4"/>
  <c r="AH45" i="4"/>
  <c r="AG45" i="4"/>
  <c r="AF45" i="4"/>
  <c r="AD45" i="4"/>
  <c r="AC45" i="4"/>
  <c r="Z45" i="4"/>
  <c r="Y45" i="4"/>
  <c r="X45" i="4"/>
  <c r="W45" i="4"/>
  <c r="C20" i="1" s="1"/>
  <c r="V45" i="4"/>
  <c r="C15" i="1" s="1"/>
  <c r="AL38" i="4"/>
  <c r="AL46" i="4" s="1"/>
  <c r="AL47" i="4" s="1"/>
  <c r="AD38" i="4"/>
  <c r="AD46" i="4" s="1"/>
  <c r="AD47" i="4" s="1"/>
  <c r="AF38" i="4"/>
  <c r="AF46" i="4" s="1"/>
  <c r="AG38" i="4"/>
  <c r="AG46" i="4" s="1"/>
  <c r="AG47" i="4" s="1"/>
  <c r="AH38" i="4"/>
  <c r="AH46" i="4" s="1"/>
  <c r="AH47" i="4" s="1"/>
  <c r="AI38" i="4"/>
  <c r="AI46" i="4" s="1"/>
  <c r="AI47" i="4" s="1"/>
  <c r="AK38" i="4"/>
  <c r="AK46" i="4" s="1"/>
  <c r="X38" i="4"/>
  <c r="X46" i="4" s="1"/>
  <c r="Y38" i="4"/>
  <c r="Y46" i="4" s="1"/>
  <c r="Y47" i="4" s="1"/>
  <c r="Z38" i="4"/>
  <c r="AA38" i="4"/>
  <c r="AA46" i="4" s="1"/>
  <c r="AA47" i="4" s="1"/>
  <c r="AC38" i="4"/>
  <c r="AC46" i="4" s="1"/>
  <c r="W38" i="4"/>
  <c r="W46" i="4" s="1"/>
  <c r="V38" i="4"/>
  <c r="C14" i="1" s="1"/>
  <c r="Q45" i="4"/>
  <c r="P45" i="4"/>
  <c r="M45" i="4"/>
  <c r="L45" i="4"/>
  <c r="K45" i="4"/>
  <c r="J45" i="4"/>
  <c r="H45" i="4"/>
  <c r="Q38" i="4"/>
  <c r="R38" i="4"/>
  <c r="P38" i="4"/>
  <c r="K38" i="4"/>
  <c r="L38" i="4"/>
  <c r="M38" i="4"/>
  <c r="J38" i="4"/>
  <c r="H38" i="4"/>
  <c r="C9" i="1" s="1"/>
  <c r="N63" i="4"/>
  <c r="D34" i="1" s="1"/>
  <c r="O63" i="4"/>
  <c r="E34" i="1" s="1"/>
  <c r="P63" i="4"/>
  <c r="Q63" i="4"/>
  <c r="M63" i="4"/>
  <c r="L63" i="4"/>
  <c r="J54" i="4"/>
  <c r="J55" i="4"/>
  <c r="J56" i="4"/>
  <c r="J57" i="4"/>
  <c r="J58" i="4"/>
  <c r="J59" i="4"/>
  <c r="J60" i="4"/>
  <c r="J61" i="4"/>
  <c r="J62" i="4"/>
  <c r="J53" i="4"/>
  <c r="H63" i="4"/>
  <c r="D29" i="1" s="1"/>
  <c r="I63" i="4"/>
  <c r="E29" i="1" s="1"/>
  <c r="G63" i="4"/>
  <c r="C29" i="1" s="1"/>
  <c r="R68" i="4"/>
  <c r="S68" i="4"/>
  <c r="T68" i="4"/>
  <c r="R69" i="4"/>
  <c r="S69" i="4"/>
  <c r="T69" i="4"/>
  <c r="R70" i="4"/>
  <c r="S70" i="4"/>
  <c r="T70" i="4"/>
  <c r="R73" i="4"/>
  <c r="S73" i="4"/>
  <c r="T73" i="4"/>
  <c r="R74" i="4"/>
  <c r="S74" i="4"/>
  <c r="T74" i="4"/>
  <c r="R75" i="4"/>
  <c r="S75" i="4"/>
  <c r="T75" i="4"/>
  <c r="R76" i="4"/>
  <c r="S76" i="4"/>
  <c r="T76" i="4"/>
  <c r="R77" i="4"/>
  <c r="S77" i="4"/>
  <c r="T77" i="4"/>
  <c r="R59" i="4"/>
  <c r="S59" i="4"/>
  <c r="T59" i="4"/>
  <c r="R60" i="4"/>
  <c r="S60" i="4"/>
  <c r="T60" i="4"/>
  <c r="R61" i="4"/>
  <c r="S61" i="4"/>
  <c r="T61" i="4"/>
  <c r="R62" i="4"/>
  <c r="S62" i="4"/>
  <c r="T62" i="4"/>
  <c r="R64" i="4"/>
  <c r="S64" i="4"/>
  <c r="T64" i="4"/>
  <c r="R66" i="4"/>
  <c r="S66" i="4"/>
  <c r="T66" i="4"/>
  <c r="R67" i="4"/>
  <c r="S67" i="4"/>
  <c r="T67" i="4"/>
  <c r="R53" i="4"/>
  <c r="S53" i="4"/>
  <c r="T53" i="4"/>
  <c r="R54" i="4"/>
  <c r="S54" i="4"/>
  <c r="T54" i="4"/>
  <c r="R55" i="4"/>
  <c r="S55" i="4"/>
  <c r="T55" i="4"/>
  <c r="R56" i="4"/>
  <c r="S56" i="4"/>
  <c r="T56" i="4"/>
  <c r="R57" i="4"/>
  <c r="S57" i="4"/>
  <c r="T57" i="4"/>
  <c r="R58" i="4"/>
  <c r="S58" i="4"/>
  <c r="T58" i="4"/>
  <c r="B55" i="4"/>
  <c r="B67" i="4"/>
  <c r="B68" i="4"/>
  <c r="B69" i="4"/>
  <c r="B70" i="4"/>
  <c r="B73" i="4"/>
  <c r="B74" i="4"/>
  <c r="B75" i="4"/>
  <c r="B76" i="4"/>
  <c r="B77" i="4"/>
  <c r="B54" i="4"/>
  <c r="B56" i="4"/>
  <c r="B57" i="4"/>
  <c r="B58" i="4"/>
  <c r="B59" i="4"/>
  <c r="B60" i="4"/>
  <c r="B61" i="4"/>
  <c r="B62" i="4"/>
  <c r="B53" i="4"/>
  <c r="AR34" i="4"/>
  <c r="AS34" i="4"/>
  <c r="AT34" i="4"/>
  <c r="AR35" i="4"/>
  <c r="AS35" i="4"/>
  <c r="AT35" i="4"/>
  <c r="AR36" i="4"/>
  <c r="AS36" i="4"/>
  <c r="AT36" i="4"/>
  <c r="AR37" i="4"/>
  <c r="AS37" i="4"/>
  <c r="AT37" i="4"/>
  <c r="AR40" i="4"/>
  <c r="H19" i="36" s="1"/>
  <c r="AS40" i="4"/>
  <c r="K19" i="36" s="1"/>
  <c r="AT40" i="4"/>
  <c r="N19" i="36" s="1"/>
  <c r="AR41" i="4"/>
  <c r="H20" i="36" s="1"/>
  <c r="I20" i="36" s="1"/>
  <c r="AS41" i="4"/>
  <c r="K20" i="36" s="1"/>
  <c r="L20" i="36" s="1"/>
  <c r="AT41" i="4"/>
  <c r="N20" i="36" s="1"/>
  <c r="O20" i="36" s="1"/>
  <c r="AR42" i="4"/>
  <c r="H21" i="36" s="1"/>
  <c r="I21" i="36" s="1"/>
  <c r="AS42" i="4"/>
  <c r="K21" i="36" s="1"/>
  <c r="L21" i="36" s="1"/>
  <c r="AT42" i="4"/>
  <c r="N21" i="36" s="1"/>
  <c r="O21" i="36" s="1"/>
  <c r="AR43" i="4"/>
  <c r="AS43" i="4"/>
  <c r="AT43" i="4"/>
  <c r="AR44" i="4"/>
  <c r="AS44" i="4"/>
  <c r="AT44" i="4"/>
  <c r="AN34" i="4"/>
  <c r="AO34" i="4"/>
  <c r="AP34" i="4"/>
  <c r="AN35" i="4"/>
  <c r="AO35" i="4"/>
  <c r="AP35" i="4"/>
  <c r="AN36" i="4"/>
  <c r="AO36" i="4"/>
  <c r="AP36" i="4"/>
  <c r="AN37" i="4"/>
  <c r="AO37" i="4"/>
  <c r="AP37" i="4"/>
  <c r="AN40" i="4"/>
  <c r="AO40" i="4"/>
  <c r="D19" i="36" s="1"/>
  <c r="AP40" i="4"/>
  <c r="AN41" i="4"/>
  <c r="AO41" i="4"/>
  <c r="D20" i="36" s="1"/>
  <c r="AP41" i="4"/>
  <c r="AN42" i="4"/>
  <c r="AO42" i="4"/>
  <c r="D21" i="36" s="1"/>
  <c r="AP42" i="4"/>
  <c r="AN43" i="4"/>
  <c r="AO43" i="4"/>
  <c r="AP43" i="4"/>
  <c r="AN44" i="4"/>
  <c r="AO44" i="4"/>
  <c r="AP44" i="4"/>
  <c r="AQ34" i="4"/>
  <c r="AQ35" i="4"/>
  <c r="AQ36" i="4"/>
  <c r="AQ37" i="4"/>
  <c r="AQ40" i="4"/>
  <c r="E19" i="36" s="1"/>
  <c r="AQ41" i="4"/>
  <c r="E20" i="36" s="1"/>
  <c r="F20" i="36" s="1"/>
  <c r="AQ42" i="4"/>
  <c r="E21" i="36" s="1"/>
  <c r="AQ43" i="4"/>
  <c r="AQ44" i="4"/>
  <c r="AQ33" i="4"/>
  <c r="AW43" i="4"/>
  <c r="AX43" i="4"/>
  <c r="AY43" i="4"/>
  <c r="AW44" i="4"/>
  <c r="AX44" i="4"/>
  <c r="AY44" i="4"/>
  <c r="AW34" i="4"/>
  <c r="AX34" i="4"/>
  <c r="AY34" i="4"/>
  <c r="AW35" i="4"/>
  <c r="AX35" i="4"/>
  <c r="AY35" i="4"/>
  <c r="AW36" i="4"/>
  <c r="AX36" i="4"/>
  <c r="AY36" i="4"/>
  <c r="AW37" i="4"/>
  <c r="AX37" i="4"/>
  <c r="AY37" i="4"/>
  <c r="AW40" i="4"/>
  <c r="AX40" i="4"/>
  <c r="AY40" i="4"/>
  <c r="AW41" i="4"/>
  <c r="AX41" i="4"/>
  <c r="AY41" i="4"/>
  <c r="AW42" i="4"/>
  <c r="AX42" i="4"/>
  <c r="AY42" i="4"/>
  <c r="AY33" i="4"/>
  <c r="AX33" i="4"/>
  <c r="AW33" i="4"/>
  <c r="AT33" i="4"/>
  <c r="AS33" i="4"/>
  <c r="AP33" i="4"/>
  <c r="Z47" i="4"/>
  <c r="AD17" i="4"/>
  <c r="AE17" i="4"/>
  <c r="AF17" i="4"/>
  <c r="AG17" i="4"/>
  <c r="AD18" i="4"/>
  <c r="AE18" i="4"/>
  <c r="AF18" i="4"/>
  <c r="AG18" i="4"/>
  <c r="AD19" i="4"/>
  <c r="AE19" i="4"/>
  <c r="AF19" i="4"/>
  <c r="AG19" i="4"/>
  <c r="AD20" i="4"/>
  <c r="AE20" i="4"/>
  <c r="AF20" i="4"/>
  <c r="AG20" i="4"/>
  <c r="AD21" i="4"/>
  <c r="AE21" i="4"/>
  <c r="AF21" i="4"/>
  <c r="AG21" i="4"/>
  <c r="AD22" i="4"/>
  <c r="AE22" i="4"/>
  <c r="AF22" i="4"/>
  <c r="AG22" i="4"/>
  <c r="AD23" i="4"/>
  <c r="AE23" i="4"/>
  <c r="AF23" i="4"/>
  <c r="AG23" i="4"/>
  <c r="AD24" i="4"/>
  <c r="AE24" i="4"/>
  <c r="AF24" i="4"/>
  <c r="AG24" i="4"/>
  <c r="AD25" i="4"/>
  <c r="AE25" i="4"/>
  <c r="AF25" i="4"/>
  <c r="AG25" i="4"/>
  <c r="AB17" i="4"/>
  <c r="AC17" i="4"/>
  <c r="AB18" i="4"/>
  <c r="AC18" i="4"/>
  <c r="AB19" i="4"/>
  <c r="AC19" i="4"/>
  <c r="AB20" i="4"/>
  <c r="AC20" i="4"/>
  <c r="AB21" i="4"/>
  <c r="AC21" i="4"/>
  <c r="AB22" i="4"/>
  <c r="AC22" i="4"/>
  <c r="AB23" i="4"/>
  <c r="AC23" i="4"/>
  <c r="AB24" i="4"/>
  <c r="AC24" i="4"/>
  <c r="AB25" i="4"/>
  <c r="AC25" i="4"/>
  <c r="AG16" i="4"/>
  <c r="AE16" i="4"/>
  <c r="AF16" i="4"/>
  <c r="AD16" i="4"/>
  <c r="AB16" i="4"/>
  <c r="V26" i="4"/>
  <c r="C13" i="1" s="1"/>
  <c r="W26" i="4"/>
  <c r="C18" i="1" s="1"/>
  <c r="X26" i="4"/>
  <c r="D13" i="1" s="1"/>
  <c r="Y26" i="4"/>
  <c r="E13" i="1" s="1"/>
  <c r="Z26" i="4"/>
  <c r="D18" i="1" s="1"/>
  <c r="AA26" i="4"/>
  <c r="E18" i="1" s="1"/>
  <c r="T44" i="4"/>
  <c r="N44" i="4"/>
  <c r="U44" i="4" s="1"/>
  <c r="T43" i="4"/>
  <c r="N43" i="4"/>
  <c r="U43" i="4" s="1"/>
  <c r="T42" i="4"/>
  <c r="N42" i="4"/>
  <c r="U42" i="4" s="1"/>
  <c r="T41" i="4"/>
  <c r="N41" i="4"/>
  <c r="U41" i="4" s="1"/>
  <c r="T40" i="4"/>
  <c r="N40" i="4"/>
  <c r="U40" i="4" s="1"/>
  <c r="T37" i="4"/>
  <c r="N37" i="4"/>
  <c r="U37" i="4" s="1"/>
  <c r="T36" i="4"/>
  <c r="N36" i="4"/>
  <c r="U36" i="4" s="1"/>
  <c r="T35" i="4"/>
  <c r="N35" i="4"/>
  <c r="U35" i="4" s="1"/>
  <c r="T34" i="4"/>
  <c r="N34" i="4"/>
  <c r="U34" i="4" s="1"/>
  <c r="U33" i="4"/>
  <c r="M54" i="30"/>
  <c r="E51" i="30"/>
  <c r="E48" i="30"/>
  <c r="E49" i="30"/>
  <c r="E47" i="30"/>
  <c r="I39" i="30"/>
  <c r="J39" i="30" s="1"/>
  <c r="I40" i="30"/>
  <c r="J40" i="30" s="1"/>
  <c r="I41" i="30"/>
  <c r="K41" i="30" s="1"/>
  <c r="I38" i="30"/>
  <c r="M32" i="30"/>
  <c r="M33" i="30"/>
  <c r="H32" i="30"/>
  <c r="I32" i="30" s="1"/>
  <c r="H33" i="30"/>
  <c r="I33" i="30" s="1"/>
  <c r="I31" i="30"/>
  <c r="A4" i="30"/>
  <c r="I3" i="30"/>
  <c r="F3" i="30"/>
  <c r="A3" i="30"/>
  <c r="D52" i="30"/>
  <c r="C52" i="30"/>
  <c r="L51" i="30"/>
  <c r="M51" i="30" s="1"/>
  <c r="D50" i="30"/>
  <c r="C50" i="30"/>
  <c r="L49" i="30"/>
  <c r="M49" i="30" s="1"/>
  <c r="L48" i="30"/>
  <c r="M48" i="30" s="1"/>
  <c r="L47" i="30"/>
  <c r="M47" i="30" s="1"/>
  <c r="F27" i="30"/>
  <c r="E27" i="30"/>
  <c r="D27" i="30"/>
  <c r="G26" i="30"/>
  <c r="G25" i="30"/>
  <c r="G24" i="30"/>
  <c r="K26" i="29"/>
  <c r="I22" i="29"/>
  <c r="I23" i="29"/>
  <c r="I24" i="29"/>
  <c r="I25" i="29"/>
  <c r="I21" i="29"/>
  <c r="I13" i="29"/>
  <c r="I14" i="29"/>
  <c r="I15" i="29"/>
  <c r="I16" i="29"/>
  <c r="A4" i="29"/>
  <c r="H3" i="29"/>
  <c r="E3" i="29"/>
  <c r="A3" i="29"/>
  <c r="H26" i="29"/>
  <c r="G26" i="29"/>
  <c r="F26" i="29"/>
  <c r="J25" i="29"/>
  <c r="J24" i="29"/>
  <c r="J23" i="29"/>
  <c r="J22" i="29"/>
  <c r="J21" i="29"/>
  <c r="K17" i="29"/>
  <c r="H17" i="29"/>
  <c r="G17" i="29"/>
  <c r="F17" i="29"/>
  <c r="J16" i="29"/>
  <c r="J15" i="29"/>
  <c r="J14" i="29"/>
  <c r="J13" i="29"/>
  <c r="J12" i="29"/>
  <c r="H28" i="8"/>
  <c r="K28" i="8" s="1"/>
  <c r="H29" i="8"/>
  <c r="H30" i="8"/>
  <c r="K30" i="8" s="1"/>
  <c r="E28" i="8"/>
  <c r="D30" i="8"/>
  <c r="E30" i="8" s="1"/>
  <c r="L22" i="8"/>
  <c r="L23" i="8"/>
  <c r="L24" i="8"/>
  <c r="B28" i="8"/>
  <c r="B29" i="8"/>
  <c r="B30" i="8"/>
  <c r="B27" i="8"/>
  <c r="I37" i="8"/>
  <c r="I38" i="8"/>
  <c r="I39" i="8"/>
  <c r="H37" i="8"/>
  <c r="H38" i="8"/>
  <c r="H39" i="8"/>
  <c r="L39" i="8"/>
  <c r="K39" i="8"/>
  <c r="J39" i="8"/>
  <c r="L38" i="8"/>
  <c r="K38" i="8"/>
  <c r="J38" i="8"/>
  <c r="L37" i="8"/>
  <c r="K37" i="8"/>
  <c r="J37" i="8"/>
  <c r="L36" i="8"/>
  <c r="E21" i="8"/>
  <c r="I27" i="8" s="1"/>
  <c r="D22" i="8"/>
  <c r="E22" i="8" s="1"/>
  <c r="D23" i="8"/>
  <c r="E23" i="8" s="1"/>
  <c r="D24" i="8"/>
  <c r="E24" i="8" s="1"/>
  <c r="B22" i="8"/>
  <c r="B23" i="8"/>
  <c r="B24" i="8"/>
  <c r="B21" i="8"/>
  <c r="F16" i="8"/>
  <c r="F17" i="8"/>
  <c r="F18" i="8"/>
  <c r="H24" i="30" l="1"/>
  <c r="I24" i="30"/>
  <c r="H25" i="30"/>
  <c r="I25" i="30"/>
  <c r="H26" i="30"/>
  <c r="I26" i="30"/>
  <c r="F21" i="36"/>
  <c r="R20" i="36"/>
  <c r="S20" i="36" s="1"/>
  <c r="D22" i="36"/>
  <c r="F19" i="36"/>
  <c r="O19" i="36"/>
  <c r="N22" i="36"/>
  <c r="L19" i="36"/>
  <c r="L22" i="36" s="1"/>
  <c r="K22" i="36"/>
  <c r="R21" i="36"/>
  <c r="S21" i="36" s="1"/>
  <c r="I19" i="36"/>
  <c r="I22" i="36" s="1"/>
  <c r="H22" i="36"/>
  <c r="E22" i="36"/>
  <c r="E52" i="30"/>
  <c r="K38" i="30"/>
  <c r="J38" i="30"/>
  <c r="G21" i="8"/>
  <c r="K21" i="8" s="1"/>
  <c r="G22" i="8"/>
  <c r="G28" i="8"/>
  <c r="G24" i="8"/>
  <c r="G30" i="8"/>
  <c r="I30" i="8" s="1"/>
  <c r="G23" i="8"/>
  <c r="G29" i="8"/>
  <c r="I29" i="8" s="1"/>
  <c r="AY45" i="4"/>
  <c r="C34" i="1"/>
  <c r="N38" i="4"/>
  <c r="D9" i="1" s="1"/>
  <c r="U38" i="4"/>
  <c r="C10" i="1"/>
  <c r="C111" i="3"/>
  <c r="E10" i="1"/>
  <c r="E20" i="1"/>
  <c r="E15" i="1"/>
  <c r="J26" i="29"/>
  <c r="I26" i="29"/>
  <c r="M46" i="4"/>
  <c r="M47" i="4" s="1"/>
  <c r="E19" i="1"/>
  <c r="P79" i="4"/>
  <c r="P80" i="4" s="1"/>
  <c r="Q46" i="4"/>
  <c r="L46" i="4"/>
  <c r="L47" i="4" s="1"/>
  <c r="C19" i="1"/>
  <c r="D14" i="1"/>
  <c r="E14" i="1"/>
  <c r="D15" i="1"/>
  <c r="D20" i="1"/>
  <c r="E9" i="1"/>
  <c r="D39" i="1"/>
  <c r="J17" i="29"/>
  <c r="K46" i="4"/>
  <c r="K47" i="4" s="1"/>
  <c r="N79" i="4"/>
  <c r="N80" i="4" s="1"/>
  <c r="T71" i="4"/>
  <c r="R78" i="4"/>
  <c r="R46" i="4"/>
  <c r="R71" i="4"/>
  <c r="T78" i="4"/>
  <c r="N45" i="4"/>
  <c r="U45" i="4" s="1"/>
  <c r="O79" i="4"/>
  <c r="O80" i="4" s="1"/>
  <c r="D40" i="1"/>
  <c r="E305" i="3"/>
  <c r="D225" i="2"/>
  <c r="E304" i="3"/>
  <c r="D224" i="2"/>
  <c r="J71" i="4"/>
  <c r="H46" i="4"/>
  <c r="J46" i="4"/>
  <c r="H79" i="4"/>
  <c r="H80" i="4" s="1"/>
  <c r="M79" i="4"/>
  <c r="M80" i="4" s="1"/>
  <c r="Q79" i="4"/>
  <c r="Q80" i="4" s="1"/>
  <c r="J78" i="4"/>
  <c r="E39" i="1"/>
  <c r="G79" i="4"/>
  <c r="G80" i="4" s="1"/>
  <c r="L79" i="4"/>
  <c r="L80" i="4" s="1"/>
  <c r="D19" i="1"/>
  <c r="V46" i="4"/>
  <c r="V47" i="4" s="1"/>
  <c r="S71" i="4"/>
  <c r="S78" i="4"/>
  <c r="I79" i="4"/>
  <c r="B232" i="2"/>
  <c r="AY38" i="4"/>
  <c r="AY46" i="4" s="1"/>
  <c r="AY47" i="4" s="1"/>
  <c r="AO45" i="4"/>
  <c r="AT45" i="4"/>
  <c r="AT38" i="4"/>
  <c r="AT46" i="4" s="1"/>
  <c r="AT47" i="4" s="1"/>
  <c r="AX38" i="4"/>
  <c r="AX46" i="4" s="1"/>
  <c r="AO38" i="4"/>
  <c r="AO46" i="4" s="1"/>
  <c r="AS45" i="4"/>
  <c r="AS38" i="4"/>
  <c r="AS46" i="4" s="1"/>
  <c r="AS47" i="4" s="1"/>
  <c r="AX45" i="4"/>
  <c r="AQ45" i="4"/>
  <c r="AQ38" i="4"/>
  <c r="AQ46" i="4" s="1"/>
  <c r="AR45" i="4"/>
  <c r="AR38" i="4"/>
  <c r="AR46" i="4" s="1"/>
  <c r="AR47" i="4" s="1"/>
  <c r="U75" i="4"/>
  <c r="U69" i="4"/>
  <c r="U77" i="4"/>
  <c r="U76" i="4"/>
  <c r="U70" i="4"/>
  <c r="AG26" i="4"/>
  <c r="R63" i="4"/>
  <c r="U56" i="4"/>
  <c r="U53" i="4"/>
  <c r="U66" i="4"/>
  <c r="U60" i="4"/>
  <c r="AI18" i="4"/>
  <c r="U55" i="4"/>
  <c r="U64" i="4"/>
  <c r="U59" i="4"/>
  <c r="J63" i="4"/>
  <c r="AI22" i="4"/>
  <c r="BA43" i="4"/>
  <c r="U57" i="4"/>
  <c r="T63" i="4"/>
  <c r="U67" i="4"/>
  <c r="U61" i="4"/>
  <c r="U73" i="4"/>
  <c r="U58" i="4"/>
  <c r="U54" i="4"/>
  <c r="U62" i="4"/>
  <c r="U74" i="4"/>
  <c r="U68" i="4"/>
  <c r="BA33" i="4"/>
  <c r="S63" i="4"/>
  <c r="BA37" i="4"/>
  <c r="AU42" i="4"/>
  <c r="BB42" i="4" s="1"/>
  <c r="AU41" i="4"/>
  <c r="BB41" i="4" s="1"/>
  <c r="AF47" i="4"/>
  <c r="AU34" i="4"/>
  <c r="AH21" i="4"/>
  <c r="BA42" i="4"/>
  <c r="AH16" i="4"/>
  <c r="AI16" i="4"/>
  <c r="W47" i="4"/>
  <c r="AU37" i="4"/>
  <c r="BB37" i="4" s="1"/>
  <c r="AC26" i="4"/>
  <c r="AH24" i="4"/>
  <c r="AH22" i="4"/>
  <c r="AH20" i="4"/>
  <c r="AH25" i="4"/>
  <c r="AH23" i="4"/>
  <c r="AH19" i="4"/>
  <c r="AH17" i="4"/>
  <c r="AU35" i="4"/>
  <c r="BB35" i="4" s="1"/>
  <c r="AE26" i="4"/>
  <c r="BA40" i="4"/>
  <c r="BA36" i="4"/>
  <c r="BA34" i="4"/>
  <c r="AU44" i="4"/>
  <c r="BB44" i="4" s="1"/>
  <c r="AU43" i="4"/>
  <c r="BB43" i="4" s="1"/>
  <c r="AU36" i="4"/>
  <c r="BB36" i="4" s="1"/>
  <c r="AI25" i="4"/>
  <c r="AI24" i="4"/>
  <c r="AI23" i="4"/>
  <c r="AI21" i="4"/>
  <c r="AI20" i="4"/>
  <c r="AI19" i="4"/>
  <c r="AI17" i="4"/>
  <c r="AU40" i="4"/>
  <c r="AC47" i="4"/>
  <c r="X47" i="4"/>
  <c r="AK47" i="4"/>
  <c r="BA41" i="4"/>
  <c r="AP46" i="4"/>
  <c r="BA35" i="4"/>
  <c r="BA44" i="4"/>
  <c r="AU33" i="4"/>
  <c r="BB33" i="4" s="1"/>
  <c r="AH18" i="4"/>
  <c r="M34" i="30"/>
  <c r="K39" i="30"/>
  <c r="F52" i="30"/>
  <c r="I42" i="30"/>
  <c r="J41" i="30"/>
  <c r="C53" i="30"/>
  <c r="D53" i="30"/>
  <c r="E50" i="30"/>
  <c r="F50" i="30" s="1"/>
  <c r="G50" i="30" s="1"/>
  <c r="K40" i="30"/>
  <c r="J32" i="30"/>
  <c r="J33" i="30"/>
  <c r="G27" i="30"/>
  <c r="I27" i="30" s="1"/>
  <c r="H27" i="30"/>
  <c r="I17" i="29"/>
  <c r="K29" i="8"/>
  <c r="I28" i="8"/>
  <c r="F22" i="36" l="1"/>
  <c r="O22" i="36"/>
  <c r="R19" i="36"/>
  <c r="AO47" i="4"/>
  <c r="AU45" i="4"/>
  <c r="U46" i="4"/>
  <c r="N46" i="4"/>
  <c r="N47" i="4" s="1"/>
  <c r="J79" i="4"/>
  <c r="D10" i="1"/>
  <c r="L14" i="3"/>
  <c r="L13" i="3"/>
  <c r="L18" i="3"/>
  <c r="S79" i="4"/>
  <c r="L15" i="3"/>
  <c r="L16" i="3"/>
  <c r="L19" i="3"/>
  <c r="L10" i="3"/>
  <c r="L11" i="3"/>
  <c r="L17" i="3"/>
  <c r="L12" i="3"/>
  <c r="T79" i="4"/>
  <c r="R79" i="4"/>
  <c r="U78" i="4"/>
  <c r="S80" i="4"/>
  <c r="I80" i="4"/>
  <c r="T80" i="4" s="1"/>
  <c r="U71" i="4"/>
  <c r="AX47" i="4"/>
  <c r="BB34" i="4"/>
  <c r="BB38" i="4" s="1"/>
  <c r="AU38" i="4"/>
  <c r="AU46" i="4" s="1"/>
  <c r="AU47" i="4" s="1"/>
  <c r="BB40" i="4"/>
  <c r="BB45" i="4" s="1"/>
  <c r="U63" i="4"/>
  <c r="AI26" i="4"/>
  <c r="AQ47" i="4"/>
  <c r="G52" i="30"/>
  <c r="H52" i="30" s="1"/>
  <c r="I52" i="30" s="1"/>
  <c r="K42" i="30"/>
  <c r="H50" i="30"/>
  <c r="I50" i="30" s="1"/>
  <c r="J50" i="30" s="1"/>
  <c r="J42" i="30"/>
  <c r="E53" i="30"/>
  <c r="F53" i="30" s="1"/>
  <c r="J34" i="30"/>
  <c r="R22" i="36" l="1"/>
  <c r="S19" i="36"/>
  <c r="S22" i="36" s="1"/>
  <c r="U79" i="4"/>
  <c r="BB46" i="4"/>
  <c r="BB47" i="4" s="1"/>
  <c r="G53" i="30"/>
  <c r="J52" i="30"/>
  <c r="K50" i="30"/>
  <c r="H53" i="30" l="1"/>
  <c r="I53" i="30" s="1"/>
  <c r="K52" i="30"/>
  <c r="L52" i="30" s="1"/>
  <c r="L50" i="30"/>
  <c r="M50" i="30" s="1"/>
  <c r="C284" i="3" l="1"/>
  <c r="B204" i="2"/>
  <c r="C282" i="3"/>
  <c r="B202" i="2"/>
  <c r="C290" i="3"/>
  <c r="B210" i="2"/>
  <c r="C285" i="3"/>
  <c r="B205" i="2"/>
  <c r="C288" i="3"/>
  <c r="B208" i="2"/>
  <c r="C289" i="3"/>
  <c r="B209" i="2"/>
  <c r="C292" i="3"/>
  <c r="B212" i="2"/>
  <c r="C283" i="3"/>
  <c r="B203" i="2"/>
  <c r="C291" i="3"/>
  <c r="B211" i="2"/>
  <c r="C286" i="3"/>
  <c r="B206" i="2"/>
  <c r="J53" i="30"/>
  <c r="K53" i="30" s="1"/>
  <c r="M52" i="30"/>
  <c r="L53" i="30" l="1"/>
  <c r="M53" i="30" s="1"/>
  <c r="G13" i="26"/>
  <c r="I13" i="26" s="1"/>
  <c r="G10" i="26"/>
  <c r="I10" i="26" s="1"/>
  <c r="G11" i="26"/>
  <c r="I11" i="26" s="1"/>
  <c r="G12" i="26"/>
  <c r="I12" i="26" s="1"/>
  <c r="A4" i="26" l="1"/>
  <c r="F3" i="26"/>
  <c r="D3" i="26"/>
  <c r="A3" i="26"/>
  <c r="I33" i="22"/>
  <c r="F33" i="22"/>
  <c r="F34" i="22" s="1"/>
  <c r="I29" i="22"/>
  <c r="I34" i="22" s="1"/>
  <c r="F28" i="22"/>
  <c r="I28" i="22"/>
  <c r="G31" i="22"/>
  <c r="G32" i="22" s="1"/>
  <c r="H31" i="22"/>
  <c r="H32" i="22" s="1"/>
  <c r="F31" i="22" l="1"/>
  <c r="F32" i="22"/>
  <c r="I32" i="22"/>
  <c r="I31" i="22"/>
  <c r="A4" i="22"/>
  <c r="F3" i="22"/>
  <c r="D3" i="22"/>
  <c r="A3" i="22"/>
  <c r="U17" i="4"/>
  <c r="U18" i="4"/>
  <c r="U19" i="4"/>
  <c r="U20" i="4"/>
  <c r="U21" i="4"/>
  <c r="U22" i="4"/>
  <c r="U23" i="4"/>
  <c r="U24" i="4"/>
  <c r="U25" i="4"/>
  <c r="R26" i="4"/>
  <c r="E8" i="1" s="1"/>
  <c r="T17" i="4"/>
  <c r="T18" i="4"/>
  <c r="T19" i="4"/>
  <c r="T20" i="4"/>
  <c r="T21" i="4"/>
  <c r="T22" i="4"/>
  <c r="T23" i="4"/>
  <c r="T24" i="4"/>
  <c r="T25" i="4"/>
  <c r="D39" i="21"/>
  <c r="E39" i="21"/>
  <c r="F39" i="21"/>
  <c r="G39" i="21"/>
  <c r="H39" i="21"/>
  <c r="I39" i="21"/>
  <c r="J39" i="21"/>
  <c r="C39" i="21"/>
  <c r="D35" i="21"/>
  <c r="E35" i="21"/>
  <c r="F35" i="21"/>
  <c r="H35" i="21"/>
  <c r="I35" i="21"/>
  <c r="J35" i="21"/>
  <c r="C35" i="21"/>
  <c r="D22" i="21"/>
  <c r="E22" i="21"/>
  <c r="F22" i="21"/>
  <c r="G22" i="21"/>
  <c r="H22" i="21"/>
  <c r="I22" i="21"/>
  <c r="J22" i="21"/>
  <c r="C22" i="21"/>
  <c r="C27" i="21" s="1"/>
  <c r="D21" i="21"/>
  <c r="E21" i="21"/>
  <c r="F21" i="21"/>
  <c r="G21" i="21"/>
  <c r="H21" i="21"/>
  <c r="I21" i="21"/>
  <c r="J21" i="21"/>
  <c r="D16" i="21"/>
  <c r="E16" i="21"/>
  <c r="F16" i="21"/>
  <c r="G16" i="21"/>
  <c r="H16" i="21"/>
  <c r="I16" i="21"/>
  <c r="J16" i="21"/>
  <c r="C16" i="21"/>
  <c r="D13" i="21"/>
  <c r="E13" i="21"/>
  <c r="F13" i="21"/>
  <c r="G13" i="21"/>
  <c r="H13" i="21"/>
  <c r="I13" i="21"/>
  <c r="J13" i="21"/>
  <c r="I27" i="21" l="1"/>
  <c r="F180" i="2"/>
  <c r="E27" i="21"/>
  <c r="C266" i="3"/>
  <c r="B180" i="2"/>
  <c r="C239" i="3"/>
  <c r="B145" i="2"/>
  <c r="D181" i="2"/>
  <c r="E180" i="2"/>
  <c r="G181" i="2"/>
  <c r="D267" i="3"/>
  <c r="C181" i="2"/>
  <c r="D239" i="3"/>
  <c r="C145" i="2"/>
  <c r="D180" i="2"/>
  <c r="F181" i="2"/>
  <c r="C267" i="3"/>
  <c r="B181" i="2"/>
  <c r="J27" i="21"/>
  <c r="G180" i="2"/>
  <c r="F27" i="21"/>
  <c r="D266" i="3"/>
  <c r="C180" i="2"/>
  <c r="D27" i="21"/>
  <c r="D238" i="3"/>
  <c r="C144" i="2"/>
  <c r="E181" i="2"/>
  <c r="H276" i="3"/>
  <c r="G195" i="2"/>
  <c r="D250" i="3"/>
  <c r="C161" i="2"/>
  <c r="G276" i="3"/>
  <c r="F195" i="2"/>
  <c r="C250" i="3"/>
  <c r="B161" i="2"/>
  <c r="E276" i="3"/>
  <c r="D195" i="2"/>
  <c r="D276" i="3"/>
  <c r="C195" i="2"/>
  <c r="C276" i="3"/>
  <c r="B195" i="2"/>
  <c r="H27" i="21"/>
  <c r="F276" i="3"/>
  <c r="E195" i="2"/>
  <c r="H20" i="22"/>
  <c r="F21" i="22"/>
  <c r="F20" i="22"/>
  <c r="G27" i="21"/>
  <c r="H21" i="22"/>
  <c r="C13" i="21"/>
  <c r="A4" i="21"/>
  <c r="F3" i="21"/>
  <c r="D3" i="21"/>
  <c r="A3" i="21"/>
  <c r="A4" i="19"/>
  <c r="M3" i="19"/>
  <c r="F3" i="19"/>
  <c r="A3" i="19"/>
  <c r="H22" i="22" l="1"/>
  <c r="D268" i="3"/>
  <c r="C187" i="2"/>
  <c r="C186" i="2"/>
  <c r="C238" i="3"/>
  <c r="B144" i="2"/>
  <c r="D187" i="2"/>
  <c r="D186" i="2"/>
  <c r="C268" i="3"/>
  <c r="B186" i="2"/>
  <c r="B187" i="2"/>
  <c r="G187" i="2"/>
  <c r="G186" i="2"/>
  <c r="E186" i="2"/>
  <c r="E187" i="2"/>
  <c r="D240" i="3"/>
  <c r="C150" i="2"/>
  <c r="F186" i="2"/>
  <c r="F187" i="2"/>
  <c r="F22" i="22"/>
  <c r="C240" i="3" l="1"/>
  <c r="B150" i="2"/>
  <c r="A4" i="12" l="1"/>
  <c r="D3" i="12"/>
  <c r="C3" i="12"/>
  <c r="A3" i="12"/>
  <c r="A4" i="10"/>
  <c r="G3" i="10"/>
  <c r="E3" i="10"/>
  <c r="A3" i="10"/>
  <c r="A4" i="8"/>
  <c r="I3" i="8"/>
  <c r="E3" i="8"/>
  <c r="A3" i="8"/>
  <c r="A4" i="4"/>
  <c r="L4" i="4" s="1"/>
  <c r="E3" i="4"/>
  <c r="R3" i="4" s="1"/>
  <c r="C3" i="4"/>
  <c r="P3" i="4" s="1"/>
  <c r="A3" i="4"/>
  <c r="L3" i="4" s="1"/>
  <c r="A4" i="3"/>
  <c r="H3" i="3"/>
  <c r="D3" i="3"/>
  <c r="A3" i="3"/>
  <c r="A4" i="2"/>
  <c r="F3" i="2"/>
  <c r="C3" i="2"/>
  <c r="A3" i="2"/>
  <c r="E3" i="1"/>
  <c r="A4" i="1"/>
  <c r="D3" i="1"/>
  <c r="A3" i="1"/>
  <c r="I19" i="10" l="1"/>
  <c r="I18" i="10"/>
  <c r="I17" i="10"/>
  <c r="I16" i="10"/>
  <c r="J16" i="10" s="1"/>
  <c r="R80" i="4"/>
  <c r="C46" i="4"/>
  <c r="O26" i="4"/>
  <c r="J47" i="4" s="1"/>
  <c r="M26" i="4"/>
  <c r="J18" i="10" l="1"/>
  <c r="D309" i="3"/>
  <c r="C229" i="2"/>
  <c r="J17" i="10"/>
  <c r="C228" i="2"/>
  <c r="D308" i="3"/>
  <c r="I20" i="10"/>
  <c r="C223" i="2"/>
  <c r="C226" i="2" s="1"/>
  <c r="D303" i="3"/>
  <c r="D306" i="3" s="1"/>
  <c r="I15" i="10"/>
  <c r="J19" i="10"/>
  <c r="D310" i="3"/>
  <c r="C230" i="2"/>
  <c r="H47" i="4"/>
  <c r="G81" i="4" s="1"/>
  <c r="C8" i="1"/>
  <c r="D8" i="1"/>
  <c r="U80" i="4"/>
  <c r="U81" i="4" s="1"/>
  <c r="R81" i="4"/>
  <c r="J80" i="4"/>
  <c r="U26" i="4"/>
  <c r="U47" i="4" s="1"/>
  <c r="J81" i="4" l="1"/>
  <c r="I21" i="10"/>
  <c r="D311" i="3"/>
  <c r="D312" i="3" s="1"/>
  <c r="C231" i="2"/>
  <c r="C232" i="2" s="1"/>
  <c r="E310" i="3"/>
  <c r="D230" i="2"/>
  <c r="D223" i="2"/>
  <c r="D226" i="2" s="1"/>
  <c r="E303" i="3"/>
  <c r="E306" i="3" s="1"/>
  <c r="J15" i="10"/>
  <c r="E308" i="3"/>
  <c r="D228" i="2"/>
  <c r="J20" i="10"/>
  <c r="E309" i="3"/>
  <c r="D229" i="2"/>
  <c r="A53" i="1"/>
  <c r="A52" i="1"/>
  <c r="A51" i="1"/>
  <c r="A50" i="1"/>
  <c r="E47" i="1"/>
  <c r="D47" i="1"/>
  <c r="C47" i="1"/>
  <c r="E46" i="1"/>
  <c r="D46" i="1"/>
  <c r="C46" i="1"/>
  <c r="E45" i="1"/>
  <c r="D45" i="1"/>
  <c r="C45" i="1"/>
  <c r="E44" i="1"/>
  <c r="D44" i="1"/>
  <c r="C44" i="1"/>
  <c r="F42" i="1"/>
  <c r="F41" i="1"/>
  <c r="F40" i="1"/>
  <c r="F39" i="1"/>
  <c r="E38" i="1"/>
  <c r="D38" i="1"/>
  <c r="C38" i="1"/>
  <c r="F37" i="1"/>
  <c r="F36" i="1"/>
  <c r="F35" i="1"/>
  <c r="F34" i="1"/>
  <c r="E33" i="1"/>
  <c r="D33" i="1"/>
  <c r="C33" i="1"/>
  <c r="F32" i="1"/>
  <c r="A32" i="1"/>
  <c r="F31" i="1"/>
  <c r="A31" i="1"/>
  <c r="F30" i="1"/>
  <c r="A30" i="1"/>
  <c r="F29" i="1"/>
  <c r="A29" i="1"/>
  <c r="E28" i="1"/>
  <c r="D28" i="1"/>
  <c r="C28" i="1"/>
  <c r="E26" i="1"/>
  <c r="D26" i="1"/>
  <c r="C26" i="1"/>
  <c r="E25" i="1"/>
  <c r="E205" i="3" s="1"/>
  <c r="D25" i="1"/>
  <c r="D205" i="3" s="1"/>
  <c r="C25" i="1"/>
  <c r="E24" i="1"/>
  <c r="E204" i="3" s="1"/>
  <c r="D24" i="1"/>
  <c r="D204" i="3" s="1"/>
  <c r="C24" i="1"/>
  <c r="E23" i="1"/>
  <c r="E203" i="3" s="1"/>
  <c r="D23" i="1"/>
  <c r="D203" i="3" s="1"/>
  <c r="C23" i="1"/>
  <c r="F21" i="1"/>
  <c r="F20" i="1"/>
  <c r="F19" i="1"/>
  <c r="F18" i="1"/>
  <c r="E17" i="1"/>
  <c r="D17" i="1"/>
  <c r="C17" i="1"/>
  <c r="F16" i="1"/>
  <c r="A16" i="1"/>
  <c r="A21" i="1" s="1"/>
  <c r="F15" i="1"/>
  <c r="A15" i="1"/>
  <c r="A36" i="1" s="1"/>
  <c r="F14" i="1"/>
  <c r="A14" i="1"/>
  <c r="A35" i="1" s="1"/>
  <c r="F13" i="1"/>
  <c r="A13" i="1"/>
  <c r="A34" i="1" s="1"/>
  <c r="E12" i="1"/>
  <c r="D12" i="1"/>
  <c r="C12" i="1"/>
  <c r="F10" i="1"/>
  <c r="F9" i="1"/>
  <c r="F8" i="1"/>
  <c r="E7" i="1"/>
  <c r="D7" i="1"/>
  <c r="C7" i="1"/>
  <c r="J21" i="10" l="1"/>
  <c r="C53" i="1"/>
  <c r="C203" i="3"/>
  <c r="F203" i="3" s="1"/>
  <c r="E311" i="3"/>
  <c r="E312" i="3" s="1"/>
  <c r="E206" i="3"/>
  <c r="D231" i="2"/>
  <c r="D232" i="2" s="1"/>
  <c r="C204" i="3"/>
  <c r="C205" i="3"/>
  <c r="F205" i="3" s="1"/>
  <c r="D206" i="3"/>
  <c r="E51" i="1"/>
  <c r="E50" i="1"/>
  <c r="C52" i="1"/>
  <c r="F12" i="1"/>
  <c r="F23" i="1"/>
  <c r="F25" i="1"/>
  <c r="F47" i="1"/>
  <c r="F7" i="1"/>
  <c r="F17" i="1"/>
  <c r="F26" i="1"/>
  <c r="F33" i="1"/>
  <c r="F46" i="1"/>
  <c r="F28" i="1"/>
  <c r="F38" i="1"/>
  <c r="E43" i="1"/>
  <c r="E207" i="3" s="1"/>
  <c r="E52" i="1"/>
  <c r="C22" i="1"/>
  <c r="D52" i="1"/>
  <c r="D53" i="1"/>
  <c r="C50" i="1"/>
  <c r="D51" i="1"/>
  <c r="C43" i="1"/>
  <c r="C207" i="3" s="1"/>
  <c r="E22" i="1"/>
  <c r="G28" i="47" s="1"/>
  <c r="G29" i="47" s="1"/>
  <c r="F44" i="1"/>
  <c r="A26" i="1"/>
  <c r="A47" i="1" s="1"/>
  <c r="A42" i="1"/>
  <c r="A19" i="1"/>
  <c r="A37" i="1"/>
  <c r="D50" i="1"/>
  <c r="E53" i="1"/>
  <c r="D22" i="1"/>
  <c r="F28" i="47" s="1"/>
  <c r="F29" i="47" s="1"/>
  <c r="F24" i="1"/>
  <c r="D43" i="1"/>
  <c r="D207" i="3" s="1"/>
  <c r="F45" i="1"/>
  <c r="C51" i="1"/>
  <c r="A18" i="1"/>
  <c r="A20" i="1"/>
  <c r="E208" i="3" l="1"/>
  <c r="D208" i="3"/>
  <c r="F207" i="3"/>
  <c r="C206" i="3"/>
  <c r="F204" i="3"/>
  <c r="F51" i="1"/>
  <c r="F52" i="1"/>
  <c r="F22" i="1"/>
  <c r="F43" i="1"/>
  <c r="D49" i="1"/>
  <c r="E49" i="1"/>
  <c r="F53" i="1"/>
  <c r="A40" i="1"/>
  <c r="A24" i="1"/>
  <c r="A45" i="1" s="1"/>
  <c r="C49" i="1"/>
  <c r="C55" i="1" s="1"/>
  <c r="A41" i="1"/>
  <c r="A25" i="1"/>
  <c r="A46" i="1" s="1"/>
  <c r="F50" i="1"/>
  <c r="A39" i="1"/>
  <c r="A23" i="1"/>
  <c r="A44" i="1" s="1"/>
  <c r="F206" i="3" l="1"/>
  <c r="F208" i="3" s="1"/>
  <c r="C208" i="3"/>
  <c r="F49" i="1"/>
  <c r="E57" i="1" l="1"/>
  <c r="F55" i="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<sst xmlns="http://schemas.openxmlformats.org/spreadsheetml/2006/main" count="2383" uniqueCount="1464">
  <si>
    <t>致同会计师事务所</t>
  </si>
  <si>
    <t>长期股权投资审定表</t>
    <phoneticPr fontId="11" type="noConversion"/>
  </si>
  <si>
    <t>索引号：</t>
    <phoneticPr fontId="11" type="noConversion"/>
  </si>
  <si>
    <t>页次：</t>
  </si>
  <si>
    <t>项目</t>
    <phoneticPr fontId="11" type="noConversion"/>
  </si>
  <si>
    <t>期初数</t>
    <phoneticPr fontId="11" type="noConversion"/>
  </si>
  <si>
    <t>本期增加</t>
    <phoneticPr fontId="11" type="noConversion"/>
  </si>
  <si>
    <t>本期减少</t>
    <phoneticPr fontId="11" type="noConversion"/>
  </si>
  <si>
    <t>期末数</t>
    <phoneticPr fontId="11" type="noConversion"/>
  </si>
  <si>
    <t>索引</t>
    <phoneticPr fontId="11" type="noConversion"/>
  </si>
  <si>
    <t>一、原值</t>
    <phoneticPr fontId="11" type="noConversion"/>
  </si>
  <si>
    <t>未审数</t>
    <phoneticPr fontId="11" type="noConversion"/>
  </si>
  <si>
    <t>一、对子公司投资</t>
  </si>
  <si>
    <t>二、对合营企业投资</t>
  </si>
  <si>
    <t>三、对联营企业投资</t>
  </si>
  <si>
    <t>账项调整</t>
    <phoneticPr fontId="11" type="noConversion"/>
  </si>
  <si>
    <t>重分类调整</t>
    <phoneticPr fontId="11" type="noConversion"/>
  </si>
  <si>
    <r>
      <t>审定数</t>
    </r>
    <r>
      <rPr>
        <b/>
        <sz val="10"/>
        <rFont val="Arial Narrow"/>
        <family val="2"/>
      </rPr>
      <t>1</t>
    </r>
    <phoneticPr fontId="11" type="noConversion"/>
  </si>
  <si>
    <t>二、减值准备</t>
    <phoneticPr fontId="11" type="noConversion"/>
  </si>
  <si>
    <r>
      <t>审定数</t>
    </r>
    <r>
      <rPr>
        <b/>
        <sz val="10"/>
        <rFont val="Arial Narrow"/>
        <family val="2"/>
      </rPr>
      <t>2</t>
    </r>
    <phoneticPr fontId="11" type="noConversion"/>
  </si>
  <si>
    <t>三、净值</t>
    <phoneticPr fontId="11" type="noConversion"/>
  </si>
  <si>
    <r>
      <t>审定数</t>
    </r>
    <r>
      <rPr>
        <b/>
        <sz val="10"/>
        <rFont val="Arial Narrow"/>
        <family val="2"/>
      </rPr>
      <t>3</t>
    </r>
    <phoneticPr fontId="11" type="noConversion"/>
  </si>
  <si>
    <t>1、审计说明：</t>
    <phoneticPr fontId="11" type="noConversion"/>
  </si>
  <si>
    <r>
      <t>（</t>
    </r>
    <r>
      <rPr>
        <sz val="10"/>
        <rFont val="Arial Narrow"/>
        <family val="2"/>
      </rPr>
      <t>1</t>
    </r>
    <r>
      <rPr>
        <sz val="10"/>
        <rFont val="宋体"/>
        <family val="3"/>
        <charset val="134"/>
      </rPr>
      <t>）期末净值较期初净值增加（负数为减少）：</t>
    </r>
    <phoneticPr fontId="11" type="noConversion"/>
  </si>
  <si>
    <r>
      <t>主要原因</t>
    </r>
    <r>
      <rPr>
        <sz val="10"/>
        <color indexed="10"/>
        <rFont val="宋体"/>
        <family val="3"/>
        <charset val="134"/>
      </rPr>
      <t>（比例超过30%的）</t>
    </r>
    <r>
      <rPr>
        <sz val="10"/>
        <rFont val="宋体"/>
        <family val="3"/>
        <charset val="134"/>
      </rPr>
      <t>：</t>
    </r>
    <phoneticPr fontId="11" type="noConversion"/>
  </si>
  <si>
    <r>
      <t>（</t>
    </r>
    <r>
      <rPr>
        <sz val="10"/>
        <rFont val="Arial Narrow"/>
        <family val="2"/>
      </rPr>
      <t>2</t>
    </r>
    <r>
      <rPr>
        <sz val="10"/>
        <rFont val="宋体"/>
        <family val="3"/>
        <charset val="134"/>
      </rPr>
      <t>）情况说明：</t>
    </r>
    <phoneticPr fontId="11" type="noConversion"/>
  </si>
  <si>
    <r>
      <t>2</t>
    </r>
    <r>
      <rPr>
        <b/>
        <sz val="10"/>
        <rFont val="宋体"/>
        <family val="3"/>
        <charset val="134"/>
      </rPr>
      <t>、审计结论：</t>
    </r>
    <phoneticPr fontId="11" type="noConversion"/>
  </si>
  <si>
    <t>编制说明：</t>
    <phoneticPr fontId="11" type="noConversion"/>
  </si>
  <si>
    <r>
      <t>1</t>
    </r>
    <r>
      <rPr>
        <b/>
        <sz val="10"/>
        <color indexed="12"/>
        <rFont val="宋体"/>
        <family val="3"/>
        <charset val="134"/>
      </rPr>
      <t>、原持有的对被投资单位不具有控制、共同控制或重大影响，并且在活跃市场中没有报价、公允价值不能可靠计量的</t>
    </r>
    <phoneticPr fontId="11" type="noConversion"/>
  </si>
  <si>
    <r>
      <rPr>
        <b/>
        <sz val="10"/>
        <color indexed="12"/>
        <rFont val="宋体"/>
        <family val="3"/>
        <charset val="134"/>
      </rPr>
      <t>权益性投资（</t>
    </r>
    <r>
      <rPr>
        <b/>
        <sz val="10"/>
        <color indexed="12"/>
        <rFont val="Arial Narrow"/>
        <family val="2"/>
      </rPr>
      <t>“</t>
    </r>
    <r>
      <rPr>
        <b/>
        <sz val="10"/>
        <color indexed="12"/>
        <rFont val="宋体"/>
        <family val="3"/>
        <charset val="134"/>
      </rPr>
      <t>三无投资</t>
    </r>
    <r>
      <rPr>
        <b/>
        <sz val="10"/>
        <color indexed="12"/>
        <rFont val="Arial Narrow"/>
        <family val="2"/>
      </rPr>
      <t>”</t>
    </r>
    <r>
      <rPr>
        <b/>
        <sz val="10"/>
        <color indexed="12"/>
        <rFont val="宋体"/>
        <family val="3"/>
        <charset val="134"/>
      </rPr>
      <t>）按照《企业会计准则第</t>
    </r>
    <r>
      <rPr>
        <b/>
        <sz val="10"/>
        <color indexed="12"/>
        <rFont val="Arial Narrow"/>
        <family val="2"/>
      </rPr>
      <t>22</t>
    </r>
    <r>
      <rPr>
        <b/>
        <sz val="10"/>
        <color indexed="12"/>
        <rFont val="宋体"/>
        <family val="3"/>
        <charset val="134"/>
      </rPr>
      <t>号</t>
    </r>
    <r>
      <rPr>
        <b/>
        <sz val="10"/>
        <color indexed="12"/>
        <rFont val="Arial Narrow"/>
        <family val="2"/>
      </rPr>
      <t>——</t>
    </r>
    <r>
      <rPr>
        <b/>
        <sz val="10"/>
        <color indexed="12"/>
        <rFont val="宋体"/>
        <family val="3"/>
        <charset val="134"/>
      </rPr>
      <t>金融工具确认和计量》（</t>
    </r>
    <r>
      <rPr>
        <b/>
        <sz val="10"/>
        <color indexed="12"/>
        <rFont val="Arial Narrow"/>
        <family val="2"/>
      </rPr>
      <t>CAS 22</t>
    </r>
    <r>
      <rPr>
        <b/>
        <sz val="10"/>
        <color indexed="12"/>
        <rFont val="宋体"/>
        <family val="3"/>
        <charset val="134"/>
      </rPr>
      <t>）进行处理。</t>
    </r>
    <phoneticPr fontId="11" type="noConversion"/>
  </si>
  <si>
    <r>
      <t>2</t>
    </r>
    <r>
      <rPr>
        <sz val="10"/>
        <color indexed="12"/>
        <rFont val="宋体"/>
        <family val="3"/>
        <charset val="134"/>
      </rPr>
      <t>、如适用，根据</t>
    </r>
    <r>
      <rPr>
        <sz val="10"/>
        <color indexed="12"/>
        <rFont val="Arial Narrow"/>
        <family val="2"/>
      </rPr>
      <t>1131</t>
    </r>
    <r>
      <rPr>
        <sz val="10"/>
        <color indexed="12"/>
        <rFont val="宋体"/>
        <family val="3"/>
        <charset val="134"/>
      </rPr>
      <t>号等审计准则和指南的要求编制，说明涉及事项内容、应对措施、审计结论或解决方法，</t>
    </r>
    <phoneticPr fontId="11" type="noConversion"/>
  </si>
  <si>
    <t>以及可能对审计报告的影响。</t>
    <phoneticPr fontId="11" type="noConversion"/>
  </si>
  <si>
    <r>
      <t>A</t>
    </r>
    <r>
      <rPr>
        <sz val="10"/>
        <color indexed="12"/>
        <rFont val="宋体"/>
        <family val="3"/>
        <charset val="134"/>
      </rPr>
      <t>、风险评估结果和内控了解、测试情况（不适用则说明：不存在重大错报风险。</t>
    </r>
    <r>
      <rPr>
        <sz val="10"/>
        <color indexed="12"/>
        <rFont val="Arial Narrow"/>
        <family val="2"/>
      </rPr>
      <t>)</t>
    </r>
    <phoneticPr fontId="11" type="noConversion"/>
  </si>
  <si>
    <r>
      <t>(</t>
    </r>
    <r>
      <rPr>
        <sz val="10"/>
        <color indexed="12"/>
        <rFont val="宋体"/>
        <family val="3"/>
        <charset val="134"/>
      </rPr>
      <t>识别和实际评估的重大错报风险、尤其识特别风险，以及对内控了解和控制测试情况〔采用综合方案时〕）；</t>
    </r>
    <phoneticPr fontId="11" type="noConversion"/>
  </si>
  <si>
    <r>
      <t>提示：</t>
    </r>
    <r>
      <rPr>
        <sz val="10"/>
        <color indexed="12"/>
        <rFont val="Arial Narrow"/>
        <family val="2"/>
      </rPr>
      <t>a</t>
    </r>
    <r>
      <rPr>
        <sz val="10"/>
        <color indexed="12"/>
        <rFont val="宋体"/>
        <family val="3"/>
        <charset val="134"/>
      </rPr>
      <t>、收入科目应当假定存在舞弊的特别风险，如不存在，应说明理由；</t>
    </r>
    <phoneticPr fontId="11" type="noConversion"/>
  </si>
  <si>
    <t>b、涉及特别风险时，应当重点说明有关事项、应当措施、结果〔可索引有关底稿〕。</t>
  </si>
  <si>
    <r>
      <t>特别风险涉及的事项包括但不限于：</t>
    </r>
    <r>
      <rPr>
        <sz val="10"/>
        <color indexed="12"/>
        <rFont val="Arial Narrow"/>
        <family val="2"/>
      </rPr>
      <t/>
    </r>
    <phoneticPr fontId="11" type="noConversion"/>
  </si>
  <si>
    <r>
      <t>（1</t>
    </r>
    <r>
      <rPr>
        <sz val="10"/>
        <color indexed="12"/>
        <rFont val="宋体"/>
        <family val="3"/>
        <charset val="134"/>
      </rPr>
      <t>）舞弊风险（如</t>
    </r>
    <r>
      <rPr>
        <sz val="10"/>
        <color indexed="12"/>
        <rFont val="Arial Narrow"/>
        <family val="2"/>
      </rPr>
      <t>1141</t>
    </r>
    <r>
      <rPr>
        <sz val="10"/>
        <color indexed="12"/>
        <rFont val="宋体"/>
        <family val="3"/>
        <charset val="134"/>
      </rPr>
      <t>准则的示例）；（</t>
    </r>
    <r>
      <rPr>
        <sz val="10"/>
        <color indexed="12"/>
        <rFont val="Arial Narrow"/>
        <family val="2"/>
      </rPr>
      <t>2</t>
    </r>
    <r>
      <rPr>
        <sz val="10"/>
        <color indexed="12"/>
        <rFont val="宋体"/>
        <family val="3"/>
        <charset val="134"/>
      </rPr>
      <t>）重大非常规交易（如企业购并、债务重组、非货币性资产交换、</t>
    </r>
    <phoneticPr fontId="11" type="noConversion"/>
  </si>
  <si>
    <t>重大或有事项、持续经营、违反法律法规等）；(3)重大关联交易；(4)重大判断事项（如重大会计估计、</t>
  </si>
  <si>
    <t>会计政策及其变更）；(5)重大复杂交易；(6)仅通过实质性程序无法应对的重大错报风险（如日常交易采用</t>
  </si>
  <si>
    <t>高度自动化处理）等等。</t>
    <phoneticPr fontId="11" type="noConversion"/>
  </si>
  <si>
    <t>B、发现的重大不符事项（如适用）</t>
    <phoneticPr fontId="11" type="noConversion"/>
  </si>
  <si>
    <t>按调整事项，逐笔概述调整原因及对本科目的调整金额，并说明相关底稿的索引号。</t>
    <phoneticPr fontId="11" type="noConversion"/>
  </si>
  <si>
    <t>〔即具体事项内容和调整分录，见经索引的本科目或相关科目的检查表或测算表〕</t>
    <phoneticPr fontId="11" type="noConversion"/>
  </si>
  <si>
    <t>3、说明基于获取的审计证据，在有关认定方面，是否发现重大错报或存在重大异常。</t>
    <phoneticPr fontId="11" type="noConversion"/>
  </si>
  <si>
    <t>参考结论：</t>
    <phoneticPr fontId="11" type="noConversion"/>
  </si>
  <si>
    <t>A、</t>
  </si>
  <si>
    <t>未见异常，可以确认。</t>
    <phoneticPr fontId="11" type="noConversion"/>
  </si>
  <si>
    <t>B、</t>
  </si>
  <si>
    <t>经审计调整后可确认。</t>
    <phoneticPr fontId="11" type="noConversion"/>
  </si>
  <si>
    <t>C、</t>
  </si>
  <si>
    <t>由于存在上述重大未调整事项（或审计范围受到限制无法获取充分、适当证据），不可确认。</t>
    <phoneticPr fontId="11" type="noConversion"/>
  </si>
  <si>
    <t>附注披露信息（上市公司）</t>
    <phoneticPr fontId="11" type="noConversion"/>
  </si>
  <si>
    <t>被投资单位名称</t>
  </si>
  <si>
    <t>期末数</t>
  </si>
  <si>
    <t>期初数</t>
  </si>
  <si>
    <t>流动资产</t>
  </si>
  <si>
    <t>非流动资产</t>
  </si>
  <si>
    <t>资产合计</t>
  </si>
  <si>
    <t>流动负债</t>
  </si>
  <si>
    <t>非流动负债</t>
  </si>
  <si>
    <t>负债合计</t>
  </si>
  <si>
    <t>营业收入</t>
  </si>
  <si>
    <t>净利润</t>
  </si>
  <si>
    <t>综合收益总额</t>
  </si>
  <si>
    <t>本期数</t>
  </si>
  <si>
    <t>…</t>
  </si>
  <si>
    <t>索引号：</t>
  </si>
  <si>
    <t>序号</t>
    <phoneticPr fontId="11" type="noConversion"/>
  </si>
  <si>
    <t>（2）拟调整事项及其调整分录、未调整事项及其影响，审计范围受到限制情况及其影响。</t>
  </si>
  <si>
    <t>参考说明：</t>
  </si>
  <si>
    <t>未见异常。</t>
    <phoneticPr fontId="11" type="noConversion"/>
  </si>
  <si>
    <t>除以下重大不符事项应当作为调整事项予以调整外，其余未见异常。</t>
    <phoneticPr fontId="11" type="noConversion"/>
  </si>
  <si>
    <t>由于存在以下重大未调整事项（或审计范围受到限制无法获取充分、适当证据），不可确认。</t>
    <phoneticPr fontId="11" type="noConversion"/>
  </si>
  <si>
    <t>备注</t>
  </si>
  <si>
    <t>业务性质</t>
  </si>
  <si>
    <t>长期投资</t>
  </si>
  <si>
    <t>致同会计师事务所</t>
    <phoneticPr fontId="11" type="noConversion"/>
  </si>
  <si>
    <t>持股比例</t>
  </si>
  <si>
    <t>账面期末余额</t>
  </si>
  <si>
    <t>被投资单位净资产</t>
  </si>
  <si>
    <t>未确认投资损失</t>
  </si>
  <si>
    <t>长期权益</t>
  </si>
  <si>
    <t>①</t>
  </si>
  <si>
    <t>②</t>
  </si>
  <si>
    <t>③</t>
  </si>
  <si>
    <t>④</t>
  </si>
  <si>
    <t>⑤</t>
  </si>
  <si>
    <t>⑥</t>
  </si>
  <si>
    <t>⑦</t>
  </si>
  <si>
    <t>合计</t>
  </si>
  <si>
    <r>
      <t>编制说明：</t>
    </r>
    <r>
      <rPr>
        <sz val="10"/>
        <rFont val="Times New Roman"/>
        <family val="1"/>
      </rPr>
      <t/>
    </r>
    <phoneticPr fontId="11" type="noConversion"/>
  </si>
  <si>
    <r>
      <t>1</t>
    </r>
    <r>
      <rPr>
        <sz val="10"/>
        <color indexed="12"/>
        <rFont val="宋体"/>
        <family val="3"/>
        <charset val="134"/>
      </rPr>
      <t>、账面期末余额</t>
    </r>
    <r>
      <rPr>
        <sz val="10"/>
        <color indexed="12"/>
        <rFont val="Arial Narrow"/>
        <family val="2"/>
      </rPr>
      <t>—</t>
    </r>
    <r>
      <rPr>
        <sz val="10"/>
        <color indexed="12"/>
        <rFont val="宋体"/>
        <family val="3"/>
        <charset val="134"/>
      </rPr>
      <t>长期权益，通常是指长期应收款。</t>
    </r>
    <phoneticPr fontId="11" type="noConversion"/>
  </si>
  <si>
    <r>
      <t>2</t>
    </r>
    <r>
      <rPr>
        <sz val="10"/>
        <color indexed="12"/>
        <rFont val="宋体"/>
        <family val="3"/>
        <charset val="134"/>
      </rPr>
      <t>、如果按照投资合同和协议约定被审计单位仍需承担额外损失义务的，则未确认投资损失期末数为计提的预计负债数。</t>
    </r>
  </si>
  <si>
    <r>
      <t>3</t>
    </r>
    <r>
      <rPr>
        <sz val="10"/>
        <color indexed="12"/>
        <rFont val="宋体"/>
        <family val="3"/>
        <charset val="134"/>
      </rPr>
      <t>、概述、（</t>
    </r>
    <r>
      <rPr>
        <sz val="10"/>
        <color indexed="12"/>
        <rFont val="Arial Narrow"/>
        <family val="2"/>
      </rPr>
      <t>1</t>
    </r>
    <r>
      <rPr>
        <sz val="10"/>
        <color indexed="12"/>
        <rFont val="宋体"/>
        <family val="3"/>
        <charset val="134"/>
      </rPr>
      <t>）程序的测试情况、结果；</t>
    </r>
    <phoneticPr fontId="11" type="noConversion"/>
  </si>
  <si>
    <r>
      <rPr>
        <b/>
        <sz val="10"/>
        <rFont val="宋体"/>
        <family val="3"/>
        <charset val="134"/>
      </rPr>
      <t>项目</t>
    </r>
    <phoneticPr fontId="11" type="noConversion"/>
  </si>
  <si>
    <r>
      <rPr>
        <b/>
        <sz val="10"/>
        <rFont val="宋体"/>
        <family val="3"/>
        <charset val="134"/>
      </rPr>
      <t>备注</t>
    </r>
    <phoneticPr fontId="11" type="noConversion"/>
  </si>
  <si>
    <r>
      <rPr>
        <b/>
        <sz val="10"/>
        <rFont val="宋体"/>
        <family val="3"/>
        <charset val="134"/>
      </rPr>
      <t>三、审计说明：</t>
    </r>
    <phoneticPr fontId="73" type="noConversion"/>
  </si>
  <si>
    <r>
      <t>AAA</t>
    </r>
    <r>
      <rPr>
        <b/>
        <sz val="10"/>
        <rFont val="宋体"/>
        <family val="3"/>
        <charset val="134"/>
      </rPr>
      <t>公司</t>
    </r>
    <phoneticPr fontId="11" type="noConversion"/>
  </si>
  <si>
    <t>底稿开列时，可先在以下单元格填写有关内容，以便其他底稿引用有关数据：</t>
    <phoneticPr fontId="11" type="noConversion"/>
  </si>
  <si>
    <t>内容</t>
  </si>
  <si>
    <t>编制人：</t>
    <phoneticPr fontId="11" type="noConversion"/>
  </si>
  <si>
    <t>长期股权投资审定表</t>
    <phoneticPr fontId="11" type="noConversion"/>
  </si>
  <si>
    <t>被投资公司会计政策</t>
    <phoneticPr fontId="11" type="noConversion"/>
  </si>
  <si>
    <t>附注披露信息（国企）</t>
    <phoneticPr fontId="11" type="noConversion"/>
  </si>
  <si>
    <t>项目</t>
  </si>
  <si>
    <t>经营活动现金流量</t>
  </si>
  <si>
    <r>
      <rPr>
        <sz val="10"/>
        <rFont val="宋体"/>
        <family val="3"/>
        <charset val="134"/>
      </rPr>
      <t>其他</t>
    </r>
    <phoneticPr fontId="11" type="noConversion"/>
  </si>
  <si>
    <t>--</t>
    <phoneticPr fontId="11" type="noConversion"/>
  </si>
  <si>
    <r>
      <rPr>
        <sz val="10"/>
        <rFont val="宋体"/>
        <family val="3"/>
        <charset val="134"/>
      </rPr>
      <t>（</t>
    </r>
    <r>
      <rPr>
        <sz val="10"/>
        <rFont val="Arial Narrow"/>
        <family val="2"/>
      </rPr>
      <t>1</t>
    </r>
    <r>
      <rPr>
        <sz val="10"/>
        <rFont val="宋体"/>
        <family val="3"/>
        <charset val="134"/>
      </rPr>
      <t>）企业合并合同或协议已获股东大会等内部权力机构通过。</t>
    </r>
    <phoneticPr fontId="11" type="noConversion"/>
  </si>
  <si>
    <r>
      <rPr>
        <sz val="10"/>
        <rFont val="宋体"/>
        <family val="3"/>
        <charset val="134"/>
      </rPr>
      <t>（</t>
    </r>
    <r>
      <rPr>
        <sz val="10"/>
        <rFont val="Arial Narrow"/>
        <family val="2"/>
      </rPr>
      <t>2</t>
    </r>
    <r>
      <rPr>
        <sz val="10"/>
        <rFont val="宋体"/>
        <family val="3"/>
        <charset val="134"/>
      </rPr>
      <t>）合并事项需要经过国家有关主管部门审批的，已获得相关部门的批准</t>
    </r>
    <phoneticPr fontId="11" type="noConversion"/>
  </si>
  <si>
    <r>
      <rPr>
        <sz val="10"/>
        <rFont val="宋体"/>
        <family val="3"/>
        <charset val="134"/>
      </rPr>
      <t>（</t>
    </r>
    <r>
      <rPr>
        <sz val="10"/>
        <rFont val="Arial Narrow"/>
        <family val="2"/>
      </rPr>
      <t>3</t>
    </r>
    <r>
      <rPr>
        <sz val="10"/>
        <rFont val="宋体"/>
        <family val="3"/>
        <charset val="134"/>
      </rPr>
      <t>）参与合并各方已办理了必要的财产权交接手续。</t>
    </r>
    <phoneticPr fontId="11" type="noConversion"/>
  </si>
  <si>
    <r>
      <rPr>
        <sz val="10"/>
        <rFont val="宋体"/>
        <family val="3"/>
        <charset val="134"/>
      </rPr>
      <t>合计</t>
    </r>
    <phoneticPr fontId="11" type="noConversion"/>
  </si>
  <si>
    <r>
      <t>A</t>
    </r>
    <r>
      <rPr>
        <sz val="10"/>
        <color rgb="FF0000FF"/>
        <rFont val="宋体"/>
        <family val="3"/>
        <charset val="134"/>
      </rPr>
      <t>、上述计算前提是合并前合并方与被合并方采用的会计政策应当一致。如企业合并前合并方与被合并方采用的会计政策不同的，应基于重要性原则，统一合并方与被合并方的会计政策。在按照合并方的会计政策对被合并方资产、负债的账面价值进行调整的基础上，计算确定形成长期股权投资的初始投资成本。</t>
    </r>
    <phoneticPr fontId="11" type="noConversion"/>
  </si>
  <si>
    <r>
      <rPr>
        <sz val="10"/>
        <color rgb="FF0000FF"/>
        <rFont val="宋体"/>
        <family val="3"/>
        <charset val="134"/>
      </rPr>
      <t>①确认企业合并形成的长期股权投资后，合并方账面资本公积（资本溢价或股本溢价）贷方余额大于被合并方在合并前实现的留存收益中归属于合并方的部分，在合并资产负债表中，应将被合并方在合并前实现的留存收益中归属于合并方的部分自</t>
    </r>
    <r>
      <rPr>
        <sz val="10"/>
        <color rgb="FF0000FF"/>
        <rFont val="Arial Narrow"/>
        <family val="2"/>
      </rPr>
      <t>“</t>
    </r>
    <r>
      <rPr>
        <sz val="10"/>
        <color rgb="FF0000FF"/>
        <rFont val="宋体"/>
        <family val="3"/>
        <charset val="134"/>
      </rPr>
      <t>资本公积</t>
    </r>
    <r>
      <rPr>
        <sz val="10"/>
        <color rgb="FF0000FF"/>
        <rFont val="Arial Narrow"/>
        <family val="2"/>
      </rPr>
      <t>”</t>
    </r>
    <r>
      <rPr>
        <sz val="10"/>
        <color rgb="FF0000FF"/>
        <rFont val="宋体"/>
        <family val="3"/>
        <charset val="134"/>
      </rPr>
      <t>转入</t>
    </r>
    <r>
      <rPr>
        <sz val="10"/>
        <color rgb="FF0000FF"/>
        <rFont val="Arial Narrow"/>
        <family val="2"/>
      </rPr>
      <t>“</t>
    </r>
    <r>
      <rPr>
        <sz val="10"/>
        <color rgb="FF0000FF"/>
        <rFont val="宋体"/>
        <family val="3"/>
        <charset val="134"/>
      </rPr>
      <t>盈余公积</t>
    </r>
    <r>
      <rPr>
        <sz val="10"/>
        <color rgb="FF0000FF"/>
        <rFont val="Arial Narrow"/>
        <family val="2"/>
      </rPr>
      <t>”</t>
    </r>
    <r>
      <rPr>
        <sz val="10"/>
        <color rgb="FF0000FF"/>
        <rFont val="宋体"/>
        <family val="3"/>
        <charset val="134"/>
      </rPr>
      <t>和</t>
    </r>
    <r>
      <rPr>
        <sz val="10"/>
        <color rgb="FF0000FF"/>
        <rFont val="Arial Narrow"/>
        <family val="2"/>
      </rPr>
      <t>“</t>
    </r>
    <r>
      <rPr>
        <sz val="10"/>
        <color rgb="FF0000FF"/>
        <rFont val="宋体"/>
        <family val="3"/>
        <charset val="134"/>
      </rPr>
      <t>未分配利润</t>
    </r>
    <r>
      <rPr>
        <sz val="10"/>
        <color rgb="FF0000FF"/>
        <rFont val="Arial Narrow"/>
        <family val="2"/>
      </rPr>
      <t>”</t>
    </r>
    <r>
      <rPr>
        <sz val="10"/>
        <color rgb="FF0000FF"/>
        <rFont val="宋体"/>
        <family val="3"/>
        <charset val="134"/>
      </rPr>
      <t>。在合并工作底稿中，借记</t>
    </r>
    <r>
      <rPr>
        <sz val="10"/>
        <color rgb="FF0000FF"/>
        <rFont val="Arial Narrow"/>
        <family val="2"/>
      </rPr>
      <t>“</t>
    </r>
    <r>
      <rPr>
        <sz val="10"/>
        <color rgb="FF0000FF"/>
        <rFont val="宋体"/>
        <family val="3"/>
        <charset val="134"/>
      </rPr>
      <t>资本公积</t>
    </r>
    <r>
      <rPr>
        <sz val="10"/>
        <color rgb="FF0000FF"/>
        <rFont val="Arial Narrow"/>
        <family val="2"/>
      </rPr>
      <t>”</t>
    </r>
    <r>
      <rPr>
        <sz val="10"/>
        <color rgb="FF0000FF"/>
        <rFont val="宋体"/>
        <family val="3"/>
        <charset val="134"/>
      </rPr>
      <t>项目，贷记</t>
    </r>
    <r>
      <rPr>
        <sz val="10"/>
        <color rgb="FF0000FF"/>
        <rFont val="Arial Narrow"/>
        <family val="2"/>
      </rPr>
      <t>“</t>
    </r>
    <r>
      <rPr>
        <sz val="10"/>
        <color rgb="FF0000FF"/>
        <rFont val="宋体"/>
        <family val="3"/>
        <charset val="134"/>
      </rPr>
      <t>盈余公积</t>
    </r>
    <r>
      <rPr>
        <sz val="10"/>
        <color rgb="FF0000FF"/>
        <rFont val="Arial Narrow"/>
        <family val="2"/>
      </rPr>
      <t>”</t>
    </r>
    <r>
      <rPr>
        <sz val="10"/>
        <color rgb="FF0000FF"/>
        <rFont val="宋体"/>
        <family val="3"/>
        <charset val="134"/>
      </rPr>
      <t>和</t>
    </r>
    <r>
      <rPr>
        <sz val="10"/>
        <color rgb="FF0000FF"/>
        <rFont val="Arial Narrow"/>
        <family val="2"/>
      </rPr>
      <t>“</t>
    </r>
    <r>
      <rPr>
        <sz val="10"/>
        <color rgb="FF0000FF"/>
        <rFont val="宋体"/>
        <family val="3"/>
        <charset val="134"/>
      </rPr>
      <t>未分配利润</t>
    </r>
    <r>
      <rPr>
        <sz val="10"/>
        <color rgb="FF0000FF"/>
        <rFont val="Arial Narrow"/>
        <family val="2"/>
      </rPr>
      <t>”</t>
    </r>
    <r>
      <rPr>
        <sz val="10"/>
        <color rgb="FF0000FF"/>
        <rFont val="宋体"/>
        <family val="3"/>
        <charset val="134"/>
      </rPr>
      <t>项目。
②确认企业合并形成的长期股权投资后，合并方面资本公积（资本溢价或股本溢价）贷方余额小于被合并方在合并前实现的留存收益中归属于合并方的部分的，在合并资产负债表中，应以合并方资本公积</t>
    </r>
    <r>
      <rPr>
        <sz val="10"/>
        <color rgb="FF0000FF"/>
        <rFont val="Arial Narrow"/>
        <family val="2"/>
      </rPr>
      <t>(</t>
    </r>
    <r>
      <rPr>
        <sz val="10"/>
        <color rgb="FF0000FF"/>
        <rFont val="宋体"/>
        <family val="3"/>
        <charset val="134"/>
      </rPr>
      <t>资本溢价或股本溢价</t>
    </r>
    <r>
      <rPr>
        <sz val="10"/>
        <color rgb="FF0000FF"/>
        <rFont val="Arial Narrow"/>
        <family val="2"/>
      </rPr>
      <t>)</t>
    </r>
    <r>
      <rPr>
        <sz val="10"/>
        <color rgb="FF0000FF"/>
        <rFont val="宋体"/>
        <family val="3"/>
        <charset val="134"/>
      </rPr>
      <t>的贷方余额为限，将被合并方在企业合并前实现的留存收益中归属于合并方的部分自</t>
    </r>
    <r>
      <rPr>
        <sz val="10"/>
        <color rgb="FF0000FF"/>
        <rFont val="Arial Narrow"/>
        <family val="2"/>
      </rPr>
      <t>“</t>
    </r>
    <r>
      <rPr>
        <sz val="10"/>
        <color rgb="FF0000FF"/>
        <rFont val="宋体"/>
        <family val="3"/>
        <charset val="134"/>
      </rPr>
      <t>资本公积</t>
    </r>
    <r>
      <rPr>
        <sz val="10"/>
        <color rgb="FF0000FF"/>
        <rFont val="Arial Narrow"/>
        <family val="2"/>
      </rPr>
      <t>”</t>
    </r>
    <r>
      <rPr>
        <sz val="10"/>
        <color rgb="FF0000FF"/>
        <rFont val="宋体"/>
        <family val="3"/>
        <charset val="134"/>
      </rPr>
      <t>转入</t>
    </r>
    <r>
      <rPr>
        <sz val="10"/>
        <color rgb="FF0000FF"/>
        <rFont val="Arial Narrow"/>
        <family val="2"/>
      </rPr>
      <t>“</t>
    </r>
    <r>
      <rPr>
        <sz val="10"/>
        <color rgb="FF0000FF"/>
        <rFont val="宋体"/>
        <family val="3"/>
        <charset val="134"/>
      </rPr>
      <t>盈余公积</t>
    </r>
    <r>
      <rPr>
        <sz val="10"/>
        <color rgb="FF0000FF"/>
        <rFont val="Arial Narrow"/>
        <family val="2"/>
      </rPr>
      <t>”</t>
    </r>
    <r>
      <rPr>
        <sz val="10"/>
        <color rgb="FF0000FF"/>
        <rFont val="宋体"/>
        <family val="3"/>
        <charset val="134"/>
      </rPr>
      <t>和</t>
    </r>
    <r>
      <rPr>
        <sz val="10"/>
        <color rgb="FF0000FF"/>
        <rFont val="Arial Narrow"/>
        <family val="2"/>
      </rPr>
      <t>“</t>
    </r>
    <r>
      <rPr>
        <sz val="10"/>
        <color rgb="FF0000FF"/>
        <rFont val="宋体"/>
        <family val="3"/>
        <charset val="134"/>
      </rPr>
      <t>未分配利润</t>
    </r>
    <r>
      <rPr>
        <sz val="10"/>
        <color rgb="FF0000FF"/>
        <rFont val="Arial Narrow"/>
        <family val="2"/>
      </rPr>
      <t>”</t>
    </r>
    <r>
      <rPr>
        <sz val="10"/>
        <color rgb="FF0000FF"/>
        <rFont val="宋体"/>
        <family val="3"/>
        <charset val="134"/>
      </rPr>
      <t>。在合并工作底稿中，借记</t>
    </r>
    <r>
      <rPr>
        <sz val="10"/>
        <color rgb="FF0000FF"/>
        <rFont val="Arial Narrow"/>
        <family val="2"/>
      </rPr>
      <t>“</t>
    </r>
    <r>
      <rPr>
        <sz val="10"/>
        <color rgb="FF0000FF"/>
        <rFont val="宋体"/>
        <family val="3"/>
        <charset val="134"/>
      </rPr>
      <t>资本公积</t>
    </r>
    <r>
      <rPr>
        <sz val="10"/>
        <color rgb="FF0000FF"/>
        <rFont val="Arial Narrow"/>
        <family val="2"/>
      </rPr>
      <t>”</t>
    </r>
    <r>
      <rPr>
        <sz val="10"/>
        <color rgb="FF0000FF"/>
        <rFont val="宋体"/>
        <family val="3"/>
        <charset val="134"/>
      </rPr>
      <t>项目，贷记</t>
    </r>
    <r>
      <rPr>
        <sz val="10"/>
        <color rgb="FF0000FF"/>
        <rFont val="Arial Narrow"/>
        <family val="2"/>
      </rPr>
      <t>“</t>
    </r>
    <r>
      <rPr>
        <sz val="10"/>
        <color rgb="FF0000FF"/>
        <rFont val="宋体"/>
        <family val="3"/>
        <charset val="134"/>
      </rPr>
      <t>盈余公积</t>
    </r>
    <r>
      <rPr>
        <sz val="10"/>
        <color rgb="FF0000FF"/>
        <rFont val="Arial Narrow"/>
        <family val="2"/>
      </rPr>
      <t>”</t>
    </r>
    <r>
      <rPr>
        <sz val="10"/>
        <color rgb="FF0000FF"/>
        <rFont val="宋体"/>
        <family val="3"/>
        <charset val="134"/>
      </rPr>
      <t>和</t>
    </r>
    <r>
      <rPr>
        <sz val="10"/>
        <color rgb="FF0000FF"/>
        <rFont val="Arial Narrow"/>
        <family val="2"/>
      </rPr>
      <t>“</t>
    </r>
    <r>
      <rPr>
        <sz val="10"/>
        <color rgb="FF0000FF"/>
        <rFont val="宋体"/>
        <family val="3"/>
        <charset val="134"/>
      </rPr>
      <t>未分配利润</t>
    </r>
    <r>
      <rPr>
        <sz val="10"/>
        <color rgb="FF0000FF"/>
        <rFont val="Arial Narrow"/>
        <family val="2"/>
      </rPr>
      <t>”</t>
    </r>
    <r>
      <rPr>
        <sz val="10"/>
        <color rgb="FF0000FF"/>
        <rFont val="宋体"/>
        <family val="3"/>
        <charset val="134"/>
      </rPr>
      <t>项目。
因合并方的资本公积（资本溢价或股本溢价）余额不足，被合并方在合并前实现的留存收益中归属于合并方的部分在合并资产负债表中未予全额恢复的，合并方应当在会计报表附注中对这一情况进行说明。</t>
    </r>
    <phoneticPr fontId="11" type="noConversion"/>
  </si>
  <si>
    <r>
      <t xml:space="preserve">  </t>
    </r>
    <r>
      <rPr>
        <sz val="10"/>
        <rFont val="宋体"/>
        <family val="3"/>
        <charset val="134"/>
      </rPr>
      <t>年</t>
    </r>
    <r>
      <rPr>
        <sz val="10"/>
        <rFont val="Arial Narrow"/>
        <family val="2"/>
      </rPr>
      <t xml:space="preserve">    </t>
    </r>
    <r>
      <rPr>
        <sz val="10"/>
        <rFont val="宋体"/>
        <family val="3"/>
        <charset val="134"/>
      </rPr>
      <t>月</t>
    </r>
    <r>
      <rPr>
        <sz val="10"/>
        <rFont val="Arial Narrow"/>
        <family val="2"/>
      </rPr>
      <t xml:space="preserve">    </t>
    </r>
    <r>
      <rPr>
        <sz val="10"/>
        <rFont val="宋体"/>
        <family val="3"/>
        <charset val="134"/>
      </rPr>
      <t>日</t>
    </r>
    <phoneticPr fontId="11" type="noConversion"/>
  </si>
  <si>
    <r>
      <rPr>
        <b/>
        <sz val="10"/>
        <rFont val="宋体"/>
        <family val="3"/>
        <charset val="134"/>
      </rPr>
      <t>审核项目</t>
    </r>
    <phoneticPr fontId="11" type="noConversion"/>
  </si>
  <si>
    <r>
      <rPr>
        <b/>
        <sz val="10"/>
        <rFont val="宋体"/>
        <family val="3"/>
        <charset val="134"/>
      </rPr>
      <t>索引</t>
    </r>
    <phoneticPr fontId="11" type="noConversion"/>
  </si>
  <si>
    <r>
      <rPr>
        <sz val="10"/>
        <color rgb="FF0000FF"/>
        <rFont val="宋体"/>
        <family val="3"/>
        <charset val="134"/>
      </rPr>
      <t>提示：</t>
    </r>
    <phoneticPr fontId="11" type="noConversion"/>
  </si>
  <si>
    <r>
      <t>B</t>
    </r>
    <r>
      <rPr>
        <sz val="10"/>
        <color rgb="FF0000FF"/>
        <rFont val="宋体"/>
        <family val="3"/>
        <charset val="134"/>
      </rPr>
      <t>、在编制合并资产负债表时，对于被合并方在企业合并前实现的留存收益（盈余公积和未分配利润之和）中归属于合并方的部分，应按以下原则，自合并方的资本公积转入留存收益和未分配利润：</t>
    </r>
    <phoneticPr fontId="11" type="noConversion"/>
  </si>
  <si>
    <r>
      <rPr>
        <sz val="9"/>
        <color rgb="FF0000FF"/>
        <rFont val="宋体"/>
        <family val="3"/>
        <charset val="134"/>
      </rPr>
      <t>提示：</t>
    </r>
    <r>
      <rPr>
        <sz val="9"/>
        <color indexed="10"/>
        <rFont val="Times New Roman"/>
        <family val="1"/>
      </rPr>
      <t/>
    </r>
    <phoneticPr fontId="11" type="noConversion"/>
  </si>
  <si>
    <r>
      <t>A</t>
    </r>
    <r>
      <rPr>
        <sz val="10"/>
        <color rgb="FF0000FF"/>
        <rFont val="宋体"/>
        <family val="3"/>
        <charset val="134"/>
      </rPr>
      <t>、购买方为企业合并发生的审计、法律服务、评估咨询等中介费用以及其他相关管理费用，应当于发生时计入当期损益；购买方作为合并对价发行的权益性证券或债务性证券的交易费用，应当计入权益性证券或债务性证券的初始确认金额。</t>
    </r>
    <phoneticPr fontId="11" type="noConversion"/>
  </si>
  <si>
    <r>
      <t>B</t>
    </r>
    <r>
      <rPr>
        <sz val="10"/>
        <color rgb="FF0000FF"/>
        <rFont val="宋体"/>
        <family val="3"/>
        <charset val="134"/>
      </rPr>
      <t>、取得投资时点一般会与评估基准日有时间差异，请注意公允价值的调整。</t>
    </r>
    <phoneticPr fontId="11" type="noConversion"/>
  </si>
  <si>
    <r>
      <rPr>
        <b/>
        <sz val="10"/>
        <rFont val="宋体"/>
        <family val="3"/>
        <charset val="134"/>
      </rPr>
      <t>确认依据：</t>
    </r>
    <phoneticPr fontId="11" type="noConversion"/>
  </si>
  <si>
    <r>
      <rPr>
        <b/>
        <sz val="10"/>
        <rFont val="宋体"/>
        <family val="3"/>
        <charset val="134"/>
      </rPr>
      <t>最终确定的合并（购买）日</t>
    </r>
    <phoneticPr fontId="11" type="noConversion"/>
  </si>
  <si>
    <r>
      <rPr>
        <sz val="10"/>
        <rFont val="宋体"/>
        <family val="3"/>
        <charset val="134"/>
      </rPr>
      <t>审计证据索引号</t>
    </r>
    <phoneticPr fontId="11" type="noConversion"/>
  </si>
  <si>
    <r>
      <rPr>
        <b/>
        <sz val="10"/>
        <rFont val="宋体"/>
        <family val="3"/>
        <charset val="134"/>
      </rPr>
      <t>二、审计过程：</t>
    </r>
    <phoneticPr fontId="11" type="noConversion"/>
  </si>
  <si>
    <r>
      <rPr>
        <b/>
        <sz val="10"/>
        <rFont val="宋体"/>
        <family val="3"/>
        <charset val="134"/>
      </rPr>
      <t>审核项目</t>
    </r>
    <phoneticPr fontId="11" type="noConversion"/>
  </si>
  <si>
    <r>
      <rPr>
        <b/>
        <sz val="10"/>
        <rFont val="宋体"/>
        <family val="3"/>
        <charset val="134"/>
      </rPr>
      <t>索引</t>
    </r>
    <phoneticPr fontId="11" type="noConversion"/>
  </si>
  <si>
    <r>
      <rPr>
        <b/>
        <sz val="10"/>
        <color rgb="FFFF0000"/>
        <rFont val="宋体"/>
        <family val="3"/>
        <charset val="134"/>
      </rPr>
      <t>公司</t>
    </r>
    <r>
      <rPr>
        <b/>
        <sz val="10"/>
        <color rgb="FFFF0000"/>
        <rFont val="Arial Narrow"/>
        <family val="2"/>
      </rPr>
      <t>2</t>
    </r>
    <r>
      <rPr>
        <sz val="10"/>
        <color theme="1"/>
        <rFont val="宋体"/>
        <family val="2"/>
        <charset val="134"/>
        <scheme val="minor"/>
      </rPr>
      <t/>
    </r>
  </si>
  <si>
    <r>
      <rPr>
        <b/>
        <sz val="10"/>
        <color rgb="FFFF0000"/>
        <rFont val="宋体"/>
        <family val="3"/>
        <charset val="134"/>
      </rPr>
      <t>公司</t>
    </r>
    <r>
      <rPr>
        <b/>
        <sz val="10"/>
        <color rgb="FFFF0000"/>
        <rFont val="Arial Narrow"/>
        <family val="2"/>
      </rPr>
      <t>3</t>
    </r>
    <r>
      <rPr>
        <sz val="10"/>
        <color theme="1"/>
        <rFont val="宋体"/>
        <family val="2"/>
        <charset val="134"/>
        <scheme val="minor"/>
      </rPr>
      <t/>
    </r>
  </si>
  <si>
    <r>
      <rPr>
        <b/>
        <sz val="10"/>
        <color rgb="FFFF0000"/>
        <rFont val="宋体"/>
        <family val="3"/>
        <charset val="134"/>
      </rPr>
      <t>公司</t>
    </r>
    <r>
      <rPr>
        <b/>
        <sz val="10"/>
        <color rgb="FFFF0000"/>
        <rFont val="Arial Narrow"/>
        <family val="2"/>
      </rPr>
      <t>1</t>
    </r>
    <phoneticPr fontId="11" type="noConversion"/>
  </si>
  <si>
    <r>
      <rPr>
        <b/>
        <sz val="10"/>
        <color rgb="FFFF0000"/>
        <rFont val="宋体"/>
        <family val="3"/>
        <charset val="134"/>
      </rPr>
      <t>公司</t>
    </r>
    <r>
      <rPr>
        <b/>
        <sz val="10"/>
        <color rgb="FFFF0000"/>
        <rFont val="Arial Narrow"/>
        <family val="2"/>
      </rPr>
      <t>2</t>
    </r>
    <phoneticPr fontId="11" type="noConversion"/>
  </si>
  <si>
    <r>
      <rPr>
        <b/>
        <sz val="10"/>
        <color rgb="FFFF0000"/>
        <rFont val="宋体"/>
        <family val="3"/>
        <charset val="134"/>
      </rPr>
      <t>公司</t>
    </r>
    <r>
      <rPr>
        <b/>
        <sz val="10"/>
        <color rgb="FFFF0000"/>
        <rFont val="Arial Narrow"/>
        <family val="2"/>
      </rPr>
      <t>3</t>
    </r>
    <phoneticPr fontId="11" type="noConversion"/>
  </si>
  <si>
    <r>
      <t>A</t>
    </r>
    <r>
      <rPr>
        <b/>
        <sz val="10"/>
        <color rgb="FFFF0000"/>
        <rFont val="宋体"/>
        <family val="3"/>
        <charset val="134"/>
      </rPr>
      <t>公司</t>
    </r>
    <phoneticPr fontId="11" type="noConversion"/>
  </si>
  <si>
    <r>
      <t>B</t>
    </r>
    <r>
      <rPr>
        <b/>
        <sz val="10"/>
        <color rgb="FFFF0000"/>
        <rFont val="宋体"/>
        <family val="3"/>
        <charset val="134"/>
      </rPr>
      <t>公司</t>
    </r>
    <phoneticPr fontId="11" type="noConversion"/>
  </si>
  <si>
    <r>
      <t>C</t>
    </r>
    <r>
      <rPr>
        <b/>
        <sz val="10"/>
        <color rgb="FFFF0000"/>
        <rFont val="宋体"/>
        <family val="3"/>
        <charset val="134"/>
      </rPr>
      <t>公司</t>
    </r>
    <phoneticPr fontId="11" type="noConversion"/>
  </si>
  <si>
    <r>
      <t>P</t>
    </r>
    <r>
      <rPr>
        <b/>
        <sz val="10"/>
        <color rgb="FFFF0000"/>
        <rFont val="宋体"/>
        <family val="3"/>
        <charset val="134"/>
      </rPr>
      <t>公司</t>
    </r>
    <phoneticPr fontId="11" type="noConversion"/>
  </si>
  <si>
    <r>
      <t>Q</t>
    </r>
    <r>
      <rPr>
        <b/>
        <sz val="10"/>
        <color rgb="FFFF0000"/>
        <rFont val="宋体"/>
        <family val="3"/>
        <charset val="134"/>
      </rPr>
      <t>公司</t>
    </r>
    <phoneticPr fontId="11" type="noConversion"/>
  </si>
  <si>
    <r>
      <rPr>
        <sz val="10"/>
        <rFont val="宋体"/>
        <family val="3"/>
        <charset val="134"/>
      </rPr>
      <t>小计</t>
    </r>
    <phoneticPr fontId="11" type="noConversion"/>
  </si>
  <si>
    <r>
      <rPr>
        <sz val="10"/>
        <rFont val="宋体"/>
        <family val="3"/>
        <charset val="134"/>
      </rPr>
      <t>小计</t>
    </r>
    <phoneticPr fontId="11" type="noConversion"/>
  </si>
  <si>
    <r>
      <rPr>
        <sz val="10"/>
        <rFont val="宋体"/>
        <family val="3"/>
        <charset val="134"/>
      </rPr>
      <t>公司名称</t>
    </r>
    <phoneticPr fontId="11" type="noConversion"/>
  </si>
  <si>
    <r>
      <t>M</t>
    </r>
    <r>
      <rPr>
        <b/>
        <sz val="10"/>
        <color rgb="FFFF0000"/>
        <rFont val="宋体"/>
        <family val="3"/>
        <charset val="134"/>
      </rPr>
      <t>公司</t>
    </r>
    <phoneticPr fontId="11" type="noConversion"/>
  </si>
  <si>
    <r>
      <t>N</t>
    </r>
    <r>
      <rPr>
        <b/>
        <sz val="10"/>
        <color rgb="FFFF0000"/>
        <rFont val="宋体"/>
        <family val="3"/>
        <charset val="134"/>
      </rPr>
      <t>公司</t>
    </r>
    <phoneticPr fontId="11" type="noConversion"/>
  </si>
  <si>
    <r>
      <t>A</t>
    </r>
    <r>
      <rPr>
        <sz val="10"/>
        <color rgb="FF0000FF"/>
        <rFont val="宋体"/>
        <family val="3"/>
        <charset val="134"/>
      </rPr>
      <t>、通过多次交换交易分步实现非同一控制下企业合并的，在个别财务报表中，以购买日之前所持被购买方的股权投资的账面价值与购买日新增投资成本之和，作为该项投资的初始投资成本。购买日之前持有的股权投资因采用权益法核算而确认的其他综合收益，应当在处置该项投资时采用与被投资单位直接处置相关资产或负债相同的基础进行会计处理；因被投资方除净损益、其他综合收益和利润分配以外的其他所有者权益变动而确认的所有者权益，应当在处置该项投资时转入处置期间的当期损益。购买日之前持有的股权投资按照《企业会计准则第</t>
    </r>
    <r>
      <rPr>
        <sz val="10"/>
        <color rgb="FF0000FF"/>
        <rFont val="Arial Narrow"/>
        <family val="2"/>
      </rPr>
      <t>22</t>
    </r>
    <r>
      <rPr>
        <sz val="10"/>
        <color rgb="FF0000FF"/>
        <rFont val="宋体"/>
        <family val="3"/>
        <charset val="134"/>
      </rPr>
      <t>号</t>
    </r>
    <r>
      <rPr>
        <sz val="10"/>
        <color rgb="FF0000FF"/>
        <rFont val="Arial Narrow"/>
        <family val="2"/>
      </rPr>
      <t>——</t>
    </r>
    <r>
      <rPr>
        <sz val="10"/>
        <color rgb="FF0000FF"/>
        <rFont val="宋体"/>
        <family val="3"/>
        <charset val="134"/>
      </rPr>
      <t>金融工具确认和计量》的有关规定进行会计处理的，原计入其他综合收益的累计公允价值变动应当在改按成本法核算时转入当期损益。</t>
    </r>
    <phoneticPr fontId="11" type="noConversion"/>
  </si>
  <si>
    <t>索引号</t>
    <phoneticPr fontId="11" type="noConversion"/>
  </si>
  <si>
    <r>
      <rPr>
        <b/>
        <sz val="10"/>
        <color indexed="8"/>
        <rFont val="宋体"/>
        <family val="3"/>
        <charset val="134"/>
      </rPr>
      <t>一、审计目标：</t>
    </r>
    <phoneticPr fontId="14" type="noConversion"/>
  </si>
  <si>
    <r>
      <rPr>
        <sz val="10"/>
        <rFont val="宋体"/>
        <family val="3"/>
        <charset val="134"/>
      </rPr>
      <t>确定子公司长期股权投资及其相关账户后续计量是否正确。</t>
    </r>
    <phoneticPr fontId="11" type="noConversion"/>
  </si>
  <si>
    <r>
      <rPr>
        <b/>
        <sz val="10"/>
        <rFont val="宋体"/>
        <family val="3"/>
        <charset val="134"/>
      </rPr>
      <t>公司名称</t>
    </r>
    <phoneticPr fontId="11" type="noConversion"/>
  </si>
  <si>
    <r>
      <rPr>
        <b/>
        <sz val="10"/>
        <rFont val="宋体"/>
        <family val="3"/>
        <charset val="134"/>
      </rPr>
      <t>持股比例</t>
    </r>
    <phoneticPr fontId="11" type="noConversion"/>
  </si>
  <si>
    <r>
      <rPr>
        <b/>
        <sz val="10"/>
        <rFont val="宋体"/>
        <family val="3"/>
        <charset val="134"/>
      </rPr>
      <t>宣告分派股利日</t>
    </r>
    <phoneticPr fontId="11" type="noConversion"/>
  </si>
  <si>
    <r>
      <rPr>
        <b/>
        <sz val="10"/>
        <rFont val="宋体"/>
        <family val="3"/>
        <charset val="134"/>
      </rPr>
      <t>主要股利分配政策</t>
    </r>
    <phoneticPr fontId="11" type="noConversion"/>
  </si>
  <si>
    <r>
      <rPr>
        <b/>
        <sz val="10"/>
        <rFont val="宋体"/>
        <family val="3"/>
        <charset val="134"/>
      </rPr>
      <t>宣告分派的股利金额</t>
    </r>
    <phoneticPr fontId="11" type="noConversion"/>
  </si>
  <si>
    <r>
      <rPr>
        <b/>
        <sz val="10"/>
        <rFont val="宋体"/>
        <family val="3"/>
        <charset val="134"/>
      </rPr>
      <t>被审计单位应分配股利</t>
    </r>
    <phoneticPr fontId="11" type="noConversion"/>
  </si>
  <si>
    <r>
      <rPr>
        <b/>
        <sz val="10"/>
        <rFont val="宋体"/>
        <family val="3"/>
        <charset val="134"/>
      </rPr>
      <t>实际入账股利</t>
    </r>
    <phoneticPr fontId="11" type="noConversion"/>
  </si>
  <si>
    <r>
      <rPr>
        <b/>
        <sz val="10"/>
        <rFont val="宋体"/>
        <family val="3"/>
        <charset val="134"/>
      </rPr>
      <t>差异</t>
    </r>
    <phoneticPr fontId="11" type="noConversion"/>
  </si>
  <si>
    <r>
      <t>2</t>
    </r>
    <r>
      <rPr>
        <b/>
        <sz val="10"/>
        <rFont val="宋体"/>
        <family val="3"/>
        <charset val="134"/>
      </rPr>
      <t>、购买少数股东股权的处理</t>
    </r>
    <phoneticPr fontId="11" type="noConversion"/>
  </si>
  <si>
    <r>
      <t>A</t>
    </r>
    <r>
      <rPr>
        <sz val="10"/>
        <color rgb="FF0000FF"/>
        <rFont val="宋体"/>
        <family val="3"/>
        <charset val="134"/>
      </rPr>
      <t>、母公司个别财务报表中对于自子公司少数股东处新取得的长期股权投资，应当按照《企业会计准则第</t>
    </r>
    <r>
      <rPr>
        <sz val="10"/>
        <color rgb="FF0000FF"/>
        <rFont val="Arial Narrow"/>
        <family val="2"/>
      </rPr>
      <t xml:space="preserve">2 </t>
    </r>
    <r>
      <rPr>
        <sz val="10"/>
        <color rgb="FF0000FF"/>
        <rFont val="宋体"/>
        <family val="3"/>
        <charset val="134"/>
      </rPr>
      <t>号</t>
    </r>
    <r>
      <rPr>
        <sz val="10"/>
        <color rgb="FF0000FF"/>
        <rFont val="Arial Narrow"/>
        <family val="2"/>
      </rPr>
      <t>——</t>
    </r>
    <r>
      <rPr>
        <sz val="10"/>
        <color rgb="FF0000FF"/>
        <rFont val="宋体"/>
        <family val="3"/>
        <charset val="134"/>
      </rPr>
      <t>长期股权投资》第四条的规定，确定长期股权投资的入账价值。</t>
    </r>
    <phoneticPr fontId="11" type="noConversion"/>
  </si>
  <si>
    <r>
      <t>B</t>
    </r>
    <r>
      <rPr>
        <sz val="10"/>
        <color rgb="FF0000FF"/>
        <rFont val="宋体"/>
        <family val="3"/>
        <charset val="134"/>
      </rPr>
      <t>、在合并财务报表中，子公司的资产、负债应以购买日（或合并日）开始持续计算的金额反映。母公司新取得的长期股权投资成本与按照新增持股股比例计算应享有子公司自购买日（或合并日）开始持续计算的可辨认净资产份额之间的差额，应当调整合并财务报表中的资本公积（资本溢价或股本溢价），资本公积（资本溢价或股本溢价）的余额不足冲减的，调整留存收益。</t>
    </r>
    <phoneticPr fontId="11" type="noConversion"/>
  </si>
  <si>
    <r>
      <rPr>
        <b/>
        <sz val="10"/>
        <rFont val="宋体"/>
        <family val="3"/>
        <charset val="134"/>
      </rPr>
      <t>考虑事项</t>
    </r>
    <phoneticPr fontId="11" type="noConversion"/>
  </si>
  <si>
    <r>
      <rPr>
        <sz val="10"/>
        <rFont val="宋体"/>
        <family val="3"/>
        <charset val="134"/>
      </rPr>
      <t>资产的市价当期大幅度下跌，其跌幅明显高于因时间的推移或者正常使用而预计的下跌</t>
    </r>
    <phoneticPr fontId="11" type="noConversion"/>
  </si>
  <si>
    <r>
      <rPr>
        <sz val="10"/>
        <rFont val="宋体"/>
        <family val="3"/>
        <charset val="134"/>
      </rPr>
      <t>企业经营所处的经济、技术或者法律等环境以及资产所处的市场在当期或者将在近期发生重大变化，从而对企业产生不利影响</t>
    </r>
    <phoneticPr fontId="11" type="noConversion"/>
  </si>
  <si>
    <r>
      <rPr>
        <sz val="10"/>
        <rFont val="宋体"/>
        <family val="3"/>
        <charset val="134"/>
      </rPr>
      <t>市场利率或者其他市场投资报酬率在当期已经提高，从而影响企业计算资产预计未来现金流量现值的折现率，导致资产可收回金额大幅度降低</t>
    </r>
    <phoneticPr fontId="11" type="noConversion"/>
  </si>
  <si>
    <r>
      <rPr>
        <sz val="10"/>
        <rFont val="宋体"/>
        <family val="3"/>
        <charset val="134"/>
      </rPr>
      <t>有证据表明资产已经陈旧过时或者其实体已经损坏</t>
    </r>
    <phoneticPr fontId="11" type="noConversion"/>
  </si>
  <si>
    <r>
      <rPr>
        <sz val="10"/>
        <rFont val="宋体"/>
        <family val="3"/>
        <charset val="134"/>
      </rPr>
      <t>资产已经或者将被闲置、终止使用或者计划提前处置</t>
    </r>
    <phoneticPr fontId="11" type="noConversion"/>
  </si>
  <si>
    <r>
      <rPr>
        <sz val="10"/>
        <rFont val="宋体"/>
        <family val="3"/>
        <charset val="134"/>
      </rPr>
      <t>企业内部报告的证据表明资产的经济绩效已经低于或者将低于预期，如资产所创造的净现金流量或者实现的营业利润（或者亏损）远远低于（或者高于）预计金额等</t>
    </r>
    <phoneticPr fontId="11" type="noConversion"/>
  </si>
  <si>
    <t>B21</t>
    <phoneticPr fontId="11" type="noConversion"/>
  </si>
  <si>
    <t>C25</t>
    <phoneticPr fontId="11" type="noConversion"/>
  </si>
  <si>
    <r>
      <rPr>
        <b/>
        <sz val="10"/>
        <rFont val="宋体"/>
        <family val="3"/>
        <charset val="134"/>
      </rPr>
      <t>说明</t>
    </r>
    <r>
      <rPr>
        <b/>
        <sz val="10"/>
        <rFont val="Arial Narrow"/>
        <family val="2"/>
      </rPr>
      <t>/</t>
    </r>
    <r>
      <rPr>
        <b/>
        <sz val="10"/>
        <rFont val="宋体"/>
        <family val="3"/>
        <charset val="134"/>
      </rPr>
      <t>索引号</t>
    </r>
    <phoneticPr fontId="11" type="noConversion"/>
  </si>
  <si>
    <r>
      <rPr>
        <sz val="10"/>
        <rFont val="宋体"/>
        <family val="3"/>
        <charset val="134"/>
      </rPr>
      <t>资产类合计</t>
    </r>
    <phoneticPr fontId="11" type="noConversion"/>
  </si>
  <si>
    <r>
      <t xml:space="preserve">    </t>
    </r>
    <r>
      <rPr>
        <sz val="10"/>
        <rFont val="宋体"/>
        <family val="3"/>
        <charset val="134"/>
      </rPr>
      <t>应付账款</t>
    </r>
    <phoneticPr fontId="11" type="noConversion"/>
  </si>
  <si>
    <r>
      <rPr>
        <sz val="10"/>
        <rFont val="宋体"/>
        <family val="3"/>
        <charset val="134"/>
      </rPr>
      <t>负债类合计</t>
    </r>
    <phoneticPr fontId="11" type="noConversion"/>
  </si>
  <si>
    <r>
      <rPr>
        <b/>
        <sz val="10"/>
        <rFont val="宋体"/>
        <family val="3"/>
        <charset val="134"/>
      </rPr>
      <t>合计</t>
    </r>
    <phoneticPr fontId="11" type="noConversion"/>
  </si>
  <si>
    <r>
      <t>1.3</t>
    </r>
    <r>
      <rPr>
        <b/>
        <sz val="10"/>
        <rFont val="宋体"/>
        <family val="3"/>
        <charset val="134"/>
      </rPr>
      <t>其他联营企业</t>
    </r>
    <phoneticPr fontId="11" type="noConversion"/>
  </si>
  <si>
    <r>
      <rPr>
        <b/>
        <sz val="10"/>
        <color theme="1"/>
        <rFont val="宋体"/>
        <family val="3"/>
        <charset val="134"/>
      </rPr>
      <t>项</t>
    </r>
    <r>
      <rPr>
        <b/>
        <sz val="10"/>
        <color theme="1"/>
        <rFont val="Arial Narrow"/>
        <family val="2"/>
      </rPr>
      <t xml:space="preserve">  </t>
    </r>
    <r>
      <rPr>
        <b/>
        <sz val="10"/>
        <color theme="1"/>
        <rFont val="宋体"/>
        <family val="3"/>
        <charset val="134"/>
      </rPr>
      <t>目</t>
    </r>
  </si>
  <si>
    <r>
      <rPr>
        <sz val="10"/>
        <color theme="1"/>
        <rFont val="宋体"/>
        <family val="3"/>
        <charset val="134"/>
      </rPr>
      <t>投资账面价值合计</t>
    </r>
  </si>
  <si>
    <r>
      <rPr>
        <sz val="10"/>
        <color theme="1"/>
        <rFont val="宋体"/>
        <family val="3"/>
        <charset val="134"/>
      </rPr>
      <t>下列各项按持股比例计算的合计数</t>
    </r>
    <r>
      <rPr>
        <sz val="10"/>
        <color theme="1"/>
        <rFont val="Arial Narrow"/>
        <family val="2"/>
      </rPr>
      <t xml:space="preserve"> </t>
    </r>
  </si>
  <si>
    <r>
      <rPr>
        <sz val="10"/>
        <color theme="1"/>
        <rFont val="宋体"/>
        <family val="3"/>
        <charset val="134"/>
      </rPr>
      <t>净利润</t>
    </r>
  </si>
  <si>
    <r>
      <rPr>
        <sz val="10"/>
        <color theme="1"/>
        <rFont val="宋体"/>
        <family val="3"/>
        <charset val="134"/>
      </rPr>
      <t>其他综合收益</t>
    </r>
  </si>
  <si>
    <r>
      <rPr>
        <sz val="10"/>
        <color theme="1"/>
        <rFont val="宋体"/>
        <family val="3"/>
        <charset val="134"/>
      </rPr>
      <t>综合收益总额</t>
    </r>
  </si>
  <si>
    <r>
      <rPr>
        <b/>
        <sz val="10"/>
        <color theme="1"/>
        <rFont val="宋体"/>
        <family val="3"/>
        <charset val="134"/>
      </rPr>
      <t>公司</t>
    </r>
    <r>
      <rPr>
        <b/>
        <sz val="10"/>
        <color theme="1"/>
        <rFont val="Arial Narrow"/>
        <family val="2"/>
      </rPr>
      <t>1</t>
    </r>
    <phoneticPr fontId="11" type="noConversion"/>
  </si>
  <si>
    <r>
      <rPr>
        <b/>
        <sz val="10"/>
        <color theme="1"/>
        <rFont val="宋体"/>
        <family val="3"/>
        <charset val="134"/>
      </rPr>
      <t>公司</t>
    </r>
    <r>
      <rPr>
        <b/>
        <sz val="10"/>
        <color theme="1"/>
        <rFont val="Arial Narrow"/>
        <family val="2"/>
      </rPr>
      <t>2</t>
    </r>
    <phoneticPr fontId="11" type="noConversion"/>
  </si>
  <si>
    <r>
      <rPr>
        <b/>
        <sz val="10"/>
        <rFont val="宋体"/>
        <family val="3"/>
        <charset val="134"/>
      </rPr>
      <t>期末数</t>
    </r>
    <r>
      <rPr>
        <b/>
        <sz val="10"/>
        <rFont val="Arial Narrow"/>
        <family val="2"/>
      </rPr>
      <t>/</t>
    </r>
    <r>
      <rPr>
        <b/>
        <sz val="10"/>
        <rFont val="宋体"/>
        <family val="3"/>
        <charset val="134"/>
      </rPr>
      <t>本期发生数</t>
    </r>
    <phoneticPr fontId="11" type="noConversion"/>
  </si>
  <si>
    <r>
      <rPr>
        <b/>
        <sz val="10"/>
        <rFont val="宋体"/>
        <family val="3"/>
        <charset val="134"/>
      </rPr>
      <t>上期数</t>
    </r>
    <r>
      <rPr>
        <b/>
        <sz val="10"/>
        <rFont val="Arial Narrow"/>
        <family val="2"/>
      </rPr>
      <t>/</t>
    </r>
    <r>
      <rPr>
        <b/>
        <sz val="10"/>
        <rFont val="宋体"/>
        <family val="3"/>
        <charset val="134"/>
      </rPr>
      <t>上期发生数</t>
    </r>
    <phoneticPr fontId="11" type="noConversion"/>
  </si>
  <si>
    <t>……</t>
    <phoneticPr fontId="11" type="noConversion"/>
  </si>
  <si>
    <r>
      <rPr>
        <sz val="10"/>
        <rFont val="宋体"/>
        <family val="3"/>
        <charset val="134"/>
      </rPr>
      <t>项目</t>
    </r>
    <phoneticPr fontId="11" type="noConversion"/>
  </si>
  <si>
    <r>
      <rPr>
        <b/>
        <sz val="10"/>
        <rFont val="宋体"/>
        <family val="3"/>
        <charset val="134"/>
      </rPr>
      <t>被投资单位名称</t>
    </r>
  </si>
  <si>
    <r>
      <rPr>
        <b/>
        <sz val="10"/>
        <rFont val="宋体"/>
        <family val="3"/>
        <charset val="134"/>
      </rPr>
      <t>被投资单位</t>
    </r>
  </si>
  <si>
    <r>
      <rPr>
        <b/>
        <sz val="10"/>
        <rFont val="宋体"/>
        <family val="3"/>
        <charset val="134"/>
      </rPr>
      <t>归属于母公司</t>
    </r>
    <phoneticPr fontId="11" type="noConversion"/>
  </si>
  <si>
    <r>
      <rPr>
        <b/>
        <sz val="10"/>
        <rFont val="宋体"/>
        <family val="3"/>
        <charset val="134"/>
      </rPr>
      <t>本期净利润</t>
    </r>
    <phoneticPr fontId="11" type="noConversion"/>
  </si>
  <si>
    <r>
      <rPr>
        <b/>
        <sz val="10"/>
        <rFont val="宋体"/>
        <family val="3"/>
        <charset val="134"/>
      </rPr>
      <t>其他综合收益</t>
    </r>
    <phoneticPr fontId="11" type="noConversion"/>
  </si>
  <si>
    <r>
      <rPr>
        <b/>
        <sz val="10"/>
        <rFont val="宋体"/>
        <family val="3"/>
        <charset val="134"/>
      </rPr>
      <t>其他所有者权益变动</t>
    </r>
    <phoneticPr fontId="11" type="noConversion"/>
  </si>
  <si>
    <r>
      <rPr>
        <b/>
        <sz val="10"/>
        <rFont val="宋体"/>
        <family val="3"/>
        <charset val="134"/>
      </rPr>
      <t>投资收益</t>
    </r>
  </si>
  <si>
    <r>
      <rPr>
        <b/>
        <sz val="10"/>
        <rFont val="宋体"/>
        <family val="3"/>
        <charset val="134"/>
      </rPr>
      <t>长期投资</t>
    </r>
    <r>
      <rPr>
        <b/>
        <sz val="10"/>
        <rFont val="Arial Narrow"/>
        <family val="2"/>
      </rPr>
      <t>-</t>
    </r>
    <r>
      <rPr>
        <b/>
        <sz val="10"/>
        <rFont val="宋体"/>
        <family val="3"/>
        <charset val="134"/>
      </rPr>
      <t>其他综合收益</t>
    </r>
    <phoneticPr fontId="11" type="noConversion"/>
  </si>
  <si>
    <r>
      <rPr>
        <b/>
        <sz val="10"/>
        <rFont val="宋体"/>
        <family val="3"/>
        <charset val="134"/>
      </rPr>
      <t>长期投资</t>
    </r>
    <r>
      <rPr>
        <b/>
        <sz val="10"/>
        <rFont val="Arial Narrow"/>
        <family val="2"/>
      </rPr>
      <t>-</t>
    </r>
    <r>
      <rPr>
        <b/>
        <sz val="10"/>
        <rFont val="宋体"/>
        <family val="3"/>
        <charset val="134"/>
      </rPr>
      <t>其他变动</t>
    </r>
    <phoneticPr fontId="11" type="noConversion"/>
  </si>
  <si>
    <r>
      <rPr>
        <sz val="10"/>
        <rFont val="宋体"/>
        <family val="3"/>
        <charset val="134"/>
      </rPr>
      <t>③</t>
    </r>
  </si>
  <si>
    <r>
      <rPr>
        <sz val="10"/>
        <rFont val="宋体"/>
        <family val="3"/>
        <charset val="134"/>
      </rPr>
      <t>④</t>
    </r>
  </si>
  <si>
    <t>四、审计结论</t>
    <phoneticPr fontId="11" type="noConversion"/>
  </si>
  <si>
    <r>
      <rPr>
        <b/>
        <sz val="10"/>
        <rFont val="宋体"/>
        <family val="3"/>
        <charset val="134"/>
      </rPr>
      <t>子公司名称</t>
    </r>
  </si>
  <si>
    <r>
      <rPr>
        <b/>
        <sz val="10"/>
        <rFont val="宋体"/>
        <family val="3"/>
        <charset val="134"/>
      </rPr>
      <t>股权处置价款</t>
    </r>
  </si>
  <si>
    <r>
      <rPr>
        <b/>
        <sz val="10"/>
        <rFont val="宋体"/>
        <family val="3"/>
        <charset val="134"/>
      </rPr>
      <t>股权处置比例</t>
    </r>
    <r>
      <rPr>
        <b/>
        <sz val="10"/>
        <rFont val="Arial Narrow"/>
        <family val="2"/>
      </rPr>
      <t>%</t>
    </r>
  </si>
  <si>
    <r>
      <rPr>
        <b/>
        <sz val="10"/>
        <rFont val="宋体"/>
        <family val="3"/>
        <charset val="134"/>
      </rPr>
      <t>股权处置方式</t>
    </r>
  </si>
  <si>
    <r>
      <rPr>
        <b/>
        <sz val="10"/>
        <rFont val="宋体"/>
        <family val="3"/>
        <charset val="134"/>
      </rPr>
      <t>丧失控制权的时点</t>
    </r>
  </si>
  <si>
    <r>
      <rPr>
        <b/>
        <sz val="10"/>
        <rFont val="宋体"/>
        <family val="3"/>
        <charset val="134"/>
      </rPr>
      <t>丧失控制权时点的确定依据</t>
    </r>
  </si>
  <si>
    <r>
      <rPr>
        <b/>
        <sz val="10"/>
        <rFont val="宋体"/>
        <family val="3"/>
        <charset val="134"/>
      </rPr>
      <t>合并财务报表中与该子公司相关的商誉</t>
    </r>
  </si>
  <si>
    <r>
      <rPr>
        <b/>
        <sz val="10"/>
        <rFont val="宋体"/>
        <family val="3"/>
        <charset val="134"/>
      </rPr>
      <t>丧失控制权之日剩余股权的账面价值</t>
    </r>
  </si>
  <si>
    <r>
      <rPr>
        <b/>
        <sz val="10"/>
        <rFont val="宋体"/>
        <family val="3"/>
        <charset val="134"/>
      </rPr>
      <t>丧失控制权之日剩余股权的公允价值</t>
    </r>
  </si>
  <si>
    <r>
      <rPr>
        <b/>
        <sz val="10"/>
        <rFont val="宋体"/>
        <family val="3"/>
        <charset val="134"/>
      </rPr>
      <t>丧失控制权之日剩余股权的公允价值的确定方法及主要假设</t>
    </r>
  </si>
  <si>
    <r>
      <rPr>
        <b/>
        <sz val="10"/>
        <rFont val="宋体"/>
        <family val="3"/>
        <charset val="134"/>
      </rPr>
      <t>与原子公司股权投资相关的其他综合收益转入投资损益的金额</t>
    </r>
  </si>
  <si>
    <t>处置日长期股权投资账面价值</t>
    <phoneticPr fontId="11" type="noConversion"/>
  </si>
  <si>
    <t>应转出的长投</t>
    <phoneticPr fontId="11" type="noConversion"/>
  </si>
  <si>
    <r>
      <rPr>
        <b/>
        <sz val="10"/>
        <rFont val="宋体"/>
        <family val="3"/>
        <charset val="134"/>
      </rPr>
      <t>原取得投资日至处置日净利润</t>
    </r>
    <phoneticPr fontId="11" type="noConversion"/>
  </si>
  <si>
    <r>
      <rPr>
        <b/>
        <sz val="10"/>
        <rFont val="宋体"/>
        <family val="3"/>
        <charset val="134"/>
      </rPr>
      <t>期初未分配利润</t>
    </r>
    <phoneticPr fontId="11" type="noConversion"/>
  </si>
  <si>
    <r>
      <rPr>
        <b/>
        <sz val="10"/>
        <rFont val="宋体"/>
        <family val="3"/>
        <charset val="134"/>
      </rPr>
      <t>盈余公积</t>
    </r>
    <phoneticPr fontId="11" type="noConversion"/>
  </si>
  <si>
    <r>
      <rPr>
        <sz val="10"/>
        <rFont val="宋体"/>
        <family val="3"/>
        <charset val="134"/>
      </rPr>
      <t>①</t>
    </r>
    <phoneticPr fontId="11" type="noConversion"/>
  </si>
  <si>
    <r>
      <rPr>
        <sz val="10"/>
        <rFont val="宋体"/>
        <family val="3"/>
        <charset val="134"/>
      </rPr>
      <t>②</t>
    </r>
    <phoneticPr fontId="11" type="noConversion"/>
  </si>
  <si>
    <r>
      <rPr>
        <b/>
        <sz val="10"/>
        <rFont val="宋体"/>
        <family val="3"/>
        <charset val="134"/>
      </rPr>
      <t>处置日合并财务报表层面子公司的净资产</t>
    </r>
    <phoneticPr fontId="11" type="noConversion"/>
  </si>
  <si>
    <r>
      <rPr>
        <b/>
        <sz val="10"/>
        <rFont val="宋体"/>
        <family val="3"/>
        <charset val="134"/>
      </rPr>
      <t>处置日合并财务报表层面享有该子公司净资产份额</t>
    </r>
    <phoneticPr fontId="11" type="noConversion"/>
  </si>
  <si>
    <r>
      <rPr>
        <b/>
        <sz val="10"/>
        <rFont val="宋体"/>
        <family val="3"/>
        <charset val="134"/>
      </rPr>
      <t>处置价款与处置投资对应的合并财务报表层面享有该子公司净资产份额的差额</t>
    </r>
    <phoneticPr fontId="11" type="noConversion"/>
  </si>
  <si>
    <r>
      <rPr>
        <b/>
        <sz val="10"/>
        <rFont val="宋体"/>
        <family val="3"/>
        <charset val="134"/>
      </rPr>
      <t>原子公司投资系联营</t>
    </r>
    <r>
      <rPr>
        <b/>
        <sz val="10"/>
        <rFont val="Arial Narrow"/>
        <family val="2"/>
      </rPr>
      <t>/</t>
    </r>
    <r>
      <rPr>
        <b/>
        <sz val="10"/>
        <rFont val="宋体"/>
        <family val="3"/>
        <charset val="134"/>
      </rPr>
      <t>合营投资追加投资形成，与原联营</t>
    </r>
    <r>
      <rPr>
        <b/>
        <sz val="10"/>
        <rFont val="Arial Narrow"/>
        <family val="2"/>
      </rPr>
      <t>/</t>
    </r>
    <r>
      <rPr>
        <b/>
        <sz val="10"/>
        <rFont val="宋体"/>
        <family val="3"/>
        <charset val="134"/>
      </rPr>
      <t>合营投资有关不可重分类至损益的</t>
    </r>
    <r>
      <rPr>
        <b/>
        <sz val="10"/>
        <rFont val="Arial Narrow"/>
        <family val="2"/>
      </rPr>
      <t>OCI</t>
    </r>
    <phoneticPr fontId="11" type="noConversion"/>
  </si>
  <si>
    <r>
      <rPr>
        <b/>
        <sz val="10"/>
        <rFont val="宋体"/>
        <family val="3"/>
        <charset val="134"/>
      </rPr>
      <t>处置子公司应确认的投资收益</t>
    </r>
    <phoneticPr fontId="11" type="noConversion"/>
  </si>
  <si>
    <r>
      <rPr>
        <b/>
        <sz val="10"/>
        <rFont val="宋体"/>
        <family val="3"/>
        <charset val="134"/>
      </rPr>
      <t>应转入权益</t>
    </r>
    <phoneticPr fontId="11" type="noConversion"/>
  </si>
  <si>
    <r>
      <rPr>
        <b/>
        <sz val="10"/>
        <rFont val="宋体"/>
        <family val="3"/>
        <charset val="134"/>
      </rPr>
      <t>原子公司投资系联营</t>
    </r>
    <r>
      <rPr>
        <b/>
        <sz val="10"/>
        <rFont val="Arial Narrow"/>
        <family val="2"/>
      </rPr>
      <t>/</t>
    </r>
    <r>
      <rPr>
        <b/>
        <sz val="10"/>
        <rFont val="宋体"/>
        <family val="3"/>
        <charset val="134"/>
      </rPr>
      <t>合营投资追加投资形成，与原联营</t>
    </r>
    <r>
      <rPr>
        <b/>
        <sz val="10"/>
        <rFont val="Arial Narrow"/>
        <family val="2"/>
      </rPr>
      <t>/</t>
    </r>
    <r>
      <rPr>
        <b/>
        <sz val="10"/>
        <rFont val="宋体"/>
        <family val="3"/>
        <charset val="134"/>
      </rPr>
      <t>合营投资有关的可重分类至损益的</t>
    </r>
    <r>
      <rPr>
        <b/>
        <sz val="10"/>
        <rFont val="Arial Narrow"/>
        <family val="2"/>
      </rPr>
      <t>OCI</t>
    </r>
    <r>
      <rPr>
        <b/>
        <sz val="10"/>
        <rFont val="宋体"/>
        <family val="3"/>
        <charset val="134"/>
      </rPr>
      <t>和其他净资产变动</t>
    </r>
    <phoneticPr fontId="11" type="noConversion"/>
  </si>
  <si>
    <r>
      <rPr>
        <b/>
        <sz val="10"/>
        <rFont val="宋体"/>
        <family val="3"/>
        <charset val="134"/>
      </rPr>
      <t>原子公司投资系金融资产投资追加投资形成，与原金融资产相关的按照公允价值计量的</t>
    </r>
    <r>
      <rPr>
        <b/>
        <sz val="10"/>
        <rFont val="Arial Narrow"/>
        <family val="2"/>
      </rPr>
      <t>OCI</t>
    </r>
    <phoneticPr fontId="11" type="noConversion"/>
  </si>
  <si>
    <r>
      <rPr>
        <b/>
        <sz val="10"/>
        <rFont val="宋体"/>
        <family val="3"/>
        <charset val="134"/>
      </rPr>
      <t>按公允价值重新计量产生的利得</t>
    </r>
    <r>
      <rPr>
        <b/>
        <sz val="10"/>
        <rFont val="Arial Narrow"/>
        <family val="2"/>
      </rPr>
      <t>/</t>
    </r>
    <r>
      <rPr>
        <b/>
        <sz val="10"/>
        <rFont val="宋体"/>
        <family val="3"/>
        <charset val="134"/>
      </rPr>
      <t>损失</t>
    </r>
    <phoneticPr fontId="11" type="noConversion"/>
  </si>
  <si>
    <r>
      <t>3</t>
    </r>
    <r>
      <rPr>
        <b/>
        <sz val="10"/>
        <rFont val="宋体"/>
        <family val="3"/>
        <charset val="134"/>
      </rPr>
      <t>、处置子公司权益但不丧失控制权</t>
    </r>
    <phoneticPr fontId="11" type="noConversion"/>
  </si>
  <si>
    <r>
      <rPr>
        <b/>
        <sz val="10"/>
        <rFont val="宋体"/>
        <family val="3"/>
        <charset val="134"/>
      </rPr>
      <t>索引号</t>
    </r>
    <phoneticPr fontId="11" type="noConversion"/>
  </si>
  <si>
    <r>
      <rPr>
        <b/>
        <sz val="10"/>
        <rFont val="宋体"/>
        <family val="3"/>
        <charset val="134"/>
      </rPr>
      <t>序号</t>
    </r>
    <phoneticPr fontId="11" type="noConversion"/>
  </si>
  <si>
    <r>
      <rPr>
        <sz val="10"/>
        <rFont val="宋体"/>
        <family val="3"/>
        <charset val="134"/>
      </rPr>
      <t>了解专家的资质</t>
    </r>
    <phoneticPr fontId="11" type="noConversion"/>
  </si>
  <si>
    <r>
      <rPr>
        <sz val="10"/>
        <rFont val="宋体"/>
        <family val="3"/>
        <charset val="134"/>
      </rPr>
      <t>利用专家的工作</t>
    </r>
    <phoneticPr fontId="11" type="noConversion"/>
  </si>
  <si>
    <r>
      <rPr>
        <b/>
        <sz val="10"/>
        <rFont val="宋体"/>
        <family val="3"/>
        <charset val="134"/>
      </rPr>
      <t>应计提减值金额</t>
    </r>
    <phoneticPr fontId="11" type="noConversion"/>
  </si>
  <si>
    <r>
      <rPr>
        <b/>
        <sz val="10"/>
        <rFont val="宋体"/>
        <family val="3"/>
        <charset val="134"/>
      </rPr>
      <t>实际计提减值金额</t>
    </r>
    <phoneticPr fontId="11" type="noConversion"/>
  </si>
  <si>
    <r>
      <rPr>
        <b/>
        <sz val="10"/>
        <rFont val="宋体"/>
        <family val="3"/>
        <charset val="134"/>
      </rPr>
      <t>三、审计说明</t>
    </r>
    <phoneticPr fontId="11" type="noConversion"/>
  </si>
  <si>
    <r>
      <rPr>
        <b/>
        <sz val="10"/>
        <rFont val="宋体"/>
        <family val="3"/>
        <charset val="134"/>
      </rPr>
      <t>四、审计结论</t>
    </r>
    <phoneticPr fontId="11" type="noConversion"/>
  </si>
  <si>
    <r>
      <rPr>
        <b/>
        <sz val="10"/>
        <rFont val="宋体"/>
        <family val="3"/>
        <charset val="134"/>
      </rPr>
      <t>丧失控制权之日剩余股权的账面价值</t>
    </r>
    <phoneticPr fontId="11" type="noConversion"/>
  </si>
  <si>
    <r>
      <rPr>
        <b/>
        <sz val="10"/>
        <rFont val="宋体"/>
        <family val="3"/>
        <charset val="134"/>
      </rPr>
      <t>按公允价值重新计量产生的利得</t>
    </r>
    <r>
      <rPr>
        <b/>
        <sz val="10"/>
        <rFont val="Arial Narrow"/>
        <family val="2"/>
      </rPr>
      <t>/</t>
    </r>
    <r>
      <rPr>
        <b/>
        <sz val="10"/>
        <rFont val="仿宋_GB2312"/>
        <family val="3"/>
        <charset val="134"/>
      </rPr>
      <t>损失</t>
    </r>
    <phoneticPr fontId="11" type="noConversion"/>
  </si>
  <si>
    <r>
      <rPr>
        <sz val="10"/>
        <rFont val="宋体"/>
        <family val="3"/>
        <charset val="134"/>
      </rPr>
      <t>结论</t>
    </r>
    <phoneticPr fontId="11" type="noConversion"/>
  </si>
  <si>
    <r>
      <rPr>
        <sz val="10"/>
        <rFont val="宋体"/>
        <family val="3"/>
        <charset val="134"/>
      </rPr>
      <t>这些交易是同时或者在考虑了彼此影响的情况下订立的</t>
    </r>
    <phoneticPr fontId="11" type="noConversion"/>
  </si>
  <si>
    <r>
      <rPr>
        <sz val="10"/>
        <rFont val="宋体"/>
        <family val="3"/>
        <charset val="134"/>
      </rPr>
      <t>这些交易整体才能达成一项完整的商业结果</t>
    </r>
    <phoneticPr fontId="11" type="noConversion"/>
  </si>
  <si>
    <r>
      <rPr>
        <sz val="10"/>
        <rFont val="宋体"/>
        <family val="3"/>
        <charset val="134"/>
      </rPr>
      <t>一项交易的发生取决于其他至少一项交易的发生</t>
    </r>
    <phoneticPr fontId="11" type="noConversion"/>
  </si>
  <si>
    <r>
      <rPr>
        <sz val="10"/>
        <rFont val="宋体"/>
        <family val="3"/>
        <charset val="134"/>
      </rPr>
      <t>一项交易单独看是不经济的，但是和其他交易一并考虑时是经济的</t>
    </r>
    <phoneticPr fontId="11" type="noConversion"/>
  </si>
  <si>
    <r>
      <rPr>
        <sz val="10"/>
        <rFont val="宋体"/>
        <family val="3"/>
        <charset val="134"/>
      </rPr>
      <t>确定被审计单位对子公司长期股权投资初始计量是否恰当</t>
    </r>
    <phoneticPr fontId="11" type="noConversion"/>
  </si>
  <si>
    <r>
      <rPr>
        <b/>
        <sz val="10"/>
        <rFont val="宋体"/>
        <family val="3"/>
        <charset val="134"/>
      </rPr>
      <t>判断的事项</t>
    </r>
    <phoneticPr fontId="11" type="noConversion"/>
  </si>
  <si>
    <r>
      <rPr>
        <b/>
        <sz val="10"/>
        <rFont val="宋体"/>
        <family val="3"/>
        <charset val="134"/>
      </rPr>
      <t>对应情形</t>
    </r>
  </si>
  <si>
    <r>
      <rPr>
        <b/>
        <sz val="10"/>
        <rFont val="宋体"/>
        <family val="3"/>
        <charset val="134"/>
      </rPr>
      <t>结论</t>
    </r>
  </si>
  <si>
    <r>
      <rPr>
        <sz val="10"/>
        <rFont val="宋体"/>
        <family val="3"/>
        <charset val="134"/>
      </rPr>
      <t>被投资者的目标及设计</t>
    </r>
  </si>
  <si>
    <r>
      <rPr>
        <sz val="10"/>
        <rFont val="宋体"/>
        <family val="3"/>
        <charset val="134"/>
      </rPr>
      <t>是否控制</t>
    </r>
  </si>
  <si>
    <r>
      <rPr>
        <sz val="10"/>
        <rFont val="宋体"/>
        <family val="3"/>
        <charset val="134"/>
      </rPr>
      <t>（</t>
    </r>
    <r>
      <rPr>
        <sz val="10"/>
        <rFont val="Arial Narrow"/>
        <family val="2"/>
      </rPr>
      <t>3</t>
    </r>
    <r>
      <rPr>
        <sz val="10"/>
        <rFont val="宋体"/>
        <family val="3"/>
        <charset val="134"/>
      </rPr>
      <t>）使用权力影响可变回报的能力</t>
    </r>
  </si>
  <si>
    <r>
      <rPr>
        <b/>
        <sz val="10"/>
        <rFont val="宋体"/>
        <family val="3"/>
        <charset val="134"/>
      </rPr>
      <t>结</t>
    </r>
    <r>
      <rPr>
        <b/>
        <sz val="10"/>
        <rFont val="Arial Narrow"/>
        <family val="2"/>
      </rPr>
      <t xml:space="preserve"> </t>
    </r>
    <r>
      <rPr>
        <b/>
        <sz val="10"/>
        <rFont val="宋体"/>
        <family val="3"/>
        <charset val="134"/>
      </rPr>
      <t>论</t>
    </r>
  </si>
  <si>
    <r>
      <t>C</t>
    </r>
    <r>
      <rPr>
        <sz val="10"/>
        <color rgb="FF0000FF"/>
        <rFont val="宋体"/>
        <family val="3"/>
        <charset val="134"/>
      </rPr>
      <t>、如果分步取得对子公司股权投资直至取得控制权的各项交易属于</t>
    </r>
    <r>
      <rPr>
        <sz val="10"/>
        <color rgb="FF0000FF"/>
        <rFont val="Arial Narrow"/>
        <family val="2"/>
      </rPr>
      <t>“</t>
    </r>
    <r>
      <rPr>
        <sz val="10"/>
        <color rgb="FF0000FF"/>
        <rFont val="宋体"/>
        <family val="3"/>
        <charset val="134"/>
      </rPr>
      <t>一揽子交易</t>
    </r>
    <r>
      <rPr>
        <sz val="10"/>
        <color rgb="FF0000FF"/>
        <rFont val="Arial Narrow"/>
        <family val="2"/>
      </rPr>
      <t>”</t>
    </r>
    <r>
      <rPr>
        <sz val="10"/>
        <color rgb="FF0000FF"/>
        <rFont val="宋体"/>
        <family val="3"/>
        <charset val="134"/>
      </rPr>
      <t>，应当将各项交易作为一项取得子公司控制权的交易。</t>
    </r>
    <phoneticPr fontId="11" type="noConversion"/>
  </si>
  <si>
    <r>
      <t>P</t>
    </r>
    <r>
      <rPr>
        <sz val="10"/>
        <color rgb="FFFF0000"/>
        <rFont val="宋体"/>
        <family val="3"/>
        <charset val="134"/>
      </rPr>
      <t>公司</t>
    </r>
    <phoneticPr fontId="11" type="noConversion"/>
  </si>
  <si>
    <r>
      <t>Q</t>
    </r>
    <r>
      <rPr>
        <sz val="10"/>
        <color rgb="FFFF0000"/>
        <rFont val="宋体"/>
        <family val="3"/>
        <charset val="134"/>
      </rPr>
      <t>公司</t>
    </r>
    <phoneticPr fontId="11" type="noConversion"/>
  </si>
  <si>
    <r>
      <rPr>
        <b/>
        <sz val="10"/>
        <rFont val="宋体"/>
        <family val="3"/>
        <charset val="134"/>
      </rPr>
      <t>项</t>
    </r>
    <r>
      <rPr>
        <b/>
        <sz val="10"/>
        <rFont val="Arial Narrow"/>
        <family val="2"/>
      </rPr>
      <t xml:space="preserve">  </t>
    </r>
    <r>
      <rPr>
        <b/>
        <sz val="10"/>
        <rFont val="宋体"/>
        <family val="3"/>
        <charset val="134"/>
      </rPr>
      <t>目</t>
    </r>
  </si>
  <si>
    <r>
      <rPr>
        <b/>
        <sz val="10"/>
        <rFont val="宋体"/>
        <family val="3"/>
        <charset val="134"/>
      </rPr>
      <t>会计上的购买方</t>
    </r>
  </si>
  <si>
    <r>
      <rPr>
        <b/>
        <sz val="10"/>
        <rFont val="宋体"/>
        <family val="3"/>
        <charset val="134"/>
      </rPr>
      <t>是否构成业务及其判断依据</t>
    </r>
  </si>
  <si>
    <r>
      <rPr>
        <b/>
        <sz val="10"/>
        <color theme="1"/>
        <rFont val="宋体"/>
        <family val="3"/>
        <charset val="134"/>
      </rPr>
      <t>交易内容</t>
    </r>
    <phoneticPr fontId="11" type="noConversion"/>
  </si>
  <si>
    <r>
      <rPr>
        <b/>
        <sz val="10"/>
        <color theme="1"/>
        <rFont val="宋体"/>
        <family val="3"/>
        <charset val="134"/>
      </rPr>
      <t>会计上的购买方的股东</t>
    </r>
    <phoneticPr fontId="11" type="noConversion"/>
  </si>
  <si>
    <r>
      <rPr>
        <b/>
        <sz val="10"/>
        <rFont val="宋体"/>
        <family val="3"/>
        <charset val="134"/>
      </rPr>
      <t>会计上的被购买方（上市公司）</t>
    </r>
    <phoneticPr fontId="11" type="noConversion"/>
  </si>
  <si>
    <r>
      <rPr>
        <b/>
        <sz val="10"/>
        <rFont val="宋体"/>
        <family val="3"/>
        <charset val="134"/>
      </rPr>
      <t>会计上的被购买方的原股东（上市公司原股东）</t>
    </r>
    <phoneticPr fontId="11" type="noConversion"/>
  </si>
  <si>
    <r>
      <rPr>
        <b/>
        <sz val="10"/>
        <rFont val="宋体"/>
        <family val="3"/>
        <charset val="134"/>
      </rPr>
      <t>判断构成反向购买的依据</t>
    </r>
    <phoneticPr fontId="11" type="noConversion"/>
  </si>
  <si>
    <r>
      <rPr>
        <b/>
        <sz val="10"/>
        <color theme="1"/>
        <rFont val="宋体"/>
        <family val="3"/>
        <charset val="134"/>
      </rPr>
      <t>索引号</t>
    </r>
    <phoneticPr fontId="11" type="noConversion"/>
  </si>
  <si>
    <r>
      <rPr>
        <b/>
        <sz val="10"/>
        <rFont val="宋体"/>
        <family val="3"/>
        <charset val="134"/>
      </rPr>
      <t>说明</t>
    </r>
    <phoneticPr fontId="11" type="noConversion"/>
  </si>
  <si>
    <r>
      <rPr>
        <b/>
        <sz val="10"/>
        <color indexed="8"/>
        <rFont val="宋体"/>
        <family val="3"/>
        <charset val="134"/>
      </rPr>
      <t>一、审计目标：</t>
    </r>
    <phoneticPr fontId="11" type="noConversion"/>
  </si>
  <si>
    <r>
      <rPr>
        <sz val="10"/>
        <rFont val="宋体"/>
        <family val="3"/>
        <charset val="134"/>
      </rPr>
      <t>被投资公司会计政策与母公司主要会计政策比较，对主要会计政策差异在合并时进行调整</t>
    </r>
    <phoneticPr fontId="11" type="noConversion"/>
  </si>
  <si>
    <r>
      <rPr>
        <b/>
        <sz val="10"/>
        <color indexed="8"/>
        <rFont val="宋体"/>
        <family val="3"/>
        <charset val="134"/>
      </rPr>
      <t>二、审计过程</t>
    </r>
    <phoneticPr fontId="11" type="noConversion"/>
  </si>
  <si>
    <r>
      <rPr>
        <b/>
        <sz val="10"/>
        <rFont val="Times New Roman"/>
        <family val="1"/>
      </rPr>
      <t>政策项目</t>
    </r>
  </si>
  <si>
    <r>
      <rPr>
        <b/>
        <sz val="10"/>
        <rFont val="宋体"/>
        <family val="3"/>
        <charset val="134"/>
      </rPr>
      <t>与本公司政策是否一致</t>
    </r>
    <phoneticPr fontId="11" type="noConversion"/>
  </si>
  <si>
    <r>
      <rPr>
        <sz val="10"/>
        <rFont val="Times New Roman"/>
        <family val="1"/>
      </rPr>
      <t>会计年度</t>
    </r>
  </si>
  <si>
    <r>
      <rPr>
        <sz val="10"/>
        <rFont val="Times New Roman"/>
        <family val="1"/>
      </rPr>
      <t>计量属性</t>
    </r>
  </si>
  <si>
    <r>
      <rPr>
        <sz val="10"/>
        <rFont val="Times New Roman"/>
        <family val="1"/>
      </rPr>
      <t>记账本位币</t>
    </r>
  </si>
  <si>
    <r>
      <rPr>
        <sz val="10"/>
        <rFont val="Times New Roman"/>
        <family val="1"/>
      </rPr>
      <t>外币折算</t>
    </r>
  </si>
  <si>
    <r>
      <rPr>
        <sz val="10"/>
        <rFont val="Times New Roman"/>
        <family val="1"/>
      </rPr>
      <t>现金及现金等价物</t>
    </r>
  </si>
  <si>
    <r>
      <rPr>
        <sz val="10"/>
        <rFont val="Times New Roman"/>
        <family val="1"/>
      </rPr>
      <t>存货</t>
    </r>
  </si>
  <si>
    <r>
      <rPr>
        <sz val="10"/>
        <rFont val="Times New Roman"/>
        <family val="1"/>
      </rPr>
      <t>长期股权投资</t>
    </r>
  </si>
  <si>
    <r>
      <rPr>
        <sz val="10"/>
        <rFont val="Times New Roman"/>
        <family val="1"/>
      </rPr>
      <t>固定资产</t>
    </r>
  </si>
  <si>
    <r>
      <rPr>
        <sz val="10"/>
        <rFont val="Times New Roman"/>
        <family val="1"/>
      </rPr>
      <t>累计折旧</t>
    </r>
  </si>
  <si>
    <r>
      <rPr>
        <sz val="10"/>
        <rFont val="Times New Roman"/>
        <family val="1"/>
      </rPr>
      <t>在建工程</t>
    </r>
  </si>
  <si>
    <r>
      <rPr>
        <sz val="10"/>
        <rFont val="Times New Roman"/>
        <family val="1"/>
      </rPr>
      <t>无形资产</t>
    </r>
  </si>
  <si>
    <r>
      <rPr>
        <sz val="10"/>
        <rFont val="Times New Roman"/>
        <family val="1"/>
      </rPr>
      <t>职工薪酬</t>
    </r>
  </si>
  <si>
    <r>
      <rPr>
        <b/>
        <sz val="10"/>
        <color theme="1"/>
        <rFont val="宋体"/>
        <family val="3"/>
        <charset val="134"/>
      </rPr>
      <t>三、审计说明</t>
    </r>
    <phoneticPr fontId="11" type="noConversion"/>
  </si>
  <si>
    <r>
      <rPr>
        <b/>
        <sz val="10"/>
        <color theme="1"/>
        <rFont val="宋体"/>
        <family val="3"/>
        <charset val="134"/>
      </rPr>
      <t>四、审计结论</t>
    </r>
    <phoneticPr fontId="11" type="noConversion"/>
  </si>
  <si>
    <r>
      <t>1</t>
    </r>
    <r>
      <rPr>
        <sz val="10"/>
        <color rgb="FFFF0000"/>
        <rFont val="Times New Roman"/>
        <family val="1"/>
      </rPr>
      <t>月</t>
    </r>
    <r>
      <rPr>
        <sz val="10"/>
        <color rgb="FFFF0000"/>
        <rFont val="Arial Narrow"/>
        <family val="2"/>
      </rPr>
      <t>1</t>
    </r>
    <r>
      <rPr>
        <sz val="10"/>
        <color rgb="FFFF0000"/>
        <rFont val="Times New Roman"/>
        <family val="1"/>
      </rPr>
      <t>日</t>
    </r>
    <r>
      <rPr>
        <sz val="10"/>
        <color rgb="FFFF0000"/>
        <rFont val="Arial Narrow"/>
        <family val="2"/>
      </rPr>
      <t>-12</t>
    </r>
    <r>
      <rPr>
        <sz val="10"/>
        <color rgb="FFFF0000"/>
        <rFont val="Times New Roman"/>
        <family val="1"/>
      </rPr>
      <t>月</t>
    </r>
    <r>
      <rPr>
        <sz val="10"/>
        <color rgb="FFFF0000"/>
        <rFont val="Arial Narrow"/>
        <family val="2"/>
      </rPr>
      <t>31</t>
    </r>
    <r>
      <rPr>
        <sz val="10"/>
        <color rgb="FFFF0000"/>
        <rFont val="Times New Roman"/>
        <family val="1"/>
      </rPr>
      <t>日</t>
    </r>
  </si>
  <si>
    <r>
      <rPr>
        <sz val="10"/>
        <color rgb="FFFF0000"/>
        <rFont val="Times New Roman"/>
        <family val="1"/>
      </rPr>
      <t>是</t>
    </r>
  </si>
  <si>
    <r>
      <rPr>
        <sz val="10"/>
        <color rgb="FFFF0000"/>
        <rFont val="Times New Roman"/>
        <family val="1"/>
      </rPr>
      <t>除公允价值套期工具外，按照历史价格计价</t>
    </r>
  </si>
  <si>
    <r>
      <rPr>
        <sz val="10"/>
        <color rgb="FFFF0000"/>
        <rFont val="Times New Roman"/>
        <family val="1"/>
      </rPr>
      <t>人民币</t>
    </r>
  </si>
  <si>
    <r>
      <rPr>
        <sz val="10"/>
        <color rgb="FFFF0000"/>
        <rFont val="Times New Roman"/>
        <family val="1"/>
      </rPr>
      <t>交易发生日即期汇率折算</t>
    </r>
  </si>
  <si>
    <r>
      <rPr>
        <sz val="10"/>
        <color rgb="FFFF0000"/>
        <rFont val="Times New Roman"/>
        <family val="1"/>
      </rPr>
      <t>随时可用于支付的流动性强、价值变动很小的投资</t>
    </r>
  </si>
  <si>
    <r>
      <rPr>
        <sz val="10"/>
        <color rgb="FFFF0000"/>
        <rFont val="Times New Roman"/>
        <family val="1"/>
      </rPr>
      <t>取得时实际成本入账、月末一次加权平均和移动加权平均法、成本与可变现净值孰低，永续盘存。</t>
    </r>
  </si>
  <si>
    <r>
      <rPr>
        <sz val="10"/>
        <color rgb="FFFF0000"/>
        <rFont val="Times New Roman"/>
        <family val="1"/>
      </rPr>
      <t>使用周期超过一个会计年度的有形资产。</t>
    </r>
  </si>
  <si>
    <r>
      <rPr>
        <sz val="10"/>
        <color rgb="FFFF0000"/>
        <rFont val="Times New Roman"/>
        <family val="1"/>
      </rPr>
      <t>平均年限法</t>
    </r>
  </si>
  <si>
    <r>
      <rPr>
        <sz val="10"/>
        <color rgb="FFFF0000"/>
        <rFont val="Times New Roman"/>
        <family val="1"/>
      </rPr>
      <t>达到预定可使用状态时转入固定资产，在建工程不计提折旧</t>
    </r>
  </si>
  <si>
    <r>
      <rPr>
        <sz val="10"/>
        <color rgb="FFFF0000"/>
        <rFont val="Times New Roman"/>
        <family val="1"/>
      </rPr>
      <t>以成本减累计折旧于报表列示，直线法在预计可使用期限内摊销，土地使用权摊销按照土地证上年限摊销，无使用期限不固定的无形资产。</t>
    </r>
  </si>
  <si>
    <r>
      <rPr>
        <sz val="10"/>
        <color rgb="FFFF0000"/>
        <rFont val="Times New Roman"/>
        <family val="1"/>
      </rPr>
      <t>除辞退福利外，其他计入当期负债及成本费用</t>
    </r>
  </si>
  <si>
    <r>
      <rPr>
        <sz val="10"/>
        <color rgb="FFFF0000"/>
        <rFont val="Times New Roman"/>
        <family val="1"/>
      </rPr>
      <t>权责发生制</t>
    </r>
  </si>
  <si>
    <r>
      <rPr>
        <sz val="10"/>
        <color rgb="FFFF0000"/>
        <rFont val="Times New Roman"/>
        <family val="1"/>
      </rPr>
      <t>主要会计政策基本相同。</t>
    </r>
  </si>
  <si>
    <r>
      <t>AAA</t>
    </r>
    <r>
      <rPr>
        <sz val="10"/>
        <color rgb="FFFF0000"/>
        <rFont val="宋体"/>
        <family val="3"/>
        <charset val="134"/>
      </rPr>
      <t>公司为</t>
    </r>
    <r>
      <rPr>
        <sz val="10"/>
        <color rgb="FFFF0000"/>
        <rFont val="Arial Narrow"/>
        <family val="2"/>
      </rPr>
      <t>07</t>
    </r>
    <r>
      <rPr>
        <sz val="10"/>
        <color rgb="FFFF0000"/>
        <rFont val="宋体"/>
        <family val="3"/>
        <charset val="134"/>
      </rPr>
      <t>年</t>
    </r>
    <r>
      <rPr>
        <sz val="10"/>
        <color rgb="FFFF0000"/>
        <rFont val="Arial Narrow"/>
        <family val="2"/>
      </rPr>
      <t>11</t>
    </r>
    <r>
      <rPr>
        <sz val="10"/>
        <color rgb="FFFF0000"/>
        <rFont val="宋体"/>
        <family val="3"/>
        <charset val="134"/>
      </rPr>
      <t>月成立，其成立时被审计单位即持股</t>
    </r>
    <r>
      <rPr>
        <sz val="10"/>
        <color rgb="FFFF0000"/>
        <rFont val="Arial Narrow"/>
        <family val="2"/>
      </rPr>
      <t>30%</t>
    </r>
    <r>
      <rPr>
        <sz val="10"/>
        <color rgb="FFFF0000"/>
        <rFont val="宋体"/>
        <family val="3"/>
        <charset val="134"/>
      </rPr>
      <t>。其主要资产为自行购建，且主要为自用，公允价值与其账面价值一致。</t>
    </r>
    <phoneticPr fontId="11" type="noConversion"/>
  </si>
  <si>
    <r>
      <rPr>
        <sz val="10"/>
        <color rgb="FFFF0000"/>
        <rFont val="Times New Roman"/>
        <family val="1"/>
      </rPr>
      <t>经审计，未发现重大异常。</t>
    </r>
  </si>
  <si>
    <t>确定对联营、合营企业超额亏损的确认是否恰当。</t>
    <phoneticPr fontId="11" type="noConversion"/>
  </si>
  <si>
    <t>三、审计说明：</t>
    <phoneticPr fontId="11" type="noConversion"/>
  </si>
  <si>
    <t>四、审计结论</t>
    <phoneticPr fontId="11" type="noConversion"/>
  </si>
  <si>
    <t>…… ……</t>
    <phoneticPr fontId="11" type="noConversion"/>
  </si>
  <si>
    <r>
      <rPr>
        <sz val="10"/>
        <rFont val="宋体"/>
        <family val="3"/>
        <charset val="134"/>
      </rPr>
      <t>确定对于投资企业与其联营企业及合营企业之间发生的未实现内部交易损益予以抵消的金额是否正确。</t>
    </r>
    <phoneticPr fontId="11" type="noConversion"/>
  </si>
  <si>
    <r>
      <rPr>
        <sz val="10"/>
        <rFont val="宋体"/>
        <family val="3"/>
        <charset val="134"/>
      </rPr>
      <t>被投资单位：</t>
    </r>
    <phoneticPr fontId="11" type="noConversion"/>
  </si>
  <si>
    <r>
      <rPr>
        <sz val="10"/>
        <rFont val="宋体"/>
        <family val="3"/>
        <charset val="134"/>
      </rPr>
      <t>公司</t>
    </r>
    <phoneticPr fontId="11" type="noConversion"/>
  </si>
  <si>
    <r>
      <rPr>
        <sz val="10"/>
        <rFont val="宋体"/>
        <family val="3"/>
        <charset val="134"/>
      </rPr>
      <t>投资比例：</t>
    </r>
    <phoneticPr fontId="11" type="noConversion"/>
  </si>
  <si>
    <r>
      <rPr>
        <sz val="10"/>
        <rFont val="宋体"/>
        <family val="3"/>
        <charset val="134"/>
      </rPr>
      <t>出售库存商品</t>
    </r>
    <phoneticPr fontId="11" type="noConversion"/>
  </si>
  <si>
    <r>
      <rPr>
        <sz val="10"/>
        <rFont val="宋体"/>
        <family val="3"/>
        <charset val="134"/>
      </rPr>
      <t>主营业务收入</t>
    </r>
    <phoneticPr fontId="11" type="noConversion"/>
  </si>
  <si>
    <r>
      <rPr>
        <sz val="10"/>
        <rFont val="宋体"/>
        <family val="3"/>
        <charset val="134"/>
      </rPr>
      <t>库存商品（固定资产）</t>
    </r>
    <phoneticPr fontId="11" type="noConversion"/>
  </si>
  <si>
    <r>
      <rPr>
        <sz val="10"/>
        <rFont val="宋体"/>
        <family val="3"/>
        <charset val="134"/>
      </rPr>
      <t>出售固定资产</t>
    </r>
    <phoneticPr fontId="11" type="noConversion"/>
  </si>
  <si>
    <r>
      <rPr>
        <sz val="10"/>
        <rFont val="宋体"/>
        <family val="3"/>
        <charset val="134"/>
      </rPr>
      <t>营业外收入</t>
    </r>
    <phoneticPr fontId="11" type="noConversion"/>
  </si>
  <si>
    <r>
      <rPr>
        <sz val="10"/>
        <rFont val="宋体"/>
        <family val="3"/>
        <charset val="134"/>
      </rPr>
      <t>固定资产（库存商品）</t>
    </r>
    <phoneticPr fontId="11" type="noConversion"/>
  </si>
  <si>
    <r>
      <rPr>
        <b/>
        <sz val="10"/>
        <color rgb="FF0000FF"/>
        <rFont val="宋体"/>
        <family val="3"/>
        <charset val="134"/>
      </rPr>
      <t>提示：</t>
    </r>
    <phoneticPr fontId="11" type="noConversion"/>
  </si>
  <si>
    <r>
      <t>1</t>
    </r>
    <r>
      <rPr>
        <b/>
        <sz val="10"/>
        <rFont val="宋体"/>
        <family val="3"/>
        <charset val="134"/>
      </rPr>
      <t>、一次投入投资成本确认：</t>
    </r>
    <phoneticPr fontId="11" type="noConversion"/>
  </si>
  <si>
    <r>
      <t>3</t>
    </r>
    <r>
      <rPr>
        <b/>
        <sz val="10"/>
        <rFont val="宋体"/>
        <family val="3"/>
        <charset val="134"/>
      </rPr>
      <t>、主动增资：投资单位对联营企业的持股比例增加，但被投资单位仍然是投资单位的联营企业或合营企业时，长期股权投资账面价值合计：</t>
    </r>
    <phoneticPr fontId="11" type="noConversion"/>
  </si>
  <si>
    <r>
      <rPr>
        <sz val="10"/>
        <rFont val="宋体"/>
        <family val="3"/>
        <charset val="134"/>
      </rPr>
      <t>取得投资时</t>
    </r>
    <phoneticPr fontId="11" type="noConversion"/>
  </si>
  <si>
    <r>
      <rPr>
        <sz val="10"/>
        <rFont val="宋体"/>
        <family val="3"/>
        <charset val="134"/>
      </rPr>
      <t>差异</t>
    </r>
    <r>
      <rPr>
        <sz val="10"/>
        <rFont val="Arial Narrow"/>
        <family val="2"/>
      </rPr>
      <t>*</t>
    </r>
    <r>
      <rPr>
        <sz val="10"/>
        <rFont val="宋体"/>
        <family val="3"/>
        <charset val="134"/>
      </rPr>
      <t>在取得投资以后期间的调整数</t>
    </r>
    <r>
      <rPr>
        <sz val="10"/>
        <rFont val="Arial Narrow"/>
        <family val="2"/>
      </rPr>
      <t xml:space="preserve">   </t>
    </r>
    <r>
      <rPr>
        <sz val="10"/>
        <rFont val="宋体"/>
        <family val="3"/>
        <charset val="134"/>
      </rPr>
      <t>⊿</t>
    </r>
    <phoneticPr fontId="11" type="noConversion"/>
  </si>
  <si>
    <r>
      <rPr>
        <sz val="10"/>
        <rFont val="宋体"/>
        <family val="3"/>
        <charset val="134"/>
      </rPr>
      <t>账面价值</t>
    </r>
    <phoneticPr fontId="11" type="noConversion"/>
  </si>
  <si>
    <r>
      <rPr>
        <sz val="10"/>
        <rFont val="宋体"/>
        <family val="3"/>
        <charset val="134"/>
      </rPr>
      <t>公允价值</t>
    </r>
    <r>
      <rPr>
        <sz val="10"/>
        <rFont val="Arial Narrow"/>
        <family val="2"/>
      </rPr>
      <t xml:space="preserve">  </t>
    </r>
    <r>
      <rPr>
        <sz val="10"/>
        <rFont val="宋体"/>
        <family val="3"/>
        <charset val="134"/>
      </rPr>
      <t>△</t>
    </r>
    <phoneticPr fontId="11" type="noConversion"/>
  </si>
  <si>
    <r>
      <rPr>
        <sz val="10"/>
        <rFont val="宋体"/>
        <family val="3"/>
        <charset val="134"/>
      </rPr>
      <t>公允价与账面价值的差异</t>
    </r>
    <r>
      <rPr>
        <sz val="10"/>
        <rFont val="Arial Narrow"/>
        <family val="2"/>
      </rPr>
      <t>*</t>
    </r>
    <phoneticPr fontId="11" type="noConversion"/>
  </si>
  <si>
    <r>
      <t>××</t>
    </r>
    <r>
      <rPr>
        <sz val="10"/>
        <rFont val="宋体"/>
        <family val="3"/>
        <charset val="134"/>
      </rPr>
      <t>年</t>
    </r>
    <phoneticPr fontId="11" type="noConversion"/>
  </si>
  <si>
    <r>
      <t xml:space="preserve">   </t>
    </r>
    <r>
      <rPr>
        <sz val="10"/>
        <rFont val="宋体"/>
        <family val="3"/>
        <charset val="134"/>
      </rPr>
      <t>存货</t>
    </r>
    <r>
      <rPr>
        <sz val="10"/>
        <rFont val="Arial Narrow"/>
        <family val="2"/>
      </rPr>
      <t xml:space="preserve"> </t>
    </r>
    <phoneticPr fontId="11" type="noConversion"/>
  </si>
  <si>
    <r>
      <t xml:space="preserve">  </t>
    </r>
    <r>
      <rPr>
        <sz val="10"/>
        <rFont val="宋体"/>
        <family val="3"/>
        <charset val="134"/>
      </rPr>
      <t>固定资产</t>
    </r>
    <phoneticPr fontId="11" type="noConversion"/>
  </si>
  <si>
    <r>
      <t xml:space="preserve">  </t>
    </r>
    <r>
      <rPr>
        <sz val="10"/>
        <rFont val="宋体"/>
        <family val="3"/>
        <charset val="134"/>
      </rPr>
      <t>无形资产</t>
    </r>
    <phoneticPr fontId="11" type="noConversion"/>
  </si>
  <si>
    <r>
      <rPr>
        <sz val="10"/>
        <rFont val="宋体"/>
        <family val="3"/>
        <charset val="134"/>
      </rPr>
      <t>净资产</t>
    </r>
    <phoneticPr fontId="11" type="noConversion"/>
  </si>
  <si>
    <r>
      <rPr>
        <sz val="10"/>
        <rFont val="宋体"/>
        <family val="3"/>
        <charset val="134"/>
      </rPr>
      <t>当期净利润调整数</t>
    </r>
    <r>
      <rPr>
        <sz val="10"/>
        <rFont val="Arial Narrow"/>
        <family val="2"/>
      </rPr>
      <t>(</t>
    </r>
    <r>
      <rPr>
        <sz val="10"/>
        <rFont val="宋体"/>
        <family val="3"/>
        <charset val="134"/>
      </rPr>
      <t>差异调整）</t>
    </r>
    <phoneticPr fontId="11" type="noConversion"/>
  </si>
  <si>
    <r>
      <rPr>
        <sz val="10"/>
        <rFont val="宋体"/>
        <family val="3"/>
        <charset val="134"/>
      </rPr>
      <t>年初净资产</t>
    </r>
    <phoneticPr fontId="11" type="noConversion"/>
  </si>
  <si>
    <r>
      <t xml:space="preserve"> </t>
    </r>
    <r>
      <rPr>
        <sz val="10"/>
        <rFont val="宋体"/>
        <family val="3"/>
        <charset val="134"/>
      </rPr>
      <t>本期增加</t>
    </r>
    <phoneticPr fontId="11" type="noConversion"/>
  </si>
  <si>
    <r>
      <rPr>
        <sz val="10"/>
        <rFont val="宋体"/>
        <family val="3"/>
        <charset val="134"/>
      </rPr>
      <t>本期减少</t>
    </r>
    <phoneticPr fontId="11" type="noConversion"/>
  </si>
  <si>
    <r>
      <rPr>
        <sz val="10"/>
        <rFont val="宋体"/>
        <family val="3"/>
        <charset val="134"/>
      </rPr>
      <t>期末净资产</t>
    </r>
    <phoneticPr fontId="11" type="noConversion"/>
  </si>
  <si>
    <r>
      <rPr>
        <sz val="10"/>
        <rFont val="宋体"/>
        <family val="3"/>
        <charset val="134"/>
      </rPr>
      <t>　实收资本（或股本）</t>
    </r>
  </si>
  <si>
    <r>
      <rPr>
        <sz val="10"/>
        <rFont val="宋体"/>
        <family val="3"/>
        <charset val="134"/>
      </rPr>
      <t>　资本公积</t>
    </r>
  </si>
  <si>
    <r>
      <rPr>
        <sz val="10"/>
        <rFont val="宋体"/>
        <family val="3"/>
        <charset val="134"/>
      </rPr>
      <t>　减：库存股</t>
    </r>
  </si>
  <si>
    <r>
      <rPr>
        <sz val="10"/>
        <rFont val="宋体"/>
        <family val="3"/>
        <charset val="134"/>
      </rPr>
      <t>　盈余公积</t>
    </r>
  </si>
  <si>
    <r>
      <rPr>
        <sz val="10"/>
        <rFont val="宋体"/>
        <family val="3"/>
        <charset val="134"/>
      </rPr>
      <t>　未分配利润</t>
    </r>
  </si>
  <si>
    <r>
      <t xml:space="preserve">    </t>
    </r>
    <r>
      <rPr>
        <sz val="10"/>
        <rFont val="宋体"/>
        <family val="3"/>
        <charset val="134"/>
      </rPr>
      <t>归属于母公司所有者权益合计</t>
    </r>
  </si>
  <si>
    <r>
      <t xml:space="preserve">    </t>
    </r>
    <r>
      <rPr>
        <sz val="10"/>
        <rFont val="宋体"/>
        <family val="3"/>
        <charset val="134"/>
      </rPr>
      <t>少数股东权益</t>
    </r>
  </si>
  <si>
    <r>
      <t xml:space="preserve">             </t>
    </r>
    <r>
      <rPr>
        <sz val="10"/>
        <rFont val="宋体"/>
        <family val="3"/>
        <charset val="134"/>
      </rPr>
      <t>所有者权益合计</t>
    </r>
  </si>
  <si>
    <r>
      <rPr>
        <sz val="10"/>
        <rFont val="宋体"/>
        <family val="3"/>
        <charset val="134"/>
      </rPr>
      <t>注：</t>
    </r>
    <r>
      <rPr>
        <sz val="10"/>
        <rFont val="Arial Narrow"/>
        <family val="2"/>
      </rPr>
      <t>1</t>
    </r>
    <r>
      <rPr>
        <sz val="10"/>
        <rFont val="宋体"/>
        <family val="3"/>
        <charset val="134"/>
      </rPr>
      <t>、上表中被投资单位与投资单位的会计政策应当一致，如不一致应按调整后的账面价值数据填入上表。</t>
    </r>
    <phoneticPr fontId="11" type="noConversion"/>
  </si>
  <si>
    <r>
      <t xml:space="preserve">         2</t>
    </r>
    <r>
      <rPr>
        <sz val="10"/>
        <rFont val="宋体"/>
        <family val="3"/>
        <charset val="134"/>
      </rPr>
      <t>、请关注本公司持股比例与表决权比例不一致时需要对上表数据调整，如不一致，必须作出说明。</t>
    </r>
    <phoneticPr fontId="11" type="noConversion"/>
  </si>
  <si>
    <r>
      <t>1</t>
    </r>
    <r>
      <rPr>
        <sz val="10"/>
        <color rgb="FFFF0000"/>
        <rFont val="宋体"/>
        <family val="3"/>
        <charset val="134"/>
      </rPr>
      <t>、本公司</t>
    </r>
    <phoneticPr fontId="11" type="noConversion"/>
  </si>
  <si>
    <r>
      <t>2</t>
    </r>
    <r>
      <rPr>
        <sz val="10"/>
        <color rgb="FFFF0000"/>
        <rFont val="宋体"/>
        <family val="3"/>
        <charset val="134"/>
      </rPr>
      <t>、</t>
    </r>
    <r>
      <rPr>
        <sz val="10"/>
        <color rgb="FFFF0000"/>
        <rFont val="Arial Narrow"/>
        <family val="2"/>
      </rPr>
      <t xml:space="preserve"> …</t>
    </r>
    <r>
      <rPr>
        <sz val="10"/>
        <color rgb="FFFF0000"/>
        <rFont val="宋体"/>
        <family val="3"/>
        <charset val="134"/>
      </rPr>
      <t>股东</t>
    </r>
    <phoneticPr fontId="11" type="noConversion"/>
  </si>
  <si>
    <r>
      <t>3</t>
    </r>
    <r>
      <rPr>
        <sz val="10"/>
        <color rgb="FFFF0000"/>
        <rFont val="宋体"/>
        <family val="3"/>
        <charset val="134"/>
      </rPr>
      <t>、</t>
    </r>
    <r>
      <rPr>
        <sz val="10"/>
        <color rgb="FFFF0000"/>
        <rFont val="Arial Narrow"/>
        <family val="2"/>
      </rPr>
      <t xml:space="preserve"> …</t>
    </r>
    <r>
      <rPr>
        <sz val="10"/>
        <color rgb="FFFF0000"/>
        <rFont val="宋体"/>
        <family val="3"/>
        <charset val="134"/>
      </rPr>
      <t>股东</t>
    </r>
  </si>
  <si>
    <r>
      <rPr>
        <b/>
        <sz val="10"/>
        <rFont val="宋体"/>
        <family val="3"/>
        <charset val="134"/>
      </rPr>
      <t>金额</t>
    </r>
    <r>
      <rPr>
        <b/>
        <sz val="10"/>
        <rFont val="Arial Narrow"/>
        <family val="2"/>
      </rPr>
      <t xml:space="preserve">  (B)</t>
    </r>
    <phoneticPr fontId="11" type="noConversion"/>
  </si>
  <si>
    <r>
      <rPr>
        <b/>
        <sz val="10"/>
        <rFont val="宋体"/>
        <family val="3"/>
        <charset val="134"/>
      </rPr>
      <t>投资比例</t>
    </r>
    <r>
      <rPr>
        <b/>
        <sz val="10"/>
        <rFont val="Arial Narrow"/>
        <family val="2"/>
      </rPr>
      <t xml:space="preserve"> </t>
    </r>
    <r>
      <rPr>
        <b/>
        <sz val="10"/>
        <rFont val="宋体"/>
        <family val="3"/>
        <charset val="134"/>
      </rPr>
      <t>（</t>
    </r>
    <r>
      <rPr>
        <b/>
        <sz val="10"/>
        <rFont val="Arial Narrow"/>
        <family val="2"/>
      </rPr>
      <t>C)</t>
    </r>
    <phoneticPr fontId="11" type="noConversion"/>
  </si>
  <si>
    <r>
      <rPr>
        <b/>
        <sz val="10"/>
        <rFont val="宋体"/>
        <family val="3"/>
        <charset val="134"/>
      </rPr>
      <t>合营判断（共同控制）：</t>
    </r>
    <phoneticPr fontId="11" type="noConversion"/>
  </si>
  <si>
    <r>
      <rPr>
        <b/>
        <sz val="10"/>
        <rFont val="宋体"/>
        <family val="3"/>
        <charset val="134"/>
      </rPr>
      <t>审计证据</t>
    </r>
    <phoneticPr fontId="11" type="noConversion"/>
  </si>
  <si>
    <r>
      <rPr>
        <b/>
        <sz val="10"/>
        <rFont val="宋体"/>
        <family val="3"/>
        <charset val="134"/>
      </rPr>
      <t>联营判断（重大影响）：</t>
    </r>
    <phoneticPr fontId="11" type="noConversion"/>
  </si>
  <si>
    <r>
      <rPr>
        <b/>
        <sz val="10"/>
        <rFont val="宋体"/>
        <family val="3"/>
        <charset val="134"/>
      </rPr>
      <t>被投资单位名称</t>
    </r>
    <phoneticPr fontId="11" type="noConversion"/>
  </si>
  <si>
    <r>
      <rPr>
        <b/>
        <sz val="10"/>
        <rFont val="宋体"/>
        <family val="3"/>
        <charset val="134"/>
      </rPr>
      <t>投资时间</t>
    </r>
    <phoneticPr fontId="11" type="noConversion"/>
  </si>
  <si>
    <r>
      <rPr>
        <b/>
        <sz val="10"/>
        <rFont val="宋体"/>
        <family val="3"/>
        <charset val="134"/>
      </rPr>
      <t>初始投资成本</t>
    </r>
    <r>
      <rPr>
        <b/>
        <sz val="10"/>
        <rFont val="Arial Narrow"/>
        <family val="2"/>
      </rPr>
      <t>(</t>
    </r>
    <r>
      <rPr>
        <b/>
        <sz val="10"/>
        <rFont val="宋体"/>
        <family val="3"/>
        <charset val="134"/>
      </rPr>
      <t>支付对价</t>
    </r>
    <r>
      <rPr>
        <b/>
        <sz val="10"/>
        <rFont val="Arial Narrow"/>
        <family val="2"/>
      </rPr>
      <t>)                    (A)</t>
    </r>
    <phoneticPr fontId="11" type="noConversion"/>
  </si>
  <si>
    <r>
      <rPr>
        <b/>
        <sz val="10"/>
        <rFont val="宋体"/>
        <family val="3"/>
        <charset val="134"/>
      </rPr>
      <t>投资发生时被投资单位可辨认净资产公允价值</t>
    </r>
    <phoneticPr fontId="11" type="noConversion"/>
  </si>
  <si>
    <r>
      <rPr>
        <b/>
        <sz val="10"/>
        <rFont val="宋体"/>
        <family val="3"/>
        <charset val="134"/>
      </rPr>
      <t>原投资在追加投资日的公允价值</t>
    </r>
    <r>
      <rPr>
        <b/>
        <sz val="10"/>
        <rFont val="Arial Narrow"/>
        <family val="2"/>
      </rPr>
      <t>(A)</t>
    </r>
    <phoneticPr fontId="11" type="noConversion"/>
  </si>
  <si>
    <r>
      <rPr>
        <b/>
        <sz val="10"/>
        <rFont val="宋体"/>
        <family val="3"/>
        <charset val="134"/>
      </rPr>
      <t>原投资比例</t>
    </r>
    <r>
      <rPr>
        <b/>
        <sz val="10"/>
        <rFont val="Arial Narrow"/>
        <family val="2"/>
      </rPr>
      <t>(B)</t>
    </r>
    <phoneticPr fontId="11" type="noConversion"/>
  </si>
  <si>
    <r>
      <rPr>
        <b/>
        <sz val="10"/>
        <rFont val="宋体"/>
        <family val="3"/>
        <charset val="134"/>
      </rPr>
      <t>新增投资确认的投资成本（</t>
    </r>
    <r>
      <rPr>
        <b/>
        <sz val="10"/>
        <rFont val="Arial Narrow"/>
        <family val="2"/>
      </rPr>
      <t>C</t>
    </r>
    <r>
      <rPr>
        <b/>
        <sz val="10"/>
        <rFont val="宋体"/>
        <family val="3"/>
        <charset val="134"/>
      </rPr>
      <t>）</t>
    </r>
    <phoneticPr fontId="11" type="noConversion"/>
  </si>
  <si>
    <r>
      <rPr>
        <b/>
        <sz val="10"/>
        <rFont val="宋体"/>
        <family val="3"/>
        <charset val="134"/>
      </rPr>
      <t>追加的投资比例</t>
    </r>
    <r>
      <rPr>
        <b/>
        <sz val="10"/>
        <rFont val="Arial Narrow"/>
        <family val="2"/>
      </rPr>
      <t>(D)</t>
    </r>
    <phoneticPr fontId="11" type="noConversion"/>
  </si>
  <si>
    <r>
      <rPr>
        <b/>
        <sz val="10"/>
        <rFont val="宋体"/>
        <family val="3"/>
        <charset val="134"/>
      </rPr>
      <t>追加投资时被投资单位可辨认净资产公允价值</t>
    </r>
    <r>
      <rPr>
        <b/>
        <sz val="10"/>
        <rFont val="Arial Narrow"/>
        <family val="2"/>
      </rPr>
      <t>(E)</t>
    </r>
    <phoneticPr fontId="11" type="noConversion"/>
  </si>
  <si>
    <r>
      <rPr>
        <b/>
        <sz val="10"/>
        <rFont val="宋体"/>
        <family val="3"/>
        <charset val="134"/>
      </rPr>
      <t>新增投资与应享有的被投资单位可辨认净资产公允价值份额的差额（</t>
    </r>
    <r>
      <rPr>
        <b/>
        <sz val="10"/>
        <rFont val="Arial Narrow"/>
        <family val="2"/>
      </rPr>
      <t>F</t>
    </r>
    <r>
      <rPr>
        <b/>
        <sz val="10"/>
        <rFont val="宋体"/>
        <family val="3"/>
        <charset val="134"/>
      </rPr>
      <t>）</t>
    </r>
    <r>
      <rPr>
        <b/>
        <sz val="10"/>
        <rFont val="Arial Narrow"/>
        <family val="2"/>
      </rPr>
      <t>=(A)+(C)-(B+D)*E</t>
    </r>
    <phoneticPr fontId="11" type="noConversion"/>
  </si>
  <si>
    <r>
      <rPr>
        <b/>
        <sz val="10"/>
        <rFont val="宋体"/>
        <family val="3"/>
        <charset val="134"/>
      </rPr>
      <t>原取得投资后至追加投资的交易日之间被投资单位公允价值的变动</t>
    </r>
    <phoneticPr fontId="11" type="noConversion"/>
  </si>
  <si>
    <r>
      <rPr>
        <b/>
        <sz val="10"/>
        <rFont val="宋体"/>
        <family val="3"/>
        <charset val="134"/>
      </rPr>
      <t>原取得投资至追加投资当期期初已计入其他综合收益的累计公允价值变动（</t>
    </r>
    <r>
      <rPr>
        <b/>
        <sz val="10"/>
        <rFont val="Arial Narrow"/>
        <family val="2"/>
      </rPr>
      <t>I</t>
    </r>
    <r>
      <rPr>
        <b/>
        <sz val="10"/>
        <rFont val="宋体"/>
        <family val="3"/>
        <charset val="134"/>
      </rPr>
      <t>）</t>
    </r>
    <phoneticPr fontId="11" type="noConversion"/>
  </si>
  <si>
    <r>
      <rPr>
        <b/>
        <sz val="10"/>
        <rFont val="宋体"/>
        <family val="3"/>
        <charset val="134"/>
      </rPr>
      <t>追加投资当期期初至追加投资交易日之间的公允价值变动（</t>
    </r>
    <r>
      <rPr>
        <b/>
        <sz val="10"/>
        <rFont val="Arial Narrow"/>
        <family val="2"/>
      </rPr>
      <t>J</t>
    </r>
    <r>
      <rPr>
        <b/>
        <sz val="10"/>
        <rFont val="宋体"/>
        <family val="3"/>
        <charset val="134"/>
      </rPr>
      <t>）</t>
    </r>
    <phoneticPr fontId="11" type="noConversion"/>
  </si>
  <si>
    <r>
      <rPr>
        <b/>
        <sz val="10"/>
        <rFont val="宋体"/>
        <family val="3"/>
        <charset val="134"/>
      </rPr>
      <t>转入投资收益：公允价值变动合计（</t>
    </r>
    <r>
      <rPr>
        <b/>
        <sz val="10"/>
        <rFont val="Arial Narrow"/>
        <family val="2"/>
      </rPr>
      <t>K=I+J</t>
    </r>
    <r>
      <rPr>
        <b/>
        <sz val="10"/>
        <rFont val="宋体"/>
        <family val="3"/>
        <charset val="134"/>
      </rPr>
      <t>）</t>
    </r>
    <phoneticPr fontId="11" type="noConversion"/>
  </si>
  <si>
    <r>
      <t>2</t>
    </r>
    <r>
      <rPr>
        <b/>
        <sz val="10"/>
        <rFont val="宋体"/>
        <family val="3"/>
        <charset val="134"/>
      </rPr>
      <t>、原持有的对被投资单位不具有控制、共同控制或重大影响的金融资产，因追加投资导致持股比例上升</t>
    </r>
    <r>
      <rPr>
        <b/>
        <sz val="10"/>
        <rFont val="Arial Narrow"/>
        <family val="2"/>
      </rPr>
      <t>,</t>
    </r>
    <r>
      <rPr>
        <b/>
        <sz val="10"/>
        <rFont val="宋体"/>
        <family val="3"/>
        <charset val="134"/>
      </rPr>
      <t>能够对被投资单位施加重大影响或是实施共同控制的</t>
    </r>
    <r>
      <rPr>
        <b/>
        <sz val="10"/>
        <rFont val="Arial Narrow"/>
        <family val="2"/>
      </rPr>
      <t>,</t>
    </r>
    <r>
      <rPr>
        <b/>
        <sz val="10"/>
        <rFont val="宋体"/>
        <family val="3"/>
        <charset val="134"/>
      </rPr>
      <t>长期股权投资账面价值合计：</t>
    </r>
    <phoneticPr fontId="11" type="noConversion"/>
  </si>
  <si>
    <r>
      <rPr>
        <b/>
        <sz val="10"/>
        <rFont val="宋体"/>
        <family val="3"/>
        <charset val="134"/>
      </rPr>
      <t>新增投资时的原账面价值（</t>
    </r>
    <r>
      <rPr>
        <b/>
        <sz val="10"/>
        <rFont val="Arial Narrow"/>
        <family val="2"/>
      </rPr>
      <t>A</t>
    </r>
    <r>
      <rPr>
        <b/>
        <sz val="10"/>
        <rFont val="宋体"/>
        <family val="3"/>
        <charset val="134"/>
      </rPr>
      <t>）</t>
    </r>
    <phoneticPr fontId="11" type="noConversion"/>
  </si>
  <si>
    <r>
      <rPr>
        <b/>
        <sz val="10"/>
        <rFont val="宋体"/>
        <family val="3"/>
        <charset val="134"/>
      </rPr>
      <t>其中：原投资的内含商誉（</t>
    </r>
    <r>
      <rPr>
        <b/>
        <sz val="10"/>
        <rFont val="Arial Narrow"/>
        <family val="2"/>
      </rPr>
      <t>B</t>
    </r>
    <r>
      <rPr>
        <b/>
        <sz val="10"/>
        <rFont val="宋体"/>
        <family val="3"/>
        <charset val="134"/>
      </rPr>
      <t>）</t>
    </r>
    <phoneticPr fontId="11" type="noConversion"/>
  </si>
  <si>
    <r>
      <rPr>
        <b/>
        <sz val="10"/>
        <rFont val="宋体"/>
        <family val="3"/>
        <charset val="134"/>
      </rPr>
      <t>原投资比例（</t>
    </r>
    <r>
      <rPr>
        <b/>
        <sz val="10"/>
        <rFont val="Arial Narrow"/>
        <family val="2"/>
      </rPr>
      <t>C</t>
    </r>
    <r>
      <rPr>
        <b/>
        <sz val="10"/>
        <rFont val="宋体"/>
        <family val="3"/>
        <charset val="134"/>
      </rPr>
      <t>）</t>
    </r>
    <phoneticPr fontId="11" type="noConversion"/>
  </si>
  <si>
    <r>
      <rPr>
        <b/>
        <sz val="10"/>
        <rFont val="宋体"/>
        <family val="3"/>
        <charset val="134"/>
      </rPr>
      <t>新增投资确认的投资成本（</t>
    </r>
    <r>
      <rPr>
        <b/>
        <sz val="10"/>
        <rFont val="Arial Narrow"/>
        <family val="2"/>
      </rPr>
      <t>D</t>
    </r>
    <r>
      <rPr>
        <b/>
        <sz val="10"/>
        <rFont val="宋体"/>
        <family val="3"/>
        <charset val="134"/>
      </rPr>
      <t>）</t>
    </r>
    <phoneticPr fontId="11" type="noConversion"/>
  </si>
  <si>
    <r>
      <rPr>
        <b/>
        <sz val="10"/>
        <rFont val="宋体"/>
        <family val="3"/>
        <charset val="134"/>
      </rPr>
      <t>新增投资比例（</t>
    </r>
    <r>
      <rPr>
        <b/>
        <sz val="10"/>
        <rFont val="Arial Narrow"/>
        <family val="2"/>
      </rPr>
      <t>E</t>
    </r>
    <r>
      <rPr>
        <b/>
        <sz val="10"/>
        <rFont val="宋体"/>
        <family val="3"/>
        <charset val="134"/>
      </rPr>
      <t>）</t>
    </r>
    <phoneticPr fontId="11" type="noConversion"/>
  </si>
  <si>
    <r>
      <rPr>
        <b/>
        <sz val="10"/>
        <rFont val="宋体"/>
        <family val="3"/>
        <charset val="134"/>
      </rPr>
      <t>新增投资时被投资单位单位可辨认净资产公允价值（</t>
    </r>
    <r>
      <rPr>
        <b/>
        <sz val="10"/>
        <rFont val="Arial Narrow"/>
        <family val="2"/>
      </rPr>
      <t>F</t>
    </r>
    <r>
      <rPr>
        <b/>
        <sz val="10"/>
        <rFont val="宋体"/>
        <family val="3"/>
        <charset val="134"/>
      </rPr>
      <t>）</t>
    </r>
    <phoneticPr fontId="11" type="noConversion"/>
  </si>
  <si>
    <r>
      <rPr>
        <b/>
        <sz val="10"/>
        <rFont val="宋体"/>
        <family val="3"/>
        <charset val="134"/>
      </rPr>
      <t>新增投资与应享有的被投资单位可辨认净资产公允价值份额的差额（</t>
    </r>
    <r>
      <rPr>
        <b/>
        <sz val="10"/>
        <rFont val="Arial Narrow"/>
        <family val="2"/>
      </rPr>
      <t>G</t>
    </r>
    <r>
      <rPr>
        <b/>
        <sz val="10"/>
        <rFont val="宋体"/>
        <family val="3"/>
        <charset val="134"/>
      </rPr>
      <t>）</t>
    </r>
    <r>
      <rPr>
        <b/>
        <sz val="10"/>
        <rFont val="Arial Narrow"/>
        <family val="2"/>
      </rPr>
      <t>=D-E*F</t>
    </r>
    <phoneticPr fontId="11" type="noConversion"/>
  </si>
  <si>
    <r>
      <rPr>
        <sz val="10"/>
        <color rgb="FF0000FF"/>
        <rFont val="宋体"/>
        <family val="3"/>
        <charset val="134"/>
      </rPr>
      <t>提示：投资方因增加投资等原因对被投资单位的持股比例增加，但被投资单位仍然是投资方的联营企业或合营企业时，投资方应当按照新的持股比例对股权投资继续采用权益法进行核算。在新增投资日，如果新增投资成本大于按新增持股比例计算的被投资单位可辨认净资产于新增投资日的公允价值份额，不调整长期股权投资成本；如果新增投资成本小于按新增持股比例计算的被投资单位可辨认净资产于新增投资日的公允价值份额，应按该差额，调整长期股权投资成本和营业外收入。进行上述调整时，应当综合考虑与原持有投资和追加投资相关的商誉或计入损益的金额。</t>
    </r>
    <phoneticPr fontId="11" type="noConversion"/>
  </si>
  <si>
    <r>
      <rPr>
        <b/>
        <sz val="10"/>
        <rFont val="宋体"/>
        <family val="3"/>
        <charset val="134"/>
      </rPr>
      <t>其他权益变动</t>
    </r>
    <phoneticPr fontId="11" type="noConversion"/>
  </si>
  <si>
    <r>
      <rPr>
        <sz val="10"/>
        <rFont val="宋体"/>
        <family val="3"/>
        <charset val="134"/>
      </rPr>
      <t>了解被审计单位投资公司的基本情况</t>
    </r>
    <phoneticPr fontId="11" type="noConversion"/>
  </si>
  <si>
    <r>
      <rPr>
        <b/>
        <sz val="10"/>
        <rFont val="宋体"/>
        <family val="3"/>
        <charset val="134"/>
      </rPr>
      <t>主要经营地</t>
    </r>
    <phoneticPr fontId="11" type="noConversion"/>
  </si>
  <si>
    <r>
      <rPr>
        <b/>
        <sz val="10"/>
        <rFont val="宋体"/>
        <family val="3"/>
        <charset val="134"/>
      </rPr>
      <t>注册地</t>
    </r>
  </si>
  <si>
    <r>
      <rPr>
        <b/>
        <sz val="10"/>
        <rFont val="宋体"/>
        <family val="3"/>
        <charset val="134"/>
      </rPr>
      <t>业务性质</t>
    </r>
  </si>
  <si>
    <r>
      <rPr>
        <b/>
        <sz val="10"/>
        <rFont val="宋体"/>
        <family val="3"/>
        <charset val="134"/>
      </rPr>
      <t>持股比例</t>
    </r>
    <r>
      <rPr>
        <b/>
        <sz val="10"/>
        <rFont val="Arial Narrow"/>
        <family val="2"/>
      </rPr>
      <t>/</t>
    </r>
    <r>
      <rPr>
        <b/>
        <sz val="10"/>
        <rFont val="宋体"/>
        <family val="3"/>
        <charset val="134"/>
      </rPr>
      <t>享有的份额</t>
    </r>
    <r>
      <rPr>
        <b/>
        <sz val="10"/>
        <rFont val="Arial Narrow"/>
        <family val="2"/>
      </rPr>
      <t>%</t>
    </r>
    <phoneticPr fontId="11" type="noConversion"/>
  </si>
  <si>
    <r>
      <rPr>
        <b/>
        <sz val="10"/>
        <rFont val="宋体"/>
        <family val="3"/>
        <charset val="134"/>
      </rPr>
      <t>表决权比例</t>
    </r>
    <phoneticPr fontId="11" type="noConversion"/>
  </si>
  <si>
    <r>
      <rPr>
        <b/>
        <sz val="10"/>
        <rFont val="宋体"/>
        <family val="3"/>
        <charset val="134"/>
      </rPr>
      <t>持股比例与表决权比例不一致的原因</t>
    </r>
    <phoneticPr fontId="11" type="noConversion"/>
  </si>
  <si>
    <r>
      <rPr>
        <b/>
        <sz val="10"/>
        <rFont val="宋体"/>
        <family val="3"/>
        <charset val="134"/>
      </rPr>
      <t>取得方式</t>
    </r>
  </si>
  <si>
    <r>
      <rPr>
        <b/>
        <sz val="10"/>
        <rFont val="宋体"/>
        <family val="3"/>
        <charset val="134"/>
      </rPr>
      <t>会计处理方法</t>
    </r>
    <phoneticPr fontId="11" type="noConversion"/>
  </si>
  <si>
    <r>
      <rPr>
        <b/>
        <sz val="10"/>
        <rFont val="宋体"/>
        <family val="3"/>
        <charset val="134"/>
      </rPr>
      <t>直接</t>
    </r>
  </si>
  <si>
    <r>
      <rPr>
        <b/>
        <sz val="10"/>
        <rFont val="宋体"/>
        <family val="3"/>
        <charset val="134"/>
      </rPr>
      <t>间接</t>
    </r>
  </si>
  <si>
    <r>
      <rPr>
        <b/>
        <sz val="10"/>
        <rFont val="宋体"/>
        <family val="3"/>
        <charset val="134"/>
      </rPr>
      <t>（一）子公司</t>
    </r>
    <phoneticPr fontId="11" type="noConversion"/>
  </si>
  <si>
    <r>
      <rPr>
        <sz val="10"/>
        <color rgb="FFFF0000"/>
        <rFont val="宋体"/>
        <family val="3"/>
        <charset val="134"/>
      </rPr>
      <t>成本法</t>
    </r>
    <phoneticPr fontId="11" type="noConversion"/>
  </si>
  <si>
    <r>
      <rPr>
        <b/>
        <sz val="10"/>
        <rFont val="宋体"/>
        <family val="3"/>
        <charset val="134"/>
      </rPr>
      <t>（二）合营企业（共同控制）</t>
    </r>
    <phoneticPr fontId="11" type="noConversion"/>
  </si>
  <si>
    <r>
      <rPr>
        <sz val="10"/>
        <color rgb="FFFF0000"/>
        <rFont val="宋体"/>
        <family val="3"/>
        <charset val="134"/>
      </rPr>
      <t>权益法</t>
    </r>
    <phoneticPr fontId="11" type="noConversion"/>
  </si>
  <si>
    <r>
      <rPr>
        <b/>
        <sz val="10"/>
        <rFont val="宋体"/>
        <family val="3"/>
        <charset val="134"/>
      </rPr>
      <t>（三）联营企业（重大影响）</t>
    </r>
    <phoneticPr fontId="11" type="noConversion"/>
  </si>
  <si>
    <r>
      <rPr>
        <b/>
        <sz val="10"/>
        <rFont val="宋体"/>
        <family val="3"/>
        <charset val="134"/>
      </rPr>
      <t>（四）共同经营（共同控制）</t>
    </r>
    <phoneticPr fontId="11" type="noConversion"/>
  </si>
  <si>
    <r>
      <rPr>
        <sz val="10"/>
        <color rgb="FFFF0000"/>
        <rFont val="宋体"/>
        <family val="3"/>
        <charset val="134"/>
      </rPr>
      <t>各项单独确认</t>
    </r>
    <phoneticPr fontId="11" type="noConversion"/>
  </si>
  <si>
    <r>
      <rPr>
        <b/>
        <sz val="10"/>
        <rFont val="宋体"/>
        <family val="3"/>
        <charset val="134"/>
      </rPr>
      <t>四、审计结论：</t>
    </r>
    <phoneticPr fontId="73" type="noConversion"/>
  </si>
  <si>
    <r>
      <rPr>
        <sz val="10"/>
        <rFont val="宋体"/>
        <family val="3"/>
        <charset val="134"/>
      </rPr>
      <t>了解被审计单位合营、联营企业主要财务信息</t>
    </r>
    <phoneticPr fontId="11" type="noConversion"/>
  </si>
  <si>
    <r>
      <t>1.1</t>
    </r>
    <r>
      <rPr>
        <b/>
        <sz val="10"/>
        <rFont val="宋体"/>
        <family val="3"/>
        <charset val="134"/>
      </rPr>
      <t>重要合营、联营企业</t>
    </r>
    <phoneticPr fontId="11" type="noConversion"/>
  </si>
  <si>
    <r>
      <rPr>
        <b/>
        <sz val="10"/>
        <color theme="1"/>
        <rFont val="宋体"/>
        <family val="3"/>
        <charset val="134"/>
      </rPr>
      <t>项目</t>
    </r>
    <phoneticPr fontId="11" type="noConversion"/>
  </si>
  <si>
    <r>
      <rPr>
        <b/>
        <sz val="10"/>
        <rFont val="宋体"/>
        <family val="3"/>
        <charset val="134"/>
      </rPr>
      <t>本期数</t>
    </r>
    <phoneticPr fontId="11" type="noConversion"/>
  </si>
  <si>
    <r>
      <rPr>
        <b/>
        <sz val="10"/>
        <rFont val="宋体"/>
        <family val="3"/>
        <charset val="134"/>
      </rPr>
      <t>上期数</t>
    </r>
    <phoneticPr fontId="11" type="noConversion"/>
  </si>
  <si>
    <r>
      <rPr>
        <sz val="10"/>
        <rFont val="宋体"/>
        <family val="3"/>
        <charset val="134"/>
      </rPr>
      <t>其中：现金和现金等价物</t>
    </r>
    <phoneticPr fontId="11" type="noConversion"/>
  </si>
  <si>
    <r>
      <rPr>
        <b/>
        <sz val="10"/>
        <rFont val="宋体"/>
        <family val="3"/>
        <charset val="134"/>
      </rPr>
      <t>净资产</t>
    </r>
    <phoneticPr fontId="11" type="noConversion"/>
  </si>
  <si>
    <r>
      <rPr>
        <sz val="10"/>
        <rFont val="宋体"/>
        <family val="3"/>
        <charset val="134"/>
      </rPr>
      <t>其中：少数股东权益</t>
    </r>
    <phoneticPr fontId="11" type="noConversion"/>
  </si>
  <si>
    <r>
      <rPr>
        <sz val="10"/>
        <rFont val="宋体"/>
        <family val="3"/>
        <charset val="134"/>
      </rPr>
      <t>归属于母公司的所有者权益</t>
    </r>
    <phoneticPr fontId="11" type="noConversion"/>
  </si>
  <si>
    <r>
      <rPr>
        <sz val="10"/>
        <rFont val="宋体"/>
        <family val="3"/>
        <charset val="134"/>
      </rPr>
      <t>持股比例</t>
    </r>
    <r>
      <rPr>
        <sz val="10"/>
        <rFont val="Arial Narrow"/>
        <family val="2"/>
      </rPr>
      <t>%</t>
    </r>
    <phoneticPr fontId="11" type="noConversion"/>
  </si>
  <si>
    <r>
      <rPr>
        <sz val="10"/>
        <rFont val="宋体"/>
        <family val="3"/>
        <charset val="134"/>
      </rPr>
      <t>按持股比例计算的净资产份额</t>
    </r>
    <phoneticPr fontId="11" type="noConversion"/>
  </si>
  <si>
    <r>
      <rPr>
        <sz val="10"/>
        <rFont val="宋体"/>
        <family val="3"/>
        <charset val="134"/>
      </rPr>
      <t>调整事项</t>
    </r>
    <phoneticPr fontId="11" type="noConversion"/>
  </si>
  <si>
    <r>
      <rPr>
        <sz val="10"/>
        <rFont val="宋体"/>
        <family val="3"/>
        <charset val="134"/>
      </rPr>
      <t>其中：商誉</t>
    </r>
    <phoneticPr fontId="11" type="noConversion"/>
  </si>
  <si>
    <r>
      <rPr>
        <sz val="10"/>
        <rFont val="宋体"/>
        <family val="3"/>
        <charset val="134"/>
      </rPr>
      <t>未实现内部交易损益</t>
    </r>
    <phoneticPr fontId="11" type="noConversion"/>
  </si>
  <si>
    <r>
      <rPr>
        <sz val="10"/>
        <rFont val="宋体"/>
        <family val="3"/>
        <charset val="134"/>
      </rPr>
      <t>减值准备</t>
    </r>
    <phoneticPr fontId="11" type="noConversion"/>
  </si>
  <si>
    <r>
      <rPr>
        <sz val="10"/>
        <rFont val="宋体"/>
        <family val="3"/>
        <charset val="134"/>
      </rPr>
      <t>其他</t>
    </r>
    <phoneticPr fontId="11" type="noConversion"/>
  </si>
  <si>
    <r>
      <rPr>
        <sz val="10"/>
        <rFont val="宋体"/>
        <family val="3"/>
        <charset val="134"/>
      </rPr>
      <t>对合营</t>
    </r>
    <r>
      <rPr>
        <sz val="10"/>
        <rFont val="Arial Narrow"/>
        <family val="2"/>
      </rPr>
      <t>/</t>
    </r>
    <r>
      <rPr>
        <sz val="10"/>
        <rFont val="宋体"/>
        <family val="3"/>
        <charset val="134"/>
      </rPr>
      <t>联营企业权益投资的账面价值</t>
    </r>
    <phoneticPr fontId="11" type="noConversion"/>
  </si>
  <si>
    <r>
      <rPr>
        <sz val="10"/>
        <rFont val="宋体"/>
        <family val="3"/>
        <charset val="134"/>
      </rPr>
      <t>存在公开报价的权益投资的公允价值</t>
    </r>
    <phoneticPr fontId="11" type="noConversion"/>
  </si>
  <si>
    <r>
      <rPr>
        <sz val="10"/>
        <rFont val="宋体"/>
        <family val="3"/>
        <charset val="134"/>
      </rPr>
      <t>财务费用</t>
    </r>
    <phoneticPr fontId="11" type="noConversion"/>
  </si>
  <si>
    <r>
      <rPr>
        <sz val="10"/>
        <rFont val="宋体"/>
        <family val="3"/>
        <charset val="134"/>
      </rPr>
      <t>所得税费用</t>
    </r>
    <phoneticPr fontId="11" type="noConversion"/>
  </si>
  <si>
    <r>
      <rPr>
        <sz val="10"/>
        <rFont val="宋体"/>
        <family val="3"/>
        <charset val="134"/>
      </rPr>
      <t>终止经营的净利润</t>
    </r>
    <phoneticPr fontId="11" type="noConversion"/>
  </si>
  <si>
    <r>
      <rPr>
        <sz val="10"/>
        <rFont val="宋体"/>
        <family val="3"/>
        <charset val="134"/>
      </rPr>
      <t>其他综合收益</t>
    </r>
    <phoneticPr fontId="11" type="noConversion"/>
  </si>
  <si>
    <r>
      <rPr>
        <sz val="10"/>
        <rFont val="宋体"/>
        <family val="3"/>
        <charset val="134"/>
      </rPr>
      <t>前期累积未确认的损失份额</t>
    </r>
    <phoneticPr fontId="11" type="noConversion"/>
  </si>
  <si>
    <r>
      <rPr>
        <sz val="10"/>
        <rFont val="宋体"/>
        <family val="3"/>
        <charset val="134"/>
      </rPr>
      <t>本期未确认的损失份额（或本期实现净利润的分享额）</t>
    </r>
    <phoneticPr fontId="11" type="noConversion"/>
  </si>
  <si>
    <r>
      <rPr>
        <sz val="10"/>
        <rFont val="宋体"/>
        <family val="3"/>
        <charset val="134"/>
      </rPr>
      <t>本期末累积未确认的损失份额</t>
    </r>
    <phoneticPr fontId="11" type="noConversion"/>
  </si>
  <si>
    <r>
      <t>1.2</t>
    </r>
    <r>
      <rPr>
        <b/>
        <sz val="10"/>
        <rFont val="宋体"/>
        <family val="3"/>
        <charset val="134"/>
      </rPr>
      <t>其他合营企业</t>
    </r>
    <phoneticPr fontId="11" type="noConversion"/>
  </si>
  <si>
    <r>
      <rPr>
        <b/>
        <sz val="10"/>
        <rFont val="宋体"/>
        <family val="3"/>
        <charset val="134"/>
      </rPr>
      <t>三、审计说明：</t>
    </r>
    <phoneticPr fontId="73" type="noConversion"/>
  </si>
  <si>
    <r>
      <rPr>
        <b/>
        <sz val="10"/>
        <rFont val="宋体"/>
        <family val="3"/>
        <charset val="134"/>
      </rPr>
      <t>四、审计结论：</t>
    </r>
    <phoneticPr fontId="73" type="noConversion"/>
  </si>
  <si>
    <t>合营企业</t>
    <phoneticPr fontId="11" type="noConversion"/>
  </si>
  <si>
    <t>联营企业</t>
    <phoneticPr fontId="11" type="noConversion"/>
  </si>
  <si>
    <t>小  计</t>
    <phoneticPr fontId="11" type="noConversion"/>
  </si>
  <si>
    <t>--</t>
    <phoneticPr fontId="11" type="noConversion"/>
  </si>
  <si>
    <t>其中：现金</t>
    <phoneticPr fontId="11" type="noConversion"/>
  </si>
  <si>
    <t>级次（国企适用）</t>
    <phoneticPr fontId="11" type="noConversion"/>
  </si>
  <si>
    <t>企业类型（国企适用）</t>
    <phoneticPr fontId="11" type="noConversion"/>
  </si>
  <si>
    <r>
      <t>（注：企业类型：</t>
    </r>
    <r>
      <rPr>
        <sz val="12"/>
        <color rgb="FF0000FF"/>
        <rFont val="Arial Narrow"/>
        <family val="2"/>
      </rPr>
      <t>1.</t>
    </r>
    <r>
      <rPr>
        <sz val="12"/>
        <color rgb="FF0000FF"/>
        <rFont val="仿宋_GB2312"/>
        <family val="3"/>
        <charset val="134"/>
      </rPr>
      <t>境内非金融子企业，</t>
    </r>
    <r>
      <rPr>
        <sz val="12"/>
        <color rgb="FF0000FF"/>
        <rFont val="Arial Narrow"/>
        <family val="2"/>
      </rPr>
      <t>2.</t>
    </r>
    <r>
      <rPr>
        <sz val="12"/>
        <color rgb="FF0000FF"/>
        <rFont val="仿宋_GB2312"/>
        <family val="3"/>
        <charset val="134"/>
      </rPr>
      <t>境内金融子企业，</t>
    </r>
    <r>
      <rPr>
        <sz val="12"/>
        <color rgb="FF0000FF"/>
        <rFont val="Arial Narrow"/>
        <family val="2"/>
      </rPr>
      <t>3.</t>
    </r>
    <r>
      <rPr>
        <sz val="12"/>
        <color rgb="FF0000FF"/>
        <rFont val="仿宋_GB2312"/>
        <family val="3"/>
        <charset val="134"/>
      </rPr>
      <t>境外子企业，</t>
    </r>
    <r>
      <rPr>
        <sz val="12"/>
        <color rgb="FF0000FF"/>
        <rFont val="Arial Narrow"/>
        <family val="2"/>
      </rPr>
      <t>4.</t>
    </r>
    <r>
      <rPr>
        <sz val="12"/>
        <color rgb="FF0000FF"/>
        <rFont val="仿宋_GB2312"/>
        <family val="3"/>
        <charset val="134"/>
      </rPr>
      <t>事业单位，</t>
    </r>
    <r>
      <rPr>
        <sz val="12"/>
        <color rgb="FF0000FF"/>
        <rFont val="Arial Narrow"/>
        <family val="2"/>
      </rPr>
      <t>5.</t>
    </r>
    <r>
      <rPr>
        <sz val="12"/>
        <color rgb="FF0000FF"/>
        <rFont val="仿宋_GB2312"/>
        <family val="3"/>
        <charset val="134"/>
      </rPr>
      <t>基建单位；</t>
    </r>
    <phoneticPr fontId="11" type="noConversion"/>
  </si>
  <si>
    <t>表决权比例不足半数但能对被投资单位形成控制的原因</t>
    <phoneticPr fontId="11" type="noConversion"/>
  </si>
  <si>
    <t>公司名称</t>
    <phoneticPr fontId="11" type="noConversion"/>
  </si>
  <si>
    <t>是否为本期新纳入合并范围的子公司（国企适用）</t>
    <phoneticPr fontId="11" type="noConversion"/>
  </si>
  <si>
    <r>
      <rPr>
        <b/>
        <sz val="10"/>
        <rFont val="宋体"/>
        <family val="3"/>
        <charset val="134"/>
      </rPr>
      <t>企业名称</t>
    </r>
  </si>
  <si>
    <r>
      <rPr>
        <b/>
        <sz val="10"/>
        <rFont val="宋体"/>
        <family val="3"/>
        <charset val="134"/>
      </rPr>
      <t>原股权比例</t>
    </r>
    <r>
      <rPr>
        <b/>
        <sz val="10"/>
        <rFont val="Arial Narrow"/>
        <family val="2"/>
      </rPr>
      <t>%</t>
    </r>
    <phoneticPr fontId="11" type="noConversion"/>
  </si>
  <si>
    <r>
      <rPr>
        <b/>
        <sz val="10"/>
        <rFont val="宋体"/>
        <family val="3"/>
        <charset val="134"/>
      </rPr>
      <t>剩余股权比例</t>
    </r>
    <r>
      <rPr>
        <b/>
        <sz val="10"/>
        <rFont val="Arial Narrow"/>
        <family val="2"/>
      </rPr>
      <t>%</t>
    </r>
    <phoneticPr fontId="11" type="noConversion"/>
  </si>
  <si>
    <r>
      <rPr>
        <b/>
        <sz val="10"/>
        <rFont val="宋体"/>
        <family val="3"/>
        <charset val="134"/>
      </rPr>
      <t>剩余股权构成</t>
    </r>
    <phoneticPr fontId="11" type="noConversion"/>
  </si>
  <si>
    <r>
      <rPr>
        <b/>
        <sz val="10"/>
        <rFont val="宋体"/>
        <family val="3"/>
        <charset val="134"/>
      </rPr>
      <t>取得的查验资料</t>
    </r>
    <phoneticPr fontId="11" type="noConversion"/>
  </si>
  <si>
    <r>
      <rPr>
        <sz val="10"/>
        <color rgb="FFFF0000"/>
        <rFont val="宋体"/>
        <family val="3"/>
        <charset val="134"/>
      </rPr>
      <t>股权转让协议、产权交割单、</t>
    </r>
    <r>
      <rPr>
        <sz val="10"/>
        <color rgb="FFFF0000"/>
        <rFont val="Arial Narrow"/>
        <family val="2"/>
      </rPr>
      <t>…</t>
    </r>
    <phoneticPr fontId="11" type="noConversion"/>
  </si>
  <si>
    <r>
      <t xml:space="preserve">2.1 </t>
    </r>
    <r>
      <rPr>
        <b/>
        <sz val="10"/>
        <rFont val="宋体"/>
        <family val="3"/>
        <charset val="134"/>
      </rPr>
      <t>单体报表</t>
    </r>
    <phoneticPr fontId="11" type="noConversion"/>
  </si>
  <si>
    <r>
      <t>2.2</t>
    </r>
    <r>
      <rPr>
        <b/>
        <sz val="10"/>
        <rFont val="宋体"/>
        <family val="3"/>
        <charset val="134"/>
      </rPr>
      <t>合并报表</t>
    </r>
    <phoneticPr fontId="11" type="noConversion"/>
  </si>
  <si>
    <r>
      <rPr>
        <b/>
        <sz val="10"/>
        <rFont val="宋体"/>
        <family val="3"/>
        <charset val="134"/>
      </rPr>
      <t>一揽子交易的判断事项</t>
    </r>
    <phoneticPr fontId="11" type="noConversion"/>
  </si>
  <si>
    <r>
      <rPr>
        <b/>
        <sz val="10"/>
        <rFont val="宋体"/>
        <family val="3"/>
        <charset val="134"/>
      </rPr>
      <t>对应情形</t>
    </r>
    <phoneticPr fontId="11" type="noConversion"/>
  </si>
  <si>
    <r>
      <rPr>
        <b/>
        <sz val="10"/>
        <rFont val="宋体"/>
        <family val="3"/>
        <charset val="134"/>
      </rPr>
      <t>结论</t>
    </r>
    <phoneticPr fontId="11" type="noConversion"/>
  </si>
  <si>
    <r>
      <rPr>
        <b/>
        <sz val="10"/>
        <rFont val="宋体"/>
        <family val="3"/>
        <charset val="134"/>
      </rPr>
      <t>丧失控制权之前的各步交易处置价款与处置投资对应的合并财务报表层面享有该子公司净资产份额的差额</t>
    </r>
    <phoneticPr fontId="11" type="noConversion"/>
  </si>
  <si>
    <t>三、审计说明</t>
    <phoneticPr fontId="11" type="noConversion"/>
  </si>
  <si>
    <r>
      <rPr>
        <b/>
        <sz val="10"/>
        <color indexed="8"/>
        <rFont val="宋体"/>
        <family val="3"/>
        <charset val="134"/>
      </rPr>
      <t>一、审计目标：</t>
    </r>
    <phoneticPr fontId="14" type="noConversion"/>
  </si>
  <si>
    <r>
      <rPr>
        <b/>
        <sz val="10"/>
        <rFont val="宋体"/>
        <family val="3"/>
        <charset val="134"/>
      </rPr>
      <t>二、审计过程：</t>
    </r>
    <phoneticPr fontId="11" type="noConversion"/>
  </si>
  <si>
    <t>未确认投资损失测试表</t>
  </si>
  <si>
    <t>未确认投资损失测试表</t>
    <phoneticPr fontId="11" type="noConversion"/>
  </si>
  <si>
    <r>
      <rPr>
        <sz val="10"/>
        <rFont val="宋体"/>
        <family val="3"/>
        <charset val="134"/>
      </rPr>
      <t>确定处置子公司的会计处理是否恰当。</t>
    </r>
    <phoneticPr fontId="11" type="noConversion"/>
  </si>
  <si>
    <r>
      <t>1.</t>
    </r>
    <r>
      <rPr>
        <b/>
        <sz val="10"/>
        <rFont val="宋体"/>
        <family val="3"/>
        <charset val="134"/>
      </rPr>
      <t>本期处置的子公司基本情况</t>
    </r>
    <phoneticPr fontId="11" type="noConversion"/>
  </si>
  <si>
    <r>
      <rPr>
        <b/>
        <sz val="10"/>
        <rFont val="宋体"/>
        <family val="3"/>
        <charset val="134"/>
      </rPr>
      <t>持股比例</t>
    </r>
    <r>
      <rPr>
        <b/>
        <sz val="10"/>
        <rFont val="Arial Narrow"/>
        <family val="2"/>
      </rPr>
      <t>%</t>
    </r>
    <phoneticPr fontId="11" type="noConversion"/>
  </si>
  <si>
    <r>
      <rPr>
        <b/>
        <sz val="10"/>
        <rFont val="宋体"/>
        <family val="3"/>
        <charset val="134"/>
      </rPr>
      <t>表决权比例</t>
    </r>
    <r>
      <rPr>
        <b/>
        <sz val="10"/>
        <rFont val="Arial Narrow"/>
        <family val="2"/>
      </rPr>
      <t>%</t>
    </r>
    <phoneticPr fontId="11" type="noConversion"/>
  </si>
  <si>
    <r>
      <rPr>
        <b/>
        <sz val="10"/>
        <rFont val="宋体"/>
        <family val="3"/>
        <charset val="134"/>
      </rPr>
      <t>本期不再成为子公司的原因</t>
    </r>
    <phoneticPr fontId="11" type="noConversion"/>
  </si>
  <si>
    <r>
      <rPr>
        <sz val="10"/>
        <rFont val="宋体"/>
        <family val="3"/>
        <charset val="134"/>
      </rPr>
      <t>⑤</t>
    </r>
    <phoneticPr fontId="11" type="noConversion"/>
  </si>
  <si>
    <r>
      <rPr>
        <sz val="10"/>
        <rFont val="宋体"/>
        <family val="3"/>
        <charset val="134"/>
      </rPr>
      <t>⑥</t>
    </r>
    <r>
      <rPr>
        <sz val="10"/>
        <rFont val="Arial Narrow"/>
        <family val="2"/>
      </rPr>
      <t>=</t>
    </r>
    <r>
      <rPr>
        <sz val="10"/>
        <rFont val="宋体"/>
        <family val="3"/>
        <charset val="134"/>
      </rPr>
      <t>①</t>
    </r>
    <r>
      <rPr>
        <sz val="10"/>
        <rFont val="Arial Narrow"/>
        <family val="2"/>
      </rPr>
      <t>*</t>
    </r>
    <r>
      <rPr>
        <sz val="10"/>
        <rFont val="宋体"/>
        <family val="3"/>
        <charset val="134"/>
      </rPr>
      <t>②</t>
    </r>
    <r>
      <rPr>
        <sz val="10"/>
        <rFont val="Arial Narrow"/>
        <family val="2"/>
      </rPr>
      <t>*90%</t>
    </r>
    <phoneticPr fontId="11" type="noConversion"/>
  </si>
  <si>
    <r>
      <rPr>
        <sz val="10"/>
        <rFont val="宋体"/>
        <family val="3"/>
        <charset val="134"/>
      </rPr>
      <t>⑦</t>
    </r>
    <r>
      <rPr>
        <sz val="10"/>
        <rFont val="Arial Narrow"/>
        <family val="2"/>
      </rPr>
      <t>=</t>
    </r>
    <r>
      <rPr>
        <sz val="10"/>
        <rFont val="宋体"/>
        <family val="3"/>
        <charset val="134"/>
      </rPr>
      <t>①</t>
    </r>
    <r>
      <rPr>
        <sz val="10"/>
        <rFont val="Arial Narrow"/>
        <family val="2"/>
      </rPr>
      <t>*</t>
    </r>
    <r>
      <rPr>
        <sz val="10"/>
        <rFont val="宋体"/>
        <family val="3"/>
        <charset val="134"/>
      </rPr>
      <t>②</t>
    </r>
    <r>
      <rPr>
        <sz val="10"/>
        <rFont val="Arial Narrow"/>
        <family val="2"/>
      </rPr>
      <t>*10%</t>
    </r>
    <phoneticPr fontId="11" type="noConversion"/>
  </si>
  <si>
    <r>
      <rPr>
        <sz val="10"/>
        <rFont val="宋体"/>
        <family val="3"/>
        <charset val="134"/>
      </rPr>
      <t>⑧</t>
    </r>
    <r>
      <rPr>
        <sz val="10"/>
        <rFont val="Arial Narrow"/>
        <family val="2"/>
      </rPr>
      <t>=</t>
    </r>
    <r>
      <rPr>
        <sz val="10"/>
        <rFont val="宋体"/>
        <family val="3"/>
        <charset val="134"/>
      </rPr>
      <t>③</t>
    </r>
    <r>
      <rPr>
        <sz val="10"/>
        <rFont val="Arial Narrow"/>
        <family val="2"/>
      </rPr>
      <t>×</t>
    </r>
    <r>
      <rPr>
        <sz val="10"/>
        <rFont val="宋体"/>
        <family val="3"/>
        <charset val="134"/>
      </rPr>
      <t>①</t>
    </r>
    <phoneticPr fontId="11" type="noConversion"/>
  </si>
  <si>
    <r>
      <rPr>
        <sz val="10"/>
        <rFont val="宋体"/>
        <family val="3"/>
        <charset val="134"/>
      </rPr>
      <t>⑨</t>
    </r>
    <r>
      <rPr>
        <sz val="10"/>
        <rFont val="Arial Narrow"/>
        <family val="2"/>
      </rPr>
      <t>=</t>
    </r>
    <r>
      <rPr>
        <sz val="10"/>
        <rFont val="宋体"/>
        <family val="3"/>
        <charset val="134"/>
      </rPr>
      <t>④</t>
    </r>
    <r>
      <rPr>
        <sz val="10"/>
        <rFont val="Arial Narrow"/>
        <family val="2"/>
      </rPr>
      <t>×</t>
    </r>
    <r>
      <rPr>
        <sz val="10"/>
        <rFont val="宋体"/>
        <family val="3"/>
        <charset val="134"/>
      </rPr>
      <t>①</t>
    </r>
    <phoneticPr fontId="11" type="noConversion"/>
  </si>
  <si>
    <r>
      <rPr>
        <sz val="10"/>
        <rFont val="宋体"/>
        <family val="3"/>
        <charset val="134"/>
      </rPr>
      <t>⑩</t>
    </r>
    <r>
      <rPr>
        <sz val="10"/>
        <rFont val="Arial Narrow"/>
        <family val="2"/>
      </rPr>
      <t>=</t>
    </r>
    <r>
      <rPr>
        <sz val="10"/>
        <rFont val="宋体"/>
        <family val="3"/>
        <charset val="134"/>
      </rPr>
      <t>⑤</t>
    </r>
    <r>
      <rPr>
        <sz val="10"/>
        <rFont val="Arial Narrow"/>
        <family val="2"/>
      </rPr>
      <t>×</t>
    </r>
    <r>
      <rPr>
        <sz val="10"/>
        <rFont val="宋体"/>
        <family val="3"/>
        <charset val="134"/>
      </rPr>
      <t>①</t>
    </r>
    <phoneticPr fontId="11" type="noConversion"/>
  </si>
  <si>
    <r>
      <rPr>
        <sz val="10"/>
        <rFont val="宋体"/>
        <family val="3"/>
        <charset val="134"/>
      </rPr>
      <t>⑥</t>
    </r>
    <r>
      <rPr>
        <sz val="10"/>
        <rFont val="Arial Narrow"/>
        <family val="2"/>
      </rPr>
      <t>=</t>
    </r>
    <r>
      <rPr>
        <sz val="10"/>
        <rFont val="宋体"/>
        <family val="3"/>
        <charset val="134"/>
      </rPr>
      <t>①</t>
    </r>
    <r>
      <rPr>
        <sz val="10"/>
        <rFont val="Arial Narrow"/>
        <family val="2"/>
      </rPr>
      <t>*</t>
    </r>
    <r>
      <rPr>
        <sz val="10"/>
        <rFont val="宋体"/>
        <family val="3"/>
        <charset val="134"/>
      </rPr>
      <t>②</t>
    </r>
    <r>
      <rPr>
        <sz val="10"/>
        <rFont val="Arial Narrow"/>
        <family val="2"/>
      </rPr>
      <t>*90%</t>
    </r>
    <phoneticPr fontId="11" type="noConversion"/>
  </si>
  <si>
    <r>
      <rPr>
        <sz val="10"/>
        <rFont val="宋体"/>
        <family val="3"/>
        <charset val="134"/>
      </rPr>
      <t>⑦</t>
    </r>
    <r>
      <rPr>
        <sz val="10"/>
        <rFont val="Arial Narrow"/>
        <family val="2"/>
      </rPr>
      <t>=</t>
    </r>
    <r>
      <rPr>
        <sz val="10"/>
        <rFont val="宋体"/>
        <family val="3"/>
        <charset val="134"/>
      </rPr>
      <t>①</t>
    </r>
    <r>
      <rPr>
        <sz val="10"/>
        <rFont val="Arial Narrow"/>
        <family val="2"/>
      </rPr>
      <t>*</t>
    </r>
    <r>
      <rPr>
        <sz val="10"/>
        <rFont val="宋体"/>
        <family val="3"/>
        <charset val="134"/>
      </rPr>
      <t>②</t>
    </r>
    <r>
      <rPr>
        <sz val="10"/>
        <rFont val="Arial Narrow"/>
        <family val="2"/>
      </rPr>
      <t>*10%</t>
    </r>
    <phoneticPr fontId="11" type="noConversion"/>
  </si>
  <si>
    <r>
      <rPr>
        <sz val="10"/>
        <rFont val="宋体"/>
        <family val="3"/>
        <charset val="134"/>
      </rPr>
      <t>⑧</t>
    </r>
    <r>
      <rPr>
        <sz val="10"/>
        <rFont val="Arial Narrow"/>
        <family val="2"/>
      </rPr>
      <t>=</t>
    </r>
    <r>
      <rPr>
        <sz val="10"/>
        <rFont val="宋体"/>
        <family val="3"/>
        <charset val="134"/>
      </rPr>
      <t>③</t>
    </r>
    <r>
      <rPr>
        <sz val="10"/>
        <rFont val="Arial Narrow"/>
        <family val="2"/>
      </rPr>
      <t>×</t>
    </r>
    <r>
      <rPr>
        <sz val="10"/>
        <rFont val="宋体"/>
        <family val="3"/>
        <charset val="134"/>
      </rPr>
      <t>①</t>
    </r>
    <phoneticPr fontId="11" type="noConversion"/>
  </si>
  <si>
    <r>
      <rPr>
        <sz val="10"/>
        <rFont val="宋体"/>
        <family val="3"/>
        <charset val="134"/>
      </rPr>
      <t>⑨</t>
    </r>
    <r>
      <rPr>
        <sz val="10"/>
        <rFont val="Arial Narrow"/>
        <family val="2"/>
      </rPr>
      <t>=</t>
    </r>
    <r>
      <rPr>
        <sz val="10"/>
        <rFont val="宋体"/>
        <family val="3"/>
        <charset val="134"/>
      </rPr>
      <t>④</t>
    </r>
    <r>
      <rPr>
        <sz val="10"/>
        <rFont val="Arial Narrow"/>
        <family val="2"/>
      </rPr>
      <t>×</t>
    </r>
    <r>
      <rPr>
        <sz val="10"/>
        <rFont val="宋体"/>
        <family val="3"/>
        <charset val="134"/>
      </rPr>
      <t>①</t>
    </r>
    <phoneticPr fontId="11" type="noConversion"/>
  </si>
  <si>
    <r>
      <rPr>
        <sz val="10"/>
        <rFont val="宋体"/>
        <family val="3"/>
        <charset val="134"/>
      </rPr>
      <t>⑩</t>
    </r>
    <r>
      <rPr>
        <sz val="10"/>
        <rFont val="Arial Narrow"/>
        <family val="2"/>
      </rPr>
      <t>=</t>
    </r>
    <r>
      <rPr>
        <sz val="10"/>
        <rFont val="宋体"/>
        <family val="3"/>
        <charset val="134"/>
      </rPr>
      <t>⑤</t>
    </r>
    <r>
      <rPr>
        <sz val="10"/>
        <rFont val="Arial Narrow"/>
        <family val="2"/>
      </rPr>
      <t>×</t>
    </r>
    <r>
      <rPr>
        <sz val="10"/>
        <rFont val="宋体"/>
        <family val="3"/>
        <charset val="134"/>
      </rPr>
      <t>①</t>
    </r>
    <phoneticPr fontId="11" type="noConversion"/>
  </si>
  <si>
    <r>
      <rPr>
        <sz val="10"/>
        <rFont val="宋体"/>
        <family val="3"/>
        <charset val="134"/>
      </rPr>
      <t>确定联营、合营企业的会计处理是否恰当。</t>
    </r>
    <phoneticPr fontId="11" type="noConversion"/>
  </si>
  <si>
    <r>
      <rPr>
        <b/>
        <sz val="10"/>
        <color indexed="8"/>
        <rFont val="宋体"/>
        <family val="3"/>
        <charset val="134"/>
      </rPr>
      <t>二、审计过程</t>
    </r>
    <phoneticPr fontId="11" type="noConversion"/>
  </si>
  <si>
    <r>
      <rPr>
        <b/>
        <sz val="10"/>
        <rFont val="宋体"/>
        <family val="3"/>
        <charset val="134"/>
      </rPr>
      <t>（一）被投资单位基本情况</t>
    </r>
    <phoneticPr fontId="11" type="noConversion"/>
  </si>
  <si>
    <r>
      <rPr>
        <sz val="10"/>
        <color rgb="FFFF0000"/>
        <rFont val="宋体"/>
        <family val="3"/>
        <charset val="134"/>
      </rPr>
      <t>被投资单位</t>
    </r>
    <r>
      <rPr>
        <sz val="10"/>
        <color rgb="FFFF0000"/>
        <rFont val="Arial Narrow"/>
        <family val="2"/>
      </rPr>
      <t>A</t>
    </r>
    <r>
      <rPr>
        <sz val="10"/>
        <color rgb="FFFF0000"/>
        <rFont val="宋体"/>
        <family val="3"/>
        <charset val="134"/>
      </rPr>
      <t>：</t>
    </r>
    <phoneticPr fontId="11" type="noConversion"/>
  </si>
  <si>
    <r>
      <rPr>
        <b/>
        <sz val="10"/>
        <rFont val="宋体"/>
        <family val="3"/>
        <charset val="134"/>
      </rPr>
      <t>出资单位名称</t>
    </r>
    <phoneticPr fontId="11" type="noConversion"/>
  </si>
  <si>
    <r>
      <rPr>
        <b/>
        <sz val="10"/>
        <rFont val="宋体"/>
        <family val="3"/>
        <charset val="134"/>
      </rPr>
      <t>注册资本</t>
    </r>
    <phoneticPr fontId="11" type="noConversion"/>
  </si>
  <si>
    <r>
      <rPr>
        <b/>
        <sz val="10"/>
        <rFont val="宋体"/>
        <family val="3"/>
        <charset val="134"/>
      </rPr>
      <t>实收资本</t>
    </r>
    <phoneticPr fontId="11" type="noConversion"/>
  </si>
  <si>
    <r>
      <rPr>
        <b/>
        <sz val="10"/>
        <rFont val="宋体"/>
        <family val="3"/>
        <charset val="134"/>
      </rPr>
      <t>期初注册资本</t>
    </r>
    <phoneticPr fontId="11" type="noConversion"/>
  </si>
  <si>
    <r>
      <rPr>
        <b/>
        <sz val="10"/>
        <rFont val="宋体"/>
        <family val="3"/>
        <charset val="134"/>
      </rPr>
      <t>本期增加</t>
    </r>
    <phoneticPr fontId="11" type="noConversion"/>
  </si>
  <si>
    <r>
      <rPr>
        <b/>
        <sz val="10"/>
        <rFont val="宋体"/>
        <family val="3"/>
        <charset val="134"/>
      </rPr>
      <t>本期减少</t>
    </r>
    <phoneticPr fontId="11" type="noConversion"/>
  </si>
  <si>
    <r>
      <rPr>
        <b/>
        <sz val="10"/>
        <rFont val="宋体"/>
        <family val="3"/>
        <charset val="134"/>
      </rPr>
      <t>期末注册资本</t>
    </r>
    <phoneticPr fontId="11" type="noConversion"/>
  </si>
  <si>
    <r>
      <rPr>
        <b/>
        <sz val="10"/>
        <rFont val="宋体"/>
        <family val="3"/>
        <charset val="134"/>
      </rPr>
      <t>期初实收资本
（股本）</t>
    </r>
    <phoneticPr fontId="11" type="noConversion"/>
  </si>
  <si>
    <r>
      <rPr>
        <b/>
        <sz val="10"/>
        <rFont val="宋体"/>
        <family val="3"/>
        <charset val="134"/>
      </rPr>
      <t>期末实收资本
（股本）</t>
    </r>
    <phoneticPr fontId="11" type="noConversion"/>
  </si>
  <si>
    <r>
      <rPr>
        <b/>
        <sz val="10"/>
        <rFont val="宋体"/>
        <family val="3"/>
        <charset val="134"/>
      </rPr>
      <t>测算</t>
    </r>
  </si>
  <si>
    <r>
      <rPr>
        <b/>
        <sz val="10"/>
        <rFont val="宋体"/>
        <family val="3"/>
        <charset val="134"/>
      </rPr>
      <t>已宣告发放的归属于被审计单位单位的股利</t>
    </r>
    <phoneticPr fontId="11" type="noConversion"/>
  </si>
  <si>
    <r>
      <rPr>
        <b/>
        <sz val="10"/>
        <rFont val="宋体"/>
        <family val="3"/>
        <charset val="134"/>
      </rPr>
      <t>账面确认投资收益</t>
    </r>
  </si>
  <si>
    <r>
      <rPr>
        <b/>
        <sz val="10"/>
        <rFont val="宋体"/>
        <family val="3"/>
        <charset val="134"/>
      </rPr>
      <t>差异</t>
    </r>
  </si>
  <si>
    <r>
      <rPr>
        <b/>
        <sz val="10"/>
        <rFont val="宋体"/>
        <family val="3"/>
        <charset val="134"/>
      </rPr>
      <t>账面确认的其他综合收益</t>
    </r>
    <phoneticPr fontId="11" type="noConversion"/>
  </si>
  <si>
    <r>
      <rPr>
        <b/>
        <sz val="10"/>
        <rFont val="宋体"/>
        <family val="3"/>
        <charset val="134"/>
      </rPr>
      <t>账面确认的其他权益变动</t>
    </r>
    <phoneticPr fontId="11" type="noConversion"/>
  </si>
  <si>
    <r>
      <rPr>
        <b/>
        <sz val="10"/>
        <rFont val="宋体"/>
        <family val="3"/>
        <charset val="134"/>
      </rPr>
      <t>①</t>
    </r>
    <phoneticPr fontId="11" type="noConversion"/>
  </si>
  <si>
    <r>
      <rPr>
        <b/>
        <sz val="10"/>
        <rFont val="宋体"/>
        <family val="3"/>
        <charset val="134"/>
      </rPr>
      <t>②</t>
    </r>
  </si>
  <si>
    <r>
      <rPr>
        <b/>
        <sz val="10"/>
        <rFont val="宋体"/>
        <family val="3"/>
        <charset val="134"/>
      </rPr>
      <t>③</t>
    </r>
    <phoneticPr fontId="11" type="noConversion"/>
  </si>
  <si>
    <r>
      <rPr>
        <b/>
        <sz val="10"/>
        <rFont val="宋体"/>
        <family val="3"/>
        <charset val="134"/>
      </rPr>
      <t>④</t>
    </r>
    <phoneticPr fontId="11" type="noConversion"/>
  </si>
  <si>
    <r>
      <rPr>
        <b/>
        <sz val="10"/>
        <rFont val="宋体"/>
        <family val="3"/>
        <charset val="134"/>
      </rPr>
      <t>⑤</t>
    </r>
    <r>
      <rPr>
        <b/>
        <sz val="10"/>
        <rFont val="Arial Narrow"/>
        <family val="2"/>
      </rPr>
      <t>=</t>
    </r>
    <r>
      <rPr>
        <b/>
        <sz val="10"/>
        <rFont val="宋体"/>
        <family val="3"/>
        <charset val="134"/>
      </rPr>
      <t>①</t>
    </r>
    <r>
      <rPr>
        <b/>
        <sz val="10"/>
        <rFont val="Arial Narrow"/>
        <family val="2"/>
      </rPr>
      <t>×</t>
    </r>
    <r>
      <rPr>
        <b/>
        <sz val="10"/>
        <rFont val="宋体"/>
        <family val="3"/>
        <charset val="134"/>
      </rPr>
      <t>②</t>
    </r>
    <phoneticPr fontId="11" type="noConversion"/>
  </si>
  <si>
    <r>
      <rPr>
        <b/>
        <sz val="10"/>
        <rFont val="宋体"/>
        <family val="3"/>
        <charset val="134"/>
      </rPr>
      <t>⑥</t>
    </r>
    <r>
      <rPr>
        <b/>
        <sz val="10"/>
        <rFont val="Arial Narrow"/>
        <family val="2"/>
      </rPr>
      <t>=</t>
    </r>
    <r>
      <rPr>
        <b/>
        <sz val="10"/>
        <rFont val="宋体"/>
        <family val="3"/>
        <charset val="134"/>
      </rPr>
      <t>①</t>
    </r>
    <r>
      <rPr>
        <b/>
        <sz val="10"/>
        <rFont val="Arial Narrow"/>
        <family val="2"/>
      </rPr>
      <t>×</t>
    </r>
    <r>
      <rPr>
        <b/>
        <sz val="10"/>
        <rFont val="宋体"/>
        <family val="3"/>
        <charset val="134"/>
      </rPr>
      <t>③</t>
    </r>
    <phoneticPr fontId="11" type="noConversion"/>
  </si>
  <si>
    <r>
      <rPr>
        <b/>
        <sz val="10"/>
        <rFont val="宋体"/>
        <family val="3"/>
        <charset val="134"/>
      </rPr>
      <t>⑦</t>
    </r>
    <r>
      <rPr>
        <b/>
        <sz val="10"/>
        <rFont val="Arial Narrow"/>
        <family val="2"/>
      </rPr>
      <t>=</t>
    </r>
    <r>
      <rPr>
        <b/>
        <sz val="10"/>
        <rFont val="宋体"/>
        <family val="3"/>
        <charset val="134"/>
      </rPr>
      <t>①</t>
    </r>
    <r>
      <rPr>
        <b/>
        <sz val="10"/>
        <rFont val="Arial Narrow"/>
        <family val="2"/>
      </rPr>
      <t>×</t>
    </r>
    <r>
      <rPr>
        <b/>
        <sz val="10"/>
        <rFont val="宋体"/>
        <family val="3"/>
        <charset val="134"/>
      </rPr>
      <t>④</t>
    </r>
    <phoneticPr fontId="11" type="noConversion"/>
  </si>
  <si>
    <r>
      <rPr>
        <b/>
        <sz val="10"/>
        <rFont val="宋体"/>
        <family val="3"/>
        <charset val="134"/>
      </rPr>
      <t>⑧</t>
    </r>
    <phoneticPr fontId="11" type="noConversion"/>
  </si>
  <si>
    <r>
      <rPr>
        <b/>
        <sz val="10"/>
        <rFont val="宋体"/>
        <family val="3"/>
        <charset val="134"/>
      </rPr>
      <t>⑨</t>
    </r>
    <phoneticPr fontId="11" type="noConversion"/>
  </si>
  <si>
    <r>
      <rPr>
        <b/>
        <sz val="10"/>
        <rFont val="宋体"/>
        <family val="3"/>
        <charset val="134"/>
      </rPr>
      <t>⑩</t>
    </r>
    <r>
      <rPr>
        <b/>
        <sz val="10"/>
        <rFont val="Arial Narrow"/>
        <family val="2"/>
      </rPr>
      <t>=</t>
    </r>
    <r>
      <rPr>
        <b/>
        <sz val="10"/>
        <rFont val="宋体"/>
        <family val="3"/>
        <charset val="134"/>
      </rPr>
      <t>⑨</t>
    </r>
    <r>
      <rPr>
        <b/>
        <sz val="10"/>
        <rFont val="Arial Narrow"/>
        <family val="2"/>
      </rPr>
      <t>-</t>
    </r>
    <r>
      <rPr>
        <b/>
        <sz val="10"/>
        <rFont val="宋体"/>
        <family val="3"/>
        <charset val="134"/>
      </rPr>
      <t>⑤</t>
    </r>
    <r>
      <rPr>
        <b/>
        <sz val="10"/>
        <rFont val="Arial Narrow"/>
        <family val="2"/>
      </rPr>
      <t>+</t>
    </r>
    <r>
      <rPr>
        <b/>
        <sz val="10"/>
        <rFont val="宋体"/>
        <family val="3"/>
        <charset val="134"/>
      </rPr>
      <t>⑧</t>
    </r>
    <phoneticPr fontId="11" type="noConversion"/>
  </si>
  <si>
    <r>
      <rPr>
        <b/>
        <sz val="10"/>
        <rFont val="MS Gothic"/>
        <family val="3"/>
        <charset val="128"/>
      </rPr>
      <t>⑪</t>
    </r>
    <phoneticPr fontId="11" type="noConversion"/>
  </si>
  <si>
    <r>
      <rPr>
        <b/>
        <sz val="10"/>
        <rFont val="MS Gothic"/>
        <family val="3"/>
        <charset val="128"/>
      </rPr>
      <t>⑫</t>
    </r>
    <r>
      <rPr>
        <b/>
        <sz val="10"/>
        <rFont val="Arial Narrow"/>
        <family val="2"/>
      </rPr>
      <t>=</t>
    </r>
    <r>
      <rPr>
        <b/>
        <sz val="10"/>
        <rFont val="MS Gothic"/>
        <family val="3"/>
        <charset val="128"/>
      </rPr>
      <t>⑪</t>
    </r>
    <r>
      <rPr>
        <b/>
        <sz val="10"/>
        <rFont val="Arial Narrow"/>
        <family val="2"/>
      </rPr>
      <t>-</t>
    </r>
    <r>
      <rPr>
        <b/>
        <sz val="10"/>
        <rFont val="宋体"/>
        <family val="3"/>
        <charset val="134"/>
      </rPr>
      <t>⑥</t>
    </r>
    <phoneticPr fontId="11" type="noConversion"/>
  </si>
  <si>
    <r>
      <rPr>
        <b/>
        <sz val="10"/>
        <rFont val="MS Gothic"/>
        <family val="3"/>
        <charset val="128"/>
      </rPr>
      <t>⑬</t>
    </r>
    <phoneticPr fontId="11" type="noConversion"/>
  </si>
  <si>
    <r>
      <rPr>
        <b/>
        <sz val="10"/>
        <rFont val="MS Gothic"/>
        <family val="3"/>
        <charset val="128"/>
      </rPr>
      <t>⑭</t>
    </r>
    <r>
      <rPr>
        <b/>
        <sz val="10"/>
        <rFont val="Arial Narrow"/>
        <family val="2"/>
      </rPr>
      <t>=</t>
    </r>
    <r>
      <rPr>
        <b/>
        <sz val="10"/>
        <rFont val="MS Gothic"/>
        <family val="3"/>
        <charset val="128"/>
      </rPr>
      <t>⑬</t>
    </r>
    <r>
      <rPr>
        <b/>
        <sz val="10"/>
        <rFont val="Arial Narrow"/>
        <family val="2"/>
      </rPr>
      <t>-</t>
    </r>
    <r>
      <rPr>
        <b/>
        <sz val="10"/>
        <rFont val="MS Gothic"/>
        <family val="3"/>
        <charset val="128"/>
      </rPr>
      <t>⑦</t>
    </r>
    <phoneticPr fontId="11" type="noConversion"/>
  </si>
  <si>
    <t>索引号：</t>
    <phoneticPr fontId="11" type="noConversion"/>
  </si>
  <si>
    <t>明细表</t>
    <phoneticPr fontId="11" type="noConversion"/>
  </si>
  <si>
    <t>索引号</t>
    <phoneticPr fontId="11" type="noConversion"/>
  </si>
  <si>
    <t>被投资单位财务信息（合营、联营）</t>
    <phoneticPr fontId="11" type="noConversion"/>
  </si>
  <si>
    <t>子公司后续计量测试表</t>
    <phoneticPr fontId="11" type="noConversion"/>
  </si>
  <si>
    <t>权益法未实现内部交易抵销测算表</t>
  </si>
  <si>
    <t>期末净资产</t>
    <phoneticPr fontId="11" type="noConversion"/>
  </si>
  <si>
    <t>本期净利润</t>
    <phoneticPr fontId="11" type="noConversion"/>
  </si>
  <si>
    <t>注册资本</t>
    <phoneticPr fontId="11" type="noConversion"/>
  </si>
  <si>
    <t>投资额</t>
    <phoneticPr fontId="11" type="noConversion"/>
  </si>
  <si>
    <t>直接或通过其他子公司间接拥有被投资单位半数以上的表决权但未能对其形成控制的原因</t>
    <phoneticPr fontId="11" type="noConversion"/>
  </si>
  <si>
    <t>②联营企业</t>
  </si>
  <si>
    <t>附注披露信息</t>
    <phoneticPr fontId="11" type="noConversion"/>
  </si>
  <si>
    <t>长期股权投资</t>
  </si>
  <si>
    <t>项  目</t>
  </si>
  <si>
    <t>账面价值</t>
  </si>
  <si>
    <t>对联营企业投资</t>
  </si>
  <si>
    <t>合  计</t>
  </si>
  <si>
    <t>被投资单位</t>
  </si>
  <si>
    <t>期初余额</t>
  </si>
  <si>
    <t>本期增加</t>
  </si>
  <si>
    <t>本期减少</t>
  </si>
  <si>
    <t>期末余额</t>
  </si>
  <si>
    <t>本期增减变动</t>
  </si>
  <si>
    <t>减值准备期末余额</t>
  </si>
  <si>
    <t>追加投资</t>
  </si>
  <si>
    <t>减少投资</t>
  </si>
  <si>
    <t>其他权益变动</t>
  </si>
  <si>
    <t>宣告发放现金股利或利润</t>
  </si>
  <si>
    <t>其他</t>
  </si>
  <si>
    <t>①合营企业</t>
  </si>
  <si>
    <t>小计</t>
  </si>
  <si>
    <t>说明：</t>
  </si>
  <si>
    <t>1、在子公司中的权益</t>
  </si>
  <si>
    <t>（1）企业集团的构成</t>
  </si>
  <si>
    <t>子公司名称</t>
  </si>
  <si>
    <t>主要经营地</t>
    <phoneticPr fontId="11" type="noConversion"/>
  </si>
  <si>
    <t>注册地</t>
  </si>
  <si>
    <t>持股比例%</t>
  </si>
  <si>
    <t>取得方式</t>
  </si>
  <si>
    <t>直接</t>
  </si>
  <si>
    <t>间接</t>
  </si>
  <si>
    <r>
      <t>（1）</t>
    </r>
    <r>
      <rPr>
        <sz val="12"/>
        <color rgb="FF0000FF"/>
        <rFont val="仿宋_GB2312"/>
        <family val="3"/>
        <charset val="134"/>
      </rPr>
      <t>子公司的持股比例不同于表决权比例的，应说明表决权比例及差异原因。</t>
    </r>
  </si>
  <si>
    <r>
      <t>（2）</t>
    </r>
    <r>
      <rPr>
        <sz val="12"/>
        <color rgb="FF0000FF"/>
        <rFont val="仿宋_GB2312"/>
        <family val="3"/>
        <charset val="134"/>
      </rPr>
      <t>持有其他主体半数或以下表决权但仍控制该主体、以及公司持有其他主体半数以上表决权但不控制该主体的，公司应披露相关判断和依据。</t>
    </r>
  </si>
  <si>
    <r>
      <t>（3）</t>
    </r>
    <r>
      <rPr>
        <sz val="12"/>
        <color rgb="FF0000FF"/>
        <rFont val="仿宋_GB2312"/>
        <family val="3"/>
        <charset val="134"/>
      </rPr>
      <t>披露确定公司是代理人还是委托人的判断和依据。</t>
    </r>
  </si>
  <si>
    <r>
      <t>（4）</t>
    </r>
    <r>
      <rPr>
        <sz val="12"/>
        <color rgb="FF0000FF"/>
        <rFont val="仿宋_GB2312"/>
        <family val="3"/>
        <charset val="134"/>
      </rPr>
      <t>对于纳入合并范围的重要的结构化主体，应披露控制的相关判断和依据。</t>
    </r>
  </si>
  <si>
    <r>
      <t>【例如资产证券化，公司应根据《信贷资产证券化试点管理办法》和《企业会计准则第</t>
    </r>
    <r>
      <rPr>
        <sz val="12"/>
        <color rgb="FF0000FF"/>
        <rFont val="仿宋_GB2312"/>
        <family val="3"/>
        <charset val="134"/>
      </rPr>
      <t>23号-金融资产转移》，披露金融资产证券化业务的主要交易安排及其会计处理。涉及非金融资产的资产证券化业务，参照《信贷资产证券化试点管理办法》和《企业会计准则第23号-金融资产转移》的有关规定，披露资产证券化业务的主要交易安排及其会计处理。同时，应详细说明资产证券化业务的破产隔离条款。</t>
    </r>
  </si>
  <si>
    <r>
      <t>（本集团于本年度内将一笔金额为人民币</t>
    </r>
    <r>
      <rPr>
        <sz val="12"/>
        <color rgb="FF0000FF"/>
        <rFont val="仿宋_GB2312"/>
        <family val="3"/>
        <charset val="134"/>
      </rPr>
      <t>[X]元（200Y年：人民币[X]元）的应收账款证券化转让给由XX银行设立的XX信托计划。作为转让的一部分，本集团就该笔应收账款的预期损失向信托计划提供信用担保。因此，本集团继续全额确认应收账款的账面金额并将因转让而收取的现金确认为抵押借款。在200X年12月31日，被转让的应收账款账面金额为人民币[X]元（200Y年：人民币[X]元），而相关负债的账面金额为人民币[X]元。）】</t>
    </r>
  </si>
  <si>
    <t>（2）重要的非全资子公司</t>
  </si>
  <si>
    <t>【提示：如果单个非全资子公司的少数股东权益对企业集团而言并不重要，则不需要披露下述信息。】</t>
  </si>
  <si>
    <t>少数股东持股比例%</t>
  </si>
  <si>
    <t>本期归属于少数股东的损益</t>
  </si>
  <si>
    <t>本期向少数股东宣告分派的股利</t>
  </si>
  <si>
    <t>期末少数股东权益余额</t>
  </si>
  <si>
    <r>
      <t>说明：</t>
    </r>
    <r>
      <rPr>
        <sz val="12"/>
        <color rgb="FF0000FF"/>
        <rFont val="仿宋_GB2312"/>
        <family val="3"/>
        <charset val="134"/>
      </rPr>
      <t>持股比例不同于表决权比例的，应说明表决权比例及差异原因</t>
    </r>
  </si>
  <si>
    <r>
      <t>（3）重要非全资子公司的主要财务信息：</t>
    </r>
    <r>
      <rPr>
        <sz val="12"/>
        <color rgb="FF0000FF"/>
        <rFont val="仿宋_GB2312"/>
        <family val="3"/>
        <charset val="134"/>
      </rPr>
      <t>（划分为持有待售的除外）</t>
    </r>
  </si>
  <si>
    <t>续（1）：</t>
  </si>
  <si>
    <t>续（2）：</t>
  </si>
  <si>
    <t>本期发生额</t>
  </si>
  <si>
    <t>上期发生额</t>
  </si>
  <si>
    <t>营业收入</t>
    <phoneticPr fontId="11" type="noConversion"/>
  </si>
  <si>
    <t>营业收入</t>
    <phoneticPr fontId="11" type="noConversion"/>
  </si>
  <si>
    <t>【提示：上述财务数据以合并日子公司可辨认资产和负债的公允价值为基础进行调整；被划分为持有待售资产的，不需要披露该子公司的上述财务信息。】</t>
  </si>
  <si>
    <r>
      <t>（4）使用资产和清偿负债存在的重大限制</t>
    </r>
    <r>
      <rPr>
        <sz val="12"/>
        <color rgb="FF0000FF"/>
        <rFont val="仿宋_GB2312"/>
        <family val="3"/>
        <charset val="134"/>
      </rPr>
      <t>（不适用的删除）</t>
    </r>
  </si>
  <si>
    <t>说明：（1）限制内容，包括对母公司或子公司与集团内其他主体相互转移现金或其他资产的限制，以及对集团内主体之间发放股利或进行利润分配、发放或收回贷款或垫款等的限制；</t>
  </si>
  <si>
    <t>（2）子公司少数股东享有保护性权利，并且该保护性权利对使用集团资产或清偿集团负债的能力存在重大限制的，披露限制的性质和程度；</t>
  </si>
  <si>
    <t>（3）限制涉及的资产和负债在合并财务报表中的金额。</t>
  </si>
  <si>
    <t>（5）向纳入合并财务报表范围的结构化主体提供的财务支持或其他支持</t>
  </si>
  <si>
    <r>
      <t>说明：</t>
    </r>
    <r>
      <rPr>
        <sz val="12"/>
        <color rgb="FF0000FF"/>
        <rFont val="仿宋_GB2312"/>
        <family val="3"/>
        <charset val="134"/>
      </rPr>
      <t>应披露与结构化主体相关的风险信息，向结构化主体提供财务支持或其他支持，包括帮助结构化主体取得财务支持：</t>
    </r>
  </si>
  <si>
    <t>（1）有合同约定的，披露财务支持的合同条款包括可能导致企业承担损失的事项或情况；</t>
  </si>
  <si>
    <t>（2）在没有合同约定的情况下，披露所提供支持的类型、金额及原因，包括帮助该结构化主体获得财务支持的情况。其中，本期对以前未纳入合并财务报表范围的结构化主体提供了财务支持或其他支持并且该支持导致控制了该结构化主体的，披露决定提供支持的相关因素；</t>
  </si>
  <si>
    <t>（3）存在提供支持意图的，披露该意图，包括帮助该结构化主体获得财务支持的意图。</t>
  </si>
  <si>
    <t>（6）在子公司的所有者权益份额发生变化且仍控制子公司的交易</t>
  </si>
  <si>
    <t>（15号文第三十五条，公司在子公司的所有者权益份额发生变化且该变化未影响公司对子公司的控制权的，应披露在子公司所有者权益份额的变化情况、对归属于母公司所有者权益和少数股东权益的影响金额，以及上述金额的计算依据。）</t>
  </si>
  <si>
    <t>①在子公司所有者权益份额发生变化的情况说明：</t>
  </si>
  <si>
    <t>本公司原持有【A公司】90%股权，2012年10月本公司与甲公司签订股权转让协议，约定于2012年12月向甲公司转让A公司20%股权，该股权处置交易未导致本公司丧失对【A公司】的控制权。截至2013年6月30日，股权转让协议已履行完毕，取得交易对价为2600万元，该项交易导致少数股东权益增加2400万元，资本公积增加200万元。</t>
  </si>
  <si>
    <t>②交易对于少数股东权益及归属于母公司所有者权益的影响：</t>
  </si>
  <si>
    <t>购买成本/处置对价：</t>
  </si>
  <si>
    <t>现金</t>
  </si>
  <si>
    <t>非现金资产的公允价值</t>
  </si>
  <si>
    <t>发行或承担的债务的账面价值</t>
  </si>
  <si>
    <t>发行的权益性证券的面值</t>
  </si>
  <si>
    <t>或有对价</t>
  </si>
  <si>
    <t>购买成本/处置对价合计</t>
  </si>
  <si>
    <t>减：按取得/处置的股权比例计算的子公司净资产份额</t>
  </si>
  <si>
    <t>差额</t>
  </si>
  <si>
    <t>其中：调整资本公积</t>
  </si>
  <si>
    <t xml:space="preserve">      调整盈余公积</t>
  </si>
  <si>
    <t xml:space="preserve">      调整未分配利润</t>
  </si>
  <si>
    <t>2、在合营安排或联营企业中的权益</t>
    <phoneticPr fontId="11" type="noConversion"/>
  </si>
  <si>
    <t>（1）重要的合营企业或联营企业</t>
  </si>
  <si>
    <t>合营企业或联营企业名称</t>
  </si>
  <si>
    <t>主要经营地</t>
  </si>
  <si>
    <t>持股比例(%)</t>
  </si>
  <si>
    <t>对合营企业或联营企业投资的会计处理方法</t>
  </si>
  <si>
    <r>
      <t>①</t>
    </r>
    <r>
      <rPr>
        <sz val="12"/>
        <color rgb="FF000000"/>
        <rFont val="仿宋_GB2312"/>
        <family val="3"/>
        <charset val="134"/>
      </rPr>
      <t>合营企业</t>
    </r>
  </si>
  <si>
    <t>（1）持股比例不同于表决权比例的，应说明表决权比例及差异原因。</t>
  </si>
  <si>
    <t>（2）持有其他主体20%以下表决权但具有重大影响，或者持有其他主体20%或以上表决权但不具有重大影响的，应披露相关判断和依据。</t>
  </si>
  <si>
    <r>
      <t>（2）重要合营企业的主要财务信息：</t>
    </r>
    <r>
      <rPr>
        <sz val="12"/>
        <color rgb="FF0000FF"/>
        <rFont val="仿宋_GB2312"/>
        <family val="3"/>
        <charset val="134"/>
      </rPr>
      <t>（划分为持有待售的除外）</t>
    </r>
  </si>
  <si>
    <t>（主要财务信息按照权益法调整后的金额披露；）</t>
  </si>
  <si>
    <t>（“调整事项”包括投资形成的正商誉、抵消的未实现内部交易损益、减值准备等事项；）</t>
  </si>
  <si>
    <t>（如果母公司为投资性主体，无需披露下列财务信息。）</t>
  </si>
  <si>
    <t>项 目</t>
    <phoneticPr fontId="11" type="noConversion"/>
  </si>
  <si>
    <t>其中：现金和现金等价物</t>
  </si>
  <si>
    <t>净资产</t>
  </si>
  <si>
    <t xml:space="preserve">  其中：少数股东权益</t>
  </si>
  <si>
    <t>归属于母公司的所有者权益</t>
    <phoneticPr fontId="11" type="noConversion"/>
  </si>
  <si>
    <t>按持股比例计算的净资产份额</t>
  </si>
  <si>
    <t>调整事项</t>
  </si>
  <si>
    <t xml:space="preserve">  其中：商誉</t>
  </si>
  <si>
    <t xml:space="preserve">   未实现内部交易损益</t>
  </si>
  <si>
    <t xml:space="preserve">   减值准备</t>
  </si>
  <si>
    <t xml:space="preserve">   其他</t>
  </si>
  <si>
    <t xml:space="preserve">对合营企业权益投资的账面价值 </t>
  </si>
  <si>
    <t xml:space="preserve">存在公开报价的权益投资的公允价值 </t>
  </si>
  <si>
    <t>续：</t>
  </si>
  <si>
    <t>财务费用</t>
  </si>
  <si>
    <t>所得税费用</t>
  </si>
  <si>
    <t>终止经营的净利润</t>
  </si>
  <si>
    <t>其他综合收益</t>
  </si>
  <si>
    <t>企业本期收到的来自合营企业的股利</t>
    <phoneticPr fontId="11" type="noConversion"/>
  </si>
  <si>
    <t>（注：存在终止经营的净利润的，还应当在本表中单列项目披露）</t>
  </si>
  <si>
    <r>
      <t>（3）重要联营企业的主要财务信息：</t>
    </r>
    <r>
      <rPr>
        <sz val="12"/>
        <color rgb="FF0000FF"/>
        <rFont val="仿宋_GB2312"/>
        <family val="3"/>
        <charset val="134"/>
      </rPr>
      <t>（持有待售的除外）</t>
    </r>
  </si>
  <si>
    <t>（“调整事项”包括投资形成的正商誉、抵消的未实现内部交易损益 、减值准备等事项；）</t>
  </si>
  <si>
    <t>项 目</t>
  </si>
  <si>
    <t>对联营企业权益投资的账面价值</t>
  </si>
  <si>
    <t>企业本期收到的来自联营企业的股利</t>
    <phoneticPr fontId="11" type="noConversion"/>
  </si>
  <si>
    <t xml:space="preserve">说明： </t>
  </si>
  <si>
    <t>（4）其他不重要合营企业和联营企业的汇总财务信息</t>
  </si>
  <si>
    <t>期末数/本期发生额</t>
  </si>
  <si>
    <t>期初数/上期发生额</t>
  </si>
  <si>
    <t>合营企业：</t>
  </si>
  <si>
    <t>投资账面价值合计</t>
  </si>
  <si>
    <t xml:space="preserve">下列各项按持股比例计算的合计数 </t>
  </si>
  <si>
    <t>联营企业：</t>
  </si>
  <si>
    <r>
      <t xml:space="preserve">① </t>
    </r>
    <r>
      <rPr>
        <sz val="12"/>
        <color rgb="FF0000FF"/>
        <rFont val="仿宋_GB2312"/>
        <family val="3"/>
        <charset val="134"/>
      </rPr>
      <t>（合营企业、联营企业的重要会计政策、会计估计与公司的会计政策、会计估计存在的重大差异说明）</t>
    </r>
  </si>
  <si>
    <r>
      <t>②</t>
    </r>
    <r>
      <rPr>
        <sz val="12"/>
        <color rgb="FF0000FF"/>
        <rFont val="仿宋_GB2312"/>
        <family val="3"/>
        <charset val="134"/>
      </rPr>
      <t>（对合营企业具有共同控制的依据说明）</t>
    </r>
  </si>
  <si>
    <t>【提示：被划分为持有待售资产的，不需要披露合营企业或联营企业的上述财务信息。）】</t>
  </si>
  <si>
    <t>（5）合营企业或联营企业向本公司转移资金的能力存在重大限制的说明：</t>
  </si>
  <si>
    <r>
      <t>（6）对合营企业或联营企业发生超额亏损的分担额</t>
    </r>
    <r>
      <rPr>
        <sz val="12"/>
        <color rgb="FF0000FF"/>
        <rFont val="仿宋_GB2312"/>
        <family val="3"/>
        <charset val="134"/>
      </rPr>
      <t>（不适用的删除）</t>
    </r>
  </si>
  <si>
    <t>前期累积未确认的损失份额</t>
  </si>
  <si>
    <t>本期未确认的损失份额（或本期实现净利润的分享额）</t>
  </si>
  <si>
    <t>本期末累积未确认的损失份额</t>
  </si>
  <si>
    <t>合营企业</t>
    <phoneticPr fontId="11" type="noConversion"/>
  </si>
  <si>
    <t>联营企业</t>
  </si>
  <si>
    <r>
      <t>（7）</t>
    </r>
    <r>
      <rPr>
        <sz val="12"/>
        <color rgb="FF0000FF"/>
        <rFont val="仿宋_GB2312"/>
        <family val="3"/>
        <charset val="134"/>
      </rPr>
      <t>公司应披露与其对合营企业投资相关的未确认承诺，以及与其对合营企业或联营企业投资相关的或有负债。</t>
    </r>
  </si>
  <si>
    <t>（8）重要的共同经营</t>
  </si>
  <si>
    <t>共同经营名称</t>
  </si>
  <si>
    <t>持股比例/享有的份额(%)</t>
  </si>
  <si>
    <r>
      <t xml:space="preserve">① </t>
    </r>
    <r>
      <rPr>
        <sz val="12"/>
        <color rgb="FF0000FF"/>
        <rFont val="仿宋_GB2312"/>
        <family val="3"/>
        <charset val="134"/>
      </rPr>
      <t>持股比例或享有的份额不同于表决权比例的，应说明表决权比例及差异原因。</t>
    </r>
  </si>
  <si>
    <r>
      <t>②</t>
    </r>
    <r>
      <rPr>
        <sz val="12"/>
        <color rgb="FF0000FF"/>
        <rFont val="仿宋_GB2312"/>
        <family val="3"/>
        <charset val="134"/>
      </rPr>
      <t>共同经营为单独主体的，应披露判断为共同经营的依据。</t>
    </r>
  </si>
  <si>
    <t>七、企业合并及合并财务报表</t>
  </si>
  <si>
    <t>（一）本期纳入合并报表范围的子公司基本情况</t>
  </si>
  <si>
    <t>（企业应当按下列格式披露纳入报表合并范围的全部子公司主要情况；大型企业集团合并报表范围可以披露到二级子公司，集团所属重要子公司不分级次全部披露）</t>
  </si>
  <si>
    <t>企业名称</t>
  </si>
  <si>
    <t>级次</t>
  </si>
  <si>
    <t>企业类型</t>
    <phoneticPr fontId="11" type="noConversion"/>
  </si>
  <si>
    <t>主要经营地</t>
    <phoneticPr fontId="11" type="noConversion"/>
  </si>
  <si>
    <t>业务性质</t>
    <phoneticPr fontId="11" type="noConversion"/>
  </si>
  <si>
    <t>实收资本</t>
    <phoneticPr fontId="11" type="noConversion"/>
  </si>
  <si>
    <t>享有的表决权（%）</t>
  </si>
  <si>
    <t>投资额</t>
  </si>
  <si>
    <t>（注：企业类型：1.境内非金融子企业，2.境内金融子企业，3.境外子企业，4.事业单位，5.基建单位；</t>
    <phoneticPr fontId="11" type="noConversion"/>
  </si>
  <si>
    <t>取得方式：1.投资设立，2.同一控制下的企业合并，3.非同一控制下的企业合并，4.其他）</t>
  </si>
  <si>
    <t>（二）母公司拥有被投资单位表决权不足半数但能对被投资单位形成控制的原因</t>
    <phoneticPr fontId="11" type="noConversion"/>
  </si>
  <si>
    <t>序号</t>
  </si>
  <si>
    <t>企业名称</t>
    <phoneticPr fontId="11" type="noConversion"/>
  </si>
  <si>
    <t>享有的表决权</t>
  </si>
  <si>
    <t>注册资本</t>
  </si>
  <si>
    <t>纳入合并范围原因</t>
    <phoneticPr fontId="11" type="noConversion"/>
  </si>
  <si>
    <t>（三）母公司直接或通过其他子公司间接拥有被投资单位半数以上的表决权但未能对其形成控制的原因</t>
    <phoneticPr fontId="11" type="noConversion"/>
  </si>
  <si>
    <t>注册资本</t>
    <phoneticPr fontId="11" type="noConversion"/>
  </si>
  <si>
    <t>未纳入合并范围原因</t>
    <phoneticPr fontId="11" type="noConversion"/>
  </si>
  <si>
    <t>合营企业</t>
    <phoneticPr fontId="11" type="noConversion"/>
  </si>
  <si>
    <t>联营企业</t>
    <phoneticPr fontId="11" type="noConversion"/>
  </si>
  <si>
    <t>其他</t>
    <phoneticPr fontId="11" type="noConversion"/>
  </si>
  <si>
    <t>（四）重要非全资子公司情况</t>
  </si>
  <si>
    <t>少数股东持股比例</t>
    <phoneticPr fontId="11" type="noConversion"/>
  </si>
  <si>
    <t>当期归属于少数股东的损益</t>
    <phoneticPr fontId="11" type="noConversion"/>
  </si>
  <si>
    <t>当期向少数股东支付的股利</t>
    <phoneticPr fontId="11" type="noConversion"/>
  </si>
  <si>
    <t>期末累计少数股东权益</t>
    <phoneticPr fontId="11" type="noConversion"/>
  </si>
  <si>
    <t>公司名称</t>
  </si>
  <si>
    <t>期末净资产</t>
  </si>
  <si>
    <t>本期净利润</t>
  </si>
  <si>
    <t>（1）原子公司的基本情况</t>
  </si>
  <si>
    <t>持股比例（%）</t>
  </si>
  <si>
    <t>表决权比例（%）</t>
  </si>
  <si>
    <t>本期不再成为子公司的原因</t>
    <phoneticPr fontId="11" type="noConversion"/>
  </si>
  <si>
    <t>（2）本期出售的子公司出售日的财务状况</t>
  </si>
  <si>
    <t>（说明出售日的确定方法）</t>
  </si>
  <si>
    <t>公司名称</t>
    <phoneticPr fontId="11" type="noConversion"/>
  </si>
  <si>
    <t>截止日期</t>
  </si>
  <si>
    <t>出售日</t>
  </si>
  <si>
    <t>固定资产</t>
  </si>
  <si>
    <t>无形资产</t>
  </si>
  <si>
    <t>其他非流动资产</t>
  </si>
  <si>
    <t>所有者权益</t>
  </si>
  <si>
    <t>（3）本期出售的子公司出售日的经营成果</t>
  </si>
  <si>
    <t>期间</t>
  </si>
  <si>
    <t>本年年初-出售日</t>
    <phoneticPr fontId="11" type="noConversion"/>
  </si>
  <si>
    <t>上年发生额</t>
  </si>
  <si>
    <t>营业成本</t>
  </si>
  <si>
    <t>期间费用</t>
  </si>
  <si>
    <t>营业利润</t>
  </si>
  <si>
    <t>利润总额</t>
  </si>
  <si>
    <t>【提示：本期因处置部分股权投资或其他原因丧失了对原有子公司控制权的，对于处置后的剩余股权，还应按照《企业会计准则解释第4号》的规定，在附注中披露处置后的剩余股权在丧失控制权日的公允价值、按照公允价值重新计量产生的相关利得或损失的金额，具体披露格式请参考本所“股份公司年审报告模板”】</t>
  </si>
  <si>
    <t>（说明合并日的确定依据、支付的对价及被合并方的账面净资产、并披露被合并方自合并当年年初至合并日的收入、净利润、现金流量等情况。）</t>
  </si>
  <si>
    <t>合并日</t>
  </si>
  <si>
    <t>账面净资产</t>
    <phoneticPr fontId="11" type="noConversion"/>
  </si>
  <si>
    <t>交易对价</t>
  </si>
  <si>
    <t>实际控制人</t>
    <phoneticPr fontId="11" type="noConversion"/>
  </si>
  <si>
    <t>本年初至合并日的相关情况</t>
  </si>
  <si>
    <t>收入</t>
  </si>
  <si>
    <t>现金净增加额</t>
    <phoneticPr fontId="11" type="noConversion"/>
  </si>
  <si>
    <t>经营活动现金流量净额</t>
    <phoneticPr fontId="11" type="noConversion"/>
  </si>
  <si>
    <t>（说明购买日或出售日的确定方法、合并日相关交易公允价值的确定方法、商誉的金额及其计算方法。）</t>
  </si>
  <si>
    <t>金额</t>
  </si>
  <si>
    <t>确定方法</t>
  </si>
  <si>
    <t>（应分别同一控制下和非同一控制下的吸收合并，披露并入的主要资产、负债项目及其金额。）</t>
  </si>
  <si>
    <t>吸收合并的类型</t>
  </si>
  <si>
    <t>并入的主要资产</t>
  </si>
  <si>
    <t>并入的主要负债</t>
  </si>
  <si>
    <t>同一控制下吸收合并</t>
  </si>
  <si>
    <t>非同一控制下吸收合并</t>
  </si>
  <si>
    <r>
      <t>说明：（</t>
    </r>
    <r>
      <rPr>
        <sz val="12"/>
        <color rgb="FF0000FF"/>
        <rFont val="仿宋_GB2312"/>
        <family val="3"/>
        <charset val="134"/>
      </rPr>
      <t>1）限制内容，包括对母公司或子公司与集团内其他主体相互转移现金或其他资产的限制，以及对集团内主体之间发放股利或进行利润分配、发放或收回贷款或垫款等的限制；</t>
    </r>
  </si>
  <si>
    <r>
      <t>（</t>
    </r>
    <r>
      <rPr>
        <sz val="12"/>
        <color rgb="FF0000FF"/>
        <rFont val="仿宋_GB2312"/>
        <family val="3"/>
        <charset val="134"/>
      </rPr>
      <t>2）子公司少数股东享有保护性权利，并且该保护性权利对使用集团资产或清偿集团负债的能力存在重大限制的，披露限制的性质和程度；</t>
    </r>
  </si>
  <si>
    <r>
      <t>（</t>
    </r>
    <r>
      <rPr>
        <sz val="12"/>
        <color rgb="FF0000FF"/>
        <rFont val="仿宋_GB2312"/>
        <family val="3"/>
        <charset val="134"/>
      </rPr>
      <t>3）限制涉及的资产和负债在合并财务报表中的金额。</t>
    </r>
  </si>
  <si>
    <t>应披露与结构化主体相关的风险信息，向结构化主体提供财务支持或其他支持，包括帮助结构化主体取得财务支持：</t>
  </si>
  <si>
    <r>
      <t>（</t>
    </r>
    <r>
      <rPr>
        <sz val="12"/>
        <color rgb="FF0000FF"/>
        <rFont val="仿宋_GB2312"/>
        <family val="3"/>
        <charset val="134"/>
      </rPr>
      <t>1）有合同约定的，披露财务支持的合同条款包括可能导致企业承担损失的事项或情况；</t>
    </r>
  </si>
  <si>
    <r>
      <t>（</t>
    </r>
    <r>
      <rPr>
        <sz val="12"/>
        <color rgb="FF0000FF"/>
        <rFont val="仿宋_GB2312"/>
        <family val="3"/>
        <charset val="134"/>
      </rPr>
      <t>2）在没有合同约定的情况下，披露所提供支持的类型、金额及原因，包括帮助该结构化主体获得财务支持的情况。其中，本期对以前未纳入合并财务报表范围的结构化主体提供了财务支持或其他支持并且该支持导致控制了该结构化主体的，披露决定提供支持的相关因素；</t>
    </r>
  </si>
  <si>
    <r>
      <t>（</t>
    </r>
    <r>
      <rPr>
        <sz val="12"/>
        <color rgb="FF0000FF"/>
        <rFont val="仿宋_GB2312"/>
        <family val="3"/>
        <charset val="134"/>
      </rPr>
      <t>3）存在提供支持意图的，披露该意图，包括帮助该结构化主体获得财务支持的意图。</t>
    </r>
  </si>
  <si>
    <r>
      <t>本公司原持有【</t>
    </r>
    <r>
      <rPr>
        <sz val="12"/>
        <color rgb="FF0000FF"/>
        <rFont val="仿宋_GB2312"/>
        <family val="3"/>
        <charset val="134"/>
      </rPr>
      <t>A公司】90%股权，2012年10月本公司与甲公司签订股权转让协议，约定于2012年12月向甲公司转让A公司20%股权，该股权处置交易未导致本公司丧失对【A公司】的控制权。截至2013年6月30日，股权转让协议已履行完毕，取得交易对价为2600万元，该项交易导致少数股东权益增加2400万元，资本公积增加200万元。</t>
    </r>
  </si>
  <si>
    <t xml:space="preserve">              调整盈余公积</t>
    <phoneticPr fontId="11" type="noConversion"/>
  </si>
  <si>
    <t xml:space="preserve">             调整未分配利润</t>
    <phoneticPr fontId="11" type="noConversion"/>
  </si>
  <si>
    <t>16、长期股权投资</t>
  </si>
  <si>
    <t>年初余额</t>
  </si>
  <si>
    <t>对子公司投资</t>
    <phoneticPr fontId="11" type="noConversion"/>
  </si>
  <si>
    <t>对合营企业投资</t>
    <phoneticPr fontId="11" type="noConversion"/>
  </si>
  <si>
    <t>小  计</t>
  </si>
  <si>
    <t>减：长期股权投资减值准备</t>
  </si>
  <si>
    <t>（3）重要合营企业的主要财务信息（划分为持有待售的除外）</t>
  </si>
  <si>
    <t>项  目</t>
    <phoneticPr fontId="11" type="noConversion"/>
  </si>
  <si>
    <t>企业本期收到的来自合营企业的股利</t>
  </si>
  <si>
    <t>（注：存在终止经营的净利润的，应在本表中单列项目披露）</t>
  </si>
  <si>
    <t>（4）重要联营企业的主要财务信息</t>
  </si>
  <si>
    <t>企业本期收到的来自联营企业的股利</t>
  </si>
  <si>
    <t>（5）不重要合营企业和联营企业的汇总信息</t>
  </si>
  <si>
    <t>上期数</t>
  </si>
  <si>
    <t>① （合营企业、联营企业的重要会计政策、会计估计与公司的会计政策、会计估计存在的重大差异说明）</t>
  </si>
  <si>
    <t>②（对合营企业具有共同控制的依据说明）</t>
  </si>
  <si>
    <t>（6）在合营企业和联营企业中权益的相关风险</t>
  </si>
  <si>
    <r>
      <t>（包括对转移资金能力的重大限制，超额亏</t>
    </r>
    <r>
      <rPr>
        <sz val="12"/>
        <color rgb="FF0000FF"/>
        <rFont val="仿宋_GB2312"/>
        <family val="3"/>
        <charset val="134"/>
      </rPr>
      <t>损，对合营企业投资相关的未确认承诺，或有负债等。）</t>
    </r>
    <phoneticPr fontId="11" type="noConversion"/>
  </si>
  <si>
    <t>①合营企业或联营企业向本公司转移资金的能力存在重大限制的说明：</t>
  </si>
  <si>
    <r>
      <t>②对合营企业或联营企业发生超额亏损的分担额</t>
    </r>
    <r>
      <rPr>
        <sz val="12"/>
        <color rgb="FF0000CC"/>
        <rFont val="仿宋_GB2312"/>
        <family val="3"/>
        <charset val="134"/>
      </rPr>
      <t>（不适用的删除）</t>
    </r>
  </si>
  <si>
    <t>合营企业</t>
  </si>
  <si>
    <t>③公司应披露与其对合营企业投资相关的未确认承诺，以及与其对合营企业或联营企业投资相关的或有负债。</t>
  </si>
  <si>
    <r>
      <t>（1）</t>
    </r>
    <r>
      <rPr>
        <sz val="12"/>
        <color rgb="FF0000FF"/>
        <rFont val="仿宋_GB2312"/>
        <family val="3"/>
        <charset val="134"/>
      </rPr>
      <t>         在子公司所有者权益份额发生变化的情况说明：</t>
    </r>
  </si>
  <si>
    <r>
      <t>（2）</t>
    </r>
    <r>
      <rPr>
        <sz val="12"/>
        <color rgb="FF0000FF"/>
        <rFont val="仿宋_GB2312"/>
        <family val="3"/>
        <charset val="134"/>
      </rPr>
      <t>         交易对于少数股东权益及归属于母公司所有者权益的影响：</t>
    </r>
  </si>
  <si>
    <t>长期股权投资明细表</t>
    <phoneticPr fontId="11" type="noConversion"/>
  </si>
  <si>
    <t>复核人：</t>
    <phoneticPr fontId="11" type="noConversion"/>
  </si>
  <si>
    <t>页次：</t>
    <phoneticPr fontId="11" type="noConversion"/>
  </si>
  <si>
    <t>初始投资成本</t>
  </si>
  <si>
    <t>投资时间</t>
  </si>
  <si>
    <t>投资方式</t>
  </si>
  <si>
    <t>期初调整</t>
    <phoneticPr fontId="11" type="noConversion"/>
  </si>
  <si>
    <t>账项调整</t>
    <phoneticPr fontId="11" type="noConversion"/>
  </si>
  <si>
    <t>重分类调整</t>
    <phoneticPr fontId="11" type="noConversion"/>
  </si>
  <si>
    <t>审定数</t>
    <phoneticPr fontId="11" type="noConversion"/>
  </si>
  <si>
    <t>期初余额</t>
    <phoneticPr fontId="11" type="noConversion"/>
  </si>
  <si>
    <t>本期增加</t>
    <phoneticPr fontId="11" type="noConversion"/>
  </si>
  <si>
    <t>本期减少</t>
    <phoneticPr fontId="11" type="noConversion"/>
  </si>
  <si>
    <t>投资比例</t>
  </si>
  <si>
    <t>金额</t>
    <phoneticPr fontId="11" type="noConversion"/>
  </si>
  <si>
    <t>……</t>
    <phoneticPr fontId="11" type="noConversion"/>
  </si>
  <si>
    <t>成本法小计</t>
    <phoneticPr fontId="11" type="noConversion"/>
  </si>
  <si>
    <t>--</t>
    <phoneticPr fontId="11" type="noConversion"/>
  </si>
  <si>
    <t>（二）按权益法核算的长期股权投资</t>
    <phoneticPr fontId="11" type="noConversion"/>
  </si>
  <si>
    <t>序号</t>
    <phoneticPr fontId="11" type="noConversion"/>
  </si>
  <si>
    <t>投资比例</t>
    <phoneticPr fontId="11" type="noConversion"/>
  </si>
  <si>
    <t>未审数</t>
    <phoneticPr fontId="11" type="noConversion"/>
  </si>
  <si>
    <t>投资成本增加</t>
  </si>
  <si>
    <t>权益增加</t>
    <phoneticPr fontId="11" type="noConversion"/>
  </si>
  <si>
    <t>投资成本减少</t>
  </si>
  <si>
    <t>本期分回利润</t>
  </si>
  <si>
    <t>损益调整</t>
    <phoneticPr fontId="11" type="noConversion"/>
  </si>
  <si>
    <t>其他综合收益</t>
    <phoneticPr fontId="11" type="noConversion"/>
  </si>
  <si>
    <t>其他权益变动</t>
    <phoneticPr fontId="11" type="noConversion"/>
  </si>
  <si>
    <t>权益增加小计</t>
    <phoneticPr fontId="11" type="noConversion"/>
  </si>
  <si>
    <t>合营企业：</t>
    <phoneticPr fontId="11" type="noConversion"/>
  </si>
  <si>
    <t>小计</t>
    <phoneticPr fontId="11" type="noConversion"/>
  </si>
  <si>
    <t>联营企业：</t>
    <phoneticPr fontId="11" type="noConversion"/>
  </si>
  <si>
    <t>权益法小计</t>
    <phoneticPr fontId="11" type="noConversion"/>
  </si>
  <si>
    <t>长期股权投资合计</t>
    <phoneticPr fontId="11" type="noConversion"/>
  </si>
  <si>
    <t>（三）长期股权投资减值准备</t>
    <phoneticPr fontId="11" type="noConversion"/>
  </si>
  <si>
    <t>备注</t>
    <phoneticPr fontId="11" type="noConversion"/>
  </si>
  <si>
    <t>期末余额</t>
    <phoneticPr fontId="11" type="noConversion"/>
  </si>
  <si>
    <r>
      <rPr>
        <b/>
        <sz val="10"/>
        <rFont val="宋体"/>
        <family val="3"/>
        <charset val="134"/>
      </rPr>
      <t>按成本法核算的长期股权投资</t>
    </r>
    <phoneticPr fontId="11" type="noConversion"/>
  </si>
  <si>
    <t>按成本法核算的长期股权投资小计</t>
    <phoneticPr fontId="11" type="noConversion"/>
  </si>
  <si>
    <r>
      <rPr>
        <b/>
        <sz val="10"/>
        <rFont val="宋体"/>
        <family val="3"/>
        <charset val="134"/>
      </rPr>
      <t>按权益法核算的长期股权投资</t>
    </r>
    <phoneticPr fontId="11" type="noConversion"/>
  </si>
  <si>
    <r>
      <t>——</t>
    </r>
    <r>
      <rPr>
        <b/>
        <sz val="10"/>
        <rFont val="宋体"/>
        <family val="3"/>
        <charset val="134"/>
      </rPr>
      <t>合营企业：</t>
    </r>
    <phoneticPr fontId="11" type="noConversion"/>
  </si>
  <si>
    <r>
      <rPr>
        <b/>
        <sz val="10"/>
        <rFont val="宋体"/>
        <family val="3"/>
        <charset val="134"/>
      </rPr>
      <t>合营企业小计</t>
    </r>
    <phoneticPr fontId="11" type="noConversion"/>
  </si>
  <si>
    <r>
      <t>——</t>
    </r>
    <r>
      <rPr>
        <b/>
        <sz val="10"/>
        <rFont val="宋体"/>
        <family val="3"/>
        <charset val="134"/>
      </rPr>
      <t>联营企业</t>
    </r>
    <phoneticPr fontId="11" type="noConversion"/>
  </si>
  <si>
    <r>
      <rPr>
        <b/>
        <sz val="10"/>
        <rFont val="宋体"/>
        <family val="3"/>
        <charset val="134"/>
      </rPr>
      <t>联营企业小计</t>
    </r>
    <phoneticPr fontId="11" type="noConversion"/>
  </si>
  <si>
    <t>按权益法核算的长期股权投资小计</t>
    <phoneticPr fontId="11" type="noConversion"/>
  </si>
  <si>
    <t>减值准备合计</t>
    <phoneticPr fontId="11" type="noConversion"/>
  </si>
  <si>
    <t>长期股权投资净值合计</t>
    <phoneticPr fontId="11" type="noConversion"/>
  </si>
  <si>
    <t>三、审计说明：</t>
    <phoneticPr fontId="11" type="noConversion"/>
  </si>
  <si>
    <r>
      <t>1</t>
    </r>
    <r>
      <rPr>
        <sz val="10"/>
        <rFont val="宋体"/>
        <family val="3"/>
        <charset val="134"/>
      </rPr>
      <t>、</t>
    </r>
    <phoneticPr fontId="11" type="noConversion"/>
  </si>
  <si>
    <r>
      <rPr>
        <sz val="10"/>
        <color rgb="FFFF0000"/>
        <rFont val="宋体"/>
        <family val="3"/>
        <charset val="134"/>
      </rPr>
      <t>长期股权投资存在所有权限制、承诺或留置的情况如下：</t>
    </r>
    <phoneticPr fontId="11" type="noConversion"/>
  </si>
  <si>
    <t>四、审计结论：</t>
    <phoneticPr fontId="11" type="noConversion"/>
  </si>
  <si>
    <r>
      <rPr>
        <i/>
        <sz val="10"/>
        <color indexed="12"/>
        <rFont val="宋体"/>
        <family val="3"/>
        <charset val="134"/>
      </rPr>
      <t>编制说明：</t>
    </r>
    <r>
      <rPr>
        <sz val="10"/>
        <rFont val="Arial Narrow"/>
        <family val="2"/>
      </rPr>
      <t/>
    </r>
    <phoneticPr fontId="11" type="noConversion"/>
  </si>
  <si>
    <r>
      <t>1</t>
    </r>
    <r>
      <rPr>
        <sz val="10"/>
        <color indexed="12"/>
        <rFont val="宋体"/>
        <family val="3"/>
        <charset val="134"/>
      </rPr>
      <t>、投资方式指现金出资、发行权益性证券、投资者投入、非货币性资产交换、债务重组、企业合并等。</t>
    </r>
    <phoneticPr fontId="11" type="noConversion"/>
  </si>
  <si>
    <r>
      <t>2</t>
    </r>
    <r>
      <rPr>
        <sz val="10"/>
        <color indexed="12"/>
        <rFont val="宋体"/>
        <family val="3"/>
        <charset val="134"/>
      </rPr>
      <t>、投资文件指产权登记表、投资协议、出资证明、验资报告等。</t>
    </r>
    <phoneticPr fontId="11" type="noConversion"/>
  </si>
  <si>
    <r>
      <t>3</t>
    </r>
    <r>
      <rPr>
        <sz val="10"/>
        <color indexed="12"/>
        <rFont val="宋体"/>
        <family val="3"/>
        <charset val="134"/>
      </rPr>
      <t>、备注可填写本年新增加、处置投资是否有授权批准、投资文件索引号或其他说明事项。</t>
    </r>
    <phoneticPr fontId="11" type="noConversion"/>
  </si>
  <si>
    <r>
      <rPr>
        <b/>
        <sz val="10"/>
        <rFont val="宋体"/>
        <family val="3"/>
        <charset val="134"/>
      </rPr>
      <t>出售项目</t>
    </r>
    <phoneticPr fontId="11" type="noConversion"/>
  </si>
  <si>
    <r>
      <rPr>
        <b/>
        <sz val="10"/>
        <rFont val="宋体"/>
        <family val="3"/>
        <charset val="134"/>
      </rPr>
      <t>出售方（投资企业）计入的损益科目</t>
    </r>
    <phoneticPr fontId="11" type="noConversion"/>
  </si>
  <si>
    <r>
      <rPr>
        <b/>
        <sz val="10"/>
        <rFont val="宋体"/>
        <family val="3"/>
        <charset val="134"/>
      </rPr>
      <t>购买方（联营或合营企业）计入的资产负债科目</t>
    </r>
    <phoneticPr fontId="11" type="noConversion"/>
  </si>
  <si>
    <r>
      <rPr>
        <b/>
        <sz val="10"/>
        <rFont val="宋体"/>
        <family val="3"/>
        <charset val="134"/>
      </rPr>
      <t>出售期间（年份）</t>
    </r>
    <phoneticPr fontId="11" type="noConversion"/>
  </si>
  <si>
    <r>
      <rPr>
        <b/>
        <sz val="10"/>
        <rFont val="宋体"/>
        <family val="3"/>
        <charset val="134"/>
      </rPr>
      <t>未实现的内部顺流交易应调整的利润</t>
    </r>
    <phoneticPr fontId="11" type="noConversion"/>
  </si>
  <si>
    <r>
      <rPr>
        <b/>
        <sz val="10"/>
        <rFont val="宋体"/>
        <family val="3"/>
        <charset val="134"/>
      </rPr>
      <t>出售方（联营或合营企业）计入的损益科目</t>
    </r>
    <phoneticPr fontId="11" type="noConversion"/>
  </si>
  <si>
    <r>
      <rPr>
        <b/>
        <sz val="10"/>
        <rFont val="宋体"/>
        <family val="3"/>
        <charset val="134"/>
      </rPr>
      <t>购买方（投资企业）计入的资产负债科目</t>
    </r>
    <phoneticPr fontId="11" type="noConversion"/>
  </si>
  <si>
    <r>
      <t>⑧</t>
    </r>
    <r>
      <rPr>
        <b/>
        <sz val="10"/>
        <rFont val="Arial Narrow"/>
        <family val="2"/>
      </rPr>
      <t>=</t>
    </r>
    <r>
      <rPr>
        <b/>
        <sz val="10"/>
        <rFont val="宋体"/>
        <family val="3"/>
        <charset val="134"/>
      </rPr>
      <t>③</t>
    </r>
    <r>
      <rPr>
        <b/>
        <sz val="10"/>
        <rFont val="Arial Narrow"/>
        <family val="2"/>
      </rPr>
      <t>+</t>
    </r>
    <r>
      <rPr>
        <b/>
        <sz val="10"/>
        <rFont val="宋体"/>
        <family val="3"/>
        <charset val="134"/>
      </rPr>
      <t>④</t>
    </r>
    <r>
      <rPr>
        <b/>
        <sz val="10"/>
        <rFont val="Arial Narrow"/>
        <family val="2"/>
      </rPr>
      <t>-</t>
    </r>
    <r>
      <rPr>
        <b/>
        <sz val="10"/>
        <rFont val="宋体"/>
        <family val="3"/>
        <charset val="134"/>
      </rPr>
      <t>（⑥</t>
    </r>
    <r>
      <rPr>
        <b/>
        <sz val="10"/>
        <rFont val="Arial Narrow"/>
        <family val="2"/>
      </rPr>
      <t>-</t>
    </r>
    <r>
      <rPr>
        <b/>
        <sz val="10"/>
        <rFont val="宋体"/>
        <family val="3"/>
        <charset val="134"/>
      </rPr>
      <t>⑤）</t>
    </r>
    <r>
      <rPr>
        <b/>
        <sz val="10"/>
        <rFont val="Arial Narrow"/>
        <family val="2"/>
      </rPr>
      <t>×</t>
    </r>
    <r>
      <rPr>
        <b/>
        <sz val="10"/>
        <rFont val="宋体"/>
        <family val="3"/>
        <charset val="134"/>
      </rPr>
      <t>②</t>
    </r>
    <phoneticPr fontId="11" type="noConversion"/>
  </si>
  <si>
    <r>
      <t>⑨</t>
    </r>
    <r>
      <rPr>
        <b/>
        <sz val="10"/>
        <rFont val="Arial Narrow"/>
        <family val="2"/>
      </rPr>
      <t>=</t>
    </r>
    <r>
      <rPr>
        <b/>
        <sz val="10"/>
        <rFont val="宋体"/>
        <family val="3"/>
        <charset val="134"/>
      </rPr>
      <t>⑦</t>
    </r>
    <r>
      <rPr>
        <b/>
        <sz val="10"/>
        <rFont val="Arial Narrow"/>
        <family val="2"/>
      </rPr>
      <t>+</t>
    </r>
    <r>
      <rPr>
        <b/>
        <sz val="10"/>
        <rFont val="宋体"/>
        <family val="3"/>
        <charset val="134"/>
      </rPr>
      <t>⑧</t>
    </r>
  </si>
  <si>
    <r>
      <rPr>
        <b/>
        <sz val="10"/>
        <rFont val="宋体"/>
        <family val="3"/>
        <charset val="134"/>
      </rPr>
      <t>一、本账户涉及的科目</t>
    </r>
    <phoneticPr fontId="11" type="noConversion"/>
  </si>
  <si>
    <r>
      <rPr>
        <b/>
        <sz val="10"/>
        <rFont val="宋体"/>
        <family val="3"/>
        <charset val="134"/>
      </rPr>
      <t>财务报表的认定　</t>
    </r>
  </si>
  <si>
    <r>
      <rPr>
        <b/>
        <sz val="10"/>
        <rFont val="宋体"/>
        <family val="3"/>
        <charset val="134"/>
      </rPr>
      <t>序号</t>
    </r>
    <phoneticPr fontId="11" type="noConversion"/>
  </si>
  <si>
    <r>
      <rPr>
        <b/>
        <sz val="10"/>
        <rFont val="宋体"/>
        <family val="3"/>
        <charset val="134"/>
      </rPr>
      <t>程序分类</t>
    </r>
    <phoneticPr fontId="11" type="noConversion"/>
  </si>
  <si>
    <t>4</t>
  </si>
  <si>
    <t>5</t>
  </si>
  <si>
    <t>6</t>
  </si>
  <si>
    <t>长期股权投资实质性程序表</t>
    <phoneticPr fontId="6" type="noConversion"/>
  </si>
  <si>
    <t>7</t>
  </si>
  <si>
    <t>长期股权投资实质性程序表</t>
  </si>
  <si>
    <t>编制日期：</t>
    <phoneticPr fontId="11" type="noConversion"/>
  </si>
  <si>
    <t>复核日期：</t>
    <phoneticPr fontId="11" type="noConversion"/>
  </si>
  <si>
    <t>本年年初-出售日</t>
    <phoneticPr fontId="11" type="noConversion"/>
  </si>
  <si>
    <t>本年年初-出售日</t>
    <phoneticPr fontId="11" type="noConversion"/>
  </si>
  <si>
    <t>调整事项说明</t>
    <phoneticPr fontId="11" type="noConversion"/>
  </si>
  <si>
    <t>类别（报表调整/账项调整/其他）</t>
    <phoneticPr fontId="11" type="noConversion"/>
  </si>
  <si>
    <t>科目名称</t>
    <phoneticPr fontId="11" type="noConversion"/>
  </si>
  <si>
    <t>附注项目</t>
    <phoneticPr fontId="11" type="noConversion"/>
  </si>
  <si>
    <t>……</t>
    <phoneticPr fontId="11" type="noConversion"/>
  </si>
  <si>
    <t>借方调整金额</t>
    <phoneticPr fontId="11" type="noConversion"/>
  </si>
  <si>
    <t>贷方调整金额</t>
    <phoneticPr fontId="11" type="noConversion"/>
  </si>
  <si>
    <t>索引</t>
    <phoneticPr fontId="11" type="noConversion"/>
  </si>
  <si>
    <t>备注</t>
    <phoneticPr fontId="11" type="noConversion"/>
  </si>
  <si>
    <t>调整分录汇总</t>
  </si>
  <si>
    <t>试算平衡表数</t>
    <phoneticPr fontId="11" type="noConversion"/>
  </si>
  <si>
    <t>差异数</t>
    <phoneticPr fontId="11" type="noConversion"/>
  </si>
  <si>
    <t>长期股权投资调整分录汇总表</t>
    <phoneticPr fontId="11" type="noConversion"/>
  </si>
  <si>
    <t>长期股权投资分类</t>
    <phoneticPr fontId="11" type="noConversion"/>
  </si>
  <si>
    <t>被审计单位：</t>
    <phoneticPr fontId="11" type="noConversion"/>
  </si>
  <si>
    <t>G7A</t>
  </si>
  <si>
    <t>索引号：</t>
    <phoneticPr fontId="6" type="noConversion"/>
  </si>
  <si>
    <t>索引号：</t>
    <phoneticPr fontId="11" type="noConversion"/>
  </si>
  <si>
    <r>
      <rPr>
        <sz val="10"/>
        <rFont val="宋体"/>
        <family val="3"/>
        <charset val="134"/>
      </rPr>
      <t>企业本期收到的来自合营</t>
    </r>
    <r>
      <rPr>
        <sz val="10"/>
        <rFont val="Arial Narrow"/>
        <family val="2"/>
      </rPr>
      <t>/</t>
    </r>
    <r>
      <rPr>
        <sz val="10"/>
        <rFont val="宋体"/>
        <family val="3"/>
        <charset val="134"/>
      </rPr>
      <t>联营企业的股利</t>
    </r>
    <phoneticPr fontId="11" type="noConversion"/>
  </si>
  <si>
    <t>期初余额（账面价值）</t>
  </si>
  <si>
    <t>期末余额（账面价值）</t>
  </si>
  <si>
    <t>减值准备期初余额</t>
  </si>
  <si>
    <r>
      <t>追加</t>
    </r>
    <r>
      <rPr>
        <b/>
        <sz val="10.5"/>
        <rFont val="Arial Narrow"/>
        <family val="2"/>
      </rPr>
      <t>/</t>
    </r>
    <r>
      <rPr>
        <b/>
        <sz val="10.5"/>
        <rFont val="仿宋_GB2312"/>
        <family val="3"/>
        <charset val="134"/>
      </rPr>
      <t>新增投资</t>
    </r>
  </si>
  <si>
    <t>权益法下</t>
  </si>
  <si>
    <t>确认的</t>
  </si>
  <si>
    <t>投资损益</t>
  </si>
  <si>
    <t>其他综合</t>
  </si>
  <si>
    <t>收益调整</t>
  </si>
  <si>
    <t>计提减值准备</t>
  </si>
  <si>
    <r>
      <t>小</t>
    </r>
    <r>
      <rPr>
        <sz val="10.5"/>
        <rFont val="Arial Narrow"/>
        <family val="2"/>
      </rPr>
      <t xml:space="preserve">  </t>
    </r>
    <r>
      <rPr>
        <sz val="10.5"/>
        <rFont val="仿宋_GB2312"/>
        <family val="3"/>
        <charset val="134"/>
      </rPr>
      <t>计</t>
    </r>
  </si>
  <si>
    <r>
      <t>合</t>
    </r>
    <r>
      <rPr>
        <b/>
        <sz val="10.5"/>
        <rFont val="Arial Narrow"/>
        <family val="2"/>
      </rPr>
      <t xml:space="preserve">  </t>
    </r>
    <r>
      <rPr>
        <b/>
        <sz val="10.5"/>
        <rFont val="仿宋_GB2312"/>
        <family val="3"/>
        <charset val="134"/>
      </rPr>
      <t>计</t>
    </r>
  </si>
  <si>
    <r>
      <t>（长期资产本期进行减值测试的，应披露可收回金额的具体确定方法。可收回金额按公允价值减去处置费用后的净额确定的，应披露公允价值和处置费用的确定方式、关键参数及其确定依据。可收回金额按预计未来现金流量的现值确定的，应披露预测期的年限、预测期及稳定期的关键参数及其确定依据。前述信息与以前年度减值测试采用的信息或外部信息明显不一致的，或公司以前年度减值测试采用信息与当年实际情况明显不一致的，应披露差异原因。（</t>
    </r>
    <r>
      <rPr>
        <sz val="12"/>
        <color rgb="FF0000FF"/>
        <rFont val="Arial Narrow"/>
        <family val="2"/>
      </rPr>
      <t>15</t>
    </r>
    <r>
      <rPr>
        <sz val="12"/>
        <color rgb="FF0000FF"/>
        <rFont val="仿宋_GB2312"/>
        <family val="3"/>
        <charset val="134"/>
      </rPr>
      <t>号文第十九条（十九）））</t>
    </r>
  </si>
  <si>
    <t>实缴持股比例（%）</t>
    <phoneticPr fontId="11" type="noConversion"/>
  </si>
  <si>
    <r>
      <rPr>
        <sz val="12"/>
        <rFont val="宋体"/>
        <family val="3"/>
        <charset val="134"/>
      </rPr>
      <t>认缴持股比例
（</t>
    </r>
    <r>
      <rPr>
        <sz val="12"/>
        <rFont val="Arial Narrow"/>
        <family val="2"/>
      </rPr>
      <t>%</t>
    </r>
    <r>
      <rPr>
        <sz val="12"/>
        <rFont val="宋体"/>
        <family val="3"/>
        <charset val="134"/>
      </rPr>
      <t>）</t>
    </r>
    <phoneticPr fontId="11" type="noConversion"/>
  </si>
  <si>
    <t>（注：子公司的持股比例不同于表决权比例的，应说明表决权比例及差异原因。）</t>
    <phoneticPr fontId="11" type="noConversion"/>
  </si>
  <si>
    <t>（注：级次为在整个中央企业集团内的法人级次）</t>
    <phoneticPr fontId="11" type="noConversion"/>
  </si>
  <si>
    <t>认缴持股
比例（%）</t>
    <phoneticPr fontId="11" type="noConversion"/>
  </si>
  <si>
    <t>认缴持股
比例（%）</t>
    <phoneticPr fontId="11" type="noConversion"/>
  </si>
  <si>
    <r>
      <t>1、</t>
    </r>
    <r>
      <rPr>
        <sz val="12"/>
        <rFont val="仿宋_GB2312"/>
        <family val="3"/>
        <charset val="134"/>
      </rPr>
      <t>少数股东</t>
    </r>
  </si>
  <si>
    <t>2、主要财务信息：</t>
    <phoneticPr fontId="11" type="noConversion"/>
  </si>
  <si>
    <r>
      <t>期末数</t>
    </r>
    <r>
      <rPr>
        <b/>
        <sz val="10.5"/>
        <rFont val="Arial Narrow"/>
        <family val="2"/>
      </rPr>
      <t>/</t>
    </r>
    <r>
      <rPr>
        <b/>
        <sz val="10.5"/>
        <rFont val="仿宋_GB2312"/>
        <family val="3"/>
        <charset val="134"/>
      </rPr>
      <t>本期发生额</t>
    </r>
  </si>
  <si>
    <r>
      <t>期初数</t>
    </r>
    <r>
      <rPr>
        <b/>
        <sz val="10.5"/>
        <rFont val="Arial Narrow"/>
        <family val="2"/>
      </rPr>
      <t>/</t>
    </r>
    <r>
      <rPr>
        <b/>
        <sz val="10.5"/>
        <rFont val="仿宋_GB2312"/>
        <family val="3"/>
        <charset val="134"/>
      </rPr>
      <t>上期发生额</t>
    </r>
  </si>
  <si>
    <r>
      <rPr>
        <sz val="12"/>
        <rFont val="宋体"/>
        <family val="3"/>
        <charset val="134"/>
      </rPr>
      <t>（</t>
    </r>
    <r>
      <rPr>
        <sz val="12"/>
        <rFont val="宋体"/>
        <family val="3"/>
        <charset val="134"/>
      </rPr>
      <t>五</t>
    </r>
    <r>
      <rPr>
        <sz val="12"/>
        <rFont val="宋体"/>
        <family val="3"/>
        <charset val="134"/>
      </rPr>
      <t>）</t>
    </r>
    <r>
      <rPr>
        <sz val="12"/>
        <rFont val="仿宋_GB2312"/>
        <family val="3"/>
        <charset val="134"/>
      </rPr>
      <t>子公司与母公司会计期间不一致的，母公司编制合并财务报表的处理方法</t>
    </r>
    <phoneticPr fontId="11" type="noConversion"/>
  </si>
  <si>
    <t>A公司</t>
    <phoneticPr fontId="11" type="noConversion"/>
  </si>
  <si>
    <t>B公司</t>
    <phoneticPr fontId="11" type="noConversion"/>
  </si>
  <si>
    <t>C公司</t>
    <phoneticPr fontId="11" type="noConversion"/>
  </si>
  <si>
    <t>D公司</t>
    <phoneticPr fontId="11" type="noConversion"/>
  </si>
  <si>
    <t>E公司</t>
    <phoneticPr fontId="11" type="noConversion"/>
  </si>
  <si>
    <r>
      <rPr>
        <sz val="12"/>
        <rFont val="宋体"/>
        <family val="3"/>
        <charset val="134"/>
      </rPr>
      <t>（</t>
    </r>
    <r>
      <rPr>
        <sz val="12"/>
        <rFont val="宋体"/>
        <family val="3"/>
        <charset val="134"/>
      </rPr>
      <t>六</t>
    </r>
    <r>
      <rPr>
        <sz val="12"/>
        <rFont val="宋体"/>
        <family val="3"/>
        <charset val="134"/>
      </rPr>
      <t>）</t>
    </r>
    <r>
      <rPr>
        <sz val="12"/>
        <rFont val="仿宋_GB2312"/>
        <family val="3"/>
        <charset val="134"/>
      </rPr>
      <t>本期不再纳入合并范围的原子公司</t>
    </r>
    <phoneticPr fontId="11" type="noConversion"/>
  </si>
  <si>
    <r>
      <rPr>
        <sz val="12"/>
        <rFont val="宋体"/>
        <family val="3"/>
        <charset val="134"/>
      </rPr>
      <t>（</t>
    </r>
    <r>
      <rPr>
        <sz val="12"/>
        <rFont val="宋体"/>
        <family val="3"/>
        <charset val="134"/>
      </rPr>
      <t>七</t>
    </r>
    <r>
      <rPr>
        <sz val="12"/>
        <rFont val="宋体"/>
        <family val="3"/>
        <charset val="134"/>
      </rPr>
      <t>）</t>
    </r>
    <r>
      <rPr>
        <sz val="12"/>
        <rFont val="仿宋_GB2312"/>
        <family val="3"/>
        <charset val="134"/>
      </rPr>
      <t>本期新纳入合并范围的主体</t>
    </r>
    <phoneticPr fontId="11" type="noConversion"/>
  </si>
  <si>
    <t>（八）本期发生的同一控制下企业合并情况</t>
    <phoneticPr fontId="11" type="noConversion"/>
  </si>
  <si>
    <t>（九）本期发生的非同一控制下企业合并情况</t>
    <phoneticPr fontId="11" type="noConversion"/>
  </si>
  <si>
    <t>被购买方名称</t>
  </si>
  <si>
    <t>购买日</t>
  </si>
  <si>
    <t>购买日的确定依据</t>
  </si>
  <si>
    <t>购买日前持有被购买方权益比例</t>
  </si>
  <si>
    <t>形成合并时持有的被购买方权益比例（不含合并后的股权增减）</t>
  </si>
  <si>
    <t>购买日被购买方</t>
  </si>
  <si>
    <t>形成商誉</t>
  </si>
  <si>
    <t>购买日至期末被购买方的收入</t>
  </si>
  <si>
    <t>购买日至期末被购买方的净利润</t>
  </si>
  <si>
    <t>购买日至期末被购买方的现金流量</t>
  </si>
  <si>
    <t>账面净资产总额</t>
  </si>
  <si>
    <t>可辨认净资产公允价值总额</t>
  </si>
  <si>
    <t>（注：说明企业合并中取得的被购买方的权益比例；购买日的确定依据；或有对价的安排、购买日确认的或有对价的金额及其确定方法和依据，购买日后或有对价的变动及原因，被购买方未达到业绩承诺的，应说明该事项对相关商誉减值测试的影响。分步实现企业合并且在本期取得控制权的交易，应分别说明前期和本期取得股权的时点、成本、比例及方式等。）</t>
    <phoneticPr fontId="11" type="noConversion"/>
  </si>
  <si>
    <t>（十）本期发生的吸收合并</t>
    <phoneticPr fontId="11" type="noConversion"/>
  </si>
  <si>
    <t>（十一）子公司使用企业集团资产和清偿企业集团债务的重大限制 </t>
    <phoneticPr fontId="11" type="noConversion"/>
  </si>
  <si>
    <t>（十二）纳入合并财务报表范围的结构化主体的相关信息</t>
    <phoneticPr fontId="11" type="noConversion"/>
  </si>
  <si>
    <t>（十三）母公司在子公司的所有者权益份额发生变化的情况</t>
    <phoneticPr fontId="11" type="noConversion"/>
  </si>
  <si>
    <r>
      <t>（1）</t>
    </r>
    <r>
      <rPr>
        <sz val="12"/>
        <rFont val="仿宋_GB2312"/>
        <family val="3"/>
        <charset val="134"/>
      </rPr>
      <t>长期股权投资明细</t>
    </r>
  </si>
  <si>
    <t>投资成本</t>
  </si>
  <si>
    <r>
      <t>期初</t>
    </r>
    <r>
      <rPr>
        <b/>
        <sz val="10.5"/>
        <color rgb="FF000000"/>
        <rFont val="仿宋_GB2312"/>
        <family val="3"/>
        <charset val="134"/>
      </rPr>
      <t>余额</t>
    </r>
  </si>
  <si>
    <t>权益法下确认的投资损益</t>
  </si>
  <si>
    <t>其他综合收益调整</t>
  </si>
  <si>
    <t>一、合营企业</t>
  </si>
  <si>
    <t>……</t>
  </si>
  <si>
    <t>二、联营企业</t>
  </si>
  <si>
    <r>
      <t>合</t>
    </r>
    <r>
      <rPr>
        <b/>
        <sz val="10.5"/>
        <color rgb="FF000000"/>
        <rFont val="Arial Narrow"/>
        <family val="2"/>
      </rPr>
      <t xml:space="preserve">  </t>
    </r>
    <r>
      <rPr>
        <b/>
        <sz val="10.5"/>
        <color rgb="FF000000"/>
        <rFont val="仿宋_GB2312"/>
        <family val="3"/>
        <charset val="134"/>
      </rPr>
      <t>计</t>
    </r>
  </si>
  <si>
    <r>
      <t>（注：若对被投资单位持股比例与其在被投资单位表决权比例不一致，应说明原因。可索引至</t>
    </r>
    <r>
      <rPr>
        <sz val="12"/>
        <color rgb="FFFF0000"/>
        <rFont val="仿宋_GB2312"/>
        <family val="3"/>
        <charset val="134"/>
      </rPr>
      <t>附注十一、</t>
    </r>
    <r>
      <rPr>
        <sz val="12"/>
        <color rgb="FFFF0000"/>
        <rFont val="Arial Narrow"/>
        <family val="2"/>
      </rPr>
      <t>3</t>
    </r>
    <r>
      <rPr>
        <sz val="12"/>
        <color rgb="FF0000FF"/>
        <rFont val="仿宋_GB2312"/>
        <family val="3"/>
        <charset val="134"/>
      </rPr>
      <t>）</t>
    </r>
  </si>
  <si>
    <t>【在未纳入合并财务报表范围的结构化主体中有权益的，应披露在财务报表中确认的与权益相关资产和负债的账面价值及其列报项目，最大损失敞口及确认方法，提供财务支持或其他支持的类型金额及原因或意图。</t>
  </si>
  <si>
    <t>发起设立未纳入合并财务报表范围的结构化主体，在该结构化主体中没有权益的，应披露作为该结构化主体发起人的认定依据，分类披露当期从该结构化主体获得的收益及其类型，当期转移至该结构化主体的所有资产的账面价值。】</t>
  </si>
  <si>
    <r>
      <t>①</t>
    </r>
    <r>
      <rPr>
        <sz val="12"/>
        <color rgb="FF0000FF"/>
        <rFont val="仿宋_GB2312"/>
        <family val="3"/>
        <charset val="134"/>
      </rPr>
      <t>未纳入合并范围的结构化主体的基础信息</t>
    </r>
  </si>
  <si>
    <t>（未纳入合并财务报表范围的结构化主体的性质、目的、规模、活动及融资方式。）</t>
  </si>
  <si>
    <r>
      <t>②</t>
    </r>
    <r>
      <rPr>
        <sz val="12"/>
        <color rgb="FF0000FF"/>
        <rFont val="仿宋_GB2312"/>
        <family val="3"/>
        <charset val="134"/>
      </rPr>
      <t>与权益相关资产负债的账面价值和最大损失敞口</t>
    </r>
  </si>
  <si>
    <r>
      <t>A.</t>
    </r>
    <r>
      <rPr>
        <sz val="12"/>
        <color rgb="FF0000FF"/>
        <rFont val="仿宋_GB2312"/>
        <family val="3"/>
        <charset val="134"/>
      </rPr>
      <t>在财务报表中确认的与企业在未纳入合并财务报表范围的结构化主体中权益相关的资产和负债的账面价值及其在资产负债表中的列报项目。</t>
    </r>
  </si>
  <si>
    <r>
      <t>B.</t>
    </r>
    <r>
      <rPr>
        <sz val="12"/>
        <color rgb="FF0000FF"/>
        <rFont val="仿宋_GB2312"/>
        <family val="3"/>
        <charset val="134"/>
      </rPr>
      <t>在未纳入合并财务报表范围的结构化主体中权益的最大损失敞口及其确定方法。企业不能量化最大损失敞口的，应当披露这一事实及其原因。</t>
    </r>
  </si>
  <si>
    <r>
      <t>C.</t>
    </r>
    <r>
      <rPr>
        <sz val="12"/>
        <color rgb="FF0000FF"/>
        <rFont val="仿宋_GB2312"/>
        <family val="3"/>
        <charset val="134"/>
      </rPr>
      <t>在财务报表中确认的与企业在未纳入合并财务报表范围的结构化主体中权益相关的资产和负债的账面价值与其最大损失敞口的比较。</t>
    </r>
  </si>
  <si>
    <t>发起</t>
  </si>
  <si>
    <t>规模</t>
  </si>
  <si>
    <t>列报项目</t>
  </si>
  <si>
    <t>最大损失敞口</t>
  </si>
  <si>
    <t>优先级债券</t>
  </si>
  <si>
    <t>次级债券</t>
  </si>
  <si>
    <t>信用违约互换（负债）</t>
  </si>
  <si>
    <r>
      <t>D.</t>
    </r>
    <r>
      <rPr>
        <sz val="12"/>
        <color rgb="FF0000FF"/>
        <rFont val="仿宋_GB2312"/>
        <family val="3"/>
        <charset val="134"/>
      </rPr>
      <t>为结构化主体的发起人但在结构化主体中没有权益的情况</t>
    </r>
  </si>
  <si>
    <r>
      <t>企业发起设立未纳入合并财务报表范围的结构化主体，但资产负债表日在该结构化主体中没有权益的，应披露相关原因。企业不需要披露上述（</t>
    </r>
    <r>
      <rPr>
        <sz val="12"/>
        <color rgb="FF0000FF"/>
        <rFont val="Arial Narrow"/>
        <family val="2"/>
      </rPr>
      <t>1</t>
    </r>
    <r>
      <rPr>
        <sz val="12"/>
        <color rgb="FF0000FF"/>
        <rFont val="仿宋_GB2312"/>
        <family val="3"/>
        <charset val="134"/>
      </rPr>
      <t>）至（</t>
    </r>
    <r>
      <rPr>
        <sz val="12"/>
        <color rgb="FF0000FF"/>
        <rFont val="Arial Narrow"/>
        <family val="2"/>
      </rPr>
      <t>2</t>
    </r>
    <r>
      <rPr>
        <sz val="12"/>
        <color rgb="FF0000FF"/>
        <rFont val="仿宋_GB2312"/>
        <family val="3"/>
        <charset val="134"/>
      </rPr>
      <t>）项要求的信息，但应当披露：</t>
    </r>
  </si>
  <si>
    <t>企业作为该结构化主体发起人的认定依据；</t>
  </si>
  <si>
    <t>【存在下列情况的，可能说明企业是结构化主体的发起人：</t>
  </si>
  <si>
    <r>
      <t>①</t>
    </r>
    <r>
      <rPr>
        <sz val="12"/>
        <color rgb="FF0000FF"/>
        <rFont val="仿宋_GB2312"/>
        <family val="3"/>
        <charset val="134"/>
      </rPr>
      <t>企业单独创建了结构化主体；</t>
    </r>
  </si>
  <si>
    <r>
      <t>②</t>
    </r>
    <r>
      <rPr>
        <sz val="12"/>
        <color rgb="FF0000FF"/>
        <rFont val="仿宋_GB2312"/>
        <family val="3"/>
        <charset val="134"/>
      </rPr>
      <t>企业参与创建结构化主体，并参与结构化设计的过程；</t>
    </r>
  </si>
  <si>
    <r>
      <t>③</t>
    </r>
    <r>
      <rPr>
        <sz val="12"/>
        <color rgb="FF0000FF"/>
        <rFont val="仿宋_GB2312"/>
        <family val="3"/>
        <charset val="134"/>
      </rPr>
      <t>企业是结构化主体的最主要的服务对象，例如，结构化主体为企业提供资金，或者结构化主体所从事的业务活动是企业主要业务活动的组成部分，企业即使没有发起结构化主体，自身也要开展这些业务活动；</t>
    </r>
  </si>
  <si>
    <r>
      <t>④</t>
    </r>
    <r>
      <rPr>
        <sz val="12"/>
        <color rgb="FF0000FF"/>
        <rFont val="仿宋_GB2312"/>
        <family val="3"/>
        <charset val="134"/>
      </rPr>
      <t>企业的名称出现在结构化主体的名称或结构化主体发行的证券的名称中；</t>
    </r>
  </si>
  <si>
    <r>
      <t>⑤</t>
    </r>
    <r>
      <rPr>
        <sz val="12"/>
        <color rgb="FF0000FF"/>
        <rFont val="仿宋_GB2312"/>
        <family val="3"/>
        <charset val="134"/>
      </rPr>
      <t>其他能够说明企业是结构化主体发起人的情形。】</t>
    </r>
  </si>
  <si>
    <r>
      <t>并分类披露企业当期从该结构化主体获得的收益、收益类型，以及转移至该结构化主体的所有资产在转移时的账面价值。</t>
    </r>
    <r>
      <rPr>
        <sz val="12"/>
        <color rgb="FF0000FF"/>
        <rFont val="Arial Narrow"/>
        <family val="2"/>
      </rPr>
      <t xml:space="preserve"> </t>
    </r>
  </si>
  <si>
    <r>
      <t>本公司发起多个结构化主体，但在结构化中均不持有权益。</t>
    </r>
    <r>
      <rPr>
        <sz val="12"/>
        <color rgb="FF0000FF"/>
        <rFont val="Arial Narrow"/>
        <family val="2"/>
      </rPr>
      <t>2023</t>
    </r>
    <r>
      <rPr>
        <sz val="12"/>
        <color rgb="FF0000FF"/>
        <rFont val="仿宋_GB2312"/>
        <family val="3"/>
        <charset val="134"/>
      </rPr>
      <t>年，本公司从发起的结构化主体获得收益的情况以及当期向结构化主体转移资产的情况如下表所示：</t>
    </r>
  </si>
  <si>
    <t>结构化主体</t>
  </si>
  <si>
    <t>类型</t>
  </si>
  <si>
    <t>当期从结构化主体获得的收益</t>
  </si>
  <si>
    <t>当期向结构化主体转移资产账面价值</t>
  </si>
  <si>
    <t>服务收费</t>
  </si>
  <si>
    <t>向结构化主体出售资产的利得（损失）</t>
  </si>
  <si>
    <t>信用资产证券化</t>
  </si>
  <si>
    <t>投资基金</t>
  </si>
  <si>
    <r>
      <t>③</t>
    </r>
    <r>
      <rPr>
        <sz val="12"/>
        <color rgb="FF0000FF"/>
        <rFont val="仿宋_GB2312"/>
        <family val="3"/>
        <charset val="134"/>
      </rPr>
      <t>向未纳入合并财务报表范围的结构化主体提供支持的情况</t>
    </r>
  </si>
  <si>
    <t>（披露向未纳入合并财务报表范围的结构化主体提供财务支持或其他支持的意图，包括帮助该结构化主体获得财务支持的意图。在没有合同约定的情况下，披露提供支持的类型、金额及原因，包括帮助该结构化主体获得财务支持的情况。）</t>
  </si>
  <si>
    <r>
      <t>④</t>
    </r>
    <r>
      <rPr>
        <sz val="12"/>
        <color rgb="FF0000FF"/>
        <rFont val="仿宋_GB2312"/>
        <family val="3"/>
        <charset val="134"/>
      </rPr>
      <t>未纳入合并财务报表范围的结构化主体的额外信息披露</t>
    </r>
  </si>
  <si>
    <r>
      <t>A.</t>
    </r>
    <r>
      <rPr>
        <sz val="12"/>
        <color rgb="FF0000FF"/>
        <rFont val="仿宋_GB2312"/>
        <family val="3"/>
        <charset val="134"/>
      </rPr>
      <t>合同约定企业在特定情况下需要向未纳入合并财务报表范围的结构化主体提供财务支持或其他支持的，披露相关的合同条款及有关信息。</t>
    </r>
  </si>
  <si>
    <r>
      <t>B.</t>
    </r>
    <r>
      <rPr>
        <sz val="12"/>
        <color rgb="FF0000FF"/>
        <rFont val="仿宋_GB2312"/>
        <family val="3"/>
        <charset val="134"/>
      </rPr>
      <t>因在未纳入合并财务报表范围的结构化主体中持有权益而当期遭受损失的，披露损失的金额，包括计入当期损益的金额和计入其他综合收益的金额。</t>
    </r>
  </si>
  <si>
    <r>
      <t>C.</t>
    </r>
    <r>
      <rPr>
        <sz val="12"/>
        <color rgb="FF0000FF"/>
        <rFont val="仿宋_GB2312"/>
        <family val="3"/>
        <charset val="134"/>
      </rPr>
      <t>因在未纳入合并财务报表范围的结构化主体中持有权益，如果当期取得与该权益相关的收益，披露收益的类型。收益类型包括：服务费；利息收入；利息分配收入；处置债券或股权的收益；以及向结构化主体转移资产取得的收益等。</t>
    </r>
  </si>
  <si>
    <r>
      <t>D.</t>
    </r>
    <r>
      <rPr>
        <sz val="12"/>
        <color rgb="FF0000FF"/>
        <rFont val="仿宋_GB2312"/>
        <family val="3"/>
        <charset val="134"/>
      </rPr>
      <t>在合同约定企业和其他主体需要承担未纳入合并财务报表范围结构化主体的损失的情况下，披露企业和其他主体需要承担损失的最大限额以及承担损失的先后顺序。</t>
    </r>
  </si>
  <si>
    <r>
      <t>E.</t>
    </r>
    <r>
      <rPr>
        <sz val="12"/>
        <color rgb="FF0000FF"/>
        <rFont val="仿宋_GB2312"/>
        <family val="3"/>
        <charset val="134"/>
      </rPr>
      <t>披露第三方提供的、对企业在未纳入合并财务报表范围的结构化主体中权益的公允价值或风险可能产生影响的流动性支持、担保、承诺等。</t>
    </r>
  </si>
  <si>
    <r>
      <t>F.</t>
    </r>
    <r>
      <rPr>
        <sz val="12"/>
        <color rgb="FF0000FF"/>
        <rFont val="仿宋_GB2312"/>
        <family val="3"/>
        <charset val="134"/>
      </rPr>
      <t>披露当期未纳入合并财务报表范围的结构化主体在融资活动中遇到的困难，主要是指债务融资或股权融资遇到的困难。</t>
    </r>
  </si>
  <si>
    <r>
      <t>G.</t>
    </r>
    <r>
      <rPr>
        <sz val="12"/>
        <color rgb="FF0000FF"/>
        <rFont val="仿宋_GB2312"/>
        <family val="3"/>
        <charset val="134"/>
      </rPr>
      <t>披露与未纳入合并财务报表范围的结构化主体融资业务有关的信息，包括融资形式（例如商业票据、中长期票据）及其加权平均期限。当结构化主体投资长期资产但资金来源于短期负债时，分析该结构化主体资产和负债的期限结构，并披露这一情况。）</t>
    </r>
  </si>
  <si>
    <r>
      <t>（7）</t>
    </r>
    <r>
      <rPr>
        <sz val="12"/>
        <rFont val="仿宋_GB2312"/>
        <family val="3"/>
        <charset val="134"/>
      </rPr>
      <t>未纳入合并财务报表范围的结构化主体的相关信息</t>
    </r>
    <phoneticPr fontId="11" type="noConversion"/>
  </si>
  <si>
    <t>无需打印</t>
    <phoneticPr fontId="11" type="noConversion"/>
  </si>
  <si>
    <t>审计目标</t>
    <phoneticPr fontId="11" type="noConversion"/>
  </si>
  <si>
    <t>存在</t>
    <phoneticPr fontId="11" type="noConversion"/>
  </si>
  <si>
    <t>二、审计目标与认定的对应关系</t>
    <phoneticPr fontId="11" type="noConversion"/>
  </si>
  <si>
    <t>长期股权投资、长期股权投资减值准备</t>
    <phoneticPr fontId="6" type="noConversion"/>
  </si>
  <si>
    <t>财务报表的认定</t>
    <phoneticPr fontId="11" type="noConversion"/>
  </si>
  <si>
    <t>底稿索引号</t>
    <phoneticPr fontId="11" type="noConversion"/>
  </si>
  <si>
    <t>存在</t>
    <phoneticPr fontId="11" type="noConversion"/>
  </si>
  <si>
    <t>完整性</t>
    <phoneticPr fontId="11" type="noConversion"/>
  </si>
  <si>
    <t>权利和
义务</t>
    <phoneticPr fontId="11" type="noConversion"/>
  </si>
  <si>
    <t>√</t>
    <phoneticPr fontId="11" type="noConversion"/>
  </si>
  <si>
    <t>1</t>
    <phoneticPr fontId="6" type="noConversion"/>
  </si>
  <si>
    <t>常规★</t>
    <phoneticPr fontId="6" type="noConversion"/>
  </si>
  <si>
    <t>2</t>
    <phoneticPr fontId="11" type="noConversion"/>
  </si>
  <si>
    <t>3</t>
    <phoneticPr fontId="11" type="noConversion"/>
  </si>
  <si>
    <t>了解长期股权投资是否存在所有权限制，承诺或留置。</t>
    <phoneticPr fontId="11" type="noConversion"/>
  </si>
  <si>
    <t>根据评估的舞弊风险等因素增加的审计程序。</t>
    <phoneticPr fontId="11" type="noConversion"/>
  </si>
  <si>
    <t>检查长期股权投资是否已按照企业会计准则的规定在财务报表中作出恰当列报和披露。</t>
    <phoneticPr fontId="11" type="noConversion"/>
  </si>
  <si>
    <t>√</t>
    <phoneticPr fontId="11" type="noConversion"/>
  </si>
  <si>
    <t>取得被投资单位的章程、营业执照、组织机构代码证等资料，根据有关合同和文件，确认长期股权投资的股权比例、表决权等，检查长期股权投资的分类和核算方法是否正确。</t>
    <phoneticPr fontId="11" type="noConversion"/>
  </si>
  <si>
    <t>10</t>
  </si>
  <si>
    <t>对本期发生的长期股权投资的增减变动，检查至支持性文件，综合判断长期股权投资的购买日（或交易日）的认定是否正确，确定其会计处理是否正确，是否被记录在恰当的期间内。</t>
    <phoneticPr fontId="11" type="noConversion"/>
  </si>
  <si>
    <t>备选</t>
    <phoneticPr fontId="11" type="noConversion"/>
  </si>
  <si>
    <t>必要时对被投资单位进行函证确认主要条款（或查询工商存档文件），核实投资是否存在。</t>
    <phoneticPr fontId="11" type="noConversion"/>
  </si>
  <si>
    <t>对于按成本法核算的长期股权投资，检查股利分配的原始凭证及分配决议等资料，确定会计处理是否正确。</t>
    <phoneticPr fontId="11" type="noConversion"/>
  </si>
  <si>
    <t>11</t>
  </si>
  <si>
    <t>12</t>
  </si>
  <si>
    <t>确认长期股权投资会计政策、会计处理是否合理并与前期一致；核对相关资产减值准备本期与以前年度计提方法是否一致，如有差异，查明政策调整的原因，并确定政策改变对本期损益的影响，提请被审计单位做适当披露。</t>
    <phoneticPr fontId="11" type="noConversion"/>
  </si>
  <si>
    <t>三、审计说明</t>
    <phoneticPr fontId="11" type="noConversion"/>
  </si>
  <si>
    <r>
      <rPr>
        <sz val="10"/>
        <color rgb="FF0000FF"/>
        <rFont val="宋体"/>
        <family val="3"/>
        <charset val="134"/>
      </rPr>
      <t>通过多次交易分步实现同一控制下的企业合并，在个别财务报表中，以合并日持股比例计算的合并日应享有被合并方净资产在最终控制方合并财务报表中的账面价值的份额作为该项投资的初始投资成本；初始投资成本与原持有投资的账面价值加上合并日新增投资成本之和的差额，调整资本公积（股本溢价</t>
    </r>
    <r>
      <rPr>
        <sz val="10"/>
        <color rgb="FF0000FF"/>
        <rFont val="Arial Narrow"/>
        <family val="2"/>
      </rPr>
      <t>/</t>
    </r>
    <r>
      <rPr>
        <sz val="10"/>
        <color rgb="FF0000FF"/>
        <rFont val="宋体"/>
        <family val="3"/>
        <charset val="134"/>
      </rPr>
      <t>资本溢价），资本公积不足冲减的，调整留存收益。</t>
    </r>
    <phoneticPr fontId="11" type="noConversion"/>
  </si>
  <si>
    <t>列报</t>
    <phoneticPr fontId="11" type="noConversion"/>
  </si>
  <si>
    <r>
      <t xml:space="preserve">E. </t>
    </r>
    <r>
      <rPr>
        <sz val="10"/>
        <rFont val="宋体"/>
        <family val="3"/>
        <charset val="134"/>
      </rPr>
      <t>长期股权投资已被恰当地汇总或分解且表述清楚，相关披露在按照企业会计准则的编制基础下是相关的、可理解的</t>
    </r>
    <phoneticPr fontId="11" type="noConversion"/>
  </si>
  <si>
    <r>
      <t xml:space="preserve">B. </t>
    </r>
    <r>
      <rPr>
        <sz val="10"/>
        <rFont val="宋体"/>
        <family val="3"/>
        <charset val="134"/>
      </rPr>
      <t>所有应记录的长期股权投资均已记录，所有应当包括在财务报表中的相关披露均已包括</t>
    </r>
    <phoneticPr fontId="11" type="noConversion"/>
  </si>
  <si>
    <r>
      <t xml:space="preserve">A. </t>
    </r>
    <r>
      <rPr>
        <sz val="10"/>
        <rFont val="宋体"/>
        <family val="3"/>
        <charset val="134"/>
      </rPr>
      <t>资产负债表中记录的长期股权投资是存在的，且已记录于恰当的账户</t>
    </r>
    <phoneticPr fontId="11" type="noConversion"/>
  </si>
  <si>
    <t>准确性、计价和分摊</t>
    <phoneticPr fontId="11" type="noConversion"/>
  </si>
  <si>
    <t>8</t>
  </si>
  <si>
    <t>9</t>
  </si>
  <si>
    <t>确定本期按权益法核算的长期股权投资进行正确的核算，考虑以下因素：（1）被投资单位的经营成果、财务状况和资本交易；
（2）被投资单位为符合投资单位的会计政策而作出的任何必要的会计政策调整；
（3）针对被投资单位账面价值、股利分配、收益影响、其他综合收益及其他权益变动的持续调整。</t>
    <phoneticPr fontId="11" type="noConversion"/>
  </si>
  <si>
    <t>确定本期处置的重大股权投资，并执行下列程序： 
（1）检查与股权投资处置相关的合同、发票及其他文件；
（2）重新计算相关的利得或损失；
（3）确定会计处理是否恰当。
对于成本法和权益法相互转换的，检查会计处理是否正确。</t>
    <phoneticPr fontId="11" type="noConversion"/>
  </si>
  <si>
    <r>
      <t>2.</t>
    </r>
    <r>
      <rPr>
        <b/>
        <sz val="10"/>
        <rFont val="宋体"/>
        <family val="3"/>
        <charset val="134"/>
      </rPr>
      <t>多次交易分步处置股权至丧失控制权而减少的子公司</t>
    </r>
    <phoneticPr fontId="11" type="noConversion"/>
  </si>
  <si>
    <t>确定权益法核算的会计处理是否恰当。</t>
    <phoneticPr fontId="11" type="noConversion"/>
  </si>
  <si>
    <t>权益法测算表</t>
    <phoneticPr fontId="11" type="noConversion"/>
  </si>
  <si>
    <t>凭证检查表</t>
    <phoneticPr fontId="11" type="noConversion"/>
  </si>
  <si>
    <t>√</t>
    <phoneticPr fontId="11" type="noConversion"/>
  </si>
  <si>
    <t>1、取得被审计单位投资单位备查明细簿，了解投资单位的基本情况；</t>
    <phoneticPr fontId="11" type="noConversion"/>
  </si>
  <si>
    <t>2、结合以前年度审计情况，了解被审计单位对各投资单位的核算方法。</t>
    <phoneticPr fontId="11" type="noConversion"/>
  </si>
  <si>
    <t>3、结合“子公司初始计量测试”底稿，了解表决权比例不足半数但能对被投资单位形成控制的原因及直接或通过其他子公司间接拥有被投资单位半数以上的表决权但未能对其形成控制的原因</t>
    <phoneticPr fontId="11" type="noConversion"/>
  </si>
  <si>
    <r>
      <rPr>
        <sz val="10"/>
        <rFont val="宋体"/>
        <family val="3"/>
        <charset val="134"/>
      </rPr>
      <t>取得被审计单位联营、合营企业已审计</t>
    </r>
    <r>
      <rPr>
        <sz val="10"/>
        <rFont val="Arial Narrow"/>
        <family val="2"/>
      </rPr>
      <t>/</t>
    </r>
    <r>
      <rPr>
        <sz val="10"/>
        <rFont val="宋体"/>
        <family val="3"/>
        <charset val="134"/>
      </rPr>
      <t>审阅的财务报表；确定被投资单位联营、合营企业的主要财务信息</t>
    </r>
    <phoneticPr fontId="11" type="noConversion"/>
  </si>
  <si>
    <t>1、取得被投资单位会计政策，与被审计单位会计政策进行比对；</t>
    <phoneticPr fontId="11" type="noConversion"/>
  </si>
  <si>
    <t>2、确定被投资单位是否需要为符合投资单位的会计政策而作出的任何必要的会计政策调整。</t>
    <phoneticPr fontId="11" type="noConversion"/>
  </si>
  <si>
    <t>1、检查与长期股权投资相关的原始文件或其他支持文件（股权投资协议及框架协议（如有）、交易双方对于交易事项的审批文件、相关政府机关的批准文件、权利交接手续（特别是董事会改选）、款项的收付凭据）。</t>
    <phoneticPr fontId="11" type="noConversion"/>
  </si>
  <si>
    <r>
      <t>2</t>
    </r>
    <r>
      <rPr>
        <sz val="10"/>
        <rFont val="宋体"/>
        <family val="3"/>
        <charset val="134"/>
      </rPr>
      <t>、综合判断长期股权投资是否满足共同控制</t>
    </r>
    <r>
      <rPr>
        <sz val="10"/>
        <rFont val="Arial Narrow"/>
        <family val="2"/>
      </rPr>
      <t>/</t>
    </r>
    <r>
      <rPr>
        <sz val="10"/>
        <rFont val="宋体"/>
        <family val="3"/>
        <charset val="134"/>
      </rPr>
      <t>重大影响。</t>
    </r>
    <phoneticPr fontId="11" type="noConversion"/>
  </si>
  <si>
    <r>
      <t>3</t>
    </r>
    <r>
      <rPr>
        <sz val="10"/>
        <rFont val="宋体"/>
        <family val="3"/>
        <charset val="134"/>
      </rPr>
      <t>、取得被审计单位管理层对被投资单位可辨认净资产公允价值的认定及依据的中介机构报告。检查被投资单位可辨认净资产公允价值的确认依据是否充分；</t>
    </r>
    <phoneticPr fontId="11" type="noConversion"/>
  </si>
  <si>
    <r>
      <t>4</t>
    </r>
    <r>
      <rPr>
        <sz val="10"/>
        <rFont val="宋体"/>
        <family val="3"/>
        <charset val="134"/>
      </rPr>
      <t>、识别期后发生的长期股权投资的增加，检查至支持性文件，确定是否是被记录在恰当的期间内。</t>
    </r>
    <phoneticPr fontId="11" type="noConversion"/>
  </si>
  <si>
    <t>5、对于不纳入合并范围的被投资单位的预付投资款项或预收处置款项，确认重大条款和金额。</t>
    <phoneticPr fontId="11" type="noConversion"/>
  </si>
  <si>
    <t>1、取得与联营、合营企业发生的内部交易明细，了解内部交易所涉及资产目前状态；</t>
    <phoneticPr fontId="11" type="noConversion"/>
  </si>
  <si>
    <t>2、测算对被投资单位未实现内部交易抵消是否正确，如有，与适当的管理人员沟通并进一步追踪。</t>
    <phoneticPr fontId="11" type="noConversion"/>
  </si>
  <si>
    <t>1、投资企业在对被投资单位的净利润进行调整时，应考虑重要性原则，不具有重要性的项目可不予调整。</t>
    <phoneticPr fontId="11" type="noConversion"/>
  </si>
  <si>
    <r>
      <t>2</t>
    </r>
    <r>
      <rPr>
        <sz val="10"/>
        <color rgb="FF0000FF"/>
        <rFont val="宋体"/>
        <family val="3"/>
        <charset val="134"/>
      </rPr>
      <t>、本表的索引请与</t>
    </r>
    <r>
      <rPr>
        <sz val="10"/>
        <color rgb="FF0000FF"/>
        <rFont val="Arial Narrow"/>
        <family val="2"/>
      </rPr>
      <t>“</t>
    </r>
    <r>
      <rPr>
        <sz val="10"/>
        <color rgb="FF0000FF"/>
        <rFont val="宋体"/>
        <family val="3"/>
        <charset val="134"/>
      </rPr>
      <t>长期股权投资</t>
    </r>
    <r>
      <rPr>
        <sz val="10"/>
        <color rgb="FF0000FF"/>
        <rFont val="Arial Narrow"/>
        <family val="2"/>
      </rPr>
      <t>-</t>
    </r>
    <r>
      <rPr>
        <sz val="10"/>
        <color rgb="FF0000FF"/>
        <rFont val="宋体"/>
        <family val="3"/>
        <charset val="134"/>
      </rPr>
      <t>权益法</t>
    </r>
    <r>
      <rPr>
        <sz val="10"/>
        <color rgb="FF0000FF"/>
        <rFont val="Arial Narrow"/>
        <family val="2"/>
      </rPr>
      <t>-</t>
    </r>
    <r>
      <rPr>
        <sz val="10"/>
        <color rgb="FF0000FF"/>
        <rFont val="宋体"/>
        <family val="3"/>
        <charset val="134"/>
      </rPr>
      <t>合营企业、联营企业</t>
    </r>
    <r>
      <rPr>
        <sz val="10"/>
        <color rgb="FF0000FF"/>
        <rFont val="Arial Narrow"/>
        <family val="2"/>
      </rPr>
      <t xml:space="preserve"> ”</t>
    </r>
    <r>
      <rPr>
        <sz val="10"/>
        <color rgb="FF0000FF"/>
        <rFont val="宋体"/>
        <family val="3"/>
        <charset val="134"/>
      </rPr>
      <t>审核表</t>
    </r>
    <r>
      <rPr>
        <sz val="10"/>
        <color rgb="FF0000FF"/>
        <rFont val="Arial Narrow"/>
        <family val="2"/>
      </rPr>
      <t xml:space="preserve"> </t>
    </r>
    <r>
      <rPr>
        <sz val="10"/>
        <color rgb="FF0000FF"/>
        <rFont val="宋体"/>
        <family val="3"/>
        <charset val="134"/>
      </rPr>
      <t>的索引号做交叉索引。</t>
    </r>
    <phoneticPr fontId="11" type="noConversion"/>
  </si>
  <si>
    <t>1、取得被投资单位财务报表，了解被投资单位的经营情况；</t>
    <phoneticPr fontId="11" type="noConversion"/>
  </si>
  <si>
    <t>2、取得被审计单位未确认投资损失备查簿，测算期末未确认投资损失。</t>
    <phoneticPr fontId="11"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</si>
  <si>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phoneticPr fontId="6" type="noConversion"/>
  </si>
  <si>
    <t>备选</t>
    <phoneticPr fontId="6" type="noConversion"/>
  </si>
  <si>
    <t>√</t>
  </si>
  <si>
    <t>15</t>
  </si>
  <si>
    <t>16</t>
  </si>
  <si>
    <t>常规★</t>
  </si>
  <si>
    <t>13</t>
  </si>
  <si>
    <t>14</t>
  </si>
  <si>
    <t>报表项目</t>
    <phoneticPr fontId="6" type="noConversion"/>
  </si>
  <si>
    <t>公司1</t>
  </si>
  <si>
    <t>被投资单位会计政策</t>
    <phoneticPr fontId="11" type="noConversion"/>
  </si>
  <si>
    <t>收入</t>
    <phoneticPr fontId="11" type="noConversion"/>
  </si>
  <si>
    <t>……</t>
    <phoneticPr fontId="11" type="noConversion"/>
  </si>
  <si>
    <r>
      <t>4</t>
    </r>
    <r>
      <rPr>
        <b/>
        <sz val="10"/>
        <color rgb="FF0000FF"/>
        <rFont val="宋体"/>
        <family val="3"/>
        <charset val="134"/>
      </rPr>
      <t>、通过多次交易分步实现的同一控制下企业合并（不构成一揽子交易）：</t>
    </r>
    <phoneticPr fontId="11" type="noConversion"/>
  </si>
  <si>
    <r>
      <t>3</t>
    </r>
    <r>
      <rPr>
        <b/>
        <sz val="10"/>
        <color rgb="FF0000FF"/>
        <rFont val="宋体"/>
        <family val="3"/>
        <charset val="134"/>
      </rPr>
      <t>、合并方式取得的长期股权投资初始投资成本：</t>
    </r>
    <phoneticPr fontId="11" type="noConversion"/>
  </si>
  <si>
    <r>
      <rPr>
        <b/>
        <sz val="10"/>
        <color rgb="FFFF0000"/>
        <rFont val="宋体"/>
        <family val="3"/>
        <charset val="134"/>
      </rPr>
      <t>公司</t>
    </r>
    <r>
      <rPr>
        <b/>
        <sz val="10"/>
        <color rgb="FFFF0000"/>
        <rFont val="Arial Narrow"/>
        <family val="2"/>
      </rPr>
      <t>2</t>
    </r>
    <phoneticPr fontId="11" type="noConversion"/>
  </si>
  <si>
    <r>
      <t>3</t>
    </r>
    <r>
      <rPr>
        <sz val="10"/>
        <color rgb="FF0000FF"/>
        <rFont val="宋体"/>
        <family val="3"/>
        <charset val="134"/>
      </rPr>
      <t>、合并方式取得的长期股权投资初始投资成本：</t>
    </r>
    <phoneticPr fontId="11" type="noConversion"/>
  </si>
  <si>
    <r>
      <t>4</t>
    </r>
    <r>
      <rPr>
        <sz val="10"/>
        <color rgb="FF0000FF"/>
        <rFont val="宋体"/>
        <family val="3"/>
        <charset val="134"/>
      </rPr>
      <t>、通过多次交易分步实现的非同一控制下企业合并（不构成一揽子交易）</t>
    </r>
    <phoneticPr fontId="11" type="noConversion"/>
  </si>
  <si>
    <t>购买少数股权后长期股权投资账面价值</t>
    <phoneticPr fontId="11" type="noConversion"/>
  </si>
  <si>
    <r>
      <t>1</t>
    </r>
    <r>
      <rPr>
        <b/>
        <sz val="10"/>
        <rFont val="宋体"/>
        <family val="3"/>
        <charset val="134"/>
      </rPr>
      <t>、被投资单位分配股利测算</t>
    </r>
    <phoneticPr fontId="11" type="noConversion"/>
  </si>
  <si>
    <r>
      <t>1.</t>
    </r>
    <r>
      <rPr>
        <b/>
        <sz val="10"/>
        <rFont val="宋体"/>
        <family val="3"/>
        <charset val="134"/>
      </rPr>
      <t>减值迹象</t>
    </r>
    <phoneticPr fontId="11" type="noConversion"/>
  </si>
  <si>
    <r>
      <t>2.</t>
    </r>
    <r>
      <rPr>
        <b/>
        <sz val="10"/>
        <rFont val="宋体"/>
        <family val="3"/>
        <charset val="134"/>
      </rPr>
      <t>利用专家工作</t>
    </r>
    <phoneticPr fontId="11" type="noConversion"/>
  </si>
  <si>
    <r>
      <t>3.</t>
    </r>
    <r>
      <rPr>
        <b/>
        <sz val="10"/>
        <rFont val="宋体"/>
        <family val="3"/>
        <charset val="134"/>
      </rPr>
      <t>减值金额测试</t>
    </r>
    <phoneticPr fontId="11" type="noConversion"/>
  </si>
  <si>
    <t>长期股权投资减值准备计提充分、准确。</t>
    <phoneticPr fontId="11" type="noConversion"/>
  </si>
  <si>
    <t>按持股比例计算的可享有的期末净资产份额</t>
    <phoneticPr fontId="11" type="noConversion"/>
  </si>
  <si>
    <t>被投资单位期末净资产公允价值</t>
    <phoneticPr fontId="11" type="noConversion"/>
  </si>
  <si>
    <t>处置子公司应确认的投资收益</t>
    <phoneticPr fontId="11" type="noConversion"/>
  </si>
  <si>
    <t>丧失控制权之日剩余股权的账面价值</t>
    <phoneticPr fontId="11" type="noConversion"/>
  </si>
  <si>
    <r>
      <rPr>
        <b/>
        <sz val="10"/>
        <rFont val="宋体"/>
        <family val="3"/>
        <charset val="134"/>
      </rPr>
      <t>原子公司投资系联营</t>
    </r>
    <r>
      <rPr>
        <b/>
        <sz val="10"/>
        <rFont val="Arial Narrow"/>
        <family val="2"/>
      </rPr>
      <t>/</t>
    </r>
    <r>
      <rPr>
        <b/>
        <sz val="10"/>
        <rFont val="宋体"/>
        <family val="3"/>
        <charset val="134"/>
      </rPr>
      <t>合营投资追加投资形成，与原联营</t>
    </r>
    <r>
      <rPr>
        <b/>
        <sz val="10"/>
        <rFont val="Arial Narrow"/>
        <family val="2"/>
      </rPr>
      <t>/</t>
    </r>
    <r>
      <rPr>
        <b/>
        <sz val="10"/>
        <rFont val="宋体"/>
        <family val="3"/>
        <charset val="134"/>
      </rPr>
      <t>合营投资有关的可重分类至损益的</t>
    </r>
    <r>
      <rPr>
        <b/>
        <sz val="10"/>
        <rFont val="Arial Narrow"/>
        <family val="2"/>
      </rPr>
      <t>OCI</t>
    </r>
    <r>
      <rPr>
        <b/>
        <sz val="10"/>
        <rFont val="宋体"/>
        <family val="3"/>
        <charset val="134"/>
      </rPr>
      <t>和其他净资产变动</t>
    </r>
    <phoneticPr fontId="11" type="noConversion"/>
  </si>
  <si>
    <t>合并财务报表中与该子公司相关的商誉</t>
    <phoneticPr fontId="11" type="noConversion"/>
  </si>
  <si>
    <r>
      <t>3</t>
    </r>
    <r>
      <rPr>
        <b/>
        <sz val="10"/>
        <rFont val="宋体"/>
        <family val="3"/>
        <charset val="134"/>
      </rPr>
      <t>、单次处置剩余股权为联营、合营时追溯调整为权益法</t>
    </r>
    <phoneticPr fontId="11" type="noConversion"/>
  </si>
  <si>
    <r>
      <t>2.1</t>
    </r>
    <r>
      <rPr>
        <b/>
        <sz val="10"/>
        <rFont val="宋体"/>
        <family val="3"/>
        <charset val="134"/>
      </rPr>
      <t>单体报表</t>
    </r>
    <phoneticPr fontId="11" type="noConversion"/>
  </si>
  <si>
    <r>
      <t>2.2</t>
    </r>
    <r>
      <rPr>
        <b/>
        <sz val="10"/>
        <rFont val="宋体"/>
        <family val="3"/>
        <charset val="134"/>
      </rPr>
      <t>合并报表</t>
    </r>
    <phoneticPr fontId="11" type="noConversion"/>
  </si>
  <si>
    <r>
      <t>2.3</t>
    </r>
    <r>
      <rPr>
        <b/>
        <sz val="10"/>
        <rFont val="宋体"/>
        <family val="3"/>
        <charset val="134"/>
      </rPr>
      <t>剩余股权为联营、合营时追溯调整为权益法</t>
    </r>
    <phoneticPr fontId="11" type="noConversion"/>
  </si>
  <si>
    <t>原持有的对被投资单位的股权投资（不具有控制、共同控制或重大影响的），按照金融工具确认和计量准则进行会计处理的，因追加投资等原因导致持股比例上升，能够对被投资单位施加共同控制或重大影响的，在转按权益法核算时，投资方应当按照金融工具确认和计量准则确定的原股权投资的公允价值加上为取得新增投资而应支付对价的公允价值，作为改按权益法核算的初始投资成本。原持有的股权投资分类为可供出售金融资产的，其公允价值与账面价值之间的差额，以及原计入其他综合收益的累计公允价值变动应当转入改按权益法核算的当期损益。然后，比较上述计算所得的初始投资成本，与按照追加投资后全新的持股比例计算确定的应享有被投资单位在追加投资日可辨认净资产公允价值份额之间的差额，前者大于后者的，不调整长期股权投资的账面价值；前者小于后者的，差额应调整长期股权投资的账面价值，并计入当期营业外收入。</t>
    <phoneticPr fontId="11" type="noConversion"/>
  </si>
  <si>
    <t>提示：</t>
    <phoneticPr fontId="11" type="noConversion"/>
  </si>
  <si>
    <r>
      <t>2</t>
    </r>
    <r>
      <rPr>
        <sz val="10"/>
        <rFont val="宋体"/>
        <family val="3"/>
        <charset val="134"/>
      </rPr>
      <t>、</t>
    </r>
    <r>
      <rPr>
        <sz val="10"/>
        <color rgb="FF0000FF"/>
        <rFont val="宋体"/>
        <family val="3"/>
        <charset val="134"/>
      </rPr>
      <t>原持有的对被投资单位不具有控制、共同控制或重大影响的金融资产，因追加投资导致持股比例上升</t>
    </r>
    <r>
      <rPr>
        <sz val="10"/>
        <color rgb="FF0000FF"/>
        <rFont val="Arial Narrow"/>
        <family val="2"/>
      </rPr>
      <t>,</t>
    </r>
    <r>
      <rPr>
        <sz val="10"/>
        <color rgb="FF0000FF"/>
        <rFont val="宋体"/>
        <family val="3"/>
        <charset val="134"/>
      </rPr>
      <t>能够对被投资单位施加重大影响或是实施共同控制的</t>
    </r>
    <r>
      <rPr>
        <sz val="10"/>
        <color rgb="FF0000FF"/>
        <rFont val="Arial Narrow"/>
        <family val="2"/>
      </rPr>
      <t>,</t>
    </r>
    <r>
      <rPr>
        <sz val="10"/>
        <color rgb="FF0000FF"/>
        <rFont val="宋体"/>
        <family val="3"/>
        <charset val="134"/>
      </rPr>
      <t>长期股权投资账面价值合计</t>
    </r>
    <r>
      <rPr>
        <sz val="10"/>
        <rFont val="宋体"/>
        <family val="3"/>
        <charset val="134"/>
      </rPr>
      <t>：</t>
    </r>
    <phoneticPr fontId="11" type="noConversion"/>
  </si>
  <si>
    <r>
      <t>3</t>
    </r>
    <r>
      <rPr>
        <sz val="10"/>
        <color rgb="FF0000FF"/>
        <rFont val="宋体"/>
        <family val="3"/>
        <charset val="134"/>
      </rPr>
      <t>、主动增资：投资单位对联营企业的持股比例增加，但被投资单位仍然是投资单位的联营企业或合营企业时，长期股权投资账面价值合计：</t>
    </r>
    <phoneticPr fontId="11" type="noConversion"/>
  </si>
  <si>
    <r>
      <rPr>
        <b/>
        <sz val="10"/>
        <rFont val="宋体"/>
        <family val="3"/>
        <charset val="134"/>
      </rPr>
      <t>确认本次投资的投资成本（</t>
    </r>
    <r>
      <rPr>
        <b/>
        <sz val="10"/>
        <rFont val="Arial Narrow"/>
        <family val="2"/>
      </rPr>
      <t>G</t>
    </r>
    <r>
      <rPr>
        <b/>
        <sz val="10"/>
        <rFont val="宋体"/>
        <family val="3"/>
        <charset val="134"/>
      </rPr>
      <t>）</t>
    </r>
    <r>
      <rPr>
        <b/>
        <sz val="10"/>
        <rFont val="Arial Narrow"/>
        <family val="2"/>
      </rPr>
      <t xml:space="preserve"> </t>
    </r>
    <r>
      <rPr>
        <b/>
        <sz val="10"/>
        <rFont val="宋体"/>
        <family val="3"/>
        <charset val="134"/>
      </rPr>
      <t/>
    </r>
    <phoneticPr fontId="11" type="noConversion"/>
  </si>
  <si>
    <r>
      <rPr>
        <b/>
        <sz val="10"/>
        <rFont val="宋体"/>
        <family val="3"/>
        <charset val="134"/>
      </rPr>
      <t>计入营业外收入金额（</t>
    </r>
    <r>
      <rPr>
        <b/>
        <sz val="10"/>
        <rFont val="Arial Narrow"/>
        <family val="2"/>
      </rPr>
      <t>H</t>
    </r>
    <r>
      <rPr>
        <b/>
        <sz val="10"/>
        <rFont val="宋体"/>
        <family val="3"/>
        <charset val="134"/>
      </rPr>
      <t>）</t>
    </r>
    <phoneticPr fontId="11" type="noConversion"/>
  </si>
  <si>
    <r>
      <rPr>
        <b/>
        <sz val="10"/>
        <rFont val="宋体"/>
        <family val="3"/>
        <charset val="134"/>
      </rPr>
      <t>新增投资与应享有的被投资单位可辨认净资产公允价值份额的差额（</t>
    </r>
    <r>
      <rPr>
        <b/>
        <sz val="10"/>
        <rFont val="Arial Narrow"/>
        <family val="2"/>
      </rPr>
      <t>D</t>
    </r>
    <r>
      <rPr>
        <b/>
        <sz val="10"/>
        <rFont val="宋体"/>
        <family val="3"/>
        <charset val="134"/>
      </rPr>
      <t>）</t>
    </r>
    <r>
      <rPr>
        <b/>
        <sz val="10"/>
        <rFont val="Arial Narrow"/>
        <family val="2"/>
      </rPr>
      <t>=A-B*C</t>
    </r>
    <phoneticPr fontId="11" type="noConversion"/>
  </si>
  <si>
    <r>
      <rPr>
        <b/>
        <sz val="10"/>
        <rFont val="宋体"/>
        <family val="3"/>
        <charset val="134"/>
      </rPr>
      <t>确认本次投资的投资成本（</t>
    </r>
    <r>
      <rPr>
        <b/>
        <sz val="10"/>
        <rFont val="Arial Narrow"/>
        <family val="2"/>
      </rPr>
      <t>E</t>
    </r>
    <r>
      <rPr>
        <b/>
        <sz val="10"/>
        <rFont val="宋体"/>
        <family val="3"/>
        <charset val="134"/>
      </rPr>
      <t>）</t>
    </r>
    <r>
      <rPr>
        <b/>
        <sz val="10"/>
        <rFont val="Arial Narrow"/>
        <family val="2"/>
      </rPr>
      <t xml:space="preserve"> </t>
    </r>
    <r>
      <rPr>
        <b/>
        <sz val="10"/>
        <rFont val="宋体"/>
        <family val="3"/>
        <charset val="134"/>
      </rPr>
      <t/>
    </r>
    <phoneticPr fontId="11" type="noConversion"/>
  </si>
  <si>
    <r>
      <rPr>
        <b/>
        <sz val="10"/>
        <rFont val="宋体"/>
        <family val="3"/>
        <charset val="134"/>
      </rPr>
      <t>计入营业外收入金额（</t>
    </r>
    <r>
      <rPr>
        <b/>
        <sz val="10"/>
        <rFont val="Arial Narrow"/>
        <family val="2"/>
      </rPr>
      <t>F</t>
    </r>
    <r>
      <rPr>
        <b/>
        <sz val="10"/>
        <rFont val="宋体"/>
        <family val="3"/>
        <charset val="134"/>
      </rPr>
      <t>）</t>
    </r>
    <phoneticPr fontId="11" type="noConversion"/>
  </si>
  <si>
    <r>
      <rPr>
        <b/>
        <sz val="10"/>
        <rFont val="宋体"/>
        <family val="3"/>
        <charset val="134"/>
      </rPr>
      <t>确认本次投资的投资成本（</t>
    </r>
    <r>
      <rPr>
        <b/>
        <sz val="10"/>
        <rFont val="Arial Narrow"/>
        <family val="2"/>
      </rPr>
      <t>H</t>
    </r>
    <r>
      <rPr>
        <b/>
        <sz val="10"/>
        <rFont val="宋体"/>
        <family val="3"/>
        <charset val="134"/>
      </rPr>
      <t>）</t>
    </r>
    <r>
      <rPr>
        <b/>
        <sz val="10"/>
        <rFont val="Arial Narrow"/>
        <family val="2"/>
      </rPr>
      <t xml:space="preserve"> </t>
    </r>
    <r>
      <rPr>
        <b/>
        <sz val="10"/>
        <rFont val="宋体"/>
        <family val="3"/>
        <charset val="134"/>
      </rPr>
      <t/>
    </r>
    <phoneticPr fontId="11" type="noConversion"/>
  </si>
  <si>
    <r>
      <rPr>
        <b/>
        <sz val="10"/>
        <rFont val="宋体"/>
        <family val="3"/>
        <charset val="134"/>
      </rPr>
      <t>计入营业外收入金额（</t>
    </r>
    <r>
      <rPr>
        <b/>
        <sz val="10"/>
        <rFont val="Arial Narrow"/>
        <family val="2"/>
      </rPr>
      <t>I</t>
    </r>
    <r>
      <rPr>
        <b/>
        <sz val="10"/>
        <rFont val="宋体"/>
        <family val="3"/>
        <charset val="134"/>
      </rPr>
      <t>）</t>
    </r>
    <phoneticPr fontId="11" type="noConversion"/>
  </si>
  <si>
    <r>
      <t>3.</t>
    </r>
    <r>
      <rPr>
        <sz val="10"/>
        <rFont val="宋体"/>
        <family val="3"/>
        <charset val="134"/>
      </rPr>
      <t>取得投资时点往往与评估报告基准日有时间差，需要根据评估报告基准日公允价值调整取得时点时账面价值</t>
    </r>
    <phoneticPr fontId="11" type="noConversion"/>
  </si>
  <si>
    <r>
      <t>1.</t>
    </r>
    <r>
      <rPr>
        <sz val="10"/>
        <rFont val="宋体"/>
        <family val="3"/>
        <charset val="134"/>
      </rPr>
      <t>取得投资时公允价值依据是</t>
    </r>
    <r>
      <rPr>
        <sz val="10"/>
        <rFont val="Arial Narrow"/>
        <family val="2"/>
      </rPr>
      <t>________________________________________________</t>
    </r>
    <r>
      <rPr>
        <sz val="10"/>
        <rFont val="宋体"/>
        <family val="3"/>
        <charset val="134"/>
      </rPr>
      <t>报告</t>
    </r>
    <phoneticPr fontId="11" type="noConversion"/>
  </si>
  <si>
    <r>
      <t>2.</t>
    </r>
    <r>
      <rPr>
        <sz val="10"/>
        <rFont val="宋体"/>
        <family val="3"/>
        <charset val="134"/>
      </rPr>
      <t>取得投资时账面价值与公允价值的差异在取得投资后期间内的调整系依据</t>
    </r>
    <r>
      <rPr>
        <sz val="10"/>
        <rFont val="Arial Narrow"/>
        <family val="2"/>
      </rPr>
      <t>__________________________________________________</t>
    </r>
    <r>
      <rPr>
        <sz val="10"/>
        <rFont val="宋体"/>
        <family val="3"/>
        <charset val="134"/>
      </rPr>
      <t>规定</t>
    </r>
    <phoneticPr fontId="11" type="noConversion"/>
  </si>
  <si>
    <t>长期股权投资凭证检查表</t>
    <phoneticPr fontId="11" type="noConversion"/>
  </si>
  <si>
    <r>
      <rPr>
        <b/>
        <sz val="10"/>
        <rFont val="宋体"/>
        <family val="3"/>
        <charset val="134"/>
      </rPr>
      <t>投资成本</t>
    </r>
  </si>
  <si>
    <r>
      <rPr>
        <b/>
        <sz val="10"/>
        <rFont val="宋体"/>
        <family val="3"/>
        <charset val="134"/>
      </rPr>
      <t>损益调整</t>
    </r>
  </si>
  <si>
    <r>
      <rPr>
        <b/>
        <sz val="10"/>
        <rFont val="宋体"/>
        <family val="3"/>
        <charset val="134"/>
      </rPr>
      <t>期初余额</t>
    </r>
  </si>
  <si>
    <r>
      <rPr>
        <b/>
        <sz val="10"/>
        <rFont val="宋体"/>
        <family val="3"/>
        <charset val="134"/>
      </rPr>
      <t>期末余额</t>
    </r>
  </si>
  <si>
    <r>
      <rPr>
        <b/>
        <sz val="10"/>
        <rFont val="宋体"/>
        <family val="3"/>
        <charset val="134"/>
      </rPr>
      <t>本期增减（</t>
    </r>
    <r>
      <rPr>
        <b/>
        <sz val="10"/>
        <rFont val="Arial Narrow"/>
        <family val="2"/>
      </rPr>
      <t>+/-</t>
    </r>
    <r>
      <rPr>
        <b/>
        <sz val="10"/>
        <rFont val="宋体"/>
        <family val="3"/>
        <charset val="134"/>
      </rPr>
      <t>）金额</t>
    </r>
    <phoneticPr fontId="11" type="noConversion"/>
  </si>
  <si>
    <r>
      <rPr>
        <b/>
        <sz val="10"/>
        <rFont val="宋体"/>
        <family val="3"/>
        <charset val="134"/>
      </rPr>
      <t>被投资单位</t>
    </r>
    <phoneticPr fontId="11" type="noConversion"/>
  </si>
  <si>
    <r>
      <rPr>
        <b/>
        <sz val="10"/>
        <rFont val="宋体"/>
        <family val="3"/>
        <charset val="134"/>
      </rPr>
      <t>持股比例</t>
    </r>
    <phoneticPr fontId="11" type="noConversion"/>
  </si>
  <si>
    <r>
      <rPr>
        <b/>
        <sz val="10"/>
        <rFont val="宋体"/>
        <family val="3"/>
        <charset val="134"/>
      </rPr>
      <t>其他综合收益</t>
    </r>
    <phoneticPr fontId="11" type="noConversion"/>
  </si>
  <si>
    <r>
      <rPr>
        <b/>
        <sz val="10"/>
        <rFont val="宋体"/>
        <family val="3"/>
        <charset val="134"/>
      </rPr>
      <t>其他权益变动</t>
    </r>
    <phoneticPr fontId="11" type="noConversion"/>
  </si>
  <si>
    <r>
      <rPr>
        <b/>
        <sz val="10"/>
        <rFont val="宋体"/>
        <family val="3"/>
        <charset val="134"/>
      </rPr>
      <t>本期增减（</t>
    </r>
    <r>
      <rPr>
        <b/>
        <sz val="10"/>
        <rFont val="Arial Narrow"/>
        <family val="2"/>
      </rPr>
      <t>+/-</t>
    </r>
    <r>
      <rPr>
        <b/>
        <sz val="10"/>
        <rFont val="宋体"/>
        <family val="3"/>
        <charset val="134"/>
      </rPr>
      <t>）金额</t>
    </r>
    <phoneticPr fontId="11" type="noConversion"/>
  </si>
  <si>
    <t>经审计的被投资单位净资产</t>
    <phoneticPr fontId="11" type="noConversion"/>
  </si>
  <si>
    <t>按股权比例计算享有被投资单位净资产</t>
    <phoneticPr fontId="11" type="noConversion"/>
  </si>
  <si>
    <r>
      <rPr>
        <b/>
        <sz val="10"/>
        <rFont val="宋体"/>
        <family val="3"/>
        <charset val="134"/>
      </rPr>
      <t>账面余额</t>
    </r>
    <phoneticPr fontId="11" type="noConversion"/>
  </si>
  <si>
    <r>
      <rPr>
        <b/>
        <sz val="10"/>
        <rFont val="宋体"/>
        <family val="3"/>
        <charset val="134"/>
      </rPr>
      <t>与享有净资产差额</t>
    </r>
    <phoneticPr fontId="11" type="noConversion"/>
  </si>
  <si>
    <r>
      <rPr>
        <b/>
        <sz val="10"/>
        <rFont val="宋体"/>
        <family val="3"/>
        <charset val="134"/>
      </rPr>
      <t>备注</t>
    </r>
    <phoneticPr fontId="11" type="noConversion"/>
  </si>
  <si>
    <t>最终控制方</t>
    <phoneticPr fontId="11" type="noConversion"/>
  </si>
  <si>
    <t xml:space="preserve">      非现金资产的账面价值</t>
    <phoneticPr fontId="11" type="noConversion"/>
  </si>
  <si>
    <t xml:space="preserve">      发行或承担的债务的账面价值</t>
    <phoneticPr fontId="11" type="noConversion"/>
  </si>
  <si>
    <t xml:space="preserve">      发行的权益性证券的面值</t>
    <phoneticPr fontId="11" type="noConversion"/>
  </si>
  <si>
    <t xml:space="preserve">      或有对价</t>
    <phoneticPr fontId="11" type="noConversion"/>
  </si>
  <si>
    <t>被合并方所有者权益账面价值（如果被合并方存在合并财务报表，则取合并报表数据）①</t>
    <phoneticPr fontId="11" type="noConversion"/>
  </si>
  <si>
    <t>合并方合并后占被投资单位的出资比例②</t>
    <phoneticPr fontId="11" type="noConversion"/>
  </si>
  <si>
    <r>
      <rPr>
        <sz val="10"/>
        <rFont val="宋体"/>
        <family val="3"/>
        <charset val="134"/>
      </rPr>
      <t>长期股权投资初始投资成本：③</t>
    </r>
    <r>
      <rPr>
        <sz val="10"/>
        <rFont val="Arial Narrow"/>
        <family val="2"/>
      </rPr>
      <t>=</t>
    </r>
    <r>
      <rPr>
        <sz val="10"/>
        <rFont val="宋体"/>
        <family val="3"/>
        <charset val="134"/>
      </rPr>
      <t>①</t>
    </r>
    <r>
      <rPr>
        <sz val="10"/>
        <rFont val="Arial Narrow"/>
        <family val="2"/>
      </rPr>
      <t>*</t>
    </r>
    <r>
      <rPr>
        <sz val="10"/>
        <rFont val="宋体"/>
        <family val="3"/>
        <charset val="134"/>
      </rPr>
      <t>②</t>
    </r>
    <phoneticPr fontId="11" type="noConversion"/>
  </si>
  <si>
    <t>审计说明：</t>
    <phoneticPr fontId="11" type="noConversion"/>
  </si>
  <si>
    <t>是否存在减值迹象：</t>
    <phoneticPr fontId="11" type="noConversion"/>
  </si>
  <si>
    <r>
      <rPr>
        <b/>
        <sz val="10"/>
        <rFont val="宋体"/>
        <family val="3"/>
        <charset val="134"/>
      </rPr>
      <t>公司</t>
    </r>
    <r>
      <rPr>
        <b/>
        <sz val="10"/>
        <rFont val="Arial Narrow"/>
        <family val="2"/>
      </rPr>
      <t>1</t>
    </r>
    <phoneticPr fontId="11" type="noConversion"/>
  </si>
  <si>
    <r>
      <rPr>
        <b/>
        <sz val="10"/>
        <rFont val="宋体"/>
        <family val="3"/>
        <charset val="134"/>
      </rPr>
      <t>公司</t>
    </r>
    <r>
      <rPr>
        <b/>
        <sz val="10"/>
        <rFont val="Arial Narrow"/>
        <family val="2"/>
      </rPr>
      <t>2</t>
    </r>
    <phoneticPr fontId="11" type="noConversion"/>
  </si>
  <si>
    <r>
      <rPr>
        <b/>
        <sz val="10"/>
        <rFont val="宋体"/>
        <family val="3"/>
        <charset val="134"/>
      </rPr>
      <t>公司</t>
    </r>
    <r>
      <rPr>
        <b/>
        <sz val="10"/>
        <rFont val="Arial Narrow"/>
        <family val="2"/>
      </rPr>
      <t>3</t>
    </r>
    <phoneticPr fontId="11" type="noConversion"/>
  </si>
  <si>
    <t>持股比例</t>
    <phoneticPr fontId="11" type="noConversion"/>
  </si>
  <si>
    <t>按公允价值计算</t>
    <phoneticPr fontId="11" type="noConversion"/>
  </si>
  <si>
    <t>公允价值确认依据</t>
    <phoneticPr fontId="11" type="noConversion"/>
  </si>
  <si>
    <t>长期股权投资期末账面余额</t>
    <phoneticPr fontId="11" type="noConversion"/>
  </si>
  <si>
    <r>
      <t xml:space="preserve">         </t>
    </r>
    <r>
      <rPr>
        <sz val="10"/>
        <color rgb="FF0000FF"/>
        <rFont val="宋体"/>
        <family val="3"/>
        <charset val="134"/>
      </rPr>
      <t>累计折旧（或累计摊销等）</t>
    </r>
    <phoneticPr fontId="11" type="noConversion"/>
  </si>
  <si>
    <r>
      <rPr>
        <sz val="10"/>
        <color rgb="FF0000FF"/>
        <rFont val="宋体"/>
        <family val="3"/>
        <charset val="134"/>
      </rPr>
      <t>→按未实现内部损益项目的（期末已计提折旧或其它已实现损益</t>
    </r>
    <r>
      <rPr>
        <sz val="10"/>
        <color rgb="FF0000FF"/>
        <rFont val="Arial Narrow"/>
        <family val="2"/>
      </rPr>
      <t>(3)</t>
    </r>
    <r>
      <rPr>
        <sz val="10"/>
        <color rgb="FF0000FF"/>
        <rFont val="宋体"/>
        <family val="3"/>
        <charset val="134"/>
      </rPr>
      <t>）确认</t>
    </r>
    <phoneticPr fontId="11" type="noConversion"/>
  </si>
  <si>
    <r>
      <t xml:space="preserve">         </t>
    </r>
    <r>
      <rPr>
        <sz val="10"/>
        <color rgb="FF0000FF"/>
        <rFont val="宋体"/>
        <family val="3"/>
        <charset val="134"/>
      </rPr>
      <t>贷：库存商品（或固定资产等）</t>
    </r>
    <phoneticPr fontId="11" type="noConversion"/>
  </si>
  <si>
    <r>
      <rPr>
        <sz val="10"/>
        <color rgb="FF0000FF"/>
        <rFont val="宋体"/>
        <family val="3"/>
        <charset val="134"/>
      </rPr>
      <t>→按未实现内部损益项目的（出售金额（</t>
    </r>
    <r>
      <rPr>
        <sz val="10"/>
        <color rgb="FF0000FF"/>
        <rFont val="Arial Narrow"/>
        <family val="2"/>
      </rPr>
      <t>1</t>
    </r>
    <r>
      <rPr>
        <sz val="10"/>
        <color rgb="FF0000FF"/>
        <rFont val="宋体"/>
        <family val="3"/>
        <charset val="134"/>
      </rPr>
      <t>）</t>
    </r>
    <r>
      <rPr>
        <sz val="10"/>
        <color rgb="FF0000FF"/>
        <rFont val="Arial Narrow"/>
        <family val="2"/>
      </rPr>
      <t>-</t>
    </r>
    <r>
      <rPr>
        <sz val="10"/>
        <color rgb="FF0000FF"/>
        <rFont val="宋体"/>
        <family val="3"/>
        <charset val="134"/>
      </rPr>
      <t>出售成本（</t>
    </r>
    <r>
      <rPr>
        <sz val="10"/>
        <color rgb="FF0000FF"/>
        <rFont val="Arial Narrow"/>
        <family val="2"/>
      </rPr>
      <t>2</t>
    </r>
    <r>
      <rPr>
        <sz val="10"/>
        <color rgb="FF0000FF"/>
        <rFont val="宋体"/>
        <family val="3"/>
        <charset val="134"/>
      </rPr>
      <t>））确认</t>
    </r>
    <phoneticPr fontId="11" type="noConversion"/>
  </si>
  <si>
    <r>
      <rPr>
        <b/>
        <sz val="10"/>
        <color theme="1"/>
        <rFont val="宋体"/>
        <family val="3"/>
        <charset val="134"/>
      </rPr>
      <t>公司</t>
    </r>
    <r>
      <rPr>
        <b/>
        <sz val="10"/>
        <color theme="1"/>
        <rFont val="Arial Narrow"/>
        <family val="2"/>
      </rPr>
      <t>3</t>
    </r>
    <r>
      <rPr>
        <sz val="11"/>
        <color theme="1"/>
        <rFont val="宋体"/>
        <family val="2"/>
        <charset val="134"/>
        <scheme val="minor"/>
      </rPr>
      <t/>
    </r>
  </si>
  <si>
    <r>
      <rPr>
        <b/>
        <sz val="10"/>
        <color theme="1"/>
        <rFont val="宋体"/>
        <family val="3"/>
        <charset val="134"/>
      </rPr>
      <t>公司</t>
    </r>
    <r>
      <rPr>
        <b/>
        <sz val="10"/>
        <color theme="1"/>
        <rFont val="Arial Narrow"/>
        <family val="2"/>
      </rPr>
      <t>4</t>
    </r>
    <r>
      <rPr>
        <sz val="11"/>
        <color theme="1"/>
        <rFont val="宋体"/>
        <family val="2"/>
        <charset val="134"/>
        <scheme val="minor"/>
      </rPr>
      <t/>
    </r>
  </si>
  <si>
    <t>合营企业1</t>
    <phoneticPr fontId="11" type="noConversion"/>
  </si>
  <si>
    <t>合营企业2</t>
    <phoneticPr fontId="11" type="noConversion"/>
  </si>
  <si>
    <t>联营企业1</t>
    <phoneticPr fontId="11" type="noConversion"/>
  </si>
  <si>
    <t>联营企业2</t>
    <phoneticPr fontId="11" type="noConversion"/>
  </si>
  <si>
    <r>
      <t>1</t>
    </r>
    <r>
      <rPr>
        <b/>
        <sz val="10"/>
        <rFont val="宋体"/>
        <family val="3"/>
        <charset val="134"/>
      </rPr>
      <t>、是否控制的判断及结论</t>
    </r>
    <phoneticPr fontId="11" type="noConversion"/>
  </si>
  <si>
    <r>
      <t>3</t>
    </r>
    <r>
      <rPr>
        <b/>
        <sz val="10"/>
        <rFont val="宋体"/>
        <family val="3"/>
        <charset val="134"/>
      </rPr>
      <t>、确认合并（购买）日：</t>
    </r>
    <r>
      <rPr>
        <b/>
        <sz val="10"/>
        <rFont val="Arial Narrow"/>
        <family val="2"/>
      </rPr>
      <t xml:space="preserve"> </t>
    </r>
    <phoneticPr fontId="11" type="noConversion"/>
  </si>
  <si>
    <r>
      <t>2</t>
    </r>
    <r>
      <rPr>
        <b/>
        <sz val="10"/>
        <rFont val="宋体"/>
        <family val="3"/>
        <charset val="134"/>
      </rPr>
      <t>、联营企业与合营企业的判断</t>
    </r>
    <phoneticPr fontId="11" type="noConversion"/>
  </si>
  <si>
    <r>
      <t>1</t>
    </r>
    <r>
      <rPr>
        <b/>
        <sz val="10"/>
        <rFont val="宋体"/>
        <family val="3"/>
        <charset val="134"/>
      </rPr>
      <t>、合并方式取得的长期股权投资初始投资成本：</t>
    </r>
    <phoneticPr fontId="11" type="noConversion"/>
  </si>
  <si>
    <r>
      <t>3</t>
    </r>
    <r>
      <rPr>
        <b/>
        <sz val="10"/>
        <color theme="1"/>
        <rFont val="宋体"/>
        <family val="3"/>
        <charset val="134"/>
      </rPr>
      <t>、反向购买</t>
    </r>
    <phoneticPr fontId="11" type="noConversion"/>
  </si>
  <si>
    <r>
      <t>2</t>
    </r>
    <r>
      <rPr>
        <b/>
        <sz val="10"/>
        <rFont val="宋体"/>
        <family val="3"/>
        <charset val="134"/>
      </rPr>
      <t>、通过多次交易分步实现的非同一控制下企业合并（不构成一揽子交易）</t>
    </r>
    <phoneticPr fontId="11" type="noConversion"/>
  </si>
  <si>
    <r>
      <t>3</t>
    </r>
    <r>
      <rPr>
        <b/>
        <sz val="10"/>
        <color theme="1"/>
        <rFont val="宋体"/>
        <family val="3"/>
        <charset val="134"/>
      </rPr>
      <t>、反向购买</t>
    </r>
    <phoneticPr fontId="11" type="noConversion"/>
  </si>
  <si>
    <r>
      <rPr>
        <sz val="10"/>
        <rFont val="宋体"/>
        <family val="3"/>
        <charset val="134"/>
      </rPr>
      <t>（</t>
    </r>
    <r>
      <rPr>
        <sz val="10"/>
        <rFont val="Arial Narrow"/>
        <family val="2"/>
      </rPr>
      <t>4</t>
    </r>
    <r>
      <rPr>
        <sz val="10"/>
        <rFont val="宋体"/>
        <family val="3"/>
        <charset val="134"/>
      </rPr>
      <t>）购买方已支付了购买价款的大部分（一般应超过</t>
    </r>
    <r>
      <rPr>
        <sz val="10"/>
        <rFont val="Arial Narrow"/>
        <family val="2"/>
      </rPr>
      <t>50</t>
    </r>
    <r>
      <rPr>
        <sz val="10"/>
        <rFont val="宋体"/>
        <family val="3"/>
        <charset val="134"/>
      </rPr>
      <t>％），并且有能力、有计划支付剩余款项。</t>
    </r>
    <phoneticPr fontId="11" type="noConversion"/>
  </si>
  <si>
    <r>
      <rPr>
        <sz val="10"/>
        <rFont val="宋体"/>
        <family val="3"/>
        <charset val="134"/>
      </rPr>
      <t>（</t>
    </r>
    <r>
      <rPr>
        <sz val="10"/>
        <rFont val="Arial Narrow"/>
        <family val="2"/>
      </rPr>
      <t>5</t>
    </r>
    <r>
      <rPr>
        <sz val="10"/>
        <rFont val="宋体"/>
        <family val="3"/>
        <charset val="134"/>
      </rPr>
      <t>）购买方实际上已经控制了被购买方的财务和经营政策，享有相应的收益并承担相应的风险。</t>
    </r>
    <phoneticPr fontId="11" type="noConversion"/>
  </si>
  <si>
    <r>
      <rPr>
        <sz val="10"/>
        <rFont val="宋体"/>
        <family val="3"/>
        <charset val="134"/>
      </rPr>
      <t>（</t>
    </r>
    <r>
      <rPr>
        <sz val="10"/>
        <rFont val="Arial Narrow"/>
        <family val="2"/>
      </rPr>
      <t>2</t>
    </r>
    <r>
      <rPr>
        <sz val="10"/>
        <rFont val="宋体"/>
        <family val="3"/>
        <charset val="134"/>
      </rPr>
      <t>）面临可变回报的风险</t>
    </r>
    <phoneticPr fontId="11" type="noConversion"/>
  </si>
  <si>
    <r>
      <rPr>
        <sz val="10"/>
        <rFont val="宋体"/>
        <family val="3"/>
        <charset val="134"/>
      </rPr>
      <t>（</t>
    </r>
    <r>
      <rPr>
        <sz val="10"/>
        <rFont val="Arial Narrow"/>
        <family val="2"/>
      </rPr>
      <t>1</t>
    </r>
    <r>
      <rPr>
        <sz val="10"/>
        <rFont val="宋体"/>
        <family val="3"/>
        <charset val="134"/>
      </rPr>
      <t>）权力</t>
    </r>
    <phoneticPr fontId="11" type="noConversion"/>
  </si>
  <si>
    <r>
      <rPr>
        <sz val="10"/>
        <rFont val="宋体"/>
        <family val="3"/>
        <charset val="134"/>
      </rPr>
      <t>（</t>
    </r>
    <r>
      <rPr>
        <sz val="10"/>
        <rFont val="Arial Narrow"/>
        <family val="2"/>
      </rPr>
      <t>l</t>
    </r>
    <r>
      <rPr>
        <sz val="10"/>
        <rFont val="宋体"/>
        <family val="3"/>
        <charset val="134"/>
      </rPr>
      <t>）任何一个合营方均不能单独控制合营企业的相关活动</t>
    </r>
  </si>
  <si>
    <r>
      <rPr>
        <sz val="10"/>
        <rFont val="宋体"/>
        <family val="3"/>
        <charset val="134"/>
      </rPr>
      <t>（</t>
    </r>
    <r>
      <rPr>
        <sz val="10"/>
        <rFont val="Arial Narrow"/>
        <family val="2"/>
      </rPr>
      <t>1</t>
    </r>
    <r>
      <rPr>
        <sz val="10"/>
        <rFont val="宋体"/>
        <family val="3"/>
        <charset val="134"/>
      </rPr>
      <t>）在被投资单位的董事会或类似权力机构中派有代表</t>
    </r>
  </si>
  <si>
    <r>
      <rPr>
        <sz val="10"/>
        <rFont val="宋体"/>
        <family val="3"/>
        <charset val="134"/>
      </rPr>
      <t>（</t>
    </r>
    <r>
      <rPr>
        <sz val="10"/>
        <rFont val="Arial Narrow"/>
        <family val="2"/>
      </rPr>
      <t>2</t>
    </r>
    <r>
      <rPr>
        <sz val="10"/>
        <rFont val="宋体"/>
        <family val="3"/>
        <charset val="134"/>
      </rPr>
      <t>）涉及合营企业的相关活动的决策需要各合营方一致同意</t>
    </r>
  </si>
  <si>
    <r>
      <rPr>
        <sz val="10"/>
        <rFont val="宋体"/>
        <family val="3"/>
        <charset val="134"/>
      </rPr>
      <t>（</t>
    </r>
    <r>
      <rPr>
        <sz val="10"/>
        <rFont val="Arial Narrow"/>
        <family val="2"/>
      </rPr>
      <t>2</t>
    </r>
    <r>
      <rPr>
        <sz val="10"/>
        <rFont val="宋体"/>
        <family val="3"/>
        <charset val="134"/>
      </rPr>
      <t>）参与被投资单位的政策制定过程</t>
    </r>
    <r>
      <rPr>
        <sz val="10"/>
        <rFont val="Arial Narrow"/>
        <family val="2"/>
      </rPr>
      <t>,</t>
    </r>
    <r>
      <rPr>
        <sz val="10"/>
        <rFont val="宋体"/>
        <family val="3"/>
        <charset val="134"/>
      </rPr>
      <t>包括股利分配政策等的制定</t>
    </r>
  </si>
  <si>
    <r>
      <rPr>
        <sz val="10"/>
        <rFont val="宋体"/>
        <family val="3"/>
        <charset val="134"/>
      </rPr>
      <t>（</t>
    </r>
    <r>
      <rPr>
        <sz val="10"/>
        <rFont val="Arial Narrow"/>
        <family val="2"/>
      </rPr>
      <t>3</t>
    </r>
    <r>
      <rPr>
        <sz val="10"/>
        <rFont val="宋体"/>
        <family val="3"/>
        <charset val="134"/>
      </rPr>
      <t>）各合营方可能通过合同或协议的形式任命其中的一个合营方对合营企业的日常活动进行管理</t>
    </r>
    <r>
      <rPr>
        <sz val="10"/>
        <rFont val="Arial Narrow"/>
        <family val="2"/>
      </rPr>
      <t>,</t>
    </r>
    <r>
      <rPr>
        <sz val="10"/>
        <rFont val="宋体"/>
        <family val="3"/>
        <charset val="134"/>
      </rPr>
      <t>但其必须在各合营方已经一致同意的相关活动范围内行使管理权。</t>
    </r>
  </si>
  <si>
    <r>
      <rPr>
        <sz val="10"/>
        <rFont val="宋体"/>
        <family val="3"/>
        <charset val="134"/>
      </rPr>
      <t>（</t>
    </r>
    <r>
      <rPr>
        <sz val="10"/>
        <rFont val="Arial Narrow"/>
        <family val="2"/>
      </rPr>
      <t>3</t>
    </r>
    <r>
      <rPr>
        <sz val="10"/>
        <rFont val="宋体"/>
        <family val="3"/>
        <charset val="134"/>
      </rPr>
      <t>）与被投资单位之间发生重要交易</t>
    </r>
  </si>
  <si>
    <r>
      <rPr>
        <sz val="10"/>
        <rFont val="宋体"/>
        <family val="3"/>
        <charset val="134"/>
      </rPr>
      <t>（</t>
    </r>
    <r>
      <rPr>
        <sz val="10"/>
        <rFont val="Arial Narrow"/>
        <family val="2"/>
      </rPr>
      <t>4</t>
    </r>
    <r>
      <rPr>
        <sz val="10"/>
        <rFont val="宋体"/>
        <family val="3"/>
        <charset val="134"/>
      </rPr>
      <t>）向被投资单位派出管理人员</t>
    </r>
  </si>
  <si>
    <r>
      <rPr>
        <sz val="10"/>
        <rFont val="宋体"/>
        <family val="3"/>
        <charset val="134"/>
      </rPr>
      <t>（</t>
    </r>
    <r>
      <rPr>
        <sz val="10"/>
        <rFont val="Arial Narrow"/>
        <family val="2"/>
      </rPr>
      <t>4</t>
    </r>
    <r>
      <rPr>
        <sz val="10"/>
        <rFont val="宋体"/>
        <family val="3"/>
        <charset val="134"/>
      </rPr>
      <t>）其他</t>
    </r>
  </si>
  <si>
    <r>
      <rPr>
        <sz val="10"/>
        <rFont val="宋体"/>
        <family val="3"/>
        <charset val="134"/>
      </rPr>
      <t>（</t>
    </r>
    <r>
      <rPr>
        <sz val="10"/>
        <rFont val="Arial Narrow"/>
        <family val="2"/>
      </rPr>
      <t>5</t>
    </r>
    <r>
      <rPr>
        <sz val="10"/>
        <rFont val="宋体"/>
        <family val="3"/>
        <charset val="134"/>
      </rPr>
      <t>）向被投资单位提供关键技术资料</t>
    </r>
  </si>
  <si>
    <r>
      <rPr>
        <sz val="10"/>
        <rFont val="宋体"/>
        <family val="3"/>
        <charset val="134"/>
      </rPr>
      <t>（</t>
    </r>
    <r>
      <rPr>
        <sz val="10"/>
        <rFont val="Arial Narrow"/>
        <family val="2"/>
      </rPr>
      <t>6</t>
    </r>
    <r>
      <rPr>
        <sz val="10"/>
        <rFont val="宋体"/>
        <family val="3"/>
        <charset val="134"/>
      </rPr>
      <t>）其他</t>
    </r>
  </si>
  <si>
    <r>
      <rPr>
        <sz val="10"/>
        <rFont val="宋体"/>
        <family val="3"/>
        <charset val="134"/>
      </rPr>
      <t>其中：现金</t>
    </r>
    <phoneticPr fontId="11" type="noConversion"/>
  </si>
  <si>
    <r>
      <rPr>
        <sz val="10"/>
        <rFont val="宋体"/>
        <family val="3"/>
        <charset val="134"/>
      </rPr>
      <t>母公司报表中调整资本公积、留存收益⑤</t>
    </r>
    <r>
      <rPr>
        <sz val="10"/>
        <rFont val="Arial Narrow"/>
        <family val="2"/>
      </rPr>
      <t>=</t>
    </r>
    <r>
      <rPr>
        <sz val="10"/>
        <rFont val="宋体"/>
        <family val="3"/>
        <charset val="134"/>
      </rPr>
      <t>③</t>
    </r>
    <r>
      <rPr>
        <sz val="10"/>
        <rFont val="Arial Narrow"/>
        <family val="2"/>
      </rPr>
      <t>-</t>
    </r>
    <r>
      <rPr>
        <sz val="10"/>
        <rFont val="宋体"/>
        <family val="3"/>
        <charset val="134"/>
      </rPr>
      <t>④</t>
    </r>
    <phoneticPr fontId="11" type="noConversion"/>
  </si>
  <si>
    <t>次别</t>
    <phoneticPr fontId="11" type="noConversion"/>
  </si>
  <si>
    <t>交易日期</t>
    <phoneticPr fontId="11" type="noConversion"/>
  </si>
  <si>
    <t>购买比例①</t>
    <phoneticPr fontId="11" type="noConversion"/>
  </si>
  <si>
    <t>支付对价②</t>
    <phoneticPr fontId="11" type="noConversion"/>
  </si>
  <si>
    <t>每笔交易发生时被投资方可辨认净资产的账面价值</t>
    <phoneticPr fontId="11" type="noConversion"/>
  </si>
  <si>
    <t>因权益法核算确认的长期股权投资其他综合收益、损益调整和其他变动或其他投资确认的计入其他综合收益的公允价值调整③</t>
    <phoneticPr fontId="11" type="noConversion"/>
  </si>
  <si>
    <r>
      <t>2</t>
    </r>
    <r>
      <rPr>
        <b/>
        <sz val="10"/>
        <rFont val="宋体"/>
        <family val="3"/>
        <charset val="134"/>
      </rPr>
      <t>、通过多次交易分步实现的同一控制下企业合并（不构成一揽子交易）：</t>
    </r>
    <phoneticPr fontId="11" type="noConversion"/>
  </si>
  <si>
    <t>--</t>
    <phoneticPr fontId="11" type="noConversion"/>
  </si>
  <si>
    <t>--</t>
    <phoneticPr fontId="11" type="noConversion"/>
  </si>
  <si>
    <t>合并日被投资方可辨认净资产的账面价值④</t>
    <phoneticPr fontId="11" type="noConversion"/>
  </si>
  <si>
    <r>
      <rPr>
        <sz val="10"/>
        <rFont val="宋体"/>
        <family val="3"/>
        <charset val="134"/>
      </rPr>
      <t>母公司报表中调整资本公积、留存收益⑥</t>
    </r>
    <r>
      <rPr>
        <sz val="10"/>
        <rFont val="Arial Narrow"/>
        <family val="2"/>
      </rPr>
      <t>=</t>
    </r>
    <r>
      <rPr>
        <sz val="10"/>
        <rFont val="宋体"/>
        <family val="3"/>
        <charset val="134"/>
      </rPr>
      <t>②</t>
    </r>
    <r>
      <rPr>
        <sz val="10"/>
        <rFont val="Arial Narrow"/>
        <family val="2"/>
      </rPr>
      <t>+</t>
    </r>
    <r>
      <rPr>
        <sz val="10"/>
        <rFont val="宋体"/>
        <family val="3"/>
        <charset val="134"/>
      </rPr>
      <t>③</t>
    </r>
    <r>
      <rPr>
        <sz val="10"/>
        <rFont val="Arial Narrow"/>
        <family val="2"/>
      </rPr>
      <t>-</t>
    </r>
    <r>
      <rPr>
        <sz val="10"/>
        <rFont val="宋体"/>
        <family val="3"/>
        <charset val="134"/>
      </rPr>
      <t>⑤</t>
    </r>
    <phoneticPr fontId="11" type="noConversion"/>
  </si>
  <si>
    <r>
      <rPr>
        <sz val="10"/>
        <rFont val="宋体"/>
        <family val="3"/>
        <charset val="134"/>
        <scheme val="minor"/>
      </rPr>
      <t>合并日长期股权投资投资成本</t>
    </r>
    <r>
      <rPr>
        <sz val="10"/>
        <rFont val="宋体"/>
        <family val="3"/>
        <charset val="134"/>
      </rPr>
      <t>：⑤</t>
    </r>
    <r>
      <rPr>
        <sz val="10"/>
        <rFont val="Arial Narrow"/>
        <family val="2"/>
      </rPr>
      <t>=</t>
    </r>
    <r>
      <rPr>
        <sz val="10"/>
        <rFont val="宋体"/>
        <family val="3"/>
        <charset val="134"/>
      </rPr>
      <t>④</t>
    </r>
    <r>
      <rPr>
        <sz val="10"/>
        <rFont val="Arial Narrow"/>
        <family val="2"/>
      </rPr>
      <t>*</t>
    </r>
    <r>
      <rPr>
        <sz val="10"/>
        <rFont val="宋体"/>
        <family val="3"/>
        <charset val="134"/>
      </rPr>
      <t>①</t>
    </r>
    <phoneticPr fontId="11" type="noConversion"/>
  </si>
  <si>
    <r>
      <rPr>
        <sz val="10"/>
        <rFont val="宋体"/>
        <family val="3"/>
        <charset val="134"/>
      </rPr>
      <t>索引</t>
    </r>
    <r>
      <rPr>
        <sz val="10"/>
        <rFont val="Arial Narrow"/>
        <family val="2"/>
      </rPr>
      <t>/</t>
    </r>
    <r>
      <rPr>
        <sz val="10"/>
        <rFont val="宋体"/>
        <family val="3"/>
        <charset val="134"/>
      </rPr>
      <t>备注</t>
    </r>
    <phoneticPr fontId="11" type="noConversion"/>
  </si>
  <si>
    <t xml:space="preserve">      非现金资产的公允价值</t>
    <phoneticPr fontId="11" type="noConversion"/>
  </si>
  <si>
    <t xml:space="preserve">      发行或承担的债务的公允价值</t>
    <phoneticPr fontId="11" type="noConversion"/>
  </si>
  <si>
    <t xml:space="preserve">      发行的权益性证券的公允价值</t>
    <phoneticPr fontId="11" type="noConversion"/>
  </si>
  <si>
    <t xml:space="preserve">      或有对价的公允价值</t>
    <phoneticPr fontId="11" type="noConversion"/>
  </si>
  <si>
    <t>购买方付出的资产，发生或承担的负债、发行的权益性证券的账面价值之和④</t>
    <phoneticPr fontId="11" type="noConversion"/>
  </si>
  <si>
    <t>被合并方所有者权益账面价值</t>
    <phoneticPr fontId="11" type="noConversion"/>
  </si>
  <si>
    <t>被购买方可辨认净资产的公允价值①</t>
    <phoneticPr fontId="11" type="noConversion"/>
  </si>
  <si>
    <t>合并后占被投资单位的出资比例②</t>
    <phoneticPr fontId="11" type="noConversion"/>
  </si>
  <si>
    <t>购买方付出的资产，发生或承担的负债、发行的权益性证券的公允价值之和③</t>
    <phoneticPr fontId="11" type="noConversion"/>
  </si>
  <si>
    <r>
      <rPr>
        <sz val="10"/>
        <rFont val="宋体"/>
        <family val="3"/>
        <charset val="134"/>
      </rPr>
      <t>其中：现金</t>
    </r>
    <phoneticPr fontId="11" type="noConversion"/>
  </si>
  <si>
    <t>次别</t>
    <phoneticPr fontId="11" type="noConversion"/>
  </si>
  <si>
    <t>购买方付出的资产，发生或承担的负债、发行的权益性证券的账面价值之和⑤</t>
    <phoneticPr fontId="11" type="noConversion"/>
  </si>
  <si>
    <r>
      <rPr>
        <sz val="10"/>
        <rFont val="宋体"/>
        <family val="3"/>
        <charset val="134"/>
      </rPr>
      <t>记入当期损益（营业外收入）⑦</t>
    </r>
    <r>
      <rPr>
        <sz val="10"/>
        <rFont val="Arial Narrow"/>
        <family val="2"/>
      </rPr>
      <t>=</t>
    </r>
    <r>
      <rPr>
        <sz val="10"/>
        <rFont val="宋体"/>
        <family val="3"/>
        <charset val="134"/>
      </rPr>
      <t>③</t>
    </r>
    <r>
      <rPr>
        <sz val="10"/>
        <rFont val="Arial Narrow"/>
        <family val="2"/>
      </rPr>
      <t>-</t>
    </r>
    <r>
      <rPr>
        <sz val="10"/>
        <rFont val="宋体"/>
        <family val="3"/>
        <charset val="134"/>
      </rPr>
      <t>⑤</t>
    </r>
    <phoneticPr fontId="11" type="noConversion"/>
  </si>
  <si>
    <r>
      <rPr>
        <sz val="10"/>
        <rFont val="宋体"/>
        <family val="3"/>
        <charset val="134"/>
      </rPr>
      <t>合并报表中的商誉或损益（或吸收合并时计入母公司报表中的商誉或损益）⑧</t>
    </r>
    <r>
      <rPr>
        <sz val="10"/>
        <rFont val="Arial Narrow"/>
        <family val="2"/>
      </rPr>
      <t>=</t>
    </r>
    <r>
      <rPr>
        <sz val="10"/>
        <rFont val="宋体"/>
        <family val="3"/>
        <charset val="134"/>
      </rPr>
      <t>⑥</t>
    </r>
    <r>
      <rPr>
        <sz val="10"/>
        <rFont val="Arial Narrow"/>
        <family val="2"/>
      </rPr>
      <t>-</t>
    </r>
    <r>
      <rPr>
        <sz val="10"/>
        <rFont val="宋体"/>
        <family val="3"/>
        <charset val="134"/>
      </rPr>
      <t>①</t>
    </r>
    <r>
      <rPr>
        <sz val="10"/>
        <rFont val="Arial Narrow"/>
        <family val="2"/>
      </rPr>
      <t>*</t>
    </r>
    <r>
      <rPr>
        <sz val="10"/>
        <rFont val="宋体"/>
        <family val="3"/>
        <charset val="134"/>
      </rPr>
      <t>②</t>
    </r>
    <phoneticPr fontId="11" type="noConversion"/>
  </si>
  <si>
    <t>购买日之前持有的股权于购买日的公允价值④</t>
    <phoneticPr fontId="11" type="noConversion"/>
  </si>
  <si>
    <r>
      <rPr>
        <sz val="10"/>
        <rFont val="宋体"/>
        <family val="3"/>
        <charset val="134"/>
      </rPr>
      <t>投资方初始投资成本：⑥</t>
    </r>
    <r>
      <rPr>
        <sz val="10"/>
        <rFont val="Arial Narrow"/>
        <family val="2"/>
      </rPr>
      <t>=</t>
    </r>
    <r>
      <rPr>
        <sz val="10"/>
        <rFont val="宋体"/>
        <family val="3"/>
        <charset val="134"/>
      </rPr>
      <t>③</t>
    </r>
    <r>
      <rPr>
        <sz val="10"/>
        <rFont val="Arial Narrow"/>
        <family val="2"/>
      </rPr>
      <t>+</t>
    </r>
    <r>
      <rPr>
        <sz val="10"/>
        <rFont val="宋体"/>
        <family val="3"/>
        <charset val="134"/>
      </rPr>
      <t>④</t>
    </r>
    <phoneticPr fontId="11" type="noConversion"/>
  </si>
  <si>
    <t>每笔交易发生时被投资方可辨认净资产的公允价值③</t>
    <phoneticPr fontId="11" type="noConversion"/>
  </si>
  <si>
    <r>
      <rPr>
        <sz val="10"/>
        <rFont val="宋体"/>
        <family val="3"/>
        <charset val="134"/>
      </rPr>
      <t>每单交易应享有的被投资方可辨认净资产的公允价值的份额</t>
    </r>
    <r>
      <rPr>
        <sz val="10"/>
        <rFont val="Arial Narrow"/>
        <family val="2"/>
      </rPr>
      <t xml:space="preserve">   </t>
    </r>
    <r>
      <rPr>
        <sz val="10"/>
        <rFont val="宋体"/>
        <family val="3"/>
        <charset val="134"/>
      </rPr>
      <t>④</t>
    </r>
    <r>
      <rPr>
        <sz val="10"/>
        <rFont val="Arial Narrow"/>
        <family val="2"/>
      </rPr>
      <t>=</t>
    </r>
    <r>
      <rPr>
        <sz val="10"/>
        <rFont val="宋体"/>
        <family val="3"/>
        <charset val="134"/>
      </rPr>
      <t>①</t>
    </r>
    <r>
      <rPr>
        <sz val="10"/>
        <rFont val="Arial Narrow"/>
        <family val="2"/>
      </rPr>
      <t>*</t>
    </r>
    <r>
      <rPr>
        <sz val="10"/>
        <rFont val="宋体"/>
        <family val="3"/>
        <charset val="134"/>
      </rPr>
      <t>③</t>
    </r>
    <phoneticPr fontId="11" type="noConversion"/>
  </si>
  <si>
    <r>
      <rPr>
        <sz val="10"/>
        <rFont val="宋体"/>
        <family val="3"/>
        <charset val="134"/>
      </rPr>
      <t>每单交易应确认的商誉或损益⑤</t>
    </r>
    <r>
      <rPr>
        <sz val="10"/>
        <rFont val="Arial Narrow"/>
        <family val="2"/>
      </rPr>
      <t>=</t>
    </r>
    <r>
      <rPr>
        <sz val="10"/>
        <rFont val="宋体"/>
        <family val="3"/>
        <charset val="134"/>
      </rPr>
      <t>②</t>
    </r>
    <r>
      <rPr>
        <sz val="10"/>
        <rFont val="Arial Narrow"/>
        <family val="2"/>
      </rPr>
      <t>-</t>
    </r>
    <r>
      <rPr>
        <sz val="10"/>
        <rFont val="宋体"/>
        <family val="3"/>
        <charset val="134"/>
      </rPr>
      <t>④</t>
    </r>
    <phoneticPr fontId="11" type="noConversion"/>
  </si>
  <si>
    <r>
      <rPr>
        <sz val="10"/>
        <rFont val="宋体"/>
        <family val="3"/>
        <charset val="134"/>
      </rPr>
      <t>合并日母公司长期股权投资的确认金额⑦</t>
    </r>
    <r>
      <rPr>
        <sz val="10"/>
        <rFont val="Arial Narrow"/>
        <family val="2"/>
      </rPr>
      <t>=</t>
    </r>
    <r>
      <rPr>
        <sz val="10"/>
        <rFont val="宋体"/>
        <family val="3"/>
        <charset val="134"/>
      </rPr>
      <t>②</t>
    </r>
    <r>
      <rPr>
        <sz val="10"/>
        <rFont val="Arial Narrow"/>
        <family val="2"/>
      </rPr>
      <t>+</t>
    </r>
    <r>
      <rPr>
        <sz val="10"/>
        <rFont val="宋体"/>
        <family val="3"/>
        <charset val="134"/>
      </rPr>
      <t>⑥</t>
    </r>
    <phoneticPr fontId="11" type="noConversion"/>
  </si>
  <si>
    <t>因权益法核算确认的长期股权投资其他综合收益、损益调整和其他变动或其他投资确认的计入其他综合收益的公允价值调整⑥</t>
    <phoneticPr fontId="11" type="noConversion"/>
  </si>
  <si>
    <t>--</t>
    <phoneticPr fontId="11" type="noConversion"/>
  </si>
  <si>
    <t>新增日长期股权投资账面价值</t>
    <phoneticPr fontId="11" type="noConversion"/>
  </si>
  <si>
    <t>新增的持股比例①</t>
    <phoneticPr fontId="11" type="noConversion"/>
  </si>
  <si>
    <r>
      <rPr>
        <sz val="10"/>
        <rFont val="宋体"/>
        <family val="3"/>
        <charset val="134"/>
      </rPr>
      <t>子公司自购买日</t>
    </r>
    <r>
      <rPr>
        <sz val="10"/>
        <rFont val="Arial Narrow"/>
        <family val="2"/>
      </rPr>
      <t>(</t>
    </r>
    <r>
      <rPr>
        <sz val="10"/>
        <rFont val="宋体"/>
        <family val="3"/>
        <charset val="134"/>
      </rPr>
      <t>或合并日</t>
    </r>
    <r>
      <rPr>
        <sz val="10"/>
        <rFont val="Arial Narrow"/>
        <family val="2"/>
      </rPr>
      <t>)</t>
    </r>
    <r>
      <rPr>
        <sz val="10"/>
        <rFont val="宋体"/>
        <family val="3"/>
        <charset val="134"/>
      </rPr>
      <t>开始持续计算的可辨认净资产的公允价值③</t>
    </r>
    <phoneticPr fontId="11" type="noConversion"/>
  </si>
  <si>
    <r>
      <rPr>
        <sz val="10"/>
        <rFont val="宋体"/>
        <family val="3"/>
        <charset val="134"/>
      </rPr>
      <t>原持股比例</t>
    </r>
    <r>
      <rPr>
        <sz val="10"/>
        <rFont val="Arial Narrow"/>
        <family val="2"/>
      </rPr>
      <t xml:space="preserve">   </t>
    </r>
    <phoneticPr fontId="11" type="noConversion"/>
  </si>
  <si>
    <r>
      <rPr>
        <sz val="10"/>
        <rFont val="宋体"/>
        <family val="3"/>
        <charset val="134"/>
      </rPr>
      <t>按新增持股比例计算应享有子公司自购买日</t>
    </r>
    <r>
      <rPr>
        <sz val="10"/>
        <rFont val="Arial Narrow"/>
        <family val="2"/>
      </rPr>
      <t>(</t>
    </r>
    <r>
      <rPr>
        <sz val="10"/>
        <rFont val="宋体"/>
        <family val="3"/>
        <charset val="134"/>
      </rPr>
      <t>或合并日</t>
    </r>
    <r>
      <rPr>
        <sz val="10"/>
        <rFont val="Arial Narrow"/>
        <family val="2"/>
      </rPr>
      <t>)</t>
    </r>
    <r>
      <rPr>
        <sz val="10"/>
        <rFont val="宋体"/>
        <family val="3"/>
        <charset val="134"/>
      </rPr>
      <t>开始持续计算的可辨认净资产的公允价值的份额</t>
    </r>
    <r>
      <rPr>
        <sz val="10"/>
        <rFont val="Arial Narrow"/>
        <family val="2"/>
      </rPr>
      <t xml:space="preserve">  </t>
    </r>
    <r>
      <rPr>
        <sz val="10"/>
        <rFont val="宋体"/>
        <family val="3"/>
        <charset val="134"/>
      </rPr>
      <t>④</t>
    </r>
    <r>
      <rPr>
        <sz val="10"/>
        <rFont val="Arial Narrow"/>
        <family val="2"/>
      </rPr>
      <t>=</t>
    </r>
    <r>
      <rPr>
        <sz val="10"/>
        <rFont val="宋体"/>
        <family val="3"/>
        <charset val="134"/>
      </rPr>
      <t>③</t>
    </r>
    <r>
      <rPr>
        <sz val="10"/>
        <rFont val="Arial Narrow"/>
        <family val="2"/>
      </rPr>
      <t>*</t>
    </r>
    <r>
      <rPr>
        <sz val="10"/>
        <rFont val="宋体"/>
        <family val="3"/>
        <charset val="134"/>
      </rPr>
      <t>①</t>
    </r>
    <phoneticPr fontId="11" type="noConversion"/>
  </si>
  <si>
    <r>
      <rPr>
        <sz val="10"/>
        <rFont val="宋体"/>
        <family val="3"/>
        <charset val="134"/>
      </rPr>
      <t>调整合并报表中的资本公积</t>
    </r>
    <r>
      <rPr>
        <sz val="10"/>
        <rFont val="Arial Narrow"/>
        <family val="2"/>
      </rPr>
      <t>/</t>
    </r>
    <r>
      <rPr>
        <sz val="10"/>
        <rFont val="宋体"/>
        <family val="3"/>
        <charset val="134"/>
      </rPr>
      <t>留存收益⑤</t>
    </r>
    <r>
      <rPr>
        <sz val="10"/>
        <rFont val="Arial Narrow"/>
        <family val="2"/>
      </rPr>
      <t>=</t>
    </r>
    <r>
      <rPr>
        <sz val="10"/>
        <rFont val="宋体"/>
        <family val="3"/>
        <charset val="134"/>
      </rPr>
      <t>④</t>
    </r>
    <r>
      <rPr>
        <sz val="10"/>
        <rFont val="Arial Narrow"/>
        <family val="2"/>
      </rPr>
      <t>-</t>
    </r>
    <r>
      <rPr>
        <sz val="10"/>
        <rFont val="宋体"/>
        <family val="3"/>
        <charset val="134"/>
      </rPr>
      <t>②</t>
    </r>
    <phoneticPr fontId="11" type="noConversion"/>
  </si>
  <si>
    <r>
      <rPr>
        <sz val="10"/>
        <rFont val="宋体"/>
        <family val="3"/>
        <charset val="134"/>
      </rPr>
      <t>其中：调整资本公积</t>
    </r>
    <phoneticPr fontId="11" type="noConversion"/>
  </si>
  <si>
    <r>
      <rPr>
        <sz val="10"/>
        <rFont val="宋体"/>
        <family val="3"/>
        <charset val="134"/>
      </rPr>
      <t>非现金资产的公允价值</t>
    </r>
  </si>
  <si>
    <t>分配方案、股东/董事会决议</t>
    <phoneticPr fontId="11" type="noConversion"/>
  </si>
  <si>
    <t>公司1</t>
    <phoneticPr fontId="11" type="noConversion"/>
  </si>
  <si>
    <t>公司2</t>
    <phoneticPr fontId="11" type="noConversion"/>
  </si>
  <si>
    <t>购买成本②</t>
    <phoneticPr fontId="11" type="noConversion"/>
  </si>
  <si>
    <r>
      <rPr>
        <sz val="10"/>
        <rFont val="宋体"/>
        <family val="3"/>
        <charset val="134"/>
      </rPr>
      <t>非现金资产的公允价值</t>
    </r>
    <phoneticPr fontId="11" type="noConversion"/>
  </si>
  <si>
    <r>
      <rPr>
        <sz val="10"/>
        <rFont val="宋体"/>
        <family val="3"/>
        <charset val="134"/>
      </rPr>
      <t>发行或承担的债务的账面价值</t>
    </r>
    <phoneticPr fontId="11" type="noConversion"/>
  </si>
  <si>
    <r>
      <rPr>
        <sz val="10"/>
        <color rgb="FF000000"/>
        <rFont val="宋体"/>
        <family val="3"/>
        <charset val="134"/>
      </rPr>
      <t>发行的权益性证券的面值</t>
    </r>
    <phoneticPr fontId="11" type="noConversion"/>
  </si>
  <si>
    <r>
      <rPr>
        <sz val="10"/>
        <color rgb="FF000000"/>
        <rFont val="宋体"/>
        <family val="3"/>
        <charset val="134"/>
      </rPr>
      <t>或有对价</t>
    </r>
    <phoneticPr fontId="11" type="noConversion"/>
  </si>
  <si>
    <r>
      <t xml:space="preserve">             </t>
    </r>
    <r>
      <rPr>
        <sz val="10"/>
        <rFont val="宋体"/>
        <family val="3"/>
        <charset val="134"/>
      </rPr>
      <t>调整盈余公积</t>
    </r>
    <phoneticPr fontId="11" type="noConversion"/>
  </si>
  <si>
    <r>
      <t xml:space="preserve">             </t>
    </r>
    <r>
      <rPr>
        <sz val="10"/>
        <rFont val="宋体"/>
        <family val="3"/>
        <charset val="134"/>
      </rPr>
      <t>调整未分配利润</t>
    </r>
    <phoneticPr fontId="11" type="noConversion"/>
  </si>
  <si>
    <t>原持股比例②</t>
    <phoneticPr fontId="11" type="noConversion"/>
  </si>
  <si>
    <t>减少的持股比例③</t>
    <phoneticPr fontId="11" type="noConversion"/>
  </si>
  <si>
    <t>处置对价④</t>
    <phoneticPr fontId="11" type="noConversion"/>
  </si>
  <si>
    <t>处置日长期股权投资账面价值①</t>
    <phoneticPr fontId="11" type="noConversion"/>
  </si>
  <si>
    <r>
      <rPr>
        <sz val="10"/>
        <rFont val="宋体"/>
        <family val="3"/>
        <charset val="134"/>
      </rPr>
      <t>子公司自购买日</t>
    </r>
    <r>
      <rPr>
        <sz val="10"/>
        <rFont val="Arial Narrow"/>
        <family val="2"/>
      </rPr>
      <t>(</t>
    </r>
    <r>
      <rPr>
        <sz val="10"/>
        <rFont val="宋体"/>
        <family val="3"/>
        <charset val="134"/>
      </rPr>
      <t>或合并日</t>
    </r>
    <r>
      <rPr>
        <sz val="10"/>
        <rFont val="Arial Narrow"/>
        <family val="2"/>
      </rPr>
      <t>)</t>
    </r>
    <r>
      <rPr>
        <sz val="10"/>
        <rFont val="宋体"/>
        <family val="3"/>
        <charset val="134"/>
      </rPr>
      <t>开始持续计算的可辨认净资产的公允价值⑥</t>
    </r>
    <phoneticPr fontId="11" type="noConversion"/>
  </si>
  <si>
    <r>
      <rPr>
        <sz val="10"/>
        <rFont val="宋体"/>
        <family val="3"/>
        <charset val="134"/>
      </rPr>
      <t>按减少的持股比例计算应享有子公司自购买日</t>
    </r>
    <r>
      <rPr>
        <sz val="10"/>
        <rFont val="Arial Narrow"/>
        <family val="2"/>
      </rPr>
      <t>(</t>
    </r>
    <r>
      <rPr>
        <sz val="10"/>
        <rFont val="宋体"/>
        <family val="3"/>
        <charset val="134"/>
      </rPr>
      <t>或合并日</t>
    </r>
    <r>
      <rPr>
        <sz val="10"/>
        <rFont val="Arial Narrow"/>
        <family val="2"/>
      </rPr>
      <t>)</t>
    </r>
    <r>
      <rPr>
        <sz val="10"/>
        <rFont val="宋体"/>
        <family val="3"/>
        <charset val="134"/>
      </rPr>
      <t>开始持续计算的可辨认净资产的公允价值的份额⑦</t>
    </r>
    <r>
      <rPr>
        <sz val="10"/>
        <rFont val="Arial Narrow"/>
        <family val="2"/>
      </rPr>
      <t>=</t>
    </r>
    <r>
      <rPr>
        <sz val="10"/>
        <rFont val="宋体"/>
        <family val="3"/>
        <charset val="134"/>
      </rPr>
      <t>⑥</t>
    </r>
    <r>
      <rPr>
        <sz val="10"/>
        <rFont val="Arial Narrow"/>
        <family val="2"/>
      </rPr>
      <t>*</t>
    </r>
    <r>
      <rPr>
        <sz val="10"/>
        <rFont val="宋体"/>
        <family val="3"/>
        <charset val="134"/>
      </rPr>
      <t>③</t>
    </r>
    <phoneticPr fontId="11" type="noConversion"/>
  </si>
  <si>
    <r>
      <rPr>
        <sz val="10"/>
        <rFont val="宋体"/>
        <family val="3"/>
        <charset val="134"/>
      </rPr>
      <t>调整合并报表中的资本公积</t>
    </r>
    <r>
      <rPr>
        <sz val="10"/>
        <rFont val="Arial Narrow"/>
        <family val="2"/>
      </rPr>
      <t>/</t>
    </r>
    <r>
      <rPr>
        <sz val="10"/>
        <rFont val="宋体"/>
        <family val="3"/>
        <charset val="134"/>
      </rPr>
      <t>留存收益</t>
    </r>
    <r>
      <rPr>
        <sz val="10"/>
        <rFont val="Arial Narrow"/>
        <family val="2"/>
      </rPr>
      <t xml:space="preserve"> </t>
    </r>
    <r>
      <rPr>
        <sz val="10"/>
        <rFont val="宋体"/>
        <family val="3"/>
        <charset val="134"/>
      </rPr>
      <t>⑧</t>
    </r>
    <r>
      <rPr>
        <sz val="10"/>
        <rFont val="Arial Narrow"/>
        <family val="2"/>
      </rPr>
      <t>=</t>
    </r>
    <r>
      <rPr>
        <sz val="10"/>
        <rFont val="宋体"/>
        <family val="3"/>
        <charset val="134"/>
      </rPr>
      <t>⑦</t>
    </r>
    <r>
      <rPr>
        <sz val="10"/>
        <rFont val="Arial Narrow"/>
        <family val="2"/>
      </rPr>
      <t>-</t>
    </r>
    <r>
      <rPr>
        <sz val="10"/>
        <rFont val="宋体"/>
        <family val="3"/>
        <charset val="134"/>
      </rPr>
      <t>④</t>
    </r>
    <phoneticPr fontId="11" type="noConversion"/>
  </si>
  <si>
    <r>
      <t xml:space="preserve">             </t>
    </r>
    <r>
      <rPr>
        <sz val="10"/>
        <rFont val="宋体"/>
        <family val="3"/>
        <charset val="134"/>
      </rPr>
      <t>调整盈余公积</t>
    </r>
    <phoneticPr fontId="11" type="noConversion"/>
  </si>
  <si>
    <r>
      <t xml:space="preserve">             </t>
    </r>
    <r>
      <rPr>
        <sz val="10"/>
        <rFont val="宋体"/>
        <family val="3"/>
        <charset val="134"/>
      </rPr>
      <t>调整未分配利润</t>
    </r>
    <phoneticPr fontId="11" type="noConversion"/>
  </si>
  <si>
    <r>
      <rPr>
        <sz val="10"/>
        <rFont val="宋体"/>
        <family val="3"/>
        <charset val="134"/>
      </rPr>
      <t>发行或承担的债务的账面价值</t>
    </r>
    <phoneticPr fontId="11" type="noConversion"/>
  </si>
  <si>
    <r>
      <rPr>
        <sz val="10"/>
        <rFont val="宋体"/>
        <family val="3"/>
        <charset val="134"/>
      </rPr>
      <t>发行的权益性证券的面值</t>
    </r>
    <phoneticPr fontId="11" type="noConversion"/>
  </si>
  <si>
    <r>
      <rPr>
        <sz val="10"/>
        <rFont val="宋体"/>
        <family val="3"/>
        <charset val="134"/>
      </rPr>
      <t>或有对价</t>
    </r>
    <phoneticPr fontId="11" type="noConversion"/>
  </si>
  <si>
    <r>
      <rPr>
        <sz val="10"/>
        <rFont val="宋体"/>
        <family val="3"/>
        <charset val="134"/>
      </rPr>
      <t>计入个别报表的投资收益</t>
    </r>
    <r>
      <rPr>
        <sz val="10"/>
        <rFont val="Arial Narrow"/>
        <family val="2"/>
      </rPr>
      <t xml:space="preserve"> </t>
    </r>
    <r>
      <rPr>
        <sz val="10"/>
        <rFont val="宋体"/>
        <family val="3"/>
        <charset val="134"/>
      </rPr>
      <t>⑤</t>
    </r>
    <r>
      <rPr>
        <sz val="10"/>
        <rFont val="Arial Narrow"/>
        <family val="2"/>
      </rPr>
      <t>=</t>
    </r>
    <r>
      <rPr>
        <sz val="10"/>
        <rFont val="宋体"/>
        <family val="3"/>
        <charset val="134"/>
      </rPr>
      <t>④</t>
    </r>
    <r>
      <rPr>
        <sz val="10"/>
        <rFont val="Arial Narrow"/>
        <family val="2"/>
      </rPr>
      <t>-</t>
    </r>
    <r>
      <rPr>
        <sz val="10"/>
        <rFont val="宋体"/>
        <family val="3"/>
        <charset val="134"/>
      </rPr>
      <t>③</t>
    </r>
    <r>
      <rPr>
        <sz val="10"/>
        <rFont val="Arial Narrow"/>
        <family val="2"/>
      </rPr>
      <t>/</t>
    </r>
    <r>
      <rPr>
        <sz val="10"/>
        <rFont val="宋体"/>
        <family val="3"/>
        <charset val="134"/>
      </rPr>
      <t>②</t>
    </r>
    <r>
      <rPr>
        <sz val="10"/>
        <rFont val="Arial Narrow"/>
        <family val="2"/>
      </rPr>
      <t>*</t>
    </r>
    <r>
      <rPr>
        <sz val="10"/>
        <rFont val="宋体"/>
        <family val="3"/>
        <charset val="134"/>
      </rPr>
      <t>①</t>
    </r>
    <phoneticPr fontId="11" type="noConversion"/>
  </si>
  <si>
    <r>
      <rPr>
        <sz val="10"/>
        <color rgb="FFFF0000"/>
        <rFont val="宋体"/>
        <family val="3"/>
        <charset val="134"/>
      </rPr>
      <t>公司</t>
    </r>
    <r>
      <rPr>
        <sz val="10"/>
        <color rgb="FFFF0000"/>
        <rFont val="Arial Narrow"/>
        <family val="2"/>
      </rPr>
      <t>1</t>
    </r>
    <phoneticPr fontId="11" type="noConversion"/>
  </si>
  <si>
    <r>
      <rPr>
        <sz val="10"/>
        <color rgb="FFFF0000"/>
        <rFont val="宋体"/>
        <family val="3"/>
        <charset val="134"/>
      </rPr>
      <t>公司</t>
    </r>
    <r>
      <rPr>
        <sz val="10"/>
        <color rgb="FFFF0000"/>
        <rFont val="Arial Narrow"/>
        <family val="2"/>
      </rPr>
      <t>2</t>
    </r>
    <phoneticPr fontId="11" type="noConversion"/>
  </si>
  <si>
    <r>
      <rPr>
        <sz val="10"/>
        <color rgb="FFFF0000"/>
        <rFont val="宋体"/>
        <family val="3"/>
        <charset val="134"/>
      </rPr>
      <t>公司</t>
    </r>
    <r>
      <rPr>
        <sz val="10"/>
        <color rgb="FFFF0000"/>
        <rFont val="Arial Narrow"/>
        <family val="2"/>
      </rPr>
      <t>1</t>
    </r>
    <phoneticPr fontId="11" type="noConversion"/>
  </si>
  <si>
    <r>
      <rPr>
        <sz val="10"/>
        <color rgb="FFFF0000"/>
        <rFont val="宋体"/>
        <family val="3"/>
        <charset val="134"/>
      </rPr>
      <t>公司</t>
    </r>
    <r>
      <rPr>
        <sz val="10"/>
        <color rgb="FFFF0000"/>
        <rFont val="Arial Narrow"/>
        <family val="2"/>
      </rPr>
      <t>2</t>
    </r>
    <phoneticPr fontId="11" type="noConversion"/>
  </si>
  <si>
    <r>
      <rPr>
        <b/>
        <sz val="10"/>
        <rFont val="宋体"/>
        <family val="3"/>
        <charset val="134"/>
      </rPr>
      <t>公司</t>
    </r>
    <r>
      <rPr>
        <b/>
        <sz val="10"/>
        <rFont val="Arial Narrow"/>
        <family val="2"/>
      </rPr>
      <t>1</t>
    </r>
    <phoneticPr fontId="11" type="noConversion"/>
  </si>
  <si>
    <r>
      <rPr>
        <b/>
        <sz val="10"/>
        <rFont val="宋体"/>
        <family val="3"/>
        <charset val="134"/>
      </rPr>
      <t>公司</t>
    </r>
    <r>
      <rPr>
        <b/>
        <sz val="10"/>
        <rFont val="Arial Narrow"/>
        <family val="2"/>
      </rPr>
      <t>2</t>
    </r>
    <phoneticPr fontId="11" type="noConversion"/>
  </si>
  <si>
    <r>
      <rPr>
        <b/>
        <sz val="10"/>
        <rFont val="宋体"/>
        <family val="3"/>
        <charset val="134"/>
      </rPr>
      <t>公司</t>
    </r>
    <r>
      <rPr>
        <b/>
        <sz val="10"/>
        <rFont val="Arial Narrow"/>
        <family val="2"/>
      </rPr>
      <t>3</t>
    </r>
    <phoneticPr fontId="11" type="noConversion"/>
  </si>
  <si>
    <r>
      <rPr>
        <b/>
        <sz val="10"/>
        <rFont val="宋体"/>
        <family val="3"/>
        <charset val="134"/>
      </rPr>
      <t>公司</t>
    </r>
    <r>
      <rPr>
        <b/>
        <sz val="10"/>
        <rFont val="Arial Narrow"/>
        <family val="2"/>
      </rPr>
      <t>4</t>
    </r>
    <phoneticPr fontId="11" type="noConversion"/>
  </si>
  <si>
    <t>（1）投资企业与其联营企业及合营企业之间发生的无论是顺流交易还是逆流交易产生的未实现内部交易损失，属于所转让资产发生减值损失的，有关的未实现内部交易损失不应予以抵销。</t>
    <phoneticPr fontId="11" type="noConversion"/>
  </si>
  <si>
    <t>（2）如果投资企业存在子公司需要编制合并财务报表，在合并财务报表中，因该未实现内部交易体现在投资企业持有的资产的账面价值当中，应在合并财务报表中进行以下调整：</t>
    <phoneticPr fontId="11" type="noConversion"/>
  </si>
  <si>
    <t>3、未实现的内部顺流交易：</t>
    <phoneticPr fontId="11" type="noConversion"/>
  </si>
  <si>
    <t>（2）如果投资企业存在子公司需要编制合并财务报表，在合并财务报表中对本期发生的未实现内部交易损益应在个别报表已确认投资收益的基础上进行以下调整：</t>
    <phoneticPr fontId="11" type="noConversion"/>
  </si>
  <si>
    <t>4、未实现的内部逆流交易：</t>
    <phoneticPr fontId="11" type="noConversion"/>
  </si>
  <si>
    <r>
      <rPr>
        <sz val="10"/>
        <color rgb="FF0000FF"/>
        <rFont val="宋体"/>
        <family val="3"/>
        <charset val="134"/>
      </rPr>
      <t>借：主营业务收入（营业外收入等）</t>
    </r>
    <phoneticPr fontId="11" type="noConversion"/>
  </si>
  <si>
    <r>
      <rPr>
        <sz val="10"/>
        <color rgb="FF0000FF"/>
        <rFont val="宋体"/>
        <family val="3"/>
        <charset val="134"/>
      </rPr>
      <t>→按（本期出售金额（</t>
    </r>
    <r>
      <rPr>
        <sz val="10"/>
        <color rgb="FF0000FF"/>
        <rFont val="Arial Narrow"/>
        <family val="2"/>
      </rPr>
      <t>1</t>
    </r>
    <r>
      <rPr>
        <sz val="10"/>
        <color rgb="FF0000FF"/>
        <rFont val="宋体"/>
        <family val="3"/>
        <charset val="134"/>
      </rPr>
      <t>）</t>
    </r>
    <r>
      <rPr>
        <sz val="10"/>
        <color rgb="FF0000FF"/>
        <rFont val="Arial Narrow"/>
        <family val="2"/>
      </rPr>
      <t>*</t>
    </r>
    <r>
      <rPr>
        <sz val="10"/>
        <color rgb="FF0000FF"/>
        <rFont val="宋体"/>
        <family val="3"/>
        <charset val="134"/>
      </rPr>
      <t>投资比例）确认</t>
    </r>
    <phoneticPr fontId="11" type="noConversion"/>
  </si>
  <si>
    <r>
      <t xml:space="preserve">         </t>
    </r>
    <r>
      <rPr>
        <sz val="10"/>
        <color rgb="FF0000FF"/>
        <rFont val="宋体"/>
        <family val="3"/>
        <charset val="134"/>
      </rPr>
      <t>贷：主营业务成本（</t>
    </r>
    <r>
      <rPr>
        <sz val="10"/>
        <color rgb="FF0000FF"/>
        <rFont val="Arial Narrow"/>
        <family val="2"/>
      </rPr>
      <t>……</t>
    </r>
    <r>
      <rPr>
        <sz val="10"/>
        <color rgb="FF0000FF"/>
        <rFont val="宋体"/>
        <family val="3"/>
        <charset val="134"/>
      </rPr>
      <t>）</t>
    </r>
    <phoneticPr fontId="11" type="noConversion"/>
  </si>
  <si>
    <r>
      <rPr>
        <sz val="10"/>
        <color rgb="FF0000FF"/>
        <rFont val="宋体"/>
        <family val="3"/>
        <charset val="134"/>
      </rPr>
      <t>→按（本期出售成本（</t>
    </r>
    <r>
      <rPr>
        <sz val="10"/>
        <color rgb="FF0000FF"/>
        <rFont val="Arial Narrow"/>
        <family val="2"/>
      </rPr>
      <t>2</t>
    </r>
    <r>
      <rPr>
        <sz val="10"/>
        <color rgb="FF0000FF"/>
        <rFont val="宋体"/>
        <family val="3"/>
        <charset val="134"/>
      </rPr>
      <t>）</t>
    </r>
    <r>
      <rPr>
        <sz val="10"/>
        <color rgb="FF0000FF"/>
        <rFont val="Arial Narrow"/>
        <family val="2"/>
      </rPr>
      <t>*</t>
    </r>
    <r>
      <rPr>
        <sz val="10"/>
        <color rgb="FF0000FF"/>
        <rFont val="宋体"/>
        <family val="3"/>
        <charset val="134"/>
      </rPr>
      <t>投资比例）确认</t>
    </r>
    <phoneticPr fontId="11" type="noConversion"/>
  </si>
  <si>
    <r>
      <t xml:space="preserve">                  </t>
    </r>
    <r>
      <rPr>
        <sz val="10"/>
        <color rgb="FF0000FF"/>
        <rFont val="宋体"/>
        <family val="3"/>
        <charset val="134"/>
      </rPr>
      <t>投资收益</t>
    </r>
    <phoneticPr fontId="11" type="noConversion"/>
  </si>
  <si>
    <r>
      <rPr>
        <sz val="10"/>
        <color rgb="FF0000FF"/>
        <rFont val="宋体"/>
        <family val="3"/>
        <charset val="134"/>
      </rPr>
      <t>→按（本期出售金额（</t>
    </r>
    <r>
      <rPr>
        <sz val="10"/>
        <color rgb="FF0000FF"/>
        <rFont val="Arial Narrow"/>
        <family val="2"/>
      </rPr>
      <t>1</t>
    </r>
    <r>
      <rPr>
        <sz val="10"/>
        <color rgb="FF0000FF"/>
        <rFont val="宋体"/>
        <family val="3"/>
        <charset val="134"/>
      </rPr>
      <t>）</t>
    </r>
    <r>
      <rPr>
        <sz val="10"/>
        <color rgb="FF0000FF"/>
        <rFont val="Arial Narrow"/>
        <family val="2"/>
      </rPr>
      <t>-</t>
    </r>
    <r>
      <rPr>
        <sz val="10"/>
        <color rgb="FF0000FF"/>
        <rFont val="宋体"/>
        <family val="3"/>
        <charset val="134"/>
      </rPr>
      <t>（本期出售成本（</t>
    </r>
    <r>
      <rPr>
        <sz val="10"/>
        <color rgb="FF0000FF"/>
        <rFont val="Arial Narrow"/>
        <family val="2"/>
      </rPr>
      <t>2</t>
    </r>
    <r>
      <rPr>
        <sz val="10"/>
        <color rgb="FF0000FF"/>
        <rFont val="宋体"/>
        <family val="3"/>
        <charset val="134"/>
      </rPr>
      <t>）</t>
    </r>
    <r>
      <rPr>
        <sz val="10"/>
        <color rgb="FF0000FF"/>
        <rFont val="Arial Narrow"/>
        <family val="2"/>
      </rPr>
      <t>*</t>
    </r>
    <r>
      <rPr>
        <sz val="10"/>
        <color rgb="FF0000FF"/>
        <rFont val="宋体"/>
        <family val="3"/>
        <charset val="134"/>
      </rPr>
      <t>投资比例）确认</t>
    </r>
    <phoneticPr fontId="11" type="noConversion"/>
  </si>
  <si>
    <r>
      <rPr>
        <sz val="10"/>
        <color rgb="FF0000FF"/>
        <rFont val="宋体"/>
        <family val="3"/>
        <charset val="134"/>
      </rPr>
      <t>借：长期股权投资</t>
    </r>
    <r>
      <rPr>
        <sz val="10"/>
        <color rgb="FF0000FF"/>
        <rFont val="Arial Narrow"/>
        <family val="2"/>
      </rPr>
      <t>-</t>
    </r>
    <r>
      <rPr>
        <sz val="10"/>
        <color rgb="FF0000FF"/>
        <rFont val="宋体"/>
        <family val="3"/>
        <charset val="134"/>
      </rPr>
      <t>损益调整</t>
    </r>
    <phoneticPr fontId="11" type="noConversion"/>
  </si>
  <si>
    <r>
      <rPr>
        <sz val="10"/>
        <color rgb="FF0000FF"/>
        <rFont val="宋体"/>
        <family val="3"/>
        <charset val="134"/>
      </rPr>
      <t>→按期末未实现内部损益项目的（出售金额（</t>
    </r>
    <r>
      <rPr>
        <sz val="10"/>
        <color rgb="FF0000FF"/>
        <rFont val="Arial Narrow"/>
        <family val="2"/>
      </rPr>
      <t>1</t>
    </r>
    <r>
      <rPr>
        <sz val="10"/>
        <color rgb="FF0000FF"/>
        <rFont val="宋体"/>
        <family val="3"/>
        <charset val="134"/>
      </rPr>
      <t>）</t>
    </r>
    <r>
      <rPr>
        <sz val="10"/>
        <color rgb="FF0000FF"/>
        <rFont val="Arial Narrow"/>
        <family val="2"/>
      </rPr>
      <t>-</t>
    </r>
    <r>
      <rPr>
        <sz val="10"/>
        <color rgb="FF0000FF"/>
        <rFont val="宋体"/>
        <family val="3"/>
        <charset val="134"/>
      </rPr>
      <t>出售成本（</t>
    </r>
    <r>
      <rPr>
        <sz val="10"/>
        <color rgb="FF0000FF"/>
        <rFont val="Arial Narrow"/>
        <family val="2"/>
      </rPr>
      <t>2</t>
    </r>
    <r>
      <rPr>
        <sz val="10"/>
        <color rgb="FF0000FF"/>
        <rFont val="宋体"/>
        <family val="3"/>
        <charset val="134"/>
      </rPr>
      <t>）</t>
    </r>
    <r>
      <rPr>
        <sz val="10"/>
        <color rgb="FF0000FF"/>
        <rFont val="Arial Narrow"/>
        <family val="2"/>
      </rPr>
      <t>-</t>
    </r>
    <r>
      <rPr>
        <sz val="10"/>
        <color rgb="FF0000FF"/>
        <rFont val="宋体"/>
        <family val="3"/>
        <charset val="134"/>
      </rPr>
      <t>期末已计提折旧或其它已实现损益</t>
    </r>
    <r>
      <rPr>
        <sz val="10"/>
        <color rgb="FF0000FF"/>
        <rFont val="Arial Narrow"/>
        <family val="2"/>
      </rPr>
      <t>(3)</t>
    </r>
    <r>
      <rPr>
        <sz val="10"/>
        <color rgb="FF0000FF"/>
        <rFont val="宋体"/>
        <family val="3"/>
        <charset val="134"/>
      </rPr>
      <t>）确认</t>
    </r>
    <phoneticPr fontId="11" type="noConversion"/>
  </si>
  <si>
    <r>
      <t>1、未实现的内部顺流交易</t>
    </r>
    <r>
      <rPr>
        <b/>
        <sz val="10"/>
        <color rgb="FF0000FF"/>
        <rFont val="宋体"/>
        <family val="3"/>
        <charset val="134"/>
      </rPr>
      <t>（①期初有未实现内部损益的项目和②本期发生的期末有未实现内部损益的项目）</t>
    </r>
    <phoneticPr fontId="11" type="noConversion"/>
  </si>
  <si>
    <r>
      <t>2、未实现的内部逆流交易</t>
    </r>
    <r>
      <rPr>
        <b/>
        <sz val="10"/>
        <color rgb="FF0000FF"/>
        <rFont val="宋体"/>
        <family val="3"/>
        <charset val="134"/>
      </rPr>
      <t>（①期初有未实现内部损益的项目和②本期发生的期末有未实现内部损益的项目）</t>
    </r>
    <phoneticPr fontId="11" type="noConversion"/>
  </si>
  <si>
    <t>出售金额①</t>
    <phoneticPr fontId="11" type="noConversion"/>
  </si>
  <si>
    <t>出售成本②</t>
    <phoneticPr fontId="11" type="noConversion"/>
  </si>
  <si>
    <t>期末已计提折旧或其它已实现损益③</t>
    <phoneticPr fontId="11" type="noConversion"/>
  </si>
  <si>
    <r>
      <rPr>
        <b/>
        <sz val="10"/>
        <rFont val="宋体"/>
        <family val="3"/>
        <charset val="134"/>
      </rPr>
      <t>期末未实现的内部损益④</t>
    </r>
    <r>
      <rPr>
        <b/>
        <sz val="10"/>
        <rFont val="Arial Narrow"/>
        <family val="2"/>
      </rPr>
      <t>=</t>
    </r>
    <r>
      <rPr>
        <b/>
        <sz val="10"/>
        <rFont val="宋体"/>
        <family val="3"/>
        <charset val="134"/>
      </rPr>
      <t>①</t>
    </r>
    <r>
      <rPr>
        <b/>
        <sz val="10"/>
        <rFont val="Arial Narrow"/>
        <family val="2"/>
      </rPr>
      <t>-</t>
    </r>
    <r>
      <rPr>
        <b/>
        <sz val="10"/>
        <rFont val="宋体"/>
        <family val="3"/>
        <charset val="134"/>
      </rPr>
      <t>②</t>
    </r>
    <r>
      <rPr>
        <b/>
        <sz val="10"/>
        <rFont val="Arial Narrow"/>
        <family val="2"/>
      </rPr>
      <t>-</t>
    </r>
    <r>
      <rPr>
        <b/>
        <sz val="10"/>
        <rFont val="宋体"/>
        <family val="3"/>
        <charset val="134"/>
      </rPr>
      <t>③</t>
    </r>
    <phoneticPr fontId="11" type="noConversion"/>
  </si>
  <si>
    <r>
      <rPr>
        <b/>
        <sz val="10"/>
        <rFont val="宋体"/>
        <family val="3"/>
        <charset val="134"/>
      </rPr>
      <t>本期数⑤</t>
    </r>
    <r>
      <rPr>
        <b/>
        <sz val="10"/>
        <rFont val="Arial Narrow"/>
        <family val="2"/>
      </rPr>
      <t>=</t>
    </r>
    <r>
      <rPr>
        <b/>
        <sz val="10"/>
        <rFont val="宋体"/>
        <family val="3"/>
        <charset val="134"/>
      </rPr>
      <t>④</t>
    </r>
    <r>
      <rPr>
        <b/>
        <sz val="10"/>
        <rFont val="Arial Narrow"/>
        <family val="2"/>
      </rPr>
      <t>-</t>
    </r>
    <r>
      <rPr>
        <b/>
        <sz val="10"/>
        <rFont val="宋体"/>
        <family val="3"/>
        <charset val="134"/>
      </rPr>
      <t>⑥</t>
    </r>
    <phoneticPr fontId="11" type="noConversion"/>
  </si>
  <si>
    <r>
      <rPr>
        <b/>
        <sz val="10"/>
        <rFont val="宋体"/>
        <family val="3"/>
        <charset val="134"/>
      </rPr>
      <t>以前年度累计数</t>
    </r>
    <r>
      <rPr>
        <b/>
        <sz val="10"/>
        <rFont val="宋体"/>
        <family val="3"/>
        <charset val="134"/>
      </rPr>
      <t>（根据上年数填列）</t>
    </r>
    <phoneticPr fontId="11" type="noConversion"/>
  </si>
  <si>
    <t>（二）公司对其历次投资情况检查</t>
    <phoneticPr fontId="11" type="noConversion"/>
  </si>
  <si>
    <t>（三）取得投资时被投资单位可辨认净资产账面价值与公允价值差异及以后年度账面净利润的调整</t>
    <phoneticPr fontId="11" type="noConversion"/>
  </si>
  <si>
    <r>
      <t>1</t>
    </r>
    <r>
      <rPr>
        <b/>
        <sz val="10"/>
        <color indexed="8"/>
        <rFont val="宋体"/>
        <family val="3"/>
        <charset val="134"/>
      </rPr>
      <t>、被投资单位权益法调整测算</t>
    </r>
    <phoneticPr fontId="11" type="noConversion"/>
  </si>
  <si>
    <r>
      <t>2</t>
    </r>
    <r>
      <rPr>
        <b/>
        <sz val="10"/>
        <rFont val="宋体"/>
        <family val="3"/>
        <charset val="134"/>
      </rPr>
      <t>、长期股权投资期末余额审核</t>
    </r>
    <phoneticPr fontId="11" type="noConversion"/>
  </si>
  <si>
    <t>3、被投资单位所有者权益账面价值变动及调整情况</t>
    <phoneticPr fontId="11" type="noConversion"/>
  </si>
  <si>
    <t>与被审计单位人员讨论确定是否存在被投资单位由于所在国家和地区及其他方面的影响，其向被审计单位转移资金的能力受到限制的情况，如存在，应详细记录受限情况，并提请被审计单位充分披露。</t>
    <phoneticPr fontId="11" type="noConversion"/>
  </si>
  <si>
    <r>
      <t xml:space="preserve">检查关联方交易：
（1）了解关联交易的商业理由、交易事项的目的、价格和条件，考虑对关联方交易性金融资产的合理性、合法性；
</t>
    </r>
    <r>
      <rPr>
        <sz val="10"/>
        <rFont val="宋体"/>
        <family val="3"/>
        <charset val="134"/>
      </rPr>
      <t>（2）检查对关联方交易性金融资产的真实性相关的支持性文件、检查会计处理是否正确；
（3）考虑向关联方或其他注册会计师函证重大的关联交易和余额（包括担保和其他重要信息）；</t>
    </r>
    <r>
      <rPr>
        <sz val="10"/>
        <color theme="1"/>
        <rFont val="宋体"/>
        <family val="3"/>
        <charset val="134"/>
      </rPr>
      <t xml:space="preserve">
（4）必要时，向与交易相关的人员和机构函证或与其讨论有关信息；
（5）考虑是否存在未识别的关联方，关联交易和余额披露是否正确。</t>
    </r>
    <phoneticPr fontId="6" type="noConversion"/>
  </si>
  <si>
    <t>获取或编制长期股权投资的明细表，完成以下工作，并编制审定表
（1）复核加计是否正确，与总账、明细账合计数核对是否相符；
（2）将期初余额与上期期末余额核对；
（3）与上年明细项目进行比较，确定与上年分类相同；
（4）检查非记账本位币计量的长期股权投资的折算汇率及折算是否正确。</t>
    <phoneticPr fontId="6" type="noConversion"/>
  </si>
  <si>
    <t>公司2</t>
  </si>
  <si>
    <t>公司3</t>
  </si>
  <si>
    <t>公司4</t>
  </si>
  <si>
    <t>公司5</t>
  </si>
  <si>
    <t>公司6</t>
  </si>
  <si>
    <t>公司1</t>
    <phoneticPr fontId="11" type="noConversion"/>
  </si>
  <si>
    <t>G7-1</t>
    <phoneticPr fontId="11" type="noConversion"/>
  </si>
  <si>
    <t>G7-3</t>
  </si>
  <si>
    <t>G7-2</t>
    <phoneticPr fontId="11" type="noConversion"/>
  </si>
  <si>
    <t>G7-4</t>
  </si>
  <si>
    <t>G7-5</t>
  </si>
  <si>
    <t>G7-6</t>
  </si>
  <si>
    <t>G7-7</t>
  </si>
  <si>
    <t>G7-8</t>
  </si>
  <si>
    <t>G7-9</t>
  </si>
  <si>
    <t>G7-10</t>
  </si>
  <si>
    <t>G7-11</t>
  </si>
  <si>
    <t>G7-12</t>
  </si>
  <si>
    <t>G7-13</t>
  </si>
  <si>
    <t>G7-14</t>
  </si>
  <si>
    <t>G7-15</t>
  </si>
  <si>
    <t>G7-16</t>
  </si>
  <si>
    <t>G7-17</t>
  </si>
  <si>
    <t>G7-18</t>
  </si>
  <si>
    <t>子公司初始计量测试（同控）</t>
  </si>
  <si>
    <t>子公司初始计量测试（非同控）</t>
  </si>
  <si>
    <t>处置子公司测试表（不包含一揽子交易）</t>
  </si>
  <si>
    <t>处置子公司测试表（一揽子交易）</t>
  </si>
  <si>
    <r>
      <rPr>
        <b/>
        <sz val="10"/>
        <rFont val="宋体"/>
        <family val="3"/>
        <charset val="134"/>
      </rPr>
      <t>本期增加</t>
    </r>
    <phoneticPr fontId="11" type="noConversion"/>
  </si>
  <si>
    <r>
      <rPr>
        <b/>
        <sz val="10"/>
        <rFont val="宋体"/>
        <family val="3"/>
        <charset val="134"/>
      </rPr>
      <t>金额</t>
    </r>
    <phoneticPr fontId="11" type="noConversion"/>
  </si>
  <si>
    <t>合营、联营企业投资成本测试表</t>
  </si>
  <si>
    <t>被投资单位基本信息</t>
  </si>
  <si>
    <t>减值测试表</t>
  </si>
  <si>
    <t>致同会计师事务所</t>
    <phoneticPr fontId="11" type="noConversion"/>
  </si>
  <si>
    <t>G7-6</t>
    <phoneticPr fontId="11" type="noConversion"/>
  </si>
  <si>
    <t>G0</t>
    <phoneticPr fontId="11" type="noConversion"/>
  </si>
  <si>
    <t>G7-10</t>
    <phoneticPr fontId="11" type="noConversion"/>
  </si>
  <si>
    <t>G7-17</t>
    <phoneticPr fontId="11" type="noConversion"/>
  </si>
  <si>
    <t>G7-2</t>
    <phoneticPr fontId="11" type="noConversion"/>
  </si>
  <si>
    <t>长期股权投资明细表</t>
    <phoneticPr fontId="11" type="noConversion"/>
  </si>
  <si>
    <t>长期股权投资明细表</t>
    <phoneticPr fontId="11" type="noConversion"/>
  </si>
  <si>
    <t>被投资单位基本信息</t>
    <phoneticPr fontId="11" type="noConversion"/>
  </si>
  <si>
    <t>被投资单位主要财务信息（合营、联营）</t>
    <phoneticPr fontId="11" type="noConversion"/>
  </si>
  <si>
    <t>长期股权投资初始判断</t>
    <phoneticPr fontId="11" type="noConversion"/>
  </si>
  <si>
    <t>子公司初始计量测试表</t>
    <phoneticPr fontId="11" type="noConversion"/>
  </si>
  <si>
    <t>子公司初始计量测试表</t>
    <phoneticPr fontId="11" type="noConversion"/>
  </si>
  <si>
    <t>处置子公司测试表（不包含一揽子交易）</t>
    <phoneticPr fontId="11" type="noConversion"/>
  </si>
  <si>
    <t>处置子公司测试表（一揽子交易）</t>
    <phoneticPr fontId="11" type="noConversion"/>
  </si>
  <si>
    <t>合营、联营企业投资成本测试表</t>
    <phoneticPr fontId="11" type="noConversion"/>
  </si>
  <si>
    <t>权益法测算表</t>
    <phoneticPr fontId="11" type="noConversion"/>
  </si>
  <si>
    <t>减值测试表</t>
    <phoneticPr fontId="11" type="noConversion"/>
  </si>
  <si>
    <t>致同会计师事务所</t>
    <phoneticPr fontId="6" type="noConversion"/>
  </si>
  <si>
    <t>附注披露信息（国企）</t>
    <phoneticPr fontId="11" type="noConversion"/>
  </si>
  <si>
    <t>权益法未实现内部交易抵销测算表</t>
    <phoneticPr fontId="11" type="noConversion"/>
  </si>
  <si>
    <t>投资账面价值合计</t>
    <phoneticPr fontId="11" type="noConversion"/>
  </si>
  <si>
    <r>
      <rPr>
        <b/>
        <sz val="10"/>
        <rFont val="宋体"/>
        <family val="3"/>
        <charset val="134"/>
      </rPr>
      <t>合计</t>
    </r>
    <phoneticPr fontId="11" type="noConversion"/>
  </si>
  <si>
    <r>
      <t xml:space="preserve">    </t>
    </r>
    <r>
      <rPr>
        <sz val="10"/>
        <rFont val="宋体"/>
        <family val="3"/>
        <charset val="134"/>
      </rPr>
      <t>其他综合收益</t>
    </r>
    <phoneticPr fontId="11" type="noConversion"/>
  </si>
  <si>
    <r>
      <rPr>
        <b/>
        <sz val="10"/>
        <rFont val="宋体"/>
        <family val="3"/>
        <charset val="134"/>
      </rPr>
      <t>减：</t>
    </r>
    <phoneticPr fontId="11" type="noConversion"/>
  </si>
  <si>
    <r>
      <rPr>
        <sz val="10"/>
        <rFont val="宋体"/>
        <family val="3"/>
        <charset val="134"/>
      </rPr>
      <t>调整后所有者权益合计</t>
    </r>
    <phoneticPr fontId="11" type="noConversion"/>
  </si>
  <si>
    <r>
      <rPr>
        <sz val="10"/>
        <rFont val="宋体"/>
        <family val="3"/>
        <charset val="134"/>
      </rPr>
      <t>本公司持股比例</t>
    </r>
    <phoneticPr fontId="11" type="noConversion"/>
  </si>
  <si>
    <r>
      <rPr>
        <b/>
        <sz val="10"/>
        <rFont val="宋体"/>
        <family val="3"/>
        <charset val="134"/>
      </rPr>
      <t>账面数：</t>
    </r>
    <phoneticPr fontId="11" type="noConversion"/>
  </si>
  <si>
    <r>
      <t xml:space="preserve">    </t>
    </r>
    <r>
      <rPr>
        <sz val="10"/>
        <rFont val="宋体"/>
        <family val="3"/>
        <charset val="134"/>
      </rPr>
      <t>专项储备</t>
    </r>
    <phoneticPr fontId="11" type="noConversion"/>
  </si>
  <si>
    <r>
      <rPr>
        <b/>
        <sz val="10"/>
        <rFont val="宋体"/>
        <family val="3"/>
        <charset val="134"/>
      </rPr>
      <t>加：</t>
    </r>
    <phoneticPr fontId="11" type="noConversion"/>
  </si>
  <si>
    <r>
      <rPr>
        <sz val="10"/>
        <rFont val="宋体"/>
        <family val="3"/>
        <charset val="134"/>
      </rPr>
      <t>取得投资时公允价值与账面价值差异调整数（表四）</t>
    </r>
    <phoneticPr fontId="11" type="noConversion"/>
  </si>
  <si>
    <r>
      <rPr>
        <sz val="10"/>
        <rFont val="宋体"/>
        <family val="3"/>
        <charset val="134"/>
      </rPr>
      <t>本期净利润的其他调整数</t>
    </r>
    <phoneticPr fontId="11" type="noConversion"/>
  </si>
  <si>
    <r>
      <rPr>
        <sz val="10"/>
        <rFont val="宋体"/>
        <family val="3"/>
        <charset val="134"/>
      </rPr>
      <t>期初公允价值差异累计调整数</t>
    </r>
    <phoneticPr fontId="11" type="noConversion"/>
  </si>
  <si>
    <r>
      <rPr>
        <sz val="10"/>
        <rFont val="宋体"/>
        <family val="3"/>
        <charset val="134"/>
      </rPr>
      <t>未实现内部交易损益抵消（见内部交易抵销测算表</t>
    </r>
    <r>
      <rPr>
        <sz val="10"/>
        <rFont val="Arial Narrow"/>
        <family val="2"/>
      </rPr>
      <t xml:space="preserve"> </t>
    </r>
    <r>
      <rPr>
        <sz val="10"/>
        <rFont val="宋体"/>
        <family val="3"/>
        <charset val="134"/>
      </rPr>
      <t>）</t>
    </r>
    <r>
      <rPr>
        <sz val="10"/>
        <rFont val="Arial Narrow"/>
        <family val="2"/>
      </rPr>
      <t xml:space="preserve">  </t>
    </r>
    <phoneticPr fontId="11" type="noConversion"/>
  </si>
  <si>
    <r>
      <t xml:space="preserve">        </t>
    </r>
    <r>
      <rPr>
        <sz val="10"/>
        <rFont val="宋体"/>
        <family val="3"/>
        <charset val="134"/>
      </rPr>
      <t>本公司应享有的所有者权益</t>
    </r>
    <phoneticPr fontId="11" type="noConversion"/>
  </si>
  <si>
    <t>页 次：</t>
    <phoneticPr fontId="6" type="noConversion"/>
  </si>
  <si>
    <t>页 次：</t>
    <phoneticPr fontId="6" type="noConversion"/>
  </si>
  <si>
    <t>页 次：</t>
    <phoneticPr fontId="11" type="noConversion"/>
  </si>
  <si>
    <r>
      <rPr>
        <sz val="10"/>
        <color indexed="8"/>
        <rFont val="宋体"/>
        <family val="3"/>
        <charset val="134"/>
      </rPr>
      <t>一、审计目标：</t>
    </r>
    <r>
      <rPr>
        <sz val="10"/>
        <color indexed="8"/>
        <rFont val="Arial Narrow"/>
        <family val="2"/>
      </rPr>
      <t/>
    </r>
    <phoneticPr fontId="11" type="noConversion"/>
  </si>
  <si>
    <r>
      <t>1.</t>
    </r>
    <r>
      <rPr>
        <sz val="10"/>
        <color indexed="8"/>
        <rFont val="宋体"/>
        <family val="3"/>
        <charset val="134"/>
      </rPr>
      <t>资产负债表中记录的长期股权投资是存在的，且已经记录在恰当的账户中；</t>
    </r>
    <r>
      <rPr>
        <sz val="10"/>
        <color indexed="8"/>
        <rFont val="Arial Narrow"/>
        <family val="2"/>
      </rPr>
      <t/>
    </r>
    <phoneticPr fontId="11" type="noConversion"/>
  </si>
  <si>
    <r>
      <t>2.</t>
    </r>
    <r>
      <rPr>
        <sz val="10"/>
        <color indexed="8"/>
        <rFont val="宋体"/>
        <family val="3"/>
        <charset val="134"/>
      </rPr>
      <t>所有应记录的长期股权投资均已记录，所有应当包括在财务报表中的相关披露均已包括；</t>
    </r>
    <phoneticPr fontId="11" type="noConversion"/>
  </si>
  <si>
    <r>
      <t>4.</t>
    </r>
    <r>
      <rPr>
        <sz val="10"/>
        <color indexed="8"/>
        <rFont val="宋体"/>
        <family val="3"/>
        <charset val="134"/>
      </rPr>
      <t>记录的长期股权投资由被审计单位拥有或控制</t>
    </r>
    <phoneticPr fontId="11" type="noConversion"/>
  </si>
  <si>
    <t>索引号：</t>
    <phoneticPr fontId="11" type="noConversion"/>
  </si>
  <si>
    <t>页 次：</t>
    <phoneticPr fontId="11" type="noConversion"/>
  </si>
  <si>
    <t>页 次：</t>
    <phoneticPr fontId="11" type="noConversion"/>
  </si>
  <si>
    <t>页 次：</t>
    <phoneticPr fontId="11" type="noConversion"/>
  </si>
  <si>
    <t>页 次：</t>
    <phoneticPr fontId="11" type="noConversion"/>
  </si>
  <si>
    <t>页 次：</t>
    <phoneticPr fontId="11" type="noConversion"/>
  </si>
  <si>
    <t>页 次：</t>
    <phoneticPr fontId="11" type="noConversion"/>
  </si>
  <si>
    <t>页 次：</t>
    <phoneticPr fontId="11" type="noConversion"/>
  </si>
  <si>
    <r>
      <t>2</t>
    </r>
    <r>
      <rPr>
        <sz val="10"/>
        <color rgb="FF0000FF"/>
        <rFont val="宋体"/>
        <family val="3"/>
        <charset val="134"/>
      </rPr>
      <t>、购买少数股东股权的处理</t>
    </r>
    <phoneticPr fontId="11" type="noConversion"/>
  </si>
  <si>
    <t>针对存在减值迹象的长期股权投资，考虑执行下列程序：
（1）获取长期股权投资的减值明细表，考虑对该投资可能造成减值的事件或环境变化；
（2）获取被审计单位管理层在资产负债表日就长期股权投资是否存在可能发生减值迹象的判断说明及减值测试过程，关注计提减值准备的依据是否充分，减值测试过程是否合理，会计处理是否正确。
（3）考虑是否需要利用估值专家的工作，如需要完成利用专家工作底稿。</t>
    <phoneticPr fontId="11" type="noConversion"/>
  </si>
  <si>
    <t>三、计划实施的实质性程序</t>
    <phoneticPr fontId="11" type="noConversion"/>
  </si>
  <si>
    <r>
      <t>对期初余额的审计，获取前期期末对被投资单位股权投资的明细，以及相关支持文件并分析，判断公司对投资的分类及其影响程度的认定是否正确，关注计算的准确性，会计处理是否恰当；确定是否需要补充必要的程序。</t>
    </r>
    <r>
      <rPr>
        <sz val="10"/>
        <color rgb="FFFF0000"/>
        <rFont val="宋体"/>
        <family val="3"/>
        <charset val="134"/>
      </rPr>
      <t>（适用于首次承接）</t>
    </r>
    <phoneticPr fontId="11" type="noConversion"/>
  </si>
  <si>
    <t>IPO/上市/新三板/重组/舞弊应对</t>
    <phoneticPr fontId="6" type="noConversion"/>
  </si>
  <si>
    <t>G7-1
/G7-2</t>
    <phoneticPr fontId="11" type="noConversion"/>
  </si>
  <si>
    <t>T1
/G0-2
/</t>
    <phoneticPr fontId="6" type="noConversion"/>
  </si>
  <si>
    <t>G7-7
/G7-8
/G7-9
/G7-13
/G7-18</t>
    <phoneticPr fontId="11" type="noConversion"/>
  </si>
  <si>
    <t>G7-10
/G7-14
/G7-15
/G7-16
/G7-18</t>
    <phoneticPr fontId="11" type="noConversion"/>
  </si>
  <si>
    <t>G7-11
/G7-12
/G7-18</t>
    <phoneticPr fontId="11" type="noConversion"/>
  </si>
  <si>
    <t>G7-14
/G7-15
/G7-16</t>
    <phoneticPr fontId="11" type="noConversion"/>
  </si>
  <si>
    <r>
      <t>A1-1/</t>
    </r>
    <r>
      <rPr>
        <sz val="10"/>
        <color rgb="FFFF0000"/>
        <rFont val="Arial Narrow"/>
        <family val="2"/>
      </rPr>
      <t>A1-15 /A1-16</t>
    </r>
    <phoneticPr fontId="11" type="noConversion"/>
  </si>
  <si>
    <t>页 次：</t>
  </si>
  <si>
    <t>一、审计目标</t>
  </si>
  <si>
    <r>
      <rPr>
        <b/>
        <sz val="10"/>
        <rFont val="宋体"/>
        <family val="3"/>
        <charset val="134"/>
      </rPr>
      <t>二、样本选取标准与规模：</t>
    </r>
  </si>
  <si>
    <t>测试范围：</t>
  </si>
  <si>
    <t>如借方发生额所有凭证共XX笔金额XX、贷方发生额所有凭证共XX笔金额XX</t>
  </si>
  <si>
    <t>特定样本：</t>
  </si>
  <si>
    <t>XX金额以上（大额）、关联方/关联交易形成的款项、XX异常款项全部测试，共XX笔；</t>
  </si>
  <si>
    <t>抽样总体：</t>
  </si>
  <si>
    <t>测试总体扣除特定样本以外的样本，共XX笔、金额XX</t>
  </si>
  <si>
    <t>确定的抽样样本量：</t>
  </si>
  <si>
    <t>抽样方法：</t>
  </si>
  <si>
    <t>抽样过程：</t>
  </si>
  <si>
    <t>使用IDEA（XX抽样工具）选择XX数量占比XX%的样本进行测试，抽样工具中的样本选择过程和结果见XX底稿</t>
  </si>
  <si>
    <r>
      <rPr>
        <b/>
        <sz val="10"/>
        <rFont val="宋体"/>
        <family val="3"/>
        <charset val="134"/>
      </rPr>
      <t>三、测试：</t>
    </r>
  </si>
  <si>
    <r>
      <rPr>
        <b/>
        <sz val="10"/>
        <rFont val="Arial Narrow"/>
        <family val="2"/>
      </rPr>
      <t>1.</t>
    </r>
    <r>
      <rPr>
        <b/>
        <sz val="10"/>
        <rFont val="宋体"/>
        <family val="3"/>
        <charset val="134"/>
      </rPr>
      <t>本期发生额检查</t>
    </r>
  </si>
  <si>
    <t>记账凭证</t>
  </si>
  <si>
    <t>支持性文件</t>
  </si>
  <si>
    <r>
      <rPr>
        <b/>
        <sz val="10"/>
        <rFont val="宋体"/>
        <family val="3"/>
        <charset val="134"/>
      </rPr>
      <t>核对内容</t>
    </r>
  </si>
  <si>
    <t>索引号</t>
  </si>
  <si>
    <t>是否异常</t>
  </si>
  <si>
    <t>备注说明</t>
  </si>
  <si>
    <t>日期</t>
  </si>
  <si>
    <t>凭证编号</t>
  </si>
  <si>
    <t>业务内容</t>
  </si>
  <si>
    <t>对方科目</t>
  </si>
  <si>
    <t>明细科目</t>
  </si>
  <si>
    <t>借方金额</t>
  </si>
  <si>
    <t>贷方金额</t>
  </si>
  <si>
    <t>付款审批单、付款凭单、投资协议……</t>
  </si>
  <si>
    <r>
      <rPr>
        <b/>
        <sz val="10"/>
        <rFont val="Arial Narrow"/>
        <family val="2"/>
      </rPr>
      <t>2.</t>
    </r>
    <r>
      <rPr>
        <b/>
        <sz val="10"/>
        <rFont val="宋体"/>
        <family val="3"/>
        <charset val="134"/>
      </rPr>
      <t>期后处置、新增检查表</t>
    </r>
  </si>
  <si>
    <t>对方明细科目</t>
  </si>
  <si>
    <t>三、审计说明</t>
  </si>
  <si>
    <r>
      <rPr>
        <b/>
        <sz val="10"/>
        <rFont val="宋体"/>
        <family val="3"/>
        <charset val="134"/>
      </rPr>
      <t>五、审计结论：</t>
    </r>
  </si>
  <si>
    <r>
      <rPr>
        <i/>
        <sz val="10"/>
        <color indexed="12"/>
        <rFont val="宋体"/>
        <family val="3"/>
        <charset val="134"/>
      </rPr>
      <t>编制说明：</t>
    </r>
  </si>
  <si>
    <t>1、概述：（1）程序的测试情况、结果；</t>
  </si>
  <si>
    <r>
      <rPr>
        <b/>
        <sz val="10"/>
        <color indexed="12"/>
        <rFont val="宋体"/>
        <family val="3"/>
        <charset val="134"/>
      </rPr>
      <t>参考结论：</t>
    </r>
  </si>
  <si>
    <r>
      <rPr>
        <sz val="10"/>
        <color indexed="12"/>
        <rFont val="Arial Narrow"/>
        <family val="2"/>
      </rPr>
      <t>A</t>
    </r>
    <r>
      <rPr>
        <sz val="10"/>
        <color indexed="12"/>
        <rFont val="宋体"/>
        <family val="3"/>
        <charset val="134"/>
      </rPr>
      <t>、</t>
    </r>
  </si>
  <si>
    <r>
      <rPr>
        <sz val="10"/>
        <color indexed="12"/>
        <rFont val="宋体"/>
        <family val="3"/>
        <charset val="134"/>
      </rPr>
      <t>未见异常。</t>
    </r>
  </si>
  <si>
    <r>
      <rPr>
        <sz val="10"/>
        <color indexed="12"/>
        <rFont val="Arial Narrow"/>
        <family val="2"/>
      </rPr>
      <t>B</t>
    </r>
    <r>
      <rPr>
        <sz val="10"/>
        <color indexed="12"/>
        <rFont val="宋体"/>
        <family val="3"/>
        <charset val="134"/>
      </rPr>
      <t>、</t>
    </r>
  </si>
  <si>
    <r>
      <rPr>
        <sz val="10"/>
        <color indexed="12"/>
        <rFont val="宋体"/>
        <family val="3"/>
        <charset val="134"/>
      </rPr>
      <t>除以下重大不符事项应当作为调整事项予以调整外，其余未见异常。</t>
    </r>
  </si>
  <si>
    <r>
      <rPr>
        <sz val="10"/>
        <color indexed="12"/>
        <rFont val="Arial Narrow"/>
        <family val="2"/>
      </rPr>
      <t>C</t>
    </r>
    <r>
      <rPr>
        <sz val="10"/>
        <color indexed="12"/>
        <rFont val="宋体"/>
        <family val="3"/>
        <charset val="134"/>
      </rPr>
      <t>、</t>
    </r>
  </si>
  <si>
    <r>
      <rPr>
        <sz val="10"/>
        <color indexed="12"/>
        <rFont val="宋体"/>
        <family val="3"/>
        <charset val="134"/>
      </rPr>
      <t>由于存在以下重大未调整事项（或审计范围受到限制无法获取充分、适当证据），不可确认。</t>
    </r>
  </si>
  <si>
    <t>2、选取测试项目的方法：包括选取全部项目、选取特定项目和审计抽样。</t>
  </si>
  <si>
    <r>
      <rPr>
        <sz val="10"/>
        <color indexed="12"/>
        <rFont val="宋体"/>
        <family val="3"/>
        <charset val="134"/>
      </rPr>
      <t>（</t>
    </r>
    <r>
      <rPr>
        <sz val="10"/>
        <color indexed="12"/>
        <rFont val="Arial Narrow"/>
        <family val="2"/>
      </rPr>
      <t>1</t>
    </r>
    <r>
      <rPr>
        <sz val="10"/>
        <color indexed="12"/>
        <rFont val="宋体"/>
        <family val="3"/>
        <charset val="134"/>
      </rPr>
      <t>）</t>
    </r>
  </si>
  <si>
    <r>
      <rPr>
        <sz val="10"/>
        <color indexed="12"/>
        <rFont val="宋体"/>
        <family val="3"/>
        <charset val="134"/>
      </rPr>
      <t>当存在下列情形之一时，注册会计师应当考虑选取全部项目进行测试：</t>
    </r>
  </si>
  <si>
    <r>
      <rPr>
        <sz val="10"/>
        <color indexed="12"/>
        <rFont val="宋体"/>
        <family val="3"/>
        <charset val="134"/>
      </rPr>
      <t>（一）总体由少量的大额项目构成；</t>
    </r>
  </si>
  <si>
    <r>
      <rPr>
        <sz val="10"/>
        <color indexed="12"/>
        <rFont val="宋体"/>
        <family val="3"/>
        <charset val="134"/>
      </rPr>
      <t>（二）存在特别风险且其他方法未提供充分、适当的审计证据；</t>
    </r>
  </si>
  <si>
    <r>
      <rPr>
        <sz val="10"/>
        <color indexed="12"/>
        <rFont val="宋体"/>
        <family val="3"/>
        <charset val="134"/>
      </rPr>
      <t>（三）由于信息系统自动执行的计算或其他程序具有重复性，对全部项目进行检查符合成本效益原则。</t>
    </r>
  </si>
  <si>
    <r>
      <rPr>
        <b/>
        <sz val="10"/>
        <color indexed="12"/>
        <rFont val="宋体"/>
        <family val="3"/>
        <charset val="134"/>
      </rPr>
      <t>特别风险涉及的事项包括但不限于：</t>
    </r>
  </si>
  <si>
    <r>
      <rPr>
        <sz val="10"/>
        <color indexed="12"/>
        <rFont val="Arial Narrow"/>
        <family val="2"/>
      </rPr>
      <t>（1</t>
    </r>
    <r>
      <rPr>
        <sz val="10"/>
        <color indexed="12"/>
        <rFont val="宋体"/>
        <family val="3"/>
        <charset val="134"/>
      </rPr>
      <t>）舞弊风险（如</t>
    </r>
    <r>
      <rPr>
        <sz val="10"/>
        <color indexed="12"/>
        <rFont val="Arial Narrow"/>
        <family val="2"/>
      </rPr>
      <t>1141</t>
    </r>
    <r>
      <rPr>
        <sz val="10"/>
        <color indexed="12"/>
        <rFont val="宋体"/>
        <family val="3"/>
        <charset val="134"/>
      </rPr>
      <t>准则的示例）；（</t>
    </r>
    <r>
      <rPr>
        <sz val="10"/>
        <color indexed="12"/>
        <rFont val="Arial Narrow"/>
        <family val="2"/>
      </rPr>
      <t>2</t>
    </r>
    <r>
      <rPr>
        <sz val="10"/>
        <color indexed="12"/>
        <rFont val="宋体"/>
        <family val="3"/>
        <charset val="134"/>
      </rPr>
      <t>）重大非常规交易（如企业购并、债务重组、非货币性资产交换、</t>
    </r>
  </si>
  <si>
    <r>
      <rPr>
        <sz val="10"/>
        <color indexed="12"/>
        <rFont val="宋体"/>
        <family val="3"/>
        <charset val="134"/>
      </rPr>
      <t>重大或有事项、持续经营、违反法律法规等）；</t>
    </r>
    <r>
      <rPr>
        <sz val="10"/>
        <color indexed="12"/>
        <rFont val="Arial Narrow"/>
        <family val="2"/>
      </rPr>
      <t>(3)</t>
    </r>
    <r>
      <rPr>
        <sz val="10"/>
        <color indexed="12"/>
        <rFont val="宋体"/>
        <family val="3"/>
        <charset val="134"/>
      </rPr>
      <t>重大关联交易；</t>
    </r>
    <r>
      <rPr>
        <sz val="10"/>
        <color indexed="12"/>
        <rFont val="Arial Narrow"/>
        <family val="2"/>
      </rPr>
      <t>(4)</t>
    </r>
    <r>
      <rPr>
        <sz val="10"/>
        <color indexed="12"/>
        <rFont val="宋体"/>
        <family val="3"/>
        <charset val="134"/>
      </rPr>
      <t>重大判断事项（如重大会计估计、</t>
    </r>
  </si>
  <si>
    <r>
      <rPr>
        <sz val="10"/>
        <color indexed="12"/>
        <rFont val="宋体"/>
        <family val="3"/>
        <charset val="134"/>
      </rPr>
      <t>会计政策及其变更）；</t>
    </r>
    <r>
      <rPr>
        <sz val="10"/>
        <color indexed="12"/>
        <rFont val="Arial Narrow"/>
        <family val="2"/>
      </rPr>
      <t>(5)</t>
    </r>
    <r>
      <rPr>
        <sz val="10"/>
        <color indexed="12"/>
        <rFont val="宋体"/>
        <family val="3"/>
        <charset val="134"/>
      </rPr>
      <t>重大复杂交易；</t>
    </r>
    <r>
      <rPr>
        <sz val="10"/>
        <color indexed="12"/>
        <rFont val="Arial Narrow"/>
        <family val="2"/>
      </rPr>
      <t>(6)</t>
    </r>
    <r>
      <rPr>
        <sz val="10"/>
        <color indexed="12"/>
        <rFont val="宋体"/>
        <family val="3"/>
        <charset val="134"/>
      </rPr>
      <t>仅通过实质性程序无法应对的重大错报风险（如日常交易采用</t>
    </r>
  </si>
  <si>
    <r>
      <rPr>
        <sz val="10"/>
        <color indexed="12"/>
        <rFont val="宋体"/>
        <family val="3"/>
        <charset val="134"/>
      </rPr>
      <t>高度自动化处理）等等。</t>
    </r>
  </si>
  <si>
    <r>
      <rPr>
        <sz val="10"/>
        <color indexed="12"/>
        <rFont val="宋体"/>
        <family val="3"/>
        <charset val="134"/>
      </rPr>
      <t>（</t>
    </r>
    <r>
      <rPr>
        <sz val="10"/>
        <color indexed="12"/>
        <rFont val="Arial Narrow"/>
        <family val="2"/>
      </rPr>
      <t>2</t>
    </r>
    <r>
      <rPr>
        <sz val="10"/>
        <color indexed="12"/>
        <rFont val="宋体"/>
        <family val="3"/>
        <charset val="134"/>
      </rPr>
      <t>）</t>
    </r>
  </si>
  <si>
    <r>
      <rPr>
        <sz val="10"/>
        <color indexed="12"/>
        <rFont val="宋体"/>
        <family val="3"/>
        <charset val="134"/>
      </rPr>
      <t>选取的特定项目可能包括：</t>
    </r>
  </si>
  <si>
    <r>
      <rPr>
        <sz val="10"/>
        <color indexed="12"/>
        <rFont val="宋体"/>
        <family val="3"/>
        <charset val="134"/>
      </rPr>
      <t>（一）大额或关键项目；</t>
    </r>
  </si>
  <si>
    <r>
      <rPr>
        <sz val="10"/>
        <color indexed="12"/>
        <rFont val="宋体"/>
        <family val="3"/>
        <charset val="134"/>
      </rPr>
      <t>（二）超过某一金额的全部项目；</t>
    </r>
  </si>
  <si>
    <r>
      <rPr>
        <sz val="10"/>
        <color indexed="12"/>
        <rFont val="宋体"/>
        <family val="3"/>
        <charset val="134"/>
      </rPr>
      <t>（三）被用于获取某些信息的项目；</t>
    </r>
  </si>
  <si>
    <r>
      <rPr>
        <sz val="10"/>
        <color indexed="12"/>
        <rFont val="宋体"/>
        <family val="3"/>
        <charset val="134"/>
      </rPr>
      <t>（四）被用于测试控制活动的项目。</t>
    </r>
  </si>
  <si>
    <r>
      <rPr>
        <sz val="10"/>
        <color indexed="12"/>
        <rFont val="宋体"/>
        <family val="3"/>
        <charset val="134"/>
      </rPr>
      <t>根据判断选取特定项目，容易产生非抽样风险。</t>
    </r>
  </si>
  <si>
    <r>
      <rPr>
        <sz val="10"/>
        <color indexed="12"/>
        <rFont val="宋体"/>
        <family val="3"/>
        <charset val="134"/>
      </rPr>
      <t>选取特定项目实施检查，通常是获取审计证据的有效手段，但并不构成审计抽样。</t>
    </r>
  </si>
  <si>
    <r>
      <rPr>
        <b/>
        <sz val="10"/>
        <color indexed="12"/>
        <rFont val="宋体"/>
        <family val="3"/>
        <charset val="134"/>
      </rPr>
      <t>非抽样风险</t>
    </r>
    <r>
      <rPr>
        <sz val="10"/>
        <color indexed="12"/>
        <rFont val="宋体"/>
        <family val="3"/>
        <charset val="134"/>
      </rPr>
      <t>是指由于某些与样本规模无关的因素而导致注册会计师得出错误结论的可能性。</t>
    </r>
  </si>
  <si>
    <r>
      <rPr>
        <sz val="10"/>
        <color indexed="12"/>
        <rFont val="宋体"/>
        <family val="3"/>
        <charset val="134"/>
      </rPr>
      <t>　　注册会计师采用不适当的审计程序，或者误解审计证据而没有发现误差等，均可能导致非抽样风险。</t>
    </r>
  </si>
  <si>
    <r>
      <rPr>
        <sz val="10"/>
        <color indexed="12"/>
        <rFont val="宋体"/>
        <family val="3"/>
        <charset val="134"/>
      </rPr>
      <t>　　在实施控制测试时，误差是指控制偏差；在实施细节测试时，误差是指错报。</t>
    </r>
  </si>
  <si>
    <r>
      <rPr>
        <sz val="10"/>
        <color indexed="12"/>
        <rFont val="宋体"/>
        <family val="3"/>
        <charset val="134"/>
      </rPr>
      <t>（</t>
    </r>
    <r>
      <rPr>
        <sz val="10"/>
        <color indexed="12"/>
        <rFont val="Arial Narrow"/>
        <family val="2"/>
      </rPr>
      <t>3</t>
    </r>
    <r>
      <rPr>
        <sz val="10"/>
        <color indexed="12"/>
        <rFont val="宋体"/>
        <family val="3"/>
        <charset val="134"/>
      </rPr>
      <t>）</t>
    </r>
  </si>
  <si>
    <r>
      <rPr>
        <sz val="10"/>
        <color indexed="12"/>
        <rFont val="宋体"/>
        <family val="3"/>
        <charset val="134"/>
      </rPr>
      <t>审计抽样，是指注册会计师对某类交易或账户余额中低于百分之百的项目实施审计程序，</t>
    </r>
    <r>
      <rPr>
        <b/>
        <sz val="10"/>
        <color indexed="12"/>
        <rFont val="宋体"/>
        <family val="3"/>
        <charset val="134"/>
      </rPr>
      <t>使所有抽样单元都有被选取的机会</t>
    </r>
    <r>
      <rPr>
        <sz val="10"/>
        <color indexed="12"/>
        <rFont val="宋体"/>
        <family val="3"/>
        <charset val="134"/>
      </rPr>
      <t>。</t>
    </r>
  </si>
  <si>
    <r>
      <rPr>
        <sz val="10"/>
        <color indexed="12"/>
        <rFont val="宋体"/>
        <family val="3"/>
        <charset val="134"/>
      </rPr>
      <t>统计抽样是指同时具备下列特征的抽样方法：</t>
    </r>
  </si>
  <si>
    <r>
      <rPr>
        <sz val="10"/>
        <color indexed="12"/>
        <rFont val="宋体"/>
        <family val="3"/>
        <charset val="134"/>
      </rPr>
      <t>（一）随机选取样本；</t>
    </r>
  </si>
  <si>
    <r>
      <rPr>
        <sz val="10"/>
        <color indexed="12"/>
        <rFont val="宋体"/>
        <family val="3"/>
        <charset val="134"/>
      </rPr>
      <t>（二）运用概率论评价样本结果，包括计量抽样风险。</t>
    </r>
  </si>
  <si>
    <r>
      <rPr>
        <sz val="10"/>
        <color indexed="12"/>
        <rFont val="宋体"/>
        <family val="3"/>
        <charset val="134"/>
      </rPr>
      <t>不同时具备上述两个特征的抽样方法为非统计抽样。</t>
    </r>
  </si>
  <si>
    <r>
      <rPr>
        <sz val="10"/>
        <color indexed="12"/>
        <rFont val="宋体"/>
        <family val="3"/>
        <charset val="134"/>
      </rPr>
      <t>在实施细节测试时，特别是测试高估时，将构成某类交易或账户余额的每一货币单位（如人民币元）作为抽样单元，通常效率很高。</t>
    </r>
  </si>
  <si>
    <r>
      <rPr>
        <sz val="10"/>
        <color indexed="12"/>
        <rFont val="宋体"/>
        <family val="3"/>
        <charset val="134"/>
      </rPr>
      <t>即在测试存在性时，选择大额项目的效率较高。</t>
    </r>
  </si>
  <si>
    <r>
      <rPr>
        <b/>
        <sz val="10"/>
        <color indexed="12"/>
        <rFont val="宋体"/>
        <family val="3"/>
        <charset val="134"/>
      </rPr>
      <t>分层</t>
    </r>
    <r>
      <rPr>
        <sz val="10"/>
        <color indexed="12"/>
        <rFont val="宋体"/>
        <family val="3"/>
        <charset val="134"/>
      </rPr>
      <t>是指将一个总体划分为多个子总体的过程，每个子总体由一组具有相同特征（通常为货币金额）的抽样单元组成。</t>
    </r>
  </si>
  <si>
    <r>
      <rPr>
        <sz val="10"/>
        <color indexed="12"/>
        <rFont val="宋体"/>
        <family val="3"/>
        <charset val="134"/>
      </rPr>
      <t>当实施细节测试时，注册会计师通常按照货币金额对某类交易或账户余额进行分层，以将更多的审计资源投入到大额项目中。</t>
    </r>
  </si>
  <si>
    <r>
      <rPr>
        <sz val="10"/>
        <color indexed="12"/>
        <rFont val="宋体"/>
        <family val="3"/>
        <charset val="134"/>
      </rPr>
      <t>在统计抽样中，注册会计师应当随机选取样本项目，以使每一抽样单元以已知的机会被选中。</t>
    </r>
  </si>
  <si>
    <r>
      <rPr>
        <sz val="10"/>
        <color indexed="12"/>
        <rFont val="宋体"/>
        <family val="3"/>
        <charset val="134"/>
      </rPr>
      <t>在非统计抽样中，注册会计师应当运用职业判断选取样本项目。</t>
    </r>
  </si>
  <si>
    <r>
      <rPr>
        <sz val="10"/>
        <color indexed="12"/>
        <rFont val="宋体"/>
        <family val="3"/>
        <charset val="134"/>
      </rPr>
      <t>注册会计师可以使用统计学公式或运用职业判断，确定样本规模。</t>
    </r>
  </si>
  <si>
    <r>
      <rPr>
        <sz val="10"/>
        <color indexed="12"/>
        <rFont val="宋体"/>
        <family val="3"/>
        <charset val="134"/>
      </rPr>
      <t>参考：样本规模</t>
    </r>
    <r>
      <rPr>
        <sz val="10"/>
        <color indexed="12"/>
        <rFont val="Arial Narrow"/>
        <family val="2"/>
      </rPr>
      <t>=</t>
    </r>
    <r>
      <rPr>
        <sz val="10"/>
        <color indexed="12"/>
        <rFont val="宋体"/>
        <family val="3"/>
        <charset val="134"/>
      </rPr>
      <t>账面价值</t>
    </r>
    <r>
      <rPr>
        <sz val="10"/>
        <color indexed="12"/>
        <rFont val="Arial Narrow"/>
        <family val="2"/>
      </rPr>
      <t>×</t>
    </r>
    <r>
      <rPr>
        <sz val="10"/>
        <color indexed="12"/>
        <rFont val="宋体"/>
        <family val="3"/>
        <charset val="134"/>
      </rPr>
      <t>风险系数</t>
    </r>
    <r>
      <rPr>
        <sz val="10"/>
        <color indexed="12"/>
        <rFont val="Arial Narrow"/>
        <family val="2"/>
      </rPr>
      <t>/</t>
    </r>
    <r>
      <rPr>
        <sz val="10"/>
        <color indexed="12"/>
        <rFont val="宋体"/>
        <family val="3"/>
        <charset val="134"/>
      </rPr>
      <t>（可容忍错报</t>
    </r>
    <r>
      <rPr>
        <sz val="10"/>
        <color indexed="12"/>
        <rFont val="Arial Narrow"/>
        <family val="2"/>
      </rPr>
      <t>-</t>
    </r>
    <r>
      <rPr>
        <sz val="10"/>
        <color indexed="12"/>
        <rFont val="宋体"/>
        <family val="3"/>
        <charset val="134"/>
      </rPr>
      <t>（预计错报</t>
    </r>
    <r>
      <rPr>
        <sz val="10"/>
        <color indexed="12"/>
        <rFont val="Arial Narrow"/>
        <family val="2"/>
      </rPr>
      <t>×</t>
    </r>
    <r>
      <rPr>
        <sz val="10"/>
        <color indexed="12"/>
        <rFont val="宋体"/>
        <family val="3"/>
        <charset val="134"/>
      </rPr>
      <t>扩展系数））</t>
    </r>
  </si>
  <si>
    <r>
      <rPr>
        <sz val="10"/>
        <color indexed="12"/>
        <rFont val="宋体"/>
        <family val="3"/>
        <charset val="134"/>
      </rPr>
      <t>选取样本的基本方法，包括使用随机数表或计算机辅助审计技术选样、系统选样和</t>
    </r>
    <r>
      <rPr>
        <b/>
        <sz val="10"/>
        <color indexed="12"/>
        <rFont val="宋体"/>
        <family val="3"/>
        <charset val="134"/>
      </rPr>
      <t>随意选样</t>
    </r>
    <r>
      <rPr>
        <sz val="10"/>
        <color indexed="12"/>
        <rFont val="宋体"/>
        <family val="3"/>
        <charset val="134"/>
      </rPr>
      <t>。</t>
    </r>
  </si>
  <si>
    <r>
      <rPr>
        <b/>
        <sz val="10"/>
        <color indexed="12"/>
        <rFont val="宋体"/>
        <family val="3"/>
        <charset val="134"/>
      </rPr>
      <t>预计错报的扩展系数</t>
    </r>
  </si>
  <si>
    <r>
      <rPr>
        <b/>
        <sz val="10"/>
        <color indexed="12"/>
        <rFont val="宋体"/>
        <family val="3"/>
        <charset val="134"/>
      </rPr>
      <t>误受风险（</t>
    </r>
    <r>
      <rPr>
        <b/>
        <sz val="10"/>
        <color indexed="12"/>
        <rFont val="Arial Narrow"/>
        <family val="2"/>
      </rPr>
      <t>%</t>
    </r>
    <r>
      <rPr>
        <b/>
        <sz val="10"/>
        <color indexed="12"/>
        <rFont val="宋体"/>
        <family val="3"/>
        <charset val="134"/>
      </rPr>
      <t>）</t>
    </r>
  </si>
  <si>
    <r>
      <rPr>
        <b/>
        <sz val="10"/>
        <color indexed="12"/>
        <rFont val="宋体"/>
        <family val="3"/>
        <charset val="134"/>
      </rPr>
      <t>扩展系数</t>
    </r>
  </si>
  <si>
    <r>
      <t>1.</t>
    </r>
    <r>
      <rPr>
        <sz val="10"/>
        <rFont val="宋体"/>
        <family val="3"/>
        <charset val="134"/>
      </rPr>
      <t>资产负债表中记录的长期股权投资是存在的，且已经记录在恰当的账户中；</t>
    </r>
    <r>
      <rPr>
        <sz val="10"/>
        <rFont val="Arial Narrow"/>
        <family val="2"/>
      </rPr>
      <t>2.</t>
    </r>
    <r>
      <rPr>
        <sz val="10"/>
        <rFont val="宋体"/>
        <family val="3"/>
        <charset val="134"/>
      </rPr>
      <t>记录的长期股权投资由被审计单位拥有或控制；</t>
    </r>
    <phoneticPr fontId="11" type="noConversion"/>
  </si>
  <si>
    <r>
      <t>3.</t>
    </r>
    <r>
      <rPr>
        <sz val="10"/>
        <rFont val="宋体"/>
        <family val="3"/>
        <charset val="134"/>
      </rPr>
      <t>长期股权投资以恰当的金额包括在财务报表中，与之相关的计价或分摊调整已恰当记录，相关披露已得到恰当计量和描述</t>
    </r>
    <r>
      <rPr>
        <sz val="10"/>
        <rFont val="Arial Narrow"/>
        <family val="2"/>
      </rPr>
      <t xml:space="preserve"> </t>
    </r>
    <phoneticPr fontId="11" type="noConversion"/>
  </si>
  <si>
    <t>测试内容说明：1.原始凭证内容完整； 2.有授权批准；3.账务处理正确；4.初始成本计算正确；5.权益法计算正确；6.……</t>
    <phoneticPr fontId="11" type="noConversion"/>
  </si>
  <si>
    <t>权利和义务</t>
    <phoneticPr fontId="11" type="noConversion"/>
  </si>
  <si>
    <t>准确性、计价和分摊</t>
    <phoneticPr fontId="11" type="noConversion"/>
  </si>
  <si>
    <r>
      <t xml:space="preserve">C. </t>
    </r>
    <r>
      <rPr>
        <sz val="10"/>
        <rFont val="宋体"/>
        <family val="3"/>
        <charset val="134"/>
      </rPr>
      <t>记录的长期股权投资由被审计单位拥有或控制</t>
    </r>
    <phoneticPr fontId="11" type="noConversion"/>
  </si>
  <si>
    <r>
      <t xml:space="preserve">D. </t>
    </r>
    <r>
      <rPr>
        <sz val="10"/>
        <rFont val="宋体"/>
        <family val="3"/>
        <charset val="134"/>
      </rPr>
      <t>长期股权投资以恰当的金额包括在财务报表中，与之相关的计价或分摊调整已恰当记录，相关披露已得到恰当计量和描述</t>
    </r>
    <r>
      <rPr>
        <sz val="10"/>
        <rFont val="Arial Narrow"/>
        <family val="2"/>
      </rPr>
      <t xml:space="preserve"> </t>
    </r>
    <phoneticPr fontId="11" type="noConversion"/>
  </si>
  <si>
    <t>关于工作底稿与审计程序索引号对应的说明</t>
    <phoneticPr fontId="11"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</si>
  <si>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1"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</si>
  <si>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1"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</si>
  <si>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1"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</si>
  <si>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11" type="noConversion"/>
  </si>
  <si>
    <t>长期股权投资初始判断</t>
    <phoneticPr fontId="11" type="noConversion"/>
  </si>
  <si>
    <r>
      <rPr>
        <sz val="10"/>
        <color indexed="12"/>
        <rFont val="宋体"/>
        <family val="3"/>
        <charset val="134"/>
      </rPr>
      <t>提示：与被审计单位人员讨论确定是否存在被投资单位由于所在国家和地区及其他方面的影响，其向被审计单位转移资金的能力受到限制的情况，如存在，应详细记录受限情况，并提请被审计单位充分披露</t>
    </r>
    <phoneticPr fontId="11" type="noConversion"/>
  </si>
  <si>
    <r>
      <rPr>
        <b/>
        <sz val="10"/>
        <rFont val="宋体"/>
        <family val="3"/>
        <charset val="134"/>
      </rPr>
      <t>（一）按成本法核算的长期股权投资</t>
    </r>
    <phoneticPr fontId="11" type="noConversion"/>
  </si>
  <si>
    <r>
      <rPr>
        <b/>
        <sz val="10"/>
        <rFont val="宋体"/>
        <family val="3"/>
        <charset val="134"/>
      </rPr>
      <t>初始投资成本</t>
    </r>
  </si>
  <si>
    <r>
      <rPr>
        <b/>
        <sz val="10"/>
        <rFont val="宋体"/>
        <family val="3"/>
        <charset val="134"/>
      </rPr>
      <t>投资比例</t>
    </r>
    <phoneticPr fontId="11" type="noConversion"/>
  </si>
  <si>
    <r>
      <rPr>
        <b/>
        <sz val="10"/>
        <rFont val="宋体"/>
        <family val="3"/>
        <charset val="134"/>
      </rPr>
      <t>投资时间</t>
    </r>
  </si>
  <si>
    <r>
      <rPr>
        <b/>
        <sz val="10"/>
        <rFont val="宋体"/>
        <family val="3"/>
        <charset val="134"/>
      </rPr>
      <t>投资方式</t>
    </r>
  </si>
  <si>
    <r>
      <rPr>
        <b/>
        <sz val="10"/>
        <rFont val="宋体"/>
        <family val="3"/>
        <charset val="134"/>
      </rPr>
      <t>本期现金红利</t>
    </r>
    <phoneticPr fontId="11" type="noConversion"/>
  </si>
  <si>
    <r>
      <rPr>
        <b/>
        <sz val="10"/>
        <rFont val="宋体"/>
        <family val="3"/>
        <charset val="134"/>
      </rPr>
      <t>未审数</t>
    </r>
  </si>
  <si>
    <r>
      <rPr>
        <b/>
        <sz val="10"/>
        <rFont val="宋体"/>
        <family val="3"/>
        <charset val="134"/>
      </rPr>
      <t>期初调整</t>
    </r>
    <phoneticPr fontId="11" type="noConversion"/>
  </si>
  <si>
    <r>
      <rPr>
        <b/>
        <sz val="10"/>
        <rFont val="宋体"/>
        <family val="3"/>
        <charset val="134"/>
      </rPr>
      <t>账项调整</t>
    </r>
    <phoneticPr fontId="11" type="noConversion"/>
  </si>
  <si>
    <r>
      <rPr>
        <b/>
        <sz val="10"/>
        <rFont val="宋体"/>
        <family val="3"/>
        <charset val="134"/>
      </rPr>
      <t>重分类调整</t>
    </r>
    <phoneticPr fontId="11" type="noConversion"/>
  </si>
  <si>
    <r>
      <rPr>
        <b/>
        <sz val="10"/>
        <rFont val="宋体"/>
        <family val="3"/>
        <charset val="134"/>
      </rPr>
      <t>审定数</t>
    </r>
    <phoneticPr fontId="11" type="noConversion"/>
  </si>
  <si>
    <r>
      <rPr>
        <b/>
        <sz val="10"/>
        <rFont val="宋体"/>
        <family val="3"/>
        <charset val="134"/>
      </rPr>
      <t>期初余额</t>
    </r>
    <phoneticPr fontId="11" type="noConversion"/>
  </si>
  <si>
    <r>
      <rPr>
        <b/>
        <sz val="10"/>
        <rFont val="宋体"/>
        <family val="3"/>
        <charset val="134"/>
      </rPr>
      <t>本期增加</t>
    </r>
  </si>
  <si>
    <r>
      <rPr>
        <b/>
        <sz val="10"/>
        <rFont val="宋体"/>
        <family val="3"/>
        <charset val="134"/>
      </rPr>
      <t>本期减少</t>
    </r>
  </si>
  <si>
    <r>
      <rPr>
        <b/>
        <sz val="10"/>
        <rFont val="宋体"/>
        <family val="3"/>
        <charset val="134"/>
      </rPr>
      <t>本期减少</t>
    </r>
    <phoneticPr fontId="11" type="noConversion"/>
  </si>
  <si>
    <r>
      <rPr>
        <b/>
        <sz val="10"/>
        <rFont val="宋体"/>
        <family val="3"/>
        <charset val="134"/>
      </rPr>
      <t>投资比例</t>
    </r>
  </si>
  <si>
    <r>
      <t>3.</t>
    </r>
    <r>
      <rPr>
        <sz val="10"/>
        <color indexed="8"/>
        <rFont val="宋体"/>
        <family val="3"/>
        <charset val="134"/>
      </rPr>
      <t>长期股权投资以恰当的金额包括在财务报表中，与之相关的计价或分摊调整已恰当记录，相关披露已得到恰当计量和描述；</t>
    </r>
    <r>
      <rPr>
        <sz val="10"/>
        <color indexed="8"/>
        <rFont val="Arial Narrow"/>
        <family val="2"/>
      </rPr>
      <t/>
    </r>
    <phoneticPr fontId="11" type="noConversion"/>
  </si>
  <si>
    <r>
      <rPr>
        <b/>
        <sz val="10"/>
        <rFont val="宋体"/>
        <family val="3"/>
        <charset val="134"/>
      </rPr>
      <t>索引号</t>
    </r>
    <phoneticPr fontId="11" type="noConversion"/>
  </si>
  <si>
    <r>
      <rPr>
        <b/>
        <sz val="10"/>
        <rFont val="宋体"/>
        <family val="3"/>
        <charset val="134"/>
      </rPr>
      <t>金额</t>
    </r>
    <phoneticPr fontId="11" type="noConversion"/>
  </si>
  <si>
    <r>
      <rPr>
        <b/>
        <sz val="10"/>
        <rFont val="宋体"/>
        <family val="3"/>
        <charset val="134"/>
      </rPr>
      <t>本期增加</t>
    </r>
    <phoneticPr fontId="11" type="noConversion"/>
  </si>
  <si>
    <r>
      <rPr>
        <b/>
        <sz val="10"/>
        <rFont val="宋体"/>
        <family val="3"/>
        <charset val="134"/>
      </rPr>
      <t>索引号</t>
    </r>
    <phoneticPr fontId="11" type="noConversion"/>
  </si>
  <si>
    <r>
      <rPr>
        <b/>
        <sz val="10"/>
        <rFont val="宋体"/>
        <family val="3"/>
        <charset val="134"/>
      </rPr>
      <t>本期增加</t>
    </r>
    <phoneticPr fontId="11" type="noConversion"/>
  </si>
  <si>
    <r>
      <rPr>
        <b/>
        <sz val="10"/>
        <rFont val="宋体"/>
        <family val="3"/>
        <charset val="134"/>
      </rPr>
      <t>金额</t>
    </r>
    <phoneticPr fontId="11" type="noConversion"/>
  </si>
  <si>
    <t>1.资产负债表中记录的长期股权投资是存在的，且已经记录在恰当的账户中；</t>
  </si>
  <si>
    <t>2.所有应记录的长期股权投资均已记录，所有应当包括在财务报表中的相关披露均已包括；</t>
  </si>
  <si>
    <t>3.长期股权投资以恰当的金额包括在财务报表中，与之相关的计价或分摊调整已恰当记录，相关披露已得到恰当计量和描述；</t>
  </si>
  <si>
    <t>4.记录的长期股权投资由被审计单位拥有或控制</t>
  </si>
  <si>
    <t>随机选样/系统选样/货币单元抽样/随意选样（非统计抽样适用）</t>
    <phoneticPr fontId="11" type="noConversion"/>
  </si>
  <si>
    <t>抽取XX笔（如果使用了样本计算器计算样本量，样本量计算过程见&lt;XX&gt;底稿）</t>
    <phoneticPr fontId="11" type="noConversion"/>
  </si>
  <si>
    <t>合计</t>
    <phoneticPr fontId="11" type="noConversion"/>
  </si>
  <si>
    <t>本期发生额</t>
    <phoneticPr fontId="11" type="noConversion"/>
  </si>
  <si>
    <t>检查比例</t>
    <phoneticPr fontId="11" type="noConversion"/>
  </si>
  <si>
    <t>页 次：</t>
    <phoneticPr fontId="11" type="noConversion"/>
  </si>
  <si>
    <t>再从被投资单位套取资金（如投资私募基金后，在私募基金配合下将投资款从私募基金转出），如果还识别出被审计单位存在可能导致关联方资金占用以及其他套取资金行为的舞弊风险因素，则很可能表面存在第三方配合舞弊，应采取恰当的措施应对。</t>
    <phoneticPr fontId="11" type="noConversion"/>
  </si>
  <si>
    <r>
      <rPr>
        <sz val="10"/>
        <color indexed="12"/>
        <rFont val="Arial Narrow"/>
        <family val="2"/>
      </rPr>
      <t>5</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r>
      <rPr>
        <sz val="10"/>
        <color indexed="12"/>
        <rFont val="Arial Narrow"/>
        <family val="2"/>
      </rPr>
      <t/>
    </r>
    <phoneticPr fontId="6" type="noConversion"/>
  </si>
  <si>
    <r>
      <t>6</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、除上述重大不符事项应当作为调整事项予以调整外，其余未见异常。由于存在以下重大未调整事项</t>
    </r>
    <r>
      <rPr>
        <sz val="10"/>
        <color indexed="12"/>
        <rFont val="Arial Narrow"/>
        <family val="2"/>
      </rPr>
      <t>(</t>
    </r>
    <r>
      <rPr>
        <sz val="10"/>
        <color indexed="12"/>
        <rFont val="宋体"/>
        <family val="3"/>
        <charset val="134"/>
      </rPr>
      <t>或审计范围受到限制无法获取充分、适当证据</t>
    </r>
    <r>
      <rPr>
        <sz val="10"/>
        <color indexed="12"/>
        <rFont val="Arial Narrow"/>
        <family val="2"/>
      </rPr>
      <t>)</t>
    </r>
    <r>
      <rPr>
        <sz val="10"/>
        <color indexed="12"/>
        <rFont val="宋体"/>
        <family val="3"/>
        <charset val="134"/>
      </rPr>
      <t>，不可确认。</t>
    </r>
    <phoneticPr fontId="6" type="noConversion"/>
  </si>
  <si>
    <r>
      <t>4</t>
    </r>
    <r>
      <rPr>
        <sz val="10"/>
        <color rgb="FF0000FF"/>
        <rFont val="宋体"/>
        <family val="3"/>
        <charset val="134"/>
      </rPr>
      <t>、根据《中国注册会计师审计准则问题解答第</t>
    </r>
    <r>
      <rPr>
        <sz val="10"/>
        <color rgb="FF0000FF"/>
        <rFont val="Arial Narrow"/>
        <family val="2"/>
      </rPr>
      <t>18</t>
    </r>
    <r>
      <rPr>
        <sz val="10"/>
        <color rgb="FF0000FF"/>
        <rFont val="宋体"/>
        <family val="3"/>
        <charset val="134"/>
      </rPr>
      <t>号——识别和应对第三方配合实施财务舞弊》：当期存在大额对外投资时，需考虑是否存在通过被审计单位将资金投入被投资单位，</t>
    </r>
    <phoneticPr fontId="11" type="noConversion"/>
  </si>
  <si>
    <t>根据被审计单位实际情况和风险评估情况裁剪、修改或增加审计程序</t>
    <phoneticPr fontId="11" type="noConversion"/>
  </si>
  <si>
    <t>审计程序</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</si>
</sst>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8">
    <numFmt numFmtId="41" formatCode="_ * #,##0_ ;_ * \-#,##0_ ;_ * &quot;-&quot;_ ;_ @_ "/>
    <numFmt numFmtId="43" formatCode="_ * #,##0.00_ ;_ * \-#,##0.00_ ;_ * &quot;-&quot;??_ ;_ @_ "/>
    <numFmt numFmtId="176" formatCode="0.0000%"/>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quot;¥&quot;#,##0"/>
    <numFmt numFmtId="189" formatCode="&quot;$&quot;#,##0_);\(&quot;$&quot;#,##0\)"/>
    <numFmt numFmtId="190" formatCode="#,##0;\-#,##0;&quot;-&quot;"/>
    <numFmt numFmtId="191" formatCode="\(#,##0\)\ "/>
    <numFmt numFmtId="192" formatCode="[Blue]0.0%;[Blue]\(0.0%\)"/>
    <numFmt numFmtId="193" formatCode="0.0%;\(0.0%\)"/>
    <numFmt numFmtId="194" formatCode="[Red]0.0%;[Red]\(0.0%\)"/>
    <numFmt numFmtId="195" formatCode="[Blue]#,##0_);[Blue]\(#,##0\)"/>
    <numFmt numFmtId="196" formatCode="#,##0_);[Blue]\(#,##0\)"/>
    <numFmt numFmtId="197" formatCode="&quot;$&quot;#,##0;[Red]&quot;$&quot;&quot;$&quot;&quot;$&quot;&quot;$&quot;&quot;$&quot;&quot;$&quot;&quot;$&quot;\-#,##0"/>
    <numFmt numFmtId="198" formatCode="#,##0;\(#,##0\)"/>
    <numFmt numFmtId="199" formatCode="#,##0.0_);\(#,##0.0\)"/>
    <numFmt numFmtId="200" formatCode="hh:mm\ AM/PM_)"/>
    <numFmt numFmtId="201" formatCode="&quot;$&quot;#,##0.00_);\(&quot;$&quot;#,##0.00\)"/>
    <numFmt numFmtId="202" formatCode=";;;"/>
    <numFmt numFmtId="203" formatCode="\$#,##0.00;\(\$#,##0.00\)"/>
    <numFmt numFmtId="204" formatCode="\$#,##0;\(\$#,##0\)"/>
    <numFmt numFmtId="205" formatCode="_([$€-2]* #,##0.00_);_([$€-2]* \(#,##0.00\);_([$€-2]* &quot;-&quot;??_)"/>
    <numFmt numFmtId="206" formatCode="&quot;\&quot;#,##0;[Red]&quot;\&quot;&quot;\&quot;\-#,##0"/>
    <numFmt numFmtId="207" formatCode="_(&quot;$&quot;* #,##0_);_(&quot;$&quot;* \(#,##0\);_(&quot;$&quot;* &quot;-&quot;_);_(@_)"/>
    <numFmt numFmtId="208" formatCode="_(&quot;$&quot;* #,##0.00_);_(&quot;$&quot;* \(#,##0.00\);_(&quot;$&quot;* &quot;-&quot;??_);_(@_)"/>
    <numFmt numFmtId="209" formatCode="_-* #,##0_-;\-* #,##0_-;_-* &quot;-&quot;??_-;_-@_-"/>
    <numFmt numFmtId="210" formatCode="0.00000000000_);[Red]\(0.00000000000\)"/>
    <numFmt numFmtId="211" formatCode="&quot;\&quot;#,##0;&quot;\&quot;&quot;\&quot;\-#,##0"/>
    <numFmt numFmtId="212" formatCode="0%_);\(0%\)"/>
    <numFmt numFmtId="213" formatCode="\ \ @"/>
    <numFmt numFmtId="214" formatCode="#,##0_);\(#,##0_)"/>
    <numFmt numFmtId="215" formatCode="_-* #,##0_-;\-* #,##0_-;_-* &quot;-&quot;_-;_-@_-"/>
    <numFmt numFmtId="216" formatCode="_-* #,##0.00_-;\-* #,##0.00_-;_-* &quot;-&quot;??_-;_-@_-"/>
    <numFmt numFmtId="217" formatCode="&quot;\&quot;#,##0.00;[Red]&quot;\&quot;&quot;\&quot;&quot;\&quot;&quot;\&quot;&quot;\&quot;&quot;\&quot;\-#,##0.00"/>
    <numFmt numFmtId="218" formatCode="&quot;\&quot;#,##0.00;[Red]&quot;\&quot;\-#,##0.00"/>
    <numFmt numFmtId="219" formatCode="&quot;\&quot;#,##0;[Red]&quot;\&quot;\-#,##0"/>
    <numFmt numFmtId="220" formatCode="_-&quot;$&quot;* #,##0_-;\-&quot;$&quot;* #,##0_-;_-&quot;$&quot;* &quot;-&quot;_-;_-@_-"/>
    <numFmt numFmtId="221" formatCode="_-&quot;$&quot;* #,##0.00_-;\-&quot;$&quot;* #,##0.00_-;_-&quot;$&quot;* &quot;-&quot;??_-;_-@_-"/>
    <numFmt numFmtId="222"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23" formatCode="#,##0.00_ "/>
    <numFmt numFmtId="224" formatCode="[$-F800]dddd\,\ mmmm\ dd\,\ yyyy"/>
    <numFmt numFmtId="225" formatCode="#,##0.00&quot;¥&quot;;\-#,##0.00&quot;¥&quot;"/>
    <numFmt numFmtId="226" formatCode="_-* #,##0.00&quot;¥&quot;_-;\-* #,##0.00&quot;¥&quot;_-;_-* &quot;-&quot;??&quot;¥&quot;_-;_-@_-"/>
    <numFmt numFmtId="227" formatCode="0.000%"/>
    <numFmt numFmtId="228" formatCode="_-* #,##0&quot;¥&quot;_-;\-* #,##0&quot;¥&quot;_-;_-* &quot;-&quot;&quot;¥&quot;_-;_-@_-"/>
    <numFmt numFmtId="229" formatCode="#,##0.00&quot;¥&quot;;[Red]\-#,##0.00&quot;¥&quot;"/>
    <numFmt numFmtId="230" formatCode="yyyy/mm/dd;@"/>
    <numFmt numFmtId="231" formatCode="_(* #,##0.00_);_(* \(#,##0.00\);_(* &quot;-&quot;??_);_(@_)"/>
  </numFmts>
  <fonts count="167">
    <font>
      <sz val="12"/>
      <name val="宋体"/>
      <family val="3"/>
      <charset val="134"/>
    </font>
    <font>
      <sz val="11"/>
      <color theme="1"/>
      <name val="宋体"/>
      <family val="2"/>
      <charset val="134"/>
      <scheme val="minor"/>
    </font>
    <font>
      <sz val="10"/>
      <color theme="1"/>
      <name val="宋体"/>
      <family val="2"/>
      <charset val="134"/>
      <scheme val="minor"/>
    </font>
    <font>
      <sz val="11"/>
      <color theme="1"/>
      <name val="宋体"/>
      <family val="2"/>
      <charset val="134"/>
      <scheme val="minor"/>
    </font>
    <font>
      <sz val="12"/>
      <name val="Times New Roman"/>
      <family val="1"/>
    </font>
    <font>
      <b/>
      <sz val="10"/>
      <name val="宋体"/>
      <family val="3"/>
      <charset val="134"/>
    </font>
    <font>
      <sz val="9"/>
      <name val="宋体"/>
      <family val="2"/>
      <charset val="134"/>
      <scheme val="minor"/>
    </font>
    <font>
      <b/>
      <sz val="10"/>
      <name val="Arial Narrow"/>
      <family val="2"/>
    </font>
    <font>
      <sz val="12"/>
      <name val="宋体"/>
      <family val="3"/>
      <charset val="134"/>
    </font>
    <font>
      <sz val="10"/>
      <name val="Arial Narrow"/>
      <family val="2"/>
    </font>
    <font>
      <b/>
      <sz val="12"/>
      <name val="宋体"/>
      <family val="3"/>
      <charset val="134"/>
    </font>
    <font>
      <sz val="9"/>
      <name val="宋体"/>
      <family val="3"/>
      <charset val="134"/>
    </font>
    <font>
      <sz val="12"/>
      <name val="Arial Narrow"/>
      <family val="2"/>
    </font>
    <font>
      <sz val="10"/>
      <name val="宋体"/>
      <family val="3"/>
      <charset val="134"/>
    </font>
    <font>
      <sz val="10"/>
      <name val="Times New Roman"/>
      <family val="1"/>
    </font>
    <font>
      <u/>
      <sz val="10"/>
      <name val="Arial Narrow"/>
      <family val="2"/>
    </font>
    <font>
      <sz val="10"/>
      <color indexed="10"/>
      <name val="宋体"/>
      <family val="3"/>
      <charset val="134"/>
    </font>
    <font>
      <i/>
      <sz val="10"/>
      <color indexed="12"/>
      <name val="宋体"/>
      <family val="3"/>
      <charset val="134"/>
    </font>
    <font>
      <sz val="10"/>
      <color indexed="12"/>
      <name val="Arial Narrow"/>
      <family val="2"/>
    </font>
    <font>
      <b/>
      <sz val="10"/>
      <color indexed="12"/>
      <name val="Arial Narrow"/>
      <family val="2"/>
    </font>
    <font>
      <b/>
      <sz val="10"/>
      <color indexed="12"/>
      <name val="宋体"/>
      <family val="3"/>
      <charset val="134"/>
    </font>
    <font>
      <sz val="10"/>
      <color indexed="12"/>
      <name val="宋体"/>
      <family val="3"/>
      <charset val="134"/>
    </font>
    <font>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7"/>
      <name val="Helv"/>
      <family val="2"/>
    </font>
    <font>
      <b/>
      <sz val="10"/>
      <name val="MS Sans Serif"/>
      <family val="2"/>
    </font>
    <font>
      <b/>
      <sz val="10"/>
      <name val="Helv"/>
      <family val="2"/>
    </font>
    <font>
      <b/>
      <sz val="13"/>
      <name val="Tms Rmn"/>
      <family val="1"/>
    </font>
    <font>
      <b/>
      <sz val="8"/>
      <name val="Arial"/>
      <family val="2"/>
    </font>
    <font>
      <sz val="10"/>
      <name val="MS Sans Serif"/>
      <family val="2"/>
    </font>
    <font>
      <sz val="9"/>
      <name val="Times New Roman"/>
      <family val="1"/>
    </font>
    <font>
      <sz val="8"/>
      <name val="Arial"/>
      <family val="2"/>
    </font>
    <font>
      <u/>
      <sz val="7.5"/>
      <color indexed="36"/>
      <name val="Arial"/>
      <family val="2"/>
    </font>
    <font>
      <b/>
      <sz val="12"/>
      <name val="Helv"/>
      <family val="2"/>
    </font>
    <font>
      <b/>
      <sz val="12"/>
      <name val="Arial"/>
      <family val="2"/>
    </font>
    <font>
      <b/>
      <sz val="10"/>
      <name val="Arial"/>
      <family val="2"/>
    </font>
    <font>
      <u/>
      <sz val="7.5"/>
      <color indexed="12"/>
      <name val="Arial"/>
      <family val="2"/>
    </font>
    <font>
      <b/>
      <sz val="11"/>
      <name val="Helv"/>
      <family val="2"/>
    </font>
    <font>
      <sz val="7"/>
      <name val="Small Fonts"/>
      <family val="2"/>
    </font>
    <font>
      <sz val="10"/>
      <name val="Courier"/>
      <family val="3"/>
    </font>
    <font>
      <sz val="10"/>
      <color indexed="8"/>
      <name val="MS Sans Serif"/>
      <family val="2"/>
    </font>
    <font>
      <sz val="7"/>
      <color indexed="10"/>
      <name val="Helv"/>
      <family val="2"/>
    </font>
    <font>
      <sz val="8"/>
      <color indexed="16"/>
      <name val="Century Schoolbook"/>
      <family val="1"/>
    </font>
    <font>
      <sz val="9"/>
      <color indexed="8"/>
      <name val="宋体"/>
      <family val="3"/>
      <charset val="134"/>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sz val="10"/>
      <name val="Geneva"/>
      <family val="2"/>
    </font>
    <font>
      <sz val="11"/>
      <name val="明朝"/>
      <family val="2"/>
    </font>
    <font>
      <sz val="14"/>
      <name val="柧挬"/>
      <family val="2"/>
    </font>
    <font>
      <sz val="8"/>
      <name val="Century Schoolbook"/>
      <family val="1"/>
    </font>
    <font>
      <sz val="12"/>
      <color indexed="20"/>
      <name val="宋体"/>
      <family val="3"/>
      <charset val="134"/>
    </font>
    <font>
      <sz val="10"/>
      <color indexed="20"/>
      <name val="Times New Roman"/>
      <family val="1"/>
    </font>
    <font>
      <sz val="11"/>
      <color indexed="8"/>
      <name val="宋体"/>
      <family val="3"/>
      <charset val="134"/>
    </font>
    <font>
      <u/>
      <sz val="10"/>
      <color indexed="12"/>
      <name val="宋体"/>
      <family val="3"/>
      <charset val="134"/>
    </font>
    <font>
      <u/>
      <sz val="12"/>
      <color indexed="12"/>
      <name val="宋体"/>
      <family val="3"/>
      <charset val="134"/>
    </font>
    <font>
      <sz val="10"/>
      <color indexed="17"/>
      <name val="Times New Roman"/>
      <family val="1"/>
    </font>
    <font>
      <sz val="12"/>
      <name val="官帕眉"/>
      <family val="2"/>
    </font>
    <font>
      <sz val="10"/>
      <name val="奔覆眉"/>
      <family val="2"/>
    </font>
    <font>
      <sz val="12"/>
      <name val="柧挬"/>
      <family val="2"/>
    </font>
    <font>
      <sz val="11"/>
      <name val="ＭＳ Ｐゴシック"/>
      <family val="2"/>
      <charset val="134"/>
    </font>
    <font>
      <sz val="12"/>
      <name val="바탕체"/>
      <family val="3"/>
    </font>
    <font>
      <sz val="10.5"/>
      <name val="Times New Roman"/>
      <family val="1"/>
    </font>
    <font>
      <sz val="10"/>
      <color rgb="FFFF0000"/>
      <name val="宋体"/>
      <family val="3"/>
      <charset val="134"/>
    </font>
    <font>
      <sz val="10"/>
      <color rgb="FFFF0000"/>
      <name val="Arial Narrow"/>
      <family val="2"/>
    </font>
    <font>
      <b/>
      <sz val="10"/>
      <color indexed="8"/>
      <name val="Arial Narrow"/>
      <family val="2"/>
    </font>
    <font>
      <b/>
      <sz val="10"/>
      <color indexed="8"/>
      <name val="宋体"/>
      <family val="3"/>
      <charset val="134"/>
    </font>
    <font>
      <sz val="10"/>
      <color indexed="8"/>
      <name val="Arial Narrow"/>
      <family val="2"/>
    </font>
    <font>
      <sz val="18"/>
      <color indexed="48"/>
      <name val="魏碑"/>
      <family val="3"/>
      <charset val="134"/>
    </font>
    <font>
      <b/>
      <sz val="10"/>
      <name val="Times New Roman"/>
      <family val="1"/>
    </font>
    <font>
      <sz val="12"/>
      <name val="Arial"/>
      <family val="2"/>
    </font>
    <font>
      <u/>
      <sz val="11"/>
      <color theme="10"/>
      <name val="宋体"/>
      <family val="3"/>
      <charset val="134"/>
    </font>
    <font>
      <sz val="10"/>
      <color theme="1"/>
      <name val="Arial Narrow"/>
      <family val="2"/>
    </font>
    <font>
      <b/>
      <sz val="10"/>
      <color theme="1"/>
      <name val="Arial Narrow"/>
      <family val="2"/>
    </font>
    <font>
      <sz val="10"/>
      <color rgb="FF000000"/>
      <name val="Arial Narrow"/>
      <family val="2"/>
    </font>
    <font>
      <sz val="10"/>
      <color rgb="FF0000FF"/>
      <name val="Arial Narrow"/>
      <family val="2"/>
    </font>
    <font>
      <b/>
      <sz val="10"/>
      <color rgb="FFFF0000"/>
      <name val="Arial Narrow"/>
      <family val="2"/>
    </font>
    <font>
      <b/>
      <sz val="10"/>
      <color rgb="FF0000FF"/>
      <name val="Arial Narrow"/>
      <family val="2"/>
    </font>
    <font>
      <sz val="10"/>
      <color theme="1"/>
      <name val="宋体"/>
      <family val="3"/>
      <charset val="134"/>
    </font>
    <font>
      <sz val="12"/>
      <color theme="1"/>
      <name val="Arial Narrow"/>
      <family val="2"/>
    </font>
    <font>
      <b/>
      <sz val="10"/>
      <color theme="1"/>
      <name val="宋体"/>
      <family val="3"/>
      <charset val="134"/>
    </font>
    <font>
      <sz val="9"/>
      <color indexed="10"/>
      <name val="Times New Roman"/>
      <family val="1"/>
    </font>
    <font>
      <sz val="9"/>
      <name val="Arial Narrow"/>
      <family val="2"/>
    </font>
    <font>
      <sz val="10"/>
      <color rgb="FF0000FF"/>
      <name val="宋体"/>
      <family val="3"/>
      <charset val="134"/>
    </font>
    <font>
      <sz val="9"/>
      <color rgb="FF0000FF"/>
      <name val="Arial Narrow"/>
      <family val="2"/>
    </font>
    <font>
      <sz val="9"/>
      <color rgb="FF0000FF"/>
      <name val="宋体"/>
      <family val="3"/>
      <charset val="134"/>
    </font>
    <font>
      <b/>
      <u/>
      <sz val="10"/>
      <color indexed="10"/>
      <name val="Arial Narrow"/>
      <family val="2"/>
    </font>
    <font>
      <b/>
      <sz val="10"/>
      <color rgb="FFFF0000"/>
      <name val="宋体"/>
      <family val="3"/>
      <charset val="134"/>
    </font>
    <font>
      <sz val="12"/>
      <color rgb="FF0000FF"/>
      <name val="Arial Narrow"/>
      <family val="2"/>
    </font>
    <font>
      <b/>
      <sz val="10"/>
      <name val="仿宋_GB2312"/>
      <family val="3"/>
      <charset val="134"/>
    </font>
    <font>
      <b/>
      <sz val="12"/>
      <name val="仿宋_GB2312"/>
      <family val="3"/>
      <charset val="134"/>
    </font>
    <font>
      <sz val="12"/>
      <name val="仿宋_GB2312"/>
      <family val="3"/>
      <charset val="134"/>
    </font>
    <font>
      <sz val="10"/>
      <color rgb="FFFF0000"/>
      <name val="Times New Roman"/>
      <family val="1"/>
    </font>
    <font>
      <b/>
      <sz val="10"/>
      <name val="MS Gothic"/>
      <family val="3"/>
      <charset val="128"/>
    </font>
    <font>
      <b/>
      <sz val="10"/>
      <color rgb="FF0000FF"/>
      <name val="宋体"/>
      <family val="3"/>
      <charset val="134"/>
    </font>
    <font>
      <sz val="11"/>
      <name val="ＭＳ Ｐゴシック"/>
      <family val="2"/>
    </font>
    <font>
      <sz val="12"/>
      <name val="???"/>
      <family val="1"/>
    </font>
    <font>
      <sz val="8"/>
      <name val="Times New Roman"/>
      <family val="1"/>
    </font>
    <font>
      <sz val="10"/>
      <name val="MS Serif"/>
      <family val="1"/>
    </font>
    <font>
      <sz val="12"/>
      <name val="Tms Rmn"/>
      <family val="1"/>
    </font>
    <font>
      <sz val="10"/>
      <color indexed="16"/>
      <name val="MS Serif"/>
      <family val="1"/>
    </font>
    <font>
      <sz val="10"/>
      <name val="Tms Rmn"/>
      <family val="1"/>
    </font>
    <font>
      <b/>
      <sz val="8"/>
      <color indexed="8"/>
      <name val="Helv"/>
      <family val="2"/>
    </font>
    <font>
      <sz val="11"/>
      <color rgb="FF9C0006"/>
      <name val="宋体"/>
      <family val="3"/>
      <charset val="134"/>
      <scheme val="minor"/>
    </font>
    <font>
      <sz val="11"/>
      <color rgb="FF006100"/>
      <name val="宋体"/>
      <family val="3"/>
      <charset val="134"/>
      <scheme val="minor"/>
    </font>
    <font>
      <i/>
      <sz val="10"/>
      <color indexed="12"/>
      <name val="Arial Narrow"/>
      <family val="2"/>
    </font>
    <font>
      <b/>
      <sz val="12"/>
      <color rgb="FF000000"/>
      <name val="仿宋_GB2312"/>
      <family val="3"/>
      <charset val="134"/>
    </font>
    <font>
      <sz val="12"/>
      <color rgb="FF000000"/>
      <name val="仿宋_GB2312"/>
      <family val="3"/>
      <charset val="134"/>
    </font>
    <font>
      <sz val="12"/>
      <color theme="1"/>
      <name val="仿宋_GB2312"/>
      <family val="3"/>
      <charset val="134"/>
    </font>
    <font>
      <b/>
      <sz val="12"/>
      <color theme="1"/>
      <name val="仿宋_GB2312"/>
      <family val="3"/>
      <charset val="134"/>
    </font>
    <font>
      <sz val="12"/>
      <color rgb="FF0000FF"/>
      <name val="仿宋_GB2312"/>
      <family val="3"/>
      <charset val="134"/>
    </font>
    <font>
      <b/>
      <sz val="12"/>
      <color rgb="FF0000FF"/>
      <name val="仿宋_GB2312"/>
      <family val="3"/>
      <charset val="134"/>
    </font>
    <font>
      <sz val="12"/>
      <color rgb="FF0000CC"/>
      <name val="仿宋_GB2312"/>
      <family val="3"/>
      <charset val="134"/>
    </font>
    <font>
      <sz val="10"/>
      <color rgb="FF000000"/>
      <name val="宋体"/>
      <family val="3"/>
      <charset val="134"/>
    </font>
    <font>
      <sz val="10"/>
      <name val="宋体"/>
      <family val="3"/>
      <charset val="134"/>
      <scheme val="minor"/>
    </font>
    <font>
      <b/>
      <sz val="10"/>
      <name val="宋体"/>
      <family val="3"/>
      <charset val="134"/>
      <scheme val="minor"/>
    </font>
    <font>
      <b/>
      <sz val="12"/>
      <name val="宋体"/>
      <family val="3"/>
      <charset val="134"/>
      <scheme val="minor"/>
    </font>
    <font>
      <sz val="12"/>
      <color rgb="FFFF0000"/>
      <name val="仿宋_GB2312"/>
      <family val="3"/>
      <charset val="134"/>
    </font>
    <font>
      <b/>
      <sz val="12"/>
      <color rgb="FFFF0000"/>
      <name val="仿宋_GB2312"/>
      <family val="3"/>
      <charset val="134"/>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1"/>
      <color indexed="8"/>
      <name val="Calibri"/>
      <family val="2"/>
    </font>
    <font>
      <sz val="11"/>
      <color indexed="10"/>
      <name val="Calibri"/>
      <family val="2"/>
    </font>
    <font>
      <sz val="11"/>
      <color theme="1"/>
      <name val="宋体"/>
      <family val="3"/>
      <charset val="134"/>
      <scheme val="minor"/>
    </font>
    <font>
      <sz val="12"/>
      <color indexed="8"/>
      <name val="宋体"/>
      <family val="3"/>
      <charset val="134"/>
    </font>
    <font>
      <b/>
      <sz val="10"/>
      <color rgb="FFE92841"/>
      <name val="Arial Narrow"/>
      <family val="2"/>
    </font>
    <font>
      <sz val="10"/>
      <color indexed="8"/>
      <name val="宋体"/>
      <family val="3"/>
      <charset val="134"/>
    </font>
    <font>
      <i/>
      <u/>
      <sz val="10"/>
      <color indexed="12"/>
      <name val="Arial Narrow"/>
      <family val="2"/>
    </font>
    <font>
      <b/>
      <sz val="10.5"/>
      <name val="仿宋_GB2312"/>
      <family val="3"/>
      <charset val="134"/>
    </font>
    <font>
      <b/>
      <sz val="10.5"/>
      <name val="Arial Narrow"/>
      <family val="2"/>
    </font>
    <font>
      <b/>
      <sz val="10.5"/>
      <color rgb="FF000000"/>
      <name val="仿宋_GB2312"/>
      <family val="3"/>
      <charset val="134"/>
    </font>
    <font>
      <b/>
      <sz val="10.5"/>
      <color rgb="FF000000"/>
      <name val="Arial Narrow"/>
      <family val="2"/>
    </font>
    <font>
      <sz val="10.5"/>
      <name val="仿宋_GB2312"/>
      <family val="3"/>
      <charset val="134"/>
    </font>
    <font>
      <sz val="10.5"/>
      <name val="Arial Narrow"/>
      <family val="2"/>
    </font>
    <font>
      <b/>
      <sz val="9"/>
      <name val="仿宋_GB2312"/>
      <family val="3"/>
      <charset val="134"/>
    </font>
    <font>
      <sz val="10.5"/>
      <color rgb="FF000000"/>
      <name val="仿宋_GB2312"/>
      <family val="3"/>
      <charset val="134"/>
    </font>
    <font>
      <sz val="10.5"/>
      <color rgb="FF000000"/>
      <name val="Arial Narrow"/>
      <family val="2"/>
    </font>
    <font>
      <sz val="12"/>
      <color rgb="FFFF0000"/>
      <name val="Arial Narrow"/>
      <family val="2"/>
    </font>
    <font>
      <b/>
      <sz val="10"/>
      <color theme="0" tint="-0.499984740745262"/>
      <name val="Arial Narrow"/>
      <family val="2"/>
    </font>
    <font>
      <sz val="11"/>
      <color theme="1"/>
      <name val="Arial Narrow"/>
      <family val="2"/>
    </font>
    <font>
      <sz val="12"/>
      <name val="宋体"/>
      <family val="3"/>
      <charset val="134"/>
      <scheme val="minor"/>
    </font>
    <font>
      <b/>
      <sz val="14"/>
      <name val="宋体"/>
      <family val="3"/>
      <charset val="134"/>
      <scheme val="minor"/>
    </font>
    <font>
      <sz val="14"/>
      <name val="宋体"/>
      <family val="3"/>
      <charset val="134"/>
      <scheme val="minor"/>
    </font>
    <font>
      <u/>
      <sz val="10"/>
      <color theme="10"/>
      <name val="宋体"/>
      <family val="3"/>
      <charset val="134"/>
    </font>
    <font>
      <sz val="10"/>
      <color theme="10"/>
      <name val="Arial Narrow"/>
      <family val="2"/>
    </font>
    <font>
      <b/>
      <sz val="10"/>
      <color rgb="FF000000"/>
      <name val="宋体"/>
      <family val="3"/>
      <charset val="134"/>
    </font>
    <font>
      <b/>
      <sz val="14"/>
      <name val="宋体"/>
      <family val="3"/>
      <charset val="134"/>
    </font>
    <font>
      <b/>
      <sz val="12"/>
      <name val="Arial Narrow"/>
      <family val="2"/>
    </font>
    <font>
      <b/>
      <sz val="9"/>
      <color indexed="81"/>
      <name val="宋体"/>
      <family val="3"/>
      <charset val="134"/>
    </font>
    <font>
      <sz val="9"/>
      <color indexed="81"/>
      <name val="宋体"/>
      <family val="3"/>
      <charset val="134"/>
    </font>
  </fonts>
  <fills count="41">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9"/>
      </patternFill>
    </fill>
    <fill>
      <patternFill patternType="solid">
        <fgColor indexed="9"/>
        <bgColor indexed="9"/>
      </patternFill>
    </fill>
    <fill>
      <patternFill patternType="solid">
        <fgColor indexed="45"/>
      </patternFill>
    </fill>
    <fill>
      <patternFill patternType="solid">
        <fgColor indexed="46"/>
      </patternFill>
    </fill>
    <fill>
      <patternFill patternType="solid">
        <fgColor indexed="42"/>
      </patternFill>
    </fill>
    <fill>
      <patternFill patternType="solid">
        <fgColor indexed="27"/>
      </patternFill>
    </fill>
    <fill>
      <patternFill patternType="solid">
        <fgColor indexed="14"/>
        <bgColor indexed="64"/>
      </patternFill>
    </fill>
    <fill>
      <patternFill patternType="solid">
        <fgColor theme="7" tint="0.79998168889431442"/>
        <bgColor indexed="64"/>
      </patternFill>
    </fill>
    <fill>
      <patternFill patternType="solid">
        <fgColor rgb="FFC6EFCE"/>
      </patternFill>
    </fill>
    <fill>
      <patternFill patternType="solid">
        <fgColor rgb="FFFFC7CE"/>
      </patternFill>
    </fill>
    <fill>
      <patternFill patternType="solid">
        <fgColor indexed="15"/>
      </patternFill>
    </fill>
    <fill>
      <patternFill patternType="solid">
        <fgColor indexed="12"/>
      </patternFill>
    </fill>
    <fill>
      <patternFill patternType="solid">
        <fgColor indexed="31"/>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E4DFEC"/>
        <bgColor indexed="64"/>
      </patternFill>
    </fill>
    <fill>
      <patternFill patternType="solid">
        <fgColor theme="0" tint="-0.14999847407452621"/>
        <bgColor indexed="64"/>
      </patternFill>
    </fill>
    <fill>
      <patternFill patternType="solid">
        <fgColor rgb="FFFFFF00"/>
        <bgColor indexed="64"/>
      </patternFill>
    </fill>
    <fill>
      <patternFill patternType="solid">
        <fgColor theme="7" tint="0.79995117038483843"/>
        <bgColor indexed="64"/>
      </patternFill>
    </fill>
    <fill>
      <patternFill patternType="solid">
        <fgColor rgb="FFE4DFEC"/>
        <bgColor rgb="FFB7DEE8"/>
      </patternFill>
    </fill>
  </fills>
  <borders count="37">
    <border>
      <left/>
      <right/>
      <top/>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hair">
        <color indexed="64"/>
      </left>
      <right style="hair">
        <color indexed="64"/>
      </right>
      <top style="hair">
        <color indexed="64"/>
      </top>
      <bottom style="hair">
        <color indexed="64"/>
      </bottom>
      <diagonal/>
    </border>
    <border>
      <left/>
      <right/>
      <top style="medium">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diagonal/>
    </border>
    <border>
      <left/>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indexed="64"/>
      </top>
      <bottom style="dotted">
        <color indexed="64"/>
      </bottom>
      <diagonal/>
    </border>
    <border>
      <left/>
      <right/>
      <top style="dotted">
        <color indexed="64"/>
      </top>
      <bottom style="medium">
        <color indexed="64"/>
      </bottom>
      <diagonal/>
    </border>
  </borders>
  <cellStyleXfs count="393">
    <xf numFmtId="0" fontId="0" fillId="0" borderId="0">
      <protection locked="0"/>
    </xf>
    <xf numFmtId="43" fontId="8" fillId="0" borderId="0" applyFont="0" applyFill="0" applyBorder="0" applyAlignment="0" applyProtection="0"/>
    <xf numFmtId="9" fontId="8" fillId="0" borderId="0" applyFont="0" applyFill="0" applyBorder="0" applyAlignment="0" applyProtection="0"/>
    <xf numFmtId="0" fontId="4" fillId="0" borderId="0"/>
    <xf numFmtId="0" fontId="8" fillId="0" borderId="0" applyFill="0" applyBorder="0"/>
    <xf numFmtId="0" fontId="22" fillId="0" borderId="0"/>
    <xf numFmtId="0" fontId="8" fillId="0" borderId="0" applyNumberFormat="0" applyFill="0" applyBorder="0" applyAlignment="0" applyProtection="0"/>
    <xf numFmtId="0" fontId="22" fillId="0" borderId="0"/>
    <xf numFmtId="0" fontId="22" fillId="0" borderId="0"/>
    <xf numFmtId="0" fontId="22" fillId="0" borderId="0"/>
    <xf numFmtId="0" fontId="22" fillId="0" borderId="0"/>
    <xf numFmtId="49" fontId="14" fillId="0" borderId="0" applyProtection="0">
      <alignment horizontal="left"/>
    </xf>
    <xf numFmtId="49" fontId="14" fillId="0" borderId="0" applyProtection="0">
      <alignment horizontal="left"/>
    </xf>
    <xf numFmtId="0" fontId="23" fillId="0" borderId="0">
      <alignment vertical="top"/>
      <protection locked="0"/>
    </xf>
    <xf numFmtId="0" fontId="23" fillId="0" borderId="0">
      <alignment vertical="top"/>
    </xf>
    <xf numFmtId="0" fontId="22" fillId="0" borderId="0" applyNumberFormat="0" applyFill="0" applyBorder="0" applyAlignment="0">
      <protection locked="0"/>
    </xf>
    <xf numFmtId="0" fontId="23" fillId="0" borderId="0">
      <alignment vertical="top"/>
      <protection locked="0"/>
    </xf>
    <xf numFmtId="0" fontId="23" fillId="0" borderId="0">
      <alignment vertical="top"/>
      <protection locked="0"/>
    </xf>
    <xf numFmtId="0" fontId="23" fillId="0" borderId="0">
      <alignment vertical="top"/>
      <protection locked="0"/>
    </xf>
    <xf numFmtId="0" fontId="23" fillId="0" borderId="0">
      <alignment vertical="top"/>
      <protection locked="0"/>
    </xf>
    <xf numFmtId="0" fontId="23" fillId="0" borderId="0">
      <alignment vertical="top"/>
      <protection locked="0"/>
    </xf>
    <xf numFmtId="0" fontId="23" fillId="0" borderId="0">
      <alignment vertical="top"/>
      <protection locked="0"/>
    </xf>
    <xf numFmtId="0" fontId="23" fillId="0" borderId="0">
      <alignment vertical="top"/>
      <protection locked="0"/>
    </xf>
    <xf numFmtId="0" fontId="23" fillId="0" borderId="0">
      <alignment vertical="top"/>
      <protection locked="0"/>
    </xf>
    <xf numFmtId="0" fontId="22" fillId="0" borderId="0" applyNumberFormat="0" applyFill="0" applyBorder="0" applyAlignment="0">
      <protection locked="0"/>
    </xf>
    <xf numFmtId="0" fontId="23" fillId="0" borderId="0">
      <alignment vertical="top"/>
    </xf>
    <xf numFmtId="0" fontId="23" fillId="0" borderId="0">
      <alignment vertical="top"/>
    </xf>
    <xf numFmtId="0" fontId="23" fillId="0" borderId="0">
      <alignment vertical="top"/>
    </xf>
    <xf numFmtId="0" fontId="22" fillId="0" borderId="0" applyNumberFormat="0" applyFill="0" applyBorder="0" applyAlignment="0" applyProtection="0"/>
    <xf numFmtId="0" fontId="23" fillId="0" borderId="0">
      <alignment vertical="top"/>
      <protection locked="0"/>
    </xf>
    <xf numFmtId="0" fontId="23" fillId="0" borderId="0">
      <alignment vertical="top"/>
      <protection locked="0"/>
    </xf>
    <xf numFmtId="0" fontId="23" fillId="0" borderId="0">
      <alignment vertical="top"/>
      <protection locked="0"/>
    </xf>
    <xf numFmtId="0" fontId="23" fillId="0" borderId="0">
      <alignment vertical="top"/>
    </xf>
    <xf numFmtId="0" fontId="23" fillId="0" borderId="0">
      <alignment vertical="top"/>
    </xf>
    <xf numFmtId="0" fontId="4" fillId="0" borderId="0"/>
    <xf numFmtId="0" fontId="23" fillId="0" borderId="0">
      <alignment vertical="top"/>
    </xf>
    <xf numFmtId="0" fontId="23" fillId="0" borderId="0">
      <alignment vertical="top"/>
      <protection locked="0"/>
    </xf>
    <xf numFmtId="0" fontId="23" fillId="0" borderId="0">
      <alignment vertical="top"/>
    </xf>
    <xf numFmtId="0" fontId="23" fillId="0" borderId="0">
      <alignment vertical="top"/>
    </xf>
    <xf numFmtId="0" fontId="23" fillId="0" borderId="0">
      <alignment vertical="top"/>
      <protection locked="0"/>
    </xf>
    <xf numFmtId="0" fontId="23" fillId="0" borderId="0">
      <alignment vertical="top"/>
      <protection locked="0"/>
    </xf>
    <xf numFmtId="0" fontId="23" fillId="0" borderId="0">
      <alignment vertical="top"/>
      <protection locked="0"/>
    </xf>
    <xf numFmtId="0" fontId="23" fillId="0" borderId="0">
      <alignment vertical="top"/>
    </xf>
    <xf numFmtId="0" fontId="23" fillId="0" borderId="0">
      <alignment vertical="top"/>
    </xf>
    <xf numFmtId="0" fontId="23" fillId="0" borderId="0">
      <alignment vertical="top"/>
      <protection locked="0"/>
    </xf>
    <xf numFmtId="0" fontId="23" fillId="0" borderId="0">
      <alignment vertical="top"/>
      <protection locked="0"/>
    </xf>
    <xf numFmtId="0" fontId="23" fillId="0" borderId="0">
      <alignment vertical="top"/>
    </xf>
    <xf numFmtId="0" fontId="23" fillId="0" borderId="0">
      <alignment vertical="top"/>
    </xf>
    <xf numFmtId="0" fontId="23" fillId="0" borderId="0">
      <alignment vertical="top"/>
    </xf>
    <xf numFmtId="0" fontId="23" fillId="0" borderId="0">
      <alignment vertical="top"/>
      <protection locked="0"/>
    </xf>
    <xf numFmtId="0" fontId="23" fillId="0" borderId="0">
      <alignment vertical="top"/>
    </xf>
    <xf numFmtId="0" fontId="23" fillId="0" borderId="0">
      <alignment vertical="top"/>
      <protection locked="0"/>
    </xf>
    <xf numFmtId="0" fontId="23" fillId="0" borderId="0">
      <alignment vertical="top"/>
      <protection locked="0"/>
    </xf>
    <xf numFmtId="0" fontId="23" fillId="0" borderId="0">
      <alignment vertical="top"/>
      <protection locked="0"/>
    </xf>
    <xf numFmtId="0" fontId="23" fillId="0" borderId="0">
      <alignment vertical="top"/>
      <protection locked="0"/>
    </xf>
    <xf numFmtId="0" fontId="23" fillId="0" borderId="0">
      <alignment vertical="top"/>
      <protection locked="0"/>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protection locked="0"/>
    </xf>
    <xf numFmtId="0" fontId="23" fillId="0" borderId="0">
      <alignment vertical="top"/>
    </xf>
    <xf numFmtId="0" fontId="23" fillId="0" borderId="0">
      <alignment vertical="top"/>
      <protection locked="0"/>
    </xf>
    <xf numFmtId="0" fontId="23" fillId="0" borderId="0">
      <alignment vertical="top"/>
    </xf>
    <xf numFmtId="0" fontId="23" fillId="0" borderId="0">
      <alignment vertical="top"/>
      <protection locked="0"/>
    </xf>
    <xf numFmtId="0" fontId="23" fillId="0" borderId="0">
      <alignment vertical="top"/>
      <protection locked="0"/>
    </xf>
    <xf numFmtId="0" fontId="23" fillId="0" borderId="0">
      <alignment vertical="top"/>
    </xf>
    <xf numFmtId="0" fontId="23" fillId="0" borderId="0">
      <alignment vertical="top"/>
      <protection locked="0"/>
    </xf>
    <xf numFmtId="0" fontId="23" fillId="0" borderId="0">
      <alignment vertical="top"/>
    </xf>
    <xf numFmtId="0" fontId="23" fillId="0" borderId="0">
      <alignment vertical="top"/>
      <protection locked="0"/>
    </xf>
    <xf numFmtId="0" fontId="23" fillId="0" borderId="0">
      <alignment vertical="top"/>
      <protection locked="0"/>
    </xf>
    <xf numFmtId="0" fontId="23" fillId="0" borderId="0">
      <alignment vertical="top"/>
      <protection locked="0"/>
    </xf>
    <xf numFmtId="0" fontId="23" fillId="0" borderId="0">
      <alignment vertical="top"/>
    </xf>
    <xf numFmtId="0" fontId="23" fillId="0" borderId="0">
      <alignment vertical="top"/>
      <protection locked="0"/>
    </xf>
    <xf numFmtId="0" fontId="23" fillId="0" borderId="0">
      <alignment vertical="top"/>
      <protection locked="0"/>
    </xf>
    <xf numFmtId="177" fontId="14" fillId="0" borderId="0" applyFill="0" applyBorder="0" applyProtection="0">
      <alignment horizontal="right"/>
    </xf>
    <xf numFmtId="178" fontId="14" fillId="0" borderId="0" applyFill="0" applyBorder="0" applyProtection="0">
      <alignment horizontal="right"/>
    </xf>
    <xf numFmtId="179" fontId="24" fillId="0" borderId="0" applyFill="0" applyBorder="0" applyProtection="0">
      <alignment horizontal="center"/>
    </xf>
    <xf numFmtId="180" fontId="24" fillId="0" borderId="0" applyFill="0" applyBorder="0" applyProtection="0">
      <alignment horizontal="center"/>
    </xf>
    <xf numFmtId="181" fontId="25" fillId="0" borderId="0" applyFill="0" applyBorder="0" applyProtection="0">
      <alignment horizontal="right"/>
    </xf>
    <xf numFmtId="182" fontId="14" fillId="0" borderId="0" applyFill="0" applyBorder="0" applyProtection="0">
      <alignment horizontal="right"/>
    </xf>
    <xf numFmtId="183" fontId="14" fillId="0" borderId="0" applyFill="0" applyBorder="0" applyProtection="0">
      <alignment horizontal="right"/>
    </xf>
    <xf numFmtId="184" fontId="14" fillId="0" borderId="0" applyFill="0" applyBorder="0" applyProtection="0">
      <alignment horizontal="right"/>
    </xf>
    <xf numFmtId="185" fontId="14" fillId="0" borderId="0" applyFill="0" applyBorder="0" applyProtection="0">
      <alignment horizontal="right"/>
    </xf>
    <xf numFmtId="186" fontId="26" fillId="0" borderId="0" applyFont="0" applyFill="0" applyBorder="0" applyAlignment="0" applyProtection="0"/>
    <xf numFmtId="0" fontId="23" fillId="0" borderId="0">
      <alignment vertical="top"/>
      <protection locked="0"/>
    </xf>
    <xf numFmtId="187" fontId="26" fillId="0" borderId="0" applyFont="0" applyFill="0" applyBorder="0" applyAlignment="0" applyProtection="0"/>
    <xf numFmtId="10" fontId="26" fillId="0" borderId="0" applyFont="0" applyFill="0" applyBorder="0" applyAlignment="0" applyProtection="0"/>
    <xf numFmtId="188" fontId="8" fillId="0" borderId="0" applyFont="0" applyFill="0" applyBorder="0" applyAlignment="0" applyProtection="0"/>
    <xf numFmtId="3" fontId="27" fillId="0" borderId="0"/>
    <xf numFmtId="189" fontId="28" fillId="0" borderId="7" applyAlignment="0" applyProtection="0"/>
    <xf numFmtId="190" fontId="23" fillId="0" borderId="0" applyFill="0" applyBorder="0" applyAlignment="0"/>
    <xf numFmtId="191" fontId="22" fillId="0" borderId="0" applyFill="0" applyBorder="0" applyAlignment="0"/>
    <xf numFmtId="192" fontId="22" fillId="0" borderId="0" applyFill="0" applyBorder="0" applyAlignment="0"/>
    <xf numFmtId="193" fontId="22" fillId="0" borderId="0" applyFill="0" applyBorder="0" applyAlignment="0"/>
    <xf numFmtId="194" fontId="22" fillId="0" borderId="0" applyFill="0" applyBorder="0" applyAlignment="0"/>
    <xf numFmtId="195" fontId="22" fillId="0" borderId="0" applyFill="0" applyBorder="0" applyAlignment="0"/>
    <xf numFmtId="196" fontId="22" fillId="0" borderId="0" applyFill="0" applyBorder="0" applyAlignment="0"/>
    <xf numFmtId="191" fontId="22" fillId="0" borderId="0" applyFill="0" applyBorder="0" applyAlignment="0"/>
    <xf numFmtId="0" fontId="29" fillId="0" borderId="0"/>
    <xf numFmtId="0" fontId="30" fillId="0" borderId="8" applyNumberFormat="0" applyFill="0" applyProtection="0">
      <alignment horizontal="center"/>
    </xf>
    <xf numFmtId="0" fontId="31" fillId="0" borderId="9">
      <alignment horizontal="center"/>
    </xf>
    <xf numFmtId="197" fontId="22" fillId="0" borderId="0"/>
    <xf numFmtId="197" fontId="22" fillId="0" borderId="0"/>
    <xf numFmtId="197" fontId="22" fillId="0" borderId="0"/>
    <xf numFmtId="197" fontId="22" fillId="0" borderId="0"/>
    <xf numFmtId="197" fontId="22" fillId="0" borderId="0"/>
    <xf numFmtId="197" fontId="22" fillId="0" borderId="0"/>
    <xf numFmtId="197" fontId="22" fillId="0" borderId="0"/>
    <xf numFmtId="197" fontId="22" fillId="0" borderId="0"/>
    <xf numFmtId="38" fontId="32" fillId="0" borderId="0" applyFont="0" applyFill="0" applyBorder="0" applyAlignment="0" applyProtection="0"/>
    <xf numFmtId="195" fontId="22" fillId="0" borderId="0" applyFont="0" applyFill="0" applyBorder="0" applyAlignment="0" applyProtection="0"/>
    <xf numFmtId="43" fontId="8" fillId="0" borderId="0" applyFont="0" applyFill="0" applyBorder="0" applyAlignment="0" applyProtection="0"/>
    <xf numFmtId="198" fontId="14" fillId="0" borderId="0"/>
    <xf numFmtId="37" fontId="26" fillId="0" borderId="0" applyFont="0" applyFill="0" applyBorder="0" applyAlignment="0" applyProtection="0"/>
    <xf numFmtId="199" fontId="26" fillId="0" borderId="0" applyFont="0" applyFill="0" applyBorder="0" applyAlignment="0" applyProtection="0"/>
    <xf numFmtId="39" fontId="26" fillId="0" borderId="0" applyFont="0" applyFill="0" applyBorder="0" applyAlignment="0" applyProtection="0"/>
    <xf numFmtId="40" fontId="32" fillId="0" borderId="0" applyFont="0" applyFill="0" applyBorder="0" applyAlignment="0" applyProtection="0"/>
    <xf numFmtId="200" fontId="8" fillId="0" borderId="0" applyFont="0" applyFill="0" applyBorder="0" applyAlignment="0" applyProtection="0"/>
    <xf numFmtId="191" fontId="22" fillId="0" borderId="0" applyFont="0" applyFill="0" applyBorder="0" applyAlignment="0" applyProtection="0"/>
    <xf numFmtId="189" fontId="26" fillId="0" borderId="0" applyFont="0" applyFill="0" applyBorder="0" applyAlignment="0" applyProtection="0"/>
    <xf numFmtId="201" fontId="26" fillId="0" borderId="0" applyFont="0" applyFill="0" applyBorder="0" applyAlignment="0" applyProtection="0"/>
    <xf numFmtId="202" fontId="8" fillId="0" borderId="0" applyFont="0" applyFill="0" applyBorder="0" applyAlignment="0" applyProtection="0"/>
    <xf numFmtId="203" fontId="14" fillId="0" borderId="0"/>
    <xf numFmtId="14" fontId="23" fillId="0" borderId="0" applyFill="0" applyBorder="0" applyAlignment="0"/>
    <xf numFmtId="41" fontId="22" fillId="0" borderId="0" applyFont="0" applyFill="0" applyBorder="0" applyAlignment="0" applyProtection="0"/>
    <xf numFmtId="43" fontId="22" fillId="0" borderId="0" applyFont="0" applyFill="0" applyBorder="0" applyAlignment="0" applyProtection="0"/>
    <xf numFmtId="204" fontId="14" fillId="0" borderId="0"/>
    <xf numFmtId="195" fontId="22" fillId="0" borderId="0" applyFill="0" applyBorder="0" applyAlignment="0"/>
    <xf numFmtId="191" fontId="22" fillId="0" borderId="0" applyFill="0" applyBorder="0" applyAlignment="0"/>
    <xf numFmtId="195" fontId="22" fillId="0" borderId="0" applyFill="0" applyBorder="0" applyAlignment="0"/>
    <xf numFmtId="196" fontId="22" fillId="0" borderId="0" applyFill="0" applyBorder="0" applyAlignment="0"/>
    <xf numFmtId="191" fontId="22" fillId="0" borderId="0" applyFill="0" applyBorder="0" applyAlignment="0"/>
    <xf numFmtId="0" fontId="33" fillId="0" borderId="0">
      <alignment horizontal="left"/>
    </xf>
    <xf numFmtId="0" fontId="34" fillId="2" borderId="10"/>
    <xf numFmtId="205" fontId="14" fillId="0" borderId="0" applyFont="0" applyFill="0" applyBorder="0" applyAlignment="0" applyProtection="0"/>
    <xf numFmtId="0" fontId="35" fillId="0" borderId="0" applyNumberFormat="0" applyFill="0" applyBorder="0" applyAlignment="0" applyProtection="0">
      <alignment vertical="top"/>
      <protection locked="0"/>
    </xf>
    <xf numFmtId="38" fontId="34" fillId="3" borderId="0" applyNumberFormat="0" applyBorder="0" applyAlignment="0" applyProtection="0"/>
    <xf numFmtId="0" fontId="36" fillId="0" borderId="0">
      <alignment horizontal="left"/>
    </xf>
    <xf numFmtId="0" fontId="37" fillId="0" borderId="11" applyNumberFormat="0" applyAlignment="0" applyProtection="0">
      <alignment horizontal="left" vertical="center"/>
    </xf>
    <xf numFmtId="0" fontId="37" fillId="0" borderId="12">
      <alignment horizontal="left" vertical="center"/>
    </xf>
    <xf numFmtId="14" fontId="38" fillId="4" borderId="13">
      <alignment horizontal="center" vertical="center" wrapText="1"/>
    </xf>
    <xf numFmtId="0" fontId="39" fillId="0" borderId="0" applyNumberFormat="0" applyFill="0" applyBorder="0" applyAlignment="0" applyProtection="0">
      <alignment vertical="top"/>
      <protection locked="0"/>
    </xf>
    <xf numFmtId="10" fontId="34" fillId="5" borderId="10" applyNumberFormat="0" applyBorder="0" applyAlignment="0" applyProtection="0"/>
    <xf numFmtId="0" fontId="14" fillId="0" borderId="0" applyNumberFormat="0" applyFont="0" applyFill="0" applyBorder="0" applyProtection="0">
      <alignment horizontal="left" vertical="center"/>
    </xf>
    <xf numFmtId="195" fontId="22" fillId="0" borderId="0" applyFill="0" applyBorder="0" applyAlignment="0"/>
    <xf numFmtId="191" fontId="22" fillId="0" borderId="0" applyFill="0" applyBorder="0" applyAlignment="0"/>
    <xf numFmtId="195" fontId="22" fillId="0" borderId="0" applyFill="0" applyBorder="0" applyAlignment="0"/>
    <xf numFmtId="196" fontId="22" fillId="0" borderId="0" applyFill="0" applyBorder="0" applyAlignment="0"/>
    <xf numFmtId="191" fontId="22" fillId="0" borderId="0" applyFill="0" applyBorder="0" applyAlignment="0"/>
    <xf numFmtId="41" fontId="22" fillId="0" borderId="0" applyFont="0" applyFill="0" applyBorder="0" applyAlignment="0" applyProtection="0"/>
    <xf numFmtId="43" fontId="22" fillId="0" borderId="0" applyFont="0" applyFill="0" applyBorder="0" applyAlignment="0" applyProtection="0"/>
    <xf numFmtId="0" fontId="40" fillId="0" borderId="13"/>
    <xf numFmtId="207" fontId="22" fillId="0" borderId="0" applyFont="0" applyFill="0" applyBorder="0" applyAlignment="0" applyProtection="0"/>
    <xf numFmtId="208" fontId="22" fillId="0" borderId="0" applyFont="0" applyFill="0" applyBorder="0" applyAlignment="0" applyProtection="0"/>
    <xf numFmtId="209" fontId="22" fillId="0" borderId="0" applyFont="0" applyFill="0" applyBorder="0" applyAlignment="0" applyProtection="0"/>
    <xf numFmtId="210" fontId="8" fillId="0" borderId="0" applyFont="0" applyFill="0" applyBorder="0" applyAlignment="0" applyProtection="0"/>
    <xf numFmtId="37" fontId="41" fillId="0" borderId="0"/>
    <xf numFmtId="0" fontId="42" fillId="0" borderId="0"/>
    <xf numFmtId="211" fontId="8" fillId="0" borderId="0"/>
    <xf numFmtId="0" fontId="8" fillId="0" borderId="0"/>
    <xf numFmtId="0" fontId="32" fillId="0" borderId="0"/>
    <xf numFmtId="0" fontId="43" fillId="0" borderId="0"/>
    <xf numFmtId="212" fontId="22" fillId="0" borderId="0" applyFont="0" applyFill="0" applyBorder="0" applyAlignment="0" applyProtection="0"/>
    <xf numFmtId="194" fontId="22" fillId="0" borderId="0" applyFont="0" applyFill="0" applyBorder="0" applyAlignment="0" applyProtection="0"/>
    <xf numFmtId="186" fontId="22" fillId="0" borderId="0" applyFont="0" applyFill="0" applyBorder="0" applyAlignment="0" applyProtection="0"/>
    <xf numFmtId="10" fontId="22" fillId="0" borderId="0" applyFont="0" applyFill="0" applyBorder="0" applyAlignment="0" applyProtection="0"/>
    <xf numFmtId="0" fontId="34" fillId="3" borderId="10"/>
    <xf numFmtId="195" fontId="22" fillId="0" borderId="0" applyFill="0" applyBorder="0" applyAlignment="0"/>
    <xf numFmtId="191" fontId="22" fillId="0" borderId="0" applyFill="0" applyBorder="0" applyAlignment="0"/>
    <xf numFmtId="195" fontId="22" fillId="0" borderId="0" applyFill="0" applyBorder="0" applyAlignment="0"/>
    <xf numFmtId="196" fontId="22" fillId="0" borderId="0" applyFill="0" applyBorder="0" applyAlignment="0"/>
    <xf numFmtId="191" fontId="22" fillId="0" borderId="0" applyFill="0" applyBorder="0" applyAlignment="0"/>
    <xf numFmtId="4" fontId="33" fillId="0" borderId="0">
      <alignment horizontal="right"/>
    </xf>
    <xf numFmtId="3" fontId="44" fillId="0" borderId="0"/>
    <xf numFmtId="4" fontId="45" fillId="0" borderId="0">
      <alignment horizontal="right"/>
    </xf>
    <xf numFmtId="41" fontId="14" fillId="0" borderId="0" applyFont="0" applyFill="0" applyBorder="0" applyAlignment="0" applyProtection="0"/>
    <xf numFmtId="0" fontId="46" fillId="6" borderId="0">
      <alignment horizontal="left" vertical="center"/>
    </xf>
    <xf numFmtId="0" fontId="46" fillId="6" borderId="0">
      <alignment horizontal="right" vertical="center"/>
    </xf>
    <xf numFmtId="0" fontId="47" fillId="0" borderId="0">
      <alignment horizontal="left"/>
    </xf>
    <xf numFmtId="43" fontId="34" fillId="0" borderId="14"/>
    <xf numFmtId="0" fontId="48" fillId="0" borderId="10">
      <alignment horizontal="center"/>
    </xf>
    <xf numFmtId="0" fontId="48" fillId="0" borderId="0">
      <alignment horizontal="center" vertical="center"/>
    </xf>
    <xf numFmtId="0" fontId="49" fillId="7" borderId="0" applyNumberFormat="0" applyFill="0">
      <alignment horizontal="left" vertical="center"/>
    </xf>
    <xf numFmtId="0" fontId="40" fillId="0" borderId="0"/>
    <xf numFmtId="49" fontId="23" fillId="0" borderId="0" applyFill="0" applyBorder="0" applyAlignment="0"/>
    <xf numFmtId="213" fontId="23" fillId="0" borderId="0" applyFill="0" applyBorder="0" applyAlignment="0"/>
    <xf numFmtId="214" fontId="22" fillId="0" borderId="0" applyFill="0" applyBorder="0" applyAlignment="0"/>
    <xf numFmtId="0" fontId="50" fillId="0" borderId="0" applyFill="0" applyBorder="0" applyProtection="0">
      <alignment horizontal="left" vertical="top"/>
    </xf>
    <xf numFmtId="0" fontId="51" fillId="0" borderId="0">
      <alignment horizontal="center"/>
    </xf>
    <xf numFmtId="0" fontId="52" fillId="0" borderId="0" applyNumberFormat="0" applyFont="0" applyFill="0" applyBorder="0" applyProtection="0">
      <alignment horizontal="center" vertical="center" wrapText="1"/>
    </xf>
    <xf numFmtId="9" fontId="53" fillId="0" borderId="0" applyFont="0" applyFill="0" applyBorder="0" applyAlignment="0" applyProtection="0"/>
    <xf numFmtId="0" fontId="4" fillId="0" borderId="0"/>
    <xf numFmtId="0" fontId="9" fillId="0" borderId="0"/>
    <xf numFmtId="215" fontId="4" fillId="0" borderId="0" applyFont="0" applyFill="0" applyBorder="0" applyAlignment="0" applyProtection="0"/>
    <xf numFmtId="216" fontId="4" fillId="0" borderId="0" applyFont="0" applyFill="0" applyBorder="0" applyAlignment="0" applyProtection="0"/>
    <xf numFmtId="41" fontId="22" fillId="0" borderId="0" applyFont="0" applyFill="0" applyBorder="0" applyAlignment="0" applyProtection="0"/>
    <xf numFmtId="9" fontId="4" fillId="0" borderId="0" applyFont="0" applyFill="0" applyBorder="0" applyAlignment="0" applyProtection="0"/>
    <xf numFmtId="9" fontId="8" fillId="0" borderId="0" applyFont="0" applyFill="0" applyBorder="0" applyAlignment="0" applyProtection="0">
      <alignment vertical="center"/>
    </xf>
    <xf numFmtId="9" fontId="8"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4" fontId="55" fillId="0" borderId="0">
      <alignment horizontal="right"/>
    </xf>
    <xf numFmtId="0" fontId="56" fillId="8" borderId="0" applyNumberFormat="0" applyBorder="0" applyAlignment="0" applyProtection="0">
      <alignment vertical="center"/>
    </xf>
    <xf numFmtId="0" fontId="57" fillId="9" borderId="0" applyNumberFormat="0" applyBorder="0" applyAlignment="0" applyProtection="0">
      <alignment vertical="center"/>
    </xf>
    <xf numFmtId="0" fontId="8" fillId="0" borderId="0">
      <protection locked="0"/>
    </xf>
    <xf numFmtId="0" fontId="8" fillId="0" borderId="0"/>
    <xf numFmtId="0" fontId="8" fillId="0" borderId="0">
      <alignment vertical="center"/>
      <protection locked="0"/>
    </xf>
    <xf numFmtId="0" fontId="8" fillId="0" borderId="0">
      <protection locked="0"/>
    </xf>
    <xf numFmtId="0" fontId="58" fillId="0" borderId="0">
      <alignment vertical="center"/>
    </xf>
    <xf numFmtId="0" fontId="8" fillId="0" borderId="0" applyNumberFormat="0" applyFill="0" applyBorder="0" applyAlignment="0" applyProtection="0"/>
    <xf numFmtId="0" fontId="59"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28" fillId="0" borderId="0" applyNumberFormat="0" applyFill="0" applyBorder="0" applyAlignment="0" applyProtection="0"/>
    <xf numFmtId="0" fontId="61" fillId="10" borderId="0" applyNumberFormat="0" applyBorder="0" applyAlignment="0" applyProtection="0">
      <alignment vertical="center"/>
    </xf>
    <xf numFmtId="0" fontId="61" fillId="11" borderId="0" applyNumberFormat="0" applyBorder="0" applyAlignment="0" applyProtection="0">
      <alignment vertical="center"/>
    </xf>
    <xf numFmtId="4" fontId="52" fillId="0" borderId="0" applyFont="0" applyFill="0" applyBorder="0" applyAlignment="0" applyProtection="0"/>
    <xf numFmtId="41" fontId="22" fillId="0" borderId="0" applyFont="0" applyFill="0" applyBorder="0" applyAlignment="0" applyProtection="0"/>
    <xf numFmtId="206" fontId="22" fillId="0" borderId="0" applyFont="0" applyFill="0" applyBorder="0" applyAlignment="0" applyProtection="0"/>
    <xf numFmtId="217" fontId="22" fillId="0" borderId="0" applyFont="0" applyFill="0" applyBorder="0" applyAlignment="0" applyProtection="0"/>
    <xf numFmtId="218" fontId="62" fillId="0" borderId="0" applyFont="0" applyFill="0" applyBorder="0" applyAlignment="0" applyProtection="0"/>
    <xf numFmtId="219" fontId="62" fillId="0" borderId="0" applyFont="0" applyFill="0" applyBorder="0" applyAlignment="0" applyProtection="0"/>
    <xf numFmtId="220" fontId="4" fillId="0" borderId="0" applyFont="0" applyFill="0" applyBorder="0" applyAlignment="0" applyProtection="0"/>
    <xf numFmtId="221" fontId="4" fillId="0" borderId="0" applyFont="0" applyFill="0" applyBorder="0" applyAlignment="0" applyProtection="0"/>
    <xf numFmtId="0" fontId="14" fillId="0" borderId="0"/>
    <xf numFmtId="0" fontId="14" fillId="0" borderId="0" applyFont="0" applyFill="0" applyBorder="0" applyAlignment="0" applyProtection="0"/>
    <xf numFmtId="0" fontId="14" fillId="0" borderId="0" applyFont="0" applyFill="0" applyBorder="0" applyAlignment="0" applyProtection="0"/>
    <xf numFmtId="41"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alignment vertical="center"/>
    </xf>
    <xf numFmtId="0" fontId="63" fillId="0" borderId="0"/>
    <xf numFmtId="208" fontId="22" fillId="0" borderId="0" applyFont="0" applyFill="0" applyBorder="0" applyAlignment="0" applyProtection="0"/>
    <xf numFmtId="222" fontId="52" fillId="0" borderId="0" applyFont="0" applyFill="0" applyBorder="0" applyAlignment="0" applyProtection="0"/>
    <xf numFmtId="0" fontId="23" fillId="0" borderId="0">
      <alignment vertical="top"/>
      <protection locked="0"/>
    </xf>
    <xf numFmtId="0" fontId="64" fillId="0" borderId="0"/>
    <xf numFmtId="40" fontId="54" fillId="0" borderId="0" applyFont="0" applyFill="0" applyBorder="0" applyAlignment="0" applyProtection="0"/>
    <xf numFmtId="38" fontId="54" fillId="0" borderId="0" applyFont="0" applyFill="0" applyBorder="0" applyAlignment="0" applyProtection="0"/>
    <xf numFmtId="38" fontId="65" fillId="0" borderId="0" applyFont="0" applyFill="0" applyBorder="0" applyAlignment="0" applyProtection="0"/>
    <xf numFmtId="40" fontId="65" fillId="0" borderId="0" applyFont="0" applyFill="0" applyBorder="0" applyAlignment="0" applyProtection="0"/>
    <xf numFmtId="0" fontId="65" fillId="0" borderId="0" applyFont="0" applyFill="0" applyBorder="0" applyAlignment="0" applyProtection="0"/>
    <xf numFmtId="0" fontId="65" fillId="0" borderId="0" applyFont="0" applyFill="0" applyBorder="0" applyAlignment="0" applyProtection="0"/>
    <xf numFmtId="0" fontId="66" fillId="0" borderId="0"/>
    <xf numFmtId="0" fontId="8" fillId="0" borderId="0">
      <alignment vertical="center"/>
    </xf>
    <xf numFmtId="0" fontId="14" fillId="0" borderId="0">
      <protection locked="0"/>
    </xf>
    <xf numFmtId="0" fontId="22" fillId="0" borderId="0"/>
    <xf numFmtId="0" fontId="8" fillId="0" borderId="0">
      <alignment vertical="center"/>
    </xf>
    <xf numFmtId="0" fontId="8" fillId="0" borderId="0">
      <alignment vertical="center"/>
    </xf>
    <xf numFmtId="43" fontId="8" fillId="0" borderId="0" applyFont="0" applyFill="0" applyBorder="0" applyAlignment="0" applyProtection="0"/>
    <xf numFmtId="41" fontId="8" fillId="0" borderId="0" applyFont="0" applyFill="0" applyBorder="0" applyAlignment="0" applyProtection="0"/>
    <xf numFmtId="0" fontId="3" fillId="0" borderId="0">
      <alignment vertical="center"/>
    </xf>
    <xf numFmtId="0" fontId="76" fillId="0" borderId="0" applyNumberFormat="0" applyFill="0" applyBorder="0" applyAlignment="0" applyProtection="0">
      <alignment vertical="top"/>
      <protection locked="0"/>
    </xf>
    <xf numFmtId="0" fontId="8" fillId="0" borderId="0">
      <alignment vertical="center"/>
    </xf>
    <xf numFmtId="0" fontId="8" fillId="0" borderId="0"/>
    <xf numFmtId="0" fontId="8" fillId="0" borderId="0">
      <alignment vertical="center"/>
    </xf>
    <xf numFmtId="0" fontId="100" fillId="0" borderId="0" applyFont="0" applyFill="0" applyBorder="0" applyAlignment="0" applyProtection="0"/>
    <xf numFmtId="0" fontId="100" fillId="0" borderId="0" applyFont="0" applyFill="0" applyBorder="0" applyAlignment="0" applyProtection="0"/>
    <xf numFmtId="0" fontId="101" fillId="0" borderId="0"/>
    <xf numFmtId="0" fontId="102" fillId="0" borderId="0">
      <alignment horizontal="center" wrapText="1"/>
      <protection locked="0"/>
    </xf>
    <xf numFmtId="0" fontId="103" fillId="0" borderId="0" applyNumberFormat="0" applyAlignment="0">
      <alignment horizontal="left"/>
    </xf>
    <xf numFmtId="0" fontId="42" fillId="0" borderId="0" applyNumberFormat="0" applyAlignment="0"/>
    <xf numFmtId="15" fontId="32" fillId="0" borderId="0"/>
    <xf numFmtId="0" fontId="104" fillId="0" borderId="0" applyNumberFormat="0" applyFill="0" applyBorder="0" applyAlignment="0" applyProtection="0"/>
    <xf numFmtId="0" fontId="105" fillId="0" borderId="0" applyNumberFormat="0" applyAlignment="0">
      <alignment horizontal="left"/>
    </xf>
    <xf numFmtId="225" fontId="8" fillId="16" borderId="0"/>
    <xf numFmtId="225" fontId="8" fillId="17" borderId="0"/>
    <xf numFmtId="226" fontId="8" fillId="0" borderId="0" applyFont="0" applyFill="0" applyBorder="0" applyAlignment="0" applyProtection="0"/>
    <xf numFmtId="227" fontId="8" fillId="0" borderId="0" applyFont="0" applyFill="0" applyBorder="0" applyAlignment="0" applyProtection="0"/>
    <xf numFmtId="228" fontId="8" fillId="0" borderId="0" applyFont="0" applyFill="0" applyBorder="0" applyAlignment="0" applyProtection="0"/>
    <xf numFmtId="187" fontId="8" fillId="0" borderId="0" applyFont="0" applyFill="0" applyBorder="0" applyAlignment="0" applyProtection="0"/>
    <xf numFmtId="0" fontId="14" fillId="0" borderId="0"/>
    <xf numFmtId="216" fontId="22" fillId="0" borderId="0" applyFont="0" applyFill="0" applyBorder="0" applyAlignment="0" applyProtection="0"/>
    <xf numFmtId="215" fontId="22" fillId="0" borderId="0" applyFont="0" applyFill="0" applyBorder="0" applyAlignment="0" applyProtection="0"/>
    <xf numFmtId="14" fontId="102" fillId="0" borderId="0">
      <alignment horizontal="center" wrapText="1"/>
      <protection locked="0"/>
    </xf>
    <xf numFmtId="188" fontId="106" fillId="0" borderId="0"/>
    <xf numFmtId="0" fontId="32" fillId="0" borderId="0" applyNumberFormat="0" applyFont="0" applyFill="0" applyBorder="0" applyAlignment="0" applyProtection="0">
      <alignment horizontal="left"/>
    </xf>
    <xf numFmtId="229" fontId="8" fillId="0" borderId="0" applyNumberFormat="0" applyFill="0" applyBorder="0" applyAlignment="0" applyProtection="0">
      <alignment horizontal="left"/>
    </xf>
    <xf numFmtId="40" fontId="107" fillId="0" borderId="0" applyBorder="0">
      <alignment horizontal="right"/>
    </xf>
    <xf numFmtId="0" fontId="108" fillId="15" borderId="0" applyNumberFormat="0" applyBorder="0" applyAlignment="0" applyProtection="0">
      <alignment vertical="center"/>
    </xf>
    <xf numFmtId="0" fontId="109" fillId="14" borderId="0" applyNumberFormat="0" applyBorder="0" applyAlignment="0" applyProtection="0">
      <alignment vertical="center"/>
    </xf>
    <xf numFmtId="216" fontId="22" fillId="0" borderId="10" applyNumberFormat="0"/>
    <xf numFmtId="205" fontId="8" fillId="0" borderId="0">
      <alignment vertical="center"/>
    </xf>
    <xf numFmtId="205" fontId="8" fillId="0" borderId="0">
      <alignment vertical="center"/>
      <protection locked="0"/>
    </xf>
    <xf numFmtId="205" fontId="8" fillId="0" borderId="0">
      <alignment vertical="center"/>
    </xf>
    <xf numFmtId="205" fontId="124" fillId="18" borderId="0" applyNumberFormat="0" applyBorder="0" applyAlignment="0" applyProtection="0"/>
    <xf numFmtId="205" fontId="124" fillId="8" borderId="0" applyNumberFormat="0" applyBorder="0" applyAlignment="0" applyProtection="0"/>
    <xf numFmtId="205" fontId="124" fillId="10" borderId="0" applyNumberFormat="0" applyBorder="0" applyAlignment="0" applyProtection="0"/>
    <xf numFmtId="205" fontId="124" fillId="9" borderId="0" applyNumberFormat="0" applyBorder="0" applyAlignment="0" applyProtection="0"/>
    <xf numFmtId="205" fontId="124" fillId="11" borderId="0" applyNumberFormat="0" applyBorder="0" applyAlignment="0" applyProtection="0"/>
    <xf numFmtId="205" fontId="124" fillId="19" borderId="0" applyNumberFormat="0" applyBorder="0" applyAlignment="0" applyProtection="0"/>
    <xf numFmtId="205" fontId="124" fillId="20" borderId="0" applyNumberFormat="0" applyBorder="0" applyAlignment="0" applyProtection="0"/>
    <xf numFmtId="205" fontId="124" fillId="21" borderId="0" applyNumberFormat="0" applyBorder="0" applyAlignment="0" applyProtection="0"/>
    <xf numFmtId="205" fontId="124" fillId="22" borderId="0" applyNumberFormat="0" applyBorder="0" applyAlignment="0" applyProtection="0"/>
    <xf numFmtId="205" fontId="124" fillId="9" borderId="0" applyNumberFormat="0" applyBorder="0" applyAlignment="0" applyProtection="0"/>
    <xf numFmtId="205" fontId="124" fillId="20" borderId="0" applyNumberFormat="0" applyBorder="0" applyAlignment="0" applyProtection="0"/>
    <xf numFmtId="205" fontId="124" fillId="23" borderId="0" applyNumberFormat="0" applyBorder="0" applyAlignment="0" applyProtection="0"/>
    <xf numFmtId="205" fontId="125" fillId="24" borderId="0" applyNumberFormat="0" applyBorder="0" applyAlignment="0" applyProtection="0"/>
    <xf numFmtId="205" fontId="125" fillId="21" borderId="0" applyNumberFormat="0" applyBorder="0" applyAlignment="0" applyProtection="0"/>
    <xf numFmtId="205" fontId="125" fillId="22" borderId="0" applyNumberFormat="0" applyBorder="0" applyAlignment="0" applyProtection="0"/>
    <xf numFmtId="205" fontId="125" fillId="25" borderId="0" applyNumberFormat="0" applyBorder="0" applyAlignment="0" applyProtection="0"/>
    <xf numFmtId="205" fontId="125" fillId="26" borderId="0" applyNumberFormat="0" applyBorder="0" applyAlignment="0" applyProtection="0"/>
    <xf numFmtId="205" fontId="125" fillId="27" borderId="0" applyNumberFormat="0" applyBorder="0" applyAlignment="0" applyProtection="0"/>
    <xf numFmtId="205" fontId="125" fillId="28" borderId="0" applyNumberFormat="0" applyBorder="0" applyAlignment="0" applyProtection="0"/>
    <xf numFmtId="205" fontId="125" fillId="29" borderId="0" applyNumberFormat="0" applyBorder="0" applyAlignment="0" applyProtection="0"/>
    <xf numFmtId="205" fontId="125" fillId="30" borderId="0" applyNumberFormat="0" applyBorder="0" applyAlignment="0" applyProtection="0"/>
    <xf numFmtId="205" fontId="125" fillId="25" borderId="0" applyNumberFormat="0" applyBorder="0" applyAlignment="0" applyProtection="0"/>
    <xf numFmtId="205" fontId="125" fillId="26" borderId="0" applyNumberFormat="0" applyBorder="0" applyAlignment="0" applyProtection="0"/>
    <xf numFmtId="205" fontId="125" fillId="31" borderId="0" applyNumberFormat="0" applyBorder="0" applyAlignment="0" applyProtection="0"/>
    <xf numFmtId="205" fontId="126" fillId="8" borderId="0" applyNumberFormat="0" applyBorder="0" applyAlignment="0" applyProtection="0"/>
    <xf numFmtId="205" fontId="127" fillId="32" borderId="26" applyNumberFormat="0" applyAlignment="0" applyProtection="0"/>
    <xf numFmtId="205" fontId="128" fillId="33" borderId="27" applyNumberFormat="0" applyAlignment="0" applyProtection="0"/>
    <xf numFmtId="205" fontId="129" fillId="0" borderId="0" applyNumberFormat="0" applyFill="0" applyBorder="0" applyAlignment="0" applyProtection="0"/>
    <xf numFmtId="205" fontId="130" fillId="10" borderId="0" applyNumberFormat="0" applyBorder="0" applyAlignment="0" applyProtection="0"/>
    <xf numFmtId="205" fontId="131" fillId="0" borderId="28" applyNumberFormat="0" applyFill="0" applyAlignment="0" applyProtection="0"/>
    <xf numFmtId="205" fontId="132" fillId="0" borderId="29" applyNumberFormat="0" applyFill="0" applyAlignment="0" applyProtection="0"/>
    <xf numFmtId="205" fontId="133" fillId="0" borderId="30" applyNumberFormat="0" applyFill="0" applyAlignment="0" applyProtection="0"/>
    <xf numFmtId="205" fontId="133" fillId="0" borderId="0" applyNumberFormat="0" applyFill="0" applyBorder="0" applyAlignment="0" applyProtection="0"/>
    <xf numFmtId="205" fontId="134" fillId="19" borderId="26" applyNumberFormat="0" applyAlignment="0" applyProtection="0"/>
    <xf numFmtId="205" fontId="135" fillId="0" borderId="31" applyNumberFormat="0" applyFill="0" applyAlignment="0" applyProtection="0"/>
    <xf numFmtId="205" fontId="136" fillId="34" borderId="0" applyNumberFormat="0" applyBorder="0" applyAlignment="0" applyProtection="0"/>
    <xf numFmtId="0" fontId="22" fillId="0" borderId="0"/>
    <xf numFmtId="0" fontId="22" fillId="0" borderId="0"/>
    <xf numFmtId="0" fontId="8" fillId="0" borderId="0">
      <alignment vertical="center"/>
    </xf>
    <xf numFmtId="205" fontId="22" fillId="35" borderId="32" applyNumberFormat="0" applyFont="0" applyAlignment="0" applyProtection="0"/>
    <xf numFmtId="205" fontId="137" fillId="32" borderId="33" applyNumberFormat="0" applyAlignment="0" applyProtection="0"/>
    <xf numFmtId="205" fontId="138" fillId="0" borderId="34" applyNumberFormat="0" applyFill="0" applyAlignment="0" applyProtection="0"/>
    <xf numFmtId="205" fontId="139" fillId="0" borderId="0" applyNumberFormat="0" applyFill="0" applyBorder="0" applyAlignment="0" applyProtection="0"/>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8" fillId="0" borderId="0">
      <alignment vertical="center"/>
    </xf>
    <xf numFmtId="0" fontId="8" fillId="0" borderId="0">
      <alignment vertical="center"/>
    </xf>
    <xf numFmtId="0" fontId="8"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1" fillId="0" borderId="0" applyNumberFormat="0" applyBorder="0" applyAlignment="0">
      <alignment vertical="center"/>
      <protection locked="0"/>
    </xf>
    <xf numFmtId="0" fontId="8" fillId="0" borderId="0">
      <protection locked="0"/>
    </xf>
    <xf numFmtId="0" fontId="8" fillId="0" borderId="0">
      <alignment vertical="center"/>
    </xf>
    <xf numFmtId="0" fontId="8" fillId="0" borderId="0">
      <alignment vertical="center"/>
    </xf>
    <xf numFmtId="0" fontId="8" fillId="0" borderId="0">
      <alignment vertical="center"/>
    </xf>
    <xf numFmtId="0" fontId="58" fillId="0" borderId="0" applyNumberFormat="0" applyBorder="0" applyProtection="0">
      <alignment vertical="center"/>
    </xf>
    <xf numFmtId="0" fontId="8" fillId="0" borderId="0">
      <protection locked="0"/>
    </xf>
    <xf numFmtId="0" fontId="8" fillId="0" borderId="0">
      <alignment vertical="center"/>
    </xf>
    <xf numFmtId="0" fontId="8" fillId="0" borderId="0">
      <protection locked="0"/>
    </xf>
    <xf numFmtId="0" fontId="22" fillId="0" borderId="0"/>
    <xf numFmtId="0" fontId="8" fillId="0" borderId="0">
      <alignment vertical="center"/>
    </xf>
    <xf numFmtId="205" fontId="3" fillId="0" borderId="0">
      <alignment vertical="center"/>
    </xf>
    <xf numFmtId="0" fontId="8" fillId="0" borderId="0">
      <alignment vertical="center"/>
    </xf>
    <xf numFmtId="0" fontId="8" fillId="0" borderId="0">
      <alignment vertical="center"/>
    </xf>
    <xf numFmtId="0" fontId="140" fillId="0" borderId="0">
      <alignment vertical="center"/>
    </xf>
    <xf numFmtId="0" fontId="140" fillId="0" borderId="0">
      <alignment vertical="center"/>
    </xf>
    <xf numFmtId="0" fontId="140" fillId="0" borderId="0">
      <alignment vertical="center"/>
    </xf>
    <xf numFmtId="0" fontId="8" fillId="0" borderId="0"/>
    <xf numFmtId="0" fontId="141" fillId="0" borderId="0" applyNumberFormat="0" applyBorder="0" applyAlignment="0" applyProtection="0">
      <alignment vertical="center"/>
    </xf>
    <xf numFmtId="0" fontId="140" fillId="0" borderId="0">
      <alignment vertical="center"/>
    </xf>
    <xf numFmtId="0" fontId="3"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205" fontId="60" fillId="0" borderId="0" applyNumberFormat="0" applyFill="0" applyBorder="0" applyAlignment="0" applyProtection="0">
      <alignment vertical="top"/>
      <protection locked="0"/>
    </xf>
    <xf numFmtId="205" fontId="8" fillId="0" borderId="0">
      <alignment vertical="center"/>
      <protection locked="0"/>
    </xf>
    <xf numFmtId="0" fontId="8" fillId="0" borderId="0">
      <protection locked="0"/>
    </xf>
    <xf numFmtId="205" fontId="8" fillId="0" borderId="0"/>
    <xf numFmtId="9" fontId="8" fillId="0" borderId="0" applyFont="0" applyFill="0" applyBorder="0" applyAlignment="0" applyProtection="0"/>
    <xf numFmtId="43" fontId="8" fillId="0" borderId="0" applyFont="0" applyFill="0" applyBorder="0" applyAlignment="0" applyProtection="0"/>
    <xf numFmtId="205" fontId="8" fillId="0" borderId="0">
      <alignment vertical="center"/>
    </xf>
    <xf numFmtId="0" fontId="58" fillId="0" borderId="0">
      <alignment vertical="center"/>
    </xf>
    <xf numFmtId="0" fontId="4" fillId="0" borderId="0"/>
    <xf numFmtId="0" fontId="8" fillId="0" borderId="0">
      <alignment vertical="center"/>
    </xf>
    <xf numFmtId="0" fontId="8" fillId="0" borderId="0"/>
    <xf numFmtId="205" fontId="8" fillId="0" borderId="0"/>
    <xf numFmtId="0" fontId="8" fillId="0" borderId="0">
      <protection locked="0"/>
    </xf>
    <xf numFmtId="205" fontId="8" fillId="0" borderId="0">
      <protection locked="0"/>
    </xf>
    <xf numFmtId="205" fontId="8" fillId="0" borderId="0">
      <alignment vertical="center"/>
      <protection locked="0"/>
    </xf>
    <xf numFmtId="205" fontId="8" fillId="0" borderId="0">
      <protection locked="0"/>
    </xf>
    <xf numFmtId="205" fontId="140" fillId="0" borderId="0"/>
    <xf numFmtId="43" fontId="8" fillId="0" borderId="0" applyFont="0" applyFill="0" applyBorder="0" applyAlignment="0" applyProtection="0">
      <alignment vertical="center"/>
    </xf>
    <xf numFmtId="205" fontId="1" fillId="0" borderId="0">
      <alignment vertical="center"/>
    </xf>
  </cellStyleXfs>
  <cellXfs count="1090">
    <xf numFmtId="0" fontId="0" fillId="0" borderId="0" xfId="0">
      <protection locked="0"/>
    </xf>
    <xf numFmtId="43" fontId="9" fillId="0" borderId="0" xfId="4" applyNumberFormat="1" applyFont="1" applyBorder="1" applyAlignment="1">
      <alignment vertical="center"/>
    </xf>
    <xf numFmtId="0" fontId="9" fillId="0" borderId="0" xfId="0" applyFont="1" applyAlignment="1">
      <alignment vertical="center"/>
      <protection locked="0"/>
    </xf>
    <xf numFmtId="0" fontId="13" fillId="0" borderId="0" xfId="0" applyFont="1" applyAlignment="1">
      <alignment horizontal="right" vertical="center"/>
      <protection locked="0"/>
    </xf>
    <xf numFmtId="0" fontId="13" fillId="0" borderId="0" xfId="0" applyFont="1" applyAlignment="1">
      <alignment vertical="center"/>
      <protection locked="0"/>
    </xf>
    <xf numFmtId="43" fontId="7" fillId="0" borderId="0" xfId="4" applyNumberFormat="1" applyFont="1" applyBorder="1" applyAlignment="1">
      <alignment vertical="center"/>
    </xf>
    <xf numFmtId="43" fontId="17" fillId="0" borderId="0" xfId="4" applyNumberFormat="1" applyFont="1" applyBorder="1" applyAlignment="1">
      <alignment vertical="center"/>
    </xf>
    <xf numFmtId="43" fontId="18" fillId="0" borderId="0" xfId="4" applyNumberFormat="1" applyFont="1" applyBorder="1" applyAlignment="1">
      <alignment vertical="center"/>
    </xf>
    <xf numFmtId="43" fontId="19" fillId="0" borderId="0" xfId="4" applyNumberFormat="1" applyFont="1" applyBorder="1" applyAlignment="1">
      <alignment vertical="center"/>
    </xf>
    <xf numFmtId="43" fontId="21" fillId="0" borderId="0" xfId="4" applyNumberFormat="1" applyFont="1" applyBorder="1" applyAlignment="1">
      <alignment vertical="center"/>
    </xf>
    <xf numFmtId="43" fontId="20" fillId="0" borderId="0" xfId="4" applyNumberFormat="1" applyFont="1" applyBorder="1" applyAlignment="1">
      <alignment vertical="center"/>
    </xf>
    <xf numFmtId="43" fontId="21" fillId="0" borderId="0" xfId="4" applyNumberFormat="1" applyFont="1" applyBorder="1" applyAlignment="1">
      <alignment horizontal="right" vertical="center"/>
    </xf>
    <xf numFmtId="0" fontId="5" fillId="0" borderId="0" xfId="0" applyFont="1" applyAlignment="1">
      <alignment vertical="center"/>
      <protection locked="0"/>
    </xf>
    <xf numFmtId="43" fontId="9" fillId="0" borderId="14" xfId="0" applyNumberFormat="1" applyFont="1" applyBorder="1" applyAlignment="1">
      <alignment horizontal="justify" vertical="center" wrapText="1"/>
      <protection locked="0"/>
    </xf>
    <xf numFmtId="43" fontId="9" fillId="0" borderId="14" xfId="0" applyNumberFormat="1" applyFont="1" applyBorder="1" applyAlignment="1">
      <alignment horizontal="center" vertical="center" shrinkToFit="1"/>
      <protection locked="0"/>
    </xf>
    <xf numFmtId="43" fontId="9" fillId="0" borderId="14" xfId="0" applyNumberFormat="1" applyFont="1" applyBorder="1" applyAlignment="1">
      <alignment horizontal="center" vertical="center" wrapText="1"/>
      <protection locked="0"/>
    </xf>
    <xf numFmtId="43" fontId="9" fillId="0" borderId="16" xfId="0" applyNumberFormat="1" applyFont="1" applyBorder="1" applyAlignment="1">
      <alignment horizontal="justify" vertical="center" wrapText="1"/>
      <protection locked="0"/>
    </xf>
    <xf numFmtId="0" fontId="9" fillId="0" borderId="14" xfId="0" applyFont="1" applyBorder="1" applyAlignment="1">
      <alignment horizontal="justify" vertical="center" wrapText="1"/>
      <protection locked="0"/>
    </xf>
    <xf numFmtId="0" fontId="18" fillId="0" borderId="0" xfId="0" applyFont="1" applyAlignment="1">
      <alignment vertical="center"/>
      <protection locked="0"/>
    </xf>
    <xf numFmtId="0" fontId="9" fillId="0" borderId="0" xfId="245" applyFont="1">
      <protection locked="0"/>
    </xf>
    <xf numFmtId="0" fontId="19" fillId="0" borderId="0" xfId="0" applyFont="1" applyAlignment="1">
      <alignment horizontal="right" vertical="center"/>
      <protection locked="0"/>
    </xf>
    <xf numFmtId="0" fontId="18" fillId="0" borderId="0" xfId="0" applyFont="1" applyAlignment="1">
      <alignment horizontal="right" vertical="center"/>
      <protection locked="0"/>
    </xf>
    <xf numFmtId="0" fontId="21" fillId="0" borderId="0" xfId="0" applyFont="1" applyAlignment="1">
      <alignment vertical="center"/>
      <protection locked="0"/>
    </xf>
    <xf numFmtId="0" fontId="7" fillId="0" borderId="0" xfId="0" applyFont="1" applyAlignment="1">
      <alignment vertical="center"/>
      <protection locked="0"/>
    </xf>
    <xf numFmtId="0" fontId="9" fillId="0" borderId="0" xfId="0" applyFont="1" applyAlignment="1">
      <alignment vertical="center" wrapText="1"/>
      <protection locked="0"/>
    </xf>
    <xf numFmtId="0" fontId="9" fillId="0" borderId="0" xfId="0" applyFont="1" applyAlignment="1">
      <alignment horizontal="center" vertical="center" wrapText="1"/>
      <protection locked="0"/>
    </xf>
    <xf numFmtId="10" fontId="9" fillId="0" borderId="14" xfId="2" applyNumberFormat="1" applyFont="1" applyBorder="1" applyAlignment="1" applyProtection="1">
      <alignment horizontal="center" vertical="center" wrapText="1"/>
      <protection locked="0"/>
    </xf>
    <xf numFmtId="0" fontId="9" fillId="0" borderId="14" xfId="0" applyFont="1" applyBorder="1" applyAlignment="1">
      <alignment vertical="center"/>
      <protection locked="0"/>
    </xf>
    <xf numFmtId="0" fontId="69" fillId="0" borderId="0" xfId="0" applyFont="1" applyAlignment="1">
      <alignment vertical="center"/>
      <protection locked="0"/>
    </xf>
    <xf numFmtId="0" fontId="9" fillId="0" borderId="0" xfId="0" applyFont="1" applyAlignment="1">
      <alignment wrapText="1"/>
      <protection locked="0"/>
    </xf>
    <xf numFmtId="0" fontId="7" fillId="0" borderId="0" xfId="0" applyFont="1" applyAlignment="1">
      <alignment horizontal="justify" vertical="center" wrapText="1"/>
      <protection locked="0"/>
    </xf>
    <xf numFmtId="0" fontId="17" fillId="0" borderId="0" xfId="0" applyFont="1" applyAlignment="1">
      <alignment horizontal="left" vertical="center" wrapText="1"/>
      <protection locked="0"/>
    </xf>
    <xf numFmtId="0" fontId="18" fillId="0" borderId="0" xfId="0" applyFont="1" applyAlignment="1">
      <alignment horizontal="left" vertical="center" wrapText="1"/>
      <protection locked="0"/>
    </xf>
    <xf numFmtId="0" fontId="18" fillId="0" borderId="0" xfId="0" applyFont="1" applyAlignment="1">
      <alignment horizontal="left" wrapText="1"/>
      <protection locked="0"/>
    </xf>
    <xf numFmtId="0" fontId="9" fillId="0" borderId="0" xfId="0" applyFont="1">
      <protection locked="0"/>
    </xf>
    <xf numFmtId="0" fontId="12" fillId="0" borderId="0" xfId="0" applyFont="1">
      <protection locked="0"/>
    </xf>
    <xf numFmtId="0" fontId="9" fillId="0" borderId="0" xfId="0" applyFont="1" applyAlignment="1">
      <alignment horizontal="right" vertical="center"/>
      <protection locked="0"/>
    </xf>
    <xf numFmtId="0" fontId="70" fillId="0" borderId="0" xfId="0" applyFont="1" applyAlignment="1" applyProtection="1">
      <alignment vertical="center"/>
    </xf>
    <xf numFmtId="0" fontId="9" fillId="0" borderId="14" xfId="0" applyFont="1" applyBorder="1" applyAlignment="1">
      <alignment vertical="center" wrapText="1"/>
      <protection locked="0"/>
    </xf>
    <xf numFmtId="0" fontId="9" fillId="0" borderId="0" xfId="0" applyFont="1" applyAlignment="1">
      <alignment horizontal="center" vertical="center"/>
      <protection locked="0"/>
    </xf>
    <xf numFmtId="0" fontId="9" fillId="0" borderId="0" xfId="0" applyFont="1" applyAlignment="1">
      <alignment horizontal="justify" vertical="center" wrapText="1"/>
      <protection locked="0"/>
    </xf>
    <xf numFmtId="0" fontId="9" fillId="0" borderId="16" xfId="0" applyFont="1" applyBorder="1" applyAlignment="1">
      <alignment horizontal="justify" vertical="center" wrapText="1"/>
      <protection locked="0"/>
    </xf>
    <xf numFmtId="0" fontId="9" fillId="0" borderId="18" xfId="0" applyFont="1" applyBorder="1" applyAlignment="1">
      <alignment horizontal="justify" vertical="center" wrapText="1"/>
      <protection locked="0"/>
    </xf>
    <xf numFmtId="0" fontId="75" fillId="0" borderId="0" xfId="251" applyFont="1" applyProtection="1">
      <alignment vertical="center"/>
      <protection locked="0"/>
    </xf>
    <xf numFmtId="0" fontId="3" fillId="0" borderId="0" xfId="251" applyProtection="1">
      <alignment vertical="center"/>
      <protection locked="0"/>
    </xf>
    <xf numFmtId="0" fontId="13" fillId="12" borderId="0" xfId="251" applyFont="1" applyFill="1" applyAlignment="1" applyProtection="1">
      <alignment horizontal="justify" vertical="center" wrapText="1"/>
      <protection locked="0"/>
    </xf>
    <xf numFmtId="0" fontId="7" fillId="0" borderId="14" xfId="0" applyFont="1" applyBorder="1" applyAlignment="1">
      <alignment horizontal="center" vertical="center" wrapText="1"/>
      <protection locked="0"/>
    </xf>
    <xf numFmtId="0" fontId="9" fillId="0" borderId="14" xfId="0" applyFont="1" applyBorder="1" applyAlignment="1">
      <alignment horizontal="center" vertical="center" wrapText="1"/>
      <protection locked="0"/>
    </xf>
    <xf numFmtId="0" fontId="7" fillId="13" borderId="14" xfId="0" applyFont="1" applyFill="1" applyBorder="1" applyAlignment="1">
      <alignment horizontal="center" vertical="center" wrapText="1"/>
      <protection locked="0"/>
    </xf>
    <xf numFmtId="0" fontId="7" fillId="13" borderId="14" xfId="0" applyFont="1" applyFill="1" applyBorder="1" applyAlignment="1">
      <alignment horizontal="center" vertical="center"/>
      <protection locked="0"/>
    </xf>
    <xf numFmtId="9" fontId="9" fillId="0" borderId="14" xfId="2" applyFont="1" applyBorder="1" applyAlignment="1" applyProtection="1">
      <alignment horizontal="right" vertical="center" wrapText="1"/>
      <protection locked="0"/>
    </xf>
    <xf numFmtId="43" fontId="9" fillId="0" borderId="14" xfId="1" applyFont="1" applyBorder="1" applyAlignment="1" applyProtection="1">
      <alignment horizontal="right" vertical="center" wrapText="1"/>
      <protection locked="0"/>
    </xf>
    <xf numFmtId="43" fontId="9" fillId="0" borderId="14" xfId="1" applyFont="1" applyBorder="1" applyAlignment="1" applyProtection="1">
      <alignment vertical="center"/>
      <protection locked="0"/>
    </xf>
    <xf numFmtId="9" fontId="9" fillId="0" borderId="14" xfId="2" applyFont="1" applyBorder="1" applyAlignment="1" applyProtection="1">
      <alignment horizontal="center" vertical="center" wrapText="1"/>
      <protection locked="0"/>
    </xf>
    <xf numFmtId="0" fontId="7" fillId="0" borderId="0" xfId="0" applyFont="1" applyAlignment="1" applyProtection="1">
      <alignment vertical="center"/>
    </xf>
    <xf numFmtId="0" fontId="9" fillId="0" borderId="0" xfId="0" applyFont="1" applyAlignment="1" applyProtection="1">
      <alignment horizontal="left" vertical="center" wrapText="1"/>
    </xf>
    <xf numFmtId="0" fontId="9" fillId="0" borderId="0" xfId="0" applyFont="1" applyAlignment="1" applyProtection="1">
      <alignment vertical="center"/>
    </xf>
    <xf numFmtId="0" fontId="80" fillId="0" borderId="0" xfId="0" applyFont="1" applyAlignment="1" applyProtection="1">
      <alignment vertical="center"/>
    </xf>
    <xf numFmtId="0" fontId="89" fillId="0" borderId="0" xfId="0" applyFont="1" applyAlignment="1" applyProtection="1">
      <alignment horizontal="left" vertical="center" wrapText="1"/>
    </xf>
    <xf numFmtId="0" fontId="80" fillId="0" borderId="0" xfId="0" applyFont="1" applyAlignment="1" applyProtection="1">
      <alignment vertical="center" wrapText="1"/>
    </xf>
    <xf numFmtId="223" fontId="80" fillId="0" borderId="0" xfId="0" applyNumberFormat="1" applyFont="1" applyAlignment="1" applyProtection="1">
      <alignment horizontal="center" vertical="center" wrapText="1"/>
    </xf>
    <xf numFmtId="0" fontId="9" fillId="0" borderId="14" xfId="0" applyFont="1" applyBorder="1" applyAlignment="1" applyProtection="1">
      <alignment vertical="center" wrapText="1"/>
    </xf>
    <xf numFmtId="223" fontId="9" fillId="0" borderId="14" xfId="0" applyNumberFormat="1" applyFont="1" applyBorder="1" applyAlignment="1" applyProtection="1">
      <alignment vertical="center"/>
    </xf>
    <xf numFmtId="0" fontId="87" fillId="0" borderId="14" xfId="0" applyFont="1" applyBorder="1" applyAlignment="1" applyProtection="1">
      <alignment vertical="center" wrapText="1"/>
    </xf>
    <xf numFmtId="0" fontId="9" fillId="0" borderId="0" xfId="0" applyFont="1" applyAlignment="1" applyProtection="1">
      <alignment horizontal="center" vertical="center"/>
    </xf>
    <xf numFmtId="0" fontId="7" fillId="13" borderId="14" xfId="0" applyFont="1" applyFill="1" applyBorder="1" applyAlignment="1" applyProtection="1">
      <alignment horizontal="center" vertical="center"/>
    </xf>
    <xf numFmtId="43" fontId="87" fillId="0" borderId="14" xfId="1" applyFont="1" applyFill="1" applyBorder="1" applyAlignment="1" applyProtection="1">
      <alignment vertical="center" wrapText="1"/>
    </xf>
    <xf numFmtId="43" fontId="9" fillId="0" borderId="14" xfId="1" applyFont="1" applyFill="1" applyBorder="1" applyAlignment="1" applyProtection="1">
      <alignment vertical="center" wrapText="1"/>
    </xf>
    <xf numFmtId="43" fontId="9" fillId="0" borderId="14" xfId="1" applyFont="1" applyFill="1" applyBorder="1" applyAlignment="1" applyProtection="1">
      <alignment vertical="center"/>
    </xf>
    <xf numFmtId="0" fontId="13" fillId="13" borderId="16" xfId="0" applyFont="1" applyFill="1" applyBorder="1" applyAlignment="1">
      <alignment vertical="center"/>
      <protection locked="0"/>
    </xf>
    <xf numFmtId="0" fontId="9" fillId="0" borderId="14" xfId="0" applyFont="1" applyBorder="1" applyAlignment="1" applyProtection="1">
      <alignment vertical="center"/>
    </xf>
    <xf numFmtId="0" fontId="9" fillId="0" borderId="14" xfId="0" applyFont="1" applyBorder="1" applyAlignment="1" applyProtection="1">
      <alignment horizontal="center" vertical="center"/>
    </xf>
    <xf numFmtId="0" fontId="7" fillId="0" borderId="0" xfId="0" applyFont="1" applyAlignment="1" applyProtection="1">
      <alignment horizontal="left" vertical="center"/>
    </xf>
    <xf numFmtId="0" fontId="7" fillId="13" borderId="14" xfId="0" applyFont="1" applyFill="1" applyBorder="1" applyAlignment="1" applyProtection="1">
      <alignment horizontal="center" vertical="center" wrapText="1"/>
    </xf>
    <xf numFmtId="0" fontId="70" fillId="0" borderId="0" xfId="207" applyFont="1" applyAlignment="1" applyProtection="1">
      <alignment vertical="center"/>
    </xf>
    <xf numFmtId="0" fontId="7" fillId="0" borderId="0" xfId="207" applyFont="1" applyAlignment="1" applyProtection="1">
      <alignment horizontal="left" vertical="center"/>
    </xf>
    <xf numFmtId="0" fontId="9" fillId="0" borderId="18" xfId="0" applyFont="1" applyBorder="1" applyAlignment="1">
      <alignment vertical="center"/>
      <protection locked="0"/>
    </xf>
    <xf numFmtId="0" fontId="9" fillId="0" borderId="0" xfId="0" applyFont="1" applyAlignment="1" applyProtection="1">
      <alignment horizontal="left" vertical="center"/>
    </xf>
    <xf numFmtId="0" fontId="9" fillId="0" borderId="14" xfId="0" applyFont="1" applyBorder="1" applyAlignment="1" applyProtection="1">
      <alignment horizontal="center" vertical="center" wrapText="1"/>
    </xf>
    <xf numFmtId="0" fontId="9" fillId="13" borderId="14" xfId="0" applyFont="1" applyFill="1" applyBorder="1" applyAlignment="1" applyProtection="1">
      <alignment horizontal="center" vertical="center" wrapText="1"/>
    </xf>
    <xf numFmtId="0" fontId="9" fillId="0" borderId="0" xfId="207" applyFont="1" applyAlignment="1" applyProtection="1">
      <alignment vertical="center"/>
    </xf>
    <xf numFmtId="0" fontId="9" fillId="0" borderId="14" xfId="0" applyFont="1" applyBorder="1" applyAlignment="1" applyProtection="1">
      <alignment horizontal="right" vertical="center"/>
    </xf>
    <xf numFmtId="43" fontId="9" fillId="0" borderId="14" xfId="1" applyFont="1" applyFill="1" applyBorder="1" applyAlignment="1" applyProtection="1">
      <alignment horizontal="right" vertical="center"/>
    </xf>
    <xf numFmtId="0" fontId="81" fillId="13" borderId="14" xfId="0" applyFont="1" applyFill="1" applyBorder="1" applyAlignment="1" applyProtection="1">
      <alignment horizontal="center" vertical="center"/>
    </xf>
    <xf numFmtId="0" fontId="13" fillId="13" borderId="16" xfId="0" applyFont="1" applyFill="1" applyBorder="1" applyAlignment="1">
      <alignment horizontal="left" vertical="center"/>
      <protection locked="0"/>
    </xf>
    <xf numFmtId="9" fontId="9" fillId="0" borderId="14" xfId="0" applyNumberFormat="1" applyFont="1" applyBorder="1" applyAlignment="1" applyProtection="1">
      <alignment vertical="center"/>
    </xf>
    <xf numFmtId="0" fontId="9" fillId="13" borderId="14" xfId="0" applyFont="1" applyFill="1" applyBorder="1" applyAlignment="1" applyProtection="1">
      <alignment horizontal="center" vertical="center"/>
    </xf>
    <xf numFmtId="0" fontId="9" fillId="0" borderId="16" xfId="0" applyFont="1" applyBorder="1" applyAlignment="1" applyProtection="1">
      <alignment vertical="center"/>
    </xf>
    <xf numFmtId="0" fontId="12" fillId="0" borderId="0" xfId="0" applyFont="1" applyAlignment="1">
      <alignment horizontal="center" vertical="center"/>
      <protection locked="0"/>
    </xf>
    <xf numFmtId="0" fontId="12" fillId="0" borderId="0" xfId="0" applyFont="1" applyAlignment="1">
      <alignment horizontal="left" vertical="center"/>
      <protection locked="0"/>
    </xf>
    <xf numFmtId="0" fontId="12" fillId="0" borderId="0" xfId="0" applyFont="1" applyAlignment="1">
      <alignment vertical="center"/>
      <protection locked="0"/>
    </xf>
    <xf numFmtId="0" fontId="9" fillId="0" borderId="17" xfId="0" applyFont="1" applyBorder="1" applyAlignment="1" applyProtection="1">
      <alignment vertical="center" wrapText="1"/>
    </xf>
    <xf numFmtId="0" fontId="7" fillId="0" borderId="14" xfId="0" applyFont="1" applyBorder="1" applyAlignment="1" applyProtection="1">
      <alignment horizontal="center" vertical="center"/>
    </xf>
    <xf numFmtId="0" fontId="7" fillId="13" borderId="14" xfId="207" applyFont="1" applyFill="1" applyBorder="1" applyAlignment="1">
      <alignment horizontal="center" vertical="center"/>
      <protection locked="0"/>
    </xf>
    <xf numFmtId="0" fontId="9" fillId="0" borderId="14" xfId="207" applyFont="1" applyBorder="1" applyAlignment="1">
      <alignment horizontal="center" vertical="center"/>
      <protection locked="0"/>
    </xf>
    <xf numFmtId="0" fontId="9" fillId="0" borderId="16" xfId="207" applyFont="1" applyBorder="1" applyAlignment="1">
      <alignment vertical="center"/>
      <protection locked="0"/>
    </xf>
    <xf numFmtId="0" fontId="9" fillId="0" borderId="18" xfId="207" applyFont="1" applyBorder="1" applyAlignment="1">
      <alignment vertical="center"/>
      <protection locked="0"/>
    </xf>
    <xf numFmtId="43" fontId="9" fillId="0" borderId="16" xfId="1" applyFont="1" applyFill="1" applyBorder="1" applyAlignment="1" applyProtection="1">
      <alignment vertical="center"/>
    </xf>
    <xf numFmtId="43" fontId="9" fillId="0" borderId="18" xfId="1" applyFont="1" applyFill="1" applyBorder="1" applyAlignment="1" applyProtection="1">
      <alignment vertical="center"/>
    </xf>
    <xf numFmtId="0" fontId="9" fillId="0" borderId="18" xfId="0" applyFont="1" applyBorder="1" applyAlignment="1">
      <alignment vertical="center" wrapText="1"/>
      <protection locked="0"/>
    </xf>
    <xf numFmtId="43" fontId="9" fillId="0" borderId="14" xfId="1" applyFont="1" applyFill="1" applyBorder="1" applyAlignment="1">
      <alignment vertical="center"/>
    </xf>
    <xf numFmtId="0" fontId="9" fillId="0" borderId="16" xfId="0" applyFont="1" applyBorder="1" applyAlignment="1">
      <alignment vertical="center"/>
      <protection locked="0"/>
    </xf>
    <xf numFmtId="0" fontId="84" fillId="0" borderId="0" xfId="0" applyFont="1" applyAlignment="1">
      <alignment vertical="center"/>
      <protection locked="0"/>
    </xf>
    <xf numFmtId="0" fontId="78" fillId="13" borderId="14" xfId="0" applyFont="1" applyFill="1" applyBorder="1" applyAlignment="1" applyProtection="1">
      <alignment horizontal="center" vertical="center" wrapText="1"/>
    </xf>
    <xf numFmtId="0" fontId="9" fillId="13" borderId="14" xfId="0" applyFont="1" applyFill="1" applyBorder="1" applyAlignment="1">
      <alignment horizontal="center" vertical="center" wrapText="1"/>
      <protection locked="0"/>
    </xf>
    <xf numFmtId="0" fontId="9" fillId="13" borderId="16" xfId="0" applyFont="1" applyFill="1" applyBorder="1" applyAlignment="1">
      <alignment vertical="center" wrapText="1"/>
      <protection locked="0"/>
    </xf>
    <xf numFmtId="0" fontId="7" fillId="0" borderId="0" xfId="0" applyFont="1" applyAlignment="1">
      <alignment horizontal="left" vertical="center"/>
      <protection locked="0"/>
    </xf>
    <xf numFmtId="43" fontId="9" fillId="0" borderId="14" xfId="1" applyFont="1" applyBorder="1" applyAlignment="1" applyProtection="1">
      <alignment horizontal="center" vertical="center" wrapText="1"/>
      <protection locked="0"/>
    </xf>
    <xf numFmtId="9" fontId="69" fillId="0" borderId="14" xfId="2" applyFont="1" applyBorder="1" applyAlignment="1" applyProtection="1">
      <alignment horizontal="center" vertical="center" wrapText="1"/>
      <protection locked="0"/>
    </xf>
    <xf numFmtId="0" fontId="9" fillId="0" borderId="14" xfId="0" applyFont="1" applyBorder="1" applyAlignment="1">
      <alignment horizontal="right" vertical="center" wrapText="1"/>
      <protection locked="0"/>
    </xf>
    <xf numFmtId="49" fontId="9" fillId="0" borderId="14" xfId="0" applyNumberFormat="1" applyFont="1" applyBorder="1" applyAlignment="1">
      <alignment horizontal="justify" vertical="center" wrapText="1"/>
      <protection locked="0"/>
    </xf>
    <xf numFmtId="0" fontId="69" fillId="0" borderId="14" xfId="0" applyFont="1" applyBorder="1" applyAlignment="1">
      <alignment vertical="center" wrapText="1"/>
      <protection locked="0"/>
    </xf>
    <xf numFmtId="0" fontId="9" fillId="0" borderId="0" xfId="0" applyFont="1" applyAlignment="1">
      <alignment horizontal="right" vertical="center" wrapText="1"/>
      <protection locked="0"/>
    </xf>
    <xf numFmtId="0" fontId="77" fillId="0" borderId="0" xfId="0" applyFont="1" applyAlignment="1" applyProtection="1">
      <alignment horizontal="left" vertical="center" wrapText="1"/>
    </xf>
    <xf numFmtId="0" fontId="78" fillId="0" borderId="0" xfId="0" applyFont="1" applyAlignment="1" applyProtection="1">
      <alignment horizontal="left" vertical="center"/>
    </xf>
    <xf numFmtId="0" fontId="77" fillId="0" borderId="0" xfId="0" applyFont="1" applyAlignment="1">
      <alignment vertical="center"/>
      <protection locked="0"/>
    </xf>
    <xf numFmtId="0" fontId="7" fillId="0" borderId="14" xfId="0" applyFont="1" applyBorder="1" applyAlignment="1">
      <alignment vertical="center" wrapText="1"/>
      <protection locked="0"/>
    </xf>
    <xf numFmtId="0" fontId="77" fillId="0" borderId="14" xfId="0" applyFont="1" applyBorder="1" applyAlignment="1" applyProtection="1">
      <alignment horizontal="left" vertical="center" wrapText="1"/>
    </xf>
    <xf numFmtId="0" fontId="78" fillId="0" borderId="16" xfId="0" applyFont="1" applyBorder="1" applyAlignment="1">
      <alignment vertical="center"/>
      <protection locked="0"/>
    </xf>
    <xf numFmtId="0" fontId="7" fillId="0" borderId="18" xfId="0" applyFont="1" applyBorder="1" applyAlignment="1">
      <alignment vertical="center" wrapText="1"/>
      <protection locked="0"/>
    </xf>
    <xf numFmtId="0" fontId="9" fillId="0" borderId="16" xfId="0" applyFont="1" applyBorder="1" applyAlignment="1">
      <alignment vertical="center" wrapText="1"/>
      <protection locked="0"/>
    </xf>
    <xf numFmtId="0" fontId="77" fillId="0" borderId="0" xfId="0" applyFont="1" applyAlignment="1">
      <alignment horizontal="center" vertical="center"/>
      <protection locked="0"/>
    </xf>
    <xf numFmtId="0" fontId="78" fillId="13" borderId="14" xfId="0" applyFont="1" applyFill="1" applyBorder="1" applyAlignment="1">
      <alignment horizontal="center" vertical="center" wrapText="1"/>
      <protection locked="0"/>
    </xf>
    <xf numFmtId="0" fontId="91" fillId="0" borderId="0" xfId="207" applyFont="1" applyAlignment="1" applyProtection="1">
      <alignment horizontal="center" vertical="center"/>
    </xf>
    <xf numFmtId="0" fontId="9" fillId="0" borderId="0" xfId="211" applyFont="1">
      <alignment vertical="center"/>
    </xf>
    <xf numFmtId="0" fontId="70" fillId="0" borderId="0" xfId="0" applyFont="1" applyAlignment="1" applyProtection="1">
      <alignment horizontal="center" vertical="center"/>
    </xf>
    <xf numFmtId="0" fontId="13" fillId="0" borderId="0" xfId="212" applyFont="1" applyAlignment="1">
      <alignment vertical="center"/>
    </xf>
    <xf numFmtId="0" fontId="9" fillId="0" borderId="0" xfId="212" applyFont="1" applyBorder="1" applyAlignment="1">
      <alignment vertical="center"/>
    </xf>
    <xf numFmtId="0" fontId="9" fillId="0" borderId="0" xfId="246" applyFont="1" applyAlignment="1">
      <alignment vertical="center"/>
    </xf>
    <xf numFmtId="0" fontId="9" fillId="0" borderId="0" xfId="247" applyFont="1">
      <alignment vertical="center"/>
    </xf>
    <xf numFmtId="0" fontId="9" fillId="0" borderId="0" xfId="212" applyFont="1" applyAlignment="1">
      <alignment vertical="center"/>
    </xf>
    <xf numFmtId="0" fontId="19" fillId="0" borderId="0" xfId="212" applyFont="1" applyAlignment="1">
      <alignment horizontal="left" vertical="center"/>
    </xf>
    <xf numFmtId="0" fontId="78" fillId="0" borderId="0" xfId="212" applyFont="1" applyAlignment="1">
      <alignment horizontal="left" vertical="center"/>
    </xf>
    <xf numFmtId="0" fontId="7" fillId="13" borderId="14" xfId="212" applyFont="1" applyFill="1" applyBorder="1" applyAlignment="1">
      <alignment horizontal="center" vertical="center" wrapText="1"/>
    </xf>
    <xf numFmtId="0" fontId="69" fillId="0" borderId="14" xfId="212" applyFont="1" applyBorder="1" applyAlignment="1">
      <alignment horizontal="center" vertical="center"/>
    </xf>
    <xf numFmtId="0" fontId="81" fillId="0" borderId="0" xfId="212" applyFont="1" applyAlignment="1">
      <alignment horizontal="right" vertical="center"/>
    </xf>
    <xf numFmtId="0" fontId="69" fillId="0" borderId="0" xfId="6" applyFont="1" applyFill="1" applyAlignment="1">
      <alignment vertical="center"/>
    </xf>
    <xf numFmtId="0" fontId="69" fillId="0" borderId="0" xfId="212" applyFont="1" applyAlignment="1">
      <alignment vertical="center"/>
    </xf>
    <xf numFmtId="0" fontId="69" fillId="0" borderId="0" xfId="6" applyFont="1" applyAlignment="1">
      <alignment vertical="center"/>
    </xf>
    <xf numFmtId="0" fontId="69" fillId="0" borderId="0" xfId="212" applyFont="1" applyFill="1" applyAlignment="1">
      <alignment vertical="center"/>
    </xf>
    <xf numFmtId="0" fontId="69" fillId="0" borderId="0" xfId="212" applyFont="1" applyFill="1" applyBorder="1" applyAlignment="1">
      <alignment vertical="center"/>
    </xf>
    <xf numFmtId="0" fontId="69" fillId="0" borderId="0" xfId="212" applyFont="1" applyBorder="1" applyAlignment="1">
      <alignment vertical="center"/>
    </xf>
    <xf numFmtId="0" fontId="69" fillId="0" borderId="0" xfId="248" applyFont="1">
      <alignment vertical="center"/>
    </xf>
    <xf numFmtId="0" fontId="9" fillId="0" borderId="0" xfId="253" applyFont="1">
      <alignment vertical="center"/>
    </xf>
    <xf numFmtId="0" fontId="9" fillId="0" borderId="14" xfId="253" applyFont="1" applyBorder="1" applyAlignment="1">
      <alignment horizontal="center" vertical="center" wrapText="1"/>
    </xf>
    <xf numFmtId="0" fontId="9" fillId="0" borderId="14" xfId="253" applyFont="1" applyBorder="1" applyAlignment="1">
      <alignment vertical="center" wrapText="1"/>
    </xf>
    <xf numFmtId="223" fontId="9" fillId="0" borderId="14" xfId="253" applyNumberFormat="1" applyFont="1" applyBorder="1">
      <alignment vertical="center"/>
    </xf>
    <xf numFmtId="223" fontId="9" fillId="0" borderId="14" xfId="253" applyNumberFormat="1" applyFont="1" applyBorder="1" applyAlignment="1">
      <alignment horizontal="center" vertical="center" wrapText="1"/>
    </xf>
    <xf numFmtId="0" fontId="9" fillId="0" borderId="8" xfId="253" applyFont="1" applyBorder="1">
      <alignment vertical="center"/>
    </xf>
    <xf numFmtId="0" fontId="9" fillId="0" borderId="8" xfId="253" applyFont="1" applyBorder="1" applyAlignment="1">
      <alignment horizontal="right" vertical="center"/>
    </xf>
    <xf numFmtId="10" fontId="9" fillId="0" borderId="8" xfId="200" applyNumberFormat="1" applyFont="1" applyFill="1" applyBorder="1" applyAlignment="1">
      <alignment vertical="center"/>
    </xf>
    <xf numFmtId="0" fontId="9" fillId="0" borderId="14" xfId="253" applyFont="1" applyBorder="1">
      <alignment vertical="center"/>
    </xf>
    <xf numFmtId="0" fontId="80" fillId="0" borderId="0" xfId="0" applyFont="1" applyAlignment="1">
      <alignment vertical="center"/>
      <protection locked="0"/>
    </xf>
    <xf numFmtId="0" fontId="9" fillId="0" borderId="0" xfId="254" applyFont="1" applyAlignment="1">
      <alignment vertical="center"/>
    </xf>
    <xf numFmtId="0" fontId="7" fillId="0" borderId="0" xfId="254" applyFont="1" applyAlignment="1">
      <alignment vertical="center"/>
    </xf>
    <xf numFmtId="0" fontId="9" fillId="0" borderId="14" xfId="254" applyFont="1" applyBorder="1" applyAlignment="1">
      <alignment vertical="center"/>
    </xf>
    <xf numFmtId="0" fontId="9" fillId="0" borderId="0" xfId="254" applyFont="1" applyAlignment="1">
      <alignment horizontal="center" vertical="center"/>
    </xf>
    <xf numFmtId="223" fontId="9" fillId="0" borderId="0" xfId="254" applyNumberFormat="1" applyFont="1" applyAlignment="1">
      <alignment horizontal="right" vertical="center"/>
    </xf>
    <xf numFmtId="10" fontId="9" fillId="0" borderId="0" xfId="200" applyNumberFormat="1" applyFont="1" applyFill="1" applyBorder="1" applyAlignment="1">
      <alignment horizontal="right" vertical="center"/>
    </xf>
    <xf numFmtId="0" fontId="7" fillId="0" borderId="0" xfId="254" applyFont="1" applyAlignment="1">
      <alignment horizontal="left" vertical="center"/>
    </xf>
    <xf numFmtId="43" fontId="9" fillId="0" borderId="0" xfId="254" applyNumberFormat="1" applyFont="1" applyAlignment="1">
      <alignment vertical="center"/>
    </xf>
    <xf numFmtId="0" fontId="9" fillId="0" borderId="0" xfId="254" applyFont="1" applyAlignment="1">
      <alignment horizontal="left" vertical="center"/>
    </xf>
    <xf numFmtId="0" fontId="12" fillId="0" borderId="0" xfId="254" applyFont="1" applyAlignment="1">
      <alignment vertical="center"/>
    </xf>
    <xf numFmtId="0" fontId="9" fillId="0" borderId="18" xfId="254" applyFont="1" applyBorder="1" applyAlignment="1">
      <alignment vertical="center"/>
    </xf>
    <xf numFmtId="0" fontId="9" fillId="0" borderId="20" xfId="254" applyFont="1" applyBorder="1" applyAlignment="1">
      <alignment vertical="center"/>
    </xf>
    <xf numFmtId="0" fontId="69" fillId="0" borderId="0" xfId="254" applyFont="1" applyAlignment="1">
      <alignment vertical="center"/>
    </xf>
    <xf numFmtId="0" fontId="69" fillId="0" borderId="16" xfId="254" applyFont="1" applyBorder="1" applyAlignment="1">
      <alignment vertical="center"/>
    </xf>
    <xf numFmtId="223" fontId="9" fillId="0" borderId="14" xfId="254" applyNumberFormat="1" applyFont="1" applyBorder="1" applyAlignment="1">
      <alignment horizontal="right" vertical="center"/>
    </xf>
    <xf numFmtId="10" fontId="9" fillId="0" borderId="14" xfId="200" applyNumberFormat="1" applyFont="1" applyFill="1" applyBorder="1" applyAlignment="1">
      <alignment horizontal="right" vertical="center"/>
    </xf>
    <xf numFmtId="10" fontId="9" fillId="0" borderId="14" xfId="2" applyNumberFormat="1" applyFont="1" applyFill="1" applyBorder="1" applyAlignment="1">
      <alignment horizontal="right" vertical="center"/>
    </xf>
    <xf numFmtId="223" fontId="7" fillId="13" borderId="14" xfId="254" applyNumberFormat="1" applyFont="1" applyFill="1" applyBorder="1" applyAlignment="1">
      <alignment horizontal="center" vertical="center" wrapText="1"/>
    </xf>
    <xf numFmtId="43" fontId="7" fillId="13" borderId="14" xfId="1" applyFont="1" applyFill="1" applyBorder="1" applyAlignment="1">
      <alignment horizontal="center" vertical="center"/>
    </xf>
    <xf numFmtId="0" fontId="110" fillId="0" borderId="0" xfId="0" applyFont="1" applyAlignment="1">
      <alignment vertical="center"/>
      <protection locked="0"/>
    </xf>
    <xf numFmtId="43" fontId="9" fillId="0" borderId="21" xfId="0" applyNumberFormat="1" applyFont="1" applyBorder="1" applyAlignment="1">
      <alignment horizontal="center" vertical="center" shrinkToFit="1"/>
      <protection locked="0"/>
    </xf>
    <xf numFmtId="43" fontId="9" fillId="0" borderId="22" xfId="0" applyNumberFormat="1" applyFont="1" applyBorder="1" applyAlignment="1">
      <alignment horizontal="justify" vertical="center" wrapText="1"/>
      <protection locked="0"/>
    </xf>
    <xf numFmtId="43" fontId="9" fillId="0" borderId="21" xfId="0" applyNumberFormat="1" applyFont="1" applyBorder="1" applyAlignment="1">
      <alignment horizontal="justify" vertical="center" wrapText="1"/>
      <protection locked="0"/>
    </xf>
    <xf numFmtId="43" fontId="7" fillId="0" borderId="0" xfId="0" applyNumberFormat="1" applyFont="1" applyAlignment="1">
      <alignment horizontal="center" vertical="center" wrapText="1"/>
      <protection locked="0"/>
    </xf>
    <xf numFmtId="43" fontId="9" fillId="0" borderId="14" xfId="1" applyFont="1" applyFill="1" applyBorder="1" applyAlignment="1" applyProtection="1">
      <alignment vertical="center"/>
      <protection locked="0"/>
    </xf>
    <xf numFmtId="0" fontId="7" fillId="0" borderId="14" xfId="0" applyFont="1" applyBorder="1" applyAlignment="1">
      <alignment horizontal="left" vertical="center"/>
      <protection locked="0"/>
    </xf>
    <xf numFmtId="0" fontId="9" fillId="13" borderId="14" xfId="0" applyFont="1" applyFill="1" applyBorder="1" applyAlignment="1">
      <alignment horizontal="justify" vertical="center" wrapText="1"/>
      <protection locked="0"/>
    </xf>
    <xf numFmtId="43" fontId="9" fillId="13" borderId="14" xfId="0" applyNumberFormat="1" applyFont="1" applyFill="1" applyBorder="1" applyAlignment="1">
      <alignment horizontal="justify" vertical="center" wrapText="1"/>
      <protection locked="0"/>
    </xf>
    <xf numFmtId="0" fontId="9" fillId="13" borderId="0" xfId="0" applyFont="1" applyFill="1" applyAlignment="1">
      <alignment vertical="center"/>
      <protection locked="0"/>
    </xf>
    <xf numFmtId="0" fontId="7" fillId="0" borderId="14" xfId="0" applyFont="1" applyBorder="1" applyAlignment="1">
      <alignment vertical="center"/>
      <protection locked="0"/>
    </xf>
    <xf numFmtId="0" fontId="69" fillId="0" borderId="14" xfId="0" applyFont="1" applyBorder="1" applyAlignment="1">
      <alignment horizontal="justify" vertical="center" wrapText="1"/>
      <protection locked="0"/>
    </xf>
    <xf numFmtId="0" fontId="9" fillId="0" borderId="0" xfId="207" applyFont="1">
      <protection locked="0"/>
    </xf>
    <xf numFmtId="0" fontId="12" fillId="0" borderId="0" xfId="207" applyFont="1">
      <protection locked="0"/>
    </xf>
    <xf numFmtId="0" fontId="9" fillId="13" borderId="18" xfId="0" applyFont="1" applyFill="1" applyBorder="1" applyAlignment="1">
      <alignment horizontal="justify" vertical="center" wrapText="1"/>
      <protection locked="0"/>
    </xf>
    <xf numFmtId="10" fontId="9" fillId="13" borderId="14" xfId="2" applyNumberFormat="1" applyFont="1" applyFill="1" applyBorder="1" applyAlignment="1" applyProtection="1">
      <alignment horizontal="center" vertical="center" wrapText="1"/>
      <protection locked="0"/>
    </xf>
    <xf numFmtId="0" fontId="80" fillId="0" borderId="14" xfId="0" applyFont="1" applyBorder="1" applyAlignment="1">
      <alignment horizontal="right" vertical="center" wrapText="1"/>
      <protection locked="0"/>
    </xf>
    <xf numFmtId="0" fontId="79" fillId="0" borderId="14" xfId="0" applyFont="1" applyBorder="1" applyAlignment="1">
      <alignment horizontal="right" vertical="center" wrapText="1"/>
      <protection locked="0"/>
    </xf>
    <xf numFmtId="0" fontId="12" fillId="0" borderId="0" xfId="207" applyFont="1" applyAlignment="1">
      <alignment vertical="center"/>
      <protection locked="0"/>
    </xf>
    <xf numFmtId="0" fontId="93" fillId="0" borderId="0" xfId="0" applyFont="1" applyAlignment="1">
      <alignment horizontal="left" vertical="center"/>
      <protection locked="0"/>
    </xf>
    <xf numFmtId="0" fontId="95" fillId="0" borderId="11" xfId="0" applyFont="1" applyBorder="1" applyAlignment="1">
      <alignment horizontal="right" vertical="center" wrapText="1"/>
      <protection locked="0"/>
    </xf>
    <xf numFmtId="0" fontId="9" fillId="0" borderId="14" xfId="0" quotePrefix="1" applyFont="1" applyBorder="1" applyAlignment="1">
      <alignment horizontal="center" vertical="center" wrapText="1"/>
      <protection locked="0"/>
    </xf>
    <xf numFmtId="0" fontId="9" fillId="0" borderId="18" xfId="0" applyFont="1" applyBorder="1" applyAlignment="1">
      <alignment horizontal="right" vertical="center" wrapText="1"/>
      <protection locked="0"/>
    </xf>
    <xf numFmtId="0" fontId="9" fillId="0" borderId="16" xfId="0" applyFont="1" applyBorder="1" applyAlignment="1">
      <alignment horizontal="right" vertical="center" wrapText="1"/>
      <protection locked="0"/>
    </xf>
    <xf numFmtId="0" fontId="81" fillId="0" borderId="14" xfId="0" applyFont="1" applyBorder="1" applyAlignment="1" applyProtection="1">
      <alignment horizontal="center" vertical="center"/>
    </xf>
    <xf numFmtId="0" fontId="7" fillId="13" borderId="6" xfId="0" applyFont="1" applyFill="1" applyBorder="1" applyAlignment="1">
      <alignment horizontal="center" vertical="center" wrapText="1"/>
      <protection locked="0"/>
    </xf>
    <xf numFmtId="0" fontId="9" fillId="13" borderId="16" xfId="0" applyFont="1" applyFill="1" applyBorder="1" applyAlignment="1">
      <alignment horizontal="center" vertical="center" wrapText="1"/>
      <protection locked="0"/>
    </xf>
    <xf numFmtId="43" fontId="9" fillId="0" borderId="14" xfId="1" applyFont="1" applyFill="1" applyBorder="1" applyAlignment="1">
      <alignment horizontal="right" vertical="center"/>
    </xf>
    <xf numFmtId="0" fontId="9" fillId="13" borderId="14" xfId="254" applyFont="1" applyFill="1" applyBorder="1" applyAlignment="1">
      <alignment horizontal="center" vertical="center"/>
    </xf>
    <xf numFmtId="43" fontId="9" fillId="0" borderId="14" xfId="1" applyFont="1" applyFill="1" applyBorder="1" applyAlignment="1">
      <alignment horizontal="center" vertical="center"/>
    </xf>
    <xf numFmtId="0" fontId="7" fillId="13" borderId="14" xfId="254" applyFont="1" applyFill="1" applyBorder="1" applyAlignment="1">
      <alignment horizontal="center" vertical="center" wrapText="1"/>
    </xf>
    <xf numFmtId="0" fontId="7" fillId="13" borderId="14" xfId="254" applyFont="1" applyFill="1" applyBorder="1" applyAlignment="1">
      <alignment horizontal="center" vertical="center"/>
    </xf>
    <xf numFmtId="0" fontId="9" fillId="13" borderId="14" xfId="254" applyFont="1" applyFill="1" applyBorder="1" applyAlignment="1">
      <alignment horizontal="center" vertical="center" wrapText="1"/>
    </xf>
    <xf numFmtId="10" fontId="7" fillId="13" borderId="14" xfId="200" applyNumberFormat="1" applyFont="1" applyFill="1" applyBorder="1" applyAlignment="1">
      <alignment horizontal="center" vertical="center" wrapText="1"/>
    </xf>
    <xf numFmtId="0" fontId="7" fillId="13" borderId="14" xfId="0" applyFont="1" applyFill="1" applyBorder="1" applyAlignment="1">
      <alignment vertical="center" wrapText="1"/>
      <protection locked="0"/>
    </xf>
    <xf numFmtId="0" fontId="119" fillId="0" borderId="0" xfId="0" applyFont="1" applyAlignment="1">
      <alignment vertical="center"/>
      <protection locked="0"/>
    </xf>
    <xf numFmtId="0" fontId="119" fillId="0" borderId="0" xfId="207" applyFont="1" applyAlignment="1">
      <alignment vertical="center"/>
      <protection locked="0"/>
    </xf>
    <xf numFmtId="0" fontId="96" fillId="0" borderId="0" xfId="0" applyFont="1" applyAlignment="1">
      <alignment horizontal="left" vertical="center"/>
      <protection locked="0"/>
    </xf>
    <xf numFmtId="0" fontId="95" fillId="0" borderId="13" xfId="0" applyFont="1" applyBorder="1" applyAlignment="1">
      <alignment horizontal="center" vertical="center" wrapText="1"/>
      <protection locked="0"/>
    </xf>
    <xf numFmtId="0" fontId="9" fillId="0" borderId="14" xfId="254" applyFont="1" applyBorder="1" applyAlignment="1">
      <alignment horizontal="center" vertical="center"/>
    </xf>
    <xf numFmtId="0" fontId="5" fillId="13" borderId="14" xfId="0" applyFont="1" applyFill="1" applyBorder="1" applyAlignment="1">
      <alignment horizontal="center" vertical="center" wrapText="1"/>
      <protection locked="0"/>
    </xf>
    <xf numFmtId="43" fontId="5" fillId="0" borderId="0" xfId="4" applyNumberFormat="1" applyFont="1" applyBorder="1" applyAlignment="1">
      <alignment vertical="center"/>
    </xf>
    <xf numFmtId="0" fontId="13" fillId="0" borderId="0" xfId="3" applyFont="1" applyAlignment="1">
      <alignment vertical="center"/>
    </xf>
    <xf numFmtId="176" fontId="15" fillId="0" borderId="0" xfId="2" applyNumberFormat="1" applyFont="1" applyBorder="1" applyAlignment="1">
      <alignment horizontal="left" vertical="center"/>
    </xf>
    <xf numFmtId="43" fontId="13" fillId="0" borderId="0" xfId="4" applyNumberFormat="1" applyFont="1" applyBorder="1" applyAlignment="1">
      <alignment vertical="center"/>
    </xf>
    <xf numFmtId="43" fontId="5" fillId="13" borderId="23" xfId="1" applyFont="1" applyFill="1" applyBorder="1" applyAlignment="1">
      <alignment horizontal="center" vertical="center"/>
    </xf>
    <xf numFmtId="43" fontId="5" fillId="13" borderId="23" xfId="1" applyFont="1" applyFill="1" applyBorder="1" applyAlignment="1">
      <alignment horizontal="center" vertical="center" shrinkToFit="1"/>
    </xf>
    <xf numFmtId="43" fontId="13" fillId="13" borderId="23" xfId="1" applyFont="1" applyFill="1" applyBorder="1" applyAlignment="1">
      <alignment horizontal="centerContinuous" vertical="center"/>
    </xf>
    <xf numFmtId="43" fontId="9" fillId="13" borderId="23" xfId="1" applyFont="1" applyFill="1" applyBorder="1" applyAlignment="1">
      <alignment horizontal="centerContinuous" vertical="center"/>
    </xf>
    <xf numFmtId="43" fontId="7" fillId="0" borderId="23" xfId="1" applyFont="1" applyBorder="1" applyAlignment="1">
      <alignment vertical="center" shrinkToFit="1"/>
    </xf>
    <xf numFmtId="43" fontId="14" fillId="0" borderId="23" xfId="1" applyFont="1" applyFill="1" applyBorder="1" applyAlignment="1">
      <alignment vertical="center"/>
    </xf>
    <xf numFmtId="43" fontId="9" fillId="0" borderId="23" xfId="1" applyFont="1" applyFill="1" applyBorder="1" applyAlignment="1">
      <alignment vertical="center"/>
    </xf>
    <xf numFmtId="43" fontId="9" fillId="0" borderId="23" xfId="1" applyFont="1" applyBorder="1" applyAlignment="1">
      <alignment horizontal="center" vertical="center" shrinkToFit="1"/>
    </xf>
    <xf numFmtId="43" fontId="9" fillId="0" borderId="23" xfId="1" applyFont="1" applyFill="1" applyBorder="1" applyAlignment="1">
      <alignment horizontal="center" vertical="center"/>
    </xf>
    <xf numFmtId="43" fontId="9" fillId="0" borderId="23" xfId="1" applyFont="1" applyFill="1" applyBorder="1" applyAlignment="1">
      <alignment horizontal="left" vertical="center"/>
    </xf>
    <xf numFmtId="43" fontId="9" fillId="0" borderId="23" xfId="1" applyFont="1" applyBorder="1" applyAlignment="1">
      <alignment horizontal="center" vertical="center"/>
    </xf>
    <xf numFmtId="14" fontId="9" fillId="0" borderId="0" xfId="0" applyNumberFormat="1" applyFont="1" applyAlignment="1">
      <alignment vertical="center"/>
      <protection locked="0"/>
    </xf>
    <xf numFmtId="14" fontId="119" fillId="0" borderId="0" xfId="0" applyNumberFormat="1" applyFont="1" applyAlignment="1">
      <alignment vertical="center"/>
      <protection locked="0"/>
    </xf>
    <xf numFmtId="0" fontId="113" fillId="0" borderId="0" xfId="0" applyFont="1" applyAlignment="1" applyProtection="1">
      <alignment horizontal="justify" vertical="center" wrapText="1"/>
    </xf>
    <xf numFmtId="0" fontId="96" fillId="0" borderId="0" xfId="207" applyFont="1">
      <protection locked="0"/>
    </xf>
    <xf numFmtId="0" fontId="113" fillId="0" borderId="0" xfId="0" applyFont="1" applyAlignment="1" applyProtection="1">
      <alignment horizontal="justify" vertical="center"/>
    </xf>
    <xf numFmtId="0" fontId="113" fillId="0" borderId="0" xfId="0" applyFont="1" applyAlignment="1" applyProtection="1">
      <alignment vertical="center"/>
    </xf>
    <xf numFmtId="0" fontId="112" fillId="0" borderId="0" xfId="0" applyFont="1" applyAlignment="1">
      <alignment horizontal="justify" vertical="center" wrapText="1"/>
      <protection locked="0"/>
    </xf>
    <xf numFmtId="43" fontId="112" fillId="0" borderId="0" xfId="1" applyFont="1" applyAlignment="1" applyProtection="1">
      <alignment horizontal="right" vertical="center" wrapText="1"/>
      <protection locked="0"/>
    </xf>
    <xf numFmtId="0" fontId="96" fillId="0" borderId="0" xfId="0" applyFont="1" applyAlignment="1">
      <alignment horizontal="justify" vertical="center"/>
      <protection locked="0"/>
    </xf>
    <xf numFmtId="0" fontId="96" fillId="0" borderId="0" xfId="0" applyFont="1">
      <protection locked="0"/>
    </xf>
    <xf numFmtId="0" fontId="96" fillId="0" borderId="0" xfId="0" applyFont="1" applyAlignment="1">
      <alignment horizontal="justify" vertical="center" wrapText="1"/>
      <protection locked="0"/>
    </xf>
    <xf numFmtId="0" fontId="95" fillId="0" borderId="11" xfId="0" applyFont="1" applyBorder="1" applyAlignment="1">
      <alignment horizontal="justify" vertical="center" wrapText="1"/>
      <protection locked="0"/>
    </xf>
    <xf numFmtId="0" fontId="113" fillId="0" borderId="0" xfId="0" applyFont="1" applyAlignment="1" applyProtection="1">
      <alignment horizontal="right" vertical="center" wrapText="1"/>
    </xf>
    <xf numFmtId="43" fontId="113" fillId="0" borderId="0" xfId="0" applyNumberFormat="1" applyFont="1" applyAlignment="1" applyProtection="1">
      <alignment horizontal="justify" vertical="center" wrapText="1"/>
    </xf>
    <xf numFmtId="43" fontId="113" fillId="0" borderId="0" xfId="0" applyNumberFormat="1" applyFont="1" applyAlignment="1" applyProtection="1">
      <alignment horizontal="right" vertical="center" wrapText="1"/>
    </xf>
    <xf numFmtId="0" fontId="113" fillId="0" borderId="13" xfId="0" applyFont="1" applyBorder="1" applyAlignment="1" applyProtection="1">
      <alignment horizontal="justify" vertical="center" wrapText="1"/>
    </xf>
    <xf numFmtId="0" fontId="122" fillId="0" borderId="0" xfId="0" applyFont="1" applyAlignment="1">
      <alignment horizontal="justify" vertical="center" wrapText="1"/>
      <protection locked="0"/>
    </xf>
    <xf numFmtId="0" fontId="96" fillId="0" borderId="15" xfId="0" applyFont="1" applyBorder="1" applyAlignment="1">
      <alignment horizontal="right" vertical="center" wrapText="1"/>
      <protection locked="0"/>
    </xf>
    <xf numFmtId="0" fontId="96" fillId="0" borderId="0" xfId="0" applyFont="1" applyAlignment="1">
      <alignment horizontal="right" vertical="center" wrapText="1"/>
      <protection locked="0"/>
    </xf>
    <xf numFmtId="0" fontId="122" fillId="0" borderId="13" xfId="0" applyFont="1" applyBorder="1" applyAlignment="1">
      <alignment horizontal="justify" vertical="center" wrapText="1"/>
      <protection locked="0"/>
    </xf>
    <xf numFmtId="0" fontId="96" fillId="0" borderId="13" xfId="0" applyFont="1" applyBorder="1" applyAlignment="1">
      <alignment horizontal="right" vertical="center" wrapText="1"/>
      <protection locked="0"/>
    </xf>
    <xf numFmtId="0" fontId="115" fillId="0" borderId="0" xfId="0" applyFont="1" applyAlignment="1">
      <alignment horizontal="left" vertical="center"/>
      <protection locked="0"/>
    </xf>
    <xf numFmtId="9" fontId="96" fillId="0" borderId="0" xfId="0" applyNumberFormat="1" applyFont="1" applyAlignment="1">
      <alignment horizontal="right" vertical="center" wrapText="1"/>
      <protection locked="0"/>
    </xf>
    <xf numFmtId="43" fontId="96" fillId="0" borderId="0" xfId="0" applyNumberFormat="1" applyFont="1" applyAlignment="1">
      <alignment horizontal="right" vertical="center" wrapText="1"/>
      <protection locked="0"/>
    </xf>
    <xf numFmtId="0" fontId="96" fillId="0" borderId="13" xfId="0" applyFont="1" applyBorder="1" applyAlignment="1">
      <alignment horizontal="justify" vertical="center" wrapText="1"/>
      <protection locked="0"/>
    </xf>
    <xf numFmtId="9" fontId="96" fillId="0" borderId="13" xfId="0" applyNumberFormat="1" applyFont="1" applyBorder="1" applyAlignment="1">
      <alignment horizontal="right" vertical="center" wrapText="1"/>
      <protection locked="0"/>
    </xf>
    <xf numFmtId="43" fontId="96" fillId="0" borderId="13" xfId="0" applyNumberFormat="1" applyFont="1" applyBorder="1" applyAlignment="1">
      <alignment horizontal="right" vertical="center" wrapText="1"/>
      <protection locked="0"/>
    </xf>
    <xf numFmtId="0" fontId="96" fillId="0" borderId="0" xfId="0" applyFont="1" applyAlignment="1">
      <alignment vertical="center"/>
      <protection locked="0"/>
    </xf>
    <xf numFmtId="0" fontId="111" fillId="0" borderId="0" xfId="0" applyFont="1" applyAlignment="1">
      <alignment horizontal="justify" vertical="center" wrapText="1"/>
      <protection locked="0"/>
    </xf>
    <xf numFmtId="0" fontId="112" fillId="0" borderId="0" xfId="0" applyFont="1" applyAlignment="1">
      <alignment horizontal="right" vertical="center" wrapText="1"/>
      <protection locked="0"/>
    </xf>
    <xf numFmtId="43" fontId="96" fillId="0" borderId="0" xfId="1" applyFont="1" applyAlignment="1" applyProtection="1">
      <alignment vertical="center"/>
      <protection locked="0"/>
    </xf>
    <xf numFmtId="43" fontId="111" fillId="0" borderId="0" xfId="1" applyFont="1" applyAlignment="1" applyProtection="1">
      <alignment horizontal="right" vertical="center" wrapText="1"/>
      <protection locked="0"/>
    </xf>
    <xf numFmtId="43" fontId="112" fillId="0" borderId="0" xfId="0" applyNumberFormat="1" applyFont="1" applyAlignment="1">
      <alignment horizontal="right" vertical="center" wrapText="1"/>
      <protection locked="0"/>
    </xf>
    <xf numFmtId="43" fontId="96" fillId="0" borderId="0" xfId="0" applyNumberFormat="1" applyFont="1" applyAlignment="1">
      <alignment vertical="center"/>
      <protection locked="0"/>
    </xf>
    <xf numFmtId="43" fontId="111" fillId="0" borderId="0" xfId="0" applyNumberFormat="1" applyFont="1" applyAlignment="1">
      <alignment horizontal="right" vertical="center" wrapText="1"/>
      <protection locked="0"/>
    </xf>
    <xf numFmtId="0" fontId="112" fillId="0" borderId="13" xfId="0" applyFont="1" applyBorder="1" applyAlignment="1">
      <alignment horizontal="justify" vertical="center" wrapText="1"/>
      <protection locked="0"/>
    </xf>
    <xf numFmtId="43" fontId="112" fillId="0" borderId="13" xfId="1" applyFont="1" applyBorder="1" applyAlignment="1" applyProtection="1">
      <alignment horizontal="right" vertical="center" wrapText="1"/>
      <protection locked="0"/>
    </xf>
    <xf numFmtId="43" fontId="96" fillId="0" borderId="13" xfId="1" applyFont="1" applyBorder="1" applyAlignment="1" applyProtection="1">
      <alignment vertical="center"/>
      <protection locked="0"/>
    </xf>
    <xf numFmtId="0" fontId="112" fillId="0" borderId="0" xfId="0" applyFont="1" applyAlignment="1" applyProtection="1">
      <alignment horizontal="center" vertical="center" wrapText="1"/>
    </xf>
    <xf numFmtId="0" fontId="112" fillId="0" borderId="0" xfId="0" applyFont="1" applyAlignment="1" applyProtection="1">
      <alignment horizontal="justify" vertical="center" wrapText="1"/>
    </xf>
    <xf numFmtId="0" fontId="113" fillId="0" borderId="13" xfId="0" applyFont="1" applyBorder="1" applyAlignment="1" applyProtection="1">
      <alignment horizontal="center" vertical="center" wrapText="1"/>
    </xf>
    <xf numFmtId="0" fontId="114" fillId="0" borderId="0" xfId="0" applyFont="1" applyAlignment="1" applyProtection="1">
      <alignment horizontal="justify" vertical="center" wrapText="1"/>
    </xf>
    <xf numFmtId="43" fontId="114" fillId="0" borderId="0" xfId="0" applyNumberFormat="1" applyFont="1" applyAlignment="1" applyProtection="1">
      <alignment horizontal="right" vertical="center" wrapText="1"/>
    </xf>
    <xf numFmtId="43" fontId="113" fillId="0" borderId="13" xfId="0" applyNumberFormat="1" applyFont="1" applyBorder="1" applyAlignment="1" applyProtection="1">
      <alignment horizontal="right" vertical="center" wrapText="1"/>
    </xf>
    <xf numFmtId="0" fontId="113" fillId="0" borderId="0" xfId="0" applyFont="1" applyAlignment="1" applyProtection="1">
      <alignment horizontal="left" vertical="center"/>
    </xf>
    <xf numFmtId="0" fontId="113" fillId="0" borderId="15" xfId="0" applyFont="1" applyBorder="1" applyAlignment="1" applyProtection="1">
      <alignment vertical="center" wrapText="1"/>
    </xf>
    <xf numFmtId="43" fontId="113" fillId="0" borderId="0" xfId="1" applyFont="1" applyAlignment="1" applyProtection="1">
      <alignment vertical="center" wrapText="1"/>
    </xf>
    <xf numFmtId="0" fontId="114" fillId="0" borderId="0" xfId="0" applyFont="1" applyAlignment="1" applyProtection="1">
      <alignment vertical="center" wrapText="1"/>
    </xf>
    <xf numFmtId="43" fontId="114" fillId="0" borderId="0" xfId="1" applyFont="1" applyAlignment="1" applyProtection="1">
      <alignment vertical="center" wrapText="1"/>
    </xf>
    <xf numFmtId="43" fontId="113" fillId="0" borderId="0" xfId="1" applyFont="1" applyAlignment="1" applyProtection="1">
      <alignment horizontal="right" vertical="center" wrapText="1"/>
    </xf>
    <xf numFmtId="0" fontId="113" fillId="0" borderId="0" xfId="0" applyFont="1" applyAlignment="1" applyProtection="1">
      <alignment vertical="center" wrapText="1"/>
    </xf>
    <xf numFmtId="0" fontId="113" fillId="0" borderId="13" xfId="0" applyFont="1" applyBorder="1" applyAlignment="1" applyProtection="1">
      <alignment vertical="center" wrapText="1"/>
    </xf>
    <xf numFmtId="43" fontId="113" fillId="0" borderId="13" xfId="1" applyFont="1" applyBorder="1" applyAlignment="1" applyProtection="1">
      <alignment vertical="center" wrapText="1"/>
    </xf>
    <xf numFmtId="43" fontId="113" fillId="0" borderId="13" xfId="1" applyFont="1" applyBorder="1" applyAlignment="1" applyProtection="1">
      <alignment horizontal="right" vertical="center" wrapText="1"/>
    </xf>
    <xf numFmtId="43" fontId="114" fillId="0" borderId="0" xfId="1" applyFont="1" applyAlignment="1" applyProtection="1">
      <alignment horizontal="right" vertical="center" wrapText="1"/>
    </xf>
    <xf numFmtId="0" fontId="111" fillId="0" borderId="0" xfId="0" applyFont="1" applyAlignment="1" applyProtection="1">
      <alignment horizontal="justify" vertical="center" wrapText="1"/>
    </xf>
    <xf numFmtId="43" fontId="111" fillId="0" borderId="0" xfId="0" applyNumberFormat="1" applyFont="1" applyAlignment="1" applyProtection="1">
      <alignment horizontal="right" vertical="center" wrapText="1"/>
    </xf>
    <xf numFmtId="0" fontId="111" fillId="0" borderId="11" xfId="0" applyFont="1" applyBorder="1" applyAlignment="1" applyProtection="1">
      <alignment horizontal="justify" vertical="center" wrapText="1"/>
    </xf>
    <xf numFmtId="43" fontId="111" fillId="0" borderId="11" xfId="0" applyNumberFormat="1" applyFont="1" applyBorder="1" applyAlignment="1" applyProtection="1">
      <alignment horizontal="right" vertical="center" wrapText="1"/>
    </xf>
    <xf numFmtId="0" fontId="112" fillId="0" borderId="13" xfId="0" applyFont="1" applyBorder="1" applyAlignment="1" applyProtection="1">
      <alignment horizontal="justify" vertical="center" wrapText="1"/>
    </xf>
    <xf numFmtId="0" fontId="112" fillId="0" borderId="0" xfId="0" applyFont="1" applyAlignment="1" applyProtection="1">
      <alignment horizontal="justify" vertical="center"/>
    </xf>
    <xf numFmtId="0" fontId="9" fillId="0" borderId="23" xfId="0" applyFont="1" applyBorder="1" applyAlignment="1">
      <alignment vertical="center"/>
      <protection locked="0"/>
    </xf>
    <xf numFmtId="0" fontId="9" fillId="0" borderId="23" xfId="0" applyFont="1" applyBorder="1" applyAlignment="1">
      <alignment horizontal="justify" vertical="center" wrapText="1"/>
      <protection locked="0"/>
    </xf>
    <xf numFmtId="0" fontId="9" fillId="0" borderId="23" xfId="0" quotePrefix="1" applyFont="1" applyBorder="1" applyAlignment="1">
      <alignment horizontal="center" vertical="center" wrapText="1"/>
      <protection locked="0"/>
    </xf>
    <xf numFmtId="0" fontId="9" fillId="0" borderId="23" xfId="0" applyFont="1" applyBorder="1" applyAlignment="1">
      <alignment horizontal="right" vertical="center" wrapText="1"/>
      <protection locked="0"/>
    </xf>
    <xf numFmtId="43" fontId="9" fillId="0" borderId="23" xfId="1" applyFont="1" applyBorder="1" applyAlignment="1" applyProtection="1">
      <alignment horizontal="right" vertical="center" wrapText="1"/>
      <protection locked="0"/>
    </xf>
    <xf numFmtId="9" fontId="9" fillId="0" borderId="23" xfId="2" applyFont="1" applyBorder="1" applyAlignment="1" applyProtection="1">
      <alignment horizontal="right" vertical="center" wrapText="1"/>
      <protection locked="0"/>
    </xf>
    <xf numFmtId="0" fontId="69" fillId="0" borderId="23" xfId="0" applyFont="1" applyBorder="1" applyAlignment="1">
      <alignment vertical="center"/>
      <protection locked="0"/>
    </xf>
    <xf numFmtId="0" fontId="9" fillId="0" borderId="23" xfId="0" applyFont="1" applyBorder="1">
      <protection locked="0"/>
    </xf>
    <xf numFmtId="0" fontId="7" fillId="13" borderId="23" xfId="0" applyFont="1" applyFill="1" applyBorder="1" applyAlignment="1">
      <alignment horizontal="center" vertical="center" wrapText="1"/>
      <protection locked="0"/>
    </xf>
    <xf numFmtId="43" fontId="9" fillId="0" borderId="23" xfId="1" applyFont="1" applyBorder="1" applyAlignment="1" applyProtection="1">
      <alignment horizontal="right" vertical="center"/>
      <protection locked="0"/>
    </xf>
    <xf numFmtId="0" fontId="7" fillId="0" borderId="23" xfId="0" applyFont="1" applyBorder="1" applyAlignment="1">
      <alignment vertical="center"/>
      <protection locked="0"/>
    </xf>
    <xf numFmtId="0" fontId="9" fillId="0" borderId="23" xfId="0" applyFont="1" applyBorder="1" applyAlignment="1">
      <alignment horizontal="left" vertical="center"/>
      <protection locked="0"/>
    </xf>
    <xf numFmtId="9" fontId="9" fillId="0" borderId="23" xfId="2" applyFont="1" applyBorder="1" applyAlignment="1" applyProtection="1">
      <alignment horizontal="right" vertical="center"/>
      <protection locked="0"/>
    </xf>
    <xf numFmtId="0" fontId="78" fillId="13" borderId="23" xfId="0" applyFont="1" applyFill="1" applyBorder="1" applyAlignment="1" applyProtection="1">
      <alignment horizontal="center" vertical="center" wrapText="1"/>
    </xf>
    <xf numFmtId="0" fontId="77" fillId="0" borderId="23" xfId="0" applyFont="1" applyBorder="1" applyAlignment="1" applyProtection="1">
      <alignment horizontal="left" vertical="center"/>
    </xf>
    <xf numFmtId="0" fontId="9" fillId="0" borderId="0" xfId="212" applyFont="1" applyFill="1" applyAlignment="1">
      <alignment vertical="center"/>
    </xf>
    <xf numFmtId="0" fontId="9" fillId="0" borderId="14" xfId="212" applyFont="1" applyFill="1" applyBorder="1" applyAlignment="1">
      <alignment vertical="center"/>
    </xf>
    <xf numFmtId="0" fontId="9" fillId="13" borderId="23" xfId="0" applyFont="1" applyFill="1" applyBorder="1" applyAlignment="1" applyProtection="1">
      <alignment horizontal="center" vertical="center" wrapText="1"/>
    </xf>
    <xf numFmtId="0" fontId="9" fillId="13" borderId="23" xfId="0" applyFont="1" applyFill="1" applyBorder="1" applyAlignment="1" applyProtection="1">
      <alignment horizontal="center" vertical="center"/>
    </xf>
    <xf numFmtId="224" fontId="9" fillId="0" borderId="23" xfId="0" applyNumberFormat="1" applyFont="1" applyBorder="1" applyAlignment="1" applyProtection="1">
      <alignment horizontal="right" vertical="center" wrapText="1"/>
    </xf>
    <xf numFmtId="9" fontId="9" fillId="0" borderId="23" xfId="2" applyFont="1" applyFill="1" applyBorder="1" applyAlignment="1" applyProtection="1">
      <alignment horizontal="right" vertical="center" wrapText="1"/>
    </xf>
    <xf numFmtId="43" fontId="9" fillId="0" borderId="23" xfId="1" applyFont="1" applyFill="1" applyBorder="1" applyAlignment="1" applyProtection="1">
      <alignment horizontal="left" vertical="center" wrapText="1"/>
    </xf>
    <xf numFmtId="43" fontId="9" fillId="0" borderId="23" xfId="1" applyFont="1" applyFill="1" applyBorder="1" applyAlignment="1" applyProtection="1">
      <alignment horizontal="center" vertical="center" wrapText="1"/>
    </xf>
    <xf numFmtId="0" fontId="9" fillId="0" borderId="17" xfId="0" applyFont="1" applyBorder="1" applyAlignment="1">
      <alignment vertical="center"/>
      <protection locked="0"/>
    </xf>
    <xf numFmtId="0" fontId="7" fillId="0" borderId="16" xfId="254" applyFont="1" applyBorder="1" applyAlignment="1">
      <alignment vertical="center"/>
    </xf>
    <xf numFmtId="0" fontId="7" fillId="0" borderId="17" xfId="254" applyFont="1" applyBorder="1" applyAlignment="1">
      <alignment vertical="center"/>
    </xf>
    <xf numFmtId="0" fontId="7" fillId="0" borderId="16" xfId="254" applyFont="1" applyBorder="1" applyAlignment="1">
      <alignment horizontal="left" vertical="center"/>
    </xf>
    <xf numFmtId="0" fontId="9" fillId="0" borderId="18" xfId="254" applyFont="1" applyBorder="1" applyAlignment="1">
      <alignment horizontal="left" vertical="center"/>
    </xf>
    <xf numFmtId="0" fontId="7" fillId="0" borderId="23" xfId="0" applyFont="1" applyBorder="1" applyAlignment="1">
      <alignment horizontal="justify" vertical="center" wrapText="1"/>
      <protection locked="0"/>
    </xf>
    <xf numFmtId="10" fontId="9" fillId="0" borderId="14" xfId="2" applyNumberFormat="1" applyFont="1" applyFill="1" applyBorder="1" applyAlignment="1" applyProtection="1">
      <alignment horizontal="center" vertical="center" shrinkToFit="1"/>
      <protection locked="0"/>
    </xf>
    <xf numFmtId="0" fontId="7" fillId="13" borderId="14" xfId="253" applyFont="1" applyFill="1" applyBorder="1" applyAlignment="1">
      <alignment horizontal="center" vertical="center" wrapText="1"/>
    </xf>
    <xf numFmtId="10" fontId="9" fillId="0" borderId="14" xfId="2" quotePrefix="1" applyNumberFormat="1" applyFont="1" applyFill="1" applyBorder="1" applyAlignment="1" applyProtection="1">
      <alignment horizontal="center" vertical="center" wrapText="1"/>
      <protection locked="0"/>
    </xf>
    <xf numFmtId="10" fontId="9" fillId="0" borderId="23" xfId="2" applyNumberFormat="1" applyFont="1" applyFill="1" applyBorder="1" applyAlignment="1" applyProtection="1">
      <alignment horizontal="center" vertical="center" wrapText="1"/>
      <protection locked="0"/>
    </xf>
    <xf numFmtId="205" fontId="22" fillId="0" borderId="0" xfId="283" applyFont="1">
      <alignment vertical="center"/>
      <protection locked="0"/>
    </xf>
    <xf numFmtId="205" fontId="22" fillId="0" borderId="0" xfId="284" applyFont="1">
      <alignment vertical="center"/>
    </xf>
    <xf numFmtId="205" fontId="38" fillId="0" borderId="0" xfId="283" applyFont="1" applyAlignment="1">
      <alignment horizontal="justify" vertical="center"/>
      <protection locked="0"/>
    </xf>
    <xf numFmtId="49" fontId="38" fillId="0" borderId="0" xfId="284" applyNumberFormat="1" applyFont="1" applyAlignment="1">
      <alignment horizontal="left" vertical="center"/>
    </xf>
    <xf numFmtId="0" fontId="114" fillId="0" borderId="13" xfId="0" applyFont="1" applyBorder="1" applyAlignment="1" applyProtection="1">
      <alignment horizontal="center" vertical="center" wrapText="1"/>
    </xf>
    <xf numFmtId="0" fontId="114" fillId="0" borderId="11" xfId="0" applyFont="1" applyBorder="1" applyAlignment="1" applyProtection="1">
      <alignment horizontal="center" vertical="center" wrapText="1"/>
    </xf>
    <xf numFmtId="0" fontId="95" fillId="0" borderId="11" xfId="0" applyFont="1" applyBorder="1" applyAlignment="1">
      <alignment horizontal="center" vertical="center" wrapText="1"/>
      <protection locked="0"/>
    </xf>
    <xf numFmtId="0" fontId="13" fillId="12" borderId="0" xfId="0" applyFont="1" applyFill="1" applyAlignment="1">
      <alignment horizontal="justify" vertical="center" wrapText="1"/>
      <protection locked="0"/>
    </xf>
    <xf numFmtId="0" fontId="95" fillId="0" borderId="0" xfId="0" applyFont="1" applyAlignment="1">
      <alignment horizontal="center" vertical="center" wrapText="1"/>
      <protection locked="0"/>
    </xf>
    <xf numFmtId="0" fontId="8" fillId="0" borderId="0" xfId="376">
      <protection locked="0"/>
    </xf>
    <xf numFmtId="0" fontId="71" fillId="13" borderId="23" xfId="376" applyFont="1" applyFill="1" applyBorder="1" applyAlignment="1" applyProtection="1">
      <alignment horizontal="center" vertical="center"/>
    </xf>
    <xf numFmtId="0" fontId="71" fillId="13" borderId="23" xfId="376" applyFont="1" applyFill="1" applyBorder="1" applyAlignment="1" applyProtection="1">
      <alignment horizontal="center" vertical="center" wrapText="1"/>
    </xf>
    <xf numFmtId="205" fontId="5" fillId="13" borderId="23" xfId="377" applyFont="1" applyFill="1" applyBorder="1" applyAlignment="1" applyProtection="1">
      <alignment horizontal="center" vertical="center" wrapText="1"/>
      <protection locked="0"/>
    </xf>
    <xf numFmtId="205" fontId="142" fillId="13" borderId="23" xfId="377" applyFont="1" applyFill="1" applyBorder="1" applyAlignment="1" applyProtection="1">
      <alignment horizontal="center" vertical="center" wrapText="1"/>
      <protection locked="0"/>
    </xf>
    <xf numFmtId="0" fontId="143" fillId="0" borderId="23" xfId="376" applyFont="1" applyBorder="1" applyAlignment="1" applyProtection="1">
      <alignment vertical="center"/>
    </xf>
    <xf numFmtId="0" fontId="13" fillId="0" borderId="23" xfId="376" applyFont="1" applyBorder="1" applyAlignment="1" applyProtection="1">
      <alignment vertical="center"/>
    </xf>
    <xf numFmtId="0" fontId="68" fillId="0" borderId="23" xfId="376" applyFont="1" applyBorder="1" applyAlignment="1" applyProtection="1">
      <alignment horizontal="left" vertical="center" indent="1"/>
    </xf>
    <xf numFmtId="0" fontId="70" fillId="0" borderId="23" xfId="376" applyFont="1" applyBorder="1" applyAlignment="1" applyProtection="1">
      <alignment horizontal="center" vertical="center"/>
    </xf>
    <xf numFmtId="43" fontId="7" fillId="0" borderId="19" xfId="4" applyNumberFormat="1" applyFont="1" applyBorder="1" applyAlignment="1">
      <alignment horizontal="left" vertical="center"/>
    </xf>
    <xf numFmtId="43" fontId="9" fillId="0" borderId="19" xfId="4" applyNumberFormat="1" applyFont="1" applyBorder="1" applyAlignment="1">
      <alignment horizontal="left" vertical="center"/>
    </xf>
    <xf numFmtId="43" fontId="144" fillId="0" borderId="19" xfId="214" applyNumberFormat="1" applyFont="1" applyBorder="1" applyAlignment="1" applyProtection="1">
      <alignment horizontal="center" vertical="center"/>
    </xf>
    <xf numFmtId="0" fontId="7" fillId="0" borderId="0" xfId="3" applyFont="1" applyAlignment="1">
      <alignment vertical="center"/>
    </xf>
    <xf numFmtId="0" fontId="9" fillId="0" borderId="0" xfId="3" applyFont="1" applyAlignment="1">
      <alignment vertical="center"/>
    </xf>
    <xf numFmtId="9" fontId="15" fillId="0" borderId="0" xfId="378" applyFont="1" applyBorder="1" applyAlignment="1">
      <alignment horizontal="left" vertical="center"/>
    </xf>
    <xf numFmtId="0" fontId="9" fillId="0" borderId="0" xfId="3" applyFont="1" applyAlignment="1">
      <alignment horizontal="left" vertical="center"/>
    </xf>
    <xf numFmtId="10" fontId="15" fillId="0" borderId="0" xfId="378" applyNumberFormat="1" applyFont="1" applyBorder="1" applyAlignment="1">
      <alignment horizontal="left" vertical="center"/>
    </xf>
    <xf numFmtId="43" fontId="9" fillId="0" borderId="0" xfId="1" applyFont="1" applyFill="1" applyBorder="1" applyAlignment="1">
      <alignment horizontal="left" vertical="center"/>
    </xf>
    <xf numFmtId="43" fontId="9" fillId="0" borderId="0" xfId="1" applyFont="1" applyBorder="1" applyAlignment="1">
      <alignment horizontal="center" vertical="center" shrinkToFit="1"/>
    </xf>
    <xf numFmtId="43" fontId="5" fillId="0" borderId="0" xfId="4" applyNumberFormat="1" applyFont="1" applyFill="1" applyBorder="1" applyAlignment="1">
      <alignment vertical="center"/>
    </xf>
    <xf numFmtId="0" fontId="9" fillId="0" borderId="19" xfId="3" applyFont="1" applyBorder="1" applyAlignment="1">
      <alignment vertical="center"/>
    </xf>
    <xf numFmtId="0" fontId="112" fillId="0" borderId="0" xfId="0" applyFont="1" applyAlignment="1" applyProtection="1">
      <alignment vertical="center" wrapText="1"/>
    </xf>
    <xf numFmtId="9" fontId="112" fillId="0" borderId="0" xfId="2" applyFont="1" applyAlignment="1" applyProtection="1">
      <alignment vertical="center" wrapText="1"/>
    </xf>
    <xf numFmtId="9" fontId="113" fillId="0" borderId="13" xfId="2" applyFont="1" applyBorder="1" applyAlignment="1" applyProtection="1">
      <alignment vertical="center" wrapText="1"/>
    </xf>
    <xf numFmtId="0" fontId="112" fillId="0" borderId="13" xfId="0" applyFont="1" applyBorder="1" applyAlignment="1" applyProtection="1">
      <alignment vertical="center" wrapText="1"/>
    </xf>
    <xf numFmtId="0" fontId="7" fillId="0" borderId="23" xfId="0" applyFont="1" applyBorder="1" applyAlignment="1">
      <alignment horizontal="center" vertical="center" wrapText="1"/>
      <protection locked="0"/>
    </xf>
    <xf numFmtId="43" fontId="9" fillId="0" borderId="23" xfId="0" applyNumberFormat="1" applyFont="1" applyBorder="1" applyAlignment="1">
      <alignment horizontal="justify" vertical="center" wrapText="1"/>
      <protection locked="0"/>
    </xf>
    <xf numFmtId="0" fontId="7" fillId="13" borderId="23" xfId="0" applyFont="1" applyFill="1" applyBorder="1" applyAlignment="1">
      <alignment horizontal="centerContinuous" vertical="center"/>
      <protection locked="0"/>
    </xf>
    <xf numFmtId="43" fontId="5" fillId="36" borderId="23" xfId="1" applyFont="1" applyFill="1" applyBorder="1" applyAlignment="1">
      <alignment horizontal="center" vertical="center"/>
    </xf>
    <xf numFmtId="43" fontId="7" fillId="36" borderId="23" xfId="1" applyFont="1" applyFill="1" applyBorder="1" applyAlignment="1">
      <alignment horizontal="center" vertical="center"/>
    </xf>
    <xf numFmtId="43" fontId="7" fillId="36" borderId="23" xfId="379" applyFont="1" applyFill="1" applyBorder="1" applyAlignment="1" applyProtection="1">
      <alignment horizontal="center" vertical="center"/>
    </xf>
    <xf numFmtId="43" fontId="9" fillId="36" borderId="23" xfId="1" applyFont="1" applyFill="1" applyBorder="1" applyAlignment="1">
      <alignment horizontal="center" vertical="center"/>
    </xf>
    <xf numFmtId="43" fontId="9" fillId="36" borderId="14" xfId="0" applyNumberFormat="1" applyFont="1" applyFill="1" applyBorder="1" applyAlignment="1">
      <alignment horizontal="justify" vertical="center" wrapText="1"/>
      <protection locked="0"/>
    </xf>
    <xf numFmtId="43" fontId="9" fillId="36" borderId="14" xfId="0" quotePrefix="1" applyNumberFormat="1" applyFont="1" applyFill="1" applyBorder="1" applyAlignment="1">
      <alignment horizontal="center" vertical="center" wrapText="1"/>
      <protection locked="0"/>
    </xf>
    <xf numFmtId="43" fontId="9" fillId="36" borderId="23" xfId="0" applyNumberFormat="1" applyFont="1" applyFill="1" applyBorder="1" applyAlignment="1">
      <alignment horizontal="justify" vertical="center" wrapText="1"/>
      <protection locked="0"/>
    </xf>
    <xf numFmtId="43" fontId="7" fillId="36" borderId="14" xfId="0" applyNumberFormat="1" applyFont="1" applyFill="1" applyBorder="1" applyAlignment="1">
      <alignment horizontal="justify" vertical="center" wrapText="1"/>
      <protection locked="0"/>
    </xf>
    <xf numFmtId="43" fontId="9" fillId="36" borderId="14" xfId="1" applyFont="1" applyFill="1" applyBorder="1" applyAlignment="1" applyProtection="1">
      <alignment vertical="center"/>
      <protection locked="0"/>
    </xf>
    <xf numFmtId="0" fontId="9" fillId="36" borderId="14" xfId="0" applyFont="1" applyFill="1" applyBorder="1" applyAlignment="1">
      <alignment horizontal="justify" vertical="center" wrapText="1"/>
      <protection locked="0"/>
    </xf>
    <xf numFmtId="43" fontId="9" fillId="36" borderId="23" xfId="1" applyFont="1" applyFill="1" applyBorder="1" applyAlignment="1">
      <alignment vertical="center"/>
    </xf>
    <xf numFmtId="43" fontId="9" fillId="36" borderId="14" xfId="0" applyNumberFormat="1" applyFont="1" applyFill="1" applyBorder="1" applyAlignment="1" applyProtection="1">
      <alignment vertical="center" wrapText="1"/>
    </xf>
    <xf numFmtId="43" fontId="9" fillId="36" borderId="14" xfId="1" applyFont="1" applyFill="1" applyBorder="1" applyAlignment="1" applyProtection="1">
      <alignment vertical="center" wrapText="1"/>
    </xf>
    <xf numFmtId="43" fontId="9" fillId="36" borderId="14" xfId="0" applyNumberFormat="1" applyFont="1" applyFill="1" applyBorder="1" applyAlignment="1">
      <alignment vertical="center"/>
      <protection locked="0"/>
    </xf>
    <xf numFmtId="43" fontId="87" fillId="36" borderId="14" xfId="0" applyNumberFormat="1" applyFont="1" applyFill="1" applyBorder="1" applyAlignment="1" applyProtection="1">
      <alignment vertical="center" wrapText="1"/>
    </xf>
    <xf numFmtId="43" fontId="9" fillId="36" borderId="14" xfId="1" applyFont="1" applyFill="1" applyBorder="1" applyAlignment="1" applyProtection="1">
      <alignment vertical="center"/>
    </xf>
    <xf numFmtId="43" fontId="9" fillId="36" borderId="14" xfId="1" applyFont="1" applyFill="1" applyBorder="1" applyAlignment="1" applyProtection="1">
      <alignment horizontal="center" vertical="center"/>
    </xf>
    <xf numFmtId="43" fontId="9" fillId="36" borderId="23" xfId="1" quotePrefix="1" applyFont="1" applyFill="1" applyBorder="1" applyAlignment="1" applyProtection="1">
      <alignment horizontal="right" vertical="center"/>
    </xf>
    <xf numFmtId="9" fontId="9" fillId="36" borderId="23" xfId="0" applyNumberFormat="1" applyFont="1" applyFill="1" applyBorder="1" applyAlignment="1" applyProtection="1">
      <alignment horizontal="right" vertical="center"/>
    </xf>
    <xf numFmtId="43" fontId="9" fillId="36" borderId="23" xfId="1" applyFont="1" applyFill="1" applyBorder="1" applyAlignment="1" applyProtection="1">
      <alignment horizontal="center" vertical="center"/>
    </xf>
    <xf numFmtId="0" fontId="9" fillId="36" borderId="14" xfId="0" quotePrefix="1" applyFont="1" applyFill="1" applyBorder="1" applyAlignment="1" applyProtection="1">
      <alignment horizontal="right" vertical="center"/>
    </xf>
    <xf numFmtId="10" fontId="9" fillId="36" borderId="14" xfId="2" applyNumberFormat="1" applyFont="1" applyFill="1" applyBorder="1" applyAlignment="1" applyProtection="1">
      <alignment vertical="center"/>
    </xf>
    <xf numFmtId="43" fontId="9" fillId="36" borderId="14" xfId="0" applyNumberFormat="1" applyFont="1" applyFill="1" applyBorder="1" applyAlignment="1" applyProtection="1">
      <alignment vertical="center"/>
    </xf>
    <xf numFmtId="43" fontId="9" fillId="36" borderId="14" xfId="1" applyFont="1" applyFill="1" applyBorder="1" applyAlignment="1" applyProtection="1">
      <alignment horizontal="right" vertical="center" wrapText="1"/>
      <protection locked="0"/>
    </xf>
    <xf numFmtId="43" fontId="9" fillId="36" borderId="14" xfId="1" applyFont="1" applyFill="1" applyBorder="1" applyAlignment="1">
      <alignment vertical="center"/>
    </xf>
    <xf numFmtId="43" fontId="9" fillId="36" borderId="14" xfId="0" applyNumberFormat="1" applyFont="1" applyFill="1" applyBorder="1" applyAlignment="1">
      <alignment horizontal="right" vertical="center" wrapText="1"/>
      <protection locked="0"/>
    </xf>
    <xf numFmtId="43" fontId="79" fillId="36" borderId="14" xfId="1" applyFont="1" applyFill="1" applyBorder="1" applyAlignment="1" applyProtection="1">
      <alignment horizontal="right" vertical="center" wrapText="1"/>
      <protection locked="0"/>
    </xf>
    <xf numFmtId="10" fontId="9" fillId="36" borderId="14" xfId="2" applyNumberFormat="1" applyFont="1" applyFill="1" applyBorder="1" applyAlignment="1" applyProtection="1">
      <alignment horizontal="center" vertical="center" wrapText="1"/>
      <protection locked="0"/>
    </xf>
    <xf numFmtId="43" fontId="79" fillId="36" borderId="14" xfId="0" applyNumberFormat="1" applyFont="1" applyFill="1" applyBorder="1" applyAlignment="1">
      <alignment vertical="center"/>
      <protection locked="0"/>
    </xf>
    <xf numFmtId="43" fontId="9" fillId="36" borderId="14" xfId="1" quotePrefix="1" applyFont="1" applyFill="1" applyBorder="1" applyAlignment="1">
      <alignment horizontal="right" vertical="center"/>
    </xf>
    <xf numFmtId="43" fontId="9" fillId="36" borderId="14" xfId="1" applyFont="1" applyFill="1" applyBorder="1" applyAlignment="1">
      <alignment horizontal="right" vertical="center"/>
    </xf>
    <xf numFmtId="43" fontId="9" fillId="36" borderId="23" xfId="0" quotePrefix="1" applyNumberFormat="1" applyFont="1" applyFill="1" applyBorder="1" applyAlignment="1">
      <alignment horizontal="center" vertical="center" wrapText="1"/>
      <protection locked="0"/>
    </xf>
    <xf numFmtId="43" fontId="7" fillId="36" borderId="23" xfId="0" applyNumberFormat="1" applyFont="1" applyFill="1" applyBorder="1" applyAlignment="1">
      <alignment horizontal="justify" vertical="center" wrapText="1"/>
      <protection locked="0"/>
    </xf>
    <xf numFmtId="9" fontId="9" fillId="0" borderId="14" xfId="2" quotePrefix="1" applyFont="1" applyFill="1" applyBorder="1" applyAlignment="1" applyProtection="1">
      <alignment horizontal="right" vertical="center" wrapText="1"/>
      <protection locked="0"/>
    </xf>
    <xf numFmtId="0" fontId="9" fillId="0" borderId="14" xfId="0" quotePrefix="1" applyFont="1" applyBorder="1" applyAlignment="1">
      <alignment horizontal="right" vertical="center" wrapText="1"/>
      <protection locked="0"/>
    </xf>
    <xf numFmtId="9" fontId="9" fillId="0" borderId="23" xfId="2" quotePrefix="1" applyFont="1" applyFill="1" applyBorder="1" applyAlignment="1" applyProtection="1">
      <alignment horizontal="right" vertical="center" wrapText="1"/>
      <protection locked="0"/>
    </xf>
    <xf numFmtId="0" fontId="9" fillId="0" borderId="23" xfId="0" quotePrefix="1" applyFont="1" applyBorder="1" applyAlignment="1">
      <alignment horizontal="right" vertical="center" wrapText="1"/>
      <protection locked="0"/>
    </xf>
    <xf numFmtId="0" fontId="9" fillId="0" borderId="23" xfId="0" applyFont="1" applyBorder="1" applyAlignment="1">
      <alignment vertical="center" wrapText="1"/>
      <protection locked="0"/>
    </xf>
    <xf numFmtId="0" fontId="9" fillId="13" borderId="14" xfId="254" applyFont="1" applyFill="1" applyBorder="1" applyAlignment="1">
      <alignment vertical="center" wrapText="1"/>
    </xf>
    <xf numFmtId="9" fontId="9" fillId="0" borderId="14" xfId="2" applyFont="1" applyFill="1" applyBorder="1" applyAlignment="1">
      <alignment vertical="center"/>
    </xf>
    <xf numFmtId="0" fontId="67" fillId="0" borderId="0" xfId="0" applyFont="1" applyAlignment="1">
      <alignment horizontal="justify" vertical="center"/>
      <protection locked="0"/>
    </xf>
    <xf numFmtId="43" fontId="7" fillId="36" borderId="23" xfId="1" applyFont="1" applyFill="1" applyBorder="1" applyAlignment="1">
      <alignment vertical="center"/>
    </xf>
    <xf numFmtId="0" fontId="7" fillId="0" borderId="14" xfId="253" applyFont="1" applyBorder="1">
      <alignment vertical="center"/>
    </xf>
    <xf numFmtId="43" fontId="7" fillId="36" borderId="14" xfId="1" applyFont="1" applyFill="1" applyBorder="1" applyAlignment="1">
      <alignment vertical="center"/>
    </xf>
    <xf numFmtId="0" fontId="7" fillId="0" borderId="14" xfId="253" applyFont="1" applyBorder="1" applyAlignment="1">
      <alignment horizontal="center" vertical="center" wrapText="1"/>
    </xf>
    <xf numFmtId="0" fontId="7" fillId="13" borderId="23" xfId="0" applyFont="1" applyFill="1" applyBorder="1" applyAlignment="1">
      <alignment vertical="center" wrapText="1"/>
      <protection locked="0"/>
    </xf>
    <xf numFmtId="0" fontId="7" fillId="0" borderId="23" xfId="0" applyFont="1" applyBorder="1" applyAlignment="1">
      <alignment vertical="center" wrapText="1"/>
      <protection locked="0"/>
    </xf>
    <xf numFmtId="205" fontId="38" fillId="0" borderId="0" xfId="283" applyFont="1" applyAlignment="1">
      <alignment horizontal="left" vertical="center"/>
      <protection locked="0"/>
    </xf>
    <xf numFmtId="0" fontId="22" fillId="0" borderId="0" xfId="251" applyFont="1" applyProtection="1">
      <alignment vertical="center"/>
      <protection locked="0"/>
    </xf>
    <xf numFmtId="0" fontId="83" fillId="0" borderId="23" xfId="251" applyFont="1" applyBorder="1" applyAlignment="1">
      <alignment horizontal="center" vertical="center" wrapText="1"/>
    </xf>
    <xf numFmtId="0" fontId="77" fillId="0" borderId="23" xfId="251" applyFont="1" applyBorder="1" applyAlignment="1">
      <alignment horizontal="center" vertical="center" wrapText="1"/>
    </xf>
    <xf numFmtId="0" fontId="85" fillId="0" borderId="23" xfId="251" applyFont="1" applyBorder="1" applyAlignment="1">
      <alignment horizontal="center" vertical="center" wrapText="1"/>
    </xf>
    <xf numFmtId="49" fontId="9" fillId="0" borderId="23" xfId="251" applyNumberFormat="1" applyFont="1" applyBorder="1" applyAlignment="1" applyProtection="1">
      <alignment horizontal="center" vertical="center"/>
      <protection locked="0"/>
    </xf>
    <xf numFmtId="0" fontId="81" fillId="0" borderId="0" xfId="251" applyFont="1" applyAlignment="1" applyProtection="1">
      <alignment horizontal="center" vertical="center"/>
      <protection locked="0"/>
    </xf>
    <xf numFmtId="0" fontId="155" fillId="37" borderId="0" xfId="251" applyFont="1" applyFill="1" applyAlignment="1" applyProtection="1">
      <alignment horizontal="left" vertical="center"/>
      <protection locked="0"/>
    </xf>
    <xf numFmtId="0" fontId="155" fillId="37" borderId="0" xfId="251" applyFont="1" applyFill="1" applyAlignment="1" applyProtection="1">
      <alignment horizontal="center" vertical="center"/>
      <protection locked="0"/>
    </xf>
    <xf numFmtId="0" fontId="156" fillId="0" borderId="0" xfId="251" applyFont="1">
      <alignment vertical="center"/>
    </xf>
    <xf numFmtId="0" fontId="83" fillId="0" borderId="23" xfId="251" applyFont="1" applyBorder="1" applyAlignment="1">
      <alignment vertical="center" wrapText="1"/>
    </xf>
    <xf numFmtId="0" fontId="9" fillId="0" borderId="0" xfId="251" applyFont="1" applyAlignment="1">
      <alignment vertical="center" wrapText="1"/>
    </xf>
    <xf numFmtId="0" fontId="120" fillId="0" borderId="0" xfId="0" applyFont="1" applyAlignment="1">
      <alignment vertical="center"/>
      <protection locked="0"/>
    </xf>
    <xf numFmtId="0" fontId="146" fillId="0" borderId="15" xfId="0" applyFont="1" applyBorder="1" applyAlignment="1">
      <alignment horizontal="center" vertical="center" wrapText="1"/>
      <protection locked="0"/>
    </xf>
    <xf numFmtId="0" fontId="145" fillId="0" borderId="0" xfId="0" applyFont="1" applyAlignment="1">
      <alignment horizontal="right" vertical="center" wrapText="1"/>
      <protection locked="0"/>
    </xf>
    <xf numFmtId="0" fontId="145" fillId="0" borderId="13" xfId="0" applyFont="1" applyBorder="1" applyAlignment="1">
      <alignment horizontal="right" vertical="center" wrapText="1"/>
      <protection locked="0"/>
    </xf>
    <xf numFmtId="0" fontId="0" fillId="0" borderId="13" xfId="0" applyBorder="1" applyAlignment="1">
      <alignment vertical="center" wrapText="1"/>
      <protection locked="0"/>
    </xf>
    <xf numFmtId="0" fontId="149" fillId="0" borderId="0" xfId="0" applyFont="1" applyAlignment="1">
      <alignment horizontal="justify" vertical="center" wrapText="1"/>
      <protection locked="0"/>
    </xf>
    <xf numFmtId="0" fontId="150" fillId="0" borderId="0" xfId="0" applyFont="1" applyAlignment="1">
      <alignment horizontal="right" vertical="center" wrapText="1"/>
      <protection locked="0"/>
    </xf>
    <xf numFmtId="0" fontId="150" fillId="0" borderId="0" xfId="0" applyFont="1" applyAlignment="1">
      <alignment horizontal="justify" vertical="center" wrapText="1"/>
      <protection locked="0"/>
    </xf>
    <xf numFmtId="0" fontId="149" fillId="0" borderId="13" xfId="0" applyFont="1" applyBorder="1" applyAlignment="1">
      <alignment horizontal="justify" vertical="center" wrapText="1"/>
      <protection locked="0"/>
    </xf>
    <xf numFmtId="0" fontId="150" fillId="0" borderId="13" xfId="0" applyFont="1" applyBorder="1" applyAlignment="1">
      <alignment horizontal="right" vertical="center" wrapText="1"/>
      <protection locked="0"/>
    </xf>
    <xf numFmtId="0" fontId="145" fillId="0" borderId="13" xfId="0" applyFont="1" applyBorder="1" applyAlignment="1">
      <alignment horizontal="justify" vertical="center" wrapText="1"/>
      <protection locked="0"/>
    </xf>
    <xf numFmtId="0" fontId="146" fillId="0" borderId="13" xfId="0" applyFont="1" applyBorder="1" applyAlignment="1">
      <alignment horizontal="right" vertical="center" wrapText="1"/>
      <protection locked="0"/>
    </xf>
    <xf numFmtId="0" fontId="115" fillId="0" borderId="0" xfId="0" applyFont="1">
      <protection locked="0"/>
    </xf>
    <xf numFmtId="0" fontId="13" fillId="0" borderId="0" xfId="254" applyFont="1" applyAlignment="1">
      <alignment vertical="center"/>
    </xf>
    <xf numFmtId="0" fontId="83" fillId="0" borderId="23" xfId="0" applyFont="1" applyBorder="1" applyAlignment="1" applyProtection="1">
      <alignment vertical="center" wrapText="1"/>
    </xf>
    <xf numFmtId="0" fontId="77" fillId="0" borderId="23" xfId="0" applyFont="1" applyBorder="1" applyAlignment="1" applyProtection="1">
      <alignment horizontal="center" vertical="center" wrapText="1"/>
    </xf>
    <xf numFmtId="205" fontId="22" fillId="0" borderId="0" xfId="380" applyFont="1">
      <alignment vertical="center"/>
    </xf>
    <xf numFmtId="0" fontId="145" fillId="0" borderId="15" xfId="0" applyFont="1" applyBorder="1" applyAlignment="1">
      <alignment horizontal="justify" vertical="center" wrapText="1"/>
      <protection locked="0"/>
    </xf>
    <xf numFmtId="0" fontId="145" fillId="0" borderId="15" xfId="0" applyFont="1" applyBorder="1" applyAlignment="1">
      <alignment horizontal="right" vertical="center" wrapText="1"/>
      <protection locked="0"/>
    </xf>
    <xf numFmtId="0" fontId="147" fillId="0" borderId="13" xfId="0" applyFont="1" applyBorder="1" applyAlignment="1">
      <alignment horizontal="right" vertical="center" wrapText="1"/>
      <protection locked="0"/>
    </xf>
    <xf numFmtId="0" fontId="80" fillId="0" borderId="0" xfId="0" applyFont="1" applyAlignment="1" applyProtection="1">
      <alignment horizontal="left" vertical="center" wrapText="1"/>
    </xf>
    <xf numFmtId="0" fontId="9" fillId="0" borderId="0" xfId="207" applyFont="1" applyAlignment="1">
      <alignment vertical="center"/>
      <protection locked="0"/>
    </xf>
    <xf numFmtId="0" fontId="96" fillId="0" borderId="0" xfId="207" applyFont="1" applyAlignment="1">
      <alignment vertical="center"/>
      <protection locked="0"/>
    </xf>
    <xf numFmtId="0" fontId="95" fillId="0" borderId="0" xfId="0" applyFont="1" applyAlignment="1">
      <alignment horizontal="left" vertical="center"/>
      <protection locked="0"/>
    </xf>
    <xf numFmtId="0" fontId="111" fillId="0" borderId="15" xfId="0" applyFont="1" applyBorder="1" applyAlignment="1">
      <alignment horizontal="center" vertical="center" wrapText="1"/>
      <protection locked="0"/>
    </xf>
    <xf numFmtId="0" fontId="12" fillId="0" borderId="0" xfId="207" applyFont="1" applyAlignment="1">
      <alignment vertical="center" wrapText="1"/>
      <protection locked="0"/>
    </xf>
    <xf numFmtId="0" fontId="96" fillId="0" borderId="15" xfId="0" applyFont="1" applyBorder="1" applyAlignment="1">
      <alignment horizontal="center" vertical="center" wrapText="1"/>
      <protection locked="0"/>
    </xf>
    <xf numFmtId="0" fontId="96" fillId="0" borderId="15" xfId="0" applyFont="1" applyBorder="1" applyAlignment="1">
      <alignment horizontal="justify" vertical="center" wrapText="1"/>
      <protection locked="0"/>
    </xf>
    <xf numFmtId="9" fontId="96" fillId="0" borderId="15" xfId="0" applyNumberFormat="1" applyFont="1" applyBorder="1" applyAlignment="1">
      <alignment horizontal="right" vertical="center" wrapText="1"/>
      <protection locked="0"/>
    </xf>
    <xf numFmtId="43" fontId="96" fillId="0" borderId="15" xfId="0" applyNumberFormat="1" applyFont="1" applyBorder="1" applyAlignment="1">
      <alignment horizontal="right" vertical="center" wrapText="1"/>
      <protection locked="0"/>
    </xf>
    <xf numFmtId="0" fontId="96" fillId="0" borderId="0" xfId="0" applyFont="1" applyAlignment="1">
      <alignment horizontal="center" vertical="center" wrapText="1"/>
      <protection locked="0"/>
    </xf>
    <xf numFmtId="0" fontId="96" fillId="0" borderId="13" xfId="0" applyFont="1" applyBorder="1" applyAlignment="1">
      <alignment horizontal="center" vertical="center" wrapText="1"/>
      <protection locked="0"/>
    </xf>
    <xf numFmtId="0" fontId="96" fillId="0" borderId="8" xfId="0" applyFont="1" applyBorder="1" applyAlignment="1">
      <alignment horizontal="right" vertical="center" wrapText="1"/>
      <protection locked="0"/>
    </xf>
    <xf numFmtId="0" fontId="12" fillId="0" borderId="8" xfId="207" applyFont="1" applyBorder="1" applyAlignment="1">
      <alignment vertical="center"/>
      <protection locked="0"/>
    </xf>
    <xf numFmtId="9" fontId="96" fillId="0" borderId="8" xfId="0" applyNumberFormat="1" applyFont="1" applyBorder="1" applyAlignment="1">
      <alignment horizontal="right" vertical="center" wrapText="1"/>
      <protection locked="0"/>
    </xf>
    <xf numFmtId="10" fontId="96" fillId="0" borderId="0" xfId="2" applyNumberFormat="1" applyFont="1" applyFill="1" applyAlignment="1" applyProtection="1">
      <alignment horizontal="right" vertical="center" wrapText="1"/>
      <protection locked="0"/>
    </xf>
    <xf numFmtId="10" fontId="96" fillId="0" borderId="13" xfId="2" applyNumberFormat="1" applyFont="1" applyFill="1" applyBorder="1" applyAlignment="1" applyProtection="1">
      <alignment horizontal="right" vertical="center" wrapText="1"/>
      <protection locked="0"/>
    </xf>
    <xf numFmtId="0" fontId="111" fillId="0" borderId="11" xfId="0" applyFont="1" applyBorder="1" applyAlignment="1">
      <alignment horizontal="center" vertical="center" wrapText="1"/>
      <protection locked="0"/>
    </xf>
    <xf numFmtId="0" fontId="111" fillId="0" borderId="0" xfId="0" applyFont="1" applyAlignment="1">
      <alignment horizontal="right" vertical="center" wrapText="1"/>
      <protection locked="0"/>
    </xf>
    <xf numFmtId="10" fontId="111" fillId="0" borderId="0" xfId="2" applyNumberFormat="1" applyFont="1" applyFill="1" applyBorder="1" applyAlignment="1" applyProtection="1">
      <alignment horizontal="right" vertical="center" wrapText="1"/>
      <protection locked="0"/>
    </xf>
    <xf numFmtId="0" fontId="123" fillId="0" borderId="0" xfId="0" applyFont="1" applyAlignment="1">
      <alignment horizontal="left" vertical="center"/>
      <protection locked="0"/>
    </xf>
    <xf numFmtId="0" fontId="111" fillId="0" borderId="13" xfId="0" applyFont="1" applyBorder="1" applyAlignment="1">
      <alignment horizontal="justify" vertical="center" wrapText="1"/>
      <protection locked="0"/>
    </xf>
    <xf numFmtId="0" fontId="123" fillId="0" borderId="13" xfId="0" applyFont="1" applyBorder="1" applyAlignment="1">
      <alignment horizontal="left" vertical="center"/>
      <protection locked="0"/>
    </xf>
    <xf numFmtId="0" fontId="111" fillId="0" borderId="13" xfId="0" applyFont="1" applyBorder="1" applyAlignment="1">
      <alignment horizontal="right" vertical="center" wrapText="1"/>
      <protection locked="0"/>
    </xf>
    <xf numFmtId="9" fontId="96" fillId="0" borderId="15" xfId="0" applyNumberFormat="1" applyFont="1" applyBorder="1" applyAlignment="1">
      <alignment horizontal="justify" vertical="center" wrapText="1"/>
      <protection locked="0"/>
    </xf>
    <xf numFmtId="9" fontId="96" fillId="0" borderId="0" xfId="0" applyNumberFormat="1" applyFont="1" applyAlignment="1">
      <alignment horizontal="justify" vertical="center" wrapText="1"/>
      <protection locked="0"/>
    </xf>
    <xf numFmtId="9" fontId="96" fillId="0" borderId="13" xfId="0" applyNumberFormat="1" applyFont="1" applyBorder="1" applyAlignment="1">
      <alignment horizontal="justify" vertical="center" wrapText="1"/>
      <protection locked="0"/>
    </xf>
    <xf numFmtId="0" fontId="145" fillId="0" borderId="13" xfId="0" applyFont="1" applyBorder="1" applyAlignment="1">
      <alignment horizontal="right" vertical="center"/>
      <protection locked="0"/>
    </xf>
    <xf numFmtId="43" fontId="96" fillId="0" borderId="0" xfId="207" applyNumberFormat="1" applyFont="1" applyAlignment="1">
      <alignment vertical="center"/>
      <protection locked="0"/>
    </xf>
    <xf numFmtId="43" fontId="96" fillId="0" borderId="13" xfId="207" applyNumberFormat="1" applyFont="1" applyBorder="1" applyAlignment="1">
      <alignment vertical="center"/>
      <protection locked="0"/>
    </xf>
    <xf numFmtId="0" fontId="95" fillId="0" borderId="15" xfId="0" applyFont="1" applyBorder="1" applyAlignment="1">
      <alignment horizontal="center" vertical="center" wrapText="1"/>
      <protection locked="0"/>
    </xf>
    <xf numFmtId="0" fontId="115" fillId="0" borderId="0" xfId="0" applyFont="1" applyAlignment="1">
      <alignment horizontal="left" vertical="center" indent="1"/>
      <protection locked="0"/>
    </xf>
    <xf numFmtId="43" fontId="96" fillId="0" borderId="0" xfId="1" applyFont="1" applyFill="1" applyAlignment="1" applyProtection="1">
      <alignment horizontal="right" vertical="center" wrapText="1"/>
      <protection locked="0"/>
    </xf>
    <xf numFmtId="43" fontId="96" fillId="0" borderId="13" xfId="1" applyFont="1" applyFill="1" applyBorder="1" applyAlignment="1" applyProtection="1">
      <alignment horizontal="right" vertical="center" wrapText="1"/>
      <protection locked="0"/>
    </xf>
    <xf numFmtId="43" fontId="96" fillId="0" borderId="0" xfId="1" applyFont="1" applyFill="1" applyAlignment="1" applyProtection="1">
      <alignment horizontal="justify" vertical="center" wrapText="1"/>
      <protection locked="0"/>
    </xf>
    <xf numFmtId="43" fontId="96" fillId="0" borderId="13" xfId="1" applyFont="1" applyFill="1" applyBorder="1" applyAlignment="1" applyProtection="1">
      <alignment horizontal="justify" vertical="center" wrapText="1"/>
      <protection locked="0"/>
    </xf>
    <xf numFmtId="0" fontId="12" fillId="0" borderId="0" xfId="0" applyFont="1" applyAlignment="1">
      <alignment horizontal="right" vertical="center" wrapText="1"/>
      <protection locked="0"/>
    </xf>
    <xf numFmtId="0" fontId="96" fillId="0" borderId="15" xfId="0" applyFont="1" applyBorder="1" applyAlignment="1">
      <alignment horizontal="left" vertical="center"/>
      <protection locked="0"/>
    </xf>
    <xf numFmtId="43" fontId="96" fillId="0" borderId="15" xfId="1" applyFont="1" applyFill="1" applyBorder="1" applyAlignment="1" applyProtection="1">
      <alignment horizontal="right" vertical="center" wrapText="1"/>
      <protection locked="0"/>
    </xf>
    <xf numFmtId="43" fontId="96" fillId="0" borderId="0" xfId="1" applyFont="1" applyFill="1" applyBorder="1" applyAlignment="1" applyProtection="1">
      <alignment horizontal="right" vertical="center" wrapText="1"/>
      <protection locked="0"/>
    </xf>
    <xf numFmtId="0" fontId="151" fillId="0" borderId="13" xfId="0" applyFont="1" applyBorder="1" applyAlignment="1">
      <alignment horizontal="center" vertical="center" wrapText="1"/>
      <protection locked="0"/>
    </xf>
    <xf numFmtId="0" fontId="151" fillId="0" borderId="36" xfId="0" applyFont="1" applyBorder="1" applyAlignment="1">
      <alignment horizontal="center" vertical="center" wrapText="1"/>
      <protection locked="0"/>
    </xf>
    <xf numFmtId="0" fontId="150" fillId="0" borderId="13" xfId="0" applyFont="1" applyBorder="1" applyAlignment="1">
      <alignment horizontal="justify" vertical="center" wrapText="1"/>
      <protection locked="0"/>
    </xf>
    <xf numFmtId="0" fontId="115" fillId="0" borderId="0" xfId="0" applyFont="1" applyAlignment="1">
      <alignment horizontal="justify" vertical="center" wrapText="1"/>
      <protection locked="0"/>
    </xf>
    <xf numFmtId="0" fontId="115" fillId="0" borderId="0" xfId="0" applyFont="1" applyAlignment="1">
      <alignment horizontal="right" vertical="center" wrapText="1"/>
      <protection locked="0"/>
    </xf>
    <xf numFmtId="43" fontId="115" fillId="0" borderId="0" xfId="1" applyFont="1" applyFill="1" applyAlignment="1" applyProtection="1">
      <alignment horizontal="right" vertical="center" wrapText="1"/>
      <protection locked="0"/>
    </xf>
    <xf numFmtId="0" fontId="115" fillId="0" borderId="0" xfId="0" applyFont="1" applyAlignment="1">
      <alignment horizontal="left" vertical="center" wrapText="1"/>
      <protection locked="0"/>
    </xf>
    <xf numFmtId="43" fontId="115" fillId="0" borderId="0" xfId="1" applyFont="1" applyFill="1" applyAlignment="1" applyProtection="1">
      <alignment horizontal="left" vertical="center" wrapText="1"/>
      <protection locked="0"/>
    </xf>
    <xf numFmtId="0" fontId="96" fillId="0" borderId="13" xfId="0" applyFont="1" applyBorder="1" applyAlignment="1">
      <alignment horizontal="left" vertical="center"/>
      <protection locked="0"/>
    </xf>
    <xf numFmtId="0" fontId="115" fillId="0" borderId="13" xfId="0" applyFont="1" applyBorder="1" applyAlignment="1">
      <alignment horizontal="justify" vertical="center" wrapText="1"/>
      <protection locked="0"/>
    </xf>
    <xf numFmtId="43" fontId="115" fillId="0" borderId="13" xfId="1" applyFont="1" applyFill="1" applyBorder="1" applyAlignment="1" applyProtection="1">
      <alignment horizontal="right" vertical="center" wrapText="1"/>
      <protection locked="0"/>
    </xf>
    <xf numFmtId="0" fontId="115" fillId="0" borderId="13" xfId="0" applyFont="1" applyBorder="1" applyAlignment="1">
      <alignment horizontal="left" vertical="center" wrapText="1"/>
      <protection locked="0"/>
    </xf>
    <xf numFmtId="43" fontId="115" fillId="0" borderId="13" xfId="1" applyFont="1" applyFill="1" applyBorder="1" applyAlignment="1" applyProtection="1">
      <alignment horizontal="left" vertical="center" wrapText="1"/>
      <protection locked="0"/>
    </xf>
    <xf numFmtId="43" fontId="112" fillId="0" borderId="0" xfId="1" applyFont="1" applyFill="1" applyAlignment="1" applyProtection="1">
      <alignment horizontal="right" vertical="center" wrapText="1"/>
      <protection locked="0"/>
    </xf>
    <xf numFmtId="43" fontId="96" fillId="0" borderId="0" xfId="1" applyFont="1" applyFill="1" applyAlignment="1" applyProtection="1">
      <alignment vertical="center"/>
      <protection locked="0"/>
    </xf>
    <xf numFmtId="43" fontId="111" fillId="0" borderId="0" xfId="1" applyFont="1" applyFill="1" applyAlignment="1" applyProtection="1">
      <alignment horizontal="right" vertical="center" wrapText="1"/>
      <protection locked="0"/>
    </xf>
    <xf numFmtId="43" fontId="112" fillId="0" borderId="13" xfId="1" applyFont="1" applyFill="1" applyBorder="1" applyAlignment="1" applyProtection="1">
      <alignment horizontal="right" vertical="center" wrapText="1"/>
      <protection locked="0"/>
    </xf>
    <xf numFmtId="43" fontId="96" fillId="0" borderId="13" xfId="1" applyFont="1" applyFill="1" applyBorder="1" applyAlignment="1" applyProtection="1">
      <alignment vertical="center"/>
      <protection locked="0"/>
    </xf>
    <xf numFmtId="0" fontId="84" fillId="0" borderId="0" xfId="0" applyFont="1" applyAlignment="1" applyProtection="1">
      <alignment vertical="center"/>
    </xf>
    <xf numFmtId="0" fontId="111" fillId="0" borderId="11" xfId="0" applyFont="1" applyBorder="1" applyAlignment="1" applyProtection="1">
      <alignment horizontal="center" vertical="center" wrapText="1"/>
    </xf>
    <xf numFmtId="43" fontId="114" fillId="0" borderId="0" xfId="1" applyFont="1" applyFill="1" applyBorder="1" applyAlignment="1" applyProtection="1">
      <alignment horizontal="right" vertical="center" wrapText="1"/>
    </xf>
    <xf numFmtId="43" fontId="111" fillId="0" borderId="0" xfId="1" applyFont="1" applyFill="1" applyBorder="1" applyAlignment="1" applyProtection="1">
      <alignment horizontal="right" vertical="center" wrapText="1"/>
    </xf>
    <xf numFmtId="43" fontId="113" fillId="0" borderId="0" xfId="1" applyFont="1" applyFill="1" applyAlignment="1" applyProtection="1">
      <alignment horizontal="right" vertical="center" wrapText="1"/>
    </xf>
    <xf numFmtId="43" fontId="112" fillId="0" borderId="15" xfId="1" applyFont="1" applyFill="1" applyBorder="1" applyAlignment="1" applyProtection="1">
      <alignment horizontal="right" vertical="center" wrapText="1"/>
    </xf>
    <xf numFmtId="43" fontId="112" fillId="0" borderId="13" xfId="1" applyFont="1" applyFill="1" applyBorder="1" applyAlignment="1" applyProtection="1">
      <alignment horizontal="right" vertical="center" wrapText="1"/>
    </xf>
    <xf numFmtId="0" fontId="12" fillId="0" borderId="0" xfId="0" applyFont="1" applyAlignment="1">
      <alignment horizontal="justify" vertical="center"/>
      <protection locked="0"/>
    </xf>
    <xf numFmtId="0" fontId="152" fillId="0" borderId="0" xfId="0" applyFont="1" applyAlignment="1">
      <alignment horizontal="justify" vertical="center" wrapText="1"/>
      <protection locked="0"/>
    </xf>
    <xf numFmtId="0" fontId="153" fillId="0" borderId="0" xfId="0" applyFont="1" applyAlignment="1">
      <alignment horizontal="justify" vertical="center" wrapText="1"/>
      <protection locked="0"/>
    </xf>
    <xf numFmtId="0" fontId="148" fillId="0" borderId="0" xfId="0" applyFont="1" applyAlignment="1">
      <alignment horizontal="justify" vertical="center" wrapText="1"/>
      <protection locked="0"/>
    </xf>
    <xf numFmtId="0" fontId="148" fillId="0" borderId="13" xfId="0" applyFont="1" applyBorder="1" applyAlignment="1">
      <alignment horizontal="justify" vertical="center" wrapText="1"/>
      <protection locked="0"/>
    </xf>
    <xf numFmtId="0" fontId="147" fillId="0" borderId="13" xfId="0" applyFont="1" applyBorder="1" applyAlignment="1">
      <alignment horizontal="justify" vertical="center" wrapText="1"/>
      <protection locked="0"/>
    </xf>
    <xf numFmtId="0" fontId="115" fillId="0" borderId="0" xfId="0" applyFont="1" applyAlignment="1">
      <alignment horizontal="justify" vertical="center"/>
      <protection locked="0"/>
    </xf>
    <xf numFmtId="43" fontId="115" fillId="0" borderId="0" xfId="0" applyNumberFormat="1" applyFont="1" applyAlignment="1" applyProtection="1">
      <alignment horizontal="center" vertical="center"/>
    </xf>
    <xf numFmtId="43" fontId="116" fillId="0" borderId="0" xfId="0" applyNumberFormat="1" applyFont="1" applyAlignment="1" applyProtection="1">
      <alignment horizontal="center" vertical="center"/>
    </xf>
    <xf numFmtId="43" fontId="115" fillId="0" borderId="13" xfId="0" applyNumberFormat="1" applyFont="1" applyBorder="1" applyAlignment="1" applyProtection="1">
      <alignment horizontal="center" vertical="center"/>
    </xf>
    <xf numFmtId="0" fontId="115" fillId="0" borderId="0" xfId="0" applyFont="1" applyAlignment="1" applyProtection="1">
      <alignment horizontal="left" vertical="center"/>
    </xf>
    <xf numFmtId="0" fontId="115" fillId="0" borderId="0" xfId="0" applyFont="1" applyAlignment="1" applyProtection="1">
      <alignment horizontal="justify" vertical="center"/>
    </xf>
    <xf numFmtId="43" fontId="115" fillId="0" borderId="15" xfId="1" applyFont="1" applyFill="1" applyBorder="1" applyAlignment="1" applyProtection="1">
      <alignment vertical="center" wrapText="1"/>
    </xf>
    <xf numFmtId="43" fontId="115" fillId="0" borderId="0" xfId="1" applyFont="1" applyFill="1" applyAlignment="1" applyProtection="1">
      <alignment vertical="center" wrapText="1"/>
    </xf>
    <xf numFmtId="43" fontId="115" fillId="0" borderId="13" xfId="1" applyFont="1" applyFill="1" applyBorder="1" applyAlignment="1" applyProtection="1">
      <alignment vertical="center" wrapText="1"/>
    </xf>
    <xf numFmtId="43" fontId="115" fillId="0" borderId="15" xfId="0" applyNumberFormat="1" applyFont="1" applyBorder="1" applyAlignment="1" applyProtection="1">
      <alignment vertical="center" wrapText="1"/>
    </xf>
    <xf numFmtId="43" fontId="115" fillId="0" borderId="0" xfId="0" applyNumberFormat="1" applyFont="1" applyAlignment="1" applyProtection="1">
      <alignment vertical="center" wrapText="1"/>
    </xf>
    <xf numFmtId="43" fontId="116" fillId="0" borderId="0" xfId="0" applyNumberFormat="1" applyFont="1" applyAlignment="1" applyProtection="1">
      <alignment vertical="center" wrapText="1"/>
    </xf>
    <xf numFmtId="43" fontId="115" fillId="0" borderId="13" xfId="0" applyNumberFormat="1" applyFont="1" applyBorder="1" applyAlignment="1" applyProtection="1">
      <alignment vertical="center" wrapText="1"/>
    </xf>
    <xf numFmtId="0" fontId="116" fillId="0" borderId="11" xfId="0" applyFont="1" applyBorder="1" applyAlignment="1" applyProtection="1">
      <alignment horizontal="center" vertical="center" wrapText="1"/>
    </xf>
    <xf numFmtId="0" fontId="115" fillId="0" borderId="0" xfId="0" applyFont="1" applyAlignment="1" applyProtection="1">
      <alignment horizontal="justify" vertical="center" wrapText="1"/>
    </xf>
    <xf numFmtId="43" fontId="115" fillId="0" borderId="0" xfId="0" applyNumberFormat="1" applyFont="1" applyAlignment="1" applyProtection="1">
      <alignment horizontal="justify" vertical="center" wrapText="1"/>
    </xf>
    <xf numFmtId="43" fontId="115" fillId="0" borderId="0" xfId="1" applyFont="1" applyFill="1" applyAlignment="1" applyProtection="1">
      <alignment horizontal="justify" vertical="center" wrapText="1"/>
    </xf>
    <xf numFmtId="43" fontId="115" fillId="0" borderId="13" xfId="0" applyNumberFormat="1" applyFont="1" applyBorder="1" applyAlignment="1" applyProtection="1">
      <alignment horizontal="justify" vertical="center" wrapText="1"/>
    </xf>
    <xf numFmtId="43" fontId="115" fillId="0" borderId="13" xfId="1" applyFont="1" applyFill="1" applyBorder="1" applyAlignment="1" applyProtection="1">
      <alignment horizontal="justify" vertical="center" wrapText="1"/>
    </xf>
    <xf numFmtId="0" fontId="115" fillId="0" borderId="0" xfId="0" applyFont="1" applyAlignment="1" applyProtection="1">
      <alignment vertical="center"/>
    </xf>
    <xf numFmtId="43" fontId="114" fillId="0" borderId="0" xfId="1" applyFont="1" applyFill="1" applyAlignment="1" applyProtection="1">
      <alignment horizontal="right" vertical="center" wrapText="1"/>
    </xf>
    <xf numFmtId="0" fontId="69" fillId="0" borderId="14" xfId="212" applyFont="1" applyBorder="1" applyAlignment="1">
      <alignment horizontal="left" vertical="center"/>
    </xf>
    <xf numFmtId="0" fontId="7" fillId="13" borderId="14" xfId="212" applyFont="1" applyFill="1" applyBorder="1" applyAlignment="1">
      <alignment horizontal="center" vertical="center"/>
    </xf>
    <xf numFmtId="0" fontId="69" fillId="0" borderId="14" xfId="212" applyFont="1" applyBorder="1" applyAlignment="1">
      <alignment horizontal="left" vertical="center" wrapText="1"/>
    </xf>
    <xf numFmtId="0" fontId="13" fillId="0" borderId="14" xfId="212" applyFont="1" applyFill="1" applyBorder="1" applyAlignment="1">
      <alignment vertical="center"/>
    </xf>
    <xf numFmtId="0" fontId="82" fillId="0" borderId="0" xfId="0" applyFont="1" applyAlignment="1" applyProtection="1">
      <alignment vertical="center"/>
    </xf>
    <xf numFmtId="0" fontId="82" fillId="0" borderId="0" xfId="0" applyFont="1" applyAlignment="1" applyProtection="1">
      <alignment vertical="center" wrapText="1"/>
    </xf>
    <xf numFmtId="43" fontId="9" fillId="0" borderId="14" xfId="0" applyNumberFormat="1" applyFont="1" applyBorder="1" applyAlignment="1" applyProtection="1">
      <alignment vertical="center" wrapText="1"/>
    </xf>
    <xf numFmtId="0" fontId="80" fillId="0" borderId="0" xfId="0" applyFont="1" applyAlignment="1" applyProtection="1">
      <alignment horizontal="left" vertical="center"/>
    </xf>
    <xf numFmtId="43" fontId="87" fillId="0" borderId="14" xfId="0" applyNumberFormat="1" applyFont="1" applyBorder="1" applyAlignment="1" applyProtection="1">
      <alignment vertical="center" wrapText="1"/>
    </xf>
    <xf numFmtId="0" fontId="13" fillId="0" borderId="1" xfId="0" applyFont="1" applyBorder="1" applyAlignment="1">
      <alignment vertical="center" wrapText="1"/>
      <protection locked="0"/>
    </xf>
    <xf numFmtId="0" fontId="13" fillId="0" borderId="2" xfId="0" applyFont="1" applyBorder="1" applyAlignment="1">
      <alignment vertical="center" wrapText="1"/>
      <protection locked="0"/>
    </xf>
    <xf numFmtId="0" fontId="13" fillId="0" borderId="4" xfId="0" applyFont="1" applyBorder="1" applyAlignment="1">
      <alignment vertical="center" wrapText="1"/>
      <protection locked="0"/>
    </xf>
    <xf numFmtId="0" fontId="13" fillId="0" borderId="5" xfId="0" applyFont="1" applyBorder="1" applyAlignment="1">
      <alignment vertical="center" wrapText="1"/>
      <protection locked="0"/>
    </xf>
    <xf numFmtId="0" fontId="79" fillId="0" borderId="3" xfId="0" applyFont="1" applyBorder="1" applyAlignment="1">
      <alignment vertical="center" wrapText="1"/>
      <protection locked="0"/>
    </xf>
    <xf numFmtId="0" fontId="79" fillId="0" borderId="6" xfId="0" applyFont="1" applyBorder="1" applyAlignment="1">
      <alignment vertical="center" wrapText="1"/>
      <protection locked="0"/>
    </xf>
    <xf numFmtId="0" fontId="79" fillId="0" borderId="14" xfId="0" applyFont="1" applyBorder="1" applyAlignment="1">
      <alignment vertical="center" wrapText="1"/>
      <protection locked="0"/>
    </xf>
    <xf numFmtId="0" fontId="7" fillId="0" borderId="20" xfId="254" applyFont="1" applyBorder="1" applyAlignment="1">
      <alignment vertical="center"/>
    </xf>
    <xf numFmtId="0" fontId="88" fillId="0" borderId="19" xfId="254" applyFont="1" applyBorder="1" applyAlignment="1">
      <alignment vertical="center"/>
    </xf>
    <xf numFmtId="0" fontId="80" fillId="0" borderId="0" xfId="254" applyFont="1" applyAlignment="1">
      <alignment vertical="center" wrapText="1"/>
    </xf>
    <xf numFmtId="0" fontId="80" fillId="0" borderId="0" xfId="254" applyFont="1" applyAlignment="1">
      <alignment vertical="center"/>
    </xf>
    <xf numFmtId="0" fontId="80" fillId="0" borderId="0" xfId="254" applyFont="1" applyAlignment="1">
      <alignment horizontal="left" vertical="center"/>
    </xf>
    <xf numFmtId="43" fontId="7" fillId="0" borderId="0" xfId="0" applyNumberFormat="1" applyFont="1" applyAlignment="1">
      <alignment horizontal="justify" vertical="center" wrapText="1"/>
      <protection locked="0"/>
    </xf>
    <xf numFmtId="0" fontId="7" fillId="0" borderId="0" xfId="0" applyFont="1" applyAlignment="1">
      <alignment horizontal="center" vertical="center" wrapText="1"/>
      <protection locked="0"/>
    </xf>
    <xf numFmtId="10" fontId="9" fillId="0" borderId="0" xfId="2" applyNumberFormat="1" applyFont="1" applyFill="1" applyBorder="1" applyAlignment="1" applyProtection="1">
      <alignment horizontal="center" vertical="center" wrapText="1"/>
      <protection locked="0"/>
    </xf>
    <xf numFmtId="43" fontId="7" fillId="0" borderId="23" xfId="0" applyNumberFormat="1" applyFont="1" applyBorder="1" applyAlignment="1">
      <alignment horizontal="justify" vertical="center" wrapText="1"/>
      <protection locked="0"/>
    </xf>
    <xf numFmtId="0" fontId="9" fillId="0" borderId="23" xfId="254" applyFont="1" applyBorder="1" applyAlignment="1">
      <alignment vertical="center"/>
    </xf>
    <xf numFmtId="223" fontId="7" fillId="36" borderId="23" xfId="381" applyNumberFormat="1" applyFont="1" applyFill="1" applyBorder="1" applyAlignment="1">
      <alignment horizontal="center" vertical="center" wrapText="1"/>
    </xf>
    <xf numFmtId="43" fontId="9" fillId="0" borderId="23" xfId="254" applyNumberFormat="1" applyFont="1" applyBorder="1" applyAlignment="1">
      <alignment vertical="center"/>
    </xf>
    <xf numFmtId="43" fontId="9" fillId="36" borderId="14" xfId="2" applyNumberFormat="1" applyFont="1" applyFill="1" applyBorder="1" applyAlignment="1" applyProtection="1">
      <alignment horizontal="center" vertical="center" wrapText="1"/>
      <protection locked="0"/>
    </xf>
    <xf numFmtId="43" fontId="7" fillId="0" borderId="14" xfId="0" applyNumberFormat="1" applyFont="1" applyBorder="1" applyAlignment="1">
      <alignment horizontal="justify" vertical="center" wrapText="1"/>
      <protection locked="0"/>
    </xf>
    <xf numFmtId="0" fontId="92" fillId="13" borderId="14" xfId="0" applyFont="1" applyFill="1" applyBorder="1" applyAlignment="1">
      <alignment horizontal="center" vertical="center" wrapText="1"/>
      <protection locked="0"/>
    </xf>
    <xf numFmtId="0" fontId="13" fillId="0" borderId="14" xfId="0" applyFont="1" applyBorder="1" applyAlignment="1">
      <alignment vertical="center" wrapText="1"/>
      <protection locked="0"/>
    </xf>
    <xf numFmtId="0" fontId="13" fillId="0" borderId="16" xfId="0" applyFont="1" applyBorder="1" applyAlignment="1">
      <alignment horizontal="right" vertical="center" wrapText="1"/>
      <protection locked="0"/>
    </xf>
    <xf numFmtId="0" fontId="5" fillId="0" borderId="0" xfId="254" applyFont="1" applyAlignment="1">
      <alignment vertical="center"/>
    </xf>
    <xf numFmtId="0" fontId="82" fillId="0" borderId="0" xfId="253" applyFont="1">
      <alignment vertical="center"/>
    </xf>
    <xf numFmtId="0" fontId="80" fillId="0" borderId="0" xfId="253" applyFont="1">
      <alignment vertical="center"/>
    </xf>
    <xf numFmtId="223" fontId="80" fillId="0" borderId="0" xfId="253" applyNumberFormat="1" applyFont="1">
      <alignment vertical="center"/>
    </xf>
    <xf numFmtId="0" fontId="9" fillId="38" borderId="0" xfId="0" applyFont="1" applyFill="1" applyAlignment="1">
      <alignment vertical="center"/>
      <protection locked="0"/>
    </xf>
    <xf numFmtId="0" fontId="82" fillId="38" borderId="0" xfId="253" applyFont="1" applyFill="1">
      <alignment vertical="center"/>
    </xf>
    <xf numFmtId="0" fontId="80" fillId="38" borderId="0" xfId="0" applyFont="1" applyFill="1" applyAlignment="1">
      <alignment vertical="center"/>
      <protection locked="0"/>
    </xf>
    <xf numFmtId="0" fontId="7" fillId="38" borderId="0" xfId="253" applyFont="1" applyFill="1">
      <alignment vertical="center"/>
    </xf>
    <xf numFmtId="0" fontId="80" fillId="38" borderId="0" xfId="253" applyFont="1" applyFill="1">
      <alignment vertical="center"/>
    </xf>
    <xf numFmtId="43" fontId="79" fillId="0" borderId="23" xfId="1" applyFont="1" applyFill="1" applyBorder="1" applyAlignment="1" applyProtection="1">
      <alignment vertical="center"/>
      <protection locked="0"/>
    </xf>
    <xf numFmtId="43" fontId="79" fillId="36" borderId="23" xfId="1" applyFont="1" applyFill="1" applyBorder="1" applyAlignment="1" applyProtection="1">
      <alignment vertical="center"/>
      <protection locked="0"/>
    </xf>
    <xf numFmtId="0" fontId="5" fillId="0" borderId="0" xfId="0" applyFont="1" applyAlignment="1" applyProtection="1">
      <alignment vertical="center"/>
    </xf>
    <xf numFmtId="0" fontId="68" fillId="0" borderId="0" xfId="211" applyFont="1">
      <alignment vertical="center"/>
    </xf>
    <xf numFmtId="0" fontId="69" fillId="0" borderId="0" xfId="211" applyFont="1" applyAlignment="1">
      <alignment vertical="center" wrapText="1"/>
    </xf>
    <xf numFmtId="0" fontId="0" fillId="0" borderId="0" xfId="0" applyAlignment="1">
      <alignment vertical="center"/>
      <protection locked="0"/>
    </xf>
    <xf numFmtId="0" fontId="9" fillId="0" borderId="20" xfId="0" applyFont="1" applyBorder="1" applyAlignment="1" applyProtection="1">
      <alignment vertical="center"/>
    </xf>
    <xf numFmtId="0" fontId="7" fillId="13" borderId="23" xfId="254" applyFont="1" applyFill="1" applyBorder="1" applyAlignment="1">
      <alignment vertical="center"/>
    </xf>
    <xf numFmtId="0" fontId="7" fillId="13" borderId="23" xfId="254" applyFont="1" applyFill="1" applyBorder="1" applyAlignment="1">
      <alignment horizontal="center" vertical="center"/>
    </xf>
    <xf numFmtId="9" fontId="9" fillId="36" borderId="23" xfId="2" applyFont="1" applyFill="1" applyBorder="1" applyAlignment="1" applyProtection="1">
      <alignment horizontal="right" vertical="center" wrapText="1"/>
    </xf>
    <xf numFmtId="0" fontId="13" fillId="13" borderId="23" xfId="0" applyFont="1" applyFill="1" applyBorder="1" applyAlignment="1" applyProtection="1">
      <alignment vertical="center" wrapText="1"/>
    </xf>
    <xf numFmtId="43" fontId="9" fillId="13" borderId="23" xfId="1" applyFont="1" applyFill="1" applyBorder="1" applyAlignment="1" applyProtection="1">
      <alignment vertical="center" wrapText="1"/>
    </xf>
    <xf numFmtId="0" fontId="12" fillId="0" borderId="23" xfId="0" applyFont="1" applyBorder="1" applyAlignment="1">
      <alignment vertical="center"/>
      <protection locked="0"/>
    </xf>
    <xf numFmtId="43" fontId="9" fillId="0" borderId="23" xfId="1" applyFont="1" applyFill="1" applyBorder="1" applyAlignment="1" applyProtection="1">
      <alignment vertical="center" wrapText="1"/>
    </xf>
    <xf numFmtId="43" fontId="9" fillId="36" borderId="23" xfId="0" applyNumberFormat="1" applyFont="1" applyFill="1" applyBorder="1" applyAlignment="1" applyProtection="1">
      <alignment vertical="center" wrapText="1"/>
    </xf>
    <xf numFmtId="43" fontId="9" fillId="36" borderId="23" xfId="1" applyFont="1" applyFill="1" applyBorder="1" applyAlignment="1" applyProtection="1">
      <alignment vertical="center" wrapText="1"/>
    </xf>
    <xf numFmtId="43" fontId="9" fillId="0" borderId="23" xfId="1" applyFont="1" applyFill="1" applyBorder="1" applyAlignment="1" applyProtection="1">
      <alignment horizontal="right" vertical="center" wrapText="1"/>
    </xf>
    <xf numFmtId="0" fontId="7" fillId="36" borderId="14" xfId="0" applyFont="1" applyFill="1" applyBorder="1" applyAlignment="1" applyProtection="1">
      <alignment vertical="center"/>
    </xf>
    <xf numFmtId="0" fontId="5" fillId="36" borderId="14" xfId="0" applyFont="1" applyFill="1" applyBorder="1" applyAlignment="1" applyProtection="1">
      <alignment vertical="center"/>
    </xf>
    <xf numFmtId="0" fontId="81" fillId="0" borderId="14" xfId="0" applyFont="1" applyBorder="1" applyAlignment="1">
      <alignment horizontal="center" vertical="center" wrapText="1"/>
      <protection locked="0"/>
    </xf>
    <xf numFmtId="0" fontId="9" fillId="0" borderId="3" xfId="0" applyFont="1" applyBorder="1" applyAlignment="1">
      <alignment vertical="center" wrapText="1"/>
      <protection locked="0"/>
    </xf>
    <xf numFmtId="0" fontId="9" fillId="0" borderId="6" xfId="0" applyFont="1" applyBorder="1" applyAlignment="1">
      <alignment vertical="center" wrapText="1"/>
      <protection locked="0"/>
    </xf>
    <xf numFmtId="0" fontId="69" fillId="13" borderId="14" xfId="0" applyFont="1" applyFill="1" applyBorder="1" applyAlignment="1">
      <alignment horizontal="center" vertical="center" wrapText="1"/>
      <protection locked="0"/>
    </xf>
    <xf numFmtId="0" fontId="7" fillId="0" borderId="0" xfId="253" applyFont="1">
      <alignment vertical="center"/>
    </xf>
    <xf numFmtId="43" fontId="7" fillId="36" borderId="0" xfId="1" applyFont="1" applyFill="1" applyBorder="1" applyAlignment="1">
      <alignment vertical="center"/>
    </xf>
    <xf numFmtId="0" fontId="7" fillId="0" borderId="0" xfId="253" applyFont="1" applyAlignment="1">
      <alignment horizontal="center" vertical="center" wrapText="1"/>
    </xf>
    <xf numFmtId="0" fontId="88" fillId="0" borderId="0" xfId="253" applyFont="1">
      <alignment vertical="center"/>
    </xf>
    <xf numFmtId="0" fontId="7" fillId="0" borderId="0" xfId="253" applyFont="1" applyAlignment="1">
      <alignment horizontal="center" vertical="center"/>
    </xf>
    <xf numFmtId="0" fontId="88" fillId="0" borderId="0" xfId="0" applyFont="1" applyAlignment="1">
      <alignment vertical="center"/>
      <protection locked="0"/>
    </xf>
    <xf numFmtId="0" fontId="80" fillId="0" borderId="0" xfId="253" applyFont="1" applyAlignment="1">
      <alignment vertical="center" wrapText="1"/>
    </xf>
    <xf numFmtId="0" fontId="82" fillId="0" borderId="0" xfId="253" applyFont="1" applyAlignment="1">
      <alignment vertical="center" wrapText="1"/>
    </xf>
    <xf numFmtId="0" fontId="5" fillId="13" borderId="14" xfId="253" applyFont="1" applyFill="1" applyBorder="1" applyAlignment="1">
      <alignment horizontal="center" vertical="center" wrapText="1"/>
    </xf>
    <xf numFmtId="0" fontId="9" fillId="36" borderId="24" xfId="254" applyFont="1" applyFill="1" applyBorder="1" applyAlignment="1">
      <alignment vertical="center"/>
    </xf>
    <xf numFmtId="0" fontId="9" fillId="36" borderId="0" xfId="0" applyFont="1" applyFill="1" applyAlignment="1" applyProtection="1">
      <alignment vertical="center"/>
    </xf>
    <xf numFmtId="0" fontId="5" fillId="36" borderId="0" xfId="0" applyFont="1" applyFill="1" applyAlignment="1" applyProtection="1">
      <alignment vertical="center"/>
    </xf>
    <xf numFmtId="0" fontId="5" fillId="36" borderId="14" xfId="0" applyFont="1" applyFill="1" applyBorder="1" applyAlignment="1" applyProtection="1">
      <alignment horizontal="center" vertical="center" wrapText="1"/>
    </xf>
    <xf numFmtId="0" fontId="5" fillId="36" borderId="16" xfId="0" applyFont="1" applyFill="1" applyBorder="1" applyAlignment="1" applyProtection="1">
      <alignment horizontal="center" vertical="center" wrapText="1"/>
    </xf>
    <xf numFmtId="0" fontId="13" fillId="0" borderId="23" xfId="0" applyFont="1" applyBorder="1" applyAlignment="1" applyProtection="1">
      <alignment vertical="center" wrapText="1"/>
    </xf>
    <xf numFmtId="43" fontId="9" fillId="0" borderId="23" xfId="1" applyFont="1" applyBorder="1" applyAlignment="1" applyProtection="1">
      <alignment vertical="center"/>
      <protection locked="0"/>
    </xf>
    <xf numFmtId="0" fontId="72" fillId="0" borderId="0" xfId="0" applyFont="1" applyAlignment="1" applyProtection="1">
      <alignment vertical="center"/>
    </xf>
    <xf numFmtId="0" fontId="9" fillId="0" borderId="23" xfId="0" applyFont="1" applyBorder="1" applyAlignment="1">
      <alignment horizontal="left" vertical="center" wrapText="1"/>
      <protection locked="0"/>
    </xf>
    <xf numFmtId="0" fontId="9" fillId="0" borderId="23" xfId="0" applyFont="1" applyBorder="1" applyAlignment="1" applyProtection="1">
      <alignment horizontal="center" vertical="center" wrapText="1"/>
    </xf>
    <xf numFmtId="0" fontId="9" fillId="0" borderId="14" xfId="254" applyFont="1" applyBorder="1" applyAlignment="1">
      <alignment horizontal="left" vertical="center"/>
    </xf>
    <xf numFmtId="0" fontId="7" fillId="36" borderId="23" xfId="0" applyFont="1" applyFill="1" applyBorder="1" applyAlignment="1">
      <alignment horizontal="center" vertical="center" wrapText="1"/>
      <protection locked="0"/>
    </xf>
    <xf numFmtId="0" fontId="157" fillId="0" borderId="0" xfId="0" applyFont="1">
      <protection locked="0"/>
    </xf>
    <xf numFmtId="0" fontId="157" fillId="0" borderId="0" xfId="0" applyFont="1" applyAlignment="1">
      <alignment vertical="center"/>
      <protection locked="0"/>
    </xf>
    <xf numFmtId="0" fontId="157" fillId="0" borderId="0" xfId="376" applyFont="1">
      <protection locked="0"/>
    </xf>
    <xf numFmtId="205" fontId="157" fillId="0" borderId="0" xfId="282" applyFont="1">
      <alignment vertical="center"/>
    </xf>
    <xf numFmtId="0" fontId="157" fillId="0" borderId="0" xfId="244" applyFont="1" applyAlignment="1">
      <alignment vertical="center" wrapText="1"/>
    </xf>
    <xf numFmtId="0" fontId="157" fillId="0" borderId="0" xfId="254" applyFont="1" applyAlignment="1">
      <alignment vertical="center"/>
    </xf>
    <xf numFmtId="0" fontId="121" fillId="0" borderId="0" xfId="0" applyFont="1" applyAlignment="1">
      <alignment vertical="center"/>
      <protection locked="0"/>
    </xf>
    <xf numFmtId="0" fontId="121" fillId="0" borderId="0" xfId="244" applyFont="1">
      <alignment vertical="center"/>
    </xf>
    <xf numFmtId="0" fontId="121" fillId="0" borderId="0" xfId="244" applyFont="1" applyAlignment="1">
      <alignment horizontal="center" vertical="center"/>
    </xf>
    <xf numFmtId="0" fontId="157" fillId="0" borderId="0" xfId="244" applyFont="1">
      <alignment vertical="center"/>
    </xf>
    <xf numFmtId="0" fontId="121" fillId="0" borderId="0" xfId="207" applyFont="1" applyAlignment="1">
      <alignment vertical="center"/>
      <protection locked="0"/>
    </xf>
    <xf numFmtId="43" fontId="157" fillId="0" borderId="0" xfId="4" applyNumberFormat="1" applyFont="1" applyBorder="1" applyAlignment="1">
      <alignment vertical="center"/>
    </xf>
    <xf numFmtId="205" fontId="159" fillId="0" borderId="0" xfId="282" applyFont="1">
      <alignment vertical="center"/>
    </xf>
    <xf numFmtId="0" fontId="159" fillId="0" borderId="0" xfId="0" applyFont="1">
      <protection locked="0"/>
    </xf>
    <xf numFmtId="0" fontId="159" fillId="0" borderId="0" xfId="0" applyFont="1" applyAlignment="1">
      <alignment vertical="center"/>
      <protection locked="0"/>
    </xf>
    <xf numFmtId="0" fontId="159" fillId="0" borderId="0" xfId="244" applyFont="1" applyAlignment="1">
      <alignment vertical="center" wrapText="1"/>
    </xf>
    <xf numFmtId="0" fontId="159" fillId="0" borderId="0" xfId="254" applyFont="1" applyAlignment="1">
      <alignment vertical="center"/>
    </xf>
    <xf numFmtId="0" fontId="158" fillId="0" borderId="0" xfId="0" applyFont="1" applyAlignment="1">
      <alignment vertical="center"/>
      <protection locked="0"/>
    </xf>
    <xf numFmtId="0" fontId="158" fillId="0" borderId="0" xfId="244" applyFont="1">
      <alignment vertical="center"/>
    </xf>
    <xf numFmtId="0" fontId="158" fillId="0" borderId="0" xfId="244" applyFont="1" applyAlignment="1">
      <alignment horizontal="center" vertical="center"/>
    </xf>
    <xf numFmtId="0" fontId="159" fillId="0" borderId="0" xfId="244" applyFont="1">
      <alignment vertical="center"/>
    </xf>
    <xf numFmtId="0" fontId="159" fillId="0" borderId="0" xfId="376" applyFont="1">
      <protection locked="0"/>
    </xf>
    <xf numFmtId="0" fontId="158" fillId="0" borderId="0" xfId="207" applyFont="1" applyAlignment="1">
      <alignment vertical="center"/>
      <protection locked="0"/>
    </xf>
    <xf numFmtId="43" fontId="159" fillId="0" borderId="0" xfId="4" applyNumberFormat="1" applyFont="1" applyBorder="1" applyAlignment="1">
      <alignment vertical="center"/>
    </xf>
    <xf numFmtId="0" fontId="83" fillId="0" borderId="23" xfId="0" applyFont="1" applyBorder="1" applyAlignment="1" applyProtection="1">
      <alignment horizontal="left" vertical="center"/>
    </xf>
    <xf numFmtId="10" fontId="9" fillId="0" borderId="14" xfId="0" applyNumberFormat="1" applyFont="1" applyBorder="1" applyAlignment="1" applyProtection="1">
      <alignment vertical="center" wrapText="1"/>
    </xf>
    <xf numFmtId="10" fontId="9" fillId="0" borderId="14" xfId="0" applyNumberFormat="1" applyFont="1" applyBorder="1" applyAlignment="1" applyProtection="1">
      <alignment vertical="center"/>
    </xf>
    <xf numFmtId="10" fontId="9" fillId="0" borderId="14" xfId="2" applyNumberFormat="1" applyFont="1" applyFill="1" applyBorder="1" applyAlignment="1" applyProtection="1">
      <alignment vertical="center" wrapText="1"/>
    </xf>
    <xf numFmtId="14" fontId="9" fillId="0" borderId="14" xfId="0" applyNumberFormat="1" applyFont="1" applyBorder="1" applyAlignment="1" applyProtection="1">
      <alignment vertical="center"/>
    </xf>
    <xf numFmtId="14" fontId="9" fillId="36" borderId="14" xfId="0" quotePrefix="1" applyNumberFormat="1" applyFont="1" applyFill="1" applyBorder="1" applyAlignment="1" applyProtection="1">
      <alignment horizontal="right" vertical="center"/>
    </xf>
    <xf numFmtId="14" fontId="9" fillId="0" borderId="14" xfId="0" applyNumberFormat="1" applyFont="1" applyBorder="1" applyAlignment="1" applyProtection="1">
      <alignment horizontal="right" vertical="center"/>
    </xf>
    <xf numFmtId="14" fontId="9" fillId="0" borderId="14" xfId="0" applyNumberFormat="1" applyFont="1" applyBorder="1" applyAlignment="1" applyProtection="1">
      <alignment horizontal="center" vertical="center" wrapText="1"/>
    </xf>
    <xf numFmtId="10" fontId="9" fillId="0" borderId="14" xfId="0" applyNumberFormat="1" applyFont="1" applyBorder="1" applyAlignment="1">
      <alignment horizontal="right" vertical="center" wrapText="1"/>
      <protection locked="0"/>
    </xf>
    <xf numFmtId="14" fontId="9" fillId="0" borderId="14" xfId="0" applyNumberFormat="1" applyFont="1" applyBorder="1" applyAlignment="1">
      <alignment horizontal="right" vertical="center" wrapText="1"/>
      <protection locked="0"/>
    </xf>
    <xf numFmtId="10" fontId="9" fillId="0" borderId="14" xfId="0" applyNumberFormat="1" applyFont="1" applyBorder="1" applyAlignment="1">
      <alignment vertical="center"/>
      <protection locked="0"/>
    </xf>
    <xf numFmtId="14" fontId="9" fillId="0" borderId="14" xfId="254" applyNumberFormat="1" applyFont="1" applyBorder="1" applyAlignment="1">
      <alignment vertical="center"/>
    </xf>
    <xf numFmtId="10" fontId="9" fillId="0" borderId="14" xfId="1" applyNumberFormat="1" applyFont="1" applyFill="1" applyBorder="1" applyAlignment="1">
      <alignment horizontal="right" vertical="center"/>
    </xf>
    <xf numFmtId="10" fontId="9" fillId="36" borderId="14" xfId="1" quotePrefix="1" applyNumberFormat="1" applyFont="1" applyFill="1" applyBorder="1" applyAlignment="1">
      <alignment horizontal="right" vertical="center"/>
    </xf>
    <xf numFmtId="43" fontId="9" fillId="36" borderId="23" xfId="381" applyNumberFormat="1" applyFont="1" applyFill="1" applyBorder="1" applyAlignment="1">
      <alignment horizontal="center" vertical="center" wrapText="1"/>
    </xf>
    <xf numFmtId="43" fontId="9" fillId="0" borderId="23" xfId="381" applyNumberFormat="1" applyFont="1" applyBorder="1" applyAlignment="1">
      <alignment horizontal="center" vertical="center" wrapText="1"/>
    </xf>
    <xf numFmtId="10" fontId="9" fillId="0" borderId="23" xfId="1" applyNumberFormat="1" applyFont="1" applyFill="1" applyBorder="1" applyAlignment="1" applyProtection="1">
      <alignment horizontal="center" vertical="center" wrapText="1"/>
    </xf>
    <xf numFmtId="0" fontId="21" fillId="0" borderId="0" xfId="207" applyFont="1" applyAlignment="1">
      <alignment vertical="center"/>
      <protection locked="0"/>
    </xf>
    <xf numFmtId="0" fontId="18" fillId="0" borderId="0" xfId="207" applyFont="1">
      <protection locked="0"/>
    </xf>
    <xf numFmtId="0" fontId="5" fillId="0" borderId="0" xfId="251" applyFont="1" applyProtection="1">
      <alignment vertical="center"/>
      <protection locked="0"/>
    </xf>
    <xf numFmtId="0" fontId="2" fillId="0" borderId="0" xfId="251" applyFont="1" applyProtection="1">
      <alignment vertical="center"/>
      <protection locked="0"/>
    </xf>
    <xf numFmtId="0" fontId="22" fillId="0" borderId="0" xfId="251" applyFont="1" applyAlignment="1" applyProtection="1">
      <alignment horizontal="justify" vertical="center" wrapText="1"/>
      <protection locked="0"/>
    </xf>
    <xf numFmtId="0" fontId="13" fillId="0" borderId="0" xfId="251" applyFont="1" applyAlignment="1" applyProtection="1">
      <alignment horizontal="justify" vertical="center" wrapText="1"/>
      <protection locked="0"/>
    </xf>
    <xf numFmtId="0" fontId="13" fillId="0" borderId="0" xfId="251" applyFont="1" applyAlignment="1" applyProtection="1">
      <alignment horizontal="center" vertical="center"/>
      <protection locked="0"/>
    </xf>
    <xf numFmtId="0" fontId="22" fillId="0" borderId="10" xfId="251" applyFont="1" applyBorder="1" applyAlignment="1" applyProtection="1">
      <alignment horizontal="center" vertical="center" wrapText="1"/>
      <protection locked="0"/>
    </xf>
    <xf numFmtId="0" fontId="160" fillId="0" borderId="10" xfId="252" applyFont="1" applyBorder="1" applyAlignment="1">
      <alignment vertical="center"/>
      <protection locked="0"/>
    </xf>
    <xf numFmtId="0" fontId="14" fillId="0" borderId="0" xfId="251" applyFont="1" applyAlignment="1" applyProtection="1">
      <alignment horizontal="justify" vertical="center" wrapText="1"/>
      <protection locked="0"/>
    </xf>
    <xf numFmtId="0" fontId="160" fillId="0" borderId="10" xfId="252" quotePrefix="1" applyFont="1" applyBorder="1" applyAlignment="1">
      <alignment vertical="center"/>
      <protection locked="0"/>
    </xf>
    <xf numFmtId="0" fontId="38" fillId="0" borderId="0" xfId="251" applyFont="1" applyAlignment="1" applyProtection="1">
      <alignment horizontal="justify" vertical="center"/>
      <protection locked="0"/>
    </xf>
    <xf numFmtId="0" fontId="160" fillId="0" borderId="10" xfId="252" applyFont="1" applyBorder="1" applyAlignment="1" applyProtection="1">
      <alignment vertical="center"/>
      <protection locked="0"/>
    </xf>
    <xf numFmtId="205" fontId="119" fillId="0" borderId="0" xfId="283" applyFont="1">
      <alignment vertical="center"/>
      <protection locked="0"/>
    </xf>
    <xf numFmtId="0" fontId="119" fillId="0" borderId="0" xfId="0" applyFont="1" applyAlignment="1">
      <alignment vertical="center" wrapText="1"/>
      <protection locked="0"/>
    </xf>
    <xf numFmtId="0" fontId="119" fillId="0" borderId="0" xfId="0" applyFont="1" applyAlignment="1">
      <alignment horizontal="right" vertical="center"/>
      <protection locked="0"/>
    </xf>
    <xf numFmtId="0" fontId="119" fillId="0" borderId="0" xfId="0" applyFont="1" applyAlignment="1">
      <alignment horizontal="left" vertical="center"/>
      <protection locked="0"/>
    </xf>
    <xf numFmtId="0" fontId="119" fillId="0" borderId="0" xfId="255" applyFont="1">
      <alignment vertical="center"/>
    </xf>
    <xf numFmtId="14" fontId="119" fillId="0" borderId="0" xfId="255" applyNumberFormat="1" applyFont="1">
      <alignment vertical="center"/>
    </xf>
    <xf numFmtId="0" fontId="119" fillId="0" borderId="0" xfId="0" applyFont="1">
      <protection locked="0"/>
    </xf>
    <xf numFmtId="43" fontId="119" fillId="0" borderId="0" xfId="4" applyNumberFormat="1" applyFont="1" applyBorder="1" applyAlignment="1">
      <alignment horizontal="left" vertical="center"/>
    </xf>
    <xf numFmtId="0" fontId="119" fillId="0" borderId="0" xfId="207" applyFont="1" applyAlignment="1">
      <alignment horizontal="left" vertical="center"/>
      <protection locked="0"/>
    </xf>
    <xf numFmtId="49" fontId="5" fillId="0" borderId="0" xfId="251" applyNumberFormat="1" applyFont="1" applyAlignment="1" applyProtection="1">
      <alignment horizontal="left" vertical="center"/>
      <protection locked="0"/>
    </xf>
    <xf numFmtId="0" fontId="9" fillId="0" borderId="23" xfId="251" applyFont="1" applyBorder="1" applyAlignment="1">
      <alignment horizontal="center" vertical="center" wrapText="1"/>
    </xf>
    <xf numFmtId="14" fontId="119" fillId="0" borderId="0" xfId="0" applyNumberFormat="1" applyFont="1" applyAlignment="1">
      <alignment horizontal="left" vertical="center"/>
      <protection locked="0"/>
    </xf>
    <xf numFmtId="0" fontId="70" fillId="0" borderId="0" xfId="0" applyFont="1" applyAlignment="1" applyProtection="1">
      <alignment vertical="center" wrapText="1"/>
    </xf>
    <xf numFmtId="0" fontId="76" fillId="0" borderId="0" xfId="252" applyAlignment="1">
      <alignment vertical="center"/>
      <protection locked="0"/>
    </xf>
    <xf numFmtId="0" fontId="119" fillId="0" borderId="0" xfId="376" applyFont="1" applyAlignment="1">
      <alignment horizontal="left"/>
      <protection locked="0"/>
    </xf>
    <xf numFmtId="43" fontId="9" fillId="36" borderId="24" xfId="1" applyFont="1" applyFill="1" applyBorder="1" applyAlignment="1">
      <alignment vertical="center"/>
    </xf>
    <xf numFmtId="0" fontId="9" fillId="0" borderId="0" xfId="254" applyFont="1" applyBorder="1" applyAlignment="1">
      <alignment vertical="center"/>
    </xf>
    <xf numFmtId="0" fontId="9" fillId="0" borderId="0" xfId="254" applyFont="1" applyBorder="1" applyAlignment="1">
      <alignment vertical="center" wrapText="1"/>
    </xf>
    <xf numFmtId="43" fontId="7" fillId="0" borderId="0" xfId="1" applyFont="1" applyFill="1" applyBorder="1" applyAlignment="1">
      <alignment vertical="center"/>
    </xf>
    <xf numFmtId="43" fontId="9" fillId="0" borderId="0" xfId="1" applyFont="1" applyFill="1" applyBorder="1" applyAlignment="1">
      <alignment vertical="center"/>
    </xf>
    <xf numFmtId="9" fontId="9" fillId="0" borderId="0" xfId="2" applyFont="1" applyFill="1" applyBorder="1" applyAlignment="1">
      <alignment vertical="center"/>
    </xf>
    <xf numFmtId="43" fontId="9" fillId="0" borderId="24" xfId="1" applyFont="1" applyFill="1" applyBorder="1" applyAlignment="1">
      <alignment vertical="center"/>
    </xf>
    <xf numFmtId="9" fontId="9" fillId="0" borderId="24" xfId="2" applyFont="1" applyFill="1" applyBorder="1" applyAlignment="1">
      <alignment vertical="center"/>
    </xf>
    <xf numFmtId="0" fontId="9" fillId="36" borderId="23" xfId="254" applyFont="1" applyFill="1" applyBorder="1" applyAlignment="1">
      <alignment vertical="center" wrapText="1"/>
    </xf>
    <xf numFmtId="0" fontId="119" fillId="0" borderId="0" xfId="0" applyFont="1" applyAlignment="1">
      <alignment horizontal="left" vertical="center" wrapText="1"/>
      <protection locked="0"/>
    </xf>
    <xf numFmtId="0" fontId="5" fillId="13" borderId="23" xfId="251" applyFont="1" applyFill="1" applyBorder="1" applyAlignment="1" applyProtection="1">
      <alignment horizontal="center" vertical="center" wrapText="1"/>
      <protection locked="0"/>
    </xf>
    <xf numFmtId="0" fontId="5" fillId="13" borderId="23" xfId="251" applyFont="1" applyFill="1" applyBorder="1" applyAlignment="1" applyProtection="1">
      <alignment horizontal="center" vertical="center"/>
      <protection locked="0"/>
    </xf>
    <xf numFmtId="0" fontId="7" fillId="13" borderId="23" xfId="0" applyFont="1" applyFill="1" applyBorder="1" applyAlignment="1">
      <alignment horizontal="center" vertical="center" wrapText="1"/>
      <protection locked="0"/>
    </xf>
    <xf numFmtId="205" fontId="22" fillId="0" borderId="0" xfId="283" applyFont="1" applyAlignment="1">
      <alignment vertical="center" wrapText="1"/>
      <protection locked="0"/>
    </xf>
    <xf numFmtId="205" fontId="13" fillId="0" borderId="0" xfId="283" applyFont="1" applyAlignment="1">
      <alignment vertical="center"/>
      <protection locked="0"/>
    </xf>
    <xf numFmtId="0" fontId="83" fillId="0" borderId="23" xfId="363" applyFont="1" applyFill="1" applyBorder="1" applyAlignment="1">
      <alignment horizontal="center" vertical="center" wrapText="1"/>
    </xf>
    <xf numFmtId="0" fontId="77" fillId="0" borderId="23" xfId="363" applyFont="1" applyFill="1" applyBorder="1" applyAlignment="1">
      <alignment horizontal="center" vertical="center" wrapText="1"/>
    </xf>
    <xf numFmtId="0" fontId="85" fillId="0" borderId="23" xfId="363" applyFont="1" applyFill="1" applyBorder="1" applyAlignment="1">
      <alignment horizontal="center" vertical="center" wrapText="1"/>
    </xf>
    <xf numFmtId="0" fontId="83" fillId="0" borderId="23" xfId="0" applyFont="1" applyBorder="1" applyAlignment="1" applyProtection="1">
      <alignment horizontal="center" vertical="center" wrapText="1"/>
    </xf>
    <xf numFmtId="0" fontId="156" fillId="0" borderId="23" xfId="251" applyFont="1" applyBorder="1" applyAlignment="1">
      <alignment horizontal="center" vertical="center"/>
    </xf>
    <xf numFmtId="0" fontId="69" fillId="0" borderId="23" xfId="251" applyFont="1" applyBorder="1" applyAlignment="1">
      <alignment horizontal="center" vertical="center" wrapText="1"/>
    </xf>
    <xf numFmtId="0" fontId="9" fillId="0" borderId="23" xfId="0" applyFont="1" applyFill="1" applyBorder="1" applyAlignment="1" applyProtection="1">
      <alignment vertical="center" wrapText="1"/>
    </xf>
    <xf numFmtId="0" fontId="9" fillId="0" borderId="24" xfId="0" applyFont="1" applyFill="1" applyBorder="1" applyAlignment="1" applyProtection="1">
      <alignment horizontal="center" vertical="center" wrapText="1"/>
    </xf>
    <xf numFmtId="0" fontId="9" fillId="0" borderId="23" xfId="348" applyFont="1" applyBorder="1" applyAlignment="1">
      <alignment horizontal="center" vertical="center" wrapText="1"/>
      <protection locked="0"/>
    </xf>
    <xf numFmtId="0" fontId="5" fillId="13" borderId="23" xfId="0" applyFont="1" applyFill="1" applyBorder="1" applyAlignment="1">
      <alignment horizontal="center" vertical="center" wrapText="1"/>
      <protection locked="0"/>
    </xf>
    <xf numFmtId="0" fontId="9" fillId="0" borderId="23" xfId="0" applyFont="1" applyBorder="1" applyAlignment="1">
      <alignment horizontal="center" vertical="center" wrapText="1"/>
      <protection locked="0"/>
    </xf>
    <xf numFmtId="10" fontId="9" fillId="0" borderId="23" xfId="0" applyNumberFormat="1" applyFont="1" applyBorder="1" applyAlignment="1">
      <alignment horizontal="center" vertical="center" shrinkToFit="1"/>
      <protection locked="0"/>
    </xf>
    <xf numFmtId="14" fontId="9" fillId="0" borderId="23" xfId="0" applyNumberFormat="1" applyFont="1" applyBorder="1" applyAlignment="1">
      <alignment horizontal="center" vertical="center" wrapText="1"/>
      <protection locked="0"/>
    </xf>
    <xf numFmtId="43" fontId="9" fillId="0" borderId="23" xfId="0" applyNumberFormat="1" applyFont="1" applyBorder="1" applyAlignment="1">
      <alignment horizontal="center" vertical="center" wrapText="1"/>
      <protection locked="0"/>
    </xf>
    <xf numFmtId="9" fontId="9" fillId="0" borderId="23" xfId="2" applyFont="1" applyBorder="1" applyAlignment="1" applyProtection="1">
      <alignment horizontal="center" vertical="center" shrinkToFit="1"/>
      <protection locked="0"/>
    </xf>
    <xf numFmtId="9" fontId="9" fillId="0" borderId="23" xfId="2" applyFont="1" applyBorder="1" applyAlignment="1" applyProtection="1">
      <alignment horizontal="center" vertical="center" wrapText="1"/>
      <protection locked="0"/>
    </xf>
    <xf numFmtId="43" fontId="9" fillId="0" borderId="23" xfId="0" applyNumberFormat="1" applyFont="1" applyBorder="1" applyAlignment="1">
      <alignment horizontal="center" vertical="center" shrinkToFit="1"/>
      <protection locked="0"/>
    </xf>
    <xf numFmtId="10" fontId="9" fillId="36" borderId="23" xfId="2" applyNumberFormat="1" applyFont="1" applyFill="1" applyBorder="1" applyAlignment="1" applyProtection="1">
      <alignment horizontal="center" vertical="center" shrinkToFit="1"/>
      <protection locked="0"/>
    </xf>
    <xf numFmtId="43" fontId="9" fillId="36" borderId="23" xfId="0" applyNumberFormat="1" applyFont="1" applyFill="1" applyBorder="1" applyAlignment="1">
      <alignment horizontal="center" vertical="center" wrapText="1"/>
      <protection locked="0"/>
    </xf>
    <xf numFmtId="0" fontId="7" fillId="36" borderId="23" xfId="0" applyFont="1" applyFill="1" applyBorder="1" applyAlignment="1">
      <alignment horizontal="centerContinuous" vertical="center"/>
      <protection locked="0"/>
    </xf>
    <xf numFmtId="43" fontId="7" fillId="36" borderId="23" xfId="0" quotePrefix="1" applyNumberFormat="1" applyFont="1" applyFill="1" applyBorder="1" applyAlignment="1">
      <alignment horizontal="center" vertical="center" shrinkToFit="1"/>
      <protection locked="0"/>
    </xf>
    <xf numFmtId="43" fontId="7" fillId="36" borderId="23" xfId="0" applyNumberFormat="1" applyFont="1" applyFill="1" applyBorder="1" applyAlignment="1">
      <alignment horizontal="center" vertical="center" shrinkToFit="1"/>
      <protection locked="0"/>
    </xf>
    <xf numFmtId="0" fontId="7" fillId="0" borderId="23" xfId="0" applyFont="1" applyBorder="1" applyAlignment="1">
      <alignment horizontal="left" vertical="center"/>
      <protection locked="0"/>
    </xf>
    <xf numFmtId="10" fontId="9" fillId="0" borderId="23" xfId="0" applyNumberFormat="1" applyFont="1" applyBorder="1" applyAlignment="1">
      <alignment horizontal="justify" vertical="center" wrapText="1"/>
      <protection locked="0"/>
    </xf>
    <xf numFmtId="10" fontId="9" fillId="36" borderId="23" xfId="0" applyNumberFormat="1" applyFont="1" applyFill="1" applyBorder="1" applyAlignment="1">
      <alignment horizontal="center" vertical="center" wrapText="1"/>
      <protection locked="0"/>
    </xf>
    <xf numFmtId="43" fontId="9" fillId="36" borderId="23" xfId="0" quotePrefix="1" applyNumberFormat="1" applyFont="1" applyFill="1" applyBorder="1" applyAlignment="1">
      <alignment horizontal="center" vertical="center" shrinkToFit="1"/>
      <protection locked="0"/>
    </xf>
    <xf numFmtId="10" fontId="9" fillId="36" borderId="23" xfId="2" quotePrefix="1" applyNumberFormat="1" applyFont="1" applyFill="1" applyBorder="1" applyAlignment="1" applyProtection="1">
      <alignment horizontal="center" vertical="center" shrinkToFit="1"/>
      <protection locked="0"/>
    </xf>
    <xf numFmtId="0" fontId="5" fillId="13" borderId="23" xfId="0" applyFont="1" applyFill="1" applyBorder="1" applyAlignment="1">
      <alignment vertical="center"/>
      <protection locked="0"/>
    </xf>
    <xf numFmtId="43" fontId="9" fillId="0" borderId="23" xfId="0" quotePrefix="1" applyNumberFormat="1" applyFont="1" applyBorder="1" applyAlignment="1">
      <alignment horizontal="center" vertical="center" shrinkToFit="1"/>
      <protection locked="0"/>
    </xf>
    <xf numFmtId="9" fontId="9" fillId="36" borderId="23" xfId="2" quotePrefix="1" applyFont="1" applyFill="1" applyBorder="1" applyAlignment="1" applyProtection="1">
      <alignment horizontal="center" vertical="center" shrinkToFit="1"/>
      <protection locked="0"/>
    </xf>
    <xf numFmtId="43" fontId="7" fillId="0" borderId="23" xfId="0" quotePrefix="1" applyNumberFormat="1" applyFont="1" applyBorder="1" applyAlignment="1">
      <alignment horizontal="center" vertical="center" wrapText="1"/>
      <protection locked="0"/>
    </xf>
    <xf numFmtId="43" fontId="7" fillId="36" borderId="23" xfId="0" quotePrefix="1" applyNumberFormat="1" applyFont="1" applyFill="1" applyBorder="1" applyAlignment="1">
      <alignment horizontal="center" vertical="center" wrapText="1"/>
      <protection locked="0"/>
    </xf>
    <xf numFmtId="43" fontId="7" fillId="36" borderId="23" xfId="0" applyNumberFormat="1" applyFont="1" applyFill="1" applyBorder="1" applyAlignment="1">
      <alignment horizontal="center" vertical="center" wrapText="1"/>
      <protection locked="0"/>
    </xf>
    <xf numFmtId="43" fontId="9" fillId="36" borderId="23" xfId="0" applyNumberFormat="1" applyFont="1" applyFill="1" applyBorder="1" applyAlignment="1">
      <alignment vertical="center"/>
      <protection locked="0"/>
    </xf>
    <xf numFmtId="0" fontId="7" fillId="13" borderId="23" xfId="0" applyFont="1" applyFill="1" applyBorder="1" applyAlignment="1">
      <alignment horizontal="left" vertical="center"/>
      <protection locked="0"/>
    </xf>
    <xf numFmtId="43" fontId="9" fillId="13" borderId="23" xfId="1" applyFont="1" applyFill="1" applyBorder="1" applyAlignment="1" applyProtection="1">
      <alignment horizontal="centerContinuous" vertical="center" wrapText="1"/>
      <protection locked="0"/>
    </xf>
    <xf numFmtId="43" fontId="9" fillId="13" borderId="23" xfId="1" applyFont="1" applyFill="1" applyBorder="1" applyAlignment="1" applyProtection="1">
      <alignment horizontal="center" vertical="center" wrapText="1"/>
      <protection locked="0"/>
    </xf>
    <xf numFmtId="43" fontId="9" fillId="13" borderId="23" xfId="1" applyFont="1" applyFill="1" applyBorder="1" applyAlignment="1" applyProtection="1">
      <alignment vertical="center"/>
      <protection locked="0"/>
    </xf>
    <xf numFmtId="14" fontId="9" fillId="0" borderId="23" xfId="0" applyNumberFormat="1" applyFont="1" applyBorder="1" applyAlignment="1">
      <alignment horizontal="center" vertical="center" shrinkToFit="1"/>
      <protection locked="0"/>
    </xf>
    <xf numFmtId="43" fontId="9" fillId="0" borderId="23" xfId="1" applyFont="1" applyBorder="1" applyAlignment="1" applyProtection="1">
      <alignment horizontal="justify" vertical="center" wrapText="1"/>
      <protection locked="0"/>
    </xf>
    <xf numFmtId="43" fontId="9" fillId="0" borderId="23" xfId="1" applyFont="1" applyBorder="1" applyAlignment="1" applyProtection="1">
      <alignment horizontal="center" vertical="center" shrinkToFit="1"/>
      <protection locked="0"/>
    </xf>
    <xf numFmtId="43" fontId="9" fillId="36" borderId="23" xfId="1" applyFont="1" applyFill="1" applyBorder="1" applyAlignment="1" applyProtection="1">
      <alignment horizontal="center" vertical="center" wrapText="1"/>
      <protection locked="0"/>
    </xf>
    <xf numFmtId="43" fontId="9" fillId="36" borderId="23" xfId="1" applyFont="1" applyFill="1" applyBorder="1" applyAlignment="1" applyProtection="1">
      <alignment horizontal="justify" vertical="center" wrapText="1"/>
      <protection locked="0"/>
    </xf>
    <xf numFmtId="43" fontId="9" fillId="36" borderId="23" xfId="1" quotePrefix="1" applyFont="1" applyFill="1" applyBorder="1" applyAlignment="1" applyProtection="1">
      <alignment horizontal="center" vertical="center"/>
      <protection locked="0"/>
    </xf>
    <xf numFmtId="43" fontId="9" fillId="36" borderId="23" xfId="1" applyFont="1" applyFill="1" applyBorder="1" applyAlignment="1" applyProtection="1">
      <alignment vertical="center"/>
      <protection locked="0"/>
    </xf>
    <xf numFmtId="0" fontId="9" fillId="13" borderId="23" xfId="0" applyFont="1" applyFill="1" applyBorder="1" applyAlignment="1">
      <alignment horizontal="justify" vertical="center" wrapText="1"/>
      <protection locked="0"/>
    </xf>
    <xf numFmtId="43" fontId="9" fillId="13" borderId="23" xfId="0" applyNumberFormat="1" applyFont="1" applyFill="1" applyBorder="1" applyAlignment="1">
      <alignment horizontal="justify" vertical="center" wrapText="1"/>
      <protection locked="0"/>
    </xf>
    <xf numFmtId="43" fontId="9" fillId="13" borderId="23" xfId="0" applyNumberFormat="1" applyFont="1" applyFill="1" applyBorder="1" applyAlignment="1">
      <alignment horizontal="center" vertical="center" shrinkToFit="1"/>
      <protection locked="0"/>
    </xf>
    <xf numFmtId="43" fontId="9" fillId="13" borderId="23" xfId="0" applyNumberFormat="1" applyFont="1" applyFill="1" applyBorder="1" applyAlignment="1">
      <alignment horizontal="center" vertical="center" wrapText="1"/>
      <protection locked="0"/>
    </xf>
    <xf numFmtId="43" fontId="9" fillId="13" borderId="23" xfId="1" applyFont="1" applyFill="1" applyBorder="1" applyAlignment="1" applyProtection="1">
      <alignment horizontal="justify" vertical="center" wrapText="1"/>
      <protection locked="0"/>
    </xf>
    <xf numFmtId="43" fontId="9" fillId="13" borderId="23" xfId="1" applyFont="1" applyFill="1" applyBorder="1" applyAlignment="1" applyProtection="1">
      <alignment horizontal="center" vertical="center" shrinkToFit="1"/>
      <protection locked="0"/>
    </xf>
    <xf numFmtId="43" fontId="9" fillId="13" borderId="23" xfId="1" quotePrefix="1" applyFont="1" applyFill="1" applyBorder="1" applyAlignment="1" applyProtection="1">
      <alignment horizontal="center" vertical="center" wrapText="1"/>
      <protection locked="0"/>
    </xf>
    <xf numFmtId="43" fontId="9" fillId="0" borderId="23" xfId="1" quotePrefix="1" applyFont="1" applyFill="1" applyBorder="1" applyAlignment="1" applyProtection="1">
      <alignment horizontal="center" vertical="center" wrapText="1"/>
      <protection locked="0"/>
    </xf>
    <xf numFmtId="43" fontId="9" fillId="0" borderId="23" xfId="1" applyFont="1" applyFill="1" applyBorder="1" applyAlignment="1" applyProtection="1">
      <alignment vertical="center"/>
      <protection locked="0"/>
    </xf>
    <xf numFmtId="43" fontId="9" fillId="0" borderId="23" xfId="0" quotePrefix="1" applyNumberFormat="1" applyFont="1" applyBorder="1" applyAlignment="1">
      <alignment horizontal="center" vertical="center" wrapText="1"/>
      <protection locked="0"/>
    </xf>
    <xf numFmtId="43" fontId="9" fillId="0" borderId="23" xfId="1" quotePrefix="1" applyFont="1" applyFill="1" applyBorder="1" applyAlignment="1" applyProtection="1">
      <alignment horizontal="center" vertical="center"/>
      <protection locked="0"/>
    </xf>
    <xf numFmtId="43" fontId="7" fillId="36" borderId="23" xfId="1" applyFont="1" applyFill="1" applyBorder="1" applyAlignment="1" applyProtection="1">
      <alignment horizontal="justify" vertical="center" wrapText="1"/>
      <protection locked="0"/>
    </xf>
    <xf numFmtId="43" fontId="7" fillId="36" borderId="23" xfId="1" applyFont="1" applyFill="1" applyBorder="1" applyAlignment="1" applyProtection="1">
      <alignment horizontal="center" vertical="center" shrinkToFit="1"/>
      <protection locked="0"/>
    </xf>
    <xf numFmtId="43" fontId="7" fillId="0" borderId="23" xfId="1" quotePrefix="1" applyFont="1" applyFill="1" applyBorder="1" applyAlignment="1" applyProtection="1">
      <alignment horizontal="center" vertical="center"/>
      <protection locked="0"/>
    </xf>
    <xf numFmtId="43" fontId="7" fillId="36" borderId="23" xfId="1" applyFont="1" applyFill="1" applyBorder="1" applyAlignment="1" applyProtection="1">
      <alignment vertical="center"/>
      <protection locked="0"/>
    </xf>
    <xf numFmtId="0" fontId="69" fillId="0" borderId="14" xfId="207" applyFont="1" applyFill="1" applyBorder="1" applyAlignment="1">
      <alignment horizontal="center" vertical="center"/>
      <protection locked="0"/>
    </xf>
    <xf numFmtId="0" fontId="119" fillId="0" borderId="0" xfId="382" applyFont="1" applyAlignment="1">
      <alignment horizontal="left" vertical="center"/>
    </xf>
    <xf numFmtId="14" fontId="119" fillId="0" borderId="0" xfId="207" applyNumberFormat="1" applyFont="1" applyAlignment="1">
      <alignment horizontal="left" vertical="center"/>
      <protection locked="0"/>
    </xf>
    <xf numFmtId="205" fontId="161" fillId="0" borderId="0" xfId="252" applyNumberFormat="1" applyFont="1" applyBorder="1" applyAlignment="1">
      <alignment vertical="center"/>
      <protection locked="0"/>
    </xf>
    <xf numFmtId="0" fontId="119" fillId="0" borderId="0" xfId="383" applyFont="1" applyAlignment="1">
      <alignment horizontal="left" vertical="center"/>
    </xf>
    <xf numFmtId="0" fontId="5" fillId="0" borderId="0" xfId="384" applyFont="1" applyAlignment="1">
      <alignment horizontal="left" vertical="center"/>
    </xf>
    <xf numFmtId="0" fontId="7" fillId="0" borderId="0" xfId="384" applyFont="1" applyAlignment="1">
      <alignment vertical="center" wrapText="1"/>
    </xf>
    <xf numFmtId="0" fontId="9" fillId="0" borderId="0" xfId="384" applyFont="1" applyAlignment="1" applyProtection="1">
      <alignment vertical="center"/>
      <protection locked="0"/>
    </xf>
    <xf numFmtId="0" fontId="9" fillId="0" borderId="0" xfId="384" applyFont="1" applyAlignment="1">
      <alignment horizontal="left" vertical="center"/>
    </xf>
    <xf numFmtId="0" fontId="13" fillId="0" borderId="0" xfId="384" applyFont="1" applyAlignment="1">
      <alignment horizontal="left" vertical="center"/>
    </xf>
    <xf numFmtId="0" fontId="88" fillId="0" borderId="0" xfId="384" applyFont="1" applyAlignment="1">
      <alignment horizontal="left" vertical="center"/>
    </xf>
    <xf numFmtId="0" fontId="140" fillId="0" borderId="0" xfId="328" applyAlignment="1" applyProtection="1">
      <protection locked="0"/>
    </xf>
    <xf numFmtId="0" fontId="7" fillId="0" borderId="0" xfId="384" applyFont="1" applyBorder="1" applyAlignment="1">
      <alignment horizontal="left" vertical="center"/>
    </xf>
    <xf numFmtId="0" fontId="9" fillId="0" borderId="0" xfId="384" applyFont="1" applyBorder="1" applyAlignment="1" applyProtection="1">
      <alignment vertical="center"/>
      <protection locked="0"/>
    </xf>
    <xf numFmtId="0" fontId="9" fillId="0" borderId="0" xfId="384" applyFont="1" applyBorder="1" applyAlignment="1">
      <alignment vertical="center"/>
    </xf>
    <xf numFmtId="0" fontId="144" fillId="0" borderId="0" xfId="214" applyFont="1" applyBorder="1" applyAlignment="1" applyProtection="1">
      <alignment vertical="center"/>
      <protection locked="0"/>
    </xf>
    <xf numFmtId="0" fontId="7" fillId="0" borderId="0" xfId="384" applyFont="1" applyAlignment="1">
      <alignment vertical="center"/>
    </xf>
    <xf numFmtId="0" fontId="18" fillId="0" borderId="0" xfId="384" applyFont="1" applyAlignment="1" applyProtection="1">
      <alignment horizontal="center" vertical="center"/>
      <protection hidden="1"/>
    </xf>
    <xf numFmtId="0" fontId="9" fillId="0" borderId="0" xfId="384" applyFont="1" applyAlignment="1" applyProtection="1">
      <alignment horizontal="left" vertical="center"/>
      <protection hidden="1"/>
    </xf>
    <xf numFmtId="0" fontId="18" fillId="0" borderId="0" xfId="384" applyFont="1" applyAlignment="1" applyProtection="1">
      <alignment horizontal="left" vertical="center"/>
      <protection locked="0"/>
    </xf>
    <xf numFmtId="0" fontId="68" fillId="0" borderId="0" xfId="207" applyFont="1" applyAlignment="1">
      <alignment vertical="center"/>
      <protection locked="0"/>
    </xf>
    <xf numFmtId="205" fontId="7" fillId="0" borderId="20" xfId="385" applyFont="1" applyBorder="1" applyAlignment="1">
      <alignment vertical="center"/>
    </xf>
    <xf numFmtId="0" fontId="13" fillId="0" borderId="0" xfId="328" applyFont="1" applyAlignment="1" applyProtection="1">
      <protection locked="0"/>
    </xf>
    <xf numFmtId="0" fontId="5" fillId="39" borderId="23" xfId="386" applyFont="1" applyFill="1" applyBorder="1" applyAlignment="1">
      <alignment horizontal="center" vertical="center"/>
      <protection locked="0"/>
    </xf>
    <xf numFmtId="0" fontId="5" fillId="39" borderId="23" xfId="386" applyFont="1" applyFill="1" applyBorder="1" applyAlignment="1">
      <alignment horizontal="center" vertical="center" wrapText="1"/>
      <protection locked="0"/>
    </xf>
    <xf numFmtId="0" fontId="7" fillId="39" borderId="23" xfId="387" applyNumberFormat="1" applyFont="1" applyFill="1" applyBorder="1" applyAlignment="1">
      <alignment horizontal="center" vertical="center"/>
      <protection locked="0"/>
    </xf>
    <xf numFmtId="0" fontId="13" fillId="0" borderId="0" xfId="328" applyFont="1" applyAlignment="1" applyProtection="1">
      <alignment horizontal="center"/>
      <protection locked="0"/>
    </xf>
    <xf numFmtId="14" fontId="9" fillId="0" borderId="23" xfId="328" applyNumberFormat="1" applyFont="1" applyBorder="1" applyAlignment="1" applyProtection="1">
      <alignment vertical="center"/>
      <protection locked="0"/>
    </xf>
    <xf numFmtId="49" fontId="9" fillId="0" borderId="23" xfId="328" applyNumberFormat="1" applyFont="1" applyBorder="1" applyAlignment="1" applyProtection="1">
      <alignment vertical="center"/>
      <protection locked="0"/>
    </xf>
    <xf numFmtId="0" fontId="9" fillId="0" borderId="23" xfId="328" applyFont="1" applyBorder="1" applyAlignment="1" applyProtection="1">
      <alignment vertical="center"/>
      <protection locked="0"/>
    </xf>
    <xf numFmtId="0" fontId="13" fillId="0" borderId="23" xfId="328" applyFont="1" applyBorder="1" applyAlignment="1" applyProtection="1">
      <alignment vertical="center"/>
      <protection locked="0"/>
    </xf>
    <xf numFmtId="43" fontId="9" fillId="0" borderId="23" xfId="231" applyFont="1" applyBorder="1" applyAlignment="1" applyProtection="1">
      <alignment vertical="center"/>
      <protection locked="0"/>
    </xf>
    <xf numFmtId="0" fontId="68" fillId="0" borderId="23" xfId="328" applyFont="1" applyBorder="1" applyAlignment="1" applyProtection="1">
      <alignment vertical="center"/>
      <protection locked="0"/>
    </xf>
    <xf numFmtId="205" fontId="9" fillId="0" borderId="23" xfId="387" applyFont="1" applyBorder="1" applyAlignment="1">
      <alignment horizontal="center" vertical="center"/>
      <protection locked="0"/>
    </xf>
    <xf numFmtId="49" fontId="9" fillId="0" borderId="23" xfId="389" applyNumberFormat="1" applyFont="1" applyBorder="1" applyAlignment="1">
      <alignment vertical="center"/>
      <protection locked="0"/>
    </xf>
    <xf numFmtId="0" fontId="9" fillId="0" borderId="0" xfId="328" applyFont="1" applyAlignment="1" applyProtection="1">
      <alignment vertical="center"/>
      <protection locked="0"/>
    </xf>
    <xf numFmtId="49" fontId="5" fillId="0" borderId="23" xfId="389" applyNumberFormat="1" applyFont="1" applyFill="1" applyBorder="1" applyAlignment="1">
      <alignment vertical="center"/>
      <protection locked="0"/>
    </xf>
    <xf numFmtId="205" fontId="7" fillId="0" borderId="20" xfId="385" applyFont="1" applyFill="1" applyBorder="1" applyAlignment="1">
      <alignment vertical="center"/>
    </xf>
    <xf numFmtId="205" fontId="8" fillId="0" borderId="0" xfId="389">
      <protection locked="0"/>
    </xf>
    <xf numFmtId="205" fontId="5" fillId="36" borderId="17" xfId="389" applyFont="1" applyFill="1" applyBorder="1" applyAlignment="1">
      <alignment vertical="center"/>
      <protection locked="0"/>
    </xf>
    <xf numFmtId="205" fontId="5" fillId="36" borderId="24" xfId="389" applyFont="1" applyFill="1" applyBorder="1" applyAlignment="1">
      <alignment vertical="center"/>
      <protection locked="0"/>
    </xf>
    <xf numFmtId="205" fontId="5" fillId="36" borderId="25" xfId="389" applyFont="1" applyFill="1" applyBorder="1" applyAlignment="1">
      <alignment vertical="center"/>
      <protection locked="0"/>
    </xf>
    <xf numFmtId="0" fontId="9" fillId="36" borderId="0" xfId="328" applyFont="1" applyFill="1" applyAlignment="1" applyProtection="1">
      <alignment vertical="center"/>
      <protection locked="0"/>
    </xf>
    <xf numFmtId="205" fontId="5" fillId="36" borderId="23" xfId="389" applyFont="1" applyFill="1" applyBorder="1" applyAlignment="1">
      <alignment horizontal="center" vertical="center"/>
      <protection locked="0"/>
    </xf>
    <xf numFmtId="205" fontId="5" fillId="36" borderId="23" xfId="389" applyFont="1" applyFill="1" applyBorder="1" applyAlignment="1">
      <alignment horizontal="center" vertical="center" wrapText="1"/>
      <protection locked="0"/>
    </xf>
    <xf numFmtId="0" fontId="7" fillId="36" borderId="23" xfId="387" applyNumberFormat="1" applyFont="1" applyFill="1" applyBorder="1" applyAlignment="1">
      <alignment horizontal="center" vertical="center"/>
      <protection locked="0"/>
    </xf>
    <xf numFmtId="230" fontId="9" fillId="0" borderId="23" xfId="389" applyNumberFormat="1" applyFont="1" applyFill="1" applyBorder="1" applyAlignment="1">
      <alignment horizontal="center" vertical="center" wrapText="1"/>
      <protection locked="0"/>
    </xf>
    <xf numFmtId="49" fontId="9" fillId="0" borderId="23" xfId="389" applyNumberFormat="1" applyFont="1" applyFill="1" applyBorder="1" applyAlignment="1">
      <alignment horizontal="center" vertical="center"/>
      <protection locked="0"/>
    </xf>
    <xf numFmtId="205" fontId="13" fillId="0" borderId="23" xfId="389" applyFont="1" applyFill="1" applyBorder="1" applyAlignment="1">
      <alignment horizontal="center" vertical="center"/>
      <protection locked="0"/>
    </xf>
    <xf numFmtId="205" fontId="9" fillId="0" borderId="23" xfId="389" applyFont="1" applyFill="1" applyBorder="1" applyAlignment="1">
      <alignment horizontal="center" vertical="center"/>
      <protection locked="0"/>
    </xf>
    <xf numFmtId="231" fontId="9" fillId="0" borderId="23" xfId="389" applyNumberFormat="1" applyFont="1" applyFill="1" applyBorder="1" applyAlignment="1">
      <alignment horizontal="right" vertical="center" shrinkToFit="1"/>
      <protection locked="0"/>
    </xf>
    <xf numFmtId="49" fontId="9" fillId="0" borderId="23" xfId="389" applyNumberFormat="1" applyFont="1" applyBorder="1" applyAlignment="1">
      <alignment horizontal="center" vertical="center"/>
      <protection locked="0"/>
    </xf>
    <xf numFmtId="49" fontId="7" fillId="36" borderId="23" xfId="389" applyNumberFormat="1" applyFont="1" applyFill="1" applyBorder="1" applyAlignment="1">
      <alignment horizontal="center" vertical="center"/>
      <protection locked="0"/>
    </xf>
    <xf numFmtId="205" fontId="7" fillId="36" borderId="23" xfId="389" applyFont="1" applyFill="1" applyBorder="1" applyAlignment="1">
      <alignment vertical="center"/>
      <protection locked="0"/>
    </xf>
    <xf numFmtId="231" fontId="7" fillId="36" borderId="23" xfId="389" applyNumberFormat="1" applyFont="1" applyFill="1" applyBorder="1" applyAlignment="1">
      <alignment horizontal="right" vertical="center" shrinkToFit="1"/>
      <protection locked="0"/>
    </xf>
    <xf numFmtId="205" fontId="5" fillId="36" borderId="23" xfId="389" applyFont="1" applyFill="1" applyBorder="1" applyAlignment="1">
      <alignment vertical="center"/>
      <protection locked="0"/>
    </xf>
    <xf numFmtId="43" fontId="7" fillId="36" borderId="23" xfId="391" applyFont="1" applyFill="1" applyBorder="1" applyAlignment="1" applyProtection="1">
      <alignment vertical="center"/>
      <protection locked="0"/>
    </xf>
    <xf numFmtId="0" fontId="9" fillId="36" borderId="0" xfId="207" applyFont="1" applyFill="1" applyAlignment="1">
      <alignment vertical="center"/>
      <protection locked="0"/>
    </xf>
    <xf numFmtId="0" fontId="5" fillId="0" borderId="0" xfId="348" applyFont="1" applyAlignment="1">
      <alignment vertical="center"/>
      <protection locked="0"/>
    </xf>
    <xf numFmtId="0" fontId="7" fillId="0" borderId="0" xfId="207" applyFont="1" applyAlignment="1">
      <alignment vertical="center"/>
      <protection locked="0"/>
    </xf>
    <xf numFmtId="0" fontId="88" fillId="0" borderId="0" xfId="207" applyFont="1" applyAlignment="1">
      <alignment horizontal="left" vertical="center"/>
      <protection locked="0"/>
    </xf>
    <xf numFmtId="0" fontId="82" fillId="0" borderId="0" xfId="207" applyFont="1" applyAlignment="1">
      <alignment vertical="center"/>
      <protection locked="0"/>
    </xf>
    <xf numFmtId="0" fontId="82" fillId="0" borderId="0" xfId="207" applyFont="1" applyAlignment="1">
      <alignment horizontal="left" vertical="center"/>
      <protection locked="0"/>
    </xf>
    <xf numFmtId="0" fontId="7" fillId="0" borderId="0" xfId="207" applyFont="1" applyAlignment="1">
      <alignment horizontal="left" vertical="center"/>
      <protection locked="0"/>
    </xf>
    <xf numFmtId="0" fontId="9" fillId="0" borderId="0" xfId="207" applyFont="1" applyAlignment="1">
      <alignment horizontal="left" vertical="center"/>
      <protection locked="0"/>
    </xf>
    <xf numFmtId="0" fontId="110" fillId="0" borderId="0" xfId="207" applyFont="1" applyAlignment="1">
      <alignment vertical="center"/>
      <protection locked="0"/>
    </xf>
    <xf numFmtId="0" fontId="18" fillId="0" borderId="0" xfId="207" applyFont="1" applyAlignment="1">
      <alignment vertical="center"/>
      <protection locked="0"/>
    </xf>
    <xf numFmtId="0" fontId="19" fillId="0" borderId="0" xfId="207" applyFont="1" applyAlignment="1">
      <alignment horizontal="left"/>
      <protection locked="0"/>
    </xf>
    <xf numFmtId="0" fontId="18" fillId="0" borderId="0" xfId="207" applyFont="1" applyAlignment="1">
      <alignment horizontal="right"/>
      <protection locked="0"/>
    </xf>
    <xf numFmtId="49" fontId="18" fillId="0" borderId="0" xfId="207" applyNumberFormat="1" applyFont="1" applyAlignment="1">
      <alignment horizontal="right" vertical="center"/>
      <protection locked="0"/>
    </xf>
    <xf numFmtId="0" fontId="18" fillId="0" borderId="0" xfId="207" applyFont="1" applyAlignment="1">
      <alignment horizontal="right" vertical="center"/>
      <protection locked="0"/>
    </xf>
    <xf numFmtId="0" fontId="19" fillId="0" borderId="0" xfId="207" applyFont="1" applyAlignment="1">
      <alignment vertical="center"/>
      <protection locked="0"/>
    </xf>
    <xf numFmtId="0" fontId="19" fillId="0" borderId="0" xfId="207" applyFont="1" applyAlignment="1">
      <alignment horizontal="center" vertical="center" wrapText="1"/>
      <protection locked="0"/>
    </xf>
    <xf numFmtId="0" fontId="18" fillId="0" borderId="0" xfId="207" applyFont="1" applyAlignment="1">
      <alignment horizontal="center" wrapText="1"/>
      <protection locked="0"/>
    </xf>
    <xf numFmtId="0" fontId="7" fillId="13" borderId="23" xfId="0" applyFont="1" applyFill="1" applyBorder="1" applyAlignment="1">
      <alignment horizontal="center" vertical="center" wrapText="1"/>
      <protection locked="0"/>
    </xf>
    <xf numFmtId="0" fontId="163" fillId="0" borderId="0" xfId="0" applyFont="1" applyAlignment="1">
      <alignment horizontal="center" vertical="center"/>
      <protection locked="0"/>
    </xf>
    <xf numFmtId="0" fontId="9" fillId="12" borderId="0" xfId="0" applyFont="1" applyFill="1" applyBorder="1" applyAlignment="1">
      <alignment horizontal="justify" vertical="center" wrapText="1"/>
      <protection locked="0"/>
    </xf>
    <xf numFmtId="0" fontId="2" fillId="0" borderId="0" xfId="251" applyFont="1" applyAlignment="1" applyProtection="1">
      <alignment horizontal="center" vertical="center"/>
      <protection locked="0"/>
    </xf>
    <xf numFmtId="0" fontId="22" fillId="0" borderId="0" xfId="251" applyFont="1" applyAlignment="1" applyProtection="1">
      <alignment horizontal="center" vertical="center"/>
      <protection locked="0"/>
    </xf>
    <xf numFmtId="0" fontId="22" fillId="0" borderId="10" xfId="251" applyFont="1" applyBorder="1" applyAlignment="1" applyProtection="1">
      <alignment horizontal="center" vertical="center"/>
      <protection locked="0"/>
    </xf>
    <xf numFmtId="0" fontId="75" fillId="0" borderId="0" xfId="251" applyFont="1" applyAlignment="1" applyProtection="1">
      <alignment horizontal="center" vertical="center"/>
      <protection locked="0"/>
    </xf>
    <xf numFmtId="0" fontId="18" fillId="0" borderId="0" xfId="0" applyFont="1" applyAlignment="1">
      <alignment vertical="center" wrapText="1"/>
      <protection locked="0"/>
    </xf>
    <xf numFmtId="205" fontId="8" fillId="0" borderId="0" xfId="389" applyBorder="1">
      <protection locked="0"/>
    </xf>
    <xf numFmtId="0" fontId="7" fillId="39" borderId="23" xfId="328" applyFont="1" applyFill="1" applyBorder="1" applyAlignment="1" applyProtection="1">
      <alignment vertical="center"/>
      <protection locked="0"/>
    </xf>
    <xf numFmtId="43" fontId="7" fillId="39" borderId="23" xfId="231" applyFont="1" applyFill="1" applyBorder="1" applyAlignment="1" applyProtection="1">
      <alignment vertical="center"/>
      <protection locked="0"/>
    </xf>
    <xf numFmtId="14" fontId="7" fillId="39" borderId="23" xfId="328" applyNumberFormat="1" applyFont="1" applyFill="1" applyBorder="1" applyAlignment="1" applyProtection="1">
      <alignment vertical="center"/>
      <protection locked="0"/>
    </xf>
    <xf numFmtId="0" fontId="7" fillId="0" borderId="0" xfId="328" applyFont="1" applyAlignment="1" applyProtection="1">
      <alignment vertical="center"/>
      <protection locked="0"/>
    </xf>
    <xf numFmtId="10" fontId="7" fillId="39" borderId="23" xfId="2" applyNumberFormat="1" applyFont="1" applyFill="1" applyBorder="1" applyAlignment="1" applyProtection="1">
      <alignment horizontal="right" vertical="center"/>
      <protection locked="0"/>
    </xf>
    <xf numFmtId="43" fontId="119" fillId="0" borderId="0" xfId="4" applyNumberFormat="1" applyFont="1" applyBorder="1" applyAlignment="1">
      <alignment horizontal="right" vertical="center"/>
    </xf>
    <xf numFmtId="49" fontId="80" fillId="0" borderId="0" xfId="385" applyNumberFormat="1" applyFont="1" applyAlignment="1">
      <alignment horizontal="left" vertical="center"/>
    </xf>
    <xf numFmtId="49" fontId="88" fillId="0" borderId="0" xfId="385" applyNumberFormat="1" applyFont="1" applyAlignment="1">
      <alignment horizontal="left" vertical="center"/>
    </xf>
    <xf numFmtId="0" fontId="164" fillId="0" borderId="0" xfId="0" applyFont="1" applyAlignment="1">
      <alignment horizontal="left" vertical="center" wrapText="1"/>
      <protection locked="0"/>
    </xf>
    <xf numFmtId="0" fontId="12" fillId="0" borderId="0" xfId="0" applyFont="1" applyAlignment="1">
      <alignment horizontal="left" vertical="center" wrapText="1"/>
      <protection locked="0"/>
    </xf>
    <xf numFmtId="205" fontId="38" fillId="13" borderId="23" xfId="283" applyFont="1" applyFill="1" applyBorder="1" applyAlignment="1">
      <alignment horizontal="center" vertical="center" wrapText="1"/>
      <protection locked="0"/>
    </xf>
    <xf numFmtId="49" fontId="38" fillId="13" borderId="23" xfId="283" applyNumberFormat="1" applyFont="1" applyFill="1" applyBorder="1" applyAlignment="1">
      <alignment horizontal="center" vertical="center"/>
      <protection locked="0"/>
    </xf>
    <xf numFmtId="0" fontId="5" fillId="13" borderId="23" xfId="251" applyFont="1" applyFill="1" applyBorder="1" applyAlignment="1" applyProtection="1">
      <alignment horizontal="center" vertical="center" wrapText="1"/>
      <protection locked="0"/>
    </xf>
    <xf numFmtId="0" fontId="5" fillId="0" borderId="0" xfId="348" applyFont="1" applyAlignment="1">
      <alignment horizontal="left" vertical="center"/>
      <protection locked="0"/>
    </xf>
    <xf numFmtId="0" fontId="7" fillId="0" borderId="0" xfId="348" applyFont="1" applyAlignment="1">
      <alignment horizontal="left" vertical="center"/>
      <protection locked="0"/>
    </xf>
    <xf numFmtId="0" fontId="5" fillId="13" borderId="23" xfId="251" applyFont="1" applyFill="1" applyBorder="1" applyAlignment="1" applyProtection="1">
      <alignment horizontal="center" vertical="center"/>
      <protection locked="0"/>
    </xf>
    <xf numFmtId="0" fontId="7" fillId="13" borderId="23" xfId="251" applyFont="1" applyFill="1" applyBorder="1" applyAlignment="1" applyProtection="1">
      <alignment horizontal="center" vertical="center"/>
      <protection locked="0"/>
    </xf>
    <xf numFmtId="205" fontId="121" fillId="0" borderId="0" xfId="282" applyFont="1" applyAlignment="1">
      <alignment horizontal="center" vertical="center"/>
    </xf>
    <xf numFmtId="205" fontId="158" fillId="0" borderId="0" xfId="282" applyFont="1" applyAlignment="1">
      <alignment horizontal="center" vertical="center"/>
    </xf>
    <xf numFmtId="205" fontId="119" fillId="0" borderId="0" xfId="283" applyFont="1">
      <alignment vertical="center"/>
      <protection locked="0"/>
    </xf>
    <xf numFmtId="205" fontId="38" fillId="0" borderId="0" xfId="283" applyFont="1" applyAlignment="1">
      <alignment horizontal="left" vertical="center"/>
      <protection locked="0"/>
    </xf>
    <xf numFmtId="0" fontId="13" fillId="0" borderId="23" xfId="251" applyFont="1" applyBorder="1" applyAlignment="1" applyProtection="1">
      <alignment horizontal="center" vertical="center" wrapText="1"/>
      <protection locked="0"/>
    </xf>
    <xf numFmtId="0" fontId="5" fillId="36" borderId="23" xfId="251" applyFont="1" applyFill="1" applyBorder="1" applyAlignment="1" applyProtection="1">
      <alignment horizontal="center" vertical="center" wrapText="1"/>
      <protection locked="0"/>
    </xf>
    <xf numFmtId="0" fontId="22" fillId="0" borderId="23" xfId="251" applyFont="1" applyBorder="1" applyAlignment="1" applyProtection="1">
      <alignment horizontal="left" vertical="center" wrapText="1"/>
      <protection locked="0"/>
    </xf>
    <xf numFmtId="0" fontId="38" fillId="36" borderId="23" xfId="251" applyFont="1" applyFill="1" applyBorder="1" applyAlignment="1" applyProtection="1">
      <alignment horizontal="center" vertical="center"/>
      <protection locked="0"/>
    </xf>
    <xf numFmtId="43" fontId="5" fillId="0" borderId="23" xfId="1" applyFont="1" applyFill="1" applyBorder="1" applyAlignment="1">
      <alignment horizontal="center" vertical="center"/>
    </xf>
    <xf numFmtId="43" fontId="7" fillId="0" borderId="23" xfId="1" applyFont="1" applyFill="1" applyBorder="1" applyAlignment="1">
      <alignment horizontal="center" vertical="center"/>
    </xf>
    <xf numFmtId="0" fontId="121" fillId="0" borderId="0" xfId="3" applyFont="1" applyAlignment="1">
      <alignment horizontal="center" vertical="center"/>
    </xf>
    <xf numFmtId="43" fontId="158" fillId="0" borderId="0" xfId="4" applyNumberFormat="1" applyFont="1" applyBorder="1" applyAlignment="1">
      <alignment horizontal="center" vertical="center"/>
    </xf>
    <xf numFmtId="43" fontId="5" fillId="13" borderId="23" xfId="1" applyFont="1" applyFill="1" applyBorder="1" applyAlignment="1">
      <alignment horizontal="center" vertical="center"/>
    </xf>
    <xf numFmtId="43" fontId="7" fillId="13" borderId="23" xfId="1" applyFont="1" applyFill="1" applyBorder="1" applyAlignment="1">
      <alignment horizontal="center" vertical="center"/>
    </xf>
    <xf numFmtId="43" fontId="14" fillId="0" borderId="24" xfId="1" applyFont="1" applyFill="1" applyBorder="1" applyAlignment="1">
      <alignment vertical="center"/>
    </xf>
    <xf numFmtId="43" fontId="14" fillId="0" borderId="25" xfId="1" applyFont="1" applyFill="1" applyBorder="1" applyAlignment="1">
      <alignment vertical="center"/>
    </xf>
    <xf numFmtId="43" fontId="9" fillId="0" borderId="24" xfId="1" applyFont="1" applyFill="1" applyBorder="1" applyAlignment="1">
      <alignment horizontal="left" vertical="center"/>
    </xf>
    <xf numFmtId="43" fontId="9" fillId="0" borderId="25" xfId="1" applyFont="1" applyFill="1" applyBorder="1" applyAlignment="1">
      <alignment horizontal="left" vertical="center"/>
    </xf>
    <xf numFmtId="0" fontId="145" fillId="0" borderId="15" xfId="0" applyFont="1" applyBorder="1" applyAlignment="1">
      <alignment horizontal="right" vertical="center" wrapText="1"/>
      <protection locked="0"/>
    </xf>
    <xf numFmtId="0" fontId="145" fillId="0" borderId="0" xfId="0" applyFont="1" applyAlignment="1">
      <alignment horizontal="right" vertical="center" wrapText="1"/>
      <protection locked="0"/>
    </xf>
    <xf numFmtId="0" fontId="145" fillId="0" borderId="13" xfId="0" applyFont="1" applyBorder="1" applyAlignment="1">
      <alignment horizontal="right" vertical="center" wrapText="1"/>
      <protection locked="0"/>
    </xf>
    <xf numFmtId="0" fontId="147" fillId="0" borderId="0" xfId="0" applyFont="1" applyAlignment="1">
      <alignment horizontal="right" vertical="center" wrapText="1"/>
      <protection locked="0"/>
    </xf>
    <xf numFmtId="0" fontId="147" fillId="0" borderId="13" xfId="0" applyFont="1" applyBorder="1" applyAlignment="1">
      <alignment horizontal="right" vertical="center" wrapText="1"/>
      <protection locked="0"/>
    </xf>
    <xf numFmtId="0" fontId="145" fillId="0" borderId="15" xfId="0" applyFont="1" applyBorder="1" applyAlignment="1">
      <alignment horizontal="center" vertical="center" wrapText="1"/>
      <protection locked="0"/>
    </xf>
    <xf numFmtId="0" fontId="96" fillId="0" borderId="0" xfId="0" applyFont="1" applyAlignment="1">
      <alignment horizontal="left" vertical="center" wrapText="1"/>
      <protection locked="0"/>
    </xf>
    <xf numFmtId="0" fontId="115" fillId="0" borderId="0" xfId="0" applyFont="1" applyAlignment="1">
      <alignment horizontal="left" vertical="center" wrapText="1"/>
      <protection locked="0"/>
    </xf>
    <xf numFmtId="0" fontId="95" fillId="0" borderId="15" xfId="0" applyFont="1" applyBorder="1" applyAlignment="1">
      <alignment horizontal="center" vertical="center" wrapText="1"/>
      <protection locked="0"/>
    </xf>
    <xf numFmtId="0" fontId="95" fillId="0" borderId="13" xfId="0" applyFont="1" applyBorder="1" applyAlignment="1">
      <alignment horizontal="center" vertical="center" wrapText="1"/>
      <protection locked="0"/>
    </xf>
    <xf numFmtId="0" fontId="121" fillId="0" borderId="0" xfId="207" applyFont="1" applyAlignment="1">
      <alignment horizontal="center" vertical="center"/>
      <protection locked="0"/>
    </xf>
    <xf numFmtId="0" fontId="158" fillId="0" borderId="0" xfId="207" applyFont="1" applyAlignment="1">
      <alignment horizontal="center" vertical="center"/>
      <protection locked="0"/>
    </xf>
    <xf numFmtId="0" fontId="114" fillId="0" borderId="15" xfId="0" applyFont="1" applyBorder="1" applyAlignment="1" applyProtection="1">
      <alignment horizontal="center" vertical="center" wrapText="1"/>
    </xf>
    <xf numFmtId="0" fontId="114" fillId="0" borderId="13" xfId="0" applyFont="1" applyBorder="1" applyAlignment="1" applyProtection="1">
      <alignment horizontal="center" vertical="center" wrapText="1"/>
    </xf>
    <xf numFmtId="0" fontId="115" fillId="0" borderId="0" xfId="0" applyFont="1" applyAlignment="1" applyProtection="1">
      <alignment horizontal="left" vertical="center"/>
    </xf>
    <xf numFmtId="0" fontId="115" fillId="0" borderId="0" xfId="0" applyFont="1" applyAlignment="1" applyProtection="1">
      <alignment horizontal="left" vertical="center" wrapText="1"/>
    </xf>
    <xf numFmtId="0" fontId="113" fillId="0" borderId="0" xfId="0" applyFont="1" applyAlignment="1" applyProtection="1">
      <alignment horizontal="left" vertical="center"/>
    </xf>
    <xf numFmtId="0" fontId="145" fillId="0" borderId="15" xfId="0" applyFont="1" applyBorder="1" applyAlignment="1">
      <alignment horizontal="justify" vertical="center" wrapText="1"/>
      <protection locked="0"/>
    </xf>
    <xf numFmtId="0" fontId="145" fillId="0" borderId="0" xfId="0" applyFont="1" applyAlignment="1">
      <alignment horizontal="justify" vertical="center" wrapText="1"/>
      <protection locked="0"/>
    </xf>
    <xf numFmtId="0" fontId="145" fillId="0" borderId="13" xfId="0" applyFont="1" applyBorder="1" applyAlignment="1">
      <alignment horizontal="justify" vertical="center" wrapText="1"/>
      <protection locked="0"/>
    </xf>
    <xf numFmtId="0" fontId="145" fillId="0" borderId="0" xfId="0" applyFont="1" applyAlignment="1">
      <alignment horizontal="center" vertical="center" wrapText="1"/>
      <protection locked="0"/>
    </xf>
    <xf numFmtId="0" fontId="145" fillId="0" borderId="13" xfId="0" applyFont="1" applyBorder="1" applyAlignment="1">
      <alignment horizontal="center" vertical="center" wrapText="1"/>
      <protection locked="0"/>
    </xf>
    <xf numFmtId="0" fontId="115" fillId="0" borderId="13" xfId="0" applyFont="1" applyBorder="1" applyAlignment="1" applyProtection="1">
      <alignment horizontal="left" vertical="center"/>
    </xf>
    <xf numFmtId="0" fontId="123" fillId="0" borderId="15" xfId="0" applyFont="1" applyBorder="1" applyAlignment="1" applyProtection="1">
      <alignment horizontal="center" vertical="center" wrapText="1"/>
    </xf>
    <xf numFmtId="0" fontId="115" fillId="0" borderId="15" xfId="0" applyFont="1" applyBorder="1" applyAlignment="1" applyProtection="1">
      <alignment horizontal="left" vertical="center"/>
    </xf>
    <xf numFmtId="0" fontId="112" fillId="0" borderId="0" xfId="0" applyFont="1" applyAlignment="1" applyProtection="1">
      <alignment horizontal="left" vertical="center"/>
    </xf>
    <xf numFmtId="0" fontId="151" fillId="0" borderId="15" xfId="0" applyFont="1" applyBorder="1" applyAlignment="1">
      <alignment horizontal="center" vertical="center" wrapText="1"/>
      <protection locked="0"/>
    </xf>
    <xf numFmtId="0" fontId="151" fillId="0" borderId="0" xfId="0" applyFont="1" applyAlignment="1">
      <alignment horizontal="center" vertical="center" wrapText="1"/>
      <protection locked="0"/>
    </xf>
    <xf numFmtId="0" fontId="151" fillId="0" borderId="13" xfId="0" applyFont="1" applyBorder="1" applyAlignment="1">
      <alignment horizontal="center" vertical="center" wrapText="1"/>
      <protection locked="0"/>
    </xf>
    <xf numFmtId="0" fontId="151" fillId="0" borderId="15" xfId="0" applyFont="1" applyBorder="1" applyAlignment="1">
      <alignment horizontal="right" vertical="center" wrapText="1"/>
      <protection locked="0"/>
    </xf>
    <xf numFmtId="0" fontId="151" fillId="0" borderId="13" xfId="0" applyFont="1" applyBorder="1" applyAlignment="1">
      <alignment horizontal="right" vertical="center" wrapText="1"/>
      <protection locked="0"/>
    </xf>
    <xf numFmtId="0" fontId="151" fillId="0" borderId="35" xfId="0" applyFont="1" applyBorder="1" applyAlignment="1">
      <alignment horizontal="right" vertical="center" wrapText="1"/>
      <protection locked="0"/>
    </xf>
    <xf numFmtId="0" fontId="147" fillId="0" borderId="15" xfId="0" applyFont="1" applyBorder="1" applyAlignment="1">
      <alignment horizontal="center" vertical="center" wrapText="1"/>
      <protection locked="0"/>
    </xf>
    <xf numFmtId="0" fontId="147" fillId="0" borderId="15" xfId="0" applyFont="1" applyBorder="1" applyAlignment="1">
      <alignment horizontal="right" vertical="center" wrapText="1"/>
      <protection locked="0"/>
    </xf>
    <xf numFmtId="0" fontId="112" fillId="0" borderId="0" xfId="0" applyFont="1" applyAlignment="1">
      <alignment horizontal="left" vertical="center" wrapText="1"/>
      <protection locked="0"/>
    </xf>
    <xf numFmtId="0" fontId="115" fillId="0" borderId="13" xfId="0" applyFont="1" applyBorder="1" applyAlignment="1" applyProtection="1">
      <alignment horizontal="left" vertical="center" wrapText="1"/>
    </xf>
    <xf numFmtId="0" fontId="114" fillId="0" borderId="11" xfId="0" applyFont="1" applyBorder="1" applyAlignment="1" applyProtection="1">
      <alignment horizontal="center" vertical="center" wrapText="1"/>
    </xf>
    <xf numFmtId="0" fontId="113" fillId="0" borderId="15" xfId="0" applyFont="1" applyBorder="1" applyAlignment="1" applyProtection="1">
      <alignment horizontal="left" vertical="center" wrapText="1"/>
    </xf>
    <xf numFmtId="0" fontId="114" fillId="0" borderId="0" xfId="0" applyFont="1" applyAlignment="1" applyProtection="1">
      <alignment horizontal="center" vertical="center" wrapText="1"/>
    </xf>
    <xf numFmtId="0" fontId="95" fillId="0" borderId="11" xfId="0" applyFont="1" applyBorder="1" applyAlignment="1">
      <alignment horizontal="center" vertical="center" wrapText="1"/>
      <protection locked="0"/>
    </xf>
    <xf numFmtId="0" fontId="111" fillId="0" borderId="0" xfId="0" applyFont="1" applyAlignment="1">
      <alignment horizontal="left" vertical="center" wrapText="1"/>
      <protection locked="0"/>
    </xf>
    <xf numFmtId="0" fontId="123" fillId="0" borderId="15" xfId="0" applyFont="1" applyBorder="1" applyAlignment="1">
      <alignment horizontal="center" vertical="center" wrapText="1"/>
      <protection locked="0"/>
    </xf>
    <xf numFmtId="0" fontId="96" fillId="0" borderId="15" xfId="0" applyFont="1" applyBorder="1" applyAlignment="1">
      <alignment horizontal="left" vertical="center" wrapText="1"/>
      <protection locked="0"/>
    </xf>
    <xf numFmtId="0" fontId="95" fillId="0" borderId="15" xfId="0" applyFont="1" applyBorder="1" applyAlignment="1">
      <alignment horizontal="center" vertical="center"/>
      <protection locked="0"/>
    </xf>
    <xf numFmtId="0" fontId="95" fillId="0" borderId="13" xfId="0" applyFont="1" applyBorder="1" applyAlignment="1">
      <alignment horizontal="center" vertical="center"/>
      <protection locked="0"/>
    </xf>
    <xf numFmtId="0" fontId="111" fillId="0" borderId="13" xfId="0" applyFont="1" applyBorder="1" applyAlignment="1" applyProtection="1">
      <alignment horizontal="center" vertical="center" wrapText="1"/>
    </xf>
    <xf numFmtId="0" fontId="113" fillId="0" borderId="0" xfId="0" applyFont="1" applyAlignment="1" applyProtection="1">
      <alignment horizontal="left" vertical="center" wrapText="1"/>
    </xf>
    <xf numFmtId="0" fontId="111" fillId="0" borderId="11" xfId="0" applyFont="1" applyBorder="1" applyAlignment="1" applyProtection="1">
      <alignment horizontal="center" vertical="center" wrapText="1"/>
    </xf>
    <xf numFmtId="0" fontId="95" fillId="0" borderId="0" xfId="0" applyFont="1" applyAlignment="1">
      <alignment horizontal="left" vertical="center" wrapText="1"/>
      <protection locked="0"/>
    </xf>
    <xf numFmtId="0" fontId="96" fillId="0" borderId="13" xfId="0" applyFont="1" applyBorder="1" applyAlignment="1">
      <alignment horizontal="left" vertical="center" wrapText="1"/>
      <protection locked="0"/>
    </xf>
    <xf numFmtId="0" fontId="115" fillId="0" borderId="13" xfId="0" applyFont="1" applyBorder="1" applyAlignment="1">
      <alignment horizontal="left" vertical="center" wrapText="1"/>
      <protection locked="0"/>
    </xf>
    <xf numFmtId="0" fontId="115" fillId="0" borderId="15" xfId="0" applyFont="1" applyBorder="1" applyAlignment="1" applyProtection="1">
      <alignment horizontal="left" vertical="center" wrapText="1"/>
    </xf>
    <xf numFmtId="0" fontId="115" fillId="0" borderId="15" xfId="0" applyFont="1" applyBorder="1" applyAlignment="1">
      <alignment horizontal="left" vertical="center" wrapText="1"/>
      <protection locked="0"/>
    </xf>
    <xf numFmtId="0" fontId="116" fillId="0" borderId="0" xfId="0" applyFont="1" applyAlignment="1">
      <alignment horizontal="left" vertical="center" wrapText="1"/>
      <protection locked="0"/>
    </xf>
    <xf numFmtId="0" fontId="116" fillId="0" borderId="11" xfId="0" applyFont="1" applyBorder="1" applyAlignment="1" applyProtection="1">
      <alignment horizontal="center" vertical="center" wrapText="1"/>
    </xf>
    <xf numFmtId="0" fontId="151" fillId="0" borderId="11" xfId="0" applyFont="1" applyBorder="1" applyAlignment="1">
      <alignment horizontal="center" vertical="center" wrapText="1"/>
      <protection locked="0"/>
    </xf>
    <xf numFmtId="0" fontId="113" fillId="0" borderId="13" xfId="0" applyFont="1" applyBorder="1" applyAlignment="1" applyProtection="1">
      <alignment horizontal="left" vertical="center" wrapText="1"/>
    </xf>
    <xf numFmtId="0" fontId="112" fillId="0" borderId="15" xfId="0" applyFont="1" applyBorder="1" applyAlignment="1" applyProtection="1">
      <alignment horizontal="left" vertical="center" wrapText="1"/>
    </xf>
    <xf numFmtId="0" fontId="111" fillId="0" borderId="15" xfId="0" applyFont="1" applyBorder="1" applyAlignment="1" applyProtection="1">
      <alignment horizontal="center" vertical="center" wrapText="1"/>
    </xf>
    <xf numFmtId="0" fontId="112" fillId="0" borderId="13" xfId="0" applyFont="1" applyBorder="1" applyAlignment="1">
      <alignment horizontal="left" vertical="center" wrapText="1"/>
      <protection locked="0"/>
    </xf>
    <xf numFmtId="0" fontId="147" fillId="0" borderId="15" xfId="0" applyFont="1" applyBorder="1" applyAlignment="1">
      <alignment horizontal="justify" vertical="center" wrapText="1"/>
      <protection locked="0"/>
    </xf>
    <xf numFmtId="0" fontId="147" fillId="0" borderId="13" xfId="0" applyFont="1" applyBorder="1" applyAlignment="1">
      <alignment horizontal="justify" vertical="center" wrapText="1"/>
      <protection locked="0"/>
    </xf>
    <xf numFmtId="0" fontId="18" fillId="0" borderId="0" xfId="0" applyFont="1" applyAlignment="1">
      <alignment horizontal="left" vertical="center" wrapText="1"/>
      <protection locked="0"/>
    </xf>
    <xf numFmtId="0" fontId="9" fillId="0" borderId="0" xfId="0" applyFont="1" applyAlignment="1">
      <alignment horizontal="left" vertical="center" wrapText="1"/>
      <protection locked="0"/>
    </xf>
    <xf numFmtId="0" fontId="121" fillId="0" borderId="0" xfId="244" applyFont="1" applyAlignment="1">
      <alignment horizontal="center" vertical="center"/>
    </xf>
    <xf numFmtId="0" fontId="158" fillId="0" borderId="0" xfId="244" applyFont="1" applyAlignment="1">
      <alignment horizontal="center" vertical="center"/>
    </xf>
    <xf numFmtId="0" fontId="7" fillId="13" borderId="23" xfId="0" applyFont="1" applyFill="1" applyBorder="1" applyAlignment="1">
      <alignment horizontal="center" vertical="center" wrapText="1"/>
      <protection locked="0"/>
    </xf>
    <xf numFmtId="0" fontId="5" fillId="13" borderId="23" xfId="0" applyFont="1" applyFill="1" applyBorder="1" applyAlignment="1">
      <alignment horizontal="center" vertical="center"/>
      <protection locked="0"/>
    </xf>
    <xf numFmtId="0" fontId="7" fillId="36" borderId="23" xfId="0" applyFont="1" applyFill="1" applyBorder="1" applyAlignment="1">
      <alignment horizontal="center" vertical="center" wrapText="1"/>
      <protection locked="0"/>
    </xf>
    <xf numFmtId="0" fontId="5" fillId="13" borderId="23" xfId="0" applyFont="1" applyFill="1" applyBorder="1" applyAlignment="1">
      <alignment horizontal="center" vertical="center" wrapText="1"/>
      <protection locked="0"/>
    </xf>
    <xf numFmtId="0" fontId="7" fillId="13" borderId="23" xfId="0" applyFont="1" applyFill="1" applyBorder="1" applyAlignment="1">
      <alignment horizontal="center" vertical="center"/>
      <protection locked="0"/>
    </xf>
    <xf numFmtId="43" fontId="121" fillId="0" borderId="0" xfId="4" applyNumberFormat="1" applyFont="1" applyBorder="1" applyAlignment="1">
      <alignment horizontal="center" vertical="center"/>
    </xf>
    <xf numFmtId="0" fontId="5" fillId="13" borderId="14" xfId="0" applyFont="1" applyFill="1" applyBorder="1" applyAlignment="1">
      <alignment horizontal="center" vertical="center" wrapText="1"/>
      <protection locked="0"/>
    </xf>
    <xf numFmtId="0" fontId="7" fillId="13" borderId="14" xfId="0" applyFont="1" applyFill="1" applyBorder="1" applyAlignment="1">
      <alignment horizontal="center" vertical="center" wrapText="1"/>
      <protection locked="0"/>
    </xf>
    <xf numFmtId="0" fontId="5" fillId="13" borderId="1" xfId="0" applyFont="1" applyFill="1" applyBorder="1" applyAlignment="1">
      <alignment horizontal="center" vertical="center" wrapText="1"/>
      <protection locked="0"/>
    </xf>
    <xf numFmtId="0" fontId="5" fillId="13" borderId="2" xfId="0" applyFont="1" applyFill="1" applyBorder="1" applyAlignment="1">
      <alignment horizontal="center" vertical="center" wrapText="1"/>
      <protection locked="0"/>
    </xf>
    <xf numFmtId="0" fontId="5" fillId="13" borderId="4" xfId="0" applyFont="1" applyFill="1" applyBorder="1" applyAlignment="1">
      <alignment horizontal="center" vertical="center" wrapText="1"/>
      <protection locked="0"/>
    </xf>
    <xf numFmtId="0" fontId="5" fillId="13" borderId="5" xfId="0" applyFont="1" applyFill="1" applyBorder="1" applyAlignment="1">
      <alignment horizontal="center" vertical="center" wrapText="1"/>
      <protection locked="0"/>
    </xf>
    <xf numFmtId="0" fontId="92" fillId="13" borderId="14" xfId="0" applyFont="1" applyFill="1" applyBorder="1" applyAlignment="1">
      <alignment horizontal="center" vertical="center" wrapText="1"/>
      <protection locked="0"/>
    </xf>
    <xf numFmtId="0" fontId="81" fillId="13" borderId="14" xfId="0" applyFont="1" applyFill="1" applyBorder="1" applyAlignment="1">
      <alignment horizontal="center" vertical="center" wrapText="1"/>
      <protection locked="0"/>
    </xf>
    <xf numFmtId="0" fontId="7" fillId="13" borderId="3" xfId="0" applyFont="1" applyFill="1" applyBorder="1" applyAlignment="1">
      <alignment horizontal="center" vertical="center" wrapText="1"/>
      <protection locked="0"/>
    </xf>
    <xf numFmtId="0" fontId="7" fillId="13" borderId="6" xfId="0" applyFont="1" applyFill="1" applyBorder="1" applyAlignment="1">
      <alignment horizontal="center" vertical="center" wrapText="1"/>
      <protection locked="0"/>
    </xf>
    <xf numFmtId="0" fontId="78" fillId="13" borderId="23" xfId="0" applyFont="1" applyFill="1" applyBorder="1" applyAlignment="1">
      <alignment horizontal="center" vertical="center"/>
      <protection locked="0"/>
    </xf>
    <xf numFmtId="0" fontId="85" fillId="13" borderId="23" xfId="0" applyFont="1" applyFill="1" applyBorder="1" applyAlignment="1">
      <alignment horizontal="center" vertical="center" wrapText="1"/>
      <protection locked="0"/>
    </xf>
    <xf numFmtId="0" fontId="78" fillId="13" borderId="23" xfId="0" applyFont="1" applyFill="1" applyBorder="1" applyAlignment="1">
      <alignment horizontal="center" vertical="center" wrapText="1"/>
      <protection locked="0"/>
    </xf>
    <xf numFmtId="0" fontId="7" fillId="13" borderId="1" xfId="0" applyFont="1" applyFill="1" applyBorder="1" applyAlignment="1">
      <alignment horizontal="center" vertical="center" wrapText="1"/>
      <protection locked="0"/>
    </xf>
    <xf numFmtId="0" fontId="7" fillId="13" borderId="19" xfId="0" applyFont="1" applyFill="1" applyBorder="1" applyAlignment="1">
      <alignment horizontal="center" vertical="center" wrapText="1"/>
      <protection locked="0"/>
    </xf>
    <xf numFmtId="0" fontId="7" fillId="13" borderId="2" xfId="0" applyFont="1" applyFill="1" applyBorder="1" applyAlignment="1">
      <alignment horizontal="center" vertical="center" wrapText="1"/>
      <protection locked="0"/>
    </xf>
    <xf numFmtId="0" fontId="7" fillId="13" borderId="4" xfId="0" applyFont="1" applyFill="1" applyBorder="1" applyAlignment="1">
      <alignment horizontal="center" vertical="center" wrapText="1"/>
      <protection locked="0"/>
    </xf>
    <xf numFmtId="0" fontId="7" fillId="13" borderId="20" xfId="0" applyFont="1" applyFill="1" applyBorder="1" applyAlignment="1">
      <alignment horizontal="center" vertical="center" wrapText="1"/>
      <protection locked="0"/>
    </xf>
    <xf numFmtId="0" fontId="7" fillId="13" borderId="5" xfId="0" applyFont="1" applyFill="1" applyBorder="1" applyAlignment="1">
      <alignment horizontal="center" vertical="center" wrapText="1"/>
      <protection locked="0"/>
    </xf>
    <xf numFmtId="0" fontId="69" fillId="13" borderId="16" xfId="0" applyFont="1" applyFill="1" applyBorder="1" applyAlignment="1">
      <alignment horizontal="center" vertical="center"/>
      <protection locked="0"/>
    </xf>
    <xf numFmtId="0" fontId="69" fillId="13" borderId="18" xfId="0" applyFont="1" applyFill="1" applyBorder="1" applyAlignment="1">
      <alignment horizontal="center" vertical="center"/>
      <protection locked="0"/>
    </xf>
    <xf numFmtId="0" fontId="81" fillId="13" borderId="16" xfId="0" applyFont="1" applyFill="1" applyBorder="1" applyAlignment="1">
      <alignment horizontal="center" vertical="center"/>
      <protection locked="0"/>
    </xf>
    <xf numFmtId="0" fontId="81" fillId="13" borderId="18" xfId="0" applyFont="1" applyFill="1" applyBorder="1" applyAlignment="1">
      <alignment horizontal="center" vertical="center"/>
      <protection locked="0"/>
    </xf>
    <xf numFmtId="0" fontId="9" fillId="0" borderId="16" xfId="0" applyFont="1" applyBorder="1" applyAlignment="1">
      <alignment horizontal="left" vertical="center" wrapText="1"/>
      <protection locked="0"/>
    </xf>
    <xf numFmtId="0" fontId="9" fillId="0" borderId="17" xfId="0" applyFont="1" applyBorder="1" applyAlignment="1">
      <alignment horizontal="left" vertical="center" wrapText="1"/>
      <protection locked="0"/>
    </xf>
    <xf numFmtId="0" fontId="9" fillId="0" borderId="18" xfId="0" applyFont="1" applyBorder="1" applyAlignment="1">
      <alignment horizontal="left" vertical="center" wrapText="1"/>
      <protection locked="0"/>
    </xf>
    <xf numFmtId="0" fontId="7" fillId="0" borderId="14" xfId="0" applyFont="1" applyBorder="1" applyAlignment="1" applyProtection="1">
      <alignment horizontal="left" vertical="center" wrapText="1"/>
    </xf>
    <xf numFmtId="0" fontId="9" fillId="0" borderId="14" xfId="0" applyFont="1" applyBorder="1" applyAlignment="1" applyProtection="1">
      <alignment horizontal="left" vertical="center" wrapText="1"/>
    </xf>
    <xf numFmtId="0" fontId="7" fillId="13" borderId="16" xfId="0" applyFont="1" applyFill="1" applyBorder="1" applyAlignment="1" applyProtection="1">
      <alignment horizontal="left" vertical="center"/>
    </xf>
    <xf numFmtId="0" fontId="7" fillId="13" borderId="17" xfId="0" applyFont="1" applyFill="1" applyBorder="1" applyAlignment="1" applyProtection="1">
      <alignment horizontal="left" vertical="center"/>
    </xf>
    <xf numFmtId="0" fontId="7" fillId="13" borderId="18" xfId="0" applyFont="1" applyFill="1" applyBorder="1" applyAlignment="1" applyProtection="1">
      <alignment horizontal="left" vertical="center"/>
    </xf>
    <xf numFmtId="0" fontId="7" fillId="0" borderId="16" xfId="0" applyFont="1" applyBorder="1" applyAlignment="1">
      <alignment horizontal="left" vertical="center" wrapText="1"/>
      <protection locked="0"/>
    </xf>
    <xf numFmtId="0" fontId="7" fillId="0" borderId="17" xfId="0" applyFont="1" applyBorder="1" applyAlignment="1">
      <alignment horizontal="left" vertical="center" wrapText="1"/>
      <protection locked="0"/>
    </xf>
    <xf numFmtId="0" fontId="7" fillId="0" borderId="18" xfId="0" applyFont="1" applyBorder="1" applyAlignment="1">
      <alignment horizontal="left" vertical="center" wrapText="1"/>
      <protection locked="0"/>
    </xf>
    <xf numFmtId="0" fontId="9" fillId="0" borderId="14" xfId="254" applyFont="1" applyBorder="1" applyAlignment="1">
      <alignment horizontal="center" vertical="center"/>
    </xf>
    <xf numFmtId="0" fontId="9" fillId="0" borderId="23" xfId="254" applyFont="1" applyBorder="1" applyAlignment="1">
      <alignment horizontal="left" vertical="center" wrapText="1"/>
    </xf>
    <xf numFmtId="0" fontId="78" fillId="13" borderId="16" xfId="0" applyFont="1" applyFill="1" applyBorder="1" applyAlignment="1">
      <alignment horizontal="center" vertical="center"/>
      <protection locked="0"/>
    </xf>
    <xf numFmtId="0" fontId="78" fillId="13" borderId="18" xfId="0" applyFont="1" applyFill="1" applyBorder="1" applyAlignment="1">
      <alignment horizontal="center" vertical="center"/>
      <protection locked="0"/>
    </xf>
    <xf numFmtId="0" fontId="9" fillId="13" borderId="23" xfId="0" applyFont="1" applyFill="1" applyBorder="1" applyAlignment="1" applyProtection="1">
      <alignment horizontal="center" vertical="center" wrapText="1"/>
    </xf>
    <xf numFmtId="0" fontId="69" fillId="0" borderId="23" xfId="0" applyFont="1" applyBorder="1" applyAlignment="1" applyProtection="1">
      <alignment horizontal="center" vertical="center" wrapText="1"/>
    </xf>
    <xf numFmtId="0" fontId="81" fillId="13" borderId="23" xfId="0" applyFont="1" applyFill="1" applyBorder="1" applyAlignment="1" applyProtection="1">
      <alignment horizontal="center" vertical="center"/>
    </xf>
    <xf numFmtId="0" fontId="13" fillId="0" borderId="23" xfId="0" applyFont="1" applyBorder="1" applyAlignment="1" applyProtection="1">
      <alignment horizontal="left" vertical="center" wrapText="1"/>
    </xf>
    <xf numFmtId="0" fontId="9" fillId="0" borderId="23" xfId="0" applyFont="1" applyBorder="1" applyAlignment="1" applyProtection="1">
      <alignment horizontal="left" vertical="center" wrapText="1"/>
    </xf>
    <xf numFmtId="0" fontId="13" fillId="13" borderId="23" xfId="0" applyFont="1" applyFill="1" applyBorder="1" applyAlignment="1" applyProtection="1">
      <alignment horizontal="left" vertical="center" wrapText="1"/>
    </xf>
    <xf numFmtId="0" fontId="9" fillId="13" borderId="23" xfId="0" applyFont="1" applyFill="1" applyBorder="1" applyAlignment="1" applyProtection="1">
      <alignment horizontal="left" vertical="center" wrapText="1"/>
    </xf>
    <xf numFmtId="0" fontId="13" fillId="0" borderId="14" xfId="0" applyFont="1" applyBorder="1" applyAlignment="1" applyProtection="1">
      <alignment horizontal="left" vertical="center" wrapText="1"/>
    </xf>
    <xf numFmtId="0" fontId="7" fillId="13" borderId="23" xfId="0" applyFont="1" applyFill="1" applyBorder="1" applyAlignment="1" applyProtection="1">
      <alignment horizontal="center" vertical="center"/>
    </xf>
    <xf numFmtId="0" fontId="7" fillId="13" borderId="14" xfId="0" applyFont="1" applyFill="1" applyBorder="1" applyAlignment="1" applyProtection="1">
      <alignment horizontal="left" vertical="center"/>
    </xf>
    <xf numFmtId="0" fontId="81" fillId="13" borderId="14" xfId="0" applyFont="1" applyFill="1" applyBorder="1" applyAlignment="1" applyProtection="1">
      <alignment horizontal="center" vertical="center"/>
    </xf>
    <xf numFmtId="0" fontId="13" fillId="36" borderId="14" xfId="0" applyFont="1" applyFill="1" applyBorder="1" applyAlignment="1" applyProtection="1">
      <alignment horizontal="left" vertical="center" wrapText="1"/>
    </xf>
    <xf numFmtId="0" fontId="9" fillId="36" borderId="14" xfId="0" applyFont="1" applyFill="1" applyBorder="1" applyAlignment="1" applyProtection="1">
      <alignment horizontal="left" vertical="center" wrapText="1"/>
    </xf>
    <xf numFmtId="0" fontId="7" fillId="13" borderId="14" xfId="0" applyFont="1" applyFill="1" applyBorder="1" applyAlignment="1" applyProtection="1">
      <alignment horizontal="center" vertical="center"/>
    </xf>
    <xf numFmtId="0" fontId="9" fillId="0" borderId="14" xfId="0" applyFont="1" applyBorder="1" applyAlignment="1">
      <alignment horizontal="left" vertical="center" wrapText="1"/>
      <protection locked="0"/>
    </xf>
    <xf numFmtId="0" fontId="79" fillId="0" borderId="14" xfId="0" applyFont="1" applyBorder="1" applyAlignment="1">
      <alignment horizontal="left" vertical="center" wrapText="1" indent="1"/>
      <protection locked="0"/>
    </xf>
    <xf numFmtId="0" fontId="13" fillId="0" borderId="14" xfId="0" applyFont="1" applyBorder="1" applyAlignment="1">
      <alignment horizontal="left" vertical="center" wrapText="1"/>
      <protection locked="0"/>
    </xf>
    <xf numFmtId="0" fontId="9" fillId="0" borderId="14" xfId="0" applyFont="1" applyBorder="1" applyAlignment="1">
      <alignment horizontal="left" vertical="center" wrapText="1" indent="1"/>
      <protection locked="0"/>
    </xf>
    <xf numFmtId="0" fontId="9" fillId="0" borderId="16" xfId="0" applyFont="1" applyBorder="1" applyAlignment="1">
      <alignment horizontal="left" vertical="center" wrapText="1" indent="1"/>
      <protection locked="0"/>
    </xf>
    <xf numFmtId="0" fontId="9" fillId="0" borderId="18" xfId="0" applyFont="1" applyBorder="1" applyAlignment="1">
      <alignment horizontal="left" vertical="center" wrapText="1" indent="1"/>
      <protection locked="0"/>
    </xf>
    <xf numFmtId="0" fontId="78" fillId="13" borderId="14" xfId="0" applyFont="1" applyFill="1" applyBorder="1" applyAlignment="1">
      <alignment horizontal="center" vertical="center" wrapText="1"/>
      <protection locked="0"/>
    </xf>
    <xf numFmtId="0" fontId="121" fillId="0" borderId="0" xfId="0" applyFont="1" applyAlignment="1">
      <alignment horizontal="center" vertical="center"/>
      <protection locked="0"/>
    </xf>
    <xf numFmtId="0" fontId="158" fillId="0" borderId="0" xfId="0" applyFont="1" applyAlignment="1">
      <alignment horizontal="center" vertical="center"/>
      <protection locked="0"/>
    </xf>
    <xf numFmtId="0" fontId="7" fillId="13" borderId="24" xfId="0" applyFont="1" applyFill="1" applyBorder="1" applyAlignment="1">
      <alignment horizontal="center" vertical="center" wrapText="1"/>
      <protection locked="0"/>
    </xf>
    <xf numFmtId="0" fontId="7" fillId="13" borderId="25" xfId="0" applyFont="1" applyFill="1" applyBorder="1" applyAlignment="1">
      <alignment horizontal="center" vertical="center" wrapText="1"/>
      <protection locked="0"/>
    </xf>
    <xf numFmtId="0" fontId="7" fillId="13" borderId="16" xfId="0" applyFont="1" applyFill="1" applyBorder="1" applyAlignment="1">
      <alignment horizontal="center" vertical="center" wrapText="1"/>
      <protection locked="0"/>
    </xf>
    <xf numFmtId="0" fontId="7" fillId="13" borderId="17" xfId="0" applyFont="1" applyFill="1" applyBorder="1" applyAlignment="1">
      <alignment horizontal="center" vertical="center" wrapText="1"/>
      <protection locked="0"/>
    </xf>
    <xf numFmtId="0" fontId="7" fillId="13" borderId="18" xfId="0" applyFont="1" applyFill="1" applyBorder="1" applyAlignment="1">
      <alignment horizontal="center" vertical="center" wrapText="1"/>
      <protection locked="0"/>
    </xf>
    <xf numFmtId="0" fontId="7" fillId="13" borderId="16" xfId="0" applyFont="1" applyFill="1" applyBorder="1" applyAlignment="1">
      <alignment horizontal="center" vertical="center"/>
      <protection locked="0"/>
    </xf>
    <xf numFmtId="0" fontId="7" fillId="13" borderId="17" xfId="0" applyFont="1" applyFill="1" applyBorder="1" applyAlignment="1">
      <alignment horizontal="center" vertical="center"/>
      <protection locked="0"/>
    </xf>
    <xf numFmtId="0" fontId="7" fillId="13" borderId="18" xfId="0" applyFont="1" applyFill="1" applyBorder="1" applyAlignment="1">
      <alignment horizontal="center" vertical="center"/>
      <protection locked="0"/>
    </xf>
    <xf numFmtId="0" fontId="7" fillId="13" borderId="14" xfId="254" applyFont="1" applyFill="1" applyBorder="1" applyAlignment="1">
      <alignment horizontal="center" vertical="center" wrapText="1"/>
    </xf>
    <xf numFmtId="0" fontId="7" fillId="0" borderId="20" xfId="254" applyFont="1" applyBorder="1" applyAlignment="1">
      <alignment horizontal="left" vertical="center" wrapText="1"/>
    </xf>
    <xf numFmtId="10" fontId="7" fillId="13" borderId="14" xfId="200" applyNumberFormat="1" applyFont="1" applyFill="1" applyBorder="1" applyAlignment="1">
      <alignment horizontal="center" vertical="center" wrapText="1"/>
    </xf>
    <xf numFmtId="0" fontId="7" fillId="13" borderId="14" xfId="254" applyFont="1" applyFill="1" applyBorder="1" applyAlignment="1">
      <alignment horizontal="center" vertical="center"/>
    </xf>
    <xf numFmtId="0" fontId="9" fillId="0" borderId="14" xfId="254" applyFont="1" applyBorder="1" applyAlignment="1">
      <alignment horizontal="left" vertical="center"/>
    </xf>
    <xf numFmtId="0" fontId="9" fillId="13" borderId="14" xfId="254" applyFont="1" applyFill="1" applyBorder="1" applyAlignment="1">
      <alignment horizontal="center" vertical="center"/>
    </xf>
    <xf numFmtId="0" fontId="7" fillId="0" borderId="14" xfId="254" applyFont="1" applyBorder="1" applyAlignment="1">
      <alignment horizontal="center" vertical="center"/>
    </xf>
    <xf numFmtId="0" fontId="9" fillId="13" borderId="16" xfId="254" applyFont="1" applyFill="1" applyBorder="1" applyAlignment="1">
      <alignment horizontal="center" vertical="center"/>
    </xf>
    <xf numFmtId="0" fontId="9" fillId="13" borderId="17" xfId="254" applyFont="1" applyFill="1" applyBorder="1" applyAlignment="1">
      <alignment horizontal="center" vertical="center"/>
    </xf>
    <xf numFmtId="0" fontId="9" fillId="13" borderId="18" xfId="254" applyFont="1" applyFill="1" applyBorder="1" applyAlignment="1">
      <alignment horizontal="center" vertical="center"/>
    </xf>
    <xf numFmtId="0" fontId="7" fillId="0" borderId="14" xfId="254" applyFont="1" applyBorder="1" applyAlignment="1">
      <alignment horizontal="left" vertical="center"/>
    </xf>
    <xf numFmtId="0" fontId="9" fillId="0" borderId="14" xfId="254" applyFont="1" applyBorder="1" applyAlignment="1">
      <alignment horizontal="left" vertical="center" wrapText="1"/>
    </xf>
    <xf numFmtId="10" fontId="7" fillId="36" borderId="23" xfId="2" applyNumberFormat="1" applyFont="1" applyFill="1" applyBorder="1" applyAlignment="1" applyProtection="1">
      <alignment horizontal="center" vertical="center" wrapText="1"/>
      <protection locked="0"/>
    </xf>
    <xf numFmtId="43" fontId="5" fillId="36" borderId="3" xfId="0" applyNumberFormat="1" applyFont="1" applyFill="1" applyBorder="1" applyAlignment="1">
      <alignment horizontal="center" vertical="center" wrapText="1"/>
      <protection locked="0"/>
    </xf>
    <xf numFmtId="43" fontId="5" fillId="36" borderId="6" xfId="0" applyNumberFormat="1" applyFont="1" applyFill="1" applyBorder="1" applyAlignment="1">
      <alignment horizontal="center" vertical="center" wrapText="1"/>
      <protection locked="0"/>
    </xf>
    <xf numFmtId="223" fontId="7" fillId="36" borderId="23" xfId="381" applyNumberFormat="1" applyFont="1" applyFill="1" applyBorder="1" applyAlignment="1">
      <alignment horizontal="center" vertical="center" wrapText="1"/>
    </xf>
    <xf numFmtId="0" fontId="9" fillId="0" borderId="14" xfId="253" applyFont="1" applyBorder="1" applyAlignment="1">
      <alignment horizontal="center" vertical="center"/>
    </xf>
    <xf numFmtId="0" fontId="7" fillId="0" borderId="14" xfId="253" applyFont="1" applyBorder="1" applyAlignment="1">
      <alignment horizontal="center" vertical="center"/>
    </xf>
    <xf numFmtId="0" fontId="7" fillId="13" borderId="3" xfId="253" applyFont="1" applyFill="1" applyBorder="1" applyAlignment="1">
      <alignment horizontal="center" vertical="center" wrapText="1"/>
    </xf>
    <xf numFmtId="0" fontId="7" fillId="13" borderId="6" xfId="253" applyFont="1" applyFill="1" applyBorder="1" applyAlignment="1">
      <alignment horizontal="center" vertical="center" wrapText="1"/>
    </xf>
    <xf numFmtId="0" fontId="5" fillId="0" borderId="0" xfId="253" applyFont="1" applyAlignment="1">
      <alignment horizontal="left" vertical="center" wrapText="1"/>
    </xf>
    <xf numFmtId="0" fontId="7" fillId="0" borderId="0" xfId="253" applyFont="1" applyAlignment="1">
      <alignment horizontal="left" vertical="center" wrapText="1"/>
    </xf>
    <xf numFmtId="0" fontId="7" fillId="13" borderId="14" xfId="253" applyFont="1" applyFill="1" applyBorder="1" applyAlignment="1">
      <alignment horizontal="center" vertical="center"/>
    </xf>
    <xf numFmtId="0" fontId="7" fillId="13" borderId="14" xfId="253" applyFont="1" applyFill="1" applyBorder="1" applyAlignment="1">
      <alignment horizontal="center" vertical="center" wrapText="1"/>
    </xf>
    <xf numFmtId="0" fontId="5" fillId="13" borderId="14" xfId="253" applyFont="1" applyFill="1" applyBorder="1" applyAlignment="1">
      <alignment horizontal="center" vertical="center"/>
    </xf>
    <xf numFmtId="0" fontId="5" fillId="13" borderId="14" xfId="253" applyFont="1" applyFill="1" applyBorder="1" applyAlignment="1">
      <alignment horizontal="center" vertical="center" wrapText="1"/>
    </xf>
    <xf numFmtId="0" fontId="9" fillId="0" borderId="14" xfId="253" applyFont="1" applyBorder="1" applyAlignment="1">
      <alignment horizontal="left" vertical="center"/>
    </xf>
    <xf numFmtId="0" fontId="5" fillId="13" borderId="16" xfId="0" applyFont="1" applyFill="1" applyBorder="1" applyAlignment="1">
      <alignment horizontal="center" vertical="center" wrapText="1"/>
      <protection locked="0"/>
    </xf>
    <xf numFmtId="0" fontId="5" fillId="13" borderId="18" xfId="0" applyFont="1" applyFill="1" applyBorder="1" applyAlignment="1">
      <alignment horizontal="center" vertical="center" wrapText="1"/>
      <protection locked="0"/>
    </xf>
    <xf numFmtId="0" fontId="5" fillId="13" borderId="24" xfId="0" applyFont="1" applyFill="1" applyBorder="1" applyAlignment="1">
      <alignment horizontal="center" vertical="center" wrapText="1"/>
      <protection locked="0"/>
    </xf>
    <xf numFmtId="0" fontId="5" fillId="13" borderId="25" xfId="0" applyFont="1" applyFill="1" applyBorder="1" applyAlignment="1">
      <alignment horizontal="center" vertical="center" wrapText="1"/>
      <protection locked="0"/>
    </xf>
    <xf numFmtId="0" fontId="121" fillId="0" borderId="0" xfId="244" applyFont="1" applyAlignment="1">
      <alignment horizontal="center" vertical="center" wrapText="1"/>
    </xf>
    <xf numFmtId="0" fontId="158" fillId="0" borderId="0" xfId="244" applyFont="1" applyAlignment="1">
      <alignment horizontal="center" vertical="center" wrapText="1"/>
    </xf>
    <xf numFmtId="0" fontId="5" fillId="13" borderId="3" xfId="0" applyFont="1" applyFill="1" applyBorder="1" applyAlignment="1">
      <alignment horizontal="center" vertical="center" wrapText="1"/>
      <protection locked="0"/>
    </xf>
    <xf numFmtId="0" fontId="5" fillId="13" borderId="6" xfId="0" applyFont="1" applyFill="1" applyBorder="1" applyAlignment="1">
      <alignment horizontal="center" vertical="center" wrapText="1"/>
      <protection locked="0"/>
    </xf>
    <xf numFmtId="0" fontId="7" fillId="13" borderId="14" xfId="0" applyFont="1" applyFill="1" applyBorder="1" applyAlignment="1">
      <alignment horizontal="center" vertical="center"/>
      <protection locked="0"/>
    </xf>
    <xf numFmtId="0" fontId="7" fillId="13" borderId="16" xfId="207" applyFont="1" applyFill="1" applyBorder="1" applyAlignment="1">
      <alignment horizontal="center" vertical="center"/>
      <protection locked="0"/>
    </xf>
    <xf numFmtId="0" fontId="7" fillId="13" borderId="18" xfId="207" applyFont="1" applyFill="1" applyBorder="1" applyAlignment="1">
      <alignment horizontal="center" vertical="center"/>
      <protection locked="0"/>
    </xf>
    <xf numFmtId="0" fontId="5" fillId="36" borderId="24" xfId="0" applyFont="1" applyFill="1" applyBorder="1" applyAlignment="1" applyProtection="1">
      <alignment horizontal="center" vertical="center"/>
    </xf>
    <xf numFmtId="0" fontId="7" fillId="36" borderId="17" xfId="0" applyFont="1" applyFill="1" applyBorder="1" applyAlignment="1" applyProtection="1">
      <alignment horizontal="center" vertical="center"/>
    </xf>
    <xf numFmtId="0" fontId="7" fillId="36" borderId="25" xfId="0" applyFont="1" applyFill="1" applyBorder="1" applyAlignment="1" applyProtection="1">
      <alignment horizontal="center" vertical="center"/>
    </xf>
    <xf numFmtId="0" fontId="5" fillId="13" borderId="3" xfId="0" applyFont="1" applyFill="1" applyBorder="1" applyAlignment="1" applyProtection="1">
      <alignment horizontal="center" vertical="center" wrapText="1"/>
    </xf>
    <xf numFmtId="0" fontId="5" fillId="13" borderId="6" xfId="0" applyFont="1" applyFill="1" applyBorder="1" applyAlignment="1" applyProtection="1">
      <alignment horizontal="center" vertical="center" wrapText="1"/>
    </xf>
    <xf numFmtId="0" fontId="5" fillId="36" borderId="3" xfId="0" applyFont="1" applyFill="1" applyBorder="1" applyAlignment="1" applyProtection="1">
      <alignment horizontal="center" vertical="center" wrapText="1"/>
    </xf>
    <xf numFmtId="0" fontId="7" fillId="36" borderId="6" xfId="0" applyFont="1" applyFill="1" applyBorder="1" applyAlignment="1" applyProtection="1">
      <alignment horizontal="center" vertical="center" wrapText="1"/>
    </xf>
    <xf numFmtId="0" fontId="7" fillId="13" borderId="3" xfId="0" applyFont="1" applyFill="1" applyBorder="1" applyAlignment="1" applyProtection="1">
      <alignment horizontal="center" vertical="center"/>
    </xf>
    <xf numFmtId="0" fontId="7" fillId="13" borderId="6" xfId="0" applyFont="1" applyFill="1" applyBorder="1" applyAlignment="1" applyProtection="1">
      <alignment horizontal="center" vertical="center"/>
    </xf>
    <xf numFmtId="0" fontId="7" fillId="13" borderId="3" xfId="0" applyFont="1" applyFill="1" applyBorder="1" applyAlignment="1" applyProtection="1">
      <alignment horizontal="center" vertical="center" wrapText="1"/>
    </xf>
    <xf numFmtId="0" fontId="7" fillId="13" borderId="6" xfId="0" applyFont="1" applyFill="1" applyBorder="1" applyAlignment="1" applyProtection="1">
      <alignment horizontal="center" vertical="center" wrapText="1"/>
    </xf>
    <xf numFmtId="14" fontId="5" fillId="36" borderId="23" xfId="387" applyNumberFormat="1" applyFont="1" applyFill="1" applyBorder="1" applyAlignment="1">
      <alignment horizontal="center" vertical="center"/>
      <protection locked="0"/>
    </xf>
    <xf numFmtId="0" fontId="7" fillId="0" borderId="0" xfId="384" applyFont="1" applyAlignment="1">
      <alignment horizontal="left" vertical="center"/>
    </xf>
    <xf numFmtId="0" fontId="5" fillId="39" borderId="23" xfId="386" applyFont="1" applyFill="1" applyBorder="1" applyAlignment="1">
      <alignment horizontal="center" vertical="center"/>
      <protection locked="0"/>
    </xf>
    <xf numFmtId="0" fontId="162" fillId="40" borderId="23" xfId="386" applyNumberFormat="1" applyFont="1" applyFill="1" applyBorder="1" applyAlignment="1" applyProtection="1">
      <alignment horizontal="center" vertical="center" wrapText="1"/>
    </xf>
    <xf numFmtId="205" fontId="7" fillId="39" borderId="24" xfId="387" applyFont="1" applyFill="1" applyBorder="1" applyAlignment="1">
      <alignment horizontal="center" vertical="center"/>
      <protection locked="0"/>
    </xf>
    <xf numFmtId="205" fontId="7" fillId="39" borderId="17" xfId="387" applyFont="1" applyFill="1" applyBorder="1" applyAlignment="1">
      <alignment horizontal="center" vertical="center"/>
      <protection locked="0"/>
    </xf>
    <xf numFmtId="205" fontId="7" fillId="39" borderId="25" xfId="387" applyFont="1" applyFill="1" applyBorder="1" applyAlignment="1">
      <alignment horizontal="center" vertical="center"/>
      <protection locked="0"/>
    </xf>
    <xf numFmtId="0" fontId="5" fillId="40" borderId="23" xfId="386" applyNumberFormat="1" applyFont="1" applyFill="1" applyBorder="1" applyAlignment="1" applyProtection="1">
      <alignment horizontal="center" vertical="center" wrapText="1"/>
    </xf>
    <xf numFmtId="205" fontId="5" fillId="39" borderId="23" xfId="388" applyFont="1" applyFill="1" applyBorder="1" applyAlignment="1">
      <alignment horizontal="center" vertical="center"/>
      <protection locked="0"/>
    </xf>
    <xf numFmtId="205" fontId="7" fillId="39" borderId="23" xfId="388" applyFont="1" applyFill="1" applyBorder="1" applyAlignment="1">
      <alignment horizontal="center" vertical="center"/>
      <protection locked="0"/>
    </xf>
    <xf numFmtId="205" fontId="5" fillId="36" borderId="23" xfId="388" applyFont="1" applyFill="1" applyBorder="1" applyAlignment="1">
      <alignment horizontal="center" vertical="center" wrapText="1"/>
      <protection locked="0"/>
    </xf>
    <xf numFmtId="205" fontId="7" fillId="36" borderId="23" xfId="388" applyFont="1" applyFill="1" applyBorder="1" applyAlignment="1">
      <alignment horizontal="center" vertical="center" wrapText="1"/>
      <protection locked="0"/>
    </xf>
    <xf numFmtId="205" fontId="7" fillId="36" borderId="24" xfId="387" applyFont="1" applyFill="1" applyBorder="1" applyAlignment="1">
      <alignment horizontal="center" vertical="center"/>
      <protection locked="0"/>
    </xf>
    <xf numFmtId="205" fontId="7" fillId="36" borderId="17" xfId="387" applyFont="1" applyFill="1" applyBorder="1" applyAlignment="1">
      <alignment horizontal="center" vertical="center"/>
      <protection locked="0"/>
    </xf>
    <xf numFmtId="205" fontId="7" fillId="36" borderId="25" xfId="387" applyFont="1" applyFill="1" applyBorder="1" applyAlignment="1">
      <alignment horizontal="center" vertical="center"/>
      <protection locked="0"/>
    </xf>
    <xf numFmtId="205" fontId="5" fillId="40" borderId="23" xfId="390" applyFont="1" applyFill="1" applyBorder="1" applyAlignment="1" applyProtection="1">
      <alignment horizontal="center" vertical="center" wrapText="1"/>
    </xf>
    <xf numFmtId="205" fontId="5" fillId="40" borderId="3" xfId="390" applyFont="1" applyFill="1" applyBorder="1" applyAlignment="1" applyProtection="1">
      <alignment horizontal="center" vertical="center" wrapText="1"/>
    </xf>
    <xf numFmtId="205" fontId="5" fillId="40" borderId="6" xfId="390" applyFont="1" applyFill="1" applyBorder="1" applyAlignment="1" applyProtection="1">
      <alignment horizontal="center" vertical="center" wrapText="1"/>
    </xf>
    <xf numFmtId="205" fontId="5" fillId="36" borderId="23" xfId="388" applyFont="1" applyFill="1" applyBorder="1" applyAlignment="1">
      <alignment horizontal="center" vertical="center"/>
      <protection locked="0"/>
    </xf>
    <xf numFmtId="205" fontId="7" fillId="36" borderId="23" xfId="388" applyFont="1" applyFill="1" applyBorder="1" applyAlignment="1">
      <alignment horizontal="center" vertical="center"/>
      <protection locked="0"/>
    </xf>
    <xf numFmtId="205" fontId="88" fillId="0" borderId="0" xfId="392" applyFont="1" applyFill="1" applyAlignment="1">
      <alignment horizontal="left" vertical="center"/>
    </xf>
    <xf numFmtId="0" fontId="5" fillId="13" borderId="23" xfId="363" applyFont="1" applyFill="1" applyBorder="1" applyAlignment="1" applyProtection="1">
      <alignment horizontal="center" vertical="center" wrapText="1"/>
      <protection locked="0"/>
    </xf>
  </cellXfs>
  <cellStyles count="393">
    <cellStyle name="%" xfId="5"/>
    <cellStyle name="% 2" xfId="6"/>
    <cellStyle name="?" xfId="7"/>
    <cellStyle name="??" xfId="256"/>
    <cellStyle name="?? [0]" xfId="257"/>
    <cellStyle name="??_0N-HANDLING " xfId="258"/>
    <cellStyle name="?餡_x000c_k" xfId="8"/>
    <cellStyle name="?餡_x000c_k?_x000d_^" xfId="9"/>
    <cellStyle name="?餡_x000c_k?_x000d_^黇_x0001_??_x0007__x0001__x0001_" xfId="10"/>
    <cellStyle name="@_text" xfId="11"/>
    <cellStyle name="@_text_子公司附注汇总(房开公司)" xfId="12"/>
    <cellStyle name="_(本部)2006年年报审计PBC表" xfId="13"/>
    <cellStyle name="_07930建造合同" xfId="14"/>
    <cellStyle name="_12月项目部访问及审计-德勤" xfId="15"/>
    <cellStyle name="_2005-08-31审计底稿－李" xfId="16"/>
    <cellStyle name="_2005审计报表及附注-中国建材股份模板（房屋）" xfId="17"/>
    <cellStyle name="_2006年年报审计PBC表（合并）" xfId="18"/>
    <cellStyle name="_2006年年报审计PBC表-XX" xfId="19"/>
    <cellStyle name="_2006年年报审计PBC表-XXX" xfId="20"/>
    <cellStyle name="_2006年年报审计PBC表-福州分公司" xfId="21"/>
    <cellStyle name="_2006年年报审计PBC表-云南分公司" xfId="22"/>
    <cellStyle name="_2006年年报审计填报资料" xfId="23"/>
    <cellStyle name="_2007调整分录-鲁佳" xfId="24"/>
    <cellStyle name="_Book1" xfId="25"/>
    <cellStyle name="_CREC(Huo" xfId="26"/>
    <cellStyle name="_ET_STYLE_NoName_00_" xfId="27"/>
    <cellStyle name="_ET_STYLE_NoName_00__2007调整分录-鲁佳" xfId="28"/>
    <cellStyle name="_ET_STYLE_NoName_00__股份本部" xfId="29"/>
    <cellStyle name="_ET_STYLE_NoName_00__股份本部_1" xfId="30"/>
    <cellStyle name="_ET_STYLE_NoName_00__股份本部_3" xfId="31"/>
    <cellStyle name="_ET_STYLE_NoName_00__股份本部_6_股份本部_2" xfId="32"/>
    <cellStyle name="_ET_STYLE_NoName_00__股份本部_7_股份本部_3" xfId="33"/>
    <cellStyle name="_J1000-存货-ZHHG" xfId="34"/>
    <cellStyle name="_PBC审核提示" xfId="35"/>
    <cellStyle name="_宝丽华房地产20051231" xfId="36"/>
    <cellStyle name="_保证金-企业填写部分" xfId="37"/>
    <cellStyle name="_北新房屋2004年审-刘" xfId="38"/>
    <cellStyle name="_北新股份2005年审工作底稿" xfId="39"/>
    <cellStyle name="_北新建材关连交易基础表051230（10－12月版）更新稿" xfId="40"/>
    <cellStyle name="_北新建材-会计报表附注模版" xfId="41"/>
    <cellStyle name="_北新龙之星2004年审工作底稿" xfId="42"/>
    <cellStyle name="_北新物流2005底稿-刘" xfId="43"/>
    <cellStyle name="_北新置换memo" xfId="44"/>
    <cellStyle name="_本部其他应收应付年审底稿--鲁佳pb" xfId="45"/>
    <cellStyle name="_存货结转测试" xfId="46"/>
    <cellStyle name="_存货数量与明细05.12" xfId="47"/>
    <cellStyle name="_动力厂2004年审工作底稿-刘" xfId="48"/>
    <cellStyle name="_分工" xfId="49"/>
    <cellStyle name="_工程施工项目现场审计提示" xfId="50"/>
    <cellStyle name="_关联交易" xfId="51"/>
    <cellStyle name="_关联交易、往来统计表" xfId="52"/>
    <cellStyle name="_合并报表审计调整模板(CREC)" xfId="53"/>
    <cellStyle name="_合并公司2006年度科目明细表(定稿)" xfId="54"/>
    <cellStyle name="_建造合同-宜万指（正式版）" xfId="55"/>
    <cellStyle name="_科目核对表" xfId="56"/>
    <cellStyle name="_刘青分工填列信息统计" xfId="57"/>
    <cellStyle name="_刘青分工－子公司审计模板-电务" xfId="58"/>
    <cellStyle name="_刘青分工－子公司审计模板－铁达本部" xfId="59"/>
    <cellStyle name="_母PL" xfId="60"/>
    <cellStyle name="_母公司底稿-鲁佳" xfId="61"/>
    <cellStyle name="_年审筹资循环资料清单" xfId="62"/>
    <cellStyle name="_人员分工备忘录" xfId="63"/>
    <cellStyle name="_审计底稿-轩" xfId="64"/>
    <cellStyle name="_审计所需资料清单－子公司" xfId="65"/>
    <cellStyle name="_审计提示模版" xfId="66"/>
    <cellStyle name="_审计提示模版-母公司部分" xfId="67"/>
    <cellStyle name="_铁鸿源－刘青分工－子公司审计模板" xfId="68"/>
    <cellStyle name="_兴华审计成本" xfId="69"/>
    <cellStyle name="_岩土长投--急0121报王占学" xfId="70"/>
    <cellStyle name="_一公司建造合同前5名" xfId="71"/>
    <cellStyle name="_一公司－刘丰收" xfId="72"/>
    <cellStyle name="_银行询证函统计－大表" xfId="73"/>
    <cellStyle name="_长期借款－江阴" xfId="74"/>
    <cellStyle name="_子公司筹资循环－刘青" xfId="75"/>
    <cellStyle name="_子公司审计提示模版-Liufs" xfId="76"/>
    <cellStyle name="{Comma [0]}" xfId="77"/>
    <cellStyle name="{Comma}" xfId="78"/>
    <cellStyle name="{Date}" xfId="79"/>
    <cellStyle name="{Month}" xfId="80"/>
    <cellStyle name="{Percent}" xfId="81"/>
    <cellStyle name="{Thousand [0]}" xfId="82"/>
    <cellStyle name="{Thousand}" xfId="83"/>
    <cellStyle name="{Z'0000(1 dec)}" xfId="84"/>
    <cellStyle name="{Z'0000(4 dec)}" xfId="85"/>
    <cellStyle name="0%" xfId="86"/>
    <cellStyle name="0,0_x000d__x000a_NA_x000d__x000a_" xfId="87"/>
    <cellStyle name="0.0%" xfId="88"/>
    <cellStyle name="0.00%" xfId="89"/>
    <cellStyle name="00" xfId="90"/>
    <cellStyle name="20% - Accent1" xfId="285"/>
    <cellStyle name="20% - Accent2" xfId="286"/>
    <cellStyle name="20% - Accent3" xfId="287"/>
    <cellStyle name="20% - Accent4" xfId="288"/>
    <cellStyle name="20% - Accent5" xfId="289"/>
    <cellStyle name="20% - Accent6" xfId="290"/>
    <cellStyle name="40% - Accent1" xfId="291"/>
    <cellStyle name="40% - Accent2" xfId="292"/>
    <cellStyle name="40% - Accent3" xfId="293"/>
    <cellStyle name="40% - Accent4" xfId="294"/>
    <cellStyle name="40% - Accent5" xfId="295"/>
    <cellStyle name="40% - Accent6" xfId="296"/>
    <cellStyle name="60% - Accent1" xfId="297"/>
    <cellStyle name="60% - Accent2" xfId="298"/>
    <cellStyle name="60% - Accent3" xfId="299"/>
    <cellStyle name="60% - Accent4" xfId="300"/>
    <cellStyle name="60% - Accent5" xfId="301"/>
    <cellStyle name="60% - Accent6" xfId="302"/>
    <cellStyle name="Accent1" xfId="303"/>
    <cellStyle name="Accent2" xfId="304"/>
    <cellStyle name="Accent3" xfId="305"/>
    <cellStyle name="Accent4" xfId="306"/>
    <cellStyle name="Accent5" xfId="307"/>
    <cellStyle name="Accent6" xfId="308"/>
    <cellStyle name="args.style" xfId="259"/>
    <cellStyle name="Bad" xfId="309"/>
    <cellStyle name="Black" xfId="91"/>
    <cellStyle name="Border" xfId="92"/>
    <cellStyle name="Calc Currency (0)" xfId="93"/>
    <cellStyle name="Calc Currency (2)" xfId="94"/>
    <cellStyle name="Calc Percent (0)" xfId="95"/>
    <cellStyle name="Calc Percent (1)" xfId="96"/>
    <cellStyle name="Calc Percent (2)" xfId="97"/>
    <cellStyle name="Calc Units (0)" xfId="98"/>
    <cellStyle name="Calc Units (1)" xfId="99"/>
    <cellStyle name="Calc Units (2)" xfId="100"/>
    <cellStyle name="Calculation" xfId="310"/>
    <cellStyle name="category" xfId="101"/>
    <cellStyle name="Check Cell" xfId="311"/>
    <cellStyle name="Col Heads" xfId="102"/>
    <cellStyle name="Column_Title" xfId="103"/>
    <cellStyle name="Comma  - Style1" xfId="104"/>
    <cellStyle name="Comma  - Style2" xfId="105"/>
    <cellStyle name="Comma  - Style3" xfId="106"/>
    <cellStyle name="Comma  - Style4" xfId="107"/>
    <cellStyle name="Comma  - Style5" xfId="108"/>
    <cellStyle name="Comma  - Style6" xfId="109"/>
    <cellStyle name="Comma  - Style7" xfId="110"/>
    <cellStyle name="Comma  - Style8" xfId="111"/>
    <cellStyle name="Comma [0]_ rislugp" xfId="112"/>
    <cellStyle name="Comma [00]" xfId="113"/>
    <cellStyle name="Comma 28" xfId="114"/>
    <cellStyle name="comma zerodec" xfId="115"/>
    <cellStyle name="Comma,0" xfId="116"/>
    <cellStyle name="Comma,1" xfId="117"/>
    <cellStyle name="Comma,2" xfId="118"/>
    <cellStyle name="Comma_ rislugp" xfId="119"/>
    <cellStyle name="Copied" xfId="260"/>
    <cellStyle name="COST1" xfId="261"/>
    <cellStyle name="Currency [0]_ rislugp" xfId="120"/>
    <cellStyle name="Currency [00]" xfId="121"/>
    <cellStyle name="Currency,0" xfId="122"/>
    <cellStyle name="Currency,2" xfId="123"/>
    <cellStyle name="Currency_ rislugp" xfId="124"/>
    <cellStyle name="Currency1" xfId="125"/>
    <cellStyle name="Date" xfId="262"/>
    <cellStyle name="Date Short" xfId="126"/>
    <cellStyle name="Dezimal [0]_laroux" xfId="127"/>
    <cellStyle name="Dezimal_laroux" xfId="128"/>
    <cellStyle name="Dollar (zero dec)" xfId="129"/>
    <cellStyle name="E&amp;Y House" xfId="263"/>
    <cellStyle name="Enter Currency (0)" xfId="130"/>
    <cellStyle name="Enter Currency (2)" xfId="131"/>
    <cellStyle name="Enter Units (0)" xfId="132"/>
    <cellStyle name="Enter Units (1)" xfId="133"/>
    <cellStyle name="Enter Units (2)" xfId="134"/>
    <cellStyle name="Entered" xfId="264"/>
    <cellStyle name="entry" xfId="135"/>
    <cellStyle name="entry box" xfId="136"/>
    <cellStyle name="Euro" xfId="137"/>
    <cellStyle name="Explanatory Text" xfId="312"/>
    <cellStyle name="Followed Hyperlink_AheadBehind.xls Chart 23" xfId="138"/>
    <cellStyle name="Good" xfId="313"/>
    <cellStyle name="Grey" xfId="139"/>
    <cellStyle name="HEADER" xfId="140"/>
    <cellStyle name="Header1" xfId="141"/>
    <cellStyle name="Header2" xfId="142"/>
    <cellStyle name="Heading" xfId="143"/>
    <cellStyle name="Heading 1" xfId="314"/>
    <cellStyle name="Heading 2" xfId="315"/>
    <cellStyle name="Heading 3" xfId="316"/>
    <cellStyle name="Heading 4" xfId="317"/>
    <cellStyle name="Hyperlink_AheadBehind.xls Chart 23" xfId="144"/>
    <cellStyle name="Input" xfId="318"/>
    <cellStyle name="Input [yellow]" xfId="145"/>
    <cellStyle name="Input Cells" xfId="265"/>
    <cellStyle name="left" xfId="146"/>
    <cellStyle name="Link Currency (0)" xfId="147"/>
    <cellStyle name="Link Currency (2)" xfId="148"/>
    <cellStyle name="Link Units (0)" xfId="149"/>
    <cellStyle name="Link Units (1)" xfId="150"/>
    <cellStyle name="Link Units (2)" xfId="151"/>
    <cellStyle name="Linked Cell" xfId="319"/>
    <cellStyle name="Linked Cells" xfId="266"/>
    <cellStyle name="Millares [0]_laroux" xfId="152"/>
    <cellStyle name="Millares_laroux" xfId="153"/>
    <cellStyle name="Milliers [0]_!!!GO" xfId="267"/>
    <cellStyle name="Milliers_!!!GO" xfId="268"/>
    <cellStyle name="Model" xfId="154"/>
    <cellStyle name="Moneda [0]_laroux" xfId="155"/>
    <cellStyle name="Moneda_laroux" xfId="156"/>
    <cellStyle name="Monétaire [0]_!!!GO" xfId="269"/>
    <cellStyle name="Monétaire_!!!GO" xfId="270"/>
    <cellStyle name="Mon閠aire [0]_laroux" xfId="157"/>
    <cellStyle name="Mon閠aire_laroux" xfId="158"/>
    <cellStyle name="Neutral" xfId="320"/>
    <cellStyle name="New Times Roman" xfId="271"/>
    <cellStyle name="no dec" xfId="159"/>
    <cellStyle name="Non défini" xfId="160"/>
    <cellStyle name="Normal - Style1" xfId="161"/>
    <cellStyle name="Normal 2" xfId="321"/>
    <cellStyle name="Normal 2 2" xfId="322"/>
    <cellStyle name="Normal 21" xfId="162"/>
    <cellStyle name="Normal 3 2" xfId="323"/>
    <cellStyle name="Normal_ rislugp" xfId="163"/>
    <cellStyle name="Normalny_Arkusz1" xfId="164"/>
    <cellStyle name="Note" xfId="324"/>
    <cellStyle name="Œ…‹æØ‚è [0.00]_Region Orders (2)" xfId="272"/>
    <cellStyle name="Œ…‹æØ‚è_Region Orders (2)" xfId="273"/>
    <cellStyle name="Output" xfId="325"/>
    <cellStyle name="per.style" xfId="274"/>
    <cellStyle name="Percent (0)" xfId="165"/>
    <cellStyle name="Percent [0]" xfId="166"/>
    <cellStyle name="Percent [00]" xfId="167"/>
    <cellStyle name="Percent [2]" xfId="168"/>
    <cellStyle name="Prefilled" xfId="169"/>
    <cellStyle name="PrePop Currency (0)" xfId="170"/>
    <cellStyle name="PrePop Currency (2)" xfId="171"/>
    <cellStyle name="PrePop Units (0)" xfId="172"/>
    <cellStyle name="PrePop Units (1)" xfId="173"/>
    <cellStyle name="PrePop Units (2)" xfId="174"/>
    <cellStyle name="price" xfId="175"/>
    <cellStyle name="pricing" xfId="275"/>
    <cellStyle name="PSChar" xfId="276"/>
    <cellStyle name="Red" xfId="176"/>
    <cellStyle name="revised" xfId="177"/>
    <cellStyle name="RevList" xfId="277"/>
    <cellStyle name="row_def_array" xfId="178"/>
    <cellStyle name="S4" xfId="179"/>
    <cellStyle name="S5" xfId="180"/>
    <cellStyle name="section" xfId="181"/>
    <cellStyle name="SOR" xfId="182"/>
    <cellStyle name="style" xfId="183"/>
    <cellStyle name="style1" xfId="184"/>
    <cellStyle name="style2" xfId="185"/>
    <cellStyle name="subhead" xfId="186"/>
    <cellStyle name="Subtotal" xfId="278"/>
    <cellStyle name="Text Indent A" xfId="187"/>
    <cellStyle name="Text Indent B" xfId="188"/>
    <cellStyle name="Text Indent C" xfId="189"/>
    <cellStyle name="Tickmark" xfId="190"/>
    <cellStyle name="title" xfId="191"/>
    <cellStyle name="Total" xfId="326"/>
    <cellStyle name="Warning Text" xfId="327"/>
    <cellStyle name="wrap" xfId="192"/>
    <cellStyle name="パーセント_laroux" xfId="193"/>
    <cellStyle name="_PLDT" xfId="194"/>
    <cellStyle name="_laroux" xfId="195"/>
    <cellStyle name="だ[0]_PLDT" xfId="196"/>
    <cellStyle name="だ_PLDT" xfId="197"/>
    <cellStyle name="だ[0]_Total (2)" xfId="198"/>
    <cellStyle name="だ_laroux" xfId="199"/>
    <cellStyle name="百分比" xfId="2" builtinId="5"/>
    <cellStyle name="百分比 2" xfId="200"/>
    <cellStyle name="百分比 2 2" xfId="378"/>
    <cellStyle name="百分比 3" xfId="201"/>
    <cellStyle name="捠壿 [0.00]_PRODUCT DETAIL Q1" xfId="202"/>
    <cellStyle name="捠壿_PRODUCT DETAIL Q1" xfId="203"/>
    <cellStyle name="標準_１１月価格表" xfId="204"/>
    <cellStyle name="差_StartUp" xfId="279"/>
    <cellStyle name="差_T1000-主营业务收入-LJCH" xfId="205"/>
    <cellStyle name="差_子公司附注汇总(房开公司)" xfId="206"/>
    <cellStyle name="常规" xfId="0" builtinId="0"/>
    <cellStyle name="常规 10" xfId="328"/>
    <cellStyle name="常规 10 2" xfId="329"/>
    <cellStyle name="常规 10 3" xfId="330"/>
    <cellStyle name="常规 10 4" xfId="331"/>
    <cellStyle name="常规 11 2" xfId="332"/>
    <cellStyle name="常规 11 3" xfId="333"/>
    <cellStyle name="常规 11 4" xfId="334"/>
    <cellStyle name="常规 11 5" xfId="392"/>
    <cellStyle name="常规 12 2" xfId="335"/>
    <cellStyle name="常规 12 3" xfId="336"/>
    <cellStyle name="常规 12 4" xfId="337"/>
    <cellStyle name="常规 13 2" xfId="338"/>
    <cellStyle name="常规 13 3" xfId="339"/>
    <cellStyle name="常规 13 4" xfId="340"/>
    <cellStyle name="常规 2" xfId="207"/>
    <cellStyle name="常规 2 2" xfId="208"/>
    <cellStyle name="常规 2 2 2" xfId="341"/>
    <cellStyle name="常规 2 2 3" xfId="342"/>
    <cellStyle name="常规 2 2 3 2" xfId="386"/>
    <cellStyle name="常规 2 2 4" xfId="376"/>
    <cellStyle name="常规 2 2 5" xfId="388"/>
    <cellStyle name="常规 2 3" xfId="283"/>
    <cellStyle name="常规 2 3 2" xfId="343"/>
    <cellStyle name="常规 2 3 4" xfId="375"/>
    <cellStyle name="常规 2 4" xfId="344"/>
    <cellStyle name="常规 2 5" xfId="345"/>
    <cellStyle name="常规 2 5 2" xfId="387"/>
    <cellStyle name="常规 2 6" xfId="346"/>
    <cellStyle name="常规 2 7" xfId="347"/>
    <cellStyle name="常规 2 8" xfId="348"/>
    <cellStyle name="常规 2 8 2" xfId="389"/>
    <cellStyle name="常规 2 9" xfId="390"/>
    <cellStyle name="常规 2_经销商信息-1-原始表" xfId="349"/>
    <cellStyle name="常规 3" xfId="209"/>
    <cellStyle name="常规 3 2" xfId="350"/>
    <cellStyle name="常规 3 3" xfId="351"/>
    <cellStyle name="常规 3 4" xfId="352"/>
    <cellStyle name="常规 4" xfId="210"/>
    <cellStyle name="常规 4 2" xfId="353"/>
    <cellStyle name="常规 4 2 2" xfId="377"/>
    <cellStyle name="常规 4 3" xfId="354"/>
    <cellStyle name="常规 4 4" xfId="355"/>
    <cellStyle name="常规 5" xfId="211"/>
    <cellStyle name="常规 5 2" xfId="356"/>
    <cellStyle name="常规 5 3" xfId="357"/>
    <cellStyle name="常规 5 4" xfId="358"/>
    <cellStyle name="常规 6" xfId="212"/>
    <cellStyle name="常规 6 2" xfId="359"/>
    <cellStyle name="常规 6 3" xfId="360"/>
    <cellStyle name="常规 6 4" xfId="361"/>
    <cellStyle name="常规 6 5" xfId="362"/>
    <cellStyle name="常规 7" xfId="251"/>
    <cellStyle name="常规 7 2" xfId="363"/>
    <cellStyle name="常规 7 3" xfId="364"/>
    <cellStyle name="常规 7 4" xfId="365"/>
    <cellStyle name="常规 8" xfId="366"/>
    <cellStyle name="常规 8 2" xfId="367"/>
    <cellStyle name="常规 8 3" xfId="368"/>
    <cellStyle name="常规 8 4" xfId="369"/>
    <cellStyle name="常规 89" xfId="381"/>
    <cellStyle name="常规 9" xfId="370"/>
    <cellStyle name="常规 9 2" xfId="371"/>
    <cellStyle name="常规 9 3" xfId="372"/>
    <cellStyle name="常规 9 4" xfId="373"/>
    <cellStyle name="常规_13预审底稿模板" xfId="248"/>
    <cellStyle name="常规_2-1项目审定表－模板" xfId="383"/>
    <cellStyle name="常规_A1－货币资金" xfId="255"/>
    <cellStyle name="常规_B1长期股权投资-权益法" xfId="254"/>
    <cellStyle name="常规_Book1" xfId="244"/>
    <cellStyle name="常规_Book1 2" xfId="282"/>
    <cellStyle name="常规_c-资产类" xfId="3"/>
    <cellStyle name="常规_F1短期投资及跌价准备" xfId="382"/>
    <cellStyle name="常规_sheet" xfId="245"/>
    <cellStyle name="常规_T1000-主营业务收入" xfId="246"/>
    <cellStyle name="常规_V4000-营业外收入-QB" xfId="247"/>
    <cellStyle name="常规_ZM－长期股权投资" xfId="253"/>
    <cellStyle name="常规_进一步审计程序--销售与收款循环" xfId="384"/>
    <cellStyle name="常规_进一步审计程序--销售与收款循环 2" xfId="385"/>
    <cellStyle name="常规_新审定表" xfId="4"/>
    <cellStyle name="常规_制造费用" xfId="284"/>
    <cellStyle name="常规_制造费用 2" xfId="380"/>
    <cellStyle name="超级链接_B4-1审计项目工时预算与控制表(集团)" xfId="213"/>
    <cellStyle name="超链接" xfId="252" builtinId="8"/>
    <cellStyle name="超链接 2" xfId="214"/>
    <cellStyle name="超链接 2 2" xfId="374"/>
    <cellStyle name="分级显示行_1_4附件二凯旋评估表" xfId="215"/>
    <cellStyle name="好_StartUp" xfId="280"/>
    <cellStyle name="好_T1000-主营业务收入" xfId="216"/>
    <cellStyle name="好_子公司附注汇总(房开公司)" xfId="217"/>
    <cellStyle name="桁区切り [0.00]_１１月価格表" xfId="218"/>
    <cellStyle name="桁区切り_１１月価格表" xfId="219"/>
    <cellStyle name="霓付 [0]_1202" xfId="220"/>
    <cellStyle name="霓付_1202" xfId="221"/>
    <cellStyle name="烹拳 [0]_1202" xfId="222"/>
    <cellStyle name="烹拳_1202" xfId="223"/>
    <cellStyle name="砯刽 [0]_PLDT" xfId="224"/>
    <cellStyle name="砯刽_PLDT" xfId="225"/>
    <cellStyle name="普通_ 白土" xfId="226"/>
    <cellStyle name="千分位[0]_ 白土" xfId="227"/>
    <cellStyle name="千分位_ 白土" xfId="228"/>
    <cellStyle name="千位[0]_ 应交税金审定表" xfId="229"/>
    <cellStyle name="千位_ 应交税金审定表" xfId="230"/>
    <cellStyle name="千位分隔" xfId="1" builtinId="3"/>
    <cellStyle name="千位分隔 2" xfId="231"/>
    <cellStyle name="千位分隔 2 4" xfId="379"/>
    <cellStyle name="千位分隔 3" xfId="249"/>
    <cellStyle name="千位分隔 6" xfId="391"/>
    <cellStyle name="千位分隔[0] 2" xfId="250"/>
    <cellStyle name="钎霖_(沥焊何巩)岿喊牢盔拌裙" xfId="232"/>
    <cellStyle name="通貨 [0.00]_１１月価格表" xfId="233"/>
    <cellStyle name="通貨_１１月価格表" xfId="234"/>
    <cellStyle name="样式 1" xfId="235"/>
    <cellStyle name="昗弨_BOOKSHIP" xfId="236"/>
    <cellStyle name="寘嬫愗傝 [0.00]_PRODUCT DETAIL Q1" xfId="237"/>
    <cellStyle name="寘嬫愗傝_PRODUCT DETAIL Q1" xfId="238"/>
    <cellStyle name="资产" xfId="281"/>
    <cellStyle name="콤마 [0]_BOILER-CO1" xfId="239"/>
    <cellStyle name="콤마_BOILER-CO1" xfId="240"/>
    <cellStyle name="통화 [0]_BOILER-CO1" xfId="241"/>
    <cellStyle name="통화_BOILER-CO1" xfId="242"/>
    <cellStyle name="표준_0N-HANDLING " xfId="243"/>
  </cellStyles>
  <dxfs count="0"/>
  <tableStyles count="0" defaultTableStyle="TableStyleMedium2" defaultPivotStyle="PivotStyleLight16"/>
  <colors>
    <mruColors>
      <color rgb="FFE4DFEC"/>
      <color rgb="FF0000FF"/>
      <color rgb="FFFFFF66"/>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4"/>
  <sheetViews>
    <sheetView tabSelected="1" zoomScaleNormal="100" workbookViewId="0"/>
  </sheetViews>
  <sheetFormatPr defaultColWidth="9" defaultRowHeight="20.100000000000001" customHeight="1"/>
  <cols>
    <col min="1" max="1" width="77.59765625" style="43" customWidth="1"/>
    <col min="2" max="2" width="2" style="43" customWidth="1"/>
    <col min="3" max="3" width="2.09765625" style="43" customWidth="1"/>
    <col min="4" max="4" width="6.5" style="43" customWidth="1"/>
    <col min="5" max="5" width="33.3984375" style="43" customWidth="1"/>
    <col min="6" max="6" width="9.3984375" style="840" customWidth="1"/>
    <col min="7" max="16384" width="9" style="44"/>
  </cols>
  <sheetData>
    <row r="1" spans="1:8" s="660" customFormat="1" ht="19.95" customHeight="1">
      <c r="A1" s="659" t="s">
        <v>99</v>
      </c>
      <c r="B1" s="407"/>
      <c r="C1" s="407"/>
      <c r="F1" s="837"/>
    </row>
    <row r="2" spans="1:8" s="660" customFormat="1" ht="20.100000000000001" customHeight="1">
      <c r="A2" s="45" t="s">
        <v>846</v>
      </c>
      <c r="B2" s="661"/>
      <c r="C2" s="661"/>
      <c r="D2" s="407"/>
      <c r="E2" s="407"/>
      <c r="F2" s="838"/>
      <c r="G2" s="662"/>
      <c r="H2" s="662"/>
    </row>
    <row r="3" spans="1:8" s="660" customFormat="1" ht="20.100000000000001" customHeight="1">
      <c r="A3" s="836" t="s">
        <v>1422</v>
      </c>
      <c r="B3" s="661"/>
      <c r="C3" s="661"/>
      <c r="D3" s="663" t="s">
        <v>68</v>
      </c>
      <c r="E3" s="663" t="s">
        <v>100</v>
      </c>
      <c r="F3" s="663" t="s">
        <v>497</v>
      </c>
      <c r="G3" s="662"/>
      <c r="H3" s="662"/>
    </row>
    <row r="4" spans="1:8" s="660" customFormat="1" ht="20.100000000000001" customHeight="1">
      <c r="A4" s="45" t="s">
        <v>101</v>
      </c>
      <c r="B4" s="407"/>
      <c r="C4" s="407"/>
      <c r="D4" s="664"/>
      <c r="E4" s="665" t="s">
        <v>827</v>
      </c>
      <c r="F4" s="839" t="s">
        <v>847</v>
      </c>
      <c r="G4" s="662"/>
      <c r="H4" s="666"/>
    </row>
    <row r="5" spans="1:8" s="660" customFormat="1" ht="20.100000000000001" customHeight="1">
      <c r="A5" s="329" t="s">
        <v>828</v>
      </c>
      <c r="B5" s="407"/>
      <c r="C5" s="407"/>
      <c r="D5" s="664">
        <v>1</v>
      </c>
      <c r="E5" s="665" t="s">
        <v>102</v>
      </c>
      <c r="F5" s="839" t="s">
        <v>1240</v>
      </c>
    </row>
    <row r="6" spans="1:8" s="660" customFormat="1" ht="20.100000000000001" customHeight="1">
      <c r="A6" s="329" t="s">
        <v>754</v>
      </c>
      <c r="B6" s="407"/>
      <c r="C6" s="407"/>
      <c r="D6" s="664">
        <v>2</v>
      </c>
      <c r="E6" s="667" t="s">
        <v>52</v>
      </c>
      <c r="F6" s="839"/>
      <c r="G6" s="660" t="s">
        <v>956</v>
      </c>
    </row>
    <row r="7" spans="1:8" s="660" customFormat="1" ht="20.100000000000001" customHeight="1">
      <c r="A7" s="329" t="s">
        <v>829</v>
      </c>
      <c r="B7" s="407"/>
      <c r="C7" s="407"/>
      <c r="D7" s="664">
        <v>3</v>
      </c>
      <c r="E7" s="667" t="s">
        <v>104</v>
      </c>
      <c r="F7" s="839"/>
      <c r="G7" s="660" t="s">
        <v>956</v>
      </c>
    </row>
    <row r="8" spans="1:8" s="660" customFormat="1" ht="20.100000000000001" customHeight="1">
      <c r="A8" s="668"/>
      <c r="B8" s="407"/>
      <c r="C8" s="407"/>
      <c r="D8" s="664">
        <v>4</v>
      </c>
      <c r="E8" s="667" t="s">
        <v>496</v>
      </c>
      <c r="F8" s="839" t="s">
        <v>1242</v>
      </c>
    </row>
    <row r="9" spans="1:8" s="660" customFormat="1" ht="20.100000000000001" customHeight="1">
      <c r="A9" s="835" t="s">
        <v>1418</v>
      </c>
      <c r="B9" s="407"/>
      <c r="C9" s="407"/>
      <c r="D9" s="664">
        <v>5</v>
      </c>
      <c r="E9" s="667" t="s">
        <v>841</v>
      </c>
      <c r="F9" s="839" t="s">
        <v>1241</v>
      </c>
    </row>
    <row r="10" spans="1:8" s="660" customFormat="1" ht="20.100000000000001" customHeight="1">
      <c r="A10" s="851" t="s">
        <v>1419</v>
      </c>
      <c r="B10" s="407"/>
      <c r="C10" s="407"/>
      <c r="D10" s="664">
        <v>6</v>
      </c>
      <c r="E10" s="667" t="s">
        <v>1265</v>
      </c>
      <c r="F10" s="839" t="s">
        <v>1243</v>
      </c>
    </row>
    <row r="11" spans="1:8" s="660" customFormat="1" ht="20.100000000000001" customHeight="1">
      <c r="A11" s="851"/>
      <c r="B11" s="407"/>
      <c r="C11" s="407"/>
      <c r="D11" s="664">
        <v>7</v>
      </c>
      <c r="E11" s="667" t="s">
        <v>498</v>
      </c>
      <c r="F11" s="839" t="s">
        <v>1244</v>
      </c>
    </row>
    <row r="12" spans="1:8" s="660" customFormat="1" ht="20.100000000000001" customHeight="1">
      <c r="A12" s="851"/>
      <c r="B12" s="407"/>
      <c r="C12" s="407"/>
      <c r="D12" s="664">
        <v>8</v>
      </c>
      <c r="E12" s="667" t="s">
        <v>103</v>
      </c>
      <c r="F12" s="839" t="s">
        <v>1245</v>
      </c>
    </row>
    <row r="13" spans="1:8" s="660" customFormat="1" ht="20.100000000000001" customHeight="1">
      <c r="A13" s="851"/>
      <c r="B13" s="407"/>
      <c r="C13" s="407"/>
      <c r="D13" s="664">
        <v>9</v>
      </c>
      <c r="E13" s="667" t="s">
        <v>1423</v>
      </c>
      <c r="F13" s="839" t="s">
        <v>1246</v>
      </c>
    </row>
    <row r="14" spans="1:8" s="660" customFormat="1" ht="20.100000000000001" customHeight="1">
      <c r="A14" s="851" t="s">
        <v>1420</v>
      </c>
      <c r="B14" s="407"/>
      <c r="C14" s="407"/>
      <c r="D14" s="664">
        <v>10</v>
      </c>
      <c r="E14" s="667" t="s">
        <v>1258</v>
      </c>
      <c r="F14" s="839" t="s">
        <v>1247</v>
      </c>
    </row>
    <row r="15" spans="1:8" s="660" customFormat="1" ht="20.100000000000001" customHeight="1">
      <c r="A15" s="851"/>
      <c r="B15" s="407"/>
      <c r="C15" s="407"/>
      <c r="D15" s="664">
        <v>11</v>
      </c>
      <c r="E15" s="667" t="s">
        <v>1259</v>
      </c>
      <c r="F15" s="839" t="s">
        <v>1248</v>
      </c>
    </row>
    <row r="16" spans="1:8" s="660" customFormat="1" ht="18.75" customHeight="1">
      <c r="A16" s="851"/>
      <c r="B16" s="407"/>
      <c r="C16" s="407"/>
      <c r="D16" s="664">
        <v>12</v>
      </c>
      <c r="E16" s="667" t="s">
        <v>499</v>
      </c>
      <c r="F16" s="839" t="s">
        <v>1249</v>
      </c>
    </row>
    <row r="17" spans="1:6" s="660" customFormat="1" ht="18.75" customHeight="1">
      <c r="A17" s="852" t="s">
        <v>1421</v>
      </c>
      <c r="B17" s="407"/>
      <c r="C17" s="407"/>
      <c r="D17" s="664">
        <v>13</v>
      </c>
      <c r="E17" s="669" t="s">
        <v>1260</v>
      </c>
      <c r="F17" s="839" t="s">
        <v>1250</v>
      </c>
    </row>
    <row r="18" spans="1:6" s="660" customFormat="1" ht="18.75" customHeight="1">
      <c r="A18" s="852"/>
      <c r="B18" s="407"/>
      <c r="C18" s="407"/>
      <c r="D18" s="664">
        <v>14</v>
      </c>
      <c r="E18" s="669" t="s">
        <v>1261</v>
      </c>
      <c r="F18" s="839" t="s">
        <v>1251</v>
      </c>
    </row>
    <row r="19" spans="1:6" s="660" customFormat="1" ht="20.100000000000001" customHeight="1">
      <c r="A19" s="852"/>
      <c r="B19" s="407"/>
      <c r="C19" s="407"/>
      <c r="D19" s="664">
        <v>15</v>
      </c>
      <c r="E19" s="669" t="s">
        <v>1264</v>
      </c>
      <c r="F19" s="839" t="s">
        <v>1252</v>
      </c>
    </row>
    <row r="20" spans="1:6" s="660" customFormat="1" ht="20.100000000000001" customHeight="1">
      <c r="A20" s="407"/>
      <c r="B20" s="407"/>
      <c r="C20" s="407"/>
      <c r="D20" s="664">
        <v>16</v>
      </c>
      <c r="E20" s="669" t="s">
        <v>997</v>
      </c>
      <c r="F20" s="839" t="s">
        <v>1253</v>
      </c>
    </row>
    <row r="21" spans="1:6" s="660" customFormat="1" ht="20.100000000000001" customHeight="1">
      <c r="A21" s="407"/>
      <c r="B21" s="407"/>
      <c r="C21" s="407"/>
      <c r="D21" s="664">
        <v>17</v>
      </c>
      <c r="E21" s="669" t="s">
        <v>500</v>
      </c>
      <c r="F21" s="839" t="s">
        <v>1254</v>
      </c>
    </row>
    <row r="22" spans="1:6" s="660" customFormat="1" ht="20.100000000000001" customHeight="1">
      <c r="A22" s="407"/>
      <c r="B22" s="407"/>
      <c r="C22" s="407"/>
      <c r="D22" s="664">
        <v>18</v>
      </c>
      <c r="E22" s="669" t="s">
        <v>444</v>
      </c>
      <c r="F22" s="839" t="s">
        <v>1255</v>
      </c>
    </row>
    <row r="23" spans="1:6" s="660" customFormat="1" ht="20.100000000000001" customHeight="1">
      <c r="A23" s="407"/>
      <c r="B23" s="407"/>
      <c r="C23" s="407"/>
      <c r="D23" s="664">
        <v>19</v>
      </c>
      <c r="E23" s="669" t="s">
        <v>1266</v>
      </c>
      <c r="F23" s="839" t="s">
        <v>1256</v>
      </c>
    </row>
    <row r="24" spans="1:6" s="660" customFormat="1" ht="20.100000000000001" customHeight="1">
      <c r="A24" s="407"/>
      <c r="B24" s="407"/>
      <c r="C24" s="407"/>
      <c r="D24" s="664">
        <v>20</v>
      </c>
      <c r="E24" s="669" t="s">
        <v>998</v>
      </c>
      <c r="F24" s="839" t="s">
        <v>1257</v>
      </c>
    </row>
  </sheetData>
  <mergeCells count="3">
    <mergeCell ref="A10:A13"/>
    <mergeCell ref="A14:A16"/>
    <mergeCell ref="A17:A19"/>
  </mergeCells>
  <phoneticPr fontId="11" type="noConversion"/>
  <hyperlinks>
    <hyperlink ref="E5" location="'长期股权投资审定表G7-1'!A1" display="长期股权投资审定表"/>
    <hyperlink ref="E6" location="'附注披露信息（上市公司）'!A1" display="附注披露信息（上市公司）"/>
    <hyperlink ref="E7" location="'附注披露信息（国企）'!A1" display="附注披露信息（国企）"/>
    <hyperlink ref="E8" location="'明细表G7-2'!A1" display="明细表"/>
    <hyperlink ref="E11" location="'被投资单位财务信息（合营、联营）G7-5'!A1" display="被投资单位财务信息（合营、联营）"/>
    <hyperlink ref="E12" location="'被投资公司会计政策G7-6'!A1" display="被投资公司会计政策"/>
    <hyperlink ref="E14" location="'子公司初始计量测试（同控）G7-8'!A1" display="子公司初始计量测试（同控）"/>
    <hyperlink ref="E16" location="'子公司后续计量测试表G7-10'!A1" display="子公司后续计量测试表"/>
    <hyperlink ref="E19" location="'合营、联营企业投资成本测试表G7-13'!A1" display="合营、联营企业投资成本测试表"/>
    <hyperlink ref="E21" location="'权益法未实现内部交易抵销测算表G7-15'!A1" display="权益法未实现内部交易抵销测算表"/>
    <hyperlink ref="E22" location="'未确认投资损失测试表G7-16'!A1" display="未确认投资损失测试表"/>
    <hyperlink ref="E4" location="长期股权投资实质性程序表G7A!A1" display="长期股权投资实质性程序表"/>
    <hyperlink ref="E9" location="'调整分录汇总G7-3'!A1" display="调整分录汇总"/>
    <hyperlink ref="E18" location="'处置子公司测试表（一揽子交易）G7-12'!A1" display="处置子公司测试表（一揽子交易）"/>
    <hyperlink ref="E15" location="'子公司初始计量测试（非同控）G7-9'!A1" display="子公司初始计量测试（非同控）"/>
    <hyperlink ref="E17" location="'处置子公司测试表（不包含一揽子交易）G7-11'!A1" display="处置子公司测试表（不包含一揽子交易）"/>
    <hyperlink ref="E20" location="'权益法测算表G7-14'!A1" display="权益法测算表"/>
    <hyperlink ref="E23" location="'减值测试表G7-17'!A1" display="减值测试表"/>
    <hyperlink ref="E10" location="'被投资单位基本信息G7-4'!A1" display="被投资单位基本信息"/>
    <hyperlink ref="E13" location="'长期股权投资初始判断G7-7'!A1" display="长期股权投资初始判断G7-7"/>
    <hyperlink ref="E24" location="'凭证检查表G7-18'!A1" display="凭证检查表"/>
  </hyperlinks>
  <pageMargins left="0.70866141732283472" right="0.70866141732283472" top="0.74803149606299213" bottom="0.74803149606299213" header="0.31496062992125984" footer="0.31496062992125984"/>
  <pageSetup paperSize="9" orientation="portrait" r:id="rId1"/>
  <headerFooter>
    <oddFooter>&amp;C&amp;P/&amp;N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N32"/>
  <sheetViews>
    <sheetView view="pageBreakPreview" zoomScaleSheetLayoutView="100" workbookViewId="0">
      <selection sqref="A1:I1"/>
    </sheetView>
  </sheetViews>
  <sheetFormatPr defaultColWidth="9" defaultRowHeight="30.75" customHeight="1"/>
  <cols>
    <col min="1" max="1" width="4.59765625" style="325" customWidth="1"/>
    <col min="2" max="2" width="64.19921875" style="323" customWidth="1"/>
    <col min="3" max="3" width="9.69921875" style="323" customWidth="1"/>
    <col min="4" max="4" width="5" style="323" customWidth="1"/>
    <col min="5" max="5" width="6.3984375" style="323" customWidth="1"/>
    <col min="6" max="6" width="6.19921875" style="323" customWidth="1"/>
    <col min="7" max="7" width="6.3984375" style="323" customWidth="1"/>
    <col min="8" max="8" width="5.3984375" style="323" customWidth="1"/>
    <col min="9" max="9" width="7" style="323" customWidth="1"/>
    <col min="10" max="16384" width="9" style="323"/>
  </cols>
  <sheetData>
    <row r="1" spans="1:10" s="619" customFormat="1" ht="19.95" customHeight="1">
      <c r="A1" s="860" t="s">
        <v>1285</v>
      </c>
      <c r="B1" s="860"/>
      <c r="C1" s="860"/>
      <c r="D1" s="860"/>
      <c r="E1" s="860"/>
      <c r="F1" s="860"/>
      <c r="G1" s="860"/>
      <c r="H1" s="860"/>
      <c r="I1" s="860"/>
    </row>
    <row r="2" spans="1:10" s="628" customFormat="1" ht="19.95" customHeight="1">
      <c r="A2" s="861" t="s">
        <v>825</v>
      </c>
      <c r="B2" s="861"/>
      <c r="C2" s="861"/>
      <c r="D2" s="861"/>
      <c r="E2" s="861"/>
      <c r="F2" s="861"/>
      <c r="G2" s="861"/>
      <c r="H2" s="861"/>
      <c r="I2" s="861"/>
    </row>
    <row r="3" spans="1:10" s="670" customFormat="1" ht="19.95" customHeight="1">
      <c r="A3" s="862" t="str">
        <f>底稿目录!A2</f>
        <v>被审计单位：</v>
      </c>
      <c r="B3" s="862"/>
      <c r="C3" s="670" t="str">
        <f>底稿目录!A4</f>
        <v>编制人：</v>
      </c>
      <c r="F3" s="670" t="str">
        <f>底稿目录!A5</f>
        <v>编制日期：</v>
      </c>
      <c r="H3" s="670" t="s">
        <v>848</v>
      </c>
      <c r="I3" s="763" t="str">
        <f>底稿目录!F4</f>
        <v>G7A</v>
      </c>
    </row>
    <row r="4" spans="1:10" s="670" customFormat="1" ht="19.95" customHeight="1">
      <c r="A4" s="862" t="str">
        <f>底稿目录!A3</f>
        <v>截止日：202X年12月31日</v>
      </c>
      <c r="B4" s="862"/>
      <c r="C4" s="670" t="str">
        <f>底稿目录!A6</f>
        <v>复核人：</v>
      </c>
      <c r="F4" s="670" t="str">
        <f>底稿目录!A7</f>
        <v>复核日期：</v>
      </c>
      <c r="H4" s="670" t="s">
        <v>1302</v>
      </c>
    </row>
    <row r="5" spans="1:10" ht="19.95" customHeight="1">
      <c r="A5" s="863" t="s">
        <v>818</v>
      </c>
      <c r="B5" s="863"/>
    </row>
    <row r="6" spans="1:10" ht="19.95" customHeight="1">
      <c r="A6" s="699" t="s">
        <v>960</v>
      </c>
      <c r="B6" s="698"/>
      <c r="C6" s="698"/>
      <c r="D6" s="698"/>
      <c r="E6" s="698"/>
      <c r="F6" s="698"/>
      <c r="G6" s="698"/>
      <c r="H6" s="698"/>
      <c r="I6" s="698"/>
    </row>
    <row r="7" spans="1:10" s="322" customFormat="1" ht="19.95" customHeight="1">
      <c r="A7" s="679" t="s">
        <v>959</v>
      </c>
      <c r="B7" s="406"/>
      <c r="C7" s="324"/>
    </row>
    <row r="8" spans="1:10" s="407" customFormat="1" ht="19.95" customHeight="1">
      <c r="A8" s="865" t="s">
        <v>957</v>
      </c>
      <c r="B8" s="865"/>
      <c r="C8" s="865"/>
      <c r="D8" s="865"/>
      <c r="E8" s="865"/>
      <c r="F8" s="865"/>
      <c r="G8" s="867" t="s">
        <v>819</v>
      </c>
      <c r="H8" s="867"/>
      <c r="I8" s="867"/>
    </row>
    <row r="9" spans="1:10" s="407" customFormat="1" ht="19.95" customHeight="1">
      <c r="A9" s="866" t="s">
        <v>989</v>
      </c>
      <c r="B9" s="866"/>
      <c r="C9" s="866"/>
      <c r="D9" s="866"/>
      <c r="E9" s="866"/>
      <c r="F9" s="866"/>
      <c r="G9" s="864" t="s">
        <v>958</v>
      </c>
      <c r="H9" s="864"/>
      <c r="I9" s="864"/>
    </row>
    <row r="10" spans="1:10" s="407" customFormat="1" ht="19.95" customHeight="1">
      <c r="A10" s="866" t="s">
        <v>988</v>
      </c>
      <c r="B10" s="866"/>
      <c r="C10" s="866"/>
      <c r="D10" s="866"/>
      <c r="E10" s="866"/>
      <c r="F10" s="866"/>
      <c r="G10" s="864" t="s">
        <v>964</v>
      </c>
      <c r="H10" s="864"/>
      <c r="I10" s="864"/>
    </row>
    <row r="11" spans="1:10" s="407" customFormat="1" ht="19.95" customHeight="1">
      <c r="A11" s="866" t="s">
        <v>1416</v>
      </c>
      <c r="B11" s="866"/>
      <c r="C11" s="866"/>
      <c r="D11" s="866"/>
      <c r="E11" s="866"/>
      <c r="F11" s="866"/>
      <c r="G11" s="864" t="s">
        <v>1414</v>
      </c>
      <c r="H11" s="864"/>
      <c r="I11" s="864"/>
    </row>
    <row r="12" spans="1:10" s="407" customFormat="1" ht="19.95" customHeight="1">
      <c r="A12" s="866" t="s">
        <v>1417</v>
      </c>
      <c r="B12" s="866"/>
      <c r="C12" s="866"/>
      <c r="D12" s="866"/>
      <c r="E12" s="866"/>
      <c r="F12" s="866"/>
      <c r="G12" s="864" t="s">
        <v>1415</v>
      </c>
      <c r="H12" s="864"/>
      <c r="I12" s="864"/>
    </row>
    <row r="13" spans="1:10" s="407" customFormat="1" ht="19.95" customHeight="1">
      <c r="A13" s="866" t="s">
        <v>987</v>
      </c>
      <c r="B13" s="866"/>
      <c r="C13" s="866"/>
      <c r="D13" s="866"/>
      <c r="E13" s="866"/>
      <c r="F13" s="866"/>
      <c r="G13" s="864" t="s">
        <v>986</v>
      </c>
      <c r="H13" s="864"/>
      <c r="I13" s="864"/>
    </row>
    <row r="14" spans="1:10" s="322" customFormat="1" ht="19.95" customHeight="1">
      <c r="A14" s="856" t="s">
        <v>1319</v>
      </c>
      <c r="B14" s="857"/>
      <c r="C14" s="324"/>
    </row>
    <row r="15" spans="1:10" s="322" customFormat="1" ht="19.95" customHeight="1">
      <c r="A15" s="854" t="s">
        <v>820</v>
      </c>
      <c r="B15" s="1089" t="s">
        <v>1463</v>
      </c>
      <c r="C15" s="853" t="s">
        <v>821</v>
      </c>
      <c r="D15" s="858" t="s">
        <v>961</v>
      </c>
      <c r="E15" s="859"/>
      <c r="F15" s="859"/>
      <c r="G15" s="859"/>
      <c r="H15" s="859"/>
      <c r="I15" s="855" t="s">
        <v>962</v>
      </c>
    </row>
    <row r="16" spans="1:10" s="322" customFormat="1" ht="36">
      <c r="A16" s="854"/>
      <c r="B16" s="1089"/>
      <c r="C16" s="853"/>
      <c r="D16" s="696" t="s">
        <v>963</v>
      </c>
      <c r="E16" s="696" t="s">
        <v>964</v>
      </c>
      <c r="F16" s="695" t="s">
        <v>965</v>
      </c>
      <c r="G16" s="695" t="s">
        <v>990</v>
      </c>
      <c r="H16" s="695" t="s">
        <v>986</v>
      </c>
      <c r="I16" s="855"/>
      <c r="J16" s="1088" t="s">
        <v>1462</v>
      </c>
    </row>
    <row r="17" spans="1:14" s="415" customFormat="1" ht="69" customHeight="1">
      <c r="A17" s="411" t="s">
        <v>967</v>
      </c>
      <c r="B17" s="416" t="s">
        <v>1233</v>
      </c>
      <c r="C17" s="408" t="s">
        <v>968</v>
      </c>
      <c r="D17" s="700" t="s">
        <v>1019</v>
      </c>
      <c r="E17" s="700" t="s">
        <v>1019</v>
      </c>
      <c r="F17" s="701"/>
      <c r="G17" s="702" t="s">
        <v>1019</v>
      </c>
      <c r="H17" s="410"/>
      <c r="I17" s="680" t="s">
        <v>1322</v>
      </c>
      <c r="J17" s="322"/>
      <c r="K17" s="412"/>
      <c r="L17" s="413"/>
      <c r="M17" s="414"/>
      <c r="N17" s="414"/>
    </row>
    <row r="18" spans="1:14" s="415" customFormat="1" ht="41.4">
      <c r="A18" s="411" t="s">
        <v>969</v>
      </c>
      <c r="B18" s="416" t="s">
        <v>1017</v>
      </c>
      <c r="C18" s="408" t="s">
        <v>968</v>
      </c>
      <c r="D18" s="704"/>
      <c r="E18" s="410" t="s">
        <v>974</v>
      </c>
      <c r="F18" s="408"/>
      <c r="G18" s="408" t="s">
        <v>966</v>
      </c>
      <c r="H18" s="410"/>
      <c r="I18" s="705" t="s">
        <v>1323</v>
      </c>
      <c r="J18" s="322"/>
      <c r="K18" s="412"/>
      <c r="L18" s="413"/>
      <c r="M18" s="414"/>
      <c r="N18" s="414"/>
    </row>
    <row r="19" spans="1:14" s="415" customFormat="1" ht="48.6" customHeight="1">
      <c r="A19" s="411" t="s">
        <v>970</v>
      </c>
      <c r="B19" s="416" t="s">
        <v>1320</v>
      </c>
      <c r="C19" s="408" t="s">
        <v>1018</v>
      </c>
      <c r="D19" s="702" t="s">
        <v>1019</v>
      </c>
      <c r="E19" s="700" t="s">
        <v>1019</v>
      </c>
      <c r="F19" s="700" t="s">
        <v>1019</v>
      </c>
      <c r="G19" s="700" t="s">
        <v>1019</v>
      </c>
      <c r="H19" s="707"/>
      <c r="I19" s="680"/>
      <c r="J19" s="417"/>
      <c r="K19" s="412"/>
      <c r="L19" s="413"/>
      <c r="M19" s="414"/>
      <c r="N19" s="414"/>
    </row>
    <row r="20" spans="1:14" s="415" customFormat="1" ht="36">
      <c r="A20" s="411" t="s">
        <v>822</v>
      </c>
      <c r="B20" s="416" t="s">
        <v>983</v>
      </c>
      <c r="C20" s="408" t="s">
        <v>968</v>
      </c>
      <c r="D20" s="700" t="s">
        <v>1019</v>
      </c>
      <c r="E20" s="700" t="s">
        <v>1019</v>
      </c>
      <c r="F20" s="701"/>
      <c r="G20" s="700" t="s">
        <v>1019</v>
      </c>
      <c r="H20" s="706"/>
      <c r="I20" s="680" t="s">
        <v>1268</v>
      </c>
      <c r="J20" s="417"/>
      <c r="K20" s="412"/>
      <c r="L20" s="413"/>
      <c r="M20" s="414"/>
      <c r="N20" s="414"/>
    </row>
    <row r="21" spans="1:14" s="415" customFormat="1" ht="67.2" customHeight="1">
      <c r="A21" s="411" t="s">
        <v>823</v>
      </c>
      <c r="B21" s="416" t="s">
        <v>975</v>
      </c>
      <c r="C21" s="408" t="s">
        <v>968</v>
      </c>
      <c r="D21" s="410" t="s">
        <v>974</v>
      </c>
      <c r="E21" s="408" t="s">
        <v>974</v>
      </c>
      <c r="F21" s="410" t="s">
        <v>974</v>
      </c>
      <c r="G21" s="408" t="s">
        <v>974</v>
      </c>
      <c r="H21" s="410"/>
      <c r="I21" s="680" t="s">
        <v>1324</v>
      </c>
      <c r="J21" s="417"/>
      <c r="K21" s="412"/>
      <c r="L21" s="413"/>
      <c r="M21" s="414"/>
      <c r="N21" s="414"/>
    </row>
    <row r="22" spans="1:14" s="415" customFormat="1" ht="67.8" customHeight="1">
      <c r="A22" s="411" t="s">
        <v>824</v>
      </c>
      <c r="B22" s="416" t="s">
        <v>977</v>
      </c>
      <c r="C22" s="408" t="s">
        <v>968</v>
      </c>
      <c r="D22" s="410" t="s">
        <v>966</v>
      </c>
      <c r="E22" s="408"/>
      <c r="F22" s="410" t="s">
        <v>966</v>
      </c>
      <c r="G22" s="408" t="s">
        <v>966</v>
      </c>
      <c r="H22" s="410"/>
      <c r="I22" s="680" t="s">
        <v>1325</v>
      </c>
      <c r="J22" s="417"/>
      <c r="K22" s="412"/>
      <c r="L22" s="413"/>
      <c r="M22" s="414"/>
      <c r="N22" s="414"/>
    </row>
    <row r="23" spans="1:14" s="415" customFormat="1" ht="34.799999999999997" customHeight="1">
      <c r="A23" s="411" t="s">
        <v>826</v>
      </c>
      <c r="B23" s="416" t="s">
        <v>979</v>
      </c>
      <c r="C23" s="408" t="s">
        <v>978</v>
      </c>
      <c r="D23" s="410" t="s">
        <v>999</v>
      </c>
      <c r="E23" s="408" t="s">
        <v>966</v>
      </c>
      <c r="F23" s="410" t="s">
        <v>966</v>
      </c>
      <c r="G23" s="408" t="s">
        <v>966</v>
      </c>
      <c r="H23" s="410"/>
      <c r="I23" s="680" t="s">
        <v>1269</v>
      </c>
      <c r="J23" s="417"/>
      <c r="K23" s="412"/>
      <c r="L23" s="413"/>
      <c r="M23" s="414"/>
      <c r="N23" s="414"/>
    </row>
    <row r="24" spans="1:14" s="415" customFormat="1" ht="71.400000000000006" customHeight="1">
      <c r="A24" s="411" t="s">
        <v>991</v>
      </c>
      <c r="B24" s="416" t="s">
        <v>994</v>
      </c>
      <c r="C24" s="408" t="s">
        <v>968</v>
      </c>
      <c r="D24" s="702" t="s">
        <v>1019</v>
      </c>
      <c r="E24" s="700" t="s">
        <v>1019</v>
      </c>
      <c r="F24" s="700" t="s">
        <v>1019</v>
      </c>
      <c r="G24" s="702" t="s">
        <v>1019</v>
      </c>
      <c r="H24" s="706"/>
      <c r="I24" s="680" t="s">
        <v>1326</v>
      </c>
      <c r="J24" s="417"/>
      <c r="K24" s="412"/>
      <c r="L24" s="413"/>
      <c r="M24" s="414"/>
      <c r="N24" s="414"/>
    </row>
    <row r="25" spans="1:14" s="415" customFormat="1" ht="60">
      <c r="A25" s="411" t="s">
        <v>992</v>
      </c>
      <c r="B25" s="416" t="s">
        <v>993</v>
      </c>
      <c r="C25" s="408" t="s">
        <v>968</v>
      </c>
      <c r="D25" s="410"/>
      <c r="E25" s="410"/>
      <c r="F25" s="408"/>
      <c r="G25" s="410" t="s">
        <v>974</v>
      </c>
      <c r="H25" s="410"/>
      <c r="I25" s="680" t="s">
        <v>1327</v>
      </c>
      <c r="J25" s="417"/>
      <c r="K25" s="412"/>
      <c r="L25" s="413"/>
      <c r="M25" s="414"/>
      <c r="N25" s="414"/>
    </row>
    <row r="26" spans="1:14" s="415" customFormat="1" ht="33" customHeight="1">
      <c r="A26" s="411" t="s">
        <v>976</v>
      </c>
      <c r="B26" s="416" t="s">
        <v>980</v>
      </c>
      <c r="C26" s="408" t="s">
        <v>968</v>
      </c>
      <c r="D26" s="410"/>
      <c r="E26" s="408"/>
      <c r="F26" s="410"/>
      <c r="G26" s="410" t="s">
        <v>974</v>
      </c>
      <c r="H26" s="410"/>
      <c r="I26" s="680" t="s">
        <v>1270</v>
      </c>
      <c r="J26" s="417"/>
      <c r="K26" s="412"/>
      <c r="L26" s="413"/>
      <c r="M26" s="414"/>
      <c r="N26" s="414"/>
    </row>
    <row r="27" spans="1:14" s="434" customFormat="1" ht="94.2" customHeight="1">
      <c r="A27" s="411" t="s">
        <v>981</v>
      </c>
      <c r="B27" s="609" t="s">
        <v>1318</v>
      </c>
      <c r="C27" s="703" t="s">
        <v>1022</v>
      </c>
      <c r="D27" s="408"/>
      <c r="E27" s="433"/>
      <c r="F27" s="433"/>
      <c r="G27" s="410" t="s">
        <v>1019</v>
      </c>
      <c r="H27" s="408"/>
      <c r="I27" s="613" t="s">
        <v>1271</v>
      </c>
    </row>
    <row r="28" spans="1:14" s="415" customFormat="1" ht="24.6" customHeight="1">
      <c r="A28" s="411" t="s">
        <v>982</v>
      </c>
      <c r="B28" s="416" t="s">
        <v>971</v>
      </c>
      <c r="C28" s="408" t="s">
        <v>968</v>
      </c>
      <c r="D28" s="410"/>
      <c r="E28" s="408"/>
      <c r="F28" s="410" t="s">
        <v>974</v>
      </c>
      <c r="G28" s="409"/>
      <c r="H28" s="410"/>
      <c r="I28" s="680" t="s">
        <v>1272</v>
      </c>
      <c r="J28" s="417"/>
      <c r="K28" s="412"/>
      <c r="L28" s="413"/>
      <c r="M28" s="414"/>
      <c r="N28" s="414"/>
    </row>
    <row r="29" spans="1:14" s="415" customFormat="1" ht="42" customHeight="1">
      <c r="A29" s="411" t="s">
        <v>1023</v>
      </c>
      <c r="B29" s="416" t="s">
        <v>1231</v>
      </c>
      <c r="C29" s="408" t="s">
        <v>968</v>
      </c>
      <c r="D29" s="410"/>
      <c r="E29" s="408"/>
      <c r="F29" s="410"/>
      <c r="G29" s="409"/>
      <c r="H29" s="410" t="s">
        <v>974</v>
      </c>
      <c r="I29" s="680" t="s">
        <v>1272</v>
      </c>
      <c r="J29" s="417"/>
      <c r="K29" s="412"/>
      <c r="L29" s="413"/>
      <c r="M29" s="414"/>
      <c r="N29" s="414"/>
    </row>
    <row r="30" spans="1:14" s="434" customFormat="1" ht="115.2" customHeight="1">
      <c r="A30" s="411" t="s">
        <v>1024</v>
      </c>
      <c r="B30" s="432" t="s">
        <v>1232</v>
      </c>
      <c r="C30" s="703" t="s">
        <v>968</v>
      </c>
      <c r="D30" s="410" t="s">
        <v>1019</v>
      </c>
      <c r="E30" s="408" t="s">
        <v>1019</v>
      </c>
      <c r="F30" s="408" t="s">
        <v>1019</v>
      </c>
      <c r="G30" s="410" t="s">
        <v>1019</v>
      </c>
      <c r="H30" s="408" t="s">
        <v>1019</v>
      </c>
      <c r="I30" s="613"/>
    </row>
    <row r="31" spans="1:14" s="415" customFormat="1" ht="48">
      <c r="A31" s="411" t="s">
        <v>1020</v>
      </c>
      <c r="B31" s="416" t="s">
        <v>972</v>
      </c>
      <c r="C31" s="700" t="s">
        <v>1321</v>
      </c>
      <c r="D31" s="410"/>
      <c r="E31" s="408"/>
      <c r="F31" s="408"/>
      <c r="G31" s="408"/>
      <c r="H31" s="408"/>
      <c r="I31" s="680"/>
      <c r="J31" s="417"/>
      <c r="K31" s="412"/>
      <c r="L31" s="413"/>
      <c r="M31" s="414"/>
      <c r="N31" s="414"/>
    </row>
    <row r="32" spans="1:14" s="415" customFormat="1" ht="27.6">
      <c r="A32" s="411" t="s">
        <v>1021</v>
      </c>
      <c r="B32" s="416" t="s">
        <v>973</v>
      </c>
      <c r="C32" s="408" t="s">
        <v>968</v>
      </c>
      <c r="D32" s="704"/>
      <c r="E32" s="408"/>
      <c r="F32" s="408"/>
      <c r="G32" s="409"/>
      <c r="H32" s="410" t="s">
        <v>974</v>
      </c>
      <c r="I32" s="708" t="s">
        <v>1328</v>
      </c>
      <c r="J32" s="417"/>
      <c r="K32" s="412"/>
      <c r="L32" s="413"/>
      <c r="M32" s="414"/>
      <c r="N32" s="414"/>
    </row>
  </sheetData>
  <mergeCells count="23">
    <mergeCell ref="G11:I11"/>
    <mergeCell ref="G12:I12"/>
    <mergeCell ref="G13:I13"/>
    <mergeCell ref="A8:F8"/>
    <mergeCell ref="A9:F9"/>
    <mergeCell ref="A10:F10"/>
    <mergeCell ref="A11:F11"/>
    <mergeCell ref="A12:F12"/>
    <mergeCell ref="A13:F13"/>
    <mergeCell ref="G8:I8"/>
    <mergeCell ref="G9:I9"/>
    <mergeCell ref="G10:I10"/>
    <mergeCell ref="A1:I1"/>
    <mergeCell ref="A2:I2"/>
    <mergeCell ref="A3:B3"/>
    <mergeCell ref="A4:B4"/>
    <mergeCell ref="A5:B5"/>
    <mergeCell ref="B15:B16"/>
    <mergeCell ref="A15:A16"/>
    <mergeCell ref="C15:C16"/>
    <mergeCell ref="I15:I16"/>
    <mergeCell ref="A14:B14"/>
    <mergeCell ref="D15:H15"/>
  </mergeCells>
  <phoneticPr fontId="11" type="noConversion"/>
  <hyperlinks>
    <hyperlink ref="I3" location="底稿目录!F4" display="底稿目录!F4"/>
  </hyperlinks>
  <pageMargins left="0.70866141732283472" right="0.70866141732283472" top="0.74803149606299213" bottom="0.74803149606299213" header="0.31496062992125984" footer="0.31496062992125984"/>
  <pageSetup paperSize="9" scale="70" fitToWidth="0" fitToHeight="0" orientation="portrait" blackAndWhite="1" r:id="rId1"/>
  <headerFooter>
    <oddFooter>&amp;C&amp;P/&amp;N</oddFooter>
  </headerFooter>
  <rowBreaks count="1" manualBreakCount="1">
    <brk id="28" max="8" man="1"/>
  </row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L97"/>
  <sheetViews>
    <sheetView view="pageBreakPreview" zoomScaleNormal="130" zoomScaleSheetLayoutView="100" workbookViewId="0">
      <selection sqref="A1:G1"/>
    </sheetView>
  </sheetViews>
  <sheetFormatPr defaultColWidth="9" defaultRowHeight="23.25" customHeight="1"/>
  <cols>
    <col min="1" max="1" width="12.5" style="1" bestFit="1" customWidth="1"/>
    <col min="2" max="2" width="10.59765625" style="1" customWidth="1"/>
    <col min="3" max="3" width="15.59765625" style="1" customWidth="1"/>
    <col min="4" max="4" width="14.59765625" style="1" customWidth="1"/>
    <col min="5" max="5" width="13.19921875" style="1" customWidth="1"/>
    <col min="6" max="6" width="14.3984375" style="1" customWidth="1"/>
    <col min="7" max="7" width="8.09765625" style="1" customWidth="1"/>
    <col min="8" max="16384" width="9" style="1"/>
  </cols>
  <sheetData>
    <row r="1" spans="1:12" s="627" customFormat="1" ht="19.95" customHeight="1">
      <c r="A1" s="870" t="s">
        <v>0</v>
      </c>
      <c r="B1" s="870"/>
      <c r="C1" s="870"/>
      <c r="D1" s="870"/>
      <c r="E1" s="870"/>
      <c r="F1" s="870"/>
      <c r="G1" s="870"/>
    </row>
    <row r="2" spans="1:12" s="639" customFormat="1" ht="19.95" customHeight="1">
      <c r="A2" s="871" t="s">
        <v>1</v>
      </c>
      <c r="B2" s="871"/>
      <c r="C2" s="871"/>
      <c r="D2" s="871"/>
      <c r="E2" s="871"/>
      <c r="F2" s="871"/>
      <c r="G2" s="871"/>
    </row>
    <row r="3" spans="1:12" s="677" customFormat="1" ht="19.95" customHeight="1">
      <c r="A3" s="673" t="str">
        <f>底稿目录!A2</f>
        <v>被审计单位：</v>
      </c>
      <c r="B3" s="673"/>
      <c r="C3" s="673"/>
      <c r="D3" s="673" t="str">
        <f>底稿目录!A4</f>
        <v>编制人：</v>
      </c>
      <c r="E3" s="681" t="str">
        <f>底稿目录!A5</f>
        <v>编制日期：</v>
      </c>
      <c r="F3" s="672" t="s">
        <v>2</v>
      </c>
      <c r="G3" s="763" t="str">
        <f>底稿目录!F5</f>
        <v>G7-1</v>
      </c>
      <c r="H3" s="673"/>
      <c r="J3" s="673"/>
      <c r="K3" s="673"/>
      <c r="L3" s="673"/>
    </row>
    <row r="4" spans="1:12" s="677" customFormat="1" ht="19.95" customHeight="1">
      <c r="A4" s="673" t="str">
        <f>底稿目录!A3</f>
        <v>截止日：202X年12月31日</v>
      </c>
      <c r="B4" s="673"/>
      <c r="C4" s="673"/>
      <c r="D4" s="673" t="str">
        <f>底稿目录!A6</f>
        <v>复核人：</v>
      </c>
      <c r="E4" s="681" t="str">
        <f>底稿目录!A7</f>
        <v>复核日期：</v>
      </c>
      <c r="F4" s="672" t="s">
        <v>1303</v>
      </c>
      <c r="G4" s="673"/>
      <c r="H4" s="673"/>
      <c r="J4" s="673"/>
      <c r="K4" s="673"/>
      <c r="L4" s="673"/>
    </row>
    <row r="5" spans="1:12" ht="19.95" customHeight="1">
      <c r="A5" s="872" t="s">
        <v>4</v>
      </c>
      <c r="B5" s="873"/>
      <c r="C5" s="359" t="s">
        <v>5</v>
      </c>
      <c r="D5" s="217" t="s">
        <v>6</v>
      </c>
      <c r="E5" s="217" t="s">
        <v>7</v>
      </c>
      <c r="F5" s="217" t="s">
        <v>8</v>
      </c>
      <c r="G5" s="218" t="s">
        <v>9</v>
      </c>
    </row>
    <row r="6" spans="1:12" ht="19.95" customHeight="1">
      <c r="A6" s="219" t="s">
        <v>10</v>
      </c>
      <c r="B6" s="220"/>
      <c r="C6" s="220"/>
      <c r="D6" s="220"/>
      <c r="E6" s="220"/>
      <c r="F6" s="220"/>
      <c r="G6" s="220"/>
    </row>
    <row r="7" spans="1:12" ht="19.95" customHeight="1">
      <c r="A7" s="868" t="s">
        <v>11</v>
      </c>
      <c r="B7" s="869"/>
      <c r="C7" s="360">
        <f>SUM(C8:C11)</f>
        <v>0</v>
      </c>
      <c r="D7" s="360">
        <f>SUM(D8:D11)</f>
        <v>0</v>
      </c>
      <c r="E7" s="360">
        <f>SUM(E8:E11)</f>
        <v>0</v>
      </c>
      <c r="F7" s="360">
        <f>SUM(F8:F11)</f>
        <v>0</v>
      </c>
      <c r="G7" s="221"/>
    </row>
    <row r="8" spans="1:12" ht="19.95" customHeight="1">
      <c r="A8" s="222" t="s">
        <v>12</v>
      </c>
      <c r="B8" s="223"/>
      <c r="C8" s="362">
        <f>'明细表G7-2'!M26</f>
        <v>0</v>
      </c>
      <c r="D8" s="362">
        <f>'明细表G7-2'!O26</f>
        <v>0</v>
      </c>
      <c r="E8" s="362">
        <f>'明细表G7-2'!R26</f>
        <v>0</v>
      </c>
      <c r="F8" s="362">
        <f>C8+D8-E8</f>
        <v>0</v>
      </c>
      <c r="G8" s="224"/>
    </row>
    <row r="9" spans="1:12" ht="19.95" customHeight="1">
      <c r="A9" s="222" t="s">
        <v>13</v>
      </c>
      <c r="B9" s="223"/>
      <c r="C9" s="362">
        <f>'明细表G7-2'!H38</f>
        <v>0</v>
      </c>
      <c r="D9" s="362">
        <f>'明细表G7-2'!J38+'明细表G7-2'!N38</f>
        <v>0</v>
      </c>
      <c r="E9" s="362">
        <f>'明细表G7-2'!Q38+'明细表G7-2'!R38</f>
        <v>0</v>
      </c>
      <c r="F9" s="362">
        <f>C9+D9-E9</f>
        <v>0</v>
      </c>
      <c r="G9" s="224"/>
    </row>
    <row r="10" spans="1:12" ht="19.95" customHeight="1">
      <c r="A10" s="222" t="s">
        <v>14</v>
      </c>
      <c r="B10" s="223"/>
      <c r="C10" s="362">
        <f>'明细表G7-2'!H45</f>
        <v>0</v>
      </c>
      <c r="D10" s="362">
        <f>'明细表G7-2'!J45+'明细表G7-2'!N45</f>
        <v>0</v>
      </c>
      <c r="E10" s="362">
        <f>'明细表G7-2'!Q45+'明细表G7-2'!R45</f>
        <v>0</v>
      </c>
      <c r="F10" s="362">
        <f>C10+D10-E10</f>
        <v>0</v>
      </c>
      <c r="G10" s="224"/>
    </row>
    <row r="11" spans="1:12" ht="19.95" customHeight="1">
      <c r="A11" s="874"/>
      <c r="B11" s="875"/>
      <c r="C11" s="225"/>
      <c r="D11" s="225"/>
      <c r="E11" s="225"/>
      <c r="F11" s="362">
        <f>C11+D11-E11</f>
        <v>0</v>
      </c>
      <c r="G11" s="224"/>
    </row>
    <row r="12" spans="1:12" ht="19.95" customHeight="1">
      <c r="A12" s="868" t="s">
        <v>15</v>
      </c>
      <c r="B12" s="869"/>
      <c r="C12" s="360">
        <f>SUM(C13:C16)</f>
        <v>0</v>
      </c>
      <c r="D12" s="360">
        <f>SUM(D13:D16)</f>
        <v>0</v>
      </c>
      <c r="E12" s="360">
        <f>SUM(E13:E16)</f>
        <v>0</v>
      </c>
      <c r="F12" s="360">
        <f>SUM(F13:F16)</f>
        <v>0</v>
      </c>
      <c r="G12" s="221"/>
    </row>
    <row r="13" spans="1:12" ht="19.95" customHeight="1">
      <c r="A13" s="226" t="str">
        <f>A8</f>
        <v>一、对子公司投资</v>
      </c>
      <c r="B13" s="226"/>
      <c r="C13" s="362">
        <f>'明细表G7-2'!V26</f>
        <v>0</v>
      </c>
      <c r="D13" s="362">
        <f>'明细表G7-2'!X26</f>
        <v>0</v>
      </c>
      <c r="E13" s="362">
        <f>'明细表G7-2'!Y26</f>
        <v>0</v>
      </c>
      <c r="F13" s="362">
        <f>C13+D13-E13</f>
        <v>0</v>
      </c>
      <c r="G13" s="224"/>
    </row>
    <row r="14" spans="1:12" s="5" customFormat="1" ht="19.95" customHeight="1">
      <c r="A14" s="226" t="str">
        <f>A9</f>
        <v>二、对合营企业投资</v>
      </c>
      <c r="B14" s="226"/>
      <c r="C14" s="362">
        <f>'明细表G7-2'!V38</f>
        <v>0</v>
      </c>
      <c r="D14" s="362">
        <f>'明细表G7-2'!X38+'明细表G7-2'!Y38+'明细表G7-2'!Z38+'明细表G7-2'!AA38</f>
        <v>0</v>
      </c>
      <c r="E14" s="362">
        <f>'明细表G7-2'!AC38+'明细表G7-2'!AD38</f>
        <v>0</v>
      </c>
      <c r="F14" s="362">
        <f>C14+D14-E14</f>
        <v>0</v>
      </c>
      <c r="G14" s="224"/>
    </row>
    <row r="15" spans="1:12" ht="19.95" customHeight="1">
      <c r="A15" s="226" t="str">
        <f>A10</f>
        <v>三、对联营企业投资</v>
      </c>
      <c r="B15" s="226"/>
      <c r="C15" s="362">
        <f>'明细表G7-2'!V45</f>
        <v>0</v>
      </c>
      <c r="D15" s="362">
        <f>'明细表G7-2'!X45+'明细表G7-2'!Y45+'明细表G7-2'!Z45+'明细表G7-2'!AA45</f>
        <v>0</v>
      </c>
      <c r="E15" s="362">
        <f>'明细表G7-2'!AC45+'明细表G7-2'!AD45</f>
        <v>0</v>
      </c>
      <c r="F15" s="362">
        <f>C15+D15-E15</f>
        <v>0</v>
      </c>
      <c r="G15" s="224"/>
    </row>
    <row r="16" spans="1:12" ht="19.95" customHeight="1">
      <c r="A16" s="876">
        <f>A11</f>
        <v>0</v>
      </c>
      <c r="B16" s="877"/>
      <c r="C16" s="227"/>
      <c r="D16" s="227"/>
      <c r="E16" s="227"/>
      <c r="F16" s="362">
        <f>C16+D16-E16</f>
        <v>0</v>
      </c>
      <c r="G16" s="224"/>
    </row>
    <row r="17" spans="1:7" ht="19.95" customHeight="1">
      <c r="A17" s="868" t="s">
        <v>16</v>
      </c>
      <c r="B17" s="869"/>
      <c r="C17" s="360">
        <f>SUM(C18:C21)</f>
        <v>0</v>
      </c>
      <c r="D17" s="360">
        <f>SUM(D18:D21)</f>
        <v>0</v>
      </c>
      <c r="E17" s="360">
        <f>SUM(E18:E21)</f>
        <v>0</v>
      </c>
      <c r="F17" s="360">
        <f>SUM(F18:F21)</f>
        <v>0</v>
      </c>
      <c r="G17" s="221"/>
    </row>
    <row r="18" spans="1:7" ht="19.95" customHeight="1">
      <c r="A18" s="226" t="str">
        <f>A13</f>
        <v>一、对子公司投资</v>
      </c>
      <c r="B18" s="226"/>
      <c r="C18" s="362">
        <f>'明细表G7-2'!W26</f>
        <v>0</v>
      </c>
      <c r="D18" s="362">
        <f>'明细表G7-2'!Z26</f>
        <v>0</v>
      </c>
      <c r="E18" s="362">
        <f>'明细表G7-2'!AA26</f>
        <v>0</v>
      </c>
      <c r="F18" s="362">
        <f>C18+D18-E18</f>
        <v>0</v>
      </c>
      <c r="G18" s="224"/>
    </row>
    <row r="19" spans="1:7" ht="19.95" customHeight="1">
      <c r="A19" s="226" t="str">
        <f>A14</f>
        <v>二、对合营企业投资</v>
      </c>
      <c r="B19" s="226"/>
      <c r="C19" s="362">
        <f>'明细表G7-2'!W38</f>
        <v>0</v>
      </c>
      <c r="D19" s="362">
        <f>'明细表G7-2'!AF38+'明细表G7-2'!AG38+'明细表G7-2'!AH38+'明细表G7-2'!AI38</f>
        <v>0</v>
      </c>
      <c r="E19" s="362">
        <f>'明细表G7-2'!AK38+'明细表G7-2'!AL38</f>
        <v>0</v>
      </c>
      <c r="F19" s="362">
        <f>C19+D19-E19</f>
        <v>0</v>
      </c>
      <c r="G19" s="224"/>
    </row>
    <row r="20" spans="1:7" s="5" customFormat="1" ht="19.95" customHeight="1">
      <c r="A20" s="226" t="str">
        <f>A15</f>
        <v>三、对联营企业投资</v>
      </c>
      <c r="B20" s="226"/>
      <c r="C20" s="362">
        <f>'明细表G7-2'!W45</f>
        <v>0</v>
      </c>
      <c r="D20" s="362">
        <f>'明细表G7-2'!AF45+'明细表G7-2'!AG45+'明细表G7-2'!AH45+'明细表G7-2'!AI45</f>
        <v>0</v>
      </c>
      <c r="E20" s="362">
        <f>'明细表G7-2'!AK45+'明细表G7-2'!AL45</f>
        <v>0</v>
      </c>
      <c r="F20" s="362">
        <f>C20+D20-E20</f>
        <v>0</v>
      </c>
      <c r="G20" s="224"/>
    </row>
    <row r="21" spans="1:7" ht="19.95" customHeight="1">
      <c r="A21" s="876">
        <f>A16</f>
        <v>0</v>
      </c>
      <c r="B21" s="877"/>
      <c r="C21" s="227"/>
      <c r="D21" s="227"/>
      <c r="E21" s="227"/>
      <c r="F21" s="362">
        <f>C21+D21-E21</f>
        <v>0</v>
      </c>
      <c r="G21" s="224"/>
    </row>
    <row r="22" spans="1:7" ht="19.95" customHeight="1">
      <c r="A22" s="868" t="s">
        <v>17</v>
      </c>
      <c r="B22" s="869"/>
      <c r="C22" s="360">
        <f>SUM(C23:C26)</f>
        <v>0</v>
      </c>
      <c r="D22" s="360">
        <f>SUM(D23:D26)</f>
        <v>0</v>
      </c>
      <c r="E22" s="360">
        <f>SUM(E23:E26)</f>
        <v>0</v>
      </c>
      <c r="F22" s="360">
        <f>SUM(F23:F26)</f>
        <v>0</v>
      </c>
      <c r="G22" s="221"/>
    </row>
    <row r="23" spans="1:7" ht="19.95" customHeight="1">
      <c r="A23" s="226" t="str">
        <f>A18</f>
        <v>一、对子公司投资</v>
      </c>
      <c r="B23" s="226"/>
      <c r="C23" s="362">
        <f t="shared" ref="C23:E26" si="0">C8+C13+C18</f>
        <v>0</v>
      </c>
      <c r="D23" s="362">
        <f t="shared" si="0"/>
        <v>0</v>
      </c>
      <c r="E23" s="362">
        <f t="shared" si="0"/>
        <v>0</v>
      </c>
      <c r="F23" s="362">
        <f>C23+D23-E23</f>
        <v>0</v>
      </c>
      <c r="G23" s="224"/>
    </row>
    <row r="24" spans="1:7" ht="19.95" customHeight="1">
      <c r="A24" s="226" t="str">
        <f>A19</f>
        <v>二、对合营企业投资</v>
      </c>
      <c r="B24" s="226"/>
      <c r="C24" s="362">
        <f t="shared" si="0"/>
        <v>0</v>
      </c>
      <c r="D24" s="362">
        <f t="shared" si="0"/>
        <v>0</v>
      </c>
      <c r="E24" s="362">
        <f t="shared" si="0"/>
        <v>0</v>
      </c>
      <c r="F24" s="362">
        <f>C24+D24-E24</f>
        <v>0</v>
      </c>
      <c r="G24" s="224"/>
    </row>
    <row r="25" spans="1:7" ht="19.95" customHeight="1">
      <c r="A25" s="226" t="str">
        <f>A20</f>
        <v>三、对联营企业投资</v>
      </c>
      <c r="B25" s="226"/>
      <c r="C25" s="362">
        <f t="shared" si="0"/>
        <v>0</v>
      </c>
      <c r="D25" s="362">
        <f t="shared" si="0"/>
        <v>0</v>
      </c>
      <c r="E25" s="362">
        <f t="shared" si="0"/>
        <v>0</v>
      </c>
      <c r="F25" s="362">
        <f>C25+D25-E25</f>
        <v>0</v>
      </c>
      <c r="G25" s="224"/>
    </row>
    <row r="26" spans="1:7" s="5" customFormat="1" ht="19.95" customHeight="1">
      <c r="A26" s="876">
        <f>A21</f>
        <v>0</v>
      </c>
      <c r="B26" s="877"/>
      <c r="C26" s="362">
        <f t="shared" si="0"/>
        <v>0</v>
      </c>
      <c r="D26" s="362">
        <f t="shared" si="0"/>
        <v>0</v>
      </c>
      <c r="E26" s="362">
        <f t="shared" si="0"/>
        <v>0</v>
      </c>
      <c r="F26" s="362">
        <f>C26+D26-E26</f>
        <v>0</v>
      </c>
      <c r="G26" s="224"/>
    </row>
    <row r="27" spans="1:7" ht="19.95" customHeight="1">
      <c r="A27" s="219" t="s">
        <v>18</v>
      </c>
      <c r="B27" s="220"/>
      <c r="C27" s="220"/>
      <c r="D27" s="220"/>
      <c r="E27" s="220"/>
      <c r="F27" s="220"/>
      <c r="G27" s="220"/>
    </row>
    <row r="28" spans="1:7" ht="19.95" customHeight="1">
      <c r="A28" s="868" t="s">
        <v>11</v>
      </c>
      <c r="B28" s="869"/>
      <c r="C28" s="360">
        <f>SUM(C29:C32)</f>
        <v>0</v>
      </c>
      <c r="D28" s="360">
        <f>SUM(D29:D32)</f>
        <v>0</v>
      </c>
      <c r="E28" s="360">
        <f>SUM(E29:E32)</f>
        <v>0</v>
      </c>
      <c r="F28" s="360">
        <f>SUM(F29:F32)</f>
        <v>0</v>
      </c>
      <c r="G28" s="221"/>
    </row>
    <row r="29" spans="1:7" ht="19.95" customHeight="1">
      <c r="A29" s="226" t="str">
        <f>A8</f>
        <v>一、对子公司投资</v>
      </c>
      <c r="B29" s="226"/>
      <c r="C29" s="362">
        <f>'明细表G7-2'!G63</f>
        <v>0</v>
      </c>
      <c r="D29" s="362">
        <f>'明细表G7-2'!H63</f>
        <v>0</v>
      </c>
      <c r="E29" s="362">
        <f>'明细表G7-2'!I63</f>
        <v>0</v>
      </c>
      <c r="F29" s="362">
        <f>C29+D29-E29</f>
        <v>0</v>
      </c>
      <c r="G29" s="224"/>
    </row>
    <row r="30" spans="1:7" ht="19.95" customHeight="1">
      <c r="A30" s="226" t="str">
        <f>A9</f>
        <v>二、对合营企业投资</v>
      </c>
      <c r="B30" s="226"/>
      <c r="C30" s="362">
        <f>'明细表G7-2'!G71</f>
        <v>0</v>
      </c>
      <c r="D30" s="362">
        <f>'明细表G7-2'!H71</f>
        <v>0</v>
      </c>
      <c r="E30" s="362">
        <f>'明细表G7-2'!I71</f>
        <v>0</v>
      </c>
      <c r="F30" s="362">
        <f>C30+D30-E30</f>
        <v>0</v>
      </c>
      <c r="G30" s="224"/>
    </row>
    <row r="31" spans="1:7" ht="19.95" customHeight="1">
      <c r="A31" s="226" t="str">
        <f>A10</f>
        <v>三、对联营企业投资</v>
      </c>
      <c r="B31" s="226"/>
      <c r="C31" s="362">
        <f>'明细表G7-2'!G78</f>
        <v>0</v>
      </c>
      <c r="D31" s="362">
        <f>'明细表G7-2'!H78</f>
        <v>0</v>
      </c>
      <c r="E31" s="362">
        <f>'明细表G7-2'!I78</f>
        <v>0</v>
      </c>
      <c r="F31" s="362">
        <f>C31+D31-E31</f>
        <v>0</v>
      </c>
      <c r="G31" s="224"/>
    </row>
    <row r="32" spans="1:7" ht="19.95" customHeight="1">
      <c r="A32" s="876">
        <f>A11</f>
        <v>0</v>
      </c>
      <c r="B32" s="877"/>
      <c r="C32" s="227"/>
      <c r="D32" s="227"/>
      <c r="E32" s="227"/>
      <c r="F32" s="362">
        <f>C32+D32-E32</f>
        <v>0</v>
      </c>
      <c r="G32" s="224"/>
    </row>
    <row r="33" spans="1:7" ht="19.95" customHeight="1">
      <c r="A33" s="868" t="s">
        <v>15</v>
      </c>
      <c r="B33" s="869"/>
      <c r="C33" s="360">
        <f>SUM(C34:C37)</f>
        <v>0</v>
      </c>
      <c r="D33" s="360">
        <f>SUM(D34:D37)</f>
        <v>0</v>
      </c>
      <c r="E33" s="360">
        <f>SUM(E34:E37)</f>
        <v>0</v>
      </c>
      <c r="F33" s="360">
        <f>SUM(F34:F37)</f>
        <v>0</v>
      </c>
      <c r="G33" s="221"/>
    </row>
    <row r="34" spans="1:7" ht="19.95" customHeight="1">
      <c r="A34" s="226" t="str">
        <f>A13</f>
        <v>一、对子公司投资</v>
      </c>
      <c r="B34" s="226"/>
      <c r="C34" s="362">
        <f>'明细表G7-2'!L63</f>
        <v>0</v>
      </c>
      <c r="D34" s="362">
        <f>'明细表G7-2'!N63</f>
        <v>0</v>
      </c>
      <c r="E34" s="362">
        <f>'明细表G7-2'!O63</f>
        <v>0</v>
      </c>
      <c r="F34" s="362">
        <f>C34+D34-E34</f>
        <v>0</v>
      </c>
      <c r="G34" s="224"/>
    </row>
    <row r="35" spans="1:7" ht="19.95" customHeight="1">
      <c r="A35" s="226" t="str">
        <f>A14</f>
        <v>二、对合营企业投资</v>
      </c>
      <c r="B35" s="226"/>
      <c r="C35" s="362">
        <f>'明细表G7-2'!L71</f>
        <v>0</v>
      </c>
      <c r="D35" s="362">
        <f>'明细表G7-2'!N71</f>
        <v>0</v>
      </c>
      <c r="E35" s="362">
        <f>'明细表G7-2'!O71</f>
        <v>0</v>
      </c>
      <c r="F35" s="362">
        <f>C35+D35-E35</f>
        <v>0</v>
      </c>
      <c r="G35" s="224"/>
    </row>
    <row r="36" spans="1:7" ht="19.95" customHeight="1">
      <c r="A36" s="226" t="str">
        <f>A15</f>
        <v>三、对联营企业投资</v>
      </c>
      <c r="B36" s="226"/>
      <c r="C36" s="362">
        <f>'明细表G7-2'!L78</f>
        <v>0</v>
      </c>
      <c r="D36" s="362">
        <f>'明细表G7-2'!N78</f>
        <v>0</v>
      </c>
      <c r="E36" s="362">
        <f>'明细表G7-2'!O78</f>
        <v>0</v>
      </c>
      <c r="F36" s="362">
        <f>C36+D36-E36</f>
        <v>0</v>
      </c>
      <c r="G36" s="224"/>
    </row>
    <row r="37" spans="1:7" ht="19.95" customHeight="1">
      <c r="A37" s="876">
        <f>A16</f>
        <v>0</v>
      </c>
      <c r="B37" s="877"/>
      <c r="C37" s="227"/>
      <c r="D37" s="227"/>
      <c r="E37" s="227"/>
      <c r="F37" s="362">
        <f>C37+D37-E37</f>
        <v>0</v>
      </c>
      <c r="G37" s="224"/>
    </row>
    <row r="38" spans="1:7" ht="19.95" customHeight="1">
      <c r="A38" s="868" t="s">
        <v>16</v>
      </c>
      <c r="B38" s="869"/>
      <c r="C38" s="360">
        <f>SUM(C39:C42)</f>
        <v>0</v>
      </c>
      <c r="D38" s="360">
        <f>SUM(D39:D42)</f>
        <v>0</v>
      </c>
      <c r="E38" s="360">
        <f>SUM(E39:E42)</f>
        <v>0</v>
      </c>
      <c r="F38" s="360">
        <f>SUM(F39:F42)</f>
        <v>0</v>
      </c>
      <c r="G38" s="221"/>
    </row>
    <row r="39" spans="1:7" ht="19.95" customHeight="1">
      <c r="A39" s="226" t="str">
        <f>A18</f>
        <v>一、对子公司投资</v>
      </c>
      <c r="B39" s="226"/>
      <c r="C39" s="362">
        <f>'明细表G7-2'!M62</f>
        <v>0</v>
      </c>
      <c r="D39" s="362">
        <f>'明细表G7-2'!N63</f>
        <v>0</v>
      </c>
      <c r="E39" s="362">
        <f>'明细表G7-2'!O63</f>
        <v>0</v>
      </c>
      <c r="F39" s="362">
        <f>C39+D39-E39</f>
        <v>0</v>
      </c>
      <c r="G39" s="224"/>
    </row>
    <row r="40" spans="1:7" ht="19.95" customHeight="1">
      <c r="A40" s="226" t="str">
        <f>A19</f>
        <v>二、对合营企业投资</v>
      </c>
      <c r="B40" s="226"/>
      <c r="C40" s="362">
        <f>'明细表G7-2'!M71</f>
        <v>0</v>
      </c>
      <c r="D40" s="362">
        <f>'明细表G7-2'!P71</f>
        <v>0</v>
      </c>
      <c r="E40" s="362">
        <f>'明细表G7-2'!Q71</f>
        <v>0</v>
      </c>
      <c r="F40" s="362">
        <f>C40+D40-E40</f>
        <v>0</v>
      </c>
      <c r="G40" s="224"/>
    </row>
    <row r="41" spans="1:7" ht="19.95" customHeight="1">
      <c r="A41" s="226" t="str">
        <f>A20</f>
        <v>三、对联营企业投资</v>
      </c>
      <c r="B41" s="226"/>
      <c r="C41" s="362">
        <f>'明细表G7-2'!M78</f>
        <v>0</v>
      </c>
      <c r="D41" s="362">
        <f>'明细表G7-2'!P78</f>
        <v>0</v>
      </c>
      <c r="E41" s="362">
        <f>'明细表G7-2'!Q78</f>
        <v>0</v>
      </c>
      <c r="F41" s="362">
        <f>C41+D41-E41</f>
        <v>0</v>
      </c>
      <c r="G41" s="224"/>
    </row>
    <row r="42" spans="1:7" ht="19.95" customHeight="1">
      <c r="A42" s="876">
        <f>A21</f>
        <v>0</v>
      </c>
      <c r="B42" s="877"/>
      <c r="C42" s="227"/>
      <c r="D42" s="227"/>
      <c r="E42" s="227"/>
      <c r="F42" s="362">
        <f>C42+D42-E42</f>
        <v>0</v>
      </c>
      <c r="G42" s="224"/>
    </row>
    <row r="43" spans="1:7" ht="19.95" customHeight="1">
      <c r="A43" s="868" t="s">
        <v>19</v>
      </c>
      <c r="B43" s="869"/>
      <c r="C43" s="360">
        <f>SUM(C44:C47)</f>
        <v>0</v>
      </c>
      <c r="D43" s="360">
        <f>SUM(D44:D47)</f>
        <v>0</v>
      </c>
      <c r="E43" s="360">
        <f>SUM(E44:E47)</f>
        <v>0</v>
      </c>
      <c r="F43" s="360">
        <f>SUM(F44:F47)</f>
        <v>0</v>
      </c>
      <c r="G43" s="221"/>
    </row>
    <row r="44" spans="1:7" ht="19.95" customHeight="1">
      <c r="A44" s="226" t="str">
        <f>A23</f>
        <v>一、对子公司投资</v>
      </c>
      <c r="B44" s="226"/>
      <c r="C44" s="362">
        <f t="shared" ref="C44:E47" si="1">C29+C34+C39</f>
        <v>0</v>
      </c>
      <c r="D44" s="362">
        <f t="shared" si="1"/>
        <v>0</v>
      </c>
      <c r="E44" s="362">
        <f t="shared" si="1"/>
        <v>0</v>
      </c>
      <c r="F44" s="362">
        <f>C44+D44-E44</f>
        <v>0</v>
      </c>
      <c r="G44" s="224"/>
    </row>
    <row r="45" spans="1:7" ht="19.95" customHeight="1">
      <c r="A45" s="226" t="str">
        <f>A24</f>
        <v>二、对合营企业投资</v>
      </c>
      <c r="B45" s="226"/>
      <c r="C45" s="362">
        <f t="shared" si="1"/>
        <v>0</v>
      </c>
      <c r="D45" s="362">
        <f t="shared" si="1"/>
        <v>0</v>
      </c>
      <c r="E45" s="362">
        <f t="shared" si="1"/>
        <v>0</v>
      </c>
      <c r="F45" s="362">
        <f>C45+D45-E45</f>
        <v>0</v>
      </c>
      <c r="G45" s="224"/>
    </row>
    <row r="46" spans="1:7" ht="19.95" customHeight="1">
      <c r="A46" s="226" t="str">
        <f>A25</f>
        <v>三、对联营企业投资</v>
      </c>
      <c r="B46" s="226"/>
      <c r="C46" s="362">
        <f t="shared" si="1"/>
        <v>0</v>
      </c>
      <c r="D46" s="362">
        <f t="shared" si="1"/>
        <v>0</v>
      </c>
      <c r="E46" s="362">
        <f t="shared" si="1"/>
        <v>0</v>
      </c>
      <c r="F46" s="362">
        <f>C46+D46-E46</f>
        <v>0</v>
      </c>
      <c r="G46" s="224"/>
    </row>
    <row r="47" spans="1:7" ht="19.95" customHeight="1">
      <c r="A47" s="876">
        <f>A26</f>
        <v>0</v>
      </c>
      <c r="B47" s="877"/>
      <c r="C47" s="362">
        <f t="shared" si="1"/>
        <v>0</v>
      </c>
      <c r="D47" s="362">
        <f t="shared" si="1"/>
        <v>0</v>
      </c>
      <c r="E47" s="362">
        <f t="shared" si="1"/>
        <v>0</v>
      </c>
      <c r="F47" s="362">
        <f>C47+D47-E47</f>
        <v>0</v>
      </c>
      <c r="G47" s="224"/>
    </row>
    <row r="48" spans="1:7" ht="19.95" customHeight="1">
      <c r="A48" s="219" t="s">
        <v>20</v>
      </c>
      <c r="B48" s="220"/>
      <c r="C48" s="220"/>
      <c r="D48" s="220"/>
      <c r="E48" s="220"/>
      <c r="F48" s="220"/>
      <c r="G48" s="220"/>
    </row>
    <row r="49" spans="1:7" ht="19.95" customHeight="1">
      <c r="A49" s="868" t="s">
        <v>21</v>
      </c>
      <c r="B49" s="869"/>
      <c r="C49" s="360">
        <f>SUM(C50:C53)</f>
        <v>0</v>
      </c>
      <c r="D49" s="360">
        <f>SUM(D50:D53)</f>
        <v>0</v>
      </c>
      <c r="E49" s="360">
        <f>SUM(E50:E53)</f>
        <v>0</v>
      </c>
      <c r="F49" s="360">
        <f>SUM(F50:F53)</f>
        <v>0</v>
      </c>
      <c r="G49" s="221"/>
    </row>
    <row r="50" spans="1:7" ht="19.95" customHeight="1">
      <c r="A50" s="226" t="str">
        <f>A8</f>
        <v>一、对子公司投资</v>
      </c>
      <c r="B50" s="226"/>
      <c r="C50" s="362">
        <f t="shared" ref="C50:E53" si="2">C23-C44</f>
        <v>0</v>
      </c>
      <c r="D50" s="362">
        <f t="shared" si="2"/>
        <v>0</v>
      </c>
      <c r="E50" s="362">
        <f t="shared" si="2"/>
        <v>0</v>
      </c>
      <c r="F50" s="362">
        <f>C50+D50-E50</f>
        <v>0</v>
      </c>
      <c r="G50" s="224"/>
    </row>
    <row r="51" spans="1:7" ht="19.95" customHeight="1">
      <c r="A51" s="226" t="str">
        <f>A9</f>
        <v>二、对合营企业投资</v>
      </c>
      <c r="B51" s="226"/>
      <c r="C51" s="362">
        <f t="shared" si="2"/>
        <v>0</v>
      </c>
      <c r="D51" s="362">
        <f t="shared" si="2"/>
        <v>0</v>
      </c>
      <c r="E51" s="362">
        <f t="shared" si="2"/>
        <v>0</v>
      </c>
      <c r="F51" s="362">
        <f>C51+D51-E51</f>
        <v>0</v>
      </c>
      <c r="G51" s="224"/>
    </row>
    <row r="52" spans="1:7" ht="19.95" customHeight="1">
      <c r="A52" s="226" t="str">
        <f>A10</f>
        <v>三、对联营企业投资</v>
      </c>
      <c r="B52" s="226"/>
      <c r="C52" s="362">
        <f t="shared" si="2"/>
        <v>0</v>
      </c>
      <c r="D52" s="362">
        <f t="shared" si="2"/>
        <v>0</v>
      </c>
      <c r="E52" s="362">
        <f t="shared" si="2"/>
        <v>0</v>
      </c>
      <c r="F52" s="362">
        <f>C52+D52-E52</f>
        <v>0</v>
      </c>
      <c r="G52" s="224"/>
    </row>
    <row r="53" spans="1:7" ht="19.95" customHeight="1">
      <c r="A53" s="876">
        <f>A11</f>
        <v>0</v>
      </c>
      <c r="B53" s="877"/>
      <c r="C53" s="362">
        <f t="shared" si="2"/>
        <v>0</v>
      </c>
      <c r="D53" s="362">
        <f t="shared" si="2"/>
        <v>0</v>
      </c>
      <c r="E53" s="362">
        <f t="shared" si="2"/>
        <v>0</v>
      </c>
      <c r="F53" s="362">
        <f>C53+D53-E53</f>
        <v>0</v>
      </c>
      <c r="G53" s="224"/>
    </row>
    <row r="54" spans="1:7" ht="19.95" customHeight="1">
      <c r="A54" s="350" t="s">
        <v>842</v>
      </c>
      <c r="B54" s="348"/>
      <c r="C54" s="351"/>
      <c r="D54" s="348"/>
      <c r="E54" s="348"/>
      <c r="F54" s="351"/>
      <c r="G54" s="349"/>
    </row>
    <row r="55" spans="1:7" ht="19.95" customHeight="1">
      <c r="A55" s="350" t="s">
        <v>843</v>
      </c>
      <c r="B55" s="348"/>
      <c r="C55" s="361">
        <f>C49-C54</f>
        <v>0</v>
      </c>
      <c r="D55" s="348"/>
      <c r="E55" s="348"/>
      <c r="F55" s="361">
        <f>F49-F54</f>
        <v>0</v>
      </c>
      <c r="G55" s="349"/>
    </row>
    <row r="56" spans="1:7" ht="19.95" customHeight="1">
      <c r="A56" s="213" t="s">
        <v>22</v>
      </c>
    </row>
    <row r="57" spans="1:7" ht="19.95" customHeight="1">
      <c r="A57" s="214" t="s">
        <v>23</v>
      </c>
      <c r="E57" s="215" t="e">
        <f>IF(AND(C49=0,F49&gt;0),1,(F49-C49)/C49)</f>
        <v>#DIV/0!</v>
      </c>
    </row>
    <row r="58" spans="1:7" ht="19.95" customHeight="1">
      <c r="A58" s="214" t="s">
        <v>24</v>
      </c>
    </row>
    <row r="59" spans="1:7" ht="19.95" customHeight="1"/>
    <row r="60" spans="1:7" ht="19.95" customHeight="1"/>
    <row r="61" spans="1:7" ht="19.95" customHeight="1"/>
    <row r="62" spans="1:7" ht="19.95" customHeight="1"/>
    <row r="63" spans="1:7" ht="19.95" customHeight="1">
      <c r="A63" s="216" t="s">
        <v>25</v>
      </c>
    </row>
    <row r="64" spans="1:7" ht="19.95" customHeight="1"/>
    <row r="65" spans="1:1" ht="19.95" customHeight="1"/>
    <row r="66" spans="1:1" ht="19.95" customHeight="1"/>
    <row r="67" spans="1:1" ht="19.95" customHeight="1"/>
    <row r="68" spans="1:1" ht="19.95" customHeight="1">
      <c r="A68" s="5" t="s">
        <v>26</v>
      </c>
    </row>
    <row r="69" spans="1:1" ht="19.95" customHeight="1"/>
    <row r="70" spans="1:1" ht="19.95" customHeight="1"/>
    <row r="71" spans="1:1" ht="19.95" customHeight="1"/>
    <row r="72" spans="1:1" ht="19.95" customHeight="1"/>
    <row r="73" spans="1:1" ht="18" customHeight="1"/>
    <row r="74" spans="1:1" ht="18" customHeight="1"/>
    <row r="75" spans="1:1" s="7" customFormat="1" ht="18" customHeight="1">
      <c r="A75" s="6" t="s">
        <v>27</v>
      </c>
    </row>
    <row r="76" spans="1:1" s="7" customFormat="1" ht="18" customHeight="1">
      <c r="A76" s="8" t="s">
        <v>28</v>
      </c>
    </row>
    <row r="77" spans="1:1" s="7" customFormat="1" ht="18" customHeight="1">
      <c r="A77" s="8" t="s">
        <v>29</v>
      </c>
    </row>
    <row r="78" spans="1:1" s="7" customFormat="1" ht="18" customHeight="1">
      <c r="A78" s="7" t="s">
        <v>30</v>
      </c>
    </row>
    <row r="79" spans="1:1" s="7" customFormat="1" ht="18" customHeight="1">
      <c r="A79" s="7" t="s">
        <v>31</v>
      </c>
    </row>
    <row r="80" spans="1:1" s="7" customFormat="1" ht="18" customHeight="1">
      <c r="A80" s="7" t="s">
        <v>32</v>
      </c>
    </row>
    <row r="81" spans="1:2" s="7" customFormat="1" ht="18" customHeight="1">
      <c r="A81" s="7" t="s">
        <v>33</v>
      </c>
    </row>
    <row r="82" spans="1:2" s="7" customFormat="1" ht="18" customHeight="1">
      <c r="A82" s="9" t="s">
        <v>34</v>
      </c>
    </row>
    <row r="83" spans="1:2" s="7" customFormat="1" ht="18" customHeight="1">
      <c r="A83" s="7" t="s">
        <v>35</v>
      </c>
    </row>
    <row r="84" spans="1:2" s="7" customFormat="1" ht="18" customHeight="1">
      <c r="A84" s="10" t="s">
        <v>36</v>
      </c>
    </row>
    <row r="85" spans="1:2" s="7" customFormat="1" ht="18" customHeight="1">
      <c r="A85" s="7" t="s">
        <v>37</v>
      </c>
    </row>
    <row r="86" spans="1:2" s="7" customFormat="1" ht="18" customHeight="1">
      <c r="A86" s="9" t="s">
        <v>38</v>
      </c>
    </row>
    <row r="87" spans="1:2" ht="18" customHeight="1">
      <c r="A87" s="9" t="s">
        <v>39</v>
      </c>
    </row>
    <row r="88" spans="1:2" ht="18" customHeight="1">
      <c r="A88" s="9" t="s">
        <v>40</v>
      </c>
    </row>
    <row r="89" spans="1:2" ht="18" customHeight="1">
      <c r="A89" s="9" t="s">
        <v>41</v>
      </c>
    </row>
    <row r="90" spans="1:2" ht="18" customHeight="1">
      <c r="A90" s="9" t="s">
        <v>42</v>
      </c>
    </row>
    <row r="91" spans="1:2" ht="18" customHeight="1">
      <c r="A91" s="7" t="s">
        <v>43</v>
      </c>
    </row>
    <row r="92" spans="1:2" ht="18" customHeight="1"/>
    <row r="93" spans="1:2" ht="18" customHeight="1">
      <c r="A93" s="9" t="s">
        <v>44</v>
      </c>
    </row>
    <row r="94" spans="1:2" ht="18" customHeight="1">
      <c r="A94" s="10" t="s">
        <v>45</v>
      </c>
    </row>
    <row r="95" spans="1:2" ht="18" customHeight="1">
      <c r="A95" s="11" t="s">
        <v>46</v>
      </c>
      <c r="B95" s="7" t="s">
        <v>47</v>
      </c>
    </row>
    <row r="96" spans="1:2" ht="18" customHeight="1">
      <c r="A96" s="11" t="s">
        <v>48</v>
      </c>
      <c r="B96" s="7" t="s">
        <v>49</v>
      </c>
    </row>
    <row r="97" spans="1:2" ht="18" customHeight="1">
      <c r="A97" s="11" t="s">
        <v>50</v>
      </c>
      <c r="B97" s="7" t="s">
        <v>51</v>
      </c>
    </row>
  </sheetData>
  <mergeCells count="21">
    <mergeCell ref="A42:B42"/>
    <mergeCell ref="A47:B47"/>
    <mergeCell ref="A53:B53"/>
    <mergeCell ref="A49:B49"/>
    <mergeCell ref="A43:B43"/>
    <mergeCell ref="A28:B28"/>
    <mergeCell ref="A33:B33"/>
    <mergeCell ref="A38:B38"/>
    <mergeCell ref="A1:G1"/>
    <mergeCell ref="A2:G2"/>
    <mergeCell ref="A5:B5"/>
    <mergeCell ref="A7:B7"/>
    <mergeCell ref="A12:B12"/>
    <mergeCell ref="A11:B11"/>
    <mergeCell ref="A32:B32"/>
    <mergeCell ref="A37:B37"/>
    <mergeCell ref="A16:B16"/>
    <mergeCell ref="A21:B21"/>
    <mergeCell ref="A26:B26"/>
    <mergeCell ref="A17:B17"/>
    <mergeCell ref="A22:B22"/>
  </mergeCells>
  <phoneticPr fontId="6" type="noConversion"/>
  <hyperlinks>
    <hyperlink ref="G3" location="底稿目录!F5" display="底稿目录!F5"/>
  </hyperlinks>
  <pageMargins left="0.70866141732283472" right="0.70866141732283472" top="0.74803149606299213" bottom="0.74803149606299213" header="0.31496062992125984" footer="0.31496062992125984"/>
  <pageSetup paperSize="9" scale="92" fitToHeight="0" orientation="portrait" blackAndWhite="1" r:id="rId1"/>
  <headerFooter>
    <oddFooter>&amp;C&amp;P/&amp;N</oddFooter>
  </headerFooter>
  <rowBreaks count="1" manualBreakCount="1">
    <brk id="37" max="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M253"/>
  <sheetViews>
    <sheetView view="pageBreakPreview" zoomScale="90" zoomScaleSheetLayoutView="90" workbookViewId="0">
      <selection sqref="A1:L1"/>
    </sheetView>
  </sheetViews>
  <sheetFormatPr defaultColWidth="9" defaultRowHeight="13.8"/>
  <cols>
    <col min="1" max="1" width="33.09765625" style="184" customWidth="1"/>
    <col min="2" max="2" width="15.59765625" style="184" customWidth="1"/>
    <col min="3" max="3" width="18.19921875" style="184" customWidth="1"/>
    <col min="4" max="4" width="15.8984375" style="184" customWidth="1"/>
    <col min="5" max="5" width="18.09765625" style="184" customWidth="1"/>
    <col min="6" max="6" width="13.59765625" style="184" customWidth="1"/>
    <col min="7" max="7" width="27.09765625" style="184" customWidth="1"/>
    <col min="8" max="8" width="14.3984375" style="184" customWidth="1"/>
    <col min="9" max="9" width="14" style="184" customWidth="1"/>
    <col min="10" max="10" width="9" style="184"/>
    <col min="11" max="12" width="10.3984375" style="184" customWidth="1"/>
    <col min="13" max="16384" width="9" style="184"/>
  </cols>
  <sheetData>
    <row r="1" spans="1:13" s="626" customFormat="1" ht="16.95" customHeight="1">
      <c r="A1" s="888" t="s">
        <v>0</v>
      </c>
      <c r="B1" s="888"/>
      <c r="C1" s="888"/>
      <c r="D1" s="888"/>
      <c r="E1" s="888"/>
      <c r="F1" s="888"/>
      <c r="G1" s="888"/>
      <c r="H1" s="888"/>
      <c r="I1" s="888"/>
      <c r="J1" s="888"/>
      <c r="K1" s="888"/>
      <c r="L1" s="888"/>
    </row>
    <row r="2" spans="1:13" s="638" customFormat="1" ht="19.5" customHeight="1">
      <c r="A2" s="889" t="s">
        <v>52</v>
      </c>
      <c r="B2" s="889"/>
      <c r="C2" s="889"/>
      <c r="D2" s="889"/>
      <c r="E2" s="889"/>
      <c r="F2" s="889"/>
      <c r="G2" s="889"/>
      <c r="H2" s="889"/>
      <c r="I2" s="889"/>
      <c r="J2" s="889"/>
      <c r="K2" s="889"/>
      <c r="L2" s="889"/>
    </row>
    <row r="3" spans="1:13" s="208" customFormat="1" ht="20.100000000000001" customHeight="1">
      <c r="A3" s="207" t="str">
        <f>底稿目录!A2</f>
        <v>被审计单位：</v>
      </c>
      <c r="B3" s="207"/>
      <c r="C3" s="207" t="str">
        <f>底稿目录!A4</f>
        <v>编制人：</v>
      </c>
      <c r="F3" s="229" t="str">
        <f>底稿目录!A5</f>
        <v>编制日期：</v>
      </c>
      <c r="K3" s="207" t="s">
        <v>495</v>
      </c>
      <c r="L3" s="208">
        <f>底稿目录!F6</f>
        <v>0</v>
      </c>
    </row>
    <row r="4" spans="1:13" s="208" customFormat="1" ht="20.100000000000001" customHeight="1">
      <c r="A4" s="207" t="str">
        <f>底稿目录!A3</f>
        <v>截止日：202X年12月31日</v>
      </c>
      <c r="B4" s="207"/>
      <c r="C4" s="207" t="str">
        <f>底稿目录!A6</f>
        <v>复核人：</v>
      </c>
      <c r="F4" s="229" t="str">
        <f>底稿目录!A7</f>
        <v>复核日期：</v>
      </c>
      <c r="K4" s="207" t="s">
        <v>3</v>
      </c>
    </row>
    <row r="5" spans="1:13" ht="20.100000000000001" customHeight="1">
      <c r="A5" s="231" t="s">
        <v>507</v>
      </c>
      <c r="B5" s="231"/>
      <c r="C5" s="231"/>
      <c r="D5" s="231"/>
      <c r="E5" s="231"/>
      <c r="F5" s="231"/>
      <c r="G5" s="231"/>
      <c r="H5" s="231"/>
      <c r="I5" s="231"/>
      <c r="J5" s="231"/>
      <c r="K5" s="231"/>
      <c r="L5" s="231"/>
    </row>
    <row r="6" spans="1:13" ht="20.100000000000001" customHeight="1">
      <c r="A6" s="232" t="s">
        <v>508</v>
      </c>
      <c r="B6" s="233"/>
      <c r="C6" s="233"/>
      <c r="D6" s="233"/>
      <c r="E6" s="233"/>
      <c r="F6" s="233"/>
      <c r="G6" s="233"/>
      <c r="H6" s="233"/>
      <c r="I6" s="233"/>
      <c r="J6" s="233"/>
      <c r="K6" s="233"/>
      <c r="L6" s="233"/>
    </row>
    <row r="7" spans="1:13" ht="20.100000000000001" customHeight="1" thickBot="1">
      <c r="A7" s="399"/>
      <c r="B7"/>
      <c r="C7"/>
      <c r="D7"/>
      <c r="E7"/>
      <c r="F7"/>
      <c r="G7"/>
      <c r="H7"/>
      <c r="I7"/>
      <c r="J7"/>
      <c r="K7"/>
      <c r="L7"/>
      <c r="M7"/>
    </row>
    <row r="8" spans="1:13" ht="20.100000000000001" customHeight="1">
      <c r="A8" s="895" t="s">
        <v>513</v>
      </c>
      <c r="B8" s="883" t="s">
        <v>851</v>
      </c>
      <c r="C8" s="419"/>
      <c r="D8" s="883" t="s">
        <v>518</v>
      </c>
      <c r="E8" s="883"/>
      <c r="F8" s="883"/>
      <c r="G8" s="883"/>
      <c r="H8" s="883"/>
      <c r="I8" s="883"/>
      <c r="J8" s="883"/>
      <c r="K8" s="883"/>
      <c r="L8" s="878" t="s">
        <v>852</v>
      </c>
      <c r="M8" s="878" t="s">
        <v>519</v>
      </c>
    </row>
    <row r="9" spans="1:13" ht="20.100000000000001" customHeight="1">
      <c r="A9" s="896"/>
      <c r="B9" s="898"/>
      <c r="C9" s="879" t="s">
        <v>853</v>
      </c>
      <c r="D9" s="879" t="s">
        <v>854</v>
      </c>
      <c r="E9" s="879" t="s">
        <v>521</v>
      </c>
      <c r="F9" s="420" t="s">
        <v>855</v>
      </c>
      <c r="G9" s="420" t="s">
        <v>858</v>
      </c>
      <c r="H9" s="881" t="s">
        <v>522</v>
      </c>
      <c r="I9" s="881" t="s">
        <v>523</v>
      </c>
      <c r="J9" s="879" t="s">
        <v>860</v>
      </c>
      <c r="K9" s="879" t="s">
        <v>524</v>
      </c>
      <c r="L9" s="879"/>
      <c r="M9" s="879"/>
    </row>
    <row r="10" spans="1:13" ht="20.100000000000001" customHeight="1">
      <c r="A10" s="896"/>
      <c r="B10" s="898"/>
      <c r="C10" s="879"/>
      <c r="D10" s="879"/>
      <c r="E10" s="879"/>
      <c r="F10" s="420" t="s">
        <v>856</v>
      </c>
      <c r="G10" s="420" t="s">
        <v>859</v>
      </c>
      <c r="H10" s="881"/>
      <c r="I10" s="881"/>
      <c r="J10" s="879"/>
      <c r="K10" s="879"/>
      <c r="L10" s="879"/>
      <c r="M10" s="879"/>
    </row>
    <row r="11" spans="1:13" ht="20.100000000000001" customHeight="1" thickBot="1">
      <c r="A11" s="897"/>
      <c r="B11" s="899"/>
      <c r="C11" s="880"/>
      <c r="D11" s="880"/>
      <c r="E11" s="880"/>
      <c r="F11" s="421" t="s">
        <v>857</v>
      </c>
      <c r="G11" s="422"/>
      <c r="H11" s="882"/>
      <c r="I11" s="882"/>
      <c r="J11" s="880"/>
      <c r="K11" s="880"/>
      <c r="L11" s="880"/>
      <c r="M11" s="880"/>
    </row>
    <row r="12" spans="1:13" ht="20.100000000000001" customHeight="1">
      <c r="A12" s="423" t="s">
        <v>525</v>
      </c>
      <c r="B12" s="424"/>
      <c r="C12" s="424"/>
      <c r="D12" s="424"/>
      <c r="E12" s="424"/>
      <c r="F12" s="424"/>
      <c r="G12" s="424"/>
      <c r="H12" s="424"/>
      <c r="I12" s="424"/>
      <c r="J12" s="424"/>
      <c r="K12" s="424"/>
      <c r="L12" s="424"/>
      <c r="M12" s="424"/>
    </row>
    <row r="13" spans="1:13" ht="20.100000000000001" customHeight="1">
      <c r="A13" s="425" t="s">
        <v>66</v>
      </c>
      <c r="B13" s="424"/>
      <c r="C13" s="424"/>
      <c r="D13" s="424"/>
      <c r="E13" s="424"/>
      <c r="F13" s="424"/>
      <c r="G13" s="424"/>
      <c r="H13" s="424"/>
      <c r="I13" s="424"/>
      <c r="J13" s="424"/>
      <c r="K13" s="424"/>
      <c r="L13" s="424"/>
      <c r="M13" s="424"/>
    </row>
    <row r="14" spans="1:13" ht="20.100000000000001" customHeight="1">
      <c r="A14" s="425"/>
      <c r="B14" s="424"/>
      <c r="C14" s="424"/>
      <c r="D14" s="424"/>
      <c r="E14" s="424"/>
      <c r="F14" s="424"/>
      <c r="G14" s="424"/>
      <c r="H14" s="424"/>
      <c r="I14" s="424"/>
      <c r="J14" s="424"/>
      <c r="K14" s="424"/>
      <c r="L14" s="424"/>
      <c r="M14" s="424"/>
    </row>
    <row r="15" spans="1:13" ht="20.100000000000001" customHeight="1">
      <c r="A15" s="423" t="s">
        <v>861</v>
      </c>
      <c r="B15" s="424"/>
      <c r="C15" s="424"/>
      <c r="D15" s="424"/>
      <c r="E15" s="424"/>
      <c r="F15" s="424"/>
      <c r="G15" s="424"/>
      <c r="H15" s="424"/>
      <c r="I15" s="424"/>
      <c r="J15" s="424"/>
      <c r="K15" s="424"/>
      <c r="L15" s="424"/>
      <c r="M15" s="424"/>
    </row>
    <row r="16" spans="1:13" ht="20.100000000000001" customHeight="1">
      <c r="A16" s="423" t="s">
        <v>506</v>
      </c>
      <c r="B16" s="424"/>
      <c r="C16" s="424"/>
      <c r="D16" s="424"/>
      <c r="E16" s="424"/>
      <c r="F16" s="424"/>
      <c r="G16" s="424"/>
      <c r="H16" s="424"/>
      <c r="I16" s="424"/>
      <c r="J16" s="424"/>
      <c r="K16" s="424"/>
      <c r="L16" s="424"/>
      <c r="M16" s="424"/>
    </row>
    <row r="17" spans="1:13" ht="20.100000000000001" customHeight="1">
      <c r="A17" s="425" t="s">
        <v>66</v>
      </c>
      <c r="B17" s="424"/>
      <c r="C17" s="424"/>
      <c r="D17" s="424"/>
      <c r="E17" s="424"/>
      <c r="F17" s="424"/>
      <c r="G17" s="424"/>
      <c r="H17" s="424"/>
      <c r="I17" s="424"/>
      <c r="J17" s="424"/>
      <c r="K17" s="424"/>
      <c r="L17" s="424"/>
      <c r="M17" s="424"/>
    </row>
    <row r="18" spans="1:13" ht="20.100000000000001" customHeight="1">
      <c r="A18" s="425"/>
      <c r="B18" s="424"/>
      <c r="C18" s="424"/>
      <c r="D18" s="424"/>
      <c r="E18" s="424"/>
      <c r="F18" s="424"/>
      <c r="G18" s="424"/>
      <c r="H18" s="424"/>
      <c r="I18" s="424"/>
      <c r="J18" s="424"/>
      <c r="K18" s="424"/>
      <c r="L18" s="424"/>
      <c r="M18" s="424"/>
    </row>
    <row r="19" spans="1:13" ht="20.100000000000001" customHeight="1">
      <c r="A19" s="425"/>
      <c r="B19" s="424"/>
      <c r="C19" s="424"/>
      <c r="D19" s="424"/>
      <c r="E19" s="424"/>
      <c r="F19" s="424"/>
      <c r="G19" s="424"/>
      <c r="H19" s="424"/>
      <c r="I19" s="424"/>
      <c r="J19" s="424"/>
      <c r="K19" s="424"/>
      <c r="L19" s="424"/>
      <c r="M19" s="424"/>
    </row>
    <row r="20" spans="1:13" ht="20.100000000000001" customHeight="1">
      <c r="A20" s="425"/>
      <c r="B20" s="424"/>
      <c r="C20" s="424"/>
      <c r="D20" s="424"/>
      <c r="E20" s="424"/>
      <c r="F20" s="424"/>
      <c r="G20" s="424"/>
      <c r="H20" s="424"/>
      <c r="I20" s="424"/>
      <c r="J20" s="424"/>
      <c r="K20" s="424"/>
      <c r="L20" s="424"/>
      <c r="M20" s="424"/>
    </row>
    <row r="21" spans="1:13" ht="20.100000000000001" customHeight="1">
      <c r="A21" s="425"/>
      <c r="B21" s="424"/>
      <c r="C21" s="424"/>
      <c r="D21" s="424"/>
      <c r="E21" s="424"/>
      <c r="F21" s="424"/>
      <c r="G21" s="424"/>
      <c r="H21" s="424"/>
      <c r="I21" s="424"/>
      <c r="J21" s="424"/>
      <c r="K21" s="424"/>
      <c r="L21" s="424"/>
      <c r="M21" s="424"/>
    </row>
    <row r="22" spans="1:13" ht="20.100000000000001" customHeight="1" thickBot="1">
      <c r="A22" s="426" t="s">
        <v>861</v>
      </c>
      <c r="B22" s="427"/>
      <c r="C22" s="427"/>
      <c r="D22" s="427"/>
      <c r="E22" s="427"/>
      <c r="F22" s="427"/>
      <c r="G22" s="427"/>
      <c r="H22" s="427"/>
      <c r="I22" s="427"/>
      <c r="J22" s="427"/>
      <c r="K22" s="427"/>
      <c r="L22" s="427"/>
      <c r="M22" s="427"/>
    </row>
    <row r="23" spans="1:13" ht="20.100000000000001" customHeight="1" thickBot="1">
      <c r="A23" s="428" t="s">
        <v>862</v>
      </c>
      <c r="B23" s="429"/>
      <c r="C23" s="429"/>
      <c r="D23" s="429"/>
      <c r="E23" s="429"/>
      <c r="F23" s="429"/>
      <c r="G23" s="429"/>
      <c r="H23" s="429"/>
      <c r="I23" s="429"/>
      <c r="J23" s="429"/>
      <c r="K23" s="429"/>
      <c r="L23" s="429"/>
      <c r="M23" s="429"/>
    </row>
    <row r="24" spans="1:13" ht="20.100000000000001" customHeight="1">
      <c r="A24" s="430" t="s">
        <v>863</v>
      </c>
      <c r="B24"/>
      <c r="C24"/>
      <c r="D24"/>
      <c r="E24"/>
      <c r="F24"/>
      <c r="G24"/>
      <c r="H24"/>
      <c r="I24"/>
      <c r="J24"/>
      <c r="K24"/>
      <c r="L24"/>
      <c r="M24"/>
    </row>
    <row r="25" spans="1:13" s="185" customFormat="1" ht="20.100000000000001" customHeight="1">
      <c r="A25" s="233"/>
      <c r="B25" s="233"/>
      <c r="C25" s="233"/>
      <c r="D25" s="233"/>
      <c r="E25" s="233"/>
      <c r="F25" s="233"/>
      <c r="G25" s="233"/>
      <c r="H25" s="233"/>
      <c r="I25" s="233"/>
      <c r="J25" s="233"/>
      <c r="K25" s="233"/>
      <c r="L25" s="233"/>
    </row>
    <row r="26" spans="1:13" s="185" customFormat="1" ht="20.100000000000001" customHeight="1">
      <c r="A26" s="236" t="s">
        <v>528</v>
      </c>
      <c r="B26" s="237"/>
      <c r="C26" s="237"/>
      <c r="D26" s="237"/>
      <c r="E26" s="237"/>
      <c r="F26" s="237"/>
      <c r="G26" s="237"/>
      <c r="H26" s="237"/>
      <c r="I26" s="237"/>
      <c r="J26" s="233"/>
      <c r="K26" s="233"/>
      <c r="L26" s="233"/>
    </row>
    <row r="27" spans="1:13" s="185" customFormat="1" ht="20.100000000000001" customHeight="1" thickBot="1">
      <c r="A27" s="236" t="s">
        <v>529</v>
      </c>
      <c r="B27" s="237"/>
      <c r="C27" s="237"/>
      <c r="D27" s="237"/>
      <c r="E27" s="237"/>
      <c r="F27" s="237"/>
      <c r="G27" s="237"/>
      <c r="H27" s="237"/>
      <c r="I27" s="237"/>
      <c r="J27" s="233"/>
      <c r="K27" s="233"/>
      <c r="L27" s="233"/>
    </row>
    <row r="28" spans="1:13" s="185" customFormat="1" ht="20.100000000000001" customHeight="1">
      <c r="A28" s="886" t="s">
        <v>530</v>
      </c>
      <c r="B28" s="886" t="s">
        <v>531</v>
      </c>
      <c r="C28" s="886" t="s">
        <v>532</v>
      </c>
      <c r="D28" s="886" t="s">
        <v>75</v>
      </c>
      <c r="E28" s="886" t="s">
        <v>533</v>
      </c>
      <c r="F28" s="886"/>
      <c r="G28" s="886" t="s">
        <v>534</v>
      </c>
      <c r="H28" s="237"/>
      <c r="I28" s="237"/>
      <c r="J28" s="233"/>
      <c r="K28" s="233"/>
      <c r="L28" s="233"/>
    </row>
    <row r="29" spans="1:13" s="185" customFormat="1" ht="20.100000000000001" customHeight="1" thickBot="1">
      <c r="A29" s="887"/>
      <c r="B29" s="887"/>
      <c r="C29" s="887"/>
      <c r="D29" s="887"/>
      <c r="E29" s="330" t="s">
        <v>535</v>
      </c>
      <c r="F29" s="210" t="s">
        <v>536</v>
      </c>
      <c r="G29" s="887"/>
      <c r="H29" s="237"/>
      <c r="I29" s="237"/>
      <c r="J29" s="233"/>
      <c r="K29" s="233"/>
      <c r="L29" s="233"/>
    </row>
    <row r="30" spans="1:13" s="185" customFormat="1" ht="20.100000000000001" customHeight="1">
      <c r="A30" s="244">
        <f>'被投资单位基本信息G7-4'!B12</f>
        <v>0</v>
      </c>
      <c r="B30" s="245">
        <f>'被投资单位基本信息G7-4'!F12</f>
        <v>0</v>
      </c>
      <c r="C30" s="246">
        <f>'被投资单位基本信息G7-4'!G12</f>
        <v>0</v>
      </c>
      <c r="D30" s="246">
        <f>'被投资单位基本信息G7-4'!H12</f>
        <v>0</v>
      </c>
      <c r="E30" s="245">
        <f>'被投资单位基本信息G7-4'!M12</f>
        <v>0</v>
      </c>
      <c r="F30" s="245">
        <f>'被投资单位基本信息G7-4'!N12</f>
        <v>0</v>
      </c>
      <c r="G30" s="245">
        <f>'被投资单位基本信息G7-4'!S12</f>
        <v>0</v>
      </c>
      <c r="H30" s="237"/>
      <c r="I30" s="237"/>
      <c r="J30" s="233"/>
      <c r="K30" s="233"/>
      <c r="L30" s="233"/>
    </row>
    <row r="31" spans="1:13" s="185" customFormat="1" ht="20.100000000000001" customHeight="1">
      <c r="A31" s="244">
        <f>'被投资单位基本信息G7-4'!B13</f>
        <v>0</v>
      </c>
      <c r="B31" s="246">
        <f>'被投资单位基本信息G7-4'!F13</f>
        <v>0</v>
      </c>
      <c r="C31" s="246">
        <f>'被投资单位基本信息G7-4'!G13</f>
        <v>0</v>
      </c>
      <c r="D31" s="246">
        <f>'被投资单位基本信息G7-4'!H13</f>
        <v>0</v>
      </c>
      <c r="E31" s="246">
        <f>'被投资单位基本信息G7-4'!M13</f>
        <v>0</v>
      </c>
      <c r="F31" s="246">
        <f>'被投资单位基本信息G7-4'!N13</f>
        <v>0</v>
      </c>
      <c r="G31" s="246">
        <f>'被投资单位基本信息G7-4'!S13</f>
        <v>0</v>
      </c>
      <c r="H31" s="237"/>
      <c r="I31" s="237"/>
      <c r="J31" s="233"/>
      <c r="K31" s="233"/>
      <c r="L31" s="233"/>
    </row>
    <row r="32" spans="1:13" s="185" customFormat="1" ht="20.100000000000001" customHeight="1">
      <c r="A32" s="244">
        <f>'被投资单位基本信息G7-4'!B14</f>
        <v>0</v>
      </c>
      <c r="B32" s="246">
        <f>'被投资单位基本信息G7-4'!F14</f>
        <v>0</v>
      </c>
      <c r="C32" s="246">
        <f>'被投资单位基本信息G7-4'!G14</f>
        <v>0</v>
      </c>
      <c r="D32" s="246">
        <f>'被投资单位基本信息G7-4'!H14</f>
        <v>0</v>
      </c>
      <c r="E32" s="246">
        <f>'被投资单位基本信息G7-4'!M14</f>
        <v>0</v>
      </c>
      <c r="F32" s="246">
        <f>'被投资单位基本信息G7-4'!N14</f>
        <v>0</v>
      </c>
      <c r="G32" s="246">
        <f>'被投资单位基本信息G7-4'!S14</f>
        <v>0</v>
      </c>
      <c r="H32" s="237"/>
      <c r="I32" s="237"/>
      <c r="J32" s="233"/>
      <c r="K32" s="233"/>
      <c r="L32" s="233"/>
    </row>
    <row r="33" spans="1:12" s="185" customFormat="1" ht="20.100000000000001" customHeight="1">
      <c r="A33" s="244">
        <f>'被投资单位基本信息G7-4'!B15</f>
        <v>0</v>
      </c>
      <c r="B33" s="246">
        <f>'被投资单位基本信息G7-4'!F15</f>
        <v>0</v>
      </c>
      <c r="C33" s="246">
        <f>'被投资单位基本信息G7-4'!G15</f>
        <v>0</v>
      </c>
      <c r="D33" s="246">
        <f>'被投资单位基本信息G7-4'!H15</f>
        <v>0</v>
      </c>
      <c r="E33" s="246">
        <f>'被投资单位基本信息G7-4'!M15</f>
        <v>0</v>
      </c>
      <c r="F33" s="246">
        <f>'被投资单位基本信息G7-4'!N15</f>
        <v>0</v>
      </c>
      <c r="G33" s="246">
        <f>'被投资单位基本信息G7-4'!S15</f>
        <v>0</v>
      </c>
      <c r="H33" s="237"/>
      <c r="I33" s="237"/>
      <c r="J33" s="233"/>
      <c r="K33" s="233"/>
      <c r="L33" s="233"/>
    </row>
    <row r="34" spans="1:12" s="185" customFormat="1" ht="20.100000000000001" customHeight="1">
      <c r="A34" s="244">
        <f>'被投资单位基本信息G7-4'!B16</f>
        <v>0</v>
      </c>
      <c r="B34" s="246">
        <f>'被投资单位基本信息G7-4'!F16</f>
        <v>0</v>
      </c>
      <c r="C34" s="246">
        <f>'被投资单位基本信息G7-4'!G16</f>
        <v>0</v>
      </c>
      <c r="D34" s="246">
        <f>'被投资单位基本信息G7-4'!H16</f>
        <v>0</v>
      </c>
      <c r="E34" s="246">
        <f>'被投资单位基本信息G7-4'!M16</f>
        <v>0</v>
      </c>
      <c r="F34" s="246">
        <f>'被投资单位基本信息G7-4'!N16</f>
        <v>0</v>
      </c>
      <c r="G34" s="246">
        <f>'被投资单位基本信息G7-4'!S16</f>
        <v>0</v>
      </c>
      <c r="H34" s="237"/>
      <c r="I34" s="237"/>
      <c r="J34" s="233"/>
      <c r="K34" s="233"/>
      <c r="L34" s="233"/>
    </row>
    <row r="35" spans="1:12" s="185" customFormat="1" ht="20.100000000000001" customHeight="1">
      <c r="A35" s="244">
        <f>'被投资单位基本信息G7-4'!B17</f>
        <v>0</v>
      </c>
      <c r="B35" s="246">
        <f>'被投资单位基本信息G7-4'!F17</f>
        <v>0</v>
      </c>
      <c r="C35" s="246">
        <f>'被投资单位基本信息G7-4'!G17</f>
        <v>0</v>
      </c>
      <c r="D35" s="246">
        <f>'被投资单位基本信息G7-4'!H17</f>
        <v>0</v>
      </c>
      <c r="E35" s="246">
        <f>'被投资单位基本信息G7-4'!M17</f>
        <v>0</v>
      </c>
      <c r="F35" s="246">
        <f>'被投资单位基本信息G7-4'!N17</f>
        <v>0</v>
      </c>
      <c r="G35" s="246">
        <f>'被投资单位基本信息G7-4'!S17</f>
        <v>0</v>
      </c>
      <c r="H35" s="237"/>
      <c r="I35" s="237"/>
      <c r="J35" s="233"/>
      <c r="K35" s="233"/>
      <c r="L35" s="233"/>
    </row>
    <row r="36" spans="1:12" s="185" customFormat="1" ht="20.100000000000001" customHeight="1">
      <c r="A36" s="244">
        <f>'被投资单位基本信息G7-4'!B18</f>
        <v>0</v>
      </c>
      <c r="B36" s="246">
        <f>'被投资单位基本信息G7-4'!F18</f>
        <v>0</v>
      </c>
      <c r="C36" s="246">
        <f>'被投资单位基本信息G7-4'!G18</f>
        <v>0</v>
      </c>
      <c r="D36" s="246">
        <f>'被投资单位基本信息G7-4'!H18</f>
        <v>0</v>
      </c>
      <c r="E36" s="246">
        <f>'被投资单位基本信息G7-4'!M18</f>
        <v>0</v>
      </c>
      <c r="F36" s="246">
        <f>'被投资单位基本信息G7-4'!N18</f>
        <v>0</v>
      </c>
      <c r="G36" s="246">
        <f>'被投资单位基本信息G7-4'!S18</f>
        <v>0</v>
      </c>
      <c r="H36" s="237"/>
      <c r="I36" s="237"/>
      <c r="J36" s="233"/>
      <c r="K36" s="233"/>
      <c r="L36" s="233"/>
    </row>
    <row r="37" spans="1:12" s="185" customFormat="1" ht="20.100000000000001" customHeight="1">
      <c r="A37" s="244">
        <f>'被投资单位基本信息G7-4'!B19</f>
        <v>0</v>
      </c>
      <c r="B37" s="246">
        <f>'被投资单位基本信息G7-4'!F19</f>
        <v>0</v>
      </c>
      <c r="C37" s="246">
        <f>'被投资单位基本信息G7-4'!G19</f>
        <v>0</v>
      </c>
      <c r="D37" s="246">
        <f>'被投资单位基本信息G7-4'!H19</f>
        <v>0</v>
      </c>
      <c r="E37" s="246">
        <f>'被投资单位基本信息G7-4'!M19</f>
        <v>0</v>
      </c>
      <c r="F37" s="246">
        <f>'被投资单位基本信息G7-4'!N19</f>
        <v>0</v>
      </c>
      <c r="G37" s="246">
        <f>'被投资单位基本信息G7-4'!S19</f>
        <v>0</v>
      </c>
      <c r="H37" s="237"/>
      <c r="I37" s="237"/>
      <c r="J37" s="233"/>
      <c r="K37" s="233"/>
      <c r="L37" s="233"/>
    </row>
    <row r="38" spans="1:12" s="185" customFormat="1" ht="20.100000000000001" customHeight="1">
      <c r="A38" s="244">
        <f>'被投资单位基本信息G7-4'!B20</f>
        <v>0</v>
      </c>
      <c r="B38" s="246">
        <f>'被投资单位基本信息G7-4'!F20</f>
        <v>0</v>
      </c>
      <c r="C38" s="246">
        <f>'被投资单位基本信息G7-4'!G20</f>
        <v>0</v>
      </c>
      <c r="D38" s="246">
        <f>'被投资单位基本信息G7-4'!H20</f>
        <v>0</v>
      </c>
      <c r="E38" s="246">
        <f>'被投资单位基本信息G7-4'!M20</f>
        <v>0</v>
      </c>
      <c r="F38" s="246">
        <f>'被投资单位基本信息G7-4'!N20</f>
        <v>0</v>
      </c>
      <c r="G38" s="246">
        <f>'被投资单位基本信息G7-4'!S20</f>
        <v>0</v>
      </c>
      <c r="H38" s="237"/>
      <c r="I38" s="237"/>
      <c r="J38" s="233"/>
      <c r="K38" s="233"/>
      <c r="L38" s="233"/>
    </row>
    <row r="39" spans="1:12" s="185" customFormat="1" ht="20.100000000000001" customHeight="1" thickBot="1">
      <c r="A39" s="247" t="str">
        <f>'被投资单位基本信息G7-4'!B21</f>
        <v>……</v>
      </c>
      <c r="B39" s="248">
        <f>'被投资单位基本信息G7-4'!F21</f>
        <v>0</v>
      </c>
      <c r="C39" s="248">
        <f>'被投资单位基本信息G7-4'!G21</f>
        <v>0</v>
      </c>
      <c r="D39" s="248">
        <f>'被投资单位基本信息G7-4'!H21</f>
        <v>0</v>
      </c>
      <c r="E39" s="248">
        <f>'被投资单位基本信息G7-4'!M21</f>
        <v>0</v>
      </c>
      <c r="F39" s="248">
        <f>'被投资单位基本信息G7-4'!N21</f>
        <v>0</v>
      </c>
      <c r="G39" s="248">
        <f>'被投资单位基本信息G7-4'!S21</f>
        <v>0</v>
      </c>
      <c r="H39" s="237"/>
      <c r="I39" s="237"/>
      <c r="J39" s="233"/>
      <c r="K39" s="233"/>
      <c r="L39" s="233"/>
    </row>
    <row r="40" spans="1:12" s="185" customFormat="1" ht="20.100000000000001" customHeight="1">
      <c r="A40" s="236" t="s">
        <v>527</v>
      </c>
      <c r="B40" s="237"/>
      <c r="C40" s="237"/>
      <c r="D40" s="237"/>
      <c r="E40" s="237"/>
      <c r="F40" s="237"/>
      <c r="G40" s="237"/>
      <c r="H40" s="237"/>
      <c r="I40" s="237"/>
      <c r="J40" s="233"/>
      <c r="K40" s="233"/>
      <c r="L40" s="233"/>
    </row>
    <row r="41" spans="1:12" s="185" customFormat="1" ht="20.100000000000001" customHeight="1">
      <c r="A41" s="209" t="s">
        <v>537</v>
      </c>
      <c r="B41" s="237"/>
      <c r="C41" s="237"/>
      <c r="D41" s="237"/>
      <c r="E41" s="237"/>
      <c r="F41" s="237"/>
      <c r="G41" s="237"/>
      <c r="H41" s="237"/>
      <c r="I41" s="237"/>
      <c r="J41" s="233"/>
      <c r="K41" s="233"/>
      <c r="L41" s="233"/>
    </row>
    <row r="42" spans="1:12" s="185" customFormat="1" ht="20.100000000000001" customHeight="1">
      <c r="A42" s="209" t="s">
        <v>538</v>
      </c>
      <c r="B42" s="237"/>
      <c r="C42" s="237"/>
      <c r="D42" s="237"/>
      <c r="E42" s="237"/>
      <c r="F42" s="237"/>
      <c r="G42" s="237"/>
      <c r="H42" s="237"/>
      <c r="I42" s="237"/>
      <c r="J42" s="233"/>
      <c r="K42" s="233"/>
      <c r="L42" s="233"/>
    </row>
    <row r="43" spans="1:12" s="89" customFormat="1" ht="20.100000000000001" customHeight="1">
      <c r="A43" s="209" t="s">
        <v>539</v>
      </c>
      <c r="B43" s="209"/>
      <c r="C43" s="209"/>
      <c r="D43" s="209"/>
      <c r="E43" s="209"/>
      <c r="F43" s="209"/>
      <c r="G43" s="209"/>
      <c r="H43" s="209"/>
      <c r="I43" s="209"/>
      <c r="J43" s="209"/>
      <c r="K43" s="209"/>
      <c r="L43" s="209"/>
    </row>
    <row r="44" spans="1:12" s="89" customFormat="1" ht="20.100000000000001" customHeight="1">
      <c r="A44" s="209" t="s">
        <v>540</v>
      </c>
      <c r="B44" s="209"/>
      <c r="C44" s="209"/>
      <c r="D44" s="209"/>
      <c r="E44" s="209"/>
      <c r="F44" s="209"/>
      <c r="G44" s="209"/>
      <c r="H44" s="209"/>
      <c r="I44" s="209"/>
      <c r="J44" s="209"/>
      <c r="K44" s="209"/>
      <c r="L44" s="209"/>
    </row>
    <row r="45" spans="1:12" s="89" customFormat="1" ht="51" customHeight="1">
      <c r="A45" s="884" t="s">
        <v>541</v>
      </c>
      <c r="B45" s="884"/>
      <c r="C45" s="884"/>
      <c r="D45" s="884"/>
      <c r="E45" s="884"/>
      <c r="F45" s="884"/>
      <c r="G45" s="884"/>
      <c r="H45" s="209"/>
      <c r="I45" s="209"/>
      <c r="J45" s="209"/>
      <c r="K45" s="209"/>
      <c r="L45" s="209"/>
    </row>
    <row r="46" spans="1:12" s="89" customFormat="1" ht="66" customHeight="1">
      <c r="A46" s="884" t="s">
        <v>542</v>
      </c>
      <c r="B46" s="884"/>
      <c r="C46" s="884"/>
      <c r="D46" s="884"/>
      <c r="E46" s="884"/>
      <c r="F46" s="884"/>
      <c r="G46" s="884"/>
      <c r="H46" s="209"/>
      <c r="I46" s="209"/>
      <c r="J46" s="209"/>
      <c r="K46" s="209"/>
      <c r="L46" s="209"/>
    </row>
    <row r="47" spans="1:12" s="89" customFormat="1" ht="20.100000000000001" customHeight="1">
      <c r="A47" s="209" t="s">
        <v>543</v>
      </c>
      <c r="B47" s="209"/>
      <c r="C47" s="209"/>
      <c r="D47" s="209"/>
      <c r="E47" s="209"/>
      <c r="F47" s="209"/>
      <c r="G47" s="209"/>
      <c r="H47" s="209"/>
      <c r="I47" s="209"/>
      <c r="J47" s="209"/>
      <c r="K47" s="209"/>
      <c r="L47" s="209"/>
    </row>
    <row r="48" spans="1:12" s="89" customFormat="1" ht="20.100000000000001" customHeight="1" thickBot="1">
      <c r="A48" s="249" t="s">
        <v>544</v>
      </c>
      <c r="B48" s="209"/>
      <c r="C48" s="209"/>
      <c r="D48" s="209"/>
      <c r="E48" s="209"/>
      <c r="F48" s="209"/>
      <c r="G48" s="209"/>
      <c r="H48" s="209"/>
      <c r="I48" s="209"/>
      <c r="J48" s="209"/>
      <c r="K48" s="209"/>
      <c r="L48" s="209"/>
    </row>
    <row r="49" spans="1:12" s="185" customFormat="1" ht="34.5" customHeight="1" thickBot="1">
      <c r="A49" s="239" t="s">
        <v>530</v>
      </c>
      <c r="B49" s="192" t="s">
        <v>545</v>
      </c>
      <c r="C49" s="192" t="s">
        <v>546</v>
      </c>
      <c r="D49" s="192" t="s">
        <v>547</v>
      </c>
      <c r="E49" s="192" t="s">
        <v>548</v>
      </c>
      <c r="F49" s="237"/>
      <c r="G49" s="237"/>
      <c r="H49" s="237"/>
      <c r="I49" s="237"/>
      <c r="J49" s="233"/>
      <c r="K49" s="233"/>
      <c r="L49" s="233"/>
    </row>
    <row r="50" spans="1:12" s="185" customFormat="1" ht="20.100000000000001" customHeight="1">
      <c r="A50" s="238"/>
      <c r="B50" s="250"/>
      <c r="C50" s="251"/>
      <c r="D50" s="251"/>
      <c r="E50" s="251"/>
      <c r="F50" s="237"/>
      <c r="G50" s="237"/>
      <c r="H50" s="237"/>
      <c r="I50" s="237"/>
      <c r="J50" s="233"/>
      <c r="K50" s="233"/>
      <c r="L50" s="233"/>
    </row>
    <row r="51" spans="1:12" s="185" customFormat="1" ht="20.100000000000001" customHeight="1">
      <c r="A51" s="238"/>
      <c r="B51" s="250"/>
      <c r="C51" s="251"/>
      <c r="D51" s="251"/>
      <c r="E51" s="251"/>
      <c r="F51" s="237"/>
      <c r="G51" s="237"/>
      <c r="H51" s="237"/>
      <c r="I51" s="237"/>
      <c r="J51" s="233"/>
      <c r="K51" s="233"/>
      <c r="L51" s="233"/>
    </row>
    <row r="52" spans="1:12" s="185" customFormat="1" ht="20.100000000000001" customHeight="1">
      <c r="A52" s="238"/>
      <c r="B52" s="250"/>
      <c r="C52" s="251"/>
      <c r="D52" s="251"/>
      <c r="E52" s="251"/>
      <c r="F52" s="237"/>
      <c r="G52" s="237"/>
      <c r="H52" s="237"/>
      <c r="I52" s="237"/>
      <c r="J52" s="233"/>
      <c r="K52" s="233"/>
      <c r="L52" s="233"/>
    </row>
    <row r="53" spans="1:12" s="185" customFormat="1" ht="20.100000000000001" customHeight="1">
      <c r="A53" s="238"/>
      <c r="B53" s="250"/>
      <c r="C53" s="251"/>
      <c r="D53" s="251"/>
      <c r="E53" s="251"/>
      <c r="F53" s="237"/>
      <c r="G53" s="237"/>
      <c r="H53" s="237"/>
      <c r="I53" s="237"/>
      <c r="J53" s="233"/>
      <c r="K53" s="233"/>
      <c r="L53" s="233"/>
    </row>
    <row r="54" spans="1:12" s="185" customFormat="1" ht="20.100000000000001" customHeight="1" thickBot="1">
      <c r="A54" s="252"/>
      <c r="B54" s="253"/>
      <c r="C54" s="254"/>
      <c r="D54" s="254"/>
      <c r="E54" s="254"/>
      <c r="F54" s="237"/>
      <c r="G54" s="237"/>
      <c r="H54" s="237"/>
      <c r="I54" s="237"/>
      <c r="J54" s="233"/>
      <c r="K54" s="233"/>
      <c r="L54" s="233"/>
    </row>
    <row r="55" spans="1:12" s="185" customFormat="1" ht="20.100000000000001" customHeight="1">
      <c r="A55" s="209" t="s">
        <v>549</v>
      </c>
      <c r="B55" s="237"/>
      <c r="C55" s="237"/>
      <c r="D55" s="237"/>
      <c r="E55" s="237"/>
      <c r="F55" s="237"/>
      <c r="G55" s="237"/>
      <c r="H55" s="237"/>
      <c r="I55" s="237"/>
      <c r="J55" s="233"/>
      <c r="K55" s="233"/>
      <c r="L55" s="233"/>
    </row>
    <row r="56" spans="1:12" s="185" customFormat="1" ht="20.100000000000001" customHeight="1">
      <c r="A56" s="209" t="s">
        <v>550</v>
      </c>
      <c r="B56" s="237"/>
      <c r="C56" s="237"/>
      <c r="D56" s="237"/>
      <c r="E56" s="237"/>
      <c r="F56" s="237"/>
      <c r="G56" s="237"/>
      <c r="H56" s="237"/>
      <c r="I56" s="237"/>
      <c r="J56" s="233"/>
      <c r="K56" s="233"/>
      <c r="L56" s="233"/>
    </row>
    <row r="57" spans="1:12" s="185" customFormat="1" ht="20.100000000000001" customHeight="1" thickBot="1">
      <c r="A57" s="249" t="s">
        <v>544</v>
      </c>
      <c r="B57" s="237"/>
      <c r="C57" s="237"/>
      <c r="D57" s="237"/>
      <c r="E57" s="237"/>
      <c r="F57" s="237"/>
      <c r="G57" s="237"/>
      <c r="H57" s="237"/>
      <c r="I57" s="237"/>
      <c r="J57" s="233"/>
      <c r="K57" s="233"/>
      <c r="L57" s="233"/>
    </row>
    <row r="58" spans="1:12" s="185" customFormat="1" ht="20.100000000000001" customHeight="1">
      <c r="A58" s="886" t="s">
        <v>530</v>
      </c>
      <c r="B58" s="886" t="s">
        <v>54</v>
      </c>
      <c r="C58" s="886"/>
      <c r="D58" s="886"/>
      <c r="E58" s="886"/>
      <c r="F58" s="886"/>
      <c r="G58" s="886"/>
      <c r="H58" s="237"/>
      <c r="I58" s="237"/>
      <c r="J58" s="233"/>
      <c r="K58" s="233"/>
      <c r="L58" s="233"/>
    </row>
    <row r="59" spans="1:12" s="185" customFormat="1" ht="20.100000000000001" customHeight="1" thickBot="1">
      <c r="A59" s="887"/>
      <c r="B59" s="210" t="s">
        <v>56</v>
      </c>
      <c r="C59" s="210" t="s">
        <v>57</v>
      </c>
      <c r="D59" s="210" t="s">
        <v>58</v>
      </c>
      <c r="E59" s="210" t="s">
        <v>59</v>
      </c>
      <c r="F59" s="210" t="s">
        <v>60</v>
      </c>
      <c r="G59" s="210" t="s">
        <v>61</v>
      </c>
      <c r="H59" s="237"/>
      <c r="I59" s="237"/>
      <c r="J59" s="233"/>
      <c r="K59" s="233"/>
      <c r="L59" s="233"/>
    </row>
    <row r="60" spans="1:12" s="185" customFormat="1" ht="20.100000000000001" customHeight="1">
      <c r="A60" s="238"/>
      <c r="B60" s="251"/>
      <c r="C60" s="251"/>
      <c r="D60" s="251"/>
      <c r="E60" s="251"/>
      <c r="F60" s="251"/>
      <c r="G60" s="251"/>
      <c r="H60" s="237"/>
      <c r="I60" s="237"/>
      <c r="J60" s="233"/>
      <c r="K60" s="233"/>
      <c r="L60" s="233"/>
    </row>
    <row r="61" spans="1:12" s="185" customFormat="1" ht="20.100000000000001" customHeight="1">
      <c r="A61" s="238"/>
      <c r="B61" s="251"/>
      <c r="C61" s="251"/>
      <c r="D61" s="251"/>
      <c r="E61" s="251"/>
      <c r="F61" s="251"/>
      <c r="G61" s="251"/>
      <c r="H61" s="237"/>
      <c r="I61" s="237"/>
      <c r="J61" s="233"/>
      <c r="K61" s="233"/>
      <c r="L61" s="233"/>
    </row>
    <row r="62" spans="1:12" s="185" customFormat="1" ht="20.100000000000001" customHeight="1">
      <c r="A62" s="238"/>
      <c r="B62" s="251"/>
      <c r="C62" s="251"/>
      <c r="D62" s="251"/>
      <c r="E62" s="251"/>
      <c r="F62" s="251"/>
      <c r="G62" s="251"/>
      <c r="H62" s="237"/>
      <c r="I62" s="237"/>
      <c r="J62" s="233"/>
      <c r="K62" s="233"/>
      <c r="L62" s="233"/>
    </row>
    <row r="63" spans="1:12" s="185" customFormat="1" ht="20.100000000000001" customHeight="1">
      <c r="A63" s="238"/>
      <c r="B63" s="251"/>
      <c r="C63" s="251"/>
      <c r="D63" s="251"/>
      <c r="E63" s="251"/>
      <c r="F63" s="251"/>
      <c r="G63" s="251"/>
      <c r="H63" s="237"/>
      <c r="I63" s="237"/>
      <c r="J63" s="233"/>
      <c r="K63" s="233"/>
      <c r="L63" s="233"/>
    </row>
    <row r="64" spans="1:12" s="185" customFormat="1" ht="20.100000000000001" customHeight="1" thickBot="1">
      <c r="A64" s="252"/>
      <c r="B64" s="254"/>
      <c r="C64" s="254"/>
      <c r="D64" s="254"/>
      <c r="E64" s="254"/>
      <c r="F64" s="254"/>
      <c r="G64" s="254"/>
      <c r="H64" s="237"/>
      <c r="I64" s="237"/>
      <c r="J64" s="233"/>
      <c r="K64" s="233"/>
      <c r="L64" s="233"/>
    </row>
    <row r="65" spans="1:12" s="185" customFormat="1" ht="20.100000000000001" customHeight="1" thickBot="1">
      <c r="A65" s="236" t="s">
        <v>551</v>
      </c>
      <c r="B65" s="237"/>
      <c r="C65" s="237"/>
      <c r="D65" s="237"/>
      <c r="E65" s="237"/>
      <c r="F65" s="237"/>
      <c r="G65" s="237"/>
      <c r="H65" s="237"/>
      <c r="I65" s="237"/>
      <c r="J65" s="233"/>
      <c r="K65" s="233"/>
      <c r="L65" s="233"/>
    </row>
    <row r="66" spans="1:12" s="185" customFormat="1" ht="20.100000000000001" customHeight="1">
      <c r="A66" s="886" t="s">
        <v>530</v>
      </c>
      <c r="B66" s="886" t="s">
        <v>55</v>
      </c>
      <c r="C66" s="886"/>
      <c r="D66" s="886"/>
      <c r="E66" s="886"/>
      <c r="F66" s="886"/>
      <c r="G66" s="886"/>
      <c r="H66" s="237"/>
      <c r="I66" s="237"/>
      <c r="J66" s="233"/>
      <c r="K66" s="233"/>
      <c r="L66" s="233"/>
    </row>
    <row r="67" spans="1:12" s="185" customFormat="1" ht="20.100000000000001" customHeight="1" thickBot="1">
      <c r="A67" s="887"/>
      <c r="B67" s="210" t="s">
        <v>56</v>
      </c>
      <c r="C67" s="210" t="s">
        <v>57</v>
      </c>
      <c r="D67" s="210" t="s">
        <v>58</v>
      </c>
      <c r="E67" s="210" t="s">
        <v>59</v>
      </c>
      <c r="F67" s="210" t="s">
        <v>60</v>
      </c>
      <c r="G67" s="210" t="s">
        <v>61</v>
      </c>
      <c r="H67" s="237"/>
      <c r="I67" s="237"/>
      <c r="J67" s="233"/>
      <c r="K67" s="233"/>
      <c r="L67" s="233"/>
    </row>
    <row r="68" spans="1:12" s="185" customFormat="1" ht="20.100000000000001" customHeight="1">
      <c r="A68" s="238"/>
      <c r="B68" s="251"/>
      <c r="C68" s="251"/>
      <c r="D68" s="251"/>
      <c r="E68" s="251"/>
      <c r="F68" s="251"/>
      <c r="G68" s="251"/>
      <c r="H68" s="237"/>
      <c r="I68" s="237"/>
      <c r="J68" s="233"/>
      <c r="K68" s="233"/>
      <c r="L68" s="233"/>
    </row>
    <row r="69" spans="1:12" s="185" customFormat="1" ht="20.100000000000001" customHeight="1">
      <c r="A69" s="238"/>
      <c r="B69" s="251"/>
      <c r="C69" s="251"/>
      <c r="D69" s="251"/>
      <c r="E69" s="251"/>
      <c r="F69" s="251"/>
      <c r="G69" s="251"/>
      <c r="H69" s="237"/>
      <c r="I69" s="237"/>
      <c r="J69" s="233"/>
      <c r="K69" s="233"/>
      <c r="L69" s="233"/>
    </row>
    <row r="70" spans="1:12" s="185" customFormat="1" ht="20.100000000000001" customHeight="1">
      <c r="A70" s="238"/>
      <c r="B70" s="251"/>
      <c r="C70" s="251"/>
      <c r="D70" s="251"/>
      <c r="E70" s="251"/>
      <c r="F70" s="251"/>
      <c r="G70" s="251"/>
      <c r="H70" s="237"/>
      <c r="I70" s="237"/>
      <c r="J70" s="233"/>
      <c r="K70" s="233"/>
      <c r="L70" s="233"/>
    </row>
    <row r="71" spans="1:12" s="185" customFormat="1" ht="20.100000000000001" customHeight="1">
      <c r="A71" s="238"/>
      <c r="B71" s="251"/>
      <c r="C71" s="251"/>
      <c r="D71" s="251"/>
      <c r="E71" s="251"/>
      <c r="F71" s="251"/>
      <c r="G71" s="251"/>
      <c r="H71" s="237"/>
      <c r="I71" s="237"/>
      <c r="J71" s="233"/>
      <c r="K71" s="233"/>
      <c r="L71" s="233"/>
    </row>
    <row r="72" spans="1:12" s="185" customFormat="1" ht="20.100000000000001" customHeight="1" thickBot="1">
      <c r="A72" s="252"/>
      <c r="B72" s="254"/>
      <c r="C72" s="254"/>
      <c r="D72" s="254"/>
      <c r="E72" s="254"/>
      <c r="F72" s="254"/>
      <c r="G72" s="254"/>
      <c r="H72" s="237"/>
      <c r="I72" s="237"/>
      <c r="J72" s="233"/>
      <c r="K72" s="233"/>
      <c r="L72" s="233"/>
    </row>
    <row r="73" spans="1:12" s="185" customFormat="1" ht="20.100000000000001" customHeight="1" thickBot="1">
      <c r="A73" s="236" t="s">
        <v>552</v>
      </c>
      <c r="B73" s="237"/>
      <c r="C73" s="237"/>
      <c r="D73" s="237"/>
      <c r="E73" s="237"/>
      <c r="F73" s="237"/>
      <c r="G73" s="237"/>
      <c r="H73" s="237"/>
      <c r="I73" s="237"/>
      <c r="J73" s="233"/>
      <c r="K73" s="233"/>
      <c r="L73" s="233"/>
    </row>
    <row r="74" spans="1:12" s="185" customFormat="1" ht="20.100000000000001" customHeight="1">
      <c r="A74" s="886" t="s">
        <v>530</v>
      </c>
      <c r="B74" s="886" t="s">
        <v>553</v>
      </c>
      <c r="C74" s="886"/>
      <c r="D74" s="886"/>
      <c r="E74" s="886"/>
      <c r="F74" s="886" t="s">
        <v>554</v>
      </c>
      <c r="G74" s="886"/>
      <c r="H74" s="886"/>
      <c r="I74" s="886"/>
      <c r="J74" s="233"/>
      <c r="K74" s="233"/>
      <c r="L74" s="233"/>
    </row>
    <row r="75" spans="1:12" s="185" customFormat="1" ht="36" customHeight="1" thickBot="1">
      <c r="A75" s="887"/>
      <c r="B75" s="210" t="s">
        <v>555</v>
      </c>
      <c r="C75" s="210" t="s">
        <v>63</v>
      </c>
      <c r="D75" s="210" t="s">
        <v>64</v>
      </c>
      <c r="E75" s="210" t="s">
        <v>106</v>
      </c>
      <c r="F75" s="210" t="s">
        <v>556</v>
      </c>
      <c r="G75" s="210" t="s">
        <v>63</v>
      </c>
      <c r="H75" s="210" t="s">
        <v>64</v>
      </c>
      <c r="I75" s="210" t="s">
        <v>106</v>
      </c>
      <c r="J75" s="233"/>
      <c r="K75" s="233"/>
      <c r="L75" s="233"/>
    </row>
    <row r="76" spans="1:12" s="185" customFormat="1" ht="20.100000000000001" customHeight="1">
      <c r="A76" s="238"/>
      <c r="B76" s="251"/>
      <c r="C76" s="251"/>
      <c r="D76" s="251"/>
      <c r="E76" s="251"/>
      <c r="F76" s="251"/>
      <c r="G76" s="251"/>
      <c r="H76" s="251"/>
      <c r="I76" s="251"/>
      <c r="J76" s="233"/>
      <c r="K76" s="233"/>
      <c r="L76" s="233"/>
    </row>
    <row r="77" spans="1:12" s="185" customFormat="1" ht="20.100000000000001" customHeight="1">
      <c r="A77" s="238"/>
      <c r="B77" s="251"/>
      <c r="C77" s="251"/>
      <c r="D77" s="251"/>
      <c r="E77" s="251"/>
      <c r="F77" s="251"/>
      <c r="G77" s="251"/>
      <c r="H77" s="251"/>
      <c r="I77" s="251"/>
      <c r="J77" s="233"/>
      <c r="K77" s="233"/>
      <c r="L77" s="233"/>
    </row>
    <row r="78" spans="1:12" s="185" customFormat="1" ht="20.100000000000001" customHeight="1">
      <c r="A78" s="238"/>
      <c r="B78" s="251"/>
      <c r="C78" s="251"/>
      <c r="D78" s="251"/>
      <c r="E78" s="251"/>
      <c r="F78" s="251"/>
      <c r="G78" s="251"/>
      <c r="H78" s="251"/>
      <c r="I78" s="251"/>
      <c r="J78" s="233"/>
      <c r="K78" s="233"/>
      <c r="L78" s="233"/>
    </row>
    <row r="79" spans="1:12" s="185" customFormat="1" ht="20.100000000000001" customHeight="1">
      <c r="A79" s="238"/>
      <c r="B79" s="251"/>
      <c r="C79" s="251"/>
      <c r="D79" s="251"/>
      <c r="E79" s="251"/>
      <c r="F79" s="251"/>
      <c r="G79" s="251"/>
      <c r="H79" s="251"/>
      <c r="I79" s="251"/>
      <c r="J79" s="233"/>
      <c r="K79" s="233"/>
      <c r="L79" s="233"/>
    </row>
    <row r="80" spans="1:12" s="185" customFormat="1" ht="20.100000000000001" customHeight="1" thickBot="1">
      <c r="A80" s="252"/>
      <c r="B80" s="254"/>
      <c r="C80" s="254"/>
      <c r="D80" s="254"/>
      <c r="E80" s="254"/>
      <c r="F80" s="254"/>
      <c r="G80" s="254"/>
      <c r="H80" s="254"/>
      <c r="I80" s="254"/>
      <c r="J80" s="233"/>
      <c r="K80" s="233"/>
      <c r="L80" s="233"/>
    </row>
    <row r="81" spans="1:12" s="185" customFormat="1" ht="20.100000000000001" customHeight="1">
      <c r="A81" s="249" t="s">
        <v>557</v>
      </c>
      <c r="B81" s="237"/>
      <c r="C81" s="237"/>
      <c r="D81" s="237"/>
      <c r="E81" s="237"/>
      <c r="F81" s="237"/>
      <c r="G81" s="237"/>
      <c r="H81" s="237"/>
      <c r="I81" s="237"/>
      <c r="J81" s="233"/>
      <c r="K81" s="233"/>
      <c r="L81" s="233"/>
    </row>
    <row r="82" spans="1:12" s="185" customFormat="1" ht="20.100000000000001" customHeight="1">
      <c r="A82" s="209" t="s">
        <v>558</v>
      </c>
      <c r="B82" s="237"/>
      <c r="C82" s="237"/>
      <c r="D82" s="237"/>
      <c r="E82" s="237"/>
      <c r="F82" s="237"/>
      <c r="G82" s="237"/>
      <c r="H82" s="237"/>
      <c r="I82" s="237"/>
      <c r="J82" s="233"/>
      <c r="K82" s="233"/>
      <c r="L82" s="233"/>
    </row>
    <row r="83" spans="1:12" s="185" customFormat="1" ht="20.100000000000001" customHeight="1">
      <c r="A83" s="249" t="s">
        <v>559</v>
      </c>
      <c r="B83" s="237"/>
      <c r="C83" s="237"/>
      <c r="D83" s="237"/>
      <c r="E83" s="237"/>
      <c r="F83" s="237"/>
      <c r="G83" s="237"/>
      <c r="H83" s="237"/>
      <c r="I83" s="237"/>
      <c r="J83" s="233"/>
      <c r="K83" s="233"/>
      <c r="L83" s="233"/>
    </row>
    <row r="84" spans="1:12" s="185" customFormat="1" ht="20.100000000000001" customHeight="1">
      <c r="A84" s="249" t="s">
        <v>560</v>
      </c>
      <c r="B84" s="237"/>
      <c r="C84" s="237"/>
      <c r="D84" s="237"/>
      <c r="E84" s="237"/>
      <c r="F84" s="237"/>
      <c r="G84" s="237"/>
      <c r="H84" s="237"/>
      <c r="I84" s="237"/>
      <c r="J84" s="233"/>
      <c r="K84" s="233"/>
      <c r="L84" s="233"/>
    </row>
    <row r="85" spans="1:12" s="185" customFormat="1" ht="20.100000000000001" customHeight="1">
      <c r="A85" s="249" t="s">
        <v>561</v>
      </c>
      <c r="B85" s="237"/>
      <c r="C85" s="237"/>
      <c r="D85" s="237"/>
      <c r="E85" s="237"/>
      <c r="F85" s="237"/>
      <c r="G85" s="237"/>
      <c r="H85" s="237"/>
      <c r="I85" s="237"/>
      <c r="J85" s="233"/>
      <c r="K85" s="233"/>
      <c r="L85" s="233"/>
    </row>
    <row r="86" spans="1:12" s="185" customFormat="1" ht="20.100000000000001" customHeight="1">
      <c r="A86" s="209" t="s">
        <v>562</v>
      </c>
      <c r="B86" s="237"/>
      <c r="C86" s="237"/>
      <c r="D86" s="237"/>
      <c r="E86" s="237"/>
      <c r="F86" s="237"/>
      <c r="G86" s="237"/>
      <c r="H86" s="237"/>
      <c r="I86" s="237"/>
      <c r="J86" s="233"/>
      <c r="K86" s="233"/>
      <c r="L86" s="233"/>
    </row>
    <row r="87" spans="1:12" s="185" customFormat="1" ht="20.100000000000001" customHeight="1">
      <c r="A87" s="209" t="s">
        <v>563</v>
      </c>
      <c r="B87" s="237"/>
      <c r="C87" s="237"/>
      <c r="D87" s="237"/>
      <c r="E87" s="237"/>
      <c r="F87" s="237"/>
      <c r="G87" s="237"/>
      <c r="H87" s="237"/>
      <c r="I87" s="237"/>
      <c r="J87" s="233"/>
      <c r="K87" s="233"/>
      <c r="L87" s="233"/>
    </row>
    <row r="88" spans="1:12" s="185" customFormat="1" ht="20.100000000000001" customHeight="1">
      <c r="A88" s="249" t="s">
        <v>564</v>
      </c>
      <c r="B88" s="237"/>
      <c r="C88" s="237"/>
      <c r="D88" s="237"/>
      <c r="E88" s="237"/>
      <c r="F88" s="237"/>
      <c r="G88" s="237"/>
      <c r="H88" s="237"/>
      <c r="I88" s="237"/>
      <c r="J88" s="233"/>
      <c r="K88" s="233"/>
      <c r="L88" s="233"/>
    </row>
    <row r="89" spans="1:12" s="191" customFormat="1" ht="31.5" customHeight="1">
      <c r="A89" s="885" t="s">
        <v>565</v>
      </c>
      <c r="B89" s="885"/>
      <c r="C89" s="885"/>
      <c r="D89" s="885"/>
      <c r="E89" s="885"/>
      <c r="F89" s="885"/>
      <c r="G89" s="885"/>
      <c r="H89" s="885"/>
      <c r="I89" s="885"/>
      <c r="J89" s="249"/>
      <c r="K89" s="249"/>
      <c r="L89" s="249"/>
    </row>
    <row r="90" spans="1:12" s="191" customFormat="1" ht="20.100000000000001" customHeight="1">
      <c r="A90" s="249" t="s">
        <v>566</v>
      </c>
      <c r="B90" s="249"/>
      <c r="C90" s="249"/>
      <c r="D90" s="249"/>
      <c r="E90" s="249"/>
      <c r="F90" s="249"/>
      <c r="G90" s="249"/>
      <c r="H90" s="249"/>
      <c r="I90" s="249"/>
      <c r="J90" s="249"/>
      <c r="K90" s="249"/>
      <c r="L90" s="249"/>
    </row>
    <row r="91" spans="1:12" s="185" customFormat="1" ht="20.100000000000001" customHeight="1">
      <c r="A91" s="209" t="s">
        <v>567</v>
      </c>
      <c r="B91" s="237"/>
      <c r="C91" s="237"/>
      <c r="D91" s="237"/>
      <c r="E91" s="237"/>
      <c r="F91" s="237"/>
      <c r="G91" s="237"/>
      <c r="H91" s="237"/>
      <c r="I91" s="237"/>
      <c r="J91" s="233"/>
      <c r="K91" s="233"/>
      <c r="L91" s="233"/>
    </row>
    <row r="92" spans="1:12" s="185" customFormat="1" ht="37.5" customHeight="1">
      <c r="A92" s="885" t="s">
        <v>568</v>
      </c>
      <c r="B92" s="885"/>
      <c r="C92" s="885"/>
      <c r="D92" s="885"/>
      <c r="E92" s="885"/>
      <c r="F92" s="885"/>
      <c r="G92" s="885"/>
      <c r="H92" s="885"/>
      <c r="I92" s="885"/>
      <c r="J92" s="233"/>
      <c r="K92" s="233"/>
      <c r="L92" s="233"/>
    </row>
    <row r="93" spans="1:12" s="185" customFormat="1" ht="20.100000000000001" customHeight="1">
      <c r="A93" s="209" t="s">
        <v>569</v>
      </c>
      <c r="B93" s="237"/>
      <c r="C93" s="237"/>
      <c r="D93" s="237"/>
      <c r="E93" s="237"/>
      <c r="F93" s="237"/>
      <c r="G93" s="237"/>
      <c r="H93" s="237"/>
      <c r="I93" s="237"/>
      <c r="J93" s="233"/>
      <c r="K93" s="233"/>
      <c r="L93" s="233"/>
    </row>
    <row r="94" spans="1:12" s="185" customFormat="1" ht="35.25" customHeight="1">
      <c r="A94" s="885" t="s">
        <v>570</v>
      </c>
      <c r="B94" s="885"/>
      <c r="C94" s="885"/>
      <c r="D94" s="885"/>
      <c r="E94" s="885"/>
      <c r="F94" s="885"/>
      <c r="G94" s="885"/>
      <c r="H94" s="885"/>
      <c r="I94" s="885"/>
      <c r="J94" s="233"/>
      <c r="K94" s="233"/>
      <c r="L94" s="233"/>
    </row>
    <row r="95" spans="1:12" s="185" customFormat="1" ht="20.100000000000001" customHeight="1" thickBot="1">
      <c r="A95" s="209" t="s">
        <v>571</v>
      </c>
      <c r="B95" s="237"/>
      <c r="C95" s="237"/>
      <c r="D95" s="237"/>
      <c r="E95" s="237"/>
      <c r="F95" s="237"/>
      <c r="G95" s="237"/>
      <c r="H95" s="237"/>
      <c r="I95" s="237"/>
      <c r="J95" s="233"/>
      <c r="K95" s="233"/>
      <c r="L95" s="233"/>
    </row>
    <row r="96" spans="1:12" s="190" customFormat="1" ht="20.100000000000001" customHeight="1" thickBot="1">
      <c r="A96" s="328" t="s">
        <v>509</v>
      </c>
      <c r="B96" s="328" t="s">
        <v>1026</v>
      </c>
      <c r="C96" s="328" t="s">
        <v>1234</v>
      </c>
      <c r="D96" s="328" t="s">
        <v>1235</v>
      </c>
      <c r="E96" s="328" t="s">
        <v>1236</v>
      </c>
      <c r="F96" s="328" t="s">
        <v>1237</v>
      </c>
      <c r="G96" s="328" t="s">
        <v>1238</v>
      </c>
      <c r="H96" s="255"/>
      <c r="I96" s="255"/>
      <c r="J96" s="233"/>
      <c r="K96" s="233"/>
      <c r="L96" s="233"/>
    </row>
    <row r="97" spans="1:12" s="190" customFormat="1" ht="20.100000000000001" customHeight="1">
      <c r="A97" s="256" t="s">
        <v>572</v>
      </c>
      <c r="B97" s="257"/>
      <c r="C97" s="257"/>
      <c r="D97" s="257"/>
      <c r="E97" s="255"/>
      <c r="F97" s="255"/>
      <c r="G97" s="255"/>
      <c r="H97" s="255"/>
      <c r="I97" s="255"/>
      <c r="J97" s="233"/>
      <c r="K97" s="233"/>
      <c r="L97" s="233"/>
    </row>
    <row r="98" spans="1:12" s="190" customFormat="1" ht="20.100000000000001" customHeight="1">
      <c r="A98" s="234" t="s">
        <v>573</v>
      </c>
      <c r="B98" s="235"/>
      <c r="C98" s="235"/>
      <c r="D98" s="235"/>
      <c r="E98" s="258"/>
      <c r="F98" s="258"/>
      <c r="G98" s="258"/>
      <c r="H98" s="255"/>
      <c r="I98" s="255"/>
      <c r="J98" s="233"/>
      <c r="K98" s="233"/>
      <c r="L98" s="233"/>
    </row>
    <row r="99" spans="1:12" s="190" customFormat="1" ht="20.100000000000001" customHeight="1">
      <c r="A99" s="234" t="s">
        <v>574</v>
      </c>
      <c r="B99" s="235"/>
      <c r="C99" s="235"/>
      <c r="D99" s="235"/>
      <c r="E99" s="258"/>
      <c r="F99" s="258"/>
      <c r="G99" s="258"/>
      <c r="H99" s="255"/>
      <c r="I99" s="255"/>
      <c r="J99" s="233"/>
      <c r="K99" s="233"/>
      <c r="L99" s="233"/>
    </row>
    <row r="100" spans="1:12" s="190" customFormat="1" ht="20.100000000000001" customHeight="1">
      <c r="A100" s="234" t="s">
        <v>575</v>
      </c>
      <c r="B100" s="235"/>
      <c r="C100" s="235"/>
      <c r="D100" s="235"/>
      <c r="E100" s="258"/>
      <c r="F100" s="258"/>
      <c r="G100" s="258"/>
      <c r="H100" s="255"/>
      <c r="I100" s="255"/>
      <c r="J100" s="233"/>
      <c r="K100" s="233"/>
      <c r="L100" s="233"/>
    </row>
    <row r="101" spans="1:12" s="190" customFormat="1" ht="20.100000000000001" customHeight="1">
      <c r="A101" s="234" t="s">
        <v>576</v>
      </c>
      <c r="B101" s="235"/>
      <c r="C101" s="235"/>
      <c r="D101" s="235"/>
      <c r="E101" s="258"/>
      <c r="F101" s="258"/>
      <c r="G101" s="258"/>
      <c r="H101" s="255"/>
      <c r="I101" s="255"/>
      <c r="J101" s="233"/>
      <c r="K101" s="233"/>
      <c r="L101" s="233"/>
    </row>
    <row r="102" spans="1:12" s="190" customFormat="1" ht="20.100000000000001" customHeight="1">
      <c r="A102" s="234" t="s">
        <v>577</v>
      </c>
      <c r="B102" s="235"/>
      <c r="C102" s="235"/>
      <c r="D102" s="235"/>
      <c r="E102" s="258"/>
      <c r="F102" s="258"/>
      <c r="G102" s="258"/>
      <c r="H102" s="255"/>
      <c r="I102" s="255"/>
      <c r="J102" s="233"/>
      <c r="K102" s="233"/>
      <c r="L102" s="233"/>
    </row>
    <row r="103" spans="1:12" s="190" customFormat="1" ht="20.100000000000001" customHeight="1">
      <c r="A103" s="256" t="s">
        <v>578</v>
      </c>
      <c r="B103" s="259"/>
      <c r="C103" s="259"/>
      <c r="D103" s="259"/>
      <c r="E103" s="259"/>
      <c r="F103" s="259"/>
      <c r="G103" s="259"/>
      <c r="H103" s="255"/>
      <c r="I103" s="255"/>
      <c r="J103" s="233"/>
      <c r="K103" s="233"/>
      <c r="L103" s="233"/>
    </row>
    <row r="104" spans="1:12" s="190" customFormat="1" ht="33" customHeight="1">
      <c r="A104" s="234" t="s">
        <v>579</v>
      </c>
      <c r="B104" s="260"/>
      <c r="C104" s="260"/>
      <c r="D104" s="260"/>
      <c r="E104" s="261"/>
      <c r="F104" s="261"/>
      <c r="G104" s="261"/>
      <c r="H104" s="255"/>
      <c r="I104" s="255"/>
      <c r="J104" s="233"/>
      <c r="K104" s="233"/>
      <c r="L104" s="233"/>
    </row>
    <row r="105" spans="1:12" s="190" customFormat="1" ht="20.100000000000001" customHeight="1">
      <c r="A105" s="256" t="s">
        <v>580</v>
      </c>
      <c r="B105" s="262"/>
      <c r="C105" s="262"/>
      <c r="D105" s="262"/>
      <c r="E105" s="262"/>
      <c r="F105" s="262"/>
      <c r="G105" s="262"/>
      <c r="H105" s="255"/>
      <c r="I105" s="255"/>
      <c r="J105" s="233"/>
      <c r="K105" s="233"/>
      <c r="L105" s="233"/>
    </row>
    <row r="106" spans="1:12" s="190" customFormat="1" ht="20.100000000000001" customHeight="1">
      <c r="A106" s="234" t="s">
        <v>581</v>
      </c>
      <c r="B106" s="235"/>
      <c r="C106" s="235"/>
      <c r="D106" s="235"/>
      <c r="E106" s="258"/>
      <c r="F106" s="258"/>
      <c r="G106" s="258"/>
      <c r="H106" s="255"/>
      <c r="I106" s="255"/>
      <c r="J106" s="233"/>
      <c r="K106" s="233"/>
      <c r="L106" s="233"/>
    </row>
    <row r="107" spans="1:12" s="190" customFormat="1" ht="20.100000000000001" customHeight="1">
      <c r="A107" s="234" t="s">
        <v>582</v>
      </c>
      <c r="B107" s="235"/>
      <c r="C107" s="235"/>
      <c r="D107" s="235"/>
      <c r="E107" s="258"/>
      <c r="F107" s="258"/>
      <c r="G107" s="258"/>
      <c r="H107" s="255"/>
      <c r="I107" s="255"/>
      <c r="J107" s="233"/>
      <c r="K107" s="233"/>
      <c r="L107" s="233"/>
    </row>
    <row r="108" spans="1:12" s="190" customFormat="1" ht="20.100000000000001" customHeight="1" thickBot="1">
      <c r="A108" s="263" t="s">
        <v>583</v>
      </c>
      <c r="B108" s="264">
        <f>'子公司后续计量测试表G7-10'!G21</f>
        <v>0</v>
      </c>
      <c r="C108" s="264">
        <f>'子公司后续计量测试表G7-10'!H21</f>
        <v>0</v>
      </c>
      <c r="D108" s="264">
        <f>'子公司后续计量测试表G7-10'!I21</f>
        <v>0</v>
      </c>
      <c r="E108" s="265">
        <f>'子公司后续计量测试表G7-10'!G34</f>
        <v>0</v>
      </c>
      <c r="F108" s="265">
        <f>'子公司后续计量测试表G7-10'!H34</f>
        <v>0</v>
      </c>
      <c r="G108" s="265">
        <f>'子公司后续计量测试表G7-10'!I34</f>
        <v>0</v>
      </c>
      <c r="H108" s="255"/>
      <c r="I108" s="255"/>
      <c r="J108" s="233"/>
      <c r="K108" s="233"/>
      <c r="L108" s="233"/>
    </row>
    <row r="109" spans="1:12" s="185" customFormat="1" ht="20.100000000000001" customHeight="1">
      <c r="A109" s="231" t="s">
        <v>584</v>
      </c>
      <c r="B109" s="231"/>
      <c r="C109" s="231"/>
      <c r="D109" s="231"/>
      <c r="E109" s="231"/>
      <c r="F109" s="231"/>
      <c r="G109" s="231"/>
      <c r="H109" s="231"/>
      <c r="I109" s="231"/>
      <c r="J109" s="231"/>
      <c r="K109" s="231"/>
      <c r="L109" s="231"/>
    </row>
    <row r="110" spans="1:12" s="185" customFormat="1" ht="20.100000000000001" customHeight="1" thickBot="1">
      <c r="A110" s="232" t="s">
        <v>585</v>
      </c>
      <c r="B110" s="233"/>
      <c r="C110" s="233"/>
      <c r="D110" s="233"/>
      <c r="E110" s="233"/>
      <c r="F110" s="233"/>
      <c r="G110" s="233"/>
      <c r="H110" s="231"/>
      <c r="I110" s="231"/>
      <c r="J110" s="231"/>
      <c r="K110" s="231"/>
      <c r="L110" s="231"/>
    </row>
    <row r="111" spans="1:12" s="185" customFormat="1" ht="20.399999999999999" customHeight="1">
      <c r="A111" s="890" t="s">
        <v>586</v>
      </c>
      <c r="B111" s="890" t="s">
        <v>587</v>
      </c>
      <c r="C111" s="890" t="s">
        <v>532</v>
      </c>
      <c r="D111" s="890" t="s">
        <v>75</v>
      </c>
      <c r="E111" s="890" t="s">
        <v>588</v>
      </c>
      <c r="F111" s="890"/>
      <c r="G111" s="890" t="s">
        <v>589</v>
      </c>
      <c r="H111" s="231"/>
      <c r="I111" s="231"/>
      <c r="J111" s="231"/>
      <c r="K111" s="231"/>
      <c r="L111" s="231"/>
    </row>
    <row r="112" spans="1:12" s="185" customFormat="1" ht="24.75" customHeight="1" thickBot="1">
      <c r="A112" s="891"/>
      <c r="B112" s="891"/>
      <c r="C112" s="891"/>
      <c r="D112" s="891"/>
      <c r="E112" s="326" t="s">
        <v>535</v>
      </c>
      <c r="F112" s="326" t="s">
        <v>536</v>
      </c>
      <c r="G112" s="891"/>
      <c r="H112" s="231"/>
      <c r="I112" s="231"/>
      <c r="J112" s="231"/>
      <c r="K112" s="231"/>
      <c r="L112" s="231"/>
    </row>
    <row r="113" spans="1:12" s="185" customFormat="1" ht="20.100000000000001" customHeight="1">
      <c r="A113" s="230" t="s">
        <v>590</v>
      </c>
      <c r="B113" s="266"/>
      <c r="C113" s="266"/>
      <c r="D113" s="266"/>
      <c r="E113" s="266"/>
      <c r="F113" s="266"/>
      <c r="G113" s="266"/>
      <c r="H113" s="231"/>
      <c r="I113" s="231"/>
      <c r="J113" s="231"/>
      <c r="K113" s="231"/>
      <c r="L113" s="231"/>
    </row>
    <row r="114" spans="1:12" s="185" customFormat="1" ht="20.100000000000001" customHeight="1">
      <c r="A114" s="267">
        <f>'被投资单位基本信息G7-4'!B23</f>
        <v>0</v>
      </c>
      <c r="B114" s="352">
        <f>'被投资单位基本信息G7-4'!F23</f>
        <v>0</v>
      </c>
      <c r="C114" s="352">
        <f>'被投资单位基本信息G7-4'!G23</f>
        <v>0</v>
      </c>
      <c r="D114" s="352">
        <f>'被投资单位基本信息G7-4'!H23</f>
        <v>0</v>
      </c>
      <c r="E114" s="353">
        <f>'被投资单位基本信息G7-4'!M23</f>
        <v>0</v>
      </c>
      <c r="F114" s="353">
        <f>'被投资单位基本信息G7-4'!N23</f>
        <v>0</v>
      </c>
      <c r="G114" s="266" t="str">
        <f>'被投资单位基本信息G7-4'!T23</f>
        <v>权益法</v>
      </c>
      <c r="H114" s="231"/>
      <c r="I114" s="231"/>
      <c r="J114" s="231"/>
      <c r="K114" s="231"/>
      <c r="L114" s="231"/>
    </row>
    <row r="115" spans="1:12" s="185" customFormat="1" ht="20.100000000000001" customHeight="1">
      <c r="A115" s="267">
        <f>'被投资单位基本信息G7-4'!B24</f>
        <v>0</v>
      </c>
      <c r="B115" s="352">
        <f>'被投资单位基本信息G7-4'!F24</f>
        <v>0</v>
      </c>
      <c r="C115" s="352">
        <f>'被投资单位基本信息G7-4'!G24</f>
        <v>0</v>
      </c>
      <c r="D115" s="352">
        <f>'被投资单位基本信息G7-4'!H24</f>
        <v>0</v>
      </c>
      <c r="E115" s="353">
        <f>'被投资单位基本信息G7-4'!M24</f>
        <v>0</v>
      </c>
      <c r="F115" s="353">
        <f>'被投资单位基本信息G7-4'!N24</f>
        <v>0</v>
      </c>
      <c r="G115" s="266">
        <f>'被投资单位基本信息G7-4'!T24</f>
        <v>0</v>
      </c>
      <c r="H115" s="231"/>
      <c r="I115" s="231"/>
      <c r="J115" s="231"/>
      <c r="K115" s="231"/>
      <c r="L115" s="231"/>
    </row>
    <row r="116" spans="1:12" s="185" customFormat="1" ht="20.100000000000001" customHeight="1">
      <c r="A116" s="267">
        <f>'被投资单位基本信息G7-4'!B25</f>
        <v>0</v>
      </c>
      <c r="B116" s="352">
        <f>'被投资单位基本信息G7-4'!F25</f>
        <v>0</v>
      </c>
      <c r="C116" s="352">
        <f>'被投资单位基本信息G7-4'!G25</f>
        <v>0</v>
      </c>
      <c r="D116" s="352">
        <f>'被投资单位基本信息G7-4'!H25</f>
        <v>0</v>
      </c>
      <c r="E116" s="353">
        <f>'被投资单位基本信息G7-4'!M25</f>
        <v>0</v>
      </c>
      <c r="F116" s="353">
        <f>'被投资单位基本信息G7-4'!N25</f>
        <v>0</v>
      </c>
      <c r="G116" s="266">
        <f>'被投资单位基本信息G7-4'!T25</f>
        <v>0</v>
      </c>
      <c r="H116" s="231"/>
      <c r="I116" s="231"/>
      <c r="J116" s="231"/>
      <c r="K116" s="231"/>
      <c r="L116" s="231"/>
    </row>
    <row r="117" spans="1:12" s="185" customFormat="1" ht="20.100000000000001" customHeight="1">
      <c r="A117" s="267">
        <f>'被投资单位基本信息G7-4'!B26</f>
        <v>0</v>
      </c>
      <c r="B117" s="352">
        <f>'被投资单位基本信息G7-4'!F26</f>
        <v>0</v>
      </c>
      <c r="C117" s="352">
        <f>'被投资单位基本信息G7-4'!G26</f>
        <v>0</v>
      </c>
      <c r="D117" s="352">
        <f>'被投资单位基本信息G7-4'!H26</f>
        <v>0</v>
      </c>
      <c r="E117" s="353">
        <f>'被投资单位基本信息G7-4'!M26</f>
        <v>0</v>
      </c>
      <c r="F117" s="353">
        <f>'被投资单位基本信息G7-4'!N26</f>
        <v>0</v>
      </c>
      <c r="G117" s="266">
        <f>'被投资单位基本信息G7-4'!T26</f>
        <v>0</v>
      </c>
      <c r="H117" s="231"/>
      <c r="I117" s="231"/>
      <c r="J117" s="231"/>
      <c r="K117" s="231"/>
      <c r="L117" s="231"/>
    </row>
    <row r="118" spans="1:12" s="185" customFormat="1" ht="20.100000000000001" customHeight="1">
      <c r="A118" s="267" t="str">
        <f>'被投资单位基本信息G7-4'!B27</f>
        <v>……</v>
      </c>
      <c r="B118" s="352">
        <f>'被投资单位基本信息G7-4'!F27</f>
        <v>0</v>
      </c>
      <c r="C118" s="352">
        <f>'被投资单位基本信息G7-4'!G27</f>
        <v>0</v>
      </c>
      <c r="D118" s="352">
        <f>'被投资单位基本信息G7-4'!H27</f>
        <v>0</v>
      </c>
      <c r="E118" s="353">
        <f>'被投资单位基本信息G7-4'!M27</f>
        <v>0</v>
      </c>
      <c r="F118" s="353">
        <f>'被投资单位基本信息G7-4'!N27</f>
        <v>0</v>
      </c>
      <c r="G118" s="266">
        <f>'被投资单位基本信息G7-4'!T27</f>
        <v>0</v>
      </c>
      <c r="H118" s="231"/>
      <c r="I118" s="231"/>
      <c r="J118" s="231"/>
      <c r="K118" s="231"/>
      <c r="L118" s="231"/>
    </row>
    <row r="119" spans="1:12" s="185" customFormat="1" ht="20.100000000000001" customHeight="1">
      <c r="A119" s="267" t="s">
        <v>506</v>
      </c>
      <c r="B119" s="352"/>
      <c r="C119" s="352"/>
      <c r="D119" s="352"/>
      <c r="E119" s="353"/>
      <c r="F119" s="353"/>
      <c r="G119" s="266"/>
      <c r="H119" s="231"/>
      <c r="I119" s="231"/>
      <c r="J119" s="231"/>
      <c r="K119" s="231"/>
      <c r="L119" s="231"/>
    </row>
    <row r="120" spans="1:12" s="185" customFormat="1" ht="20.100000000000001" customHeight="1">
      <c r="A120" s="267">
        <f>'被投资单位基本信息G7-4'!B29</f>
        <v>0</v>
      </c>
      <c r="B120" s="352">
        <f>'被投资单位基本信息G7-4'!F29</f>
        <v>0</v>
      </c>
      <c r="C120" s="352">
        <f>'被投资单位基本信息G7-4'!G29</f>
        <v>0</v>
      </c>
      <c r="D120" s="352">
        <f>'被投资单位基本信息G7-4'!H29</f>
        <v>0</v>
      </c>
      <c r="E120" s="353">
        <f>'被投资单位基本信息G7-4'!M29</f>
        <v>0</v>
      </c>
      <c r="F120" s="353">
        <f>'被投资单位基本信息G7-4'!N29</f>
        <v>0</v>
      </c>
      <c r="G120" s="266" t="str">
        <f>'被投资单位基本信息G7-4'!T29</f>
        <v>权益法</v>
      </c>
      <c r="H120" s="231"/>
      <c r="I120" s="231"/>
      <c r="J120" s="231"/>
      <c r="K120" s="231"/>
      <c r="L120" s="231"/>
    </row>
    <row r="121" spans="1:12" s="185" customFormat="1" ht="20.100000000000001" customHeight="1">
      <c r="A121" s="267">
        <f>'被投资单位基本信息G7-4'!B30</f>
        <v>0</v>
      </c>
      <c r="B121" s="352">
        <f>'被投资单位基本信息G7-4'!F30</f>
        <v>0</v>
      </c>
      <c r="C121" s="352">
        <f>'被投资单位基本信息G7-4'!G30</f>
        <v>0</v>
      </c>
      <c r="D121" s="352">
        <f>'被投资单位基本信息G7-4'!H30</f>
        <v>0</v>
      </c>
      <c r="E121" s="353">
        <f>'被投资单位基本信息G7-4'!M30</f>
        <v>0</v>
      </c>
      <c r="F121" s="353">
        <f>'被投资单位基本信息G7-4'!N30</f>
        <v>0</v>
      </c>
      <c r="G121" s="266">
        <f>'被投资单位基本信息G7-4'!T30</f>
        <v>0</v>
      </c>
      <c r="H121" s="231"/>
      <c r="I121" s="231"/>
      <c r="J121" s="231"/>
      <c r="K121" s="231"/>
      <c r="L121" s="231"/>
    </row>
    <row r="122" spans="1:12" s="185" customFormat="1" ht="20.100000000000001" customHeight="1">
      <c r="A122" s="267">
        <f>'被投资单位基本信息G7-4'!B31</f>
        <v>0</v>
      </c>
      <c r="B122" s="352">
        <f>'被投资单位基本信息G7-4'!F31</f>
        <v>0</v>
      </c>
      <c r="C122" s="352">
        <f>'被投资单位基本信息G7-4'!G31</f>
        <v>0</v>
      </c>
      <c r="D122" s="352">
        <f>'被投资单位基本信息G7-4'!H31</f>
        <v>0</v>
      </c>
      <c r="E122" s="353">
        <f>'被投资单位基本信息G7-4'!M31</f>
        <v>0</v>
      </c>
      <c r="F122" s="353">
        <f>'被投资单位基本信息G7-4'!N31</f>
        <v>0</v>
      </c>
      <c r="G122" s="266">
        <f>'被投资单位基本信息G7-4'!T31</f>
        <v>0</v>
      </c>
      <c r="H122" s="231"/>
      <c r="I122" s="231"/>
      <c r="J122" s="231"/>
      <c r="K122" s="231"/>
      <c r="L122" s="231"/>
    </row>
    <row r="123" spans="1:12" s="185" customFormat="1" ht="20.100000000000001" customHeight="1">
      <c r="A123" s="267">
        <f>'被投资单位基本信息G7-4'!B32</f>
        <v>0</v>
      </c>
      <c r="B123" s="352">
        <f>'被投资单位基本信息G7-4'!F32</f>
        <v>0</v>
      </c>
      <c r="C123" s="352">
        <f>'被投资单位基本信息G7-4'!G32</f>
        <v>0</v>
      </c>
      <c r="D123" s="352">
        <f>'被投资单位基本信息G7-4'!H32</f>
        <v>0</v>
      </c>
      <c r="E123" s="353">
        <f>'被投资单位基本信息G7-4'!M32</f>
        <v>0</v>
      </c>
      <c r="F123" s="353">
        <f>'被投资单位基本信息G7-4'!N32</f>
        <v>0</v>
      </c>
      <c r="G123" s="266">
        <f>'被投资单位基本信息G7-4'!T32</f>
        <v>0</v>
      </c>
      <c r="H123" s="231"/>
      <c r="I123" s="231"/>
      <c r="J123" s="231"/>
      <c r="K123" s="231"/>
      <c r="L123" s="231"/>
    </row>
    <row r="124" spans="1:12" s="185" customFormat="1" ht="20.100000000000001" customHeight="1" thickBot="1">
      <c r="A124" s="243" t="str">
        <f>'被投资单位基本信息G7-4'!B33</f>
        <v>……</v>
      </c>
      <c r="B124" s="279">
        <f>'被投资单位基本信息G7-4'!F33</f>
        <v>0</v>
      </c>
      <c r="C124" s="279">
        <f>'被投资单位基本信息G7-4'!G33</f>
        <v>0</v>
      </c>
      <c r="D124" s="279">
        <f>'被投资单位基本信息G7-4'!H33</f>
        <v>0</v>
      </c>
      <c r="E124" s="354">
        <f>'被投资单位基本信息G7-4'!M33</f>
        <v>0</v>
      </c>
      <c r="F124" s="354">
        <f>'被投资单位基本信息G7-4'!N33</f>
        <v>0</v>
      </c>
      <c r="G124" s="268">
        <f>'被投资单位基本信息G7-4'!T33</f>
        <v>0</v>
      </c>
      <c r="H124" s="231"/>
      <c r="I124" s="231"/>
      <c r="J124" s="231"/>
      <c r="K124" s="231"/>
      <c r="L124" s="231"/>
    </row>
    <row r="125" spans="1:12" s="185" customFormat="1" ht="20.100000000000001" customHeight="1">
      <c r="A125" s="232" t="s">
        <v>527</v>
      </c>
      <c r="B125" s="233"/>
      <c r="C125" s="233"/>
      <c r="D125" s="233"/>
      <c r="E125" s="233"/>
      <c r="F125" s="233"/>
      <c r="G125" s="233"/>
      <c r="H125" s="231"/>
      <c r="I125" s="231"/>
      <c r="J125" s="231"/>
      <c r="K125" s="231"/>
      <c r="L125" s="231"/>
    </row>
    <row r="126" spans="1:12" s="185" customFormat="1" ht="20.100000000000001" customHeight="1">
      <c r="A126" s="892" t="s">
        <v>591</v>
      </c>
      <c r="B126" s="892"/>
      <c r="C126" s="892"/>
      <c r="D126" s="892"/>
      <c r="E126" s="892"/>
      <c r="F126" s="892"/>
      <c r="G126" s="892"/>
      <c r="H126" s="231"/>
      <c r="I126" s="231"/>
      <c r="J126" s="231"/>
      <c r="K126" s="231"/>
      <c r="L126" s="231"/>
    </row>
    <row r="127" spans="1:12" s="185" customFormat="1" ht="20.100000000000001" customHeight="1">
      <c r="A127" s="893" t="s">
        <v>592</v>
      </c>
      <c r="B127" s="893"/>
      <c r="C127" s="893"/>
      <c r="D127" s="893"/>
      <c r="E127" s="893"/>
      <c r="F127" s="893"/>
      <c r="G127" s="893"/>
      <c r="H127" s="231"/>
      <c r="I127" s="231"/>
      <c r="J127" s="231"/>
      <c r="K127" s="231"/>
      <c r="L127" s="231"/>
    </row>
    <row r="128" spans="1:12" s="185" customFormat="1" ht="20.100000000000001" customHeight="1">
      <c r="A128" s="894" t="s">
        <v>593</v>
      </c>
      <c r="B128" s="894"/>
      <c r="C128" s="894"/>
      <c r="D128" s="894"/>
      <c r="E128" s="894"/>
      <c r="F128" s="894"/>
      <c r="G128" s="894"/>
      <c r="H128" s="231"/>
      <c r="I128" s="231"/>
      <c r="J128" s="231"/>
      <c r="K128" s="231"/>
      <c r="L128" s="231"/>
    </row>
    <row r="129" spans="1:12" s="185" customFormat="1" ht="20.100000000000001" customHeight="1">
      <c r="A129" s="892" t="s">
        <v>594</v>
      </c>
      <c r="B129" s="892"/>
      <c r="C129" s="892"/>
      <c r="D129" s="892"/>
      <c r="E129" s="892"/>
      <c r="F129" s="892"/>
      <c r="G129" s="892"/>
      <c r="H129" s="231"/>
      <c r="I129" s="231"/>
      <c r="J129" s="231"/>
      <c r="K129" s="231"/>
      <c r="L129" s="231"/>
    </row>
    <row r="130" spans="1:12" s="185" customFormat="1" ht="20.100000000000001" customHeight="1">
      <c r="A130" s="892" t="s">
        <v>595</v>
      </c>
      <c r="B130" s="892"/>
      <c r="C130" s="892"/>
      <c r="D130" s="892"/>
      <c r="E130" s="892"/>
      <c r="F130" s="892"/>
      <c r="G130" s="892"/>
      <c r="H130" s="231"/>
      <c r="I130" s="231"/>
      <c r="J130" s="231"/>
      <c r="K130" s="231"/>
      <c r="L130" s="231"/>
    </row>
    <row r="131" spans="1:12" s="185" customFormat="1" ht="20.100000000000001" customHeight="1" thickBot="1">
      <c r="A131" s="900" t="s">
        <v>596</v>
      </c>
      <c r="B131" s="900"/>
      <c r="C131" s="900"/>
      <c r="D131" s="900"/>
      <c r="E131" s="900"/>
      <c r="F131" s="900"/>
      <c r="G131" s="900"/>
      <c r="H131" s="231"/>
      <c r="I131" s="231"/>
      <c r="J131" s="231"/>
      <c r="K131" s="231"/>
      <c r="L131" s="231"/>
    </row>
    <row r="132" spans="1:12" s="185" customFormat="1" ht="20.100000000000001" customHeight="1">
      <c r="A132" s="890" t="s">
        <v>597</v>
      </c>
      <c r="B132" s="901" t="str">
        <f>'被投资单位财务信息（合营、联营）G7-5'!C8</f>
        <v>合营企业1</v>
      </c>
      <c r="C132" s="901"/>
      <c r="D132" s="901"/>
      <c r="E132" s="901"/>
      <c r="F132" s="901"/>
      <c r="G132" s="901"/>
      <c r="H132" s="231"/>
      <c r="I132" s="231"/>
      <c r="J132" s="231"/>
      <c r="K132" s="231"/>
      <c r="L132" s="231"/>
    </row>
    <row r="133" spans="1:12" s="185" customFormat="1" ht="20.100000000000001" customHeight="1" thickBot="1">
      <c r="A133" s="891"/>
      <c r="B133" s="326" t="s">
        <v>54</v>
      </c>
      <c r="C133" s="326" t="s">
        <v>55</v>
      </c>
      <c r="D133" s="326"/>
      <c r="E133" s="326"/>
      <c r="F133" s="326"/>
      <c r="G133" s="326"/>
      <c r="H133" s="231"/>
      <c r="I133" s="231"/>
      <c r="J133" s="231"/>
      <c r="K133" s="231"/>
      <c r="L133" s="231"/>
    </row>
    <row r="134" spans="1:12" s="185" customFormat="1" ht="20.100000000000001" customHeight="1">
      <c r="A134" s="230" t="s">
        <v>56</v>
      </c>
      <c r="B134" s="242">
        <f>'被投资单位财务信息（合营、联营）G7-5'!C10</f>
        <v>0</v>
      </c>
      <c r="C134" s="242">
        <f>'被投资单位财务信息（合营、联营）G7-5'!D10</f>
        <v>0</v>
      </c>
      <c r="D134" s="242"/>
      <c r="E134" s="242"/>
      <c r="F134" s="242"/>
      <c r="G134" s="242"/>
      <c r="H134" s="231"/>
      <c r="I134" s="231"/>
      <c r="J134" s="231"/>
      <c r="K134" s="231"/>
      <c r="L134" s="231"/>
    </row>
    <row r="135" spans="1:12" s="185" customFormat="1" ht="20.100000000000001" customHeight="1">
      <c r="A135" s="230" t="s">
        <v>598</v>
      </c>
      <c r="B135" s="242">
        <f>'被投资单位财务信息（合营、联营）G7-5'!C11</f>
        <v>0</v>
      </c>
      <c r="C135" s="242">
        <f>'被投资单位财务信息（合营、联营）G7-5'!D11</f>
        <v>0</v>
      </c>
      <c r="D135" s="242"/>
      <c r="E135" s="242"/>
      <c r="F135" s="242"/>
      <c r="G135" s="242"/>
      <c r="H135" s="231"/>
      <c r="I135" s="231"/>
      <c r="J135" s="231"/>
      <c r="K135" s="231"/>
      <c r="L135" s="231"/>
    </row>
    <row r="136" spans="1:12" s="185" customFormat="1" ht="20.100000000000001" customHeight="1">
      <c r="A136" s="230" t="s">
        <v>57</v>
      </c>
      <c r="B136" s="242">
        <f>'被投资单位财务信息（合营、联营）G7-5'!C12</f>
        <v>0</v>
      </c>
      <c r="C136" s="242">
        <f>'被投资单位财务信息（合营、联营）G7-5'!D12</f>
        <v>0</v>
      </c>
      <c r="D136" s="242"/>
      <c r="E136" s="242"/>
      <c r="F136" s="242"/>
      <c r="G136" s="242"/>
      <c r="H136" s="231"/>
      <c r="I136" s="231"/>
      <c r="J136" s="231"/>
      <c r="K136" s="231"/>
      <c r="L136" s="231"/>
    </row>
    <row r="137" spans="1:12" s="185" customFormat="1" ht="20.100000000000001" customHeight="1">
      <c r="A137" s="269" t="s">
        <v>58</v>
      </c>
      <c r="B137" s="270">
        <f>B134+B136</f>
        <v>0</v>
      </c>
      <c r="C137" s="270">
        <f t="shared" ref="C137" si="0">C134+C136</f>
        <v>0</v>
      </c>
      <c r="D137" s="270"/>
      <c r="E137" s="270"/>
      <c r="F137" s="270"/>
      <c r="G137" s="270"/>
      <c r="H137" s="231"/>
      <c r="I137" s="231"/>
      <c r="J137" s="231"/>
      <c r="K137" s="231"/>
      <c r="L137" s="231"/>
    </row>
    <row r="138" spans="1:12" s="185" customFormat="1" ht="20.100000000000001" customHeight="1">
      <c r="A138" s="230" t="s">
        <v>59</v>
      </c>
      <c r="B138" s="242">
        <f>'被投资单位财务信息（合营、联营）G7-5'!C14</f>
        <v>0</v>
      </c>
      <c r="C138" s="242">
        <f>'被投资单位财务信息（合营、联营）G7-5'!D14</f>
        <v>0</v>
      </c>
      <c r="D138" s="242"/>
      <c r="E138" s="242"/>
      <c r="F138" s="242"/>
      <c r="G138" s="242"/>
      <c r="H138" s="231"/>
      <c r="I138" s="231"/>
      <c r="J138" s="231"/>
      <c r="K138" s="231"/>
      <c r="L138" s="231"/>
    </row>
    <row r="139" spans="1:12" s="185" customFormat="1" ht="20.100000000000001" customHeight="1">
      <c r="A139" s="230" t="s">
        <v>60</v>
      </c>
      <c r="B139" s="242">
        <f>'被投资单位财务信息（合营、联营）G7-5'!C15</f>
        <v>0</v>
      </c>
      <c r="C139" s="242">
        <f>'被投资单位财务信息（合营、联营）G7-5'!D15</f>
        <v>0</v>
      </c>
      <c r="D139" s="242"/>
      <c r="E139" s="242"/>
      <c r="F139" s="242"/>
      <c r="G139" s="242"/>
      <c r="H139" s="231"/>
      <c r="I139" s="231"/>
      <c r="J139" s="231"/>
      <c r="K139" s="231"/>
      <c r="L139" s="231"/>
    </row>
    <row r="140" spans="1:12" s="185" customFormat="1" ht="20.100000000000001" customHeight="1">
      <c r="A140" s="269" t="s">
        <v>61</v>
      </c>
      <c r="B140" s="270">
        <f>B138+B139</f>
        <v>0</v>
      </c>
      <c r="C140" s="270">
        <f t="shared" ref="C140" si="1">C138+C139</f>
        <v>0</v>
      </c>
      <c r="D140" s="270"/>
      <c r="E140" s="270"/>
      <c r="F140" s="270"/>
      <c r="G140" s="270"/>
      <c r="H140" s="231"/>
      <c r="I140" s="231"/>
      <c r="J140" s="231"/>
      <c r="K140" s="231"/>
      <c r="L140" s="231"/>
    </row>
    <row r="141" spans="1:12" s="185" customFormat="1" ht="20.100000000000001" customHeight="1">
      <c r="A141" s="230" t="s">
        <v>599</v>
      </c>
      <c r="B141" s="242">
        <f>'被投资单位财务信息（合营、联营）G7-5'!C17</f>
        <v>0</v>
      </c>
      <c r="C141" s="242">
        <f>'被投资单位财务信息（合营、联营）G7-5'!D17</f>
        <v>0</v>
      </c>
      <c r="D141" s="242"/>
      <c r="E141" s="242"/>
      <c r="F141" s="242"/>
      <c r="G141" s="242"/>
      <c r="H141" s="231"/>
      <c r="I141" s="231"/>
      <c r="J141" s="231"/>
      <c r="K141" s="231"/>
      <c r="L141" s="231"/>
    </row>
    <row r="142" spans="1:12" s="185" customFormat="1" ht="20.100000000000001" customHeight="1">
      <c r="A142" s="230" t="s">
        <v>600</v>
      </c>
      <c r="B142" s="242">
        <f>'被投资单位财务信息（合营、联营）G7-5'!C18</f>
        <v>0</v>
      </c>
      <c r="C142" s="242">
        <f>'被投资单位财务信息（合营、联营）G7-5'!D18</f>
        <v>0</v>
      </c>
      <c r="D142" s="242"/>
      <c r="E142" s="242"/>
      <c r="F142" s="242"/>
      <c r="G142" s="242"/>
      <c r="H142" s="231"/>
      <c r="I142" s="231"/>
      <c r="J142" s="231"/>
      <c r="K142" s="231"/>
      <c r="L142" s="231"/>
    </row>
    <row r="143" spans="1:12" s="185" customFormat="1" ht="20.100000000000001" customHeight="1">
      <c r="A143" s="230" t="s">
        <v>601</v>
      </c>
      <c r="B143" s="242">
        <f>'被投资单位财务信息（合营、联营）G7-5'!C19</f>
        <v>0</v>
      </c>
      <c r="C143" s="242">
        <f>'被投资单位财务信息（合营、联营）G7-5'!D19</f>
        <v>0</v>
      </c>
      <c r="D143" s="242"/>
      <c r="E143" s="242"/>
      <c r="F143" s="242"/>
      <c r="G143" s="242"/>
      <c r="H143" s="231"/>
      <c r="I143" s="231"/>
      <c r="J143" s="231"/>
      <c r="K143" s="231"/>
      <c r="L143" s="231"/>
    </row>
    <row r="144" spans="1:12" s="185" customFormat="1" ht="20.100000000000001" customHeight="1">
      <c r="A144" s="230" t="s">
        <v>602</v>
      </c>
      <c r="B144" s="242">
        <f>'被投资单位财务信息（合营、联营）G7-5'!C21</f>
        <v>0</v>
      </c>
      <c r="C144" s="242">
        <f>'被投资单位财务信息（合营、联营）G7-5'!D21</f>
        <v>0</v>
      </c>
      <c r="D144" s="242"/>
      <c r="E144" s="242"/>
      <c r="F144" s="242"/>
      <c r="G144" s="242"/>
      <c r="H144" s="231"/>
      <c r="I144" s="231"/>
      <c r="J144" s="231"/>
      <c r="K144" s="231"/>
      <c r="L144" s="231"/>
    </row>
    <row r="145" spans="1:12" s="185" customFormat="1" ht="20.100000000000001" customHeight="1">
      <c r="A145" s="230" t="s">
        <v>603</v>
      </c>
      <c r="B145" s="242">
        <f>'被投资单位财务信息（合营、联营）G7-5'!C22</f>
        <v>0</v>
      </c>
      <c r="C145" s="242">
        <f>'被投资单位财务信息（合营、联营）G7-5'!D22</f>
        <v>0</v>
      </c>
      <c r="D145" s="242"/>
      <c r="E145" s="242"/>
      <c r="F145" s="242"/>
      <c r="G145" s="242"/>
      <c r="H145" s="231"/>
      <c r="I145" s="231"/>
      <c r="J145" s="231"/>
      <c r="K145" s="231"/>
      <c r="L145" s="231"/>
    </row>
    <row r="146" spans="1:12" s="185" customFormat="1" ht="20.100000000000001" customHeight="1">
      <c r="A146" s="230" t="s">
        <v>604</v>
      </c>
      <c r="B146" s="242">
        <f>'被投资单位财务信息（合营、联营）G7-5'!C23</f>
        <v>0</v>
      </c>
      <c r="C146" s="242">
        <f>'被投资单位财务信息（合营、联营）G7-5'!D23</f>
        <v>0</v>
      </c>
      <c r="D146" s="242"/>
      <c r="E146" s="242"/>
      <c r="F146" s="242"/>
      <c r="G146" s="242"/>
      <c r="H146" s="231"/>
      <c r="I146" s="231"/>
      <c r="J146" s="231"/>
      <c r="K146" s="231"/>
      <c r="L146" s="231"/>
    </row>
    <row r="147" spans="1:12" s="185" customFormat="1" ht="20.100000000000001" customHeight="1">
      <c r="A147" s="230" t="s">
        <v>605</v>
      </c>
      <c r="B147" s="241">
        <f>'被投资单位财务信息（合营、联营）G7-5'!C24</f>
        <v>0</v>
      </c>
      <c r="C147" s="241">
        <f>'被投资单位财务信息（合营、联营）G7-5'!D24</f>
        <v>0</v>
      </c>
      <c r="D147" s="241"/>
      <c r="E147" s="241"/>
      <c r="F147" s="241"/>
      <c r="G147" s="241"/>
      <c r="H147" s="231"/>
      <c r="I147" s="231"/>
      <c r="J147" s="231"/>
      <c r="K147" s="231"/>
      <c r="L147" s="231"/>
    </row>
    <row r="148" spans="1:12" s="185" customFormat="1" ht="20.100000000000001" customHeight="1">
      <c r="A148" s="230" t="s">
        <v>606</v>
      </c>
      <c r="B148" s="241">
        <f>'被投资单位财务信息（合营、联营）G7-5'!C25</f>
        <v>0</v>
      </c>
      <c r="C148" s="241">
        <f>'被投资单位财务信息（合营、联营）G7-5'!D25</f>
        <v>0</v>
      </c>
      <c r="D148" s="241"/>
      <c r="E148" s="241"/>
      <c r="F148" s="241"/>
      <c r="G148" s="241"/>
      <c r="H148" s="231"/>
      <c r="I148" s="231"/>
      <c r="J148" s="231"/>
      <c r="K148" s="231"/>
      <c r="L148" s="231"/>
    </row>
    <row r="149" spans="1:12" s="185" customFormat="1" ht="20.100000000000001" customHeight="1">
      <c r="A149" s="230" t="s">
        <v>607</v>
      </c>
      <c r="B149" s="241">
        <f>'被投资单位财务信息（合营、联营）G7-5'!C26</f>
        <v>0</v>
      </c>
      <c r="C149" s="241">
        <f>'被投资单位财务信息（合营、联营）G7-5'!D26</f>
        <v>0</v>
      </c>
      <c r="D149" s="241"/>
      <c r="E149" s="241"/>
      <c r="F149" s="241"/>
      <c r="G149" s="241"/>
      <c r="H149" s="231"/>
      <c r="I149" s="231"/>
      <c r="J149" s="231"/>
      <c r="K149" s="231"/>
      <c r="L149" s="231"/>
    </row>
    <row r="150" spans="1:12" s="185" customFormat="1" ht="20.100000000000001" customHeight="1">
      <c r="A150" s="269" t="s">
        <v>608</v>
      </c>
      <c r="B150" s="242">
        <f>'被投资单位财务信息（合营、联营）G7-5'!C27</f>
        <v>0</v>
      </c>
      <c r="C150" s="242">
        <f>'被投资单位财务信息（合营、联营）G7-5'!D27</f>
        <v>0</v>
      </c>
      <c r="D150" s="242"/>
      <c r="E150" s="242"/>
      <c r="F150" s="242"/>
      <c r="G150" s="242"/>
      <c r="H150" s="231"/>
      <c r="I150" s="231"/>
      <c r="J150" s="231"/>
      <c r="K150" s="231"/>
      <c r="L150" s="231"/>
    </row>
    <row r="151" spans="1:12" s="185" customFormat="1" ht="20.100000000000001" customHeight="1" thickBot="1">
      <c r="A151" s="243" t="s">
        <v>609</v>
      </c>
      <c r="B151" s="271">
        <f>'被投资单位财务信息（合营、联营）G7-5'!C28</f>
        <v>0</v>
      </c>
      <c r="C151" s="271">
        <f>'被投资单位财务信息（合营、联营）G7-5'!D28</f>
        <v>0</v>
      </c>
      <c r="D151" s="271"/>
      <c r="E151" s="271"/>
      <c r="F151" s="271"/>
      <c r="G151" s="271"/>
      <c r="H151" s="231"/>
      <c r="I151" s="231"/>
      <c r="J151" s="231"/>
      <c r="K151" s="231"/>
      <c r="L151" s="231"/>
    </row>
    <row r="152" spans="1:12" s="185" customFormat="1" ht="20.100000000000001" customHeight="1" thickBot="1">
      <c r="A152" s="232" t="s">
        <v>610</v>
      </c>
      <c r="B152" s="233"/>
      <c r="C152" s="233"/>
      <c r="D152" s="233"/>
      <c r="E152" s="233"/>
      <c r="F152" s="233"/>
      <c r="G152" s="233"/>
      <c r="H152" s="231"/>
      <c r="I152" s="231"/>
      <c r="J152" s="231"/>
      <c r="K152" s="231"/>
      <c r="L152" s="231"/>
    </row>
    <row r="153" spans="1:12" s="185" customFormat="1" ht="20.100000000000001" customHeight="1">
      <c r="A153" s="890" t="s">
        <v>509</v>
      </c>
      <c r="B153" s="901" t="str">
        <f>'被投资单位财务信息（合营、联营）G7-5'!C8</f>
        <v>合营企业1</v>
      </c>
      <c r="C153" s="901"/>
      <c r="D153" s="901"/>
      <c r="E153" s="901"/>
      <c r="F153" s="901"/>
      <c r="G153" s="901"/>
      <c r="H153" s="231"/>
      <c r="I153" s="231"/>
      <c r="J153" s="231"/>
      <c r="K153" s="231"/>
      <c r="L153" s="231"/>
    </row>
    <row r="154" spans="1:12" s="185" customFormat="1" ht="20.100000000000001" customHeight="1" thickBot="1">
      <c r="A154" s="891"/>
      <c r="B154" s="326" t="s">
        <v>553</v>
      </c>
      <c r="C154" s="326" t="s">
        <v>554</v>
      </c>
      <c r="D154" s="326"/>
      <c r="E154" s="326"/>
      <c r="F154" s="326"/>
      <c r="G154" s="326"/>
      <c r="H154" s="231"/>
      <c r="I154" s="231"/>
      <c r="J154" s="231"/>
      <c r="K154" s="231"/>
      <c r="L154" s="231"/>
    </row>
    <row r="155" spans="1:12" s="185" customFormat="1" ht="20.100000000000001" customHeight="1">
      <c r="A155" s="230" t="s">
        <v>62</v>
      </c>
      <c r="B155" s="242">
        <f>'被投资单位财务信息（合营、联营）G7-5'!C29</f>
        <v>0</v>
      </c>
      <c r="C155" s="242">
        <f>'被投资单位财务信息（合营、联营）G7-5'!D29</f>
        <v>0</v>
      </c>
      <c r="D155" s="242"/>
      <c r="E155" s="242"/>
      <c r="F155" s="242"/>
      <c r="G155" s="242"/>
      <c r="H155" s="231"/>
      <c r="I155" s="231"/>
      <c r="J155" s="231"/>
      <c r="K155" s="231"/>
      <c r="L155" s="231"/>
    </row>
    <row r="156" spans="1:12" s="185" customFormat="1" ht="20.100000000000001" customHeight="1">
      <c r="A156" s="230" t="s">
        <v>611</v>
      </c>
      <c r="B156" s="242">
        <f>'被投资单位财务信息（合营、联营）G7-5'!C30</f>
        <v>0</v>
      </c>
      <c r="C156" s="242">
        <f>'被投资单位财务信息（合营、联营）G7-5'!D30</f>
        <v>0</v>
      </c>
      <c r="D156" s="242"/>
      <c r="E156" s="242"/>
      <c r="F156" s="242"/>
      <c r="G156" s="242"/>
      <c r="H156" s="231"/>
      <c r="I156" s="231"/>
      <c r="J156" s="231"/>
      <c r="K156" s="231"/>
      <c r="L156" s="231"/>
    </row>
    <row r="157" spans="1:12" s="185" customFormat="1" ht="20.100000000000001" customHeight="1">
      <c r="A157" s="230" t="s">
        <v>612</v>
      </c>
      <c r="B157" s="242">
        <f>'被投资单位财务信息（合营、联营）G7-5'!C31</f>
        <v>0</v>
      </c>
      <c r="C157" s="242">
        <f>'被投资单位财务信息（合营、联营）G7-5'!D31</f>
        <v>0</v>
      </c>
      <c r="D157" s="242"/>
      <c r="E157" s="242"/>
      <c r="F157" s="242"/>
      <c r="G157" s="242"/>
      <c r="H157" s="231"/>
      <c r="I157" s="231"/>
      <c r="J157" s="231"/>
      <c r="K157" s="231"/>
      <c r="L157" s="231"/>
    </row>
    <row r="158" spans="1:12" s="185" customFormat="1" ht="20.100000000000001" customHeight="1">
      <c r="A158" s="230" t="s">
        <v>63</v>
      </c>
      <c r="B158" s="242">
        <f>'被投资单位财务信息（合营、联营）G7-5'!C32</f>
        <v>0</v>
      </c>
      <c r="C158" s="242">
        <f>'被投资单位财务信息（合营、联营）G7-5'!D32</f>
        <v>0</v>
      </c>
      <c r="D158" s="242"/>
      <c r="E158" s="242"/>
      <c r="F158" s="242"/>
      <c r="G158" s="242"/>
      <c r="H158" s="231"/>
      <c r="I158" s="231"/>
      <c r="J158" s="231"/>
      <c r="K158" s="231"/>
      <c r="L158" s="231"/>
    </row>
    <row r="159" spans="1:12" s="185" customFormat="1" ht="20.100000000000001" customHeight="1">
      <c r="A159" s="230" t="s">
        <v>613</v>
      </c>
      <c r="B159" s="241">
        <f>'被投资单位财务信息（合营、联营）G7-5'!C33</f>
        <v>0</v>
      </c>
      <c r="C159" s="241">
        <f>'被投资单位财务信息（合营、联营）G7-5'!D33</f>
        <v>0</v>
      </c>
      <c r="D159" s="241"/>
      <c r="E159" s="241"/>
      <c r="F159" s="241"/>
      <c r="G159" s="241"/>
      <c r="H159" s="231"/>
      <c r="I159" s="231"/>
      <c r="J159" s="231"/>
      <c r="K159" s="231"/>
      <c r="L159" s="231"/>
    </row>
    <row r="160" spans="1:12" s="185" customFormat="1" ht="20.100000000000001" customHeight="1">
      <c r="A160" s="230" t="s">
        <v>614</v>
      </c>
      <c r="B160" s="241">
        <f>'被投资单位财务信息（合营、联营）G7-5'!C34</f>
        <v>0</v>
      </c>
      <c r="C160" s="241">
        <f>'被投资单位财务信息（合营、联营）G7-5'!D34</f>
        <v>0</v>
      </c>
      <c r="D160" s="241"/>
      <c r="E160" s="241"/>
      <c r="F160" s="241"/>
      <c r="G160" s="241"/>
      <c r="H160" s="231"/>
      <c r="I160" s="231"/>
      <c r="J160" s="231"/>
      <c r="K160" s="231"/>
      <c r="L160" s="231"/>
    </row>
    <row r="161" spans="1:12" s="185" customFormat="1" ht="20.100000000000001" customHeight="1">
      <c r="A161" s="230" t="s">
        <v>64</v>
      </c>
      <c r="B161" s="242">
        <f>'被投资单位财务信息（合营、联营）G7-5'!C35</f>
        <v>0</v>
      </c>
      <c r="C161" s="242">
        <f>'被投资单位财务信息（合营、联营）G7-5'!D35</f>
        <v>0</v>
      </c>
      <c r="D161" s="242"/>
      <c r="E161" s="242"/>
      <c r="F161" s="242"/>
      <c r="G161" s="242"/>
      <c r="H161" s="231"/>
      <c r="I161" s="231"/>
      <c r="J161" s="231"/>
      <c r="K161" s="231"/>
      <c r="L161" s="231"/>
    </row>
    <row r="162" spans="1:12" s="185" customFormat="1" ht="20.100000000000001" customHeight="1" thickBot="1">
      <c r="A162" s="230" t="s">
        <v>615</v>
      </c>
      <c r="B162" s="242">
        <f>'被投资单位财务信息（合营、联营）G7-5'!C36</f>
        <v>0</v>
      </c>
      <c r="C162" s="242">
        <f>'被投资单位财务信息（合营、联营）G7-5'!D36</f>
        <v>0</v>
      </c>
      <c r="D162" s="242"/>
      <c r="E162" s="242"/>
      <c r="F162" s="242"/>
      <c r="G162" s="242"/>
      <c r="H162" s="231"/>
      <c r="I162" s="231"/>
      <c r="J162" s="231"/>
      <c r="K162" s="231"/>
      <c r="L162" s="231"/>
    </row>
    <row r="163" spans="1:12" s="185" customFormat="1" ht="20.100000000000001" customHeight="1">
      <c r="A163" s="902" t="s">
        <v>616</v>
      </c>
      <c r="B163" s="902"/>
      <c r="C163" s="902"/>
      <c r="D163" s="902"/>
      <c r="E163" s="902"/>
      <c r="F163" s="902"/>
      <c r="G163" s="902"/>
      <c r="H163" s="231"/>
      <c r="I163" s="231"/>
      <c r="J163" s="231"/>
      <c r="K163" s="231"/>
      <c r="L163" s="231"/>
    </row>
    <row r="164" spans="1:12" s="185" customFormat="1" ht="20.100000000000001" customHeight="1">
      <c r="A164" s="232" t="s">
        <v>527</v>
      </c>
      <c r="B164" s="233"/>
      <c r="C164" s="233"/>
      <c r="D164" s="233"/>
      <c r="E164" s="233"/>
      <c r="F164" s="233"/>
      <c r="G164" s="233"/>
      <c r="H164" s="231"/>
      <c r="I164" s="231"/>
      <c r="J164" s="231"/>
      <c r="K164" s="231"/>
      <c r="L164" s="231"/>
    </row>
    <row r="165" spans="1:12" s="185" customFormat="1" ht="20.100000000000001" customHeight="1">
      <c r="A165" s="894" t="s">
        <v>617</v>
      </c>
      <c r="B165" s="894"/>
      <c r="C165" s="894"/>
      <c r="D165" s="894"/>
      <c r="E165" s="894"/>
      <c r="F165" s="894"/>
      <c r="G165" s="894"/>
      <c r="H165" s="231"/>
      <c r="I165" s="231"/>
      <c r="J165" s="231"/>
      <c r="K165" s="231"/>
      <c r="L165" s="231"/>
    </row>
    <row r="166" spans="1:12" s="185" customFormat="1" ht="20.100000000000001" customHeight="1">
      <c r="A166" s="892" t="s">
        <v>594</v>
      </c>
      <c r="B166" s="892"/>
      <c r="C166" s="892"/>
      <c r="D166" s="892"/>
      <c r="E166" s="892"/>
      <c r="F166" s="892"/>
      <c r="G166" s="892"/>
      <c r="H166" s="231"/>
      <c r="I166" s="231"/>
      <c r="J166" s="231"/>
      <c r="K166" s="231"/>
      <c r="L166" s="231"/>
    </row>
    <row r="167" spans="1:12" s="185" customFormat="1" ht="20.100000000000001" customHeight="1">
      <c r="A167" s="892" t="s">
        <v>618</v>
      </c>
      <c r="B167" s="892"/>
      <c r="C167" s="892"/>
      <c r="D167" s="892"/>
      <c r="E167" s="892"/>
      <c r="F167" s="892"/>
      <c r="G167" s="892"/>
      <c r="H167" s="231"/>
      <c r="I167" s="231"/>
      <c r="J167" s="231"/>
      <c r="K167" s="231"/>
      <c r="L167" s="231"/>
    </row>
    <row r="168" spans="1:12" s="185" customFormat="1" ht="20.100000000000001" customHeight="1" thickBot="1">
      <c r="A168" s="900" t="s">
        <v>596</v>
      </c>
      <c r="B168" s="900"/>
      <c r="C168" s="900"/>
      <c r="D168" s="900"/>
      <c r="E168" s="900"/>
      <c r="F168" s="900"/>
      <c r="G168" s="900"/>
      <c r="H168" s="231"/>
      <c r="I168" s="231"/>
      <c r="J168" s="231"/>
      <c r="K168" s="231"/>
      <c r="L168" s="231"/>
    </row>
    <row r="169" spans="1:12" s="185" customFormat="1" ht="20.100000000000001" customHeight="1">
      <c r="A169" s="890" t="s">
        <v>619</v>
      </c>
      <c r="B169" s="901" t="str">
        <f>'被投资单位财务信息（合营、联营）G7-5'!E8</f>
        <v>合营企业2</v>
      </c>
      <c r="C169" s="901"/>
      <c r="D169" s="901" t="str">
        <f>'被投资单位财务信息（合营、联营）G7-5'!G8</f>
        <v>联营企业1</v>
      </c>
      <c r="E169" s="901"/>
      <c r="F169" s="901" t="str">
        <f>'被投资单位财务信息（合营、联营）G7-5'!I8</f>
        <v>联营企业2</v>
      </c>
      <c r="G169" s="901"/>
      <c r="H169" s="231"/>
      <c r="I169" s="231"/>
      <c r="J169" s="231"/>
      <c r="K169" s="231"/>
      <c r="L169" s="231"/>
    </row>
    <row r="170" spans="1:12" s="185" customFormat="1" ht="20.100000000000001" customHeight="1" thickBot="1">
      <c r="A170" s="891"/>
      <c r="B170" s="326" t="s">
        <v>54</v>
      </c>
      <c r="C170" s="326" t="s">
        <v>55</v>
      </c>
      <c r="D170" s="326" t="s">
        <v>54</v>
      </c>
      <c r="E170" s="326" t="s">
        <v>55</v>
      </c>
      <c r="F170" s="326" t="s">
        <v>54</v>
      </c>
      <c r="G170" s="326" t="s">
        <v>55</v>
      </c>
      <c r="H170" s="231"/>
      <c r="I170" s="231"/>
      <c r="J170" s="231"/>
      <c r="K170" s="231"/>
      <c r="L170" s="231"/>
    </row>
    <row r="171" spans="1:12" s="185" customFormat="1" ht="20.100000000000001" customHeight="1">
      <c r="A171" s="230" t="s">
        <v>56</v>
      </c>
      <c r="B171" s="242">
        <f>'被投资单位财务信息（合营、联营）G7-5'!E10</f>
        <v>0</v>
      </c>
      <c r="C171" s="242">
        <f>'被投资单位财务信息（合营、联营）G7-5'!F10</f>
        <v>0</v>
      </c>
      <c r="D171" s="242">
        <f>'被投资单位财务信息（合营、联营）G7-5'!G10</f>
        <v>0</v>
      </c>
      <c r="E171" s="242">
        <f>'被投资单位财务信息（合营、联营）G7-5'!H10</f>
        <v>0</v>
      </c>
      <c r="F171" s="242">
        <f>'被投资单位财务信息（合营、联营）G7-5'!I10</f>
        <v>0</v>
      </c>
      <c r="G171" s="242">
        <f>'被投资单位财务信息（合营、联营）G7-5'!J10</f>
        <v>0</v>
      </c>
      <c r="H171" s="231"/>
      <c r="I171" s="231"/>
      <c r="J171" s="231"/>
      <c r="K171" s="231"/>
      <c r="L171" s="231"/>
    </row>
    <row r="172" spans="1:12" s="185" customFormat="1" ht="20.100000000000001" customHeight="1">
      <c r="A172" s="230" t="s">
        <v>57</v>
      </c>
      <c r="B172" s="242">
        <f>'被投资单位财务信息（合营、联营）G7-5'!E12</f>
        <v>0</v>
      </c>
      <c r="C172" s="242">
        <f>'被投资单位财务信息（合营、联营）G7-5'!F12</f>
        <v>0</v>
      </c>
      <c r="D172" s="242">
        <f>'被投资单位财务信息（合营、联营）G7-5'!G12</f>
        <v>0</v>
      </c>
      <c r="E172" s="242">
        <f>'被投资单位财务信息（合营、联营）G7-5'!H12</f>
        <v>0</v>
      </c>
      <c r="F172" s="242">
        <f>'被投资单位财务信息（合营、联营）G7-5'!I12</f>
        <v>0</v>
      </c>
      <c r="G172" s="242">
        <f>'被投资单位财务信息（合营、联营）G7-5'!J12</f>
        <v>0</v>
      </c>
      <c r="H172" s="231"/>
      <c r="I172" s="231"/>
      <c r="J172" s="231"/>
      <c r="K172" s="231"/>
      <c r="L172" s="231"/>
    </row>
    <row r="173" spans="1:12" s="185" customFormat="1" ht="20.100000000000001" customHeight="1">
      <c r="A173" s="269" t="s">
        <v>58</v>
      </c>
      <c r="B173" s="270">
        <f>SUM(B171:B172)</f>
        <v>0</v>
      </c>
      <c r="C173" s="270">
        <f t="shared" ref="C173:G173" si="2">SUM(C171:C172)</f>
        <v>0</v>
      </c>
      <c r="D173" s="270">
        <f t="shared" si="2"/>
        <v>0</v>
      </c>
      <c r="E173" s="270">
        <f t="shared" si="2"/>
        <v>0</v>
      </c>
      <c r="F173" s="270">
        <f t="shared" si="2"/>
        <v>0</v>
      </c>
      <c r="G173" s="270">
        <f t="shared" si="2"/>
        <v>0</v>
      </c>
      <c r="H173" s="231"/>
      <c r="I173" s="231"/>
      <c r="J173" s="231"/>
      <c r="K173" s="231"/>
      <c r="L173" s="231"/>
    </row>
    <row r="174" spans="1:12" s="185" customFormat="1" ht="20.100000000000001" customHeight="1">
      <c r="A174" s="230" t="s">
        <v>59</v>
      </c>
      <c r="B174" s="242">
        <f>'被投资单位财务信息（合营、联营）G7-5'!E14</f>
        <v>0</v>
      </c>
      <c r="C174" s="242">
        <f>'被投资单位财务信息（合营、联营）G7-5'!F14</f>
        <v>0</v>
      </c>
      <c r="D174" s="242">
        <f>'被投资单位财务信息（合营、联营）G7-5'!G14</f>
        <v>0</v>
      </c>
      <c r="E174" s="242">
        <f>'被投资单位财务信息（合营、联营）G7-5'!H14</f>
        <v>0</v>
      </c>
      <c r="F174" s="242">
        <f>'被投资单位财务信息（合营、联营）G7-5'!I14</f>
        <v>0</v>
      </c>
      <c r="G174" s="242">
        <f>'被投资单位财务信息（合营、联营）G7-5'!J14</f>
        <v>0</v>
      </c>
      <c r="H174" s="231"/>
      <c r="I174" s="231"/>
      <c r="J174" s="231"/>
      <c r="K174" s="231"/>
      <c r="L174" s="231"/>
    </row>
    <row r="175" spans="1:12" s="185" customFormat="1" ht="20.100000000000001" customHeight="1">
      <c r="A175" s="230" t="s">
        <v>60</v>
      </c>
      <c r="B175" s="242">
        <f>'被投资单位财务信息（合营、联营）G7-5'!E15</f>
        <v>0</v>
      </c>
      <c r="C175" s="242">
        <f>'被投资单位财务信息（合营、联营）G7-5'!F15</f>
        <v>0</v>
      </c>
      <c r="D175" s="242">
        <f>'被投资单位财务信息（合营、联营）G7-5'!G15</f>
        <v>0</v>
      </c>
      <c r="E175" s="242">
        <f>'被投资单位财务信息（合营、联营）G7-5'!H15</f>
        <v>0</v>
      </c>
      <c r="F175" s="242">
        <f>'被投资单位财务信息（合营、联营）G7-5'!I15</f>
        <v>0</v>
      </c>
      <c r="G175" s="242">
        <f>'被投资单位财务信息（合营、联营）G7-5'!J15</f>
        <v>0</v>
      </c>
      <c r="H175" s="231"/>
      <c r="I175" s="231"/>
      <c r="J175" s="231"/>
      <c r="K175" s="231"/>
      <c r="L175" s="231"/>
    </row>
    <row r="176" spans="1:12" s="185" customFormat="1" ht="20.100000000000001" customHeight="1">
      <c r="A176" s="269" t="s">
        <v>61</v>
      </c>
      <c r="B176" s="270">
        <f>SUM(B174:B175)</f>
        <v>0</v>
      </c>
      <c r="C176" s="270">
        <f t="shared" ref="C176:G176" si="3">SUM(C174:C175)</f>
        <v>0</v>
      </c>
      <c r="D176" s="270">
        <f t="shared" si="3"/>
        <v>0</v>
      </c>
      <c r="E176" s="270">
        <f t="shared" si="3"/>
        <v>0</v>
      </c>
      <c r="F176" s="270">
        <f t="shared" si="3"/>
        <v>0</v>
      </c>
      <c r="G176" s="270">
        <f t="shared" si="3"/>
        <v>0</v>
      </c>
      <c r="H176" s="231"/>
      <c r="I176" s="231"/>
      <c r="J176" s="231"/>
      <c r="K176" s="231"/>
      <c r="L176" s="231"/>
    </row>
    <row r="177" spans="1:12" s="185" customFormat="1" ht="20.100000000000001" customHeight="1">
      <c r="A177" s="230" t="s">
        <v>599</v>
      </c>
      <c r="B177" s="242">
        <f>'被投资单位财务信息（合营、联营）G7-5'!E17</f>
        <v>0</v>
      </c>
      <c r="C177" s="242">
        <f>'被投资单位财务信息（合营、联营）G7-5'!F17</f>
        <v>0</v>
      </c>
      <c r="D177" s="242">
        <f>'被投资单位财务信息（合营、联营）G7-5'!G17</f>
        <v>0</v>
      </c>
      <c r="E177" s="242">
        <f>'被投资单位财务信息（合营、联营）G7-5'!H17</f>
        <v>0</v>
      </c>
      <c r="F177" s="242">
        <f>'被投资单位财务信息（合营、联营）G7-5'!I17</f>
        <v>0</v>
      </c>
      <c r="G177" s="242">
        <f>'被投资单位财务信息（合营、联营）G7-5'!J17</f>
        <v>0</v>
      </c>
      <c r="H177" s="231"/>
      <c r="I177" s="231"/>
      <c r="J177" s="231"/>
      <c r="K177" s="231"/>
      <c r="L177" s="231"/>
    </row>
    <row r="178" spans="1:12" s="185" customFormat="1" ht="20.100000000000001" customHeight="1">
      <c r="A178" s="230" t="s">
        <v>600</v>
      </c>
      <c r="B178" s="242">
        <f>'被投资单位财务信息（合营、联营）G7-5'!E18</f>
        <v>0</v>
      </c>
      <c r="C178" s="242">
        <f>'被投资单位财务信息（合营、联营）G7-5'!F18</f>
        <v>0</v>
      </c>
      <c r="D178" s="242">
        <f>'被投资单位财务信息（合营、联营）G7-5'!G18</f>
        <v>0</v>
      </c>
      <c r="E178" s="242">
        <f>'被投资单位财务信息（合营、联营）G7-5'!H18</f>
        <v>0</v>
      </c>
      <c r="F178" s="242">
        <f>'被投资单位财务信息（合营、联营）G7-5'!I18</f>
        <v>0</v>
      </c>
      <c r="G178" s="242">
        <f>'被投资单位财务信息（合营、联营）G7-5'!J18</f>
        <v>0</v>
      </c>
      <c r="H178" s="231"/>
      <c r="I178" s="231"/>
      <c r="J178" s="231"/>
      <c r="K178" s="231"/>
      <c r="L178" s="231"/>
    </row>
    <row r="179" spans="1:12" s="185" customFormat="1" ht="20.100000000000001" customHeight="1">
      <c r="A179" s="230" t="s">
        <v>601</v>
      </c>
      <c r="B179" s="242">
        <f>'被投资单位财务信息（合营、联营）G7-5'!E19</f>
        <v>0</v>
      </c>
      <c r="C179" s="242">
        <f>'被投资单位财务信息（合营、联营）G7-5'!F19</f>
        <v>0</v>
      </c>
      <c r="D179" s="242">
        <f>'被投资单位财务信息（合营、联营）G7-5'!G19</f>
        <v>0</v>
      </c>
      <c r="E179" s="242">
        <f>'被投资单位财务信息（合营、联营）G7-5'!H19</f>
        <v>0</v>
      </c>
      <c r="F179" s="242">
        <f>'被投资单位财务信息（合营、联营）G7-5'!I19</f>
        <v>0</v>
      </c>
      <c r="G179" s="242">
        <f>'被投资单位财务信息（合营、联营）G7-5'!J19</f>
        <v>0</v>
      </c>
      <c r="H179" s="231"/>
      <c r="I179" s="231"/>
      <c r="J179" s="231"/>
      <c r="K179" s="231"/>
      <c r="L179" s="231"/>
    </row>
    <row r="180" spans="1:12" s="185" customFormat="1" ht="20.100000000000001" customHeight="1">
      <c r="A180" s="230" t="s">
        <v>602</v>
      </c>
      <c r="B180" s="242">
        <f>'被投资单位财务信息（合营、联营）G7-5'!E21</f>
        <v>0</v>
      </c>
      <c r="C180" s="242">
        <f>'被投资单位财务信息（合营、联营）G7-5'!F21</f>
        <v>0</v>
      </c>
      <c r="D180" s="242">
        <f>'被投资单位财务信息（合营、联营）G7-5'!G21</f>
        <v>0</v>
      </c>
      <c r="E180" s="242">
        <f>'被投资单位财务信息（合营、联营）G7-5'!H21</f>
        <v>0</v>
      </c>
      <c r="F180" s="242">
        <f>'被投资单位财务信息（合营、联营）G7-5'!I21</f>
        <v>0</v>
      </c>
      <c r="G180" s="242">
        <f>'被投资单位财务信息（合营、联营）G7-5'!J21</f>
        <v>0</v>
      </c>
      <c r="H180" s="231"/>
      <c r="I180" s="231"/>
      <c r="J180" s="231"/>
      <c r="K180" s="231"/>
      <c r="L180" s="231"/>
    </row>
    <row r="181" spans="1:12" s="185" customFormat="1" ht="20.100000000000001" customHeight="1">
      <c r="A181" s="230" t="s">
        <v>603</v>
      </c>
      <c r="B181" s="242">
        <f>'被投资单位财务信息（合营、联营）G7-5'!E22</f>
        <v>0</v>
      </c>
      <c r="C181" s="242">
        <f>'被投资单位财务信息（合营、联营）G7-5'!F22</f>
        <v>0</v>
      </c>
      <c r="D181" s="242">
        <f>'被投资单位财务信息（合营、联营）G7-5'!G22</f>
        <v>0</v>
      </c>
      <c r="E181" s="242">
        <f>'被投资单位财务信息（合营、联营）G7-5'!H22</f>
        <v>0</v>
      </c>
      <c r="F181" s="242">
        <f>'被投资单位财务信息（合营、联营）G7-5'!I22</f>
        <v>0</v>
      </c>
      <c r="G181" s="242">
        <f>'被投资单位财务信息（合营、联营）G7-5'!J22</f>
        <v>0</v>
      </c>
      <c r="H181" s="231"/>
      <c r="I181" s="231"/>
      <c r="J181" s="231"/>
      <c r="K181" s="231"/>
      <c r="L181" s="231"/>
    </row>
    <row r="182" spans="1:12" s="185" customFormat="1" ht="20.100000000000001" customHeight="1">
      <c r="A182" s="230" t="s">
        <v>604</v>
      </c>
      <c r="B182" s="241">
        <f>'被投资单位财务信息（合营、联营）G7-5'!E23</f>
        <v>0</v>
      </c>
      <c r="C182" s="241">
        <f>'被投资单位财务信息（合营、联营）G7-5'!F23</f>
        <v>0</v>
      </c>
      <c r="D182" s="241">
        <f>'被投资单位财务信息（合营、联营）G7-5'!G23</f>
        <v>0</v>
      </c>
      <c r="E182" s="241">
        <f>'被投资单位财务信息（合营、联营）G7-5'!H23</f>
        <v>0</v>
      </c>
      <c r="F182" s="241">
        <f>'被投资单位财务信息（合营、联营）G7-5'!I23</f>
        <v>0</v>
      </c>
      <c r="G182" s="241">
        <f>'被投资单位财务信息（合营、联营）G7-5'!J23</f>
        <v>0</v>
      </c>
      <c r="H182" s="231"/>
      <c r="I182" s="231"/>
      <c r="J182" s="231"/>
      <c r="K182" s="231"/>
      <c r="L182" s="231"/>
    </row>
    <row r="183" spans="1:12" s="185" customFormat="1" ht="20.100000000000001" customHeight="1">
      <c r="A183" s="230" t="s">
        <v>605</v>
      </c>
      <c r="B183" s="241">
        <f>'被投资单位财务信息（合营、联营）G7-5'!E24</f>
        <v>0</v>
      </c>
      <c r="C183" s="241">
        <f>'被投资单位财务信息（合营、联营）G7-5'!F24</f>
        <v>0</v>
      </c>
      <c r="D183" s="241">
        <f>'被投资单位财务信息（合营、联营）G7-5'!G24</f>
        <v>0</v>
      </c>
      <c r="E183" s="241">
        <f>'被投资单位财务信息（合营、联营）G7-5'!H24</f>
        <v>0</v>
      </c>
      <c r="F183" s="241">
        <f>'被投资单位财务信息（合营、联营）G7-5'!I24</f>
        <v>0</v>
      </c>
      <c r="G183" s="241">
        <f>'被投资单位财务信息（合营、联营）G7-5'!J24</f>
        <v>0</v>
      </c>
      <c r="H183" s="231"/>
      <c r="I183" s="231"/>
      <c r="J183" s="231"/>
      <c r="K183" s="231"/>
      <c r="L183" s="231"/>
    </row>
    <row r="184" spans="1:12" s="185" customFormat="1" ht="20.100000000000001" customHeight="1">
      <c r="A184" s="230" t="s">
        <v>606</v>
      </c>
      <c r="B184" s="241">
        <f>'被投资单位财务信息（合营、联营）G7-5'!E25</f>
        <v>0</v>
      </c>
      <c r="C184" s="241">
        <f>'被投资单位财务信息（合营、联营）G7-5'!F25</f>
        <v>0</v>
      </c>
      <c r="D184" s="241">
        <f>'被投资单位财务信息（合营、联营）G7-5'!G25</f>
        <v>0</v>
      </c>
      <c r="E184" s="241">
        <f>'被投资单位财务信息（合营、联营）G7-5'!H25</f>
        <v>0</v>
      </c>
      <c r="F184" s="241">
        <f>'被投资单位财务信息（合营、联营）G7-5'!I25</f>
        <v>0</v>
      </c>
      <c r="G184" s="241">
        <f>'被投资单位财务信息（合营、联营）G7-5'!J25</f>
        <v>0</v>
      </c>
      <c r="H184" s="231"/>
      <c r="I184" s="231"/>
      <c r="J184" s="231"/>
      <c r="K184" s="231"/>
      <c r="L184" s="231"/>
    </row>
    <row r="185" spans="1:12" s="185" customFormat="1" ht="20.100000000000001" customHeight="1">
      <c r="A185" s="230" t="s">
        <v>607</v>
      </c>
      <c r="B185" s="241">
        <f>'被投资单位财务信息（合营、联营）G7-5'!E26</f>
        <v>0</v>
      </c>
      <c r="C185" s="241">
        <f>'被投资单位财务信息（合营、联营）G7-5'!F26</f>
        <v>0</v>
      </c>
      <c r="D185" s="241">
        <f>'被投资单位财务信息（合营、联营）G7-5'!G26</f>
        <v>0</v>
      </c>
      <c r="E185" s="241">
        <f>'被投资单位财务信息（合营、联营）G7-5'!H26</f>
        <v>0</v>
      </c>
      <c r="F185" s="241">
        <f>'被投资单位财务信息（合营、联营）G7-5'!I26</f>
        <v>0</v>
      </c>
      <c r="G185" s="241">
        <f>'被投资单位财务信息（合营、联营）G7-5'!J26</f>
        <v>0</v>
      </c>
      <c r="H185" s="231"/>
      <c r="I185" s="231"/>
      <c r="J185" s="231"/>
      <c r="K185" s="231"/>
      <c r="L185" s="231"/>
    </row>
    <row r="186" spans="1:12" s="185" customFormat="1" ht="20.100000000000001" customHeight="1">
      <c r="A186" s="269" t="s">
        <v>620</v>
      </c>
      <c r="B186" s="242">
        <f>'被投资单位财务信息（合营、联营）G7-5'!E27</f>
        <v>0</v>
      </c>
      <c r="C186" s="242">
        <f>'被投资单位财务信息（合营、联营）G7-5'!F27</f>
        <v>0</v>
      </c>
      <c r="D186" s="242">
        <f>'被投资单位财务信息（合营、联营）G7-5'!G27</f>
        <v>0</v>
      </c>
      <c r="E186" s="242">
        <f>'被投资单位财务信息（合营、联营）G7-5'!H27</f>
        <v>0</v>
      </c>
      <c r="F186" s="242">
        <f>'被投资单位财务信息（合营、联营）G7-5'!I27</f>
        <v>0</v>
      </c>
      <c r="G186" s="242">
        <f>'被投资单位财务信息（合营、联营）G7-5'!J27</f>
        <v>0</v>
      </c>
      <c r="H186" s="231"/>
      <c r="I186" s="231"/>
      <c r="J186" s="231"/>
      <c r="K186" s="231"/>
      <c r="L186" s="231"/>
    </row>
    <row r="187" spans="1:12" s="185" customFormat="1" ht="20.100000000000001" customHeight="1" thickBot="1">
      <c r="A187" s="243" t="s">
        <v>609</v>
      </c>
      <c r="B187" s="271">
        <f>'被投资单位财务信息（合营、联营）G7-5'!E27</f>
        <v>0</v>
      </c>
      <c r="C187" s="271">
        <f>'被投资单位财务信息（合营、联营）G7-5'!F27</f>
        <v>0</v>
      </c>
      <c r="D187" s="271">
        <f>'被投资单位财务信息（合营、联营）G7-5'!G27</f>
        <v>0</v>
      </c>
      <c r="E187" s="271">
        <f>'被投资单位财务信息（合营、联营）G7-5'!H27</f>
        <v>0</v>
      </c>
      <c r="F187" s="271">
        <f>'被投资单位财务信息（合营、联营）G7-5'!I27</f>
        <v>0</v>
      </c>
      <c r="G187" s="271">
        <f>'被投资单位财务信息（合营、联营）G7-5'!J27</f>
        <v>0</v>
      </c>
      <c r="H187" s="231"/>
      <c r="I187" s="231"/>
      <c r="J187" s="231"/>
      <c r="K187" s="231"/>
      <c r="L187" s="231"/>
    </row>
    <row r="188" spans="1:12" s="185" customFormat="1" ht="20.100000000000001" customHeight="1" thickBot="1">
      <c r="A188" s="232" t="s">
        <v>610</v>
      </c>
      <c r="B188" s="233"/>
      <c r="C188" s="233"/>
      <c r="D188" s="233"/>
      <c r="E188" s="233"/>
      <c r="F188" s="233"/>
      <c r="G188" s="233"/>
      <c r="H188" s="231"/>
      <c r="I188" s="231"/>
      <c r="J188" s="231"/>
      <c r="K188" s="231"/>
      <c r="L188" s="231"/>
    </row>
    <row r="189" spans="1:12" s="185" customFormat="1" ht="20.100000000000001" customHeight="1">
      <c r="A189" s="890" t="s">
        <v>509</v>
      </c>
      <c r="B189" s="901" t="str">
        <f>'被投资单位财务信息（合营、联营）G7-5'!E8</f>
        <v>合营企业2</v>
      </c>
      <c r="C189" s="901"/>
      <c r="D189" s="901" t="str">
        <f>'被投资单位财务信息（合营、联营）G7-5'!G8</f>
        <v>联营企业1</v>
      </c>
      <c r="E189" s="901"/>
      <c r="F189" s="901" t="str">
        <f>'被投资单位财务信息（合营、联营）G7-5'!I8</f>
        <v>联营企业2</v>
      </c>
      <c r="G189" s="901"/>
      <c r="H189" s="231"/>
      <c r="I189" s="231"/>
      <c r="J189" s="231"/>
      <c r="K189" s="231"/>
      <c r="L189" s="231"/>
    </row>
    <row r="190" spans="1:12" s="185" customFormat="1" ht="20.100000000000001" customHeight="1" thickBot="1">
      <c r="A190" s="891"/>
      <c r="B190" s="326" t="s">
        <v>553</v>
      </c>
      <c r="C190" s="326" t="s">
        <v>554</v>
      </c>
      <c r="D190" s="326" t="s">
        <v>553</v>
      </c>
      <c r="E190" s="326" t="s">
        <v>554</v>
      </c>
      <c r="F190" s="326" t="s">
        <v>553</v>
      </c>
      <c r="G190" s="326" t="s">
        <v>554</v>
      </c>
      <c r="H190" s="231"/>
      <c r="I190" s="231"/>
      <c r="J190" s="231"/>
      <c r="K190" s="231"/>
      <c r="L190" s="231"/>
    </row>
    <row r="191" spans="1:12" s="185" customFormat="1" ht="20.100000000000001" customHeight="1">
      <c r="A191" s="230" t="s">
        <v>62</v>
      </c>
      <c r="B191" s="242">
        <f>'被投资单位财务信息（合营、联营）G7-5'!E29</f>
        <v>0</v>
      </c>
      <c r="C191" s="242">
        <f>'被投资单位财务信息（合营、联营）G7-5'!F29</f>
        <v>0</v>
      </c>
      <c r="D191" s="242">
        <f>'被投资单位财务信息（合营、联营）G7-5'!G29</f>
        <v>0</v>
      </c>
      <c r="E191" s="242">
        <f>'被投资单位财务信息（合营、联营）G7-5'!H29</f>
        <v>0</v>
      </c>
      <c r="F191" s="242">
        <f>'被投资单位财务信息（合营、联营）G7-5'!I29</f>
        <v>0</v>
      </c>
      <c r="G191" s="242">
        <f>'被投资单位财务信息（合营、联营）G7-5'!J29</f>
        <v>0</v>
      </c>
      <c r="H191" s="231"/>
      <c r="I191" s="231"/>
      <c r="J191" s="231"/>
      <c r="K191" s="231"/>
      <c r="L191" s="231"/>
    </row>
    <row r="192" spans="1:12" s="185" customFormat="1" ht="20.100000000000001" customHeight="1">
      <c r="A192" s="230" t="s">
        <v>63</v>
      </c>
      <c r="B192" s="242">
        <f>'被投资单位财务信息（合营、联营）G7-5'!E32</f>
        <v>0</v>
      </c>
      <c r="C192" s="242">
        <f>'被投资单位财务信息（合营、联营）G7-5'!F32</f>
        <v>0</v>
      </c>
      <c r="D192" s="242">
        <f>'被投资单位财务信息（合营、联营）G7-5'!G32</f>
        <v>0</v>
      </c>
      <c r="E192" s="242">
        <f>'被投资单位财务信息（合营、联营）G7-5'!H32</f>
        <v>0</v>
      </c>
      <c r="F192" s="242">
        <f>'被投资单位财务信息（合营、联营）G7-5'!I32</f>
        <v>0</v>
      </c>
      <c r="G192" s="242">
        <f>'被投资单位财务信息（合营、联营）G7-5'!J32</f>
        <v>0</v>
      </c>
      <c r="H192" s="231"/>
      <c r="I192" s="231"/>
      <c r="J192" s="231"/>
      <c r="K192" s="231"/>
      <c r="L192" s="231"/>
    </row>
    <row r="193" spans="1:12" s="185" customFormat="1" ht="20.100000000000001" customHeight="1">
      <c r="A193" s="230" t="s">
        <v>613</v>
      </c>
      <c r="B193" s="242">
        <f>'被投资单位财务信息（合营、联营）G7-5'!E33</f>
        <v>0</v>
      </c>
      <c r="C193" s="242">
        <f>'被投资单位财务信息（合营、联营）G7-5'!F33</f>
        <v>0</v>
      </c>
      <c r="D193" s="242">
        <f>'被投资单位财务信息（合营、联营）G7-5'!G33</f>
        <v>0</v>
      </c>
      <c r="E193" s="242">
        <f>'被投资单位财务信息（合营、联营）G7-5'!H33</f>
        <v>0</v>
      </c>
      <c r="F193" s="242">
        <f>'被投资单位财务信息（合营、联营）G7-5'!I33</f>
        <v>0</v>
      </c>
      <c r="G193" s="242">
        <f>'被投资单位财务信息（合营、联营）G7-5'!J33</f>
        <v>0</v>
      </c>
      <c r="H193" s="231"/>
      <c r="I193" s="231"/>
      <c r="J193" s="231"/>
      <c r="K193" s="231"/>
      <c r="L193" s="231"/>
    </row>
    <row r="194" spans="1:12" s="185" customFormat="1" ht="20.100000000000001" customHeight="1">
      <c r="A194" s="230" t="s">
        <v>614</v>
      </c>
      <c r="B194" s="242">
        <f>'被投资单位财务信息（合营、联营）G7-5'!E34</f>
        <v>0</v>
      </c>
      <c r="C194" s="242">
        <f>'被投资单位财务信息（合营、联营）G7-5'!F34</f>
        <v>0</v>
      </c>
      <c r="D194" s="242">
        <f>'被投资单位财务信息（合营、联营）G7-5'!G34</f>
        <v>0</v>
      </c>
      <c r="E194" s="242">
        <f>'被投资单位财务信息（合营、联营）G7-5'!H34</f>
        <v>0</v>
      </c>
      <c r="F194" s="242">
        <f>'被投资单位财务信息（合营、联营）G7-5'!I34</f>
        <v>0</v>
      </c>
      <c r="G194" s="242">
        <f>'被投资单位财务信息（合营、联营）G7-5'!J34</f>
        <v>0</v>
      </c>
      <c r="H194" s="231"/>
      <c r="I194" s="231"/>
      <c r="J194" s="231"/>
      <c r="K194" s="231"/>
      <c r="L194" s="231"/>
    </row>
    <row r="195" spans="1:12" s="185" customFormat="1" ht="20.100000000000001" customHeight="1">
      <c r="A195" s="230" t="s">
        <v>64</v>
      </c>
      <c r="B195" s="242">
        <f>'被投资单位财务信息（合营、联营）G7-5'!E35</f>
        <v>0</v>
      </c>
      <c r="C195" s="242">
        <f>'被投资单位财务信息（合营、联营）G7-5'!F35</f>
        <v>0</v>
      </c>
      <c r="D195" s="242">
        <f>'被投资单位财务信息（合营、联营）G7-5'!G35</f>
        <v>0</v>
      </c>
      <c r="E195" s="242">
        <f>'被投资单位财务信息（合营、联营）G7-5'!H35</f>
        <v>0</v>
      </c>
      <c r="F195" s="242">
        <f>'被投资单位财务信息（合营、联营）G7-5'!I35</f>
        <v>0</v>
      </c>
      <c r="G195" s="242">
        <f>'被投资单位财务信息（合营、联营）G7-5'!J35</f>
        <v>0</v>
      </c>
      <c r="H195" s="231"/>
      <c r="I195" s="231"/>
      <c r="J195" s="231"/>
      <c r="K195" s="231"/>
      <c r="L195" s="231"/>
    </row>
    <row r="196" spans="1:12" s="185" customFormat="1" ht="20.100000000000001" customHeight="1" thickBot="1">
      <c r="A196" s="230" t="s">
        <v>621</v>
      </c>
      <c r="B196" s="242">
        <f>'被投资单位财务信息（合营、联营）G7-5'!E36</f>
        <v>0</v>
      </c>
      <c r="C196" s="242">
        <f>'被投资单位财务信息（合营、联营）G7-5'!F36</f>
        <v>0</v>
      </c>
      <c r="D196" s="242">
        <f>'被投资单位财务信息（合营、联营）G7-5'!G36</f>
        <v>0</v>
      </c>
      <c r="E196" s="242">
        <f>'被投资单位财务信息（合营、联营）G7-5'!H36</f>
        <v>0</v>
      </c>
      <c r="F196" s="242">
        <f>'被投资单位财务信息（合营、联营）G7-5'!I36</f>
        <v>0</v>
      </c>
      <c r="G196" s="242">
        <f>'被投资单位财务信息（合营、联营）G7-5'!J36</f>
        <v>0</v>
      </c>
      <c r="H196" s="231"/>
      <c r="I196" s="231"/>
      <c r="J196" s="231"/>
      <c r="K196" s="231"/>
      <c r="L196" s="231"/>
    </row>
    <row r="197" spans="1:12" s="185" customFormat="1" ht="20.100000000000001" customHeight="1">
      <c r="A197" s="902" t="s">
        <v>616</v>
      </c>
      <c r="B197" s="902"/>
      <c r="C197" s="902"/>
      <c r="D197" s="902"/>
      <c r="E197" s="902"/>
      <c r="F197" s="902"/>
      <c r="G197" s="902"/>
      <c r="H197" s="231"/>
      <c r="I197" s="231"/>
      <c r="J197" s="231"/>
      <c r="K197" s="231"/>
      <c r="L197" s="231"/>
    </row>
    <row r="198" spans="1:12" s="185" customFormat="1" ht="20.100000000000001" customHeight="1">
      <c r="A198" s="232" t="s">
        <v>622</v>
      </c>
      <c r="B198" s="233"/>
      <c r="C198" s="233"/>
      <c r="D198" s="233"/>
      <c r="E198" s="233"/>
      <c r="F198" s="233"/>
      <c r="G198" s="233"/>
      <c r="H198" s="231"/>
      <c r="I198" s="231"/>
      <c r="J198" s="231"/>
      <c r="K198" s="231"/>
      <c r="L198" s="231"/>
    </row>
    <row r="199" spans="1:12" s="185" customFormat="1" ht="20.100000000000001" customHeight="1" thickBot="1">
      <c r="A199" s="272" t="s">
        <v>623</v>
      </c>
      <c r="B199" s="233"/>
      <c r="C199" s="233"/>
      <c r="D199" s="233"/>
      <c r="E199" s="233"/>
      <c r="F199" s="233"/>
      <c r="G199" s="233"/>
      <c r="H199" s="231"/>
      <c r="I199" s="231"/>
      <c r="J199" s="231"/>
      <c r="K199" s="231"/>
      <c r="L199" s="231"/>
    </row>
    <row r="200" spans="1:12" s="185" customFormat="1" ht="31.95" customHeight="1" thickBot="1">
      <c r="A200" s="327" t="s">
        <v>509</v>
      </c>
      <c r="B200" s="327" t="s">
        <v>624</v>
      </c>
      <c r="C200" s="327" t="s">
        <v>625</v>
      </c>
      <c r="D200" s="233"/>
      <c r="E200" s="231"/>
      <c r="F200" s="231"/>
      <c r="G200" s="231"/>
      <c r="H200" s="231"/>
      <c r="I200" s="231"/>
      <c r="J200" s="231"/>
      <c r="K200" s="231"/>
      <c r="L200" s="231"/>
    </row>
    <row r="201" spans="1:12" s="185" customFormat="1" ht="20.100000000000001" customHeight="1">
      <c r="A201" s="269" t="s">
        <v>626</v>
      </c>
      <c r="B201" s="273"/>
      <c r="C201" s="273"/>
      <c r="D201" s="233"/>
      <c r="E201" s="231"/>
      <c r="F201" s="231"/>
      <c r="G201" s="231"/>
      <c r="H201" s="231"/>
      <c r="I201" s="231"/>
      <c r="J201" s="231"/>
      <c r="K201" s="231"/>
      <c r="L201" s="231"/>
    </row>
    <row r="202" spans="1:12" s="185" customFormat="1" ht="20.100000000000001" customHeight="1">
      <c r="A202" s="230" t="s">
        <v>627</v>
      </c>
      <c r="B202" s="274">
        <f>'被投资单位财务信息（合营、联营）G7-5'!G42</f>
        <v>0</v>
      </c>
      <c r="C202" s="274">
        <f>'被投资单位财务信息（合营、联营）G7-5'!I42</f>
        <v>0</v>
      </c>
      <c r="D202" s="233"/>
      <c r="E202" s="231"/>
      <c r="F202" s="231"/>
      <c r="G202" s="231"/>
      <c r="H202" s="231"/>
      <c r="I202" s="231"/>
      <c r="J202" s="231"/>
      <c r="K202" s="231"/>
      <c r="L202" s="231"/>
    </row>
    <row r="203" spans="1:12" s="185" customFormat="1" ht="20.100000000000001" customHeight="1">
      <c r="A203" s="230" t="s">
        <v>628</v>
      </c>
      <c r="B203" s="274">
        <f>'被投资单位财务信息（合营、联营）G7-5'!G43</f>
        <v>0</v>
      </c>
      <c r="C203" s="274">
        <f>'被投资单位财务信息（合营、联营）G7-5'!I43</f>
        <v>0</v>
      </c>
      <c r="D203" s="233"/>
      <c r="E203" s="231"/>
      <c r="F203" s="231"/>
      <c r="G203" s="231"/>
      <c r="H203" s="231"/>
      <c r="I203" s="231"/>
      <c r="J203" s="231"/>
      <c r="K203" s="231"/>
      <c r="L203" s="231"/>
    </row>
    <row r="204" spans="1:12" s="185" customFormat="1" ht="20.100000000000001" customHeight="1">
      <c r="A204" s="230" t="s">
        <v>63</v>
      </c>
      <c r="B204" s="274">
        <f>'被投资单位财务信息（合营、联营）G7-5'!G44</f>
        <v>0</v>
      </c>
      <c r="C204" s="274">
        <f>'被投资单位财务信息（合营、联营）G7-5'!I44</f>
        <v>0</v>
      </c>
      <c r="D204" s="233"/>
      <c r="E204" s="231"/>
      <c r="F204" s="231"/>
      <c r="G204" s="231"/>
      <c r="H204" s="231"/>
      <c r="I204" s="231"/>
      <c r="J204" s="231"/>
      <c r="K204" s="231"/>
      <c r="L204" s="231"/>
    </row>
    <row r="205" spans="1:12" s="185" customFormat="1" ht="20.100000000000001" customHeight="1">
      <c r="A205" s="230" t="s">
        <v>614</v>
      </c>
      <c r="B205" s="274">
        <f>'被投资单位财务信息（合营、联营）G7-5'!G45</f>
        <v>0</v>
      </c>
      <c r="C205" s="274">
        <f>'被投资单位财务信息（合营、联营）G7-5'!I45</f>
        <v>0</v>
      </c>
      <c r="D205" s="233"/>
      <c r="E205" s="231"/>
      <c r="F205" s="231"/>
      <c r="G205" s="231"/>
      <c r="H205" s="231"/>
      <c r="I205" s="231"/>
      <c r="J205" s="231"/>
      <c r="K205" s="231"/>
      <c r="L205" s="231"/>
    </row>
    <row r="206" spans="1:12" s="185" customFormat="1" ht="20.100000000000001" customHeight="1">
      <c r="A206" s="230" t="s">
        <v>64</v>
      </c>
      <c r="B206" s="274">
        <f>'被投资单位财务信息（合营、联营）G7-5'!G46</f>
        <v>0</v>
      </c>
      <c r="C206" s="274">
        <f>'被投资单位财务信息（合营、联营）G7-5'!I46</f>
        <v>0</v>
      </c>
      <c r="D206" s="233"/>
      <c r="E206" s="231"/>
      <c r="F206" s="231"/>
      <c r="G206" s="231"/>
      <c r="H206" s="231"/>
      <c r="I206" s="231"/>
      <c r="J206" s="231"/>
      <c r="K206" s="231"/>
      <c r="L206" s="231"/>
    </row>
    <row r="207" spans="1:12" s="185" customFormat="1" ht="20.100000000000001" customHeight="1">
      <c r="A207" s="275" t="s">
        <v>629</v>
      </c>
      <c r="B207" s="276"/>
      <c r="C207" s="277"/>
      <c r="D207" s="233"/>
      <c r="E207" s="231"/>
      <c r="F207" s="231"/>
      <c r="G207" s="231"/>
      <c r="H207" s="231"/>
      <c r="I207" s="231"/>
      <c r="J207" s="231"/>
      <c r="K207" s="231"/>
      <c r="L207" s="231"/>
    </row>
    <row r="208" spans="1:12" s="185" customFormat="1" ht="20.100000000000001" customHeight="1">
      <c r="A208" s="278" t="s">
        <v>627</v>
      </c>
      <c r="B208" s="274">
        <f>'被投资单位财务信息（合营、联营）G7-5'!G49</f>
        <v>0</v>
      </c>
      <c r="C208" s="274">
        <f>'被投资单位财务信息（合营、联营）G7-5'!I49</f>
        <v>0</v>
      </c>
      <c r="D208" s="233"/>
      <c r="E208" s="231"/>
      <c r="F208" s="231"/>
      <c r="G208" s="231"/>
      <c r="H208" s="231"/>
      <c r="I208" s="231"/>
      <c r="J208" s="231"/>
      <c r="K208" s="231"/>
      <c r="L208" s="231"/>
    </row>
    <row r="209" spans="1:12" s="185" customFormat="1" ht="20.100000000000001" customHeight="1">
      <c r="A209" s="278" t="s">
        <v>628</v>
      </c>
      <c r="B209" s="274">
        <f>'被投资单位财务信息（合营、联营）G7-5'!G50</f>
        <v>0</v>
      </c>
      <c r="C209" s="274">
        <f>'被投资单位财务信息（合营、联营）G7-5'!I50</f>
        <v>0</v>
      </c>
      <c r="D209" s="233"/>
      <c r="E209" s="231"/>
      <c r="F209" s="231"/>
      <c r="G209" s="231"/>
      <c r="H209" s="231"/>
      <c r="I209" s="231"/>
      <c r="J209" s="231"/>
      <c r="K209" s="231"/>
      <c r="L209" s="231"/>
    </row>
    <row r="210" spans="1:12" s="185" customFormat="1" ht="20.100000000000001" customHeight="1">
      <c r="A210" s="278" t="s">
        <v>63</v>
      </c>
      <c r="B210" s="274">
        <f>'被投资单位财务信息（合营、联营）G7-5'!G51</f>
        <v>0</v>
      </c>
      <c r="C210" s="274">
        <f>'被投资单位财务信息（合营、联营）G7-5'!I51</f>
        <v>0</v>
      </c>
      <c r="D210" s="233"/>
      <c r="E210" s="231"/>
      <c r="F210" s="231"/>
      <c r="G210" s="231"/>
      <c r="H210" s="231"/>
      <c r="I210" s="231"/>
      <c r="J210" s="231"/>
      <c r="K210" s="231"/>
      <c r="L210" s="231"/>
    </row>
    <row r="211" spans="1:12" s="185" customFormat="1" ht="20.100000000000001" customHeight="1">
      <c r="A211" s="278" t="s">
        <v>614</v>
      </c>
      <c r="B211" s="274">
        <f>'被投资单位财务信息（合营、联营）G7-5'!G52</f>
        <v>0</v>
      </c>
      <c r="C211" s="274">
        <f>'被投资单位财务信息（合营、联营）G7-5'!I52</f>
        <v>0</v>
      </c>
      <c r="D211" s="233"/>
      <c r="E211" s="231"/>
      <c r="F211" s="231"/>
      <c r="G211" s="231"/>
      <c r="H211" s="231"/>
      <c r="I211" s="231"/>
      <c r="J211" s="231"/>
      <c r="K211" s="231"/>
      <c r="L211" s="231"/>
    </row>
    <row r="212" spans="1:12" s="185" customFormat="1" ht="20.100000000000001" customHeight="1" thickBot="1">
      <c r="A212" s="279" t="s">
        <v>64</v>
      </c>
      <c r="B212" s="280">
        <f>'被投资单位财务信息（合营、联营）G7-5'!G53</f>
        <v>0</v>
      </c>
      <c r="C212" s="281">
        <f>'被投资单位财务信息（合营、联营）G7-5'!I53</f>
        <v>0</v>
      </c>
      <c r="D212" s="233"/>
      <c r="E212" s="231"/>
      <c r="F212" s="231"/>
      <c r="G212" s="231"/>
      <c r="H212" s="231"/>
      <c r="I212" s="231"/>
      <c r="J212" s="231"/>
      <c r="K212" s="231"/>
      <c r="L212" s="231"/>
    </row>
    <row r="213" spans="1:12" s="185" customFormat="1" ht="20.100000000000001" customHeight="1">
      <c r="A213" s="892" t="s">
        <v>616</v>
      </c>
      <c r="B213" s="892"/>
      <c r="C213" s="892"/>
      <c r="D213" s="892"/>
      <c r="E213" s="892"/>
      <c r="F213" s="892"/>
      <c r="G213" s="233"/>
      <c r="H213" s="231"/>
      <c r="I213" s="231"/>
      <c r="J213" s="231"/>
      <c r="K213" s="231"/>
      <c r="L213" s="231"/>
    </row>
    <row r="214" spans="1:12" s="185" customFormat="1" ht="20.100000000000001" customHeight="1">
      <c r="A214" s="232" t="s">
        <v>527</v>
      </c>
      <c r="B214" s="233"/>
      <c r="C214" s="233"/>
      <c r="D214" s="233"/>
      <c r="E214" s="233"/>
      <c r="F214" s="233"/>
      <c r="G214" s="233"/>
      <c r="H214" s="231"/>
      <c r="I214" s="231"/>
      <c r="J214" s="231"/>
      <c r="K214" s="231"/>
      <c r="L214" s="231"/>
    </row>
    <row r="215" spans="1:12" s="185" customFormat="1" ht="20.100000000000001" customHeight="1">
      <c r="A215" s="894" t="s">
        <v>630</v>
      </c>
      <c r="B215" s="894"/>
      <c r="C215" s="894"/>
      <c r="D215" s="894"/>
      <c r="E215" s="894"/>
      <c r="F215" s="894"/>
      <c r="G215" s="233"/>
      <c r="H215" s="231"/>
      <c r="I215" s="231"/>
      <c r="J215" s="231"/>
      <c r="K215" s="231"/>
      <c r="L215" s="231"/>
    </row>
    <row r="216" spans="1:12" s="185" customFormat="1" ht="20.100000000000001" customHeight="1">
      <c r="A216" s="894" t="s">
        <v>631</v>
      </c>
      <c r="B216" s="894"/>
      <c r="C216" s="894"/>
      <c r="D216" s="894"/>
      <c r="E216" s="894"/>
      <c r="F216" s="894"/>
      <c r="G216" s="233"/>
      <c r="H216" s="231"/>
      <c r="I216" s="231"/>
      <c r="J216" s="231"/>
      <c r="K216" s="231"/>
      <c r="L216" s="231"/>
    </row>
    <row r="217" spans="1:12" s="185" customFormat="1" ht="20.100000000000001" customHeight="1">
      <c r="A217" s="892" t="s">
        <v>632</v>
      </c>
      <c r="B217" s="892"/>
      <c r="C217" s="892"/>
      <c r="D217" s="892"/>
      <c r="E217" s="892"/>
      <c r="F217" s="892"/>
      <c r="G217" s="233"/>
      <c r="H217" s="231"/>
      <c r="I217" s="231"/>
      <c r="J217" s="231"/>
      <c r="K217" s="231"/>
      <c r="L217" s="231"/>
    </row>
    <row r="218" spans="1:12" s="185" customFormat="1" ht="20.100000000000001" customHeight="1">
      <c r="A218" s="894" t="s">
        <v>633</v>
      </c>
      <c r="B218" s="894"/>
      <c r="C218" s="894"/>
      <c r="D218" s="894"/>
      <c r="E218" s="894"/>
      <c r="F218" s="894"/>
      <c r="G218" s="233"/>
      <c r="H218" s="231"/>
      <c r="I218" s="231"/>
      <c r="J218" s="231"/>
      <c r="K218" s="231"/>
      <c r="L218" s="231"/>
    </row>
    <row r="219" spans="1:12" s="185" customFormat="1" ht="20.100000000000001" customHeight="1">
      <c r="A219" s="272"/>
      <c r="B219" s="272"/>
      <c r="C219" s="272"/>
      <c r="D219" s="272"/>
      <c r="E219" s="272"/>
      <c r="F219" s="272"/>
      <c r="G219" s="233"/>
      <c r="H219" s="231"/>
      <c r="I219" s="231"/>
      <c r="J219" s="231"/>
      <c r="K219" s="231"/>
      <c r="L219" s="231"/>
    </row>
    <row r="220" spans="1:12" s="185" customFormat="1" ht="20.100000000000001" customHeight="1" thickBot="1">
      <c r="A220" s="272" t="s">
        <v>634</v>
      </c>
      <c r="B220" s="233"/>
      <c r="C220" s="233"/>
      <c r="D220" s="233"/>
      <c r="E220" s="233"/>
      <c r="F220" s="233"/>
      <c r="G220" s="233"/>
      <c r="H220" s="231"/>
      <c r="I220" s="231"/>
      <c r="J220" s="231"/>
      <c r="K220" s="231"/>
      <c r="L220" s="231"/>
    </row>
    <row r="221" spans="1:12" s="185" customFormat="1" ht="48" customHeight="1" thickBot="1">
      <c r="A221" s="327" t="s">
        <v>53</v>
      </c>
      <c r="B221" s="327" t="s">
        <v>635</v>
      </c>
      <c r="C221" s="327" t="s">
        <v>636</v>
      </c>
      <c r="D221" s="327" t="s">
        <v>637</v>
      </c>
      <c r="E221" s="233"/>
      <c r="F221" s="233"/>
      <c r="G221" s="233"/>
      <c r="H221" s="231"/>
      <c r="I221" s="231"/>
      <c r="J221" s="231"/>
      <c r="K221" s="231"/>
      <c r="L221" s="231"/>
    </row>
    <row r="222" spans="1:12" s="185" customFormat="1" ht="20.100000000000001" customHeight="1">
      <c r="A222" s="230" t="s">
        <v>638</v>
      </c>
      <c r="B222" s="240"/>
      <c r="C222" s="240"/>
      <c r="D222" s="240"/>
      <c r="E222" s="233"/>
      <c r="F222" s="233"/>
      <c r="G222" s="233"/>
      <c r="H222" s="231"/>
      <c r="I222" s="231"/>
      <c r="J222" s="231"/>
      <c r="K222" s="231"/>
      <c r="L222" s="231"/>
    </row>
    <row r="223" spans="1:12" s="185" customFormat="1" ht="20.100000000000001" customHeight="1">
      <c r="A223" s="230">
        <f>'未确认投资损失测试表G7-16'!B12</f>
        <v>0</v>
      </c>
      <c r="B223" s="277">
        <f>IF('未确认投资损失测试表G7-16'!H12&lt;0,'未确认投资损失测试表G7-16'!H12,0)</f>
        <v>0</v>
      </c>
      <c r="C223" s="277">
        <f>'未确认投资损失测试表G7-16'!I12</f>
        <v>0</v>
      </c>
      <c r="D223" s="277">
        <f>'未确认投资损失测试表G7-16'!J12</f>
        <v>0</v>
      </c>
      <c r="E223" s="233"/>
      <c r="F223" s="233"/>
      <c r="G223" s="233"/>
      <c r="H223" s="231"/>
      <c r="I223" s="231"/>
      <c r="J223" s="231"/>
      <c r="K223" s="231"/>
      <c r="L223" s="231"/>
    </row>
    <row r="224" spans="1:12" s="185" customFormat="1" ht="20.100000000000001" customHeight="1">
      <c r="A224" s="230">
        <f>'未确认投资损失测试表G7-16'!B13</f>
        <v>0</v>
      </c>
      <c r="B224" s="277">
        <f>IF('未确认投资损失测试表G7-16'!H13&lt;0,'未确认投资损失测试表G7-16'!H13,0)</f>
        <v>0</v>
      </c>
      <c r="C224" s="277">
        <f>'未确认投资损失测试表G7-16'!I13</f>
        <v>0</v>
      </c>
      <c r="D224" s="277">
        <f>'未确认投资损失测试表G7-16'!J13</f>
        <v>0</v>
      </c>
      <c r="E224" s="233"/>
      <c r="F224" s="233"/>
      <c r="G224" s="233"/>
      <c r="H224" s="231"/>
      <c r="I224" s="231"/>
      <c r="J224" s="231"/>
      <c r="K224" s="231"/>
      <c r="L224" s="231"/>
    </row>
    <row r="225" spans="1:12" s="185" customFormat="1" ht="20.100000000000001" customHeight="1">
      <c r="A225" s="230">
        <f>'未确认投资损失测试表G7-16'!B14</f>
        <v>0</v>
      </c>
      <c r="B225" s="277">
        <f>IF('未确认投资损失测试表G7-16'!H14&lt;0,'未确认投资损失测试表G7-16'!H14,0)</f>
        <v>0</v>
      </c>
      <c r="C225" s="277">
        <f>'未确认投资损失测试表G7-16'!I14</f>
        <v>0</v>
      </c>
      <c r="D225" s="277">
        <f>'未确认投资损失测试表G7-16'!J14</f>
        <v>0</v>
      </c>
      <c r="E225" s="233"/>
      <c r="F225" s="233"/>
      <c r="G225" s="233"/>
      <c r="H225" s="231"/>
      <c r="I225" s="231"/>
      <c r="J225" s="231"/>
      <c r="K225" s="231"/>
      <c r="L225" s="231"/>
    </row>
    <row r="226" spans="1:12" s="185" customFormat="1" ht="20.100000000000001" customHeight="1">
      <c r="A226" s="269" t="s">
        <v>526</v>
      </c>
      <c r="B226" s="282">
        <f>SUM(B223:B225)</f>
        <v>0</v>
      </c>
      <c r="C226" s="282">
        <f t="shared" ref="C226:D226" si="4">SUM(C223:C225)</f>
        <v>0</v>
      </c>
      <c r="D226" s="282">
        <f t="shared" si="4"/>
        <v>0</v>
      </c>
      <c r="E226" s="233"/>
      <c r="F226" s="233"/>
      <c r="G226" s="233"/>
      <c r="H226" s="231"/>
      <c r="I226" s="231"/>
      <c r="J226" s="231"/>
      <c r="K226" s="231"/>
      <c r="L226" s="231"/>
    </row>
    <row r="227" spans="1:12" s="185" customFormat="1" ht="20.100000000000001" customHeight="1">
      <c r="A227" s="230" t="s">
        <v>639</v>
      </c>
      <c r="B227" s="277"/>
      <c r="C227" s="277"/>
      <c r="D227" s="277"/>
      <c r="E227" s="233"/>
      <c r="F227" s="233"/>
      <c r="G227" s="233"/>
      <c r="H227" s="231"/>
      <c r="I227" s="231"/>
      <c r="J227" s="231"/>
      <c r="K227" s="231"/>
      <c r="L227" s="231"/>
    </row>
    <row r="228" spans="1:12" s="185" customFormat="1" ht="20.100000000000001" customHeight="1">
      <c r="A228" s="230">
        <f>'未确认投资损失测试表G7-16'!B17</f>
        <v>0</v>
      </c>
      <c r="B228" s="277">
        <f>IF('未确认投资损失测试表G7-16'!H17&lt;0,'未确认投资损失测试表G7-16'!H17,0)</f>
        <v>0</v>
      </c>
      <c r="C228" s="277">
        <f>'未确认投资损失测试表G7-16'!I17</f>
        <v>0</v>
      </c>
      <c r="D228" s="277">
        <f>'未确认投资损失测试表G7-16'!J17</f>
        <v>0</v>
      </c>
      <c r="E228" s="233"/>
      <c r="F228" s="233"/>
      <c r="G228" s="233"/>
      <c r="H228" s="231"/>
      <c r="I228" s="231"/>
      <c r="J228" s="231"/>
      <c r="K228" s="231"/>
      <c r="L228" s="231"/>
    </row>
    <row r="229" spans="1:12" s="185" customFormat="1" ht="20.100000000000001" customHeight="1">
      <c r="A229" s="230">
        <f>'未确认投资损失测试表G7-16'!B18</f>
        <v>0</v>
      </c>
      <c r="B229" s="277">
        <f>IF('未确认投资损失测试表G7-16'!H18&lt;0,'未确认投资损失测试表G7-16'!H18,0)</f>
        <v>0</v>
      </c>
      <c r="C229" s="277">
        <f>'未确认投资损失测试表G7-16'!I18</f>
        <v>0</v>
      </c>
      <c r="D229" s="277">
        <f>'未确认投资损失测试表G7-16'!J18</f>
        <v>0</v>
      </c>
      <c r="E229" s="233"/>
      <c r="F229" s="233"/>
      <c r="G229" s="233"/>
      <c r="H229" s="231"/>
      <c r="I229" s="231"/>
      <c r="J229" s="231"/>
      <c r="K229" s="231"/>
      <c r="L229" s="231"/>
    </row>
    <row r="230" spans="1:12" s="185" customFormat="1" ht="20.100000000000001" customHeight="1">
      <c r="A230" s="230">
        <f>'未确认投资损失测试表G7-16'!B19</f>
        <v>0</v>
      </c>
      <c r="B230" s="277">
        <f>IF('未确认投资损失测试表G7-16'!H19&lt;0,'未确认投资损失测试表G7-16'!H19,0)</f>
        <v>0</v>
      </c>
      <c r="C230" s="277">
        <f>'未确认投资损失测试表G7-16'!I19</f>
        <v>0</v>
      </c>
      <c r="D230" s="277">
        <f>'未确认投资损失测试表G7-16'!J19</f>
        <v>0</v>
      </c>
      <c r="E230" s="233"/>
      <c r="F230" s="233"/>
      <c r="G230" s="233"/>
      <c r="H230" s="231"/>
      <c r="I230" s="231"/>
      <c r="J230" s="231"/>
      <c r="K230" s="231"/>
      <c r="L230" s="231"/>
    </row>
    <row r="231" spans="1:12" s="185" customFormat="1" ht="20.100000000000001" customHeight="1" thickBot="1">
      <c r="A231" s="283" t="s">
        <v>526</v>
      </c>
      <c r="B231" s="284">
        <f>SUM(B228:B230)</f>
        <v>0</v>
      </c>
      <c r="C231" s="284">
        <f t="shared" ref="C231:D231" si="5">SUM(C228:C230)</f>
        <v>0</v>
      </c>
      <c r="D231" s="284">
        <f t="shared" si="5"/>
        <v>0</v>
      </c>
      <c r="E231" s="233"/>
      <c r="F231" s="233"/>
      <c r="G231" s="233"/>
      <c r="H231" s="231"/>
      <c r="I231" s="231"/>
      <c r="J231" s="231"/>
      <c r="K231" s="231"/>
      <c r="L231" s="231"/>
    </row>
    <row r="232" spans="1:12" s="185" customFormat="1" ht="20.100000000000001" customHeight="1" thickBot="1">
      <c r="A232" s="285" t="s">
        <v>512</v>
      </c>
      <c r="B232" s="286">
        <f>B226+B231</f>
        <v>0</v>
      </c>
      <c r="C232" s="286">
        <f t="shared" ref="C232:D232" si="6">C226+C231</f>
        <v>0</v>
      </c>
      <c r="D232" s="286">
        <f t="shared" si="6"/>
        <v>0</v>
      </c>
      <c r="E232" s="233"/>
      <c r="F232" s="233"/>
      <c r="G232" s="233"/>
      <c r="H232" s="231"/>
      <c r="I232" s="231"/>
      <c r="J232" s="231"/>
      <c r="K232" s="231"/>
      <c r="L232" s="231"/>
    </row>
    <row r="233" spans="1:12" s="185" customFormat="1" ht="20.100000000000001" customHeight="1">
      <c r="A233" s="903" t="s">
        <v>640</v>
      </c>
      <c r="B233" s="903"/>
      <c r="C233" s="903"/>
      <c r="D233" s="903"/>
      <c r="E233" s="903"/>
      <c r="F233" s="903"/>
      <c r="G233" s="233"/>
      <c r="H233" s="231"/>
      <c r="I233" s="231"/>
      <c r="J233" s="231"/>
      <c r="K233" s="231"/>
      <c r="L233" s="231"/>
    </row>
    <row r="234" spans="1:12" s="185" customFormat="1" ht="20.100000000000001" customHeight="1" thickBot="1">
      <c r="A234" s="232" t="s">
        <v>641</v>
      </c>
      <c r="B234" s="233"/>
      <c r="C234" s="233"/>
      <c r="D234" s="233"/>
      <c r="E234" s="233"/>
      <c r="F234" s="233"/>
      <c r="G234" s="233"/>
      <c r="H234" s="231"/>
      <c r="I234" s="231"/>
      <c r="J234" s="231"/>
      <c r="K234" s="231"/>
      <c r="L234" s="231"/>
    </row>
    <row r="235" spans="1:12" s="185" customFormat="1" ht="20.100000000000001" customHeight="1">
      <c r="A235" s="890" t="s">
        <v>642</v>
      </c>
      <c r="B235" s="890" t="s">
        <v>587</v>
      </c>
      <c r="C235" s="890" t="s">
        <v>532</v>
      </c>
      <c r="D235" s="890" t="s">
        <v>75</v>
      </c>
      <c r="E235" s="890" t="s">
        <v>643</v>
      </c>
      <c r="F235" s="890"/>
      <c r="G235" s="233"/>
      <c r="H235" s="231"/>
      <c r="I235" s="231"/>
      <c r="J235" s="231"/>
      <c r="K235" s="231"/>
      <c r="L235" s="231"/>
    </row>
    <row r="236" spans="1:12" s="185" customFormat="1" ht="20.100000000000001" customHeight="1" thickBot="1">
      <c r="A236" s="891"/>
      <c r="B236" s="891"/>
      <c r="C236" s="891"/>
      <c r="D236" s="891"/>
      <c r="E236" s="326" t="s">
        <v>535</v>
      </c>
      <c r="F236" s="326" t="s">
        <v>536</v>
      </c>
      <c r="G236" s="233"/>
      <c r="H236" s="231"/>
      <c r="I236" s="231"/>
      <c r="J236" s="231"/>
      <c r="K236" s="231"/>
      <c r="L236" s="231"/>
    </row>
    <row r="237" spans="1:12" s="185" customFormat="1" ht="20.100000000000001" customHeight="1">
      <c r="A237" s="267">
        <f>'被投资单位基本信息G7-4'!B35</f>
        <v>0</v>
      </c>
      <c r="B237" s="352">
        <f>'被投资单位基本信息G7-4'!F35</f>
        <v>0</v>
      </c>
      <c r="C237" s="352">
        <f>'被投资单位基本信息G7-4'!G35</f>
        <v>0</v>
      </c>
      <c r="D237" s="352">
        <f>'被投资单位基本信息G7-4'!H35</f>
        <v>0</v>
      </c>
      <c r="E237" s="352">
        <f>'被投资单位基本信息G7-4'!M35</f>
        <v>0</v>
      </c>
      <c r="F237" s="352">
        <f>'被投资单位基本信息G7-4'!N35</f>
        <v>0</v>
      </c>
      <c r="G237" s="233"/>
      <c r="H237" s="231"/>
      <c r="I237" s="231"/>
      <c r="J237" s="231"/>
      <c r="K237" s="231"/>
      <c r="L237" s="231"/>
    </row>
    <row r="238" spans="1:12" s="185" customFormat="1" ht="20.100000000000001" customHeight="1">
      <c r="A238" s="267">
        <f>'被投资单位基本信息G7-4'!B36</f>
        <v>0</v>
      </c>
      <c r="B238" s="352">
        <f>'被投资单位基本信息G7-4'!F36</f>
        <v>0</v>
      </c>
      <c r="C238" s="352">
        <f>'被投资单位基本信息G7-4'!G36</f>
        <v>0</v>
      </c>
      <c r="D238" s="352">
        <f>'被投资单位基本信息G7-4'!H36</f>
        <v>0</v>
      </c>
      <c r="E238" s="352">
        <f>'被投资单位基本信息G7-4'!M36</f>
        <v>0</v>
      </c>
      <c r="F238" s="352">
        <f>'被投资单位基本信息G7-4'!N36</f>
        <v>0</v>
      </c>
      <c r="G238" s="233"/>
      <c r="H238" s="231"/>
      <c r="I238" s="231"/>
      <c r="J238" s="231"/>
      <c r="K238" s="231"/>
      <c r="L238" s="231"/>
    </row>
    <row r="239" spans="1:12" s="185" customFormat="1" ht="20.100000000000001" customHeight="1">
      <c r="A239" s="267">
        <f>'被投资单位基本信息G7-4'!B37</f>
        <v>0</v>
      </c>
      <c r="B239" s="352">
        <f>'被投资单位基本信息G7-4'!F37</f>
        <v>0</v>
      </c>
      <c r="C239" s="352">
        <f>'被投资单位基本信息G7-4'!G37</f>
        <v>0</v>
      </c>
      <c r="D239" s="352">
        <f>'被投资单位基本信息G7-4'!H37</f>
        <v>0</v>
      </c>
      <c r="E239" s="352">
        <f>'被投资单位基本信息G7-4'!M37</f>
        <v>0</v>
      </c>
      <c r="F239" s="352">
        <f>'被投资单位基本信息G7-4'!N37</f>
        <v>0</v>
      </c>
      <c r="G239" s="233"/>
      <c r="H239" s="231"/>
      <c r="I239" s="231"/>
      <c r="J239" s="231"/>
      <c r="K239" s="231"/>
      <c r="L239" s="231"/>
    </row>
    <row r="240" spans="1:12" s="185" customFormat="1" ht="20.100000000000001" customHeight="1" thickBot="1">
      <c r="A240" s="287">
        <f>'被投资单位基本信息G7-4'!B38</f>
        <v>0</v>
      </c>
      <c r="B240" s="355">
        <f>'被投资单位基本信息G7-4'!F38</f>
        <v>0</v>
      </c>
      <c r="C240" s="355">
        <f>'被投资单位基本信息G7-4'!G38</f>
        <v>0</v>
      </c>
      <c r="D240" s="355">
        <f>'被投资单位基本信息G7-4'!H38</f>
        <v>0</v>
      </c>
      <c r="E240" s="355">
        <f>'被投资单位基本信息G7-4'!M38</f>
        <v>0</v>
      </c>
      <c r="F240" s="355">
        <f>'被投资单位基本信息G7-4'!N38</f>
        <v>0</v>
      </c>
      <c r="G240" s="233"/>
      <c r="H240" s="231"/>
      <c r="I240" s="231"/>
      <c r="J240" s="231"/>
      <c r="K240" s="231"/>
      <c r="L240" s="231"/>
    </row>
    <row r="241" spans="1:12" s="185" customFormat="1" ht="20.100000000000001" customHeight="1">
      <c r="A241" s="288" t="s">
        <v>527</v>
      </c>
      <c r="B241" s="233"/>
      <c r="C241" s="233"/>
      <c r="D241" s="233"/>
      <c r="E241" s="233"/>
      <c r="F241" s="233"/>
      <c r="G241" s="233"/>
      <c r="H241" s="231"/>
      <c r="I241" s="231"/>
      <c r="J241" s="231"/>
      <c r="K241" s="231"/>
      <c r="L241" s="231"/>
    </row>
    <row r="242" spans="1:12" s="185" customFormat="1" ht="20.100000000000001" customHeight="1">
      <c r="A242" s="894" t="s">
        <v>644</v>
      </c>
      <c r="B242" s="894"/>
      <c r="C242" s="894"/>
      <c r="D242" s="894"/>
      <c r="E242" s="894"/>
      <c r="F242" s="894"/>
      <c r="G242" s="233"/>
      <c r="H242" s="231"/>
      <c r="I242" s="231"/>
      <c r="J242" s="231"/>
      <c r="K242" s="231"/>
      <c r="L242" s="231"/>
    </row>
    <row r="243" spans="1:12" s="185" customFormat="1" ht="20.100000000000001" customHeight="1">
      <c r="A243" s="894" t="s">
        <v>645</v>
      </c>
      <c r="B243" s="894"/>
      <c r="C243" s="894"/>
      <c r="D243" s="894"/>
      <c r="E243" s="894"/>
      <c r="F243" s="894"/>
      <c r="G243" s="233"/>
      <c r="H243" s="231"/>
      <c r="I243" s="231"/>
      <c r="J243" s="231"/>
      <c r="K243" s="231"/>
      <c r="L243" s="231"/>
    </row>
    <row r="244" spans="1:12" ht="21" customHeight="1"/>
    <row r="245" spans="1:12" ht="21" customHeight="1"/>
    <row r="246" spans="1:12" ht="21" customHeight="1"/>
    <row r="247" spans="1:12" ht="21" customHeight="1"/>
    <row r="248" spans="1:12" ht="21" customHeight="1"/>
    <row r="249" spans="1:12" ht="21" customHeight="1"/>
    <row r="250" spans="1:12" ht="21" customHeight="1"/>
    <row r="251" spans="1:12" ht="21" customHeight="1"/>
    <row r="252" spans="1:12" ht="21" customHeight="1"/>
    <row r="253" spans="1:12" ht="21" customHeight="1"/>
  </sheetData>
  <mergeCells count="79">
    <mergeCell ref="A233:F233"/>
    <mergeCell ref="A242:F242"/>
    <mergeCell ref="A243:F243"/>
    <mergeCell ref="A235:A236"/>
    <mergeCell ref="B235:B236"/>
    <mergeCell ref="C235:C236"/>
    <mergeCell ref="D235:D236"/>
    <mergeCell ref="E235:F235"/>
    <mergeCell ref="A213:F213"/>
    <mergeCell ref="A215:F215"/>
    <mergeCell ref="A216:F216"/>
    <mergeCell ref="A217:F217"/>
    <mergeCell ref="A218:F218"/>
    <mergeCell ref="A189:A190"/>
    <mergeCell ref="B189:C189"/>
    <mergeCell ref="D189:E189"/>
    <mergeCell ref="F189:G189"/>
    <mergeCell ref="A197:G197"/>
    <mergeCell ref="A165:G165"/>
    <mergeCell ref="A166:G166"/>
    <mergeCell ref="A167:G167"/>
    <mergeCell ref="A168:G168"/>
    <mergeCell ref="A169:A170"/>
    <mergeCell ref="B169:C169"/>
    <mergeCell ref="D169:E169"/>
    <mergeCell ref="F169:G169"/>
    <mergeCell ref="A153:A154"/>
    <mergeCell ref="B153:C153"/>
    <mergeCell ref="D153:E153"/>
    <mergeCell ref="F153:G153"/>
    <mergeCell ref="A163:G163"/>
    <mergeCell ref="A131:G131"/>
    <mergeCell ref="A132:A133"/>
    <mergeCell ref="B132:C132"/>
    <mergeCell ref="D132:E132"/>
    <mergeCell ref="F132:G132"/>
    <mergeCell ref="A1:L1"/>
    <mergeCell ref="A2:L2"/>
    <mergeCell ref="G111:G112"/>
    <mergeCell ref="A126:G126"/>
    <mergeCell ref="A130:G130"/>
    <mergeCell ref="D111:D112"/>
    <mergeCell ref="E111:F111"/>
    <mergeCell ref="A127:G127"/>
    <mergeCell ref="A128:G128"/>
    <mergeCell ref="A129:G129"/>
    <mergeCell ref="A8:A11"/>
    <mergeCell ref="B8:B11"/>
    <mergeCell ref="A111:A112"/>
    <mergeCell ref="B111:B112"/>
    <mergeCell ref="C111:C112"/>
    <mergeCell ref="A28:A29"/>
    <mergeCell ref="C28:C29"/>
    <mergeCell ref="D28:D29"/>
    <mergeCell ref="E28:F28"/>
    <mergeCell ref="G28:G29"/>
    <mergeCell ref="B28:B29"/>
    <mergeCell ref="A45:G45"/>
    <mergeCell ref="A46:G46"/>
    <mergeCell ref="A89:I89"/>
    <mergeCell ref="A92:I92"/>
    <mergeCell ref="A94:I94"/>
    <mergeCell ref="A58:A59"/>
    <mergeCell ref="B58:G58"/>
    <mergeCell ref="A66:A67"/>
    <mergeCell ref="B66:G66"/>
    <mergeCell ref="A74:A75"/>
    <mergeCell ref="B74:E74"/>
    <mergeCell ref="F74:I74"/>
    <mergeCell ref="L8:L11"/>
    <mergeCell ref="M8:M11"/>
    <mergeCell ref="C9:C11"/>
    <mergeCell ref="D9:D11"/>
    <mergeCell ref="E9:E11"/>
    <mergeCell ref="H9:H11"/>
    <mergeCell ref="I9:I11"/>
    <mergeCell ref="J9:J11"/>
    <mergeCell ref="K9:K11"/>
    <mergeCell ref="D8:K8"/>
  </mergeCells>
  <phoneticPr fontId="11" type="noConversion"/>
  <pageMargins left="0.70866141732283472" right="0.70866141732283472" top="0.74803149606299213" bottom="0.74803149606299213" header="0.31496062992125984" footer="0.31496062992125984"/>
  <pageSetup paperSize="9" fitToHeight="100" orientation="portrait"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Q355"/>
  <sheetViews>
    <sheetView view="pageBreakPreview" zoomScaleSheetLayoutView="100" workbookViewId="0">
      <selection sqref="A1:L1"/>
    </sheetView>
  </sheetViews>
  <sheetFormatPr defaultColWidth="9" defaultRowHeight="13.8"/>
  <cols>
    <col min="1" max="1" width="15" style="439" customWidth="1"/>
    <col min="2" max="2" width="22" style="439" customWidth="1"/>
    <col min="3" max="3" width="13.8984375" style="439" customWidth="1"/>
    <col min="4" max="4" width="16" style="439" customWidth="1"/>
    <col min="5" max="5" width="16.19921875" style="439" customWidth="1"/>
    <col min="6" max="6" width="17.59765625" style="439" customWidth="1"/>
    <col min="7" max="7" width="14.19921875" style="439" customWidth="1"/>
    <col min="8" max="8" width="13.8984375" style="439" customWidth="1"/>
    <col min="9" max="9" width="15.3984375" style="439" customWidth="1"/>
    <col min="10" max="10" width="14.19921875" style="439" customWidth="1"/>
    <col min="11" max="11" width="13.19921875" style="439" customWidth="1"/>
    <col min="12" max="12" width="13.59765625" style="439" customWidth="1"/>
    <col min="13" max="16384" width="9" style="439"/>
  </cols>
  <sheetData>
    <row r="1" spans="1:15" s="626" customFormat="1" ht="16.95" customHeight="1">
      <c r="A1" s="888" t="s">
        <v>0</v>
      </c>
      <c r="B1" s="888"/>
      <c r="C1" s="888"/>
      <c r="D1" s="888"/>
      <c r="E1" s="888"/>
      <c r="F1" s="888"/>
      <c r="G1" s="888"/>
      <c r="H1" s="888"/>
      <c r="I1" s="888"/>
      <c r="J1" s="888"/>
      <c r="K1" s="888"/>
      <c r="L1" s="888"/>
    </row>
    <row r="2" spans="1:15" s="638" customFormat="1" ht="19.5" customHeight="1">
      <c r="A2" s="889" t="s">
        <v>1286</v>
      </c>
      <c r="B2" s="889"/>
      <c r="C2" s="889"/>
      <c r="D2" s="889"/>
      <c r="E2" s="889"/>
      <c r="F2" s="889"/>
      <c r="G2" s="889"/>
      <c r="H2" s="889"/>
      <c r="I2" s="889"/>
      <c r="J2" s="889"/>
      <c r="K2" s="889"/>
      <c r="L2" s="889"/>
    </row>
    <row r="3" spans="1:15" s="208" customFormat="1" ht="20.100000000000001" customHeight="1">
      <c r="A3" s="207" t="str">
        <f>底稿目录!A2</f>
        <v>被审计单位：</v>
      </c>
      <c r="B3" s="207"/>
      <c r="C3" s="207"/>
      <c r="D3" s="207" t="str">
        <f>底稿目录!A4</f>
        <v>编制人：</v>
      </c>
      <c r="G3" s="678"/>
      <c r="H3" s="207" t="str">
        <f>底稿目录!A5</f>
        <v>编制日期：</v>
      </c>
      <c r="K3" s="678" t="s">
        <v>2</v>
      </c>
      <c r="L3" s="208">
        <f>底稿目录!F7</f>
        <v>0</v>
      </c>
    </row>
    <row r="4" spans="1:15" s="208" customFormat="1" ht="20.100000000000001" customHeight="1">
      <c r="A4" s="207" t="str">
        <f>底稿目录!A3</f>
        <v>截止日：202X年12月31日</v>
      </c>
      <c r="B4" s="207"/>
      <c r="C4" s="207"/>
      <c r="D4" s="207" t="str">
        <f>底稿目录!A6</f>
        <v>复核人：</v>
      </c>
      <c r="G4" s="678"/>
      <c r="H4" s="207" t="str">
        <f>底稿目录!A7</f>
        <v>复核日期：</v>
      </c>
      <c r="K4" s="678" t="s">
        <v>3</v>
      </c>
    </row>
    <row r="5" spans="1:15" s="190" customFormat="1" ht="20.100000000000001" customHeight="1">
      <c r="A5" s="440" t="s">
        <v>507</v>
      </c>
      <c r="B5" s="440"/>
      <c r="C5" s="440"/>
      <c r="D5" s="440"/>
      <c r="E5" s="440"/>
      <c r="F5" s="440"/>
      <c r="G5" s="440"/>
      <c r="H5" s="440"/>
      <c r="I5" s="440"/>
      <c r="J5" s="440"/>
      <c r="K5" s="440"/>
      <c r="L5" s="440"/>
    </row>
    <row r="6" spans="1:15" s="190" customFormat="1" ht="20.100000000000001" customHeight="1">
      <c r="A6" s="441" t="s">
        <v>646</v>
      </c>
      <c r="B6" s="441"/>
      <c r="C6" s="237"/>
      <c r="D6" s="237"/>
      <c r="E6" s="237"/>
      <c r="F6" s="237"/>
      <c r="G6" s="237"/>
      <c r="H6" s="237"/>
      <c r="I6" s="237"/>
      <c r="J6" s="237"/>
      <c r="K6" s="237"/>
      <c r="L6" s="237"/>
      <c r="M6" s="35"/>
      <c r="N6" s="35"/>
      <c r="O6" s="35"/>
    </row>
    <row r="7" spans="1:15" s="190" customFormat="1" ht="20.100000000000001" customHeight="1">
      <c r="A7" s="209" t="s">
        <v>647</v>
      </c>
      <c r="B7" s="209"/>
      <c r="C7" s="237"/>
      <c r="D7" s="237"/>
      <c r="E7" s="237"/>
      <c r="F7" s="237"/>
      <c r="G7" s="237"/>
      <c r="H7" s="237"/>
      <c r="I7" s="237"/>
      <c r="J7" s="237"/>
      <c r="K7" s="237"/>
      <c r="L7" s="237"/>
      <c r="M7" s="35"/>
      <c r="N7" s="35"/>
      <c r="O7" s="35"/>
    </row>
    <row r="8" spans="1:15" s="190" customFormat="1" ht="20.100000000000001" customHeight="1" thickBot="1">
      <c r="A8" s="249" t="s">
        <v>648</v>
      </c>
      <c r="B8" s="249"/>
      <c r="C8" s="237"/>
      <c r="D8" s="237"/>
      <c r="E8" s="237"/>
      <c r="F8" s="237"/>
      <c r="G8" s="237"/>
      <c r="H8" s="237"/>
      <c r="I8" s="237"/>
      <c r="J8" s="237"/>
      <c r="K8" s="237"/>
      <c r="L8" s="237"/>
      <c r="M8" s="35"/>
      <c r="N8" s="35"/>
      <c r="O8" s="35"/>
    </row>
    <row r="9" spans="1:15" s="190" customFormat="1" ht="20.100000000000001" customHeight="1" thickBot="1">
      <c r="A9" s="442" t="s">
        <v>68</v>
      </c>
      <c r="B9" s="442" t="s">
        <v>649</v>
      </c>
      <c r="C9" s="442" t="s">
        <v>650</v>
      </c>
      <c r="D9" s="442" t="s">
        <v>651</v>
      </c>
      <c r="E9" s="442" t="s">
        <v>532</v>
      </c>
      <c r="F9" s="442" t="s">
        <v>652</v>
      </c>
      <c r="G9" s="442" t="s">
        <v>653</v>
      </c>
      <c r="H9" s="442" t="s">
        <v>654</v>
      </c>
      <c r="I9" s="443" t="s">
        <v>865</v>
      </c>
      <c r="J9" s="442" t="s">
        <v>864</v>
      </c>
      <c r="K9" s="442" t="s">
        <v>655</v>
      </c>
      <c r="L9" s="442" t="s">
        <v>656</v>
      </c>
      <c r="M9" s="442" t="s">
        <v>534</v>
      </c>
      <c r="N9" s="35"/>
    </row>
    <row r="10" spans="1:15" s="190" customFormat="1" ht="20.100000000000001" customHeight="1">
      <c r="A10" s="444">
        <v>1</v>
      </c>
      <c r="B10" s="445">
        <f>'被投资单位基本信息G7-4'!B12</f>
        <v>0</v>
      </c>
      <c r="C10" s="245">
        <f>'被投资单位基本信息G7-4'!C12</f>
        <v>0</v>
      </c>
      <c r="D10" s="245">
        <f>'被投资单位基本信息G7-4'!D12</f>
        <v>0</v>
      </c>
      <c r="E10" s="245">
        <f>'被投资单位基本信息G7-4'!G12</f>
        <v>0</v>
      </c>
      <c r="F10" s="245">
        <f>'被投资单位基本信息G7-4'!F12</f>
        <v>0</v>
      </c>
      <c r="G10" s="245">
        <f>'被投资单位基本信息G7-4'!H12</f>
        <v>0</v>
      </c>
      <c r="H10" s="245">
        <f>'被投资单位基本信息G7-4'!I12</f>
        <v>0</v>
      </c>
      <c r="J10" s="446">
        <f>'被投资单位基本信息G7-4'!M12+'被投资单位基本信息G7-4'!N12</f>
        <v>0</v>
      </c>
      <c r="K10" s="446">
        <f>'被投资单位基本信息G7-4'!O12</f>
        <v>0</v>
      </c>
      <c r="L10" s="447">
        <f>'明细表G7-2'!AI16</f>
        <v>0</v>
      </c>
      <c r="M10" s="245">
        <f>'被投资单位基本信息G7-4'!S12</f>
        <v>0</v>
      </c>
      <c r="N10" s="35"/>
    </row>
    <row r="11" spans="1:15" s="190" customFormat="1" ht="20.100000000000001" customHeight="1">
      <c r="A11" s="448">
        <v>2</v>
      </c>
      <c r="B11" s="238">
        <f>'被投资单位基本信息G7-4'!B13</f>
        <v>0</v>
      </c>
      <c r="C11" s="246">
        <f>'被投资单位基本信息G7-4'!C13</f>
        <v>0</v>
      </c>
      <c r="D11" s="246">
        <f>'被投资单位基本信息G7-4'!D13</f>
        <v>0</v>
      </c>
      <c r="E11" s="246">
        <f>'被投资单位基本信息G7-4'!G13</f>
        <v>0</v>
      </c>
      <c r="F11" s="246">
        <f>'被投资单位基本信息G7-4'!F13</f>
        <v>0</v>
      </c>
      <c r="G11" s="246">
        <f>'被投资单位基本信息G7-4'!H13</f>
        <v>0</v>
      </c>
      <c r="H11" s="246">
        <f>'被投资单位基本信息G7-4'!I13</f>
        <v>0</v>
      </c>
      <c r="J11" s="250">
        <f>'被投资单位基本信息G7-4'!M13+'被投资单位基本信息G7-4'!N13</f>
        <v>0</v>
      </c>
      <c r="K11" s="250">
        <f>'被投资单位基本信息G7-4'!O13</f>
        <v>0</v>
      </c>
      <c r="L11" s="251">
        <f>'明细表G7-2'!AI17</f>
        <v>0</v>
      </c>
      <c r="M11" s="246">
        <f>'被投资单位基本信息G7-4'!S13</f>
        <v>0</v>
      </c>
      <c r="N11" s="35"/>
    </row>
    <row r="12" spans="1:15" s="190" customFormat="1" ht="20.100000000000001" customHeight="1">
      <c r="A12" s="448">
        <v>3</v>
      </c>
      <c r="B12" s="238">
        <f>'被投资单位基本信息G7-4'!B14</f>
        <v>0</v>
      </c>
      <c r="C12" s="246">
        <f>'被投资单位基本信息G7-4'!C14</f>
        <v>0</v>
      </c>
      <c r="D12" s="246">
        <f>'被投资单位基本信息G7-4'!D14</f>
        <v>0</v>
      </c>
      <c r="E12" s="246">
        <f>'被投资单位基本信息G7-4'!G14</f>
        <v>0</v>
      </c>
      <c r="F12" s="246">
        <f>'被投资单位基本信息G7-4'!F14</f>
        <v>0</v>
      </c>
      <c r="G12" s="246">
        <f>'被投资单位基本信息G7-4'!H14</f>
        <v>0</v>
      </c>
      <c r="H12" s="246">
        <f>'被投资单位基本信息G7-4'!I14</f>
        <v>0</v>
      </c>
      <c r="J12" s="250">
        <f>'被投资单位基本信息G7-4'!M14+'被投资单位基本信息G7-4'!N14</f>
        <v>0</v>
      </c>
      <c r="K12" s="250">
        <f>'被投资单位基本信息G7-4'!O14</f>
        <v>0</v>
      </c>
      <c r="L12" s="251">
        <f>'明细表G7-2'!AI18</f>
        <v>0</v>
      </c>
      <c r="M12" s="246">
        <f>'被投资单位基本信息G7-4'!S14</f>
        <v>0</v>
      </c>
      <c r="N12" s="35"/>
    </row>
    <row r="13" spans="1:15" s="190" customFormat="1" ht="20.100000000000001" customHeight="1">
      <c r="A13" s="448">
        <v>4</v>
      </c>
      <c r="B13" s="238">
        <f>'被投资单位基本信息G7-4'!B15</f>
        <v>0</v>
      </c>
      <c r="C13" s="246">
        <f>'被投资单位基本信息G7-4'!C15</f>
        <v>0</v>
      </c>
      <c r="D13" s="246">
        <f>'被投资单位基本信息G7-4'!D15</f>
        <v>0</v>
      </c>
      <c r="E13" s="246">
        <f>'被投资单位基本信息G7-4'!G15</f>
        <v>0</v>
      </c>
      <c r="F13" s="246">
        <f>'被投资单位基本信息G7-4'!F15</f>
        <v>0</v>
      </c>
      <c r="G13" s="246">
        <f>'被投资单位基本信息G7-4'!H15</f>
        <v>0</v>
      </c>
      <c r="H13" s="246">
        <f>'被投资单位基本信息G7-4'!I15</f>
        <v>0</v>
      </c>
      <c r="J13" s="250">
        <f>'被投资单位基本信息G7-4'!M15+'被投资单位基本信息G7-4'!N15</f>
        <v>0</v>
      </c>
      <c r="K13" s="250">
        <f>'被投资单位基本信息G7-4'!O15</f>
        <v>0</v>
      </c>
      <c r="L13" s="251">
        <f>'明细表G7-2'!AI19</f>
        <v>0</v>
      </c>
      <c r="M13" s="246">
        <f>'被投资单位基本信息G7-4'!S15</f>
        <v>0</v>
      </c>
      <c r="N13" s="35"/>
    </row>
    <row r="14" spans="1:15" s="190" customFormat="1" ht="20.100000000000001" customHeight="1">
      <c r="A14" s="448">
        <v>5</v>
      </c>
      <c r="B14" s="238">
        <f>'被投资单位基本信息G7-4'!B16</f>
        <v>0</v>
      </c>
      <c r="C14" s="246">
        <f>'被投资单位基本信息G7-4'!C16</f>
        <v>0</v>
      </c>
      <c r="D14" s="246">
        <f>'被投资单位基本信息G7-4'!D16</f>
        <v>0</v>
      </c>
      <c r="E14" s="246">
        <f>'被投资单位基本信息G7-4'!G16</f>
        <v>0</v>
      </c>
      <c r="F14" s="246">
        <f>'被投资单位基本信息G7-4'!F16</f>
        <v>0</v>
      </c>
      <c r="G14" s="246">
        <f>'被投资单位基本信息G7-4'!H16</f>
        <v>0</v>
      </c>
      <c r="H14" s="246">
        <f>'被投资单位基本信息G7-4'!I16</f>
        <v>0</v>
      </c>
      <c r="J14" s="250">
        <f>'被投资单位基本信息G7-4'!M16+'被投资单位基本信息G7-4'!N16</f>
        <v>0</v>
      </c>
      <c r="K14" s="250">
        <f>'被投资单位基本信息G7-4'!O16</f>
        <v>0</v>
      </c>
      <c r="L14" s="251">
        <f>'明细表G7-2'!AI20</f>
        <v>0</v>
      </c>
      <c r="M14" s="246">
        <f>'被投资单位基本信息G7-4'!S16</f>
        <v>0</v>
      </c>
      <c r="N14" s="35"/>
    </row>
    <row r="15" spans="1:15" s="190" customFormat="1" ht="20.100000000000001" customHeight="1">
      <c r="A15" s="448">
        <v>6</v>
      </c>
      <c r="B15" s="238">
        <f>'被投资单位基本信息G7-4'!B17</f>
        <v>0</v>
      </c>
      <c r="C15" s="246">
        <f>'被投资单位基本信息G7-4'!C17</f>
        <v>0</v>
      </c>
      <c r="D15" s="246">
        <f>'被投资单位基本信息G7-4'!D17</f>
        <v>0</v>
      </c>
      <c r="E15" s="246">
        <f>'被投资单位基本信息G7-4'!G17</f>
        <v>0</v>
      </c>
      <c r="F15" s="246">
        <f>'被投资单位基本信息G7-4'!F17</f>
        <v>0</v>
      </c>
      <c r="G15" s="246">
        <f>'被投资单位基本信息G7-4'!H17</f>
        <v>0</v>
      </c>
      <c r="H15" s="246">
        <f>'被投资单位基本信息G7-4'!I17</f>
        <v>0</v>
      </c>
      <c r="J15" s="250">
        <f>'被投资单位基本信息G7-4'!M17+'被投资单位基本信息G7-4'!N17</f>
        <v>0</v>
      </c>
      <c r="K15" s="250">
        <f>'被投资单位基本信息G7-4'!O17</f>
        <v>0</v>
      </c>
      <c r="L15" s="251">
        <f>'明细表G7-2'!AI21</f>
        <v>0</v>
      </c>
      <c r="M15" s="246">
        <f>'被投资单位基本信息G7-4'!S17</f>
        <v>0</v>
      </c>
      <c r="N15" s="35"/>
    </row>
    <row r="16" spans="1:15" s="190" customFormat="1" ht="20.100000000000001" customHeight="1">
      <c r="A16" s="448">
        <v>7</v>
      </c>
      <c r="B16" s="238">
        <f>'被投资单位基本信息G7-4'!B18</f>
        <v>0</v>
      </c>
      <c r="C16" s="246">
        <f>'被投资单位基本信息G7-4'!C18</f>
        <v>0</v>
      </c>
      <c r="D16" s="246">
        <f>'被投资单位基本信息G7-4'!D18</f>
        <v>0</v>
      </c>
      <c r="E16" s="246">
        <f>'被投资单位基本信息G7-4'!G18</f>
        <v>0</v>
      </c>
      <c r="F16" s="246">
        <f>'被投资单位基本信息G7-4'!F18</f>
        <v>0</v>
      </c>
      <c r="G16" s="246">
        <f>'被投资单位基本信息G7-4'!H18</f>
        <v>0</v>
      </c>
      <c r="H16" s="246">
        <f>'被投资单位基本信息G7-4'!I18</f>
        <v>0</v>
      </c>
      <c r="J16" s="250">
        <f>'被投资单位基本信息G7-4'!M18+'被投资单位基本信息G7-4'!N18</f>
        <v>0</v>
      </c>
      <c r="K16" s="250">
        <f>'被投资单位基本信息G7-4'!O18</f>
        <v>0</v>
      </c>
      <c r="L16" s="251">
        <f>'明细表G7-2'!AI22</f>
        <v>0</v>
      </c>
      <c r="M16" s="246">
        <f>'被投资单位基本信息G7-4'!S18</f>
        <v>0</v>
      </c>
      <c r="N16" s="35"/>
    </row>
    <row r="17" spans="1:15" s="190" customFormat="1" ht="20.100000000000001" customHeight="1">
      <c r="A17" s="448">
        <v>8</v>
      </c>
      <c r="B17" s="238">
        <f>'被投资单位基本信息G7-4'!B19</f>
        <v>0</v>
      </c>
      <c r="C17" s="246">
        <f>'被投资单位基本信息G7-4'!C19</f>
        <v>0</v>
      </c>
      <c r="D17" s="246">
        <f>'被投资单位基本信息G7-4'!D19</f>
        <v>0</v>
      </c>
      <c r="E17" s="246">
        <f>'被投资单位基本信息G7-4'!G19</f>
        <v>0</v>
      </c>
      <c r="F17" s="246">
        <f>'被投资单位基本信息G7-4'!F19</f>
        <v>0</v>
      </c>
      <c r="G17" s="246">
        <f>'被投资单位基本信息G7-4'!H19</f>
        <v>0</v>
      </c>
      <c r="H17" s="246">
        <f>'被投资单位基本信息G7-4'!I19</f>
        <v>0</v>
      </c>
      <c r="J17" s="250">
        <f>'被投资单位基本信息G7-4'!M19+'被投资单位基本信息G7-4'!N19</f>
        <v>0</v>
      </c>
      <c r="K17" s="250">
        <f>'被投资单位基本信息G7-4'!O19</f>
        <v>0</v>
      </c>
      <c r="L17" s="251">
        <f>'明细表G7-2'!AI23</f>
        <v>0</v>
      </c>
      <c r="M17" s="246">
        <f>'被投资单位基本信息G7-4'!S19</f>
        <v>0</v>
      </c>
      <c r="N17" s="35"/>
    </row>
    <row r="18" spans="1:15" s="190" customFormat="1" ht="20.100000000000001" customHeight="1">
      <c r="A18" s="448">
        <v>9</v>
      </c>
      <c r="B18" s="238">
        <f>'被投资单位基本信息G7-4'!B20</f>
        <v>0</v>
      </c>
      <c r="C18" s="246">
        <f>'被投资单位基本信息G7-4'!C20</f>
        <v>0</v>
      </c>
      <c r="D18" s="246">
        <f>'被投资单位基本信息G7-4'!D20</f>
        <v>0</v>
      </c>
      <c r="E18" s="246">
        <f>'被投资单位基本信息G7-4'!G20</f>
        <v>0</v>
      </c>
      <c r="F18" s="246">
        <f>'被投资单位基本信息G7-4'!F20</f>
        <v>0</v>
      </c>
      <c r="G18" s="246">
        <f>'被投资单位基本信息G7-4'!H20</f>
        <v>0</v>
      </c>
      <c r="H18" s="246">
        <f>'被投资单位基本信息G7-4'!I20</f>
        <v>0</v>
      </c>
      <c r="J18" s="250">
        <f>'被投资单位基本信息G7-4'!M20+'被投资单位基本信息G7-4'!N20</f>
        <v>0</v>
      </c>
      <c r="K18" s="250">
        <f>'被投资单位基本信息G7-4'!O20</f>
        <v>0</v>
      </c>
      <c r="L18" s="251">
        <f>'明细表G7-2'!AI24</f>
        <v>0</v>
      </c>
      <c r="M18" s="246">
        <f>'被投资单位基本信息G7-4'!S20</f>
        <v>0</v>
      </c>
      <c r="N18" s="35"/>
    </row>
    <row r="19" spans="1:15" s="190" customFormat="1" ht="20.100000000000001" customHeight="1" thickBot="1">
      <c r="A19" s="449">
        <v>10</v>
      </c>
      <c r="B19" s="252" t="str">
        <f>'被投资单位基本信息G7-4'!B21</f>
        <v>……</v>
      </c>
      <c r="C19" s="248">
        <f>'被投资单位基本信息G7-4'!C21</f>
        <v>0</v>
      </c>
      <c r="D19" s="248">
        <f>'被投资单位基本信息G7-4'!D21</f>
        <v>0</v>
      </c>
      <c r="E19" s="248">
        <f>'被投资单位基本信息G7-4'!G21</f>
        <v>0</v>
      </c>
      <c r="F19" s="248">
        <f>'被投资单位基本信息G7-4'!F21</f>
        <v>0</v>
      </c>
      <c r="G19" s="248">
        <f>'被投资单位基本信息G7-4'!H21</f>
        <v>0</v>
      </c>
      <c r="H19" s="450">
        <f>'被投资单位基本信息G7-4'!I21</f>
        <v>0</v>
      </c>
      <c r="I19" s="451"/>
      <c r="J19" s="452">
        <f>'被投资单位基本信息G7-4'!M21+'被投资单位基本信息G7-4'!N21</f>
        <v>0</v>
      </c>
      <c r="K19" s="253">
        <f>'被投资单位基本信息G7-4'!O21</f>
        <v>0</v>
      </c>
      <c r="L19" s="254">
        <f>'明细表G7-2'!AI25</f>
        <v>0</v>
      </c>
      <c r="M19" s="248">
        <f>'被投资单位基本信息G7-4'!S21</f>
        <v>0</v>
      </c>
      <c r="N19" s="35"/>
    </row>
    <row r="20" spans="1:15" s="190" customFormat="1" ht="20.100000000000001" customHeight="1">
      <c r="A20" s="249" t="s">
        <v>657</v>
      </c>
      <c r="B20" s="249"/>
      <c r="C20" s="237"/>
      <c r="D20" s="237"/>
      <c r="E20" s="237"/>
      <c r="F20" s="237"/>
      <c r="G20" s="237"/>
      <c r="H20" s="237"/>
      <c r="I20" s="237"/>
      <c r="J20" s="237"/>
      <c r="K20" s="237"/>
      <c r="L20" s="237"/>
      <c r="M20" s="35"/>
      <c r="N20" s="35"/>
    </row>
    <row r="21" spans="1:15" s="190" customFormat="1" ht="20.100000000000001" customHeight="1">
      <c r="A21" s="249" t="s">
        <v>658</v>
      </c>
      <c r="B21" s="249"/>
      <c r="C21" s="237"/>
      <c r="D21" s="237"/>
      <c r="E21" s="237"/>
      <c r="F21" s="237"/>
      <c r="G21" s="237"/>
      <c r="H21" s="237"/>
      <c r="I21" s="237"/>
      <c r="J21" s="237"/>
      <c r="K21" s="237"/>
      <c r="L21" s="237"/>
      <c r="M21" s="35"/>
      <c r="N21" s="35"/>
      <c r="O21" s="35"/>
    </row>
    <row r="22" spans="1:15" s="190" customFormat="1" ht="20.100000000000001" customHeight="1">
      <c r="A22" s="249" t="s">
        <v>866</v>
      </c>
      <c r="B22" s="249"/>
      <c r="C22" s="237"/>
      <c r="D22" s="237"/>
      <c r="E22" s="237"/>
      <c r="F22" s="237"/>
      <c r="G22" s="237"/>
      <c r="H22" s="237"/>
      <c r="I22" s="237"/>
      <c r="J22" s="237"/>
      <c r="K22" s="237"/>
      <c r="L22" s="237"/>
      <c r="M22" s="35"/>
      <c r="N22" s="35"/>
      <c r="O22" s="35"/>
    </row>
    <row r="23" spans="1:15" s="190" customFormat="1" ht="20.100000000000001" customHeight="1">
      <c r="A23" s="249" t="s">
        <v>867</v>
      </c>
      <c r="B23" s="249"/>
      <c r="C23" s="237"/>
      <c r="D23" s="237"/>
      <c r="E23" s="237"/>
      <c r="F23" s="237"/>
      <c r="G23" s="237"/>
      <c r="H23" s="237"/>
      <c r="I23" s="237"/>
      <c r="J23" s="237"/>
      <c r="K23" s="237"/>
      <c r="L23" s="237"/>
      <c r="M23" s="35"/>
      <c r="N23" s="35"/>
      <c r="O23" s="35"/>
    </row>
    <row r="24" spans="1:15" s="190" customFormat="1" ht="20.100000000000001" customHeight="1" thickBot="1">
      <c r="A24" s="209" t="s">
        <v>659</v>
      </c>
      <c r="B24" s="209"/>
      <c r="C24" s="237"/>
      <c r="D24" s="237"/>
      <c r="E24" s="237"/>
      <c r="F24" s="237"/>
      <c r="G24" s="237"/>
      <c r="H24" s="237"/>
      <c r="I24" s="237"/>
      <c r="J24" s="237"/>
      <c r="K24" s="237"/>
      <c r="L24" s="237"/>
      <c r="M24" s="35"/>
      <c r="N24" s="35"/>
      <c r="O24" s="35"/>
    </row>
    <row r="25" spans="1:15" s="190" customFormat="1" ht="33" customHeight="1">
      <c r="A25" s="442" t="s">
        <v>660</v>
      </c>
      <c r="B25" s="442" t="s">
        <v>661</v>
      </c>
      <c r="C25" s="442" t="s">
        <v>868</v>
      </c>
      <c r="D25" s="442" t="s">
        <v>662</v>
      </c>
      <c r="E25" s="442" t="s">
        <v>663</v>
      </c>
      <c r="F25" s="442" t="s">
        <v>656</v>
      </c>
      <c r="G25" s="442" t="s">
        <v>650</v>
      </c>
      <c r="H25" s="442" t="s">
        <v>664</v>
      </c>
      <c r="I25" s="237"/>
      <c r="J25" s="237"/>
      <c r="K25" s="237"/>
      <c r="L25" s="237"/>
      <c r="M25" s="35"/>
      <c r="N25" s="35"/>
    </row>
    <row r="26" spans="1:15" s="190" customFormat="1" ht="20.100000000000001" customHeight="1">
      <c r="A26" s="238"/>
      <c r="B26" s="238">
        <f>IF('被投资单位基本信息G7-4'!O12&lt;=0.5,'被投资单位基本信息G7-4'!B12,0)</f>
        <v>0</v>
      </c>
      <c r="C26" s="453">
        <f>IF('被投资单位基本信息G7-4'!O12&lt;=0.5,'被投资单位基本信息G7-4'!M12+'被投资单位基本信息G7-4'!N12,0)</f>
        <v>0</v>
      </c>
      <c r="D26" s="453">
        <f>IF('被投资单位基本信息G7-4'!O12&lt;=0.5,'被投资单位基本信息G7-4'!O12,0)</f>
        <v>0</v>
      </c>
      <c r="E26" s="246">
        <f>IF('被投资单位基本信息G7-4'!O12&lt;=0.5,'被投资单位基本信息G7-4'!I12,0)</f>
        <v>0</v>
      </c>
      <c r="F26" s="246">
        <f>IF('被投资单位基本信息G7-4'!O12&lt;=0.5,'被投资单位基本信息G7-4'!J12,0)</f>
        <v>0</v>
      </c>
      <c r="G26" s="246">
        <f>IF('被投资单位基本信息G7-4'!O12&lt;=0.5,'被投资单位基本信息G7-4'!C12,0)</f>
        <v>0</v>
      </c>
      <c r="H26" s="246">
        <f>IF('被投资单位基本信息G7-4'!O12&lt;=0.5,'被投资单位基本信息G7-4'!Q12,0)</f>
        <v>0</v>
      </c>
      <c r="I26" s="237"/>
      <c r="J26" s="237"/>
      <c r="K26" s="237"/>
      <c r="L26" s="237"/>
      <c r="M26" s="35"/>
      <c r="N26" s="35"/>
    </row>
    <row r="27" spans="1:15" s="190" customFormat="1" ht="20.100000000000001" customHeight="1">
      <c r="A27" s="238"/>
      <c r="B27" s="238">
        <f>IF('被投资单位基本信息G7-4'!O13&lt;=0.5,'被投资单位基本信息G7-4'!B13,0)</f>
        <v>0</v>
      </c>
      <c r="C27" s="453">
        <f>IF('被投资单位基本信息G7-4'!O13&lt;=0.5,'被投资单位基本信息G7-4'!M13+'被投资单位基本信息G7-4'!N13,0)</f>
        <v>0</v>
      </c>
      <c r="D27" s="453">
        <f>IF('被投资单位基本信息G7-4'!O13&lt;=0.5,'被投资单位基本信息G7-4'!O13,0)</f>
        <v>0</v>
      </c>
      <c r="E27" s="246">
        <f>IF('被投资单位基本信息G7-4'!O13&lt;=0.5,'被投资单位基本信息G7-4'!I13,0)</f>
        <v>0</v>
      </c>
      <c r="F27" s="246">
        <f>IF('被投资单位基本信息G7-4'!O13&lt;=0.5,'被投资单位基本信息G7-4'!J13,0)</f>
        <v>0</v>
      </c>
      <c r="G27" s="246">
        <f>IF('被投资单位基本信息G7-4'!O13&lt;=0.5,'被投资单位基本信息G7-4'!C13,0)</f>
        <v>0</v>
      </c>
      <c r="H27" s="246">
        <f>IF('被投资单位基本信息G7-4'!O13&lt;=0.5,'被投资单位基本信息G7-4'!Q13,0)</f>
        <v>0</v>
      </c>
      <c r="I27" s="237"/>
      <c r="J27" s="237"/>
      <c r="K27" s="237"/>
      <c r="L27" s="237"/>
      <c r="M27" s="35"/>
      <c r="N27" s="35"/>
    </row>
    <row r="28" spans="1:15" s="190" customFormat="1" ht="20.100000000000001" customHeight="1">
      <c r="A28" s="238"/>
      <c r="B28" s="238">
        <f>IF('被投资单位基本信息G7-4'!O14&lt;=0.5,'被投资单位基本信息G7-4'!B14,0)</f>
        <v>0</v>
      </c>
      <c r="C28" s="453">
        <f>IF('被投资单位基本信息G7-4'!O14&lt;=0.5,'被投资单位基本信息G7-4'!M14+'被投资单位基本信息G7-4'!N14,0)</f>
        <v>0</v>
      </c>
      <c r="D28" s="453">
        <f>IF('被投资单位基本信息G7-4'!O14&lt;=0.5,'被投资单位基本信息G7-4'!O14,0)</f>
        <v>0</v>
      </c>
      <c r="E28" s="246">
        <f>IF('被投资单位基本信息G7-4'!O14&lt;=0.5,'被投资单位基本信息G7-4'!I14,0)</f>
        <v>0</v>
      </c>
      <c r="F28" s="246">
        <f>IF('被投资单位基本信息G7-4'!O14&lt;=0.5,'被投资单位基本信息G7-4'!J14,0)</f>
        <v>0</v>
      </c>
      <c r="G28" s="246">
        <f>IF('被投资单位基本信息G7-4'!O14&lt;=0.5,'被投资单位基本信息G7-4'!C14,0)</f>
        <v>0</v>
      </c>
      <c r="H28" s="246">
        <f>IF('被投资单位基本信息G7-4'!O14&lt;=0.5,'被投资单位基本信息G7-4'!Q14,0)</f>
        <v>0</v>
      </c>
      <c r="I28" s="237"/>
      <c r="J28" s="237"/>
      <c r="K28" s="237"/>
      <c r="L28" s="237"/>
      <c r="M28" s="35"/>
      <c r="N28" s="35"/>
    </row>
    <row r="29" spans="1:15" s="190" customFormat="1" ht="20.100000000000001" customHeight="1">
      <c r="A29" s="238"/>
      <c r="B29" s="238">
        <f>IF('被投资单位基本信息G7-4'!O15&lt;=0.5,'被投资单位基本信息G7-4'!B15,0)</f>
        <v>0</v>
      </c>
      <c r="C29" s="453">
        <f>IF('被投资单位基本信息G7-4'!O15&lt;=0.5,'被投资单位基本信息G7-4'!M15+'被投资单位基本信息G7-4'!N15,0)</f>
        <v>0</v>
      </c>
      <c r="D29" s="453">
        <f>IF('被投资单位基本信息G7-4'!O15&lt;=0.5,'被投资单位基本信息G7-4'!O15,0)</f>
        <v>0</v>
      </c>
      <c r="E29" s="246">
        <f>IF('被投资单位基本信息G7-4'!O15&lt;=0.5,'被投资单位基本信息G7-4'!I15,0)</f>
        <v>0</v>
      </c>
      <c r="F29" s="246">
        <f>IF('被投资单位基本信息G7-4'!O15&lt;=0.5,'被投资单位基本信息G7-4'!J15,0)</f>
        <v>0</v>
      </c>
      <c r="G29" s="246">
        <f>IF('被投资单位基本信息G7-4'!O15&lt;=0.5,'被投资单位基本信息G7-4'!C15,0)</f>
        <v>0</v>
      </c>
      <c r="H29" s="246">
        <f>IF('被投资单位基本信息G7-4'!O15&lt;=0.5,'被投资单位基本信息G7-4'!Q15,0)</f>
        <v>0</v>
      </c>
      <c r="I29" s="237"/>
      <c r="J29" s="237"/>
      <c r="K29" s="237"/>
      <c r="L29" s="237"/>
      <c r="M29" s="35"/>
      <c r="N29" s="35"/>
    </row>
    <row r="30" spans="1:15" s="190" customFormat="1" ht="20.100000000000001" customHeight="1">
      <c r="A30" s="238"/>
      <c r="B30" s="238">
        <f>IF('被投资单位基本信息G7-4'!O16&lt;=0.5,'被投资单位基本信息G7-4'!B16,0)</f>
        <v>0</v>
      </c>
      <c r="C30" s="453">
        <f>IF('被投资单位基本信息G7-4'!O16&lt;=0.5,'被投资单位基本信息G7-4'!M16+'被投资单位基本信息G7-4'!N16,0)</f>
        <v>0</v>
      </c>
      <c r="D30" s="453">
        <f>IF('被投资单位基本信息G7-4'!O16&lt;=0.5,'被投资单位基本信息G7-4'!O16,0)</f>
        <v>0</v>
      </c>
      <c r="E30" s="246">
        <f>IF('被投资单位基本信息G7-4'!O16&lt;=0.5,'被投资单位基本信息G7-4'!I16,0)</f>
        <v>0</v>
      </c>
      <c r="F30" s="246">
        <f>IF('被投资单位基本信息G7-4'!O16&lt;=0.5,'被投资单位基本信息G7-4'!J16,0)</f>
        <v>0</v>
      </c>
      <c r="G30" s="246">
        <f>IF('被投资单位基本信息G7-4'!O16&lt;=0.5,'被投资单位基本信息G7-4'!C16,0)</f>
        <v>0</v>
      </c>
      <c r="H30" s="246">
        <f>IF('被投资单位基本信息G7-4'!O16&lt;=0.5,'被投资单位基本信息G7-4'!Q16,0)</f>
        <v>0</v>
      </c>
      <c r="I30" s="237"/>
      <c r="J30" s="237"/>
      <c r="K30" s="237"/>
      <c r="L30" s="237"/>
      <c r="M30" s="35"/>
      <c r="N30" s="35"/>
    </row>
    <row r="31" spans="1:15" s="190" customFormat="1" ht="20.100000000000001" customHeight="1">
      <c r="A31" s="238"/>
      <c r="B31" s="238">
        <f>IF('被投资单位基本信息G7-4'!O17&lt;=0.5,'被投资单位基本信息G7-4'!B17,0)</f>
        <v>0</v>
      </c>
      <c r="C31" s="453">
        <f>IF('被投资单位基本信息G7-4'!O17&lt;=0.5,'被投资单位基本信息G7-4'!M17+'被投资单位基本信息G7-4'!N17,0)</f>
        <v>0</v>
      </c>
      <c r="D31" s="453">
        <f>IF('被投资单位基本信息G7-4'!O17&lt;=0.5,'被投资单位基本信息G7-4'!O17,0)</f>
        <v>0</v>
      </c>
      <c r="E31" s="246">
        <f>IF('被投资单位基本信息G7-4'!O17&lt;=0.5,'被投资单位基本信息G7-4'!I17,0)</f>
        <v>0</v>
      </c>
      <c r="F31" s="246">
        <f>IF('被投资单位基本信息G7-4'!O17&lt;=0.5,'被投资单位基本信息G7-4'!J17,0)</f>
        <v>0</v>
      </c>
      <c r="G31" s="246">
        <f>IF('被投资单位基本信息G7-4'!O17&lt;=0.5,'被投资单位基本信息G7-4'!C17,0)</f>
        <v>0</v>
      </c>
      <c r="H31" s="246">
        <f>IF('被投资单位基本信息G7-4'!O17&lt;=0.5,'被投资单位基本信息G7-4'!Q17,0)</f>
        <v>0</v>
      </c>
      <c r="I31" s="237"/>
      <c r="J31" s="237"/>
      <c r="K31" s="237"/>
      <c r="L31" s="237"/>
      <c r="M31" s="35"/>
      <c r="N31" s="35"/>
    </row>
    <row r="32" spans="1:15" s="190" customFormat="1" ht="20.100000000000001" customHeight="1">
      <c r="A32" s="238"/>
      <c r="B32" s="238">
        <f>IF('被投资单位基本信息G7-4'!O18&lt;=0.5,'被投资单位基本信息G7-4'!B18,0)</f>
        <v>0</v>
      </c>
      <c r="C32" s="453">
        <f>IF('被投资单位基本信息G7-4'!O18&lt;=0.5,'被投资单位基本信息G7-4'!M18+'被投资单位基本信息G7-4'!N18,0)</f>
        <v>0</v>
      </c>
      <c r="D32" s="453">
        <f>IF('被投资单位基本信息G7-4'!O18&lt;=0.5,'被投资单位基本信息G7-4'!O18,0)</f>
        <v>0</v>
      </c>
      <c r="E32" s="246">
        <f>IF('被投资单位基本信息G7-4'!O18&lt;=0.5,'被投资单位基本信息G7-4'!I18,0)</f>
        <v>0</v>
      </c>
      <c r="F32" s="246">
        <f>IF('被投资单位基本信息G7-4'!O18&lt;=0.5,'被投资单位基本信息G7-4'!J18,0)</f>
        <v>0</v>
      </c>
      <c r="G32" s="246">
        <f>IF('被投资单位基本信息G7-4'!O18&lt;=0.5,'被投资单位基本信息G7-4'!C18,0)</f>
        <v>0</v>
      </c>
      <c r="H32" s="246">
        <f>IF('被投资单位基本信息G7-4'!O18&lt;=0.5,'被投资单位基本信息G7-4'!Q18,0)</f>
        <v>0</v>
      </c>
      <c r="I32" s="237"/>
      <c r="J32" s="237"/>
      <c r="K32" s="237"/>
      <c r="L32" s="237"/>
      <c r="M32" s="35"/>
      <c r="N32" s="35"/>
    </row>
    <row r="33" spans="1:14" s="190" customFormat="1" ht="20.100000000000001" customHeight="1">
      <c r="A33" s="238"/>
      <c r="B33" s="238">
        <f>IF('被投资单位基本信息G7-4'!O19&lt;=0.5,'被投资单位基本信息G7-4'!B19,0)</f>
        <v>0</v>
      </c>
      <c r="C33" s="453">
        <f>IF('被投资单位基本信息G7-4'!O19&lt;=0.5,'被投资单位基本信息G7-4'!M19+'被投资单位基本信息G7-4'!N19,0)</f>
        <v>0</v>
      </c>
      <c r="D33" s="453">
        <f>IF('被投资单位基本信息G7-4'!O19&lt;=0.5,'被投资单位基本信息G7-4'!O19,0)</f>
        <v>0</v>
      </c>
      <c r="E33" s="246">
        <f>IF('被投资单位基本信息G7-4'!O19&lt;=0.5,'被投资单位基本信息G7-4'!I19,0)</f>
        <v>0</v>
      </c>
      <c r="F33" s="246">
        <f>IF('被投资单位基本信息G7-4'!O19&lt;=0.5,'被投资单位基本信息G7-4'!J19,0)</f>
        <v>0</v>
      </c>
      <c r="G33" s="246">
        <f>IF('被投资单位基本信息G7-4'!O19&lt;=0.5,'被投资单位基本信息G7-4'!C19,0)</f>
        <v>0</v>
      </c>
      <c r="H33" s="246">
        <f>IF('被投资单位基本信息G7-4'!O19&lt;=0.5,'被投资单位基本信息G7-4'!Q19,0)</f>
        <v>0</v>
      </c>
      <c r="I33" s="237"/>
      <c r="J33" s="237"/>
      <c r="K33" s="237"/>
      <c r="L33" s="237"/>
      <c r="M33" s="35"/>
      <c r="N33" s="35"/>
    </row>
    <row r="34" spans="1:14" s="190" customFormat="1" ht="20.100000000000001" customHeight="1">
      <c r="A34" s="238"/>
      <c r="B34" s="238">
        <f>IF('被投资单位基本信息G7-4'!O20&lt;=0.5,'被投资单位基本信息G7-4'!B20,0)</f>
        <v>0</v>
      </c>
      <c r="C34" s="453">
        <f>IF('被投资单位基本信息G7-4'!O20&lt;=0.5,'被投资单位基本信息G7-4'!M20+'被投资单位基本信息G7-4'!N20,0)</f>
        <v>0</v>
      </c>
      <c r="D34" s="453">
        <f>IF('被投资单位基本信息G7-4'!O20&lt;=0.5,'被投资单位基本信息G7-4'!O20,0)</f>
        <v>0</v>
      </c>
      <c r="E34" s="246">
        <f>IF('被投资单位基本信息G7-4'!O20&lt;=0.5,'被投资单位基本信息G7-4'!I20,0)</f>
        <v>0</v>
      </c>
      <c r="F34" s="246">
        <f>IF('被投资单位基本信息G7-4'!O20&lt;=0.5,'被投资单位基本信息G7-4'!J20,0)</f>
        <v>0</v>
      </c>
      <c r="G34" s="246">
        <f>IF('被投资单位基本信息G7-4'!O20&lt;=0.5,'被投资单位基本信息G7-4'!C20,0)</f>
        <v>0</v>
      </c>
      <c r="H34" s="246">
        <f>IF('被投资单位基本信息G7-4'!O20&lt;=0.5,'被投资单位基本信息G7-4'!Q20,0)</f>
        <v>0</v>
      </c>
      <c r="I34" s="237"/>
      <c r="J34" s="237"/>
      <c r="K34" s="237"/>
      <c r="L34" s="237"/>
      <c r="M34" s="35"/>
      <c r="N34" s="35"/>
    </row>
    <row r="35" spans="1:14" s="190" customFormat="1" ht="20.100000000000001" customHeight="1" thickBot="1">
      <c r="A35" s="252"/>
      <c r="B35" s="252" t="str">
        <f>IF('被投资单位基本信息G7-4'!O21&lt;=0.5,'被投资单位基本信息G7-4'!B21,0)</f>
        <v>……</v>
      </c>
      <c r="C35" s="454">
        <f>IF('被投资单位基本信息G7-4'!O21&lt;=0.5,'被投资单位基本信息G7-4'!M21+'被投资单位基本信息G7-4'!N21,0)</f>
        <v>0</v>
      </c>
      <c r="D35" s="454">
        <f>IF('被投资单位基本信息G7-4'!O21&lt;=0.5,'被投资单位基本信息G7-4'!O21,0)</f>
        <v>0</v>
      </c>
      <c r="E35" s="248">
        <f>IF('被投资单位基本信息G7-4'!O21&lt;=0.5,'被投资单位基本信息G7-4'!I21,0)</f>
        <v>0</v>
      </c>
      <c r="F35" s="248">
        <f>IF('被投资单位基本信息G7-4'!O21&lt;=0.5,'被投资单位基本信息G7-4'!J21,0)</f>
        <v>0</v>
      </c>
      <c r="G35" s="248">
        <f>IF('被投资单位基本信息G7-4'!O21&lt;=0.5,'被投资单位基本信息G7-4'!C21,0)</f>
        <v>0</v>
      </c>
      <c r="H35" s="248">
        <f>IF('被投资单位基本信息G7-4'!O21&lt;=0.5,'被投资单位基本信息G7-4'!Q21,0)</f>
        <v>0</v>
      </c>
      <c r="I35" s="237"/>
      <c r="J35" s="237"/>
      <c r="K35" s="237"/>
      <c r="L35" s="237"/>
      <c r="M35" s="35"/>
      <c r="N35" s="35"/>
    </row>
    <row r="36" spans="1:14" s="190" customFormat="1" ht="20.100000000000001" customHeight="1" thickBot="1">
      <c r="A36" s="209" t="s">
        <v>665</v>
      </c>
      <c r="B36" s="209"/>
      <c r="C36" s="237"/>
      <c r="D36" s="237"/>
      <c r="E36" s="237"/>
      <c r="F36" s="237"/>
      <c r="G36" s="237"/>
      <c r="H36" s="237"/>
      <c r="I36" s="237"/>
      <c r="J36" s="237"/>
      <c r="K36" s="237"/>
      <c r="L36" s="237"/>
      <c r="M36" s="35"/>
      <c r="N36" s="35"/>
    </row>
    <row r="37" spans="1:14" s="190" customFormat="1" ht="36" customHeight="1" thickBot="1">
      <c r="A37" s="455" t="s">
        <v>660</v>
      </c>
      <c r="B37" s="455" t="s">
        <v>661</v>
      </c>
      <c r="C37" s="455" t="s">
        <v>869</v>
      </c>
      <c r="D37" s="455" t="s">
        <v>662</v>
      </c>
      <c r="E37" s="455" t="s">
        <v>666</v>
      </c>
      <c r="F37" s="455" t="s">
        <v>656</v>
      </c>
      <c r="G37" s="455" t="s">
        <v>650</v>
      </c>
      <c r="H37" s="455" t="s">
        <v>667</v>
      </c>
      <c r="I37" s="237"/>
      <c r="J37" s="237"/>
      <c r="K37" s="237"/>
      <c r="L37" s="237"/>
      <c r="M37" s="35"/>
      <c r="N37" s="35"/>
    </row>
    <row r="38" spans="1:14" s="190" customFormat="1" ht="20.100000000000001" customHeight="1">
      <c r="A38" s="256"/>
      <c r="B38" s="256" t="s">
        <v>668</v>
      </c>
      <c r="C38" s="456"/>
      <c r="D38" s="456"/>
      <c r="E38" s="456"/>
      <c r="F38" s="456"/>
      <c r="G38" s="456"/>
      <c r="H38" s="456"/>
      <c r="I38" s="237"/>
      <c r="J38" s="237"/>
      <c r="K38" s="237"/>
      <c r="L38" s="237"/>
      <c r="M38" s="35"/>
      <c r="N38" s="35"/>
    </row>
    <row r="39" spans="1:14" s="190" customFormat="1" ht="20.100000000000001" customHeight="1">
      <c r="A39" s="256"/>
      <c r="B39" s="256">
        <f>IF('被投资单位基本信息G7-4'!M23+'被投资单位基本信息G7-4'!N23&gt;0.5,'被投资单位基本信息G7-4'!B23,0)</f>
        <v>0</v>
      </c>
      <c r="C39" s="457">
        <f>IF('被投资单位基本信息G7-4'!M23+'被投资单位基本信息G7-4'!N23&gt;0.5,'被投资单位基本信息G7-4'!M23+'被投资单位基本信息G7-4'!N23,0)</f>
        <v>0</v>
      </c>
      <c r="D39" s="457">
        <f>IF('被投资单位基本信息G7-4'!M23+'被投资单位基本信息G7-4'!N23&gt;0.5,'被投资单位基本信息G7-4'!O23,0)</f>
        <v>0</v>
      </c>
      <c r="E39" s="456">
        <f>IF('被投资单位基本信息G7-4'!M23+'被投资单位基本信息G7-4'!N23&gt;0.5,'被投资单位基本信息G7-4'!I23,0)</f>
        <v>0</v>
      </c>
      <c r="F39" s="456">
        <f>IF('被投资单位基本信息G7-4'!M23+'被投资单位基本信息G7-4'!N23&gt;0.5,'被投资单位基本信息G7-4'!J23,0)</f>
        <v>0</v>
      </c>
      <c r="G39" s="456">
        <f>IF('被投资单位基本信息G7-4'!M23+'被投资单位基本信息G7-4'!N23&gt;0.5,'被投资单位基本信息G7-4'!C23,0)</f>
        <v>0</v>
      </c>
      <c r="H39" s="456">
        <f>IF('被投资单位基本信息G7-4'!M23+'被投资单位基本信息G7-4'!N23&gt;0.5,'被投资单位基本信息G7-4'!R23,0)</f>
        <v>0</v>
      </c>
      <c r="I39" s="237"/>
      <c r="J39" s="237"/>
      <c r="K39" s="237"/>
      <c r="L39" s="237"/>
      <c r="M39" s="35"/>
      <c r="N39" s="35"/>
    </row>
    <row r="40" spans="1:14" s="190" customFormat="1" ht="20.100000000000001" customHeight="1">
      <c r="A40" s="256"/>
      <c r="B40" s="256">
        <f>IF('被投资单位基本信息G7-4'!M24+'被投资单位基本信息G7-4'!N24&gt;0.5,'被投资单位基本信息G7-4'!B24,0)</f>
        <v>0</v>
      </c>
      <c r="C40" s="457">
        <f>IF('被投资单位基本信息G7-4'!M24+'被投资单位基本信息G7-4'!N24&gt;0.5,'被投资单位基本信息G7-4'!M24+'被投资单位基本信息G7-4'!N24,0)</f>
        <v>0</v>
      </c>
      <c r="D40" s="457">
        <f>IF('被投资单位基本信息G7-4'!M24+'被投资单位基本信息G7-4'!N24&gt;0.5,'被投资单位基本信息G7-4'!O24,0)</f>
        <v>0</v>
      </c>
      <c r="E40" s="456">
        <f>IF('被投资单位基本信息G7-4'!M24+'被投资单位基本信息G7-4'!N24&gt;0.5,'被投资单位基本信息G7-4'!I24,0)</f>
        <v>0</v>
      </c>
      <c r="F40" s="456">
        <f>IF('被投资单位基本信息G7-4'!M24+'被投资单位基本信息G7-4'!N24&gt;0.5,'被投资单位基本信息G7-4'!J24,0)</f>
        <v>0</v>
      </c>
      <c r="G40" s="456">
        <f>IF('被投资单位基本信息G7-4'!M24+'被投资单位基本信息G7-4'!N24&gt;0.5,'被投资单位基本信息G7-4'!C24,0)</f>
        <v>0</v>
      </c>
      <c r="H40" s="456">
        <f>IF('被投资单位基本信息G7-4'!M24+'被投资单位基本信息G7-4'!N24&gt;0.5,'被投资单位基本信息G7-4'!R24,0)</f>
        <v>0</v>
      </c>
      <c r="I40" s="237"/>
      <c r="J40" s="237"/>
      <c r="K40" s="237"/>
      <c r="L40" s="237"/>
      <c r="M40" s="35"/>
      <c r="N40" s="35"/>
    </row>
    <row r="41" spans="1:14" s="190" customFormat="1" ht="20.100000000000001" customHeight="1">
      <c r="A41" s="256"/>
      <c r="B41" s="256">
        <f>IF('被投资单位基本信息G7-4'!M25+'被投资单位基本信息G7-4'!N25&gt;0.5,'被投资单位基本信息G7-4'!B25,0)</f>
        <v>0</v>
      </c>
      <c r="C41" s="457">
        <f>IF('被投资单位基本信息G7-4'!M25+'被投资单位基本信息G7-4'!N25&gt;0.5,'被投资单位基本信息G7-4'!M25+'被投资单位基本信息G7-4'!N25,0)</f>
        <v>0</v>
      </c>
      <c r="D41" s="457">
        <f>IF('被投资单位基本信息G7-4'!M25+'被投资单位基本信息G7-4'!N25&gt;0.5,'被投资单位基本信息G7-4'!O25,0)</f>
        <v>0</v>
      </c>
      <c r="E41" s="456">
        <f>IF('被投资单位基本信息G7-4'!M25+'被投资单位基本信息G7-4'!N25&gt;0.5,'被投资单位基本信息G7-4'!I25,0)</f>
        <v>0</v>
      </c>
      <c r="F41" s="456">
        <f>IF('被投资单位基本信息G7-4'!M25+'被投资单位基本信息G7-4'!N25&gt;0.5,'被投资单位基本信息G7-4'!J25,0)</f>
        <v>0</v>
      </c>
      <c r="G41" s="456">
        <f>IF('被投资单位基本信息G7-4'!M25+'被投资单位基本信息G7-4'!N25&gt;0.5,'被投资单位基本信息G7-4'!C25,0)</f>
        <v>0</v>
      </c>
      <c r="H41" s="456">
        <f>IF('被投资单位基本信息G7-4'!M25+'被投资单位基本信息G7-4'!N25&gt;0.5,'被投资单位基本信息G7-4'!R25,0)</f>
        <v>0</v>
      </c>
      <c r="I41" s="237"/>
      <c r="J41" s="237"/>
      <c r="K41" s="237"/>
      <c r="L41" s="237"/>
      <c r="M41" s="35"/>
      <c r="N41" s="35"/>
    </row>
    <row r="42" spans="1:14" s="190" customFormat="1" ht="20.100000000000001" customHeight="1">
      <c r="A42" s="256"/>
      <c r="B42" s="256">
        <f>IF('被投资单位基本信息G7-4'!M26+'被投资单位基本信息G7-4'!N26&gt;0.5,'被投资单位基本信息G7-4'!B26,0)</f>
        <v>0</v>
      </c>
      <c r="C42" s="457">
        <f>IF('被投资单位基本信息G7-4'!M26+'被投资单位基本信息G7-4'!N26&gt;0.5,'被投资单位基本信息G7-4'!M26+'被投资单位基本信息G7-4'!N26,0)</f>
        <v>0</v>
      </c>
      <c r="D42" s="457">
        <f>IF('被投资单位基本信息G7-4'!M26+'被投资单位基本信息G7-4'!N26&gt;0.5,'被投资单位基本信息G7-4'!O26,0)</f>
        <v>0</v>
      </c>
      <c r="E42" s="456">
        <f>IF('被投资单位基本信息G7-4'!M26+'被投资单位基本信息G7-4'!N26&gt;0.5,'被投资单位基本信息G7-4'!I26,0)</f>
        <v>0</v>
      </c>
      <c r="F42" s="456">
        <f>IF('被投资单位基本信息G7-4'!M26+'被投资单位基本信息G7-4'!N26&gt;0.5,'被投资单位基本信息G7-4'!J26,0)</f>
        <v>0</v>
      </c>
      <c r="G42" s="456">
        <f>IF('被投资单位基本信息G7-4'!M26+'被投资单位基本信息G7-4'!N26&gt;0.5,'被投资单位基本信息G7-4'!C26,0)</f>
        <v>0</v>
      </c>
      <c r="H42" s="456">
        <f>IF('被投资单位基本信息G7-4'!M26+'被投资单位基本信息G7-4'!N26&gt;0.5,'被投资单位基本信息G7-4'!R26,0)</f>
        <v>0</v>
      </c>
      <c r="I42" s="237"/>
      <c r="J42" s="237"/>
      <c r="K42" s="237"/>
      <c r="L42" s="237"/>
      <c r="M42" s="35"/>
      <c r="N42" s="35"/>
    </row>
    <row r="43" spans="1:14" s="190" customFormat="1" ht="20.100000000000001" customHeight="1">
      <c r="A43" s="256"/>
      <c r="B43" s="256">
        <f>IF('被投资单位基本信息G7-4'!M27+'被投资单位基本信息G7-4'!N27&gt;0.5,'被投资单位基本信息G7-4'!B27,0)</f>
        <v>0</v>
      </c>
      <c r="C43" s="457">
        <f>IF('被投资单位基本信息G7-4'!M27+'被投资单位基本信息G7-4'!N27&gt;0.5,'被投资单位基本信息G7-4'!M27+'被投资单位基本信息G7-4'!N27,0)</f>
        <v>0</v>
      </c>
      <c r="D43" s="457">
        <f>IF('被投资单位基本信息G7-4'!M27+'被投资单位基本信息G7-4'!N27&gt;0.5,'被投资单位基本信息G7-4'!O27,0)</f>
        <v>0</v>
      </c>
      <c r="E43" s="456">
        <f>IF('被投资单位基本信息G7-4'!M27+'被投资单位基本信息G7-4'!N27&gt;0.5,'被投资单位基本信息G7-4'!I27,0)</f>
        <v>0</v>
      </c>
      <c r="F43" s="456">
        <f>IF('被投资单位基本信息G7-4'!M27+'被投资单位基本信息G7-4'!N27&gt;0.5,'被投资单位基本信息G7-4'!J27,0)</f>
        <v>0</v>
      </c>
      <c r="G43" s="456">
        <f>IF('被投资单位基本信息G7-4'!M27+'被投资单位基本信息G7-4'!N27&gt;0.5,'被投资单位基本信息G7-4'!C27,0)</f>
        <v>0</v>
      </c>
      <c r="H43" s="456">
        <f>IF('被投资单位基本信息G7-4'!M27+'被投资单位基本信息G7-4'!N27&gt;0.5,'被投资单位基本信息G7-4'!R27,0)</f>
        <v>0</v>
      </c>
      <c r="I43" s="237"/>
      <c r="J43" s="237"/>
      <c r="K43" s="237"/>
      <c r="L43" s="237"/>
      <c r="M43" s="35"/>
      <c r="N43" s="35"/>
    </row>
    <row r="44" spans="1:14" s="190" customFormat="1" ht="20.100000000000001" customHeight="1">
      <c r="A44" s="256"/>
      <c r="B44" s="256" t="s">
        <v>669</v>
      </c>
      <c r="C44" s="457"/>
      <c r="D44" s="457"/>
      <c r="E44" s="456"/>
      <c r="F44" s="456"/>
      <c r="G44" s="456"/>
      <c r="H44" s="456"/>
      <c r="I44" s="237"/>
      <c r="J44" s="237"/>
      <c r="K44" s="237"/>
      <c r="L44" s="237"/>
      <c r="M44" s="35"/>
      <c r="N44" s="35"/>
    </row>
    <row r="45" spans="1:14" s="190" customFormat="1" ht="20.100000000000001" customHeight="1">
      <c r="A45" s="256"/>
      <c r="B45" s="256">
        <f>IF('被投资单位基本信息G7-4'!M29+'被投资单位基本信息G7-4'!N29&gt;0.5,'被投资单位基本信息G7-4'!B29,0)</f>
        <v>0</v>
      </c>
      <c r="C45" s="457">
        <f>IF('被投资单位基本信息G7-4'!M29+'被投资单位基本信息G7-4'!N29&gt;0.5,'被投资单位基本信息G7-4'!M29+'被投资单位基本信息G7-4'!N29,0)</f>
        <v>0</v>
      </c>
      <c r="D45" s="457">
        <f>IF('被投资单位基本信息G7-4'!M29+'被投资单位基本信息G7-4'!N29&gt;0.5,'被投资单位基本信息G7-4'!O29+'被投资单位基本信息G7-4'!N29,0)</f>
        <v>0</v>
      </c>
      <c r="E45" s="456">
        <f>IF('被投资单位基本信息G7-4'!M29+'被投资单位基本信息G7-4'!N29&gt;0.5,'被投资单位基本信息G7-4'!I29,0)</f>
        <v>0</v>
      </c>
      <c r="F45" s="456">
        <f>IF('被投资单位基本信息G7-4'!M29+'被投资单位基本信息G7-4'!N29&gt;0.5,'被投资单位基本信息G7-4'!J29,0)</f>
        <v>0</v>
      </c>
      <c r="G45" s="456">
        <f>IF('被投资单位基本信息G7-4'!M29+'被投资单位基本信息G7-4'!N29&gt;0.5,'被投资单位基本信息G7-4'!C29,0)</f>
        <v>0</v>
      </c>
      <c r="H45" s="456">
        <f>IF('被投资单位基本信息G7-4'!M29+'被投资单位基本信息G7-4'!N29&gt;0.5,'被投资单位基本信息G7-4'!R29,0)</f>
        <v>0</v>
      </c>
      <c r="I45" s="237"/>
      <c r="J45" s="237"/>
      <c r="K45" s="237"/>
      <c r="L45" s="237"/>
      <c r="M45" s="35"/>
      <c r="N45" s="35"/>
    </row>
    <row r="46" spans="1:14" s="190" customFormat="1" ht="20.100000000000001" customHeight="1">
      <c r="A46" s="256"/>
      <c r="B46" s="256">
        <f>IF('被投资单位基本信息G7-4'!M30+'被投资单位基本信息G7-4'!N30&gt;0.5,'被投资单位基本信息G7-4'!B30,0)</f>
        <v>0</v>
      </c>
      <c r="C46" s="457">
        <f>IF('被投资单位基本信息G7-4'!M30+'被投资单位基本信息G7-4'!N30&gt;0.5,'被投资单位基本信息G7-4'!M30+'被投资单位基本信息G7-4'!N30,0)</f>
        <v>0</v>
      </c>
      <c r="D46" s="457">
        <f>IF('被投资单位基本信息G7-4'!M30+'被投资单位基本信息G7-4'!N30&gt;0.5,'被投资单位基本信息G7-4'!O30+'被投资单位基本信息G7-4'!N30,0)</f>
        <v>0</v>
      </c>
      <c r="E46" s="456">
        <f>IF('被投资单位基本信息G7-4'!M30+'被投资单位基本信息G7-4'!N30&gt;0.5,'被投资单位基本信息G7-4'!I30,0)</f>
        <v>0</v>
      </c>
      <c r="F46" s="456">
        <f>IF('被投资单位基本信息G7-4'!M30+'被投资单位基本信息G7-4'!N30&gt;0.5,'被投资单位基本信息G7-4'!J30,0)</f>
        <v>0</v>
      </c>
      <c r="G46" s="456">
        <f>IF('被投资单位基本信息G7-4'!M30+'被投资单位基本信息G7-4'!N30&gt;0.5,'被投资单位基本信息G7-4'!C30,0)</f>
        <v>0</v>
      </c>
      <c r="H46" s="456">
        <f>IF('被投资单位基本信息G7-4'!M30+'被投资单位基本信息G7-4'!N30&gt;0.5,'被投资单位基本信息G7-4'!R30,0)</f>
        <v>0</v>
      </c>
      <c r="I46" s="237"/>
      <c r="J46" s="237"/>
      <c r="K46" s="237"/>
      <c r="L46" s="237"/>
      <c r="M46" s="35"/>
      <c r="N46" s="35"/>
    </row>
    <row r="47" spans="1:14" s="190" customFormat="1" ht="20.100000000000001" customHeight="1">
      <c r="A47" s="256"/>
      <c r="B47" s="256">
        <f>IF('被投资单位基本信息G7-4'!M31+'被投资单位基本信息G7-4'!N31&gt;0.5,'被投资单位基本信息G7-4'!B31,0)</f>
        <v>0</v>
      </c>
      <c r="C47" s="457">
        <f>IF('被投资单位基本信息G7-4'!M31+'被投资单位基本信息G7-4'!N31&gt;0.5,'被投资单位基本信息G7-4'!M31+'被投资单位基本信息G7-4'!N31,0)</f>
        <v>0</v>
      </c>
      <c r="D47" s="457">
        <f>IF('被投资单位基本信息G7-4'!M31+'被投资单位基本信息G7-4'!N31&gt;0.5,'被投资单位基本信息G7-4'!O31+'被投资单位基本信息G7-4'!N31,0)</f>
        <v>0</v>
      </c>
      <c r="E47" s="456">
        <f>IF('被投资单位基本信息G7-4'!M31+'被投资单位基本信息G7-4'!N31&gt;0.5,'被投资单位基本信息G7-4'!I31,0)</f>
        <v>0</v>
      </c>
      <c r="F47" s="456">
        <f>IF('被投资单位基本信息G7-4'!M31+'被投资单位基本信息G7-4'!N31&gt;0.5,'被投资单位基本信息G7-4'!J31,0)</f>
        <v>0</v>
      </c>
      <c r="G47" s="456">
        <f>IF('被投资单位基本信息G7-4'!M31+'被投资单位基本信息G7-4'!N31&gt;0.5,'被投资单位基本信息G7-4'!C31,0)</f>
        <v>0</v>
      </c>
      <c r="H47" s="456">
        <f>IF('被投资单位基本信息G7-4'!M31+'被投资单位基本信息G7-4'!N31&gt;0.5,'被投资单位基本信息G7-4'!R31,0)</f>
        <v>0</v>
      </c>
      <c r="I47" s="237"/>
      <c r="J47" s="237"/>
      <c r="K47" s="237"/>
      <c r="L47" s="237"/>
      <c r="M47" s="35"/>
      <c r="N47" s="35"/>
    </row>
    <row r="48" spans="1:14" s="190" customFormat="1" ht="20.100000000000001" customHeight="1">
      <c r="A48" s="256"/>
      <c r="B48" s="256">
        <f>IF('被投资单位基本信息G7-4'!M32+'被投资单位基本信息G7-4'!N32&gt;0.5,'被投资单位基本信息G7-4'!B32,0)</f>
        <v>0</v>
      </c>
      <c r="C48" s="457">
        <f>IF('被投资单位基本信息G7-4'!M32+'被投资单位基本信息G7-4'!N32&gt;0.5,'被投资单位基本信息G7-4'!M32+'被投资单位基本信息G7-4'!N32,0)</f>
        <v>0</v>
      </c>
      <c r="D48" s="457">
        <f>IF('被投资单位基本信息G7-4'!M32+'被投资单位基本信息G7-4'!N32&gt;0.5,'被投资单位基本信息G7-4'!O32+'被投资单位基本信息G7-4'!N32,0)</f>
        <v>0</v>
      </c>
      <c r="E48" s="456">
        <f>IF('被投资单位基本信息G7-4'!M32+'被投资单位基本信息G7-4'!N32&gt;0.5,'被投资单位基本信息G7-4'!I32,0)</f>
        <v>0</v>
      </c>
      <c r="F48" s="456">
        <f>IF('被投资单位基本信息G7-4'!M32+'被投资单位基本信息G7-4'!N32&gt;0.5,'被投资单位基本信息G7-4'!J32,0)</f>
        <v>0</v>
      </c>
      <c r="G48" s="456">
        <f>IF('被投资单位基本信息G7-4'!M32+'被投资单位基本信息G7-4'!N32&gt;0.5,'被投资单位基本信息G7-4'!C32,0)</f>
        <v>0</v>
      </c>
      <c r="H48" s="456">
        <f>IF('被投资单位基本信息G7-4'!M32+'被投资单位基本信息G7-4'!N32&gt;0.5,'被投资单位基本信息G7-4'!R32,0)</f>
        <v>0</v>
      </c>
      <c r="I48" s="237"/>
      <c r="J48" s="237"/>
      <c r="K48" s="237"/>
      <c r="L48" s="237"/>
      <c r="M48" s="35"/>
      <c r="N48" s="35"/>
    </row>
    <row r="49" spans="1:15" s="190" customFormat="1" ht="20.100000000000001" customHeight="1">
      <c r="A49" s="256"/>
      <c r="B49" s="256">
        <f>IF('被投资单位基本信息G7-4'!M33+'被投资单位基本信息G7-4'!N33&gt;0.5,'被投资单位基本信息G7-4'!B33,0)</f>
        <v>0</v>
      </c>
      <c r="C49" s="457">
        <f>IF('被投资单位基本信息G7-4'!M33+'被投资单位基本信息G7-4'!N33&gt;0.5,'被投资单位基本信息G7-4'!M33+'被投资单位基本信息G7-4'!N33,0)</f>
        <v>0</v>
      </c>
      <c r="D49" s="457">
        <f>IF('被投资单位基本信息G7-4'!M33+'被投资单位基本信息G7-4'!N33&gt;0.5,'被投资单位基本信息G7-4'!O33+'被投资单位基本信息G7-4'!N33,0)</f>
        <v>0</v>
      </c>
      <c r="E49" s="456">
        <f>IF('被投资单位基本信息G7-4'!M33+'被投资单位基本信息G7-4'!N33&gt;0.5,'被投资单位基本信息G7-4'!I33,0)</f>
        <v>0</v>
      </c>
      <c r="F49" s="456">
        <f>IF('被投资单位基本信息G7-4'!M33+'被投资单位基本信息G7-4'!N33&gt;0.5,'被投资单位基本信息G7-4'!J33,0)</f>
        <v>0</v>
      </c>
      <c r="G49" s="456">
        <f>IF('被投资单位基本信息G7-4'!M33+'被投资单位基本信息G7-4'!N33&gt;0.5,'被投资单位基本信息G7-4'!C33,0)</f>
        <v>0</v>
      </c>
      <c r="H49" s="456">
        <f>IF('被投资单位基本信息G7-4'!M33+'被投资单位基本信息G7-4'!N33&gt;0.5,'被投资单位基本信息G7-4'!R33,0)</f>
        <v>0</v>
      </c>
      <c r="I49" s="237"/>
      <c r="J49" s="237"/>
      <c r="K49" s="237"/>
      <c r="L49" s="237"/>
      <c r="M49" s="35"/>
      <c r="N49" s="35"/>
    </row>
    <row r="50" spans="1:15" s="190" customFormat="1" ht="20.100000000000001" customHeight="1">
      <c r="A50" s="256"/>
      <c r="B50" s="256" t="s">
        <v>670</v>
      </c>
      <c r="C50" s="457"/>
      <c r="D50" s="457"/>
      <c r="E50" s="456"/>
      <c r="F50" s="456"/>
      <c r="G50" s="456"/>
      <c r="H50" s="456"/>
      <c r="I50" s="237"/>
      <c r="J50" s="237"/>
      <c r="K50" s="237"/>
      <c r="L50" s="237"/>
      <c r="M50" s="35"/>
      <c r="N50" s="35"/>
    </row>
    <row r="51" spans="1:15" s="190" customFormat="1" ht="20.100000000000001" customHeight="1">
      <c r="A51" s="256"/>
      <c r="B51" s="458" t="e">
        <f>'被投资单位基本信息G7-4'!#REF!</f>
        <v>#REF!</v>
      </c>
      <c r="C51" s="457"/>
      <c r="D51" s="457"/>
      <c r="E51" s="456"/>
      <c r="F51" s="456"/>
      <c r="G51" s="456"/>
      <c r="H51" s="456"/>
      <c r="I51" s="237"/>
      <c r="J51" s="237"/>
      <c r="K51" s="237"/>
      <c r="L51" s="237"/>
      <c r="M51" s="35"/>
      <c r="N51" s="35"/>
    </row>
    <row r="52" spans="1:15" s="190" customFormat="1" ht="20.100000000000001" customHeight="1" thickBot="1">
      <c r="A52" s="459"/>
      <c r="B52" s="460" t="e">
        <f>'被投资单位基本信息G7-4'!#REF!</f>
        <v>#REF!</v>
      </c>
      <c r="C52" s="459"/>
      <c r="D52" s="461"/>
      <c r="E52" s="461"/>
      <c r="F52" s="461"/>
      <c r="G52" s="461"/>
      <c r="H52" s="461"/>
      <c r="I52" s="237"/>
      <c r="J52" s="237"/>
      <c r="K52" s="237"/>
      <c r="L52" s="237"/>
      <c r="M52" s="35"/>
      <c r="N52" s="35"/>
    </row>
    <row r="53" spans="1:15" s="190" customFormat="1" ht="20.100000000000001" customHeight="1">
      <c r="A53" s="209" t="s">
        <v>671</v>
      </c>
      <c r="B53" s="209"/>
      <c r="C53" s="237"/>
      <c r="D53" s="237"/>
      <c r="E53" s="237"/>
      <c r="F53" s="237"/>
      <c r="G53" s="237"/>
      <c r="H53" s="237"/>
      <c r="I53" s="237"/>
      <c r="J53" s="237"/>
      <c r="K53" s="237"/>
      <c r="L53" s="237"/>
      <c r="M53" s="35"/>
      <c r="N53" s="35"/>
      <c r="O53" s="35"/>
    </row>
    <row r="54" spans="1:15" s="190" customFormat="1" ht="20.100000000000001" customHeight="1" thickBot="1">
      <c r="A54" s="90" t="s">
        <v>870</v>
      </c>
      <c r="B54" s="209"/>
      <c r="C54" s="237"/>
      <c r="D54" s="237"/>
      <c r="E54" s="237"/>
      <c r="F54" s="237"/>
      <c r="G54" s="237"/>
      <c r="H54" s="237"/>
      <c r="I54" s="237"/>
      <c r="J54" s="237"/>
      <c r="K54" s="237"/>
      <c r="L54" s="237"/>
      <c r="M54" s="35"/>
      <c r="N54" s="35"/>
      <c r="O54" s="35"/>
    </row>
    <row r="55" spans="1:15" s="190" customFormat="1" ht="36.75" customHeight="1" thickBot="1">
      <c r="A55" s="442" t="s">
        <v>660</v>
      </c>
      <c r="B55" s="442" t="s">
        <v>661</v>
      </c>
      <c r="C55" s="442" t="s">
        <v>672</v>
      </c>
      <c r="D55" s="442" t="s">
        <v>673</v>
      </c>
      <c r="E55" s="442" t="s">
        <v>674</v>
      </c>
      <c r="F55" s="442" t="s">
        <v>675</v>
      </c>
      <c r="G55" s="456"/>
      <c r="H55" s="456"/>
      <c r="I55" s="237"/>
      <c r="J55" s="237"/>
      <c r="K55" s="237"/>
      <c r="L55" s="237"/>
      <c r="M55" s="35"/>
      <c r="N55" s="35"/>
    </row>
    <row r="56" spans="1:15" s="190" customFormat="1" ht="20.100000000000001" customHeight="1">
      <c r="A56" s="445"/>
      <c r="B56" s="445"/>
      <c r="C56" s="462"/>
      <c r="D56" s="447"/>
      <c r="E56" s="447"/>
      <c r="F56" s="447"/>
      <c r="G56" s="237"/>
      <c r="H56" s="237"/>
      <c r="I56" s="237"/>
      <c r="J56" s="237"/>
      <c r="K56" s="237"/>
      <c r="L56" s="237"/>
      <c r="M56" s="35"/>
    </row>
    <row r="57" spans="1:15" s="190" customFormat="1" ht="20.100000000000001" customHeight="1">
      <c r="A57" s="238"/>
      <c r="B57" s="238"/>
      <c r="C57" s="463"/>
      <c r="D57" s="251"/>
      <c r="E57" s="251"/>
      <c r="F57" s="251"/>
      <c r="G57" s="237"/>
      <c r="H57" s="237"/>
      <c r="I57" s="237"/>
      <c r="J57" s="237"/>
      <c r="K57" s="237"/>
      <c r="L57" s="237"/>
      <c r="M57" s="35"/>
    </row>
    <row r="58" spans="1:15" s="190" customFormat="1" ht="20.100000000000001" customHeight="1">
      <c r="A58" s="238"/>
      <c r="B58" s="238"/>
      <c r="C58" s="463"/>
      <c r="D58" s="251"/>
      <c r="E58" s="251"/>
      <c r="F58" s="251"/>
      <c r="G58" s="237"/>
      <c r="H58" s="237"/>
      <c r="I58" s="237"/>
      <c r="J58" s="237"/>
      <c r="K58" s="237"/>
      <c r="L58" s="237"/>
      <c r="M58" s="35"/>
    </row>
    <row r="59" spans="1:15" s="190" customFormat="1" ht="20.100000000000001" customHeight="1">
      <c r="A59" s="238"/>
      <c r="B59" s="238"/>
      <c r="C59" s="463"/>
      <c r="D59" s="251"/>
      <c r="E59" s="251"/>
      <c r="F59" s="251"/>
      <c r="G59" s="237"/>
      <c r="H59" s="237"/>
      <c r="I59" s="237"/>
      <c r="J59" s="237"/>
      <c r="K59" s="237"/>
      <c r="L59" s="237"/>
      <c r="M59" s="35"/>
    </row>
    <row r="60" spans="1:15" s="190" customFormat="1" ht="20.100000000000001" customHeight="1" thickBot="1">
      <c r="A60" s="252"/>
      <c r="B60" s="252"/>
      <c r="C60" s="464"/>
      <c r="D60" s="254"/>
      <c r="E60" s="254"/>
      <c r="F60" s="254"/>
      <c r="G60" s="237"/>
      <c r="H60" s="237"/>
      <c r="I60" s="237"/>
      <c r="J60" s="237"/>
      <c r="K60" s="237"/>
      <c r="L60" s="237"/>
      <c r="M60" s="35"/>
    </row>
    <row r="61" spans="1:15" s="190" customFormat="1" ht="20.100000000000001" customHeight="1" thickBot="1">
      <c r="A61" s="209" t="s">
        <v>871</v>
      </c>
      <c r="B61" s="209"/>
      <c r="C61" s="237"/>
      <c r="D61" s="237"/>
      <c r="E61" s="237"/>
      <c r="F61" s="237"/>
      <c r="G61" s="237"/>
      <c r="H61" s="237"/>
      <c r="I61" s="237"/>
      <c r="J61" s="237"/>
      <c r="K61" s="237"/>
      <c r="L61" s="237"/>
      <c r="M61" s="35"/>
      <c r="N61" s="35"/>
      <c r="O61" s="35"/>
    </row>
    <row r="62" spans="1:15" s="190" customFormat="1" ht="20.100000000000001" customHeight="1">
      <c r="A62" s="921" t="s">
        <v>509</v>
      </c>
      <c r="B62" s="921"/>
      <c r="C62" s="919"/>
      <c r="D62" s="919"/>
      <c r="E62" s="919"/>
      <c r="F62" s="919"/>
      <c r="G62" s="919"/>
      <c r="H62" s="919"/>
      <c r="I62" s="919"/>
      <c r="J62" s="919"/>
      <c r="K62" s="919"/>
      <c r="L62" s="919"/>
    </row>
    <row r="63" spans="1:15" s="190" customFormat="1" ht="20.100000000000001" customHeight="1" thickBot="1">
      <c r="A63" s="922"/>
      <c r="B63" s="922"/>
      <c r="C63" s="465" t="s">
        <v>872</v>
      </c>
      <c r="D63" s="465" t="s">
        <v>873</v>
      </c>
      <c r="E63" s="465" t="s">
        <v>872</v>
      </c>
      <c r="F63" s="465" t="s">
        <v>873</v>
      </c>
      <c r="G63" s="465" t="s">
        <v>872</v>
      </c>
      <c r="H63" s="465" t="s">
        <v>873</v>
      </c>
      <c r="I63" s="465" t="s">
        <v>872</v>
      </c>
      <c r="J63" s="465" t="s">
        <v>873</v>
      </c>
      <c r="K63" s="465" t="s">
        <v>872</v>
      </c>
      <c r="L63" s="465" t="s">
        <v>873</v>
      </c>
    </row>
    <row r="64" spans="1:15" s="190" customFormat="1" ht="20.100000000000001" customHeight="1">
      <c r="A64" s="920" t="s">
        <v>56</v>
      </c>
      <c r="B64" s="920"/>
      <c r="C64" s="466"/>
      <c r="D64" s="466"/>
      <c r="E64" s="466"/>
      <c r="F64" s="466"/>
      <c r="G64" s="466"/>
      <c r="H64" s="466"/>
      <c r="I64" s="466"/>
      <c r="J64" s="466"/>
      <c r="K64" s="466"/>
      <c r="L64" s="466"/>
    </row>
    <row r="65" spans="1:15" s="190" customFormat="1" ht="20.100000000000001" customHeight="1">
      <c r="A65" s="884" t="s">
        <v>57</v>
      </c>
      <c r="B65" s="884"/>
      <c r="C65" s="466"/>
      <c r="D65" s="466"/>
      <c r="E65" s="466"/>
      <c r="F65" s="466"/>
      <c r="G65" s="466"/>
      <c r="H65" s="466"/>
      <c r="I65" s="466"/>
      <c r="J65" s="466"/>
      <c r="K65" s="466"/>
      <c r="L65" s="466"/>
    </row>
    <row r="66" spans="1:15" s="190" customFormat="1" ht="20.100000000000001" customHeight="1">
      <c r="A66" s="926" t="s">
        <v>58</v>
      </c>
      <c r="B66" s="926"/>
      <c r="C66" s="466"/>
      <c r="D66" s="466"/>
      <c r="E66" s="466"/>
      <c r="F66" s="466"/>
      <c r="G66" s="466"/>
      <c r="H66" s="466"/>
      <c r="I66" s="466"/>
      <c r="J66" s="466"/>
      <c r="K66" s="466"/>
      <c r="L66" s="466"/>
    </row>
    <row r="67" spans="1:15" s="190" customFormat="1" ht="20.100000000000001" customHeight="1">
      <c r="A67" s="884" t="s">
        <v>59</v>
      </c>
      <c r="B67" s="884"/>
      <c r="C67" s="466"/>
      <c r="D67" s="466"/>
      <c r="E67" s="466"/>
      <c r="F67" s="466"/>
      <c r="G67" s="466"/>
      <c r="H67" s="466"/>
      <c r="I67" s="466"/>
      <c r="J67" s="466"/>
      <c r="K67" s="466"/>
      <c r="L67" s="466"/>
    </row>
    <row r="68" spans="1:15" s="190" customFormat="1" ht="20.100000000000001" customHeight="1">
      <c r="A68" s="884" t="s">
        <v>60</v>
      </c>
      <c r="B68" s="884"/>
      <c r="C68" s="466"/>
      <c r="D68" s="466"/>
      <c r="E68" s="466"/>
      <c r="F68" s="466"/>
      <c r="G68" s="466"/>
      <c r="H68" s="466"/>
      <c r="I68" s="466"/>
      <c r="J68" s="466"/>
      <c r="K68" s="466"/>
      <c r="L68" s="466"/>
    </row>
    <row r="69" spans="1:15" s="190" customFormat="1" ht="20.100000000000001" customHeight="1">
      <c r="A69" s="926" t="s">
        <v>61</v>
      </c>
      <c r="B69" s="926"/>
      <c r="C69" s="466"/>
      <c r="D69" s="466"/>
      <c r="E69" s="466"/>
      <c r="F69" s="466"/>
      <c r="G69" s="466"/>
      <c r="H69" s="466"/>
      <c r="I69" s="466"/>
      <c r="J69" s="466"/>
      <c r="K69" s="466"/>
      <c r="L69" s="466"/>
    </row>
    <row r="70" spans="1:15" s="190" customFormat="1" ht="20.100000000000001" customHeight="1">
      <c r="A70" s="884" t="s">
        <v>62</v>
      </c>
      <c r="B70" s="884"/>
      <c r="C70" s="466"/>
      <c r="D70" s="466"/>
      <c r="E70" s="466"/>
      <c r="F70" s="466"/>
      <c r="G70" s="466"/>
      <c r="H70" s="466"/>
      <c r="I70" s="466"/>
      <c r="J70" s="466"/>
      <c r="K70" s="466"/>
      <c r="L70" s="466"/>
    </row>
    <row r="71" spans="1:15" s="190" customFormat="1" ht="20.100000000000001" customHeight="1">
      <c r="A71" s="884" t="s">
        <v>63</v>
      </c>
      <c r="B71" s="884"/>
      <c r="C71" s="466"/>
      <c r="D71" s="466"/>
      <c r="E71" s="466"/>
      <c r="F71" s="466"/>
      <c r="G71" s="466"/>
      <c r="H71" s="466"/>
      <c r="I71" s="466"/>
      <c r="J71" s="466"/>
      <c r="K71" s="466"/>
      <c r="L71" s="466"/>
    </row>
    <row r="72" spans="1:15" s="190" customFormat="1" ht="20.100000000000001" customHeight="1">
      <c r="A72" s="884" t="s">
        <v>64</v>
      </c>
      <c r="B72" s="884"/>
      <c r="C72" s="466"/>
      <c r="D72" s="466"/>
      <c r="E72" s="466"/>
      <c r="F72" s="466"/>
      <c r="G72" s="466"/>
      <c r="H72" s="466"/>
      <c r="I72" s="466"/>
      <c r="J72" s="466"/>
      <c r="K72" s="466"/>
      <c r="L72" s="466"/>
    </row>
    <row r="73" spans="1:15" s="190" customFormat="1" ht="20.100000000000001" customHeight="1" thickBot="1">
      <c r="A73" s="927" t="s">
        <v>106</v>
      </c>
      <c r="B73" s="927"/>
      <c r="C73" s="467"/>
      <c r="D73" s="467"/>
      <c r="E73" s="467"/>
      <c r="F73" s="467"/>
      <c r="G73" s="467"/>
      <c r="H73" s="467"/>
      <c r="I73" s="467"/>
      <c r="J73" s="467"/>
      <c r="K73" s="467"/>
      <c r="L73" s="467"/>
    </row>
    <row r="74" spans="1:15" s="190" customFormat="1" ht="20.100000000000001" customHeight="1">
      <c r="A74" s="249" t="s">
        <v>557</v>
      </c>
      <c r="B74" s="249"/>
      <c r="C74" s="237"/>
      <c r="D74" s="237"/>
      <c r="E74" s="237"/>
      <c r="F74" s="237"/>
      <c r="G74" s="237"/>
      <c r="H74" s="237"/>
      <c r="I74" s="237"/>
      <c r="J74" s="237"/>
      <c r="K74" s="237"/>
      <c r="L74" s="237"/>
      <c r="M74" s="35"/>
      <c r="N74" s="35"/>
      <c r="O74" s="35"/>
    </row>
    <row r="75" spans="1:15" s="190" customFormat="1" ht="20.100000000000001" customHeight="1">
      <c r="A75" s="90" t="s">
        <v>874</v>
      </c>
      <c r="B75" s="249"/>
      <c r="C75" s="237"/>
      <c r="D75" s="237"/>
      <c r="E75" s="237"/>
      <c r="F75" s="237"/>
      <c r="G75" s="237"/>
      <c r="H75" s="237"/>
      <c r="I75" s="237"/>
      <c r="J75" s="237"/>
      <c r="K75" s="237"/>
      <c r="L75" s="237"/>
      <c r="M75" s="35"/>
      <c r="N75" s="35"/>
      <c r="O75" s="35"/>
    </row>
    <row r="76" spans="1:15" s="190" customFormat="1" ht="20.100000000000001" customHeight="1">
      <c r="A76" s="90" t="s">
        <v>880</v>
      </c>
      <c r="B76" s="209"/>
      <c r="C76" s="237"/>
      <c r="D76" s="237"/>
      <c r="E76" s="237"/>
      <c r="F76" s="237"/>
      <c r="G76" s="237"/>
      <c r="H76" s="237"/>
      <c r="I76" s="237"/>
      <c r="J76" s="237"/>
      <c r="K76" s="237"/>
      <c r="L76" s="237"/>
      <c r="M76" s="35"/>
      <c r="N76" s="35"/>
      <c r="O76" s="35"/>
    </row>
    <row r="77" spans="1:15" s="190" customFormat="1" ht="20.100000000000001" customHeight="1" thickBot="1">
      <c r="A77" s="209" t="s">
        <v>679</v>
      </c>
      <c r="B77" s="209"/>
      <c r="C77" s="237"/>
      <c r="D77" s="237"/>
      <c r="E77" s="237"/>
      <c r="F77" s="237"/>
      <c r="G77" s="237"/>
      <c r="H77" s="237"/>
      <c r="I77" s="237"/>
      <c r="J77" s="237"/>
      <c r="K77" s="237"/>
      <c r="L77" s="237"/>
      <c r="M77" s="35"/>
      <c r="N77" s="35"/>
      <c r="O77" s="35"/>
    </row>
    <row r="78" spans="1:15" s="190" customFormat="1" ht="50.25" customHeight="1" thickBot="1">
      <c r="A78" s="468" t="s">
        <v>660</v>
      </c>
      <c r="B78" s="468" t="s">
        <v>649</v>
      </c>
      <c r="C78" s="468" t="s">
        <v>532</v>
      </c>
      <c r="D78" s="468" t="s">
        <v>75</v>
      </c>
      <c r="E78" s="468" t="s">
        <v>680</v>
      </c>
      <c r="F78" s="468" t="s">
        <v>681</v>
      </c>
      <c r="G78" s="468" t="s">
        <v>682</v>
      </c>
      <c r="H78" s="237"/>
      <c r="I78" s="237"/>
      <c r="J78" s="237"/>
      <c r="K78" s="237"/>
      <c r="L78" s="237"/>
      <c r="M78" s="35"/>
      <c r="N78" s="35"/>
    </row>
    <row r="79" spans="1:15" s="190" customFormat="1" ht="20.100000000000001" customHeight="1">
      <c r="A79" s="444">
        <v>1</v>
      </c>
      <c r="B79" s="445">
        <f>'处置子公司测试表（不包含一揽子交易）G7-11'!B9</f>
        <v>0</v>
      </c>
      <c r="C79" s="445">
        <f>'处置子公司测试表（不包含一揽子交易）G7-11'!C9</f>
        <v>0</v>
      </c>
      <c r="D79" s="245">
        <f>'处置子公司测试表（不包含一揽子交易）G7-11'!D9</f>
        <v>0</v>
      </c>
      <c r="E79" s="245">
        <f>'处置子公司测试表（不包含一揽子交易）G7-11'!E9</f>
        <v>0</v>
      </c>
      <c r="F79" s="245">
        <f>'处置子公司测试表（不包含一揽子交易）G7-11'!F9</f>
        <v>0</v>
      </c>
      <c r="G79" s="245">
        <f>'处置子公司测试表（不包含一揽子交易）G7-11'!G9</f>
        <v>0</v>
      </c>
      <c r="H79" s="237"/>
      <c r="I79" s="237"/>
      <c r="J79" s="237"/>
      <c r="K79" s="237"/>
      <c r="L79" s="237"/>
      <c r="M79" s="35"/>
      <c r="N79" s="35"/>
    </row>
    <row r="80" spans="1:15" s="190" customFormat="1" ht="20.100000000000001" customHeight="1">
      <c r="A80" s="448">
        <v>2</v>
      </c>
      <c r="B80" s="238">
        <f>'处置子公司测试表（不包含一揽子交易）G7-11'!B10</f>
        <v>0</v>
      </c>
      <c r="C80" s="238">
        <f>'处置子公司测试表（不包含一揽子交易）G7-11'!C10</f>
        <v>0</v>
      </c>
      <c r="D80" s="246">
        <f>'处置子公司测试表（不包含一揽子交易）G7-11'!D10</f>
        <v>0</v>
      </c>
      <c r="E80" s="246">
        <f>'处置子公司测试表（不包含一揽子交易）G7-11'!E10</f>
        <v>0</v>
      </c>
      <c r="F80" s="246">
        <f>'处置子公司测试表（不包含一揽子交易）G7-11'!F10</f>
        <v>0</v>
      </c>
      <c r="G80" s="246">
        <f>'处置子公司测试表（不包含一揽子交易）G7-11'!G10</f>
        <v>0</v>
      </c>
      <c r="H80" s="237"/>
      <c r="I80" s="237"/>
      <c r="J80" s="237"/>
      <c r="K80" s="237"/>
      <c r="L80" s="237"/>
      <c r="M80" s="35"/>
      <c r="N80" s="35"/>
    </row>
    <row r="81" spans="1:15" s="190" customFormat="1" ht="20.100000000000001" customHeight="1">
      <c r="A81" s="448">
        <v>3</v>
      </c>
      <c r="B81" s="238">
        <f>'处置子公司测试表（不包含一揽子交易）G7-11'!B11</f>
        <v>0</v>
      </c>
      <c r="C81" s="238">
        <f>'处置子公司测试表（不包含一揽子交易）G7-11'!C11</f>
        <v>0</v>
      </c>
      <c r="D81" s="246">
        <f>'处置子公司测试表（不包含一揽子交易）G7-11'!D11</f>
        <v>0</v>
      </c>
      <c r="E81" s="246">
        <f>'处置子公司测试表（不包含一揽子交易）G7-11'!E11</f>
        <v>0</v>
      </c>
      <c r="F81" s="246">
        <f>'处置子公司测试表（不包含一揽子交易）G7-11'!F11</f>
        <v>0</v>
      </c>
      <c r="G81" s="246">
        <f>'处置子公司测试表（不包含一揽子交易）G7-11'!G11</f>
        <v>0</v>
      </c>
      <c r="H81" s="237"/>
      <c r="I81" s="237"/>
      <c r="J81" s="237"/>
      <c r="K81" s="237"/>
      <c r="L81" s="237"/>
      <c r="M81" s="35"/>
      <c r="N81" s="35"/>
    </row>
    <row r="82" spans="1:15" s="190" customFormat="1" ht="20.100000000000001" customHeight="1">
      <c r="A82" s="448">
        <v>4</v>
      </c>
      <c r="B82" s="238">
        <f>'处置子公司测试表（不包含一揽子交易）G7-11'!B12</f>
        <v>0</v>
      </c>
      <c r="C82" s="238">
        <f>'处置子公司测试表（不包含一揽子交易）G7-11'!C12</f>
        <v>0</v>
      </c>
      <c r="D82" s="246">
        <f>'处置子公司测试表（不包含一揽子交易）G7-11'!D12</f>
        <v>0</v>
      </c>
      <c r="E82" s="246">
        <f>'处置子公司测试表（不包含一揽子交易）G7-11'!E12</f>
        <v>0</v>
      </c>
      <c r="F82" s="246">
        <f>'处置子公司测试表（不包含一揽子交易）G7-11'!F12</f>
        <v>0</v>
      </c>
      <c r="G82" s="246">
        <f>'处置子公司测试表（不包含一揽子交易）G7-11'!G12</f>
        <v>0</v>
      </c>
      <c r="H82" s="237"/>
      <c r="I82" s="237"/>
      <c r="J82" s="237"/>
      <c r="K82" s="237"/>
      <c r="L82" s="237"/>
      <c r="M82" s="35"/>
      <c r="N82" s="35"/>
    </row>
    <row r="83" spans="1:15" s="190" customFormat="1" ht="20.100000000000001" customHeight="1" thickBot="1">
      <c r="A83" s="449">
        <v>5</v>
      </c>
      <c r="B83" s="252">
        <f>'处置子公司测试表（不包含一揽子交易）G7-11'!B13</f>
        <v>0</v>
      </c>
      <c r="C83" s="252">
        <f>'处置子公司测试表（不包含一揽子交易）G7-11'!C13</f>
        <v>0</v>
      </c>
      <c r="D83" s="248">
        <f>'处置子公司测试表（不包含一揽子交易）G7-11'!D13</f>
        <v>0</v>
      </c>
      <c r="E83" s="248">
        <f>'处置子公司测试表（不包含一揽子交易）G7-11'!E13</f>
        <v>0</v>
      </c>
      <c r="F83" s="248">
        <f>'处置子公司测试表（不包含一揽子交易）G7-11'!F13</f>
        <v>0</v>
      </c>
      <c r="G83" s="248">
        <f>'处置子公司测试表（不包含一揽子交易）G7-11'!G13</f>
        <v>0</v>
      </c>
      <c r="H83" s="237"/>
      <c r="I83" s="237"/>
      <c r="J83" s="237"/>
      <c r="K83" s="237"/>
      <c r="L83" s="237"/>
      <c r="M83" s="35"/>
      <c r="N83" s="35"/>
    </row>
    <row r="84" spans="1:15" s="190" customFormat="1" ht="20.100000000000001" customHeight="1" thickBot="1">
      <c r="A84" s="252"/>
      <c r="B84" s="252"/>
      <c r="C84" s="252"/>
      <c r="D84" s="248"/>
      <c r="E84" s="248"/>
      <c r="F84" s="248"/>
      <c r="G84" s="248"/>
      <c r="H84" s="237"/>
      <c r="I84" s="237"/>
      <c r="J84" s="237"/>
      <c r="K84" s="237"/>
      <c r="L84" s="237"/>
      <c r="M84" s="35"/>
      <c r="N84" s="35"/>
    </row>
    <row r="85" spans="1:15" s="190" customFormat="1" ht="20.100000000000001" customHeight="1">
      <c r="A85" s="209" t="s">
        <v>683</v>
      </c>
      <c r="B85" s="209"/>
      <c r="C85" s="237"/>
      <c r="D85" s="237"/>
      <c r="E85" s="237"/>
      <c r="F85" s="237"/>
      <c r="G85" s="237"/>
      <c r="H85" s="237"/>
      <c r="I85" s="237"/>
      <c r="J85" s="237"/>
      <c r="K85" s="237"/>
      <c r="L85" s="237"/>
      <c r="M85" s="35"/>
      <c r="N85" s="35"/>
      <c r="O85" s="35"/>
    </row>
    <row r="86" spans="1:15" s="190" customFormat="1" ht="20.100000000000001" customHeight="1" thickBot="1">
      <c r="A86" s="469" t="s">
        <v>684</v>
      </c>
      <c r="B86" s="469"/>
      <c r="C86" s="237"/>
      <c r="D86" s="237"/>
      <c r="E86" s="237"/>
      <c r="F86" s="237"/>
      <c r="G86" s="237"/>
      <c r="H86" s="237"/>
      <c r="I86" s="237"/>
      <c r="J86" s="237"/>
      <c r="K86" s="237"/>
      <c r="L86" s="237"/>
      <c r="M86" s="35"/>
      <c r="N86" s="35"/>
      <c r="O86" s="35"/>
    </row>
    <row r="87" spans="1:15" s="190" customFormat="1" ht="20.100000000000001" customHeight="1" thickBot="1">
      <c r="A87" s="917" t="s">
        <v>685</v>
      </c>
      <c r="B87" s="917"/>
      <c r="C87" s="917" t="s">
        <v>1239</v>
      </c>
      <c r="D87" s="917"/>
      <c r="E87" s="917" t="s">
        <v>1234</v>
      </c>
      <c r="F87" s="917"/>
      <c r="G87" s="917"/>
      <c r="H87" s="917"/>
      <c r="I87" s="917"/>
      <c r="J87" s="917"/>
      <c r="K87" s="917"/>
      <c r="L87" s="917"/>
      <c r="M87" s="35"/>
      <c r="N87" s="35"/>
      <c r="O87" s="35"/>
    </row>
    <row r="88" spans="1:15" s="190" customFormat="1" ht="37.5" customHeight="1" thickBot="1">
      <c r="A88" s="917" t="s">
        <v>686</v>
      </c>
      <c r="B88" s="917"/>
      <c r="C88" s="465" t="s">
        <v>687</v>
      </c>
      <c r="D88" s="465" t="s">
        <v>514</v>
      </c>
      <c r="E88" s="465" t="s">
        <v>687</v>
      </c>
      <c r="F88" s="465" t="s">
        <v>514</v>
      </c>
      <c r="G88" s="465"/>
      <c r="H88" s="465"/>
      <c r="I88" s="210"/>
      <c r="J88" s="465"/>
      <c r="K88" s="210"/>
      <c r="L88" s="465"/>
      <c r="M88" s="35"/>
      <c r="N88" s="35"/>
      <c r="O88" s="35"/>
    </row>
    <row r="89" spans="1:15" s="190" customFormat="1" ht="20.100000000000001" customHeight="1">
      <c r="A89" s="920" t="s">
        <v>56</v>
      </c>
      <c r="B89" s="920"/>
      <c r="C89" s="470"/>
      <c r="D89" s="470"/>
      <c r="E89" s="470"/>
      <c r="F89" s="470"/>
      <c r="G89" s="470"/>
      <c r="H89" s="470"/>
      <c r="I89" s="470"/>
      <c r="J89" s="470"/>
      <c r="K89" s="470"/>
      <c r="L89" s="470"/>
      <c r="M89" s="35"/>
      <c r="N89" s="35"/>
      <c r="O89" s="35"/>
    </row>
    <row r="90" spans="1:15" s="190" customFormat="1" ht="20.100000000000001" customHeight="1">
      <c r="A90" s="884" t="s">
        <v>508</v>
      </c>
      <c r="B90" s="884"/>
      <c r="C90" s="470"/>
      <c r="D90" s="470"/>
      <c r="E90" s="470"/>
      <c r="F90" s="470"/>
      <c r="G90" s="470"/>
      <c r="H90" s="470"/>
      <c r="I90" s="470"/>
      <c r="J90" s="470"/>
      <c r="K90" s="470"/>
      <c r="L90" s="470"/>
      <c r="M90" s="35"/>
      <c r="N90" s="35"/>
      <c r="O90" s="35"/>
    </row>
    <row r="91" spans="1:15" s="190" customFormat="1" ht="20.100000000000001" customHeight="1">
      <c r="A91" s="884" t="s">
        <v>688</v>
      </c>
      <c r="B91" s="884"/>
      <c r="C91" s="470"/>
      <c r="D91" s="470"/>
      <c r="E91" s="470"/>
      <c r="F91" s="470"/>
      <c r="G91" s="470"/>
      <c r="H91" s="470"/>
      <c r="I91" s="470"/>
      <c r="J91" s="470"/>
      <c r="K91" s="470"/>
      <c r="L91" s="470"/>
      <c r="M91" s="35"/>
      <c r="N91" s="35"/>
      <c r="O91" s="35"/>
    </row>
    <row r="92" spans="1:15" s="190" customFormat="1" ht="20.100000000000001" customHeight="1">
      <c r="A92" s="884" t="s">
        <v>689</v>
      </c>
      <c r="B92" s="884"/>
      <c r="C92" s="470"/>
      <c r="D92" s="470"/>
      <c r="E92" s="470"/>
      <c r="F92" s="470"/>
      <c r="G92" s="470"/>
      <c r="H92" s="470"/>
      <c r="I92" s="470"/>
      <c r="J92" s="470"/>
      <c r="K92" s="470"/>
      <c r="L92" s="470"/>
      <c r="M92" s="35"/>
      <c r="N92" s="35"/>
      <c r="O92" s="35"/>
    </row>
    <row r="93" spans="1:15" s="190" customFormat="1" ht="20.100000000000001" customHeight="1">
      <c r="A93" s="884" t="s">
        <v>690</v>
      </c>
      <c r="B93" s="884"/>
      <c r="C93" s="470"/>
      <c r="D93" s="470"/>
      <c r="E93" s="470"/>
      <c r="F93" s="470"/>
      <c r="G93" s="470"/>
      <c r="H93" s="470"/>
      <c r="I93" s="470"/>
      <c r="J93" s="470"/>
      <c r="K93" s="470"/>
      <c r="L93" s="470"/>
      <c r="M93" s="35"/>
      <c r="N93" s="35"/>
      <c r="O93" s="35"/>
    </row>
    <row r="94" spans="1:15" s="190" customFormat="1" ht="20.100000000000001" customHeight="1">
      <c r="A94" s="884" t="s">
        <v>59</v>
      </c>
      <c r="B94" s="884"/>
      <c r="C94" s="470"/>
      <c r="D94" s="470"/>
      <c r="E94" s="470"/>
      <c r="F94" s="470"/>
      <c r="G94" s="470"/>
      <c r="H94" s="470"/>
      <c r="I94" s="470"/>
      <c r="J94" s="470"/>
      <c r="K94" s="470"/>
      <c r="L94" s="470"/>
      <c r="M94" s="35"/>
      <c r="N94" s="35"/>
      <c r="O94" s="35"/>
    </row>
    <row r="95" spans="1:15" s="190" customFormat="1" ht="20.100000000000001" customHeight="1">
      <c r="A95" s="884" t="s">
        <v>60</v>
      </c>
      <c r="B95" s="884"/>
      <c r="C95" s="470"/>
      <c r="D95" s="470"/>
      <c r="E95" s="470"/>
      <c r="F95" s="470"/>
      <c r="G95" s="470"/>
      <c r="H95" s="470"/>
      <c r="I95" s="470"/>
      <c r="J95" s="470"/>
      <c r="K95" s="470"/>
      <c r="L95" s="470"/>
      <c r="M95" s="35"/>
      <c r="N95" s="35"/>
      <c r="O95" s="35"/>
    </row>
    <row r="96" spans="1:15" s="190" customFormat="1" ht="20.100000000000001" customHeight="1" thickBot="1">
      <c r="A96" s="927" t="s">
        <v>691</v>
      </c>
      <c r="B96" s="927"/>
      <c r="C96" s="471"/>
      <c r="D96" s="471"/>
      <c r="E96" s="471"/>
      <c r="F96" s="471"/>
      <c r="G96" s="471"/>
      <c r="H96" s="471"/>
      <c r="I96" s="471"/>
      <c r="J96" s="471"/>
      <c r="K96" s="471"/>
      <c r="L96" s="471"/>
      <c r="M96" s="35"/>
      <c r="N96" s="35"/>
      <c r="O96" s="35"/>
    </row>
    <row r="97" spans="1:17" s="190" customFormat="1" ht="20.100000000000001" customHeight="1" thickBot="1">
      <c r="A97" s="209" t="s">
        <v>692</v>
      </c>
      <c r="B97" s="209"/>
      <c r="C97" s="237"/>
      <c r="D97" s="237"/>
      <c r="E97" s="237"/>
      <c r="F97" s="237"/>
      <c r="G97" s="237"/>
      <c r="H97" s="237"/>
      <c r="I97" s="237"/>
      <c r="J97" s="237"/>
      <c r="K97" s="237"/>
      <c r="L97" s="237"/>
      <c r="M97" s="35"/>
      <c r="N97" s="35"/>
      <c r="O97" s="35"/>
    </row>
    <row r="98" spans="1:17" s="190" customFormat="1" ht="20.100000000000001" customHeight="1">
      <c r="A98" s="886" t="s">
        <v>676</v>
      </c>
      <c r="B98" s="886"/>
      <c r="C98" s="886" t="s">
        <v>875</v>
      </c>
      <c r="D98" s="886"/>
      <c r="E98" s="886" t="s">
        <v>876</v>
      </c>
      <c r="F98" s="886"/>
      <c r="G98" s="886" t="s">
        <v>877</v>
      </c>
      <c r="H98" s="886"/>
      <c r="I98" s="886" t="s">
        <v>878</v>
      </c>
      <c r="J98" s="886"/>
      <c r="K98" s="886" t="s">
        <v>879</v>
      </c>
      <c r="L98" s="886"/>
      <c r="M98" s="35"/>
      <c r="N98" s="35"/>
      <c r="O98" s="35"/>
      <c r="P98" s="35"/>
      <c r="Q98" s="35"/>
    </row>
    <row r="99" spans="1:17" s="190" customFormat="1" ht="36" customHeight="1" thickBot="1">
      <c r="A99" s="887" t="s">
        <v>693</v>
      </c>
      <c r="B99" s="887"/>
      <c r="C99" s="210" t="s">
        <v>694</v>
      </c>
      <c r="D99" s="210" t="s">
        <v>695</v>
      </c>
      <c r="E99" s="210" t="s">
        <v>830</v>
      </c>
      <c r="F99" s="210" t="s">
        <v>695</v>
      </c>
      <c r="G99" s="210" t="s">
        <v>831</v>
      </c>
      <c r="H99" s="210" t="s">
        <v>695</v>
      </c>
      <c r="I99" s="210" t="s">
        <v>831</v>
      </c>
      <c r="J99" s="210" t="s">
        <v>695</v>
      </c>
      <c r="K99" s="210" t="s">
        <v>831</v>
      </c>
      <c r="L99" s="210" t="s">
        <v>695</v>
      </c>
      <c r="M99" s="35"/>
      <c r="N99" s="35"/>
      <c r="O99" s="35"/>
      <c r="P99" s="35"/>
      <c r="Q99" s="35"/>
    </row>
    <row r="100" spans="1:17" s="190" customFormat="1" ht="20.100000000000001" customHeight="1">
      <c r="A100" s="920" t="s">
        <v>62</v>
      </c>
      <c r="B100" s="920"/>
      <c r="C100" s="472"/>
      <c r="D100" s="472"/>
      <c r="E100" s="472"/>
      <c r="F100" s="472"/>
      <c r="G100" s="472"/>
      <c r="H100" s="472"/>
      <c r="I100" s="472"/>
      <c r="J100" s="472"/>
      <c r="K100" s="472"/>
      <c r="L100" s="472"/>
      <c r="M100" s="35"/>
      <c r="N100" s="35"/>
      <c r="O100" s="35"/>
      <c r="P100" s="35"/>
      <c r="Q100" s="35"/>
    </row>
    <row r="101" spans="1:17" s="190" customFormat="1" ht="20.100000000000001" customHeight="1">
      <c r="A101" s="884" t="s">
        <v>696</v>
      </c>
      <c r="B101" s="884"/>
      <c r="C101" s="472"/>
      <c r="D101" s="472"/>
      <c r="E101" s="472"/>
      <c r="F101" s="472"/>
      <c r="G101" s="472"/>
      <c r="H101" s="472"/>
      <c r="I101" s="472"/>
      <c r="J101" s="472"/>
      <c r="K101" s="472"/>
      <c r="L101" s="472"/>
      <c r="M101" s="35"/>
      <c r="N101" s="35"/>
      <c r="O101" s="35"/>
      <c r="P101" s="35"/>
      <c r="Q101" s="35"/>
    </row>
    <row r="102" spans="1:17" s="190" customFormat="1" ht="20.100000000000001" customHeight="1">
      <c r="A102" s="884" t="s">
        <v>697</v>
      </c>
      <c r="B102" s="884"/>
      <c r="C102" s="472"/>
      <c r="D102" s="472"/>
      <c r="E102" s="472"/>
      <c r="F102" s="472"/>
      <c r="G102" s="472"/>
      <c r="H102" s="472"/>
      <c r="I102" s="472"/>
      <c r="J102" s="472"/>
      <c r="K102" s="472"/>
      <c r="L102" s="472"/>
      <c r="M102" s="35"/>
      <c r="N102" s="35"/>
      <c r="O102" s="35"/>
      <c r="P102" s="35"/>
      <c r="Q102" s="35"/>
    </row>
    <row r="103" spans="1:17" s="190" customFormat="1" ht="20.100000000000001" customHeight="1">
      <c r="A103" s="884" t="s">
        <v>698</v>
      </c>
      <c r="B103" s="884"/>
      <c r="C103" s="472"/>
      <c r="D103" s="472"/>
      <c r="E103" s="472"/>
      <c r="F103" s="472"/>
      <c r="G103" s="472"/>
      <c r="H103" s="472"/>
      <c r="I103" s="472"/>
      <c r="J103" s="472"/>
      <c r="K103" s="472"/>
      <c r="L103" s="472"/>
      <c r="M103" s="35"/>
      <c r="N103" s="35"/>
      <c r="O103" s="35"/>
      <c r="P103" s="35"/>
      <c r="Q103" s="35"/>
    </row>
    <row r="104" spans="1:17" s="190" customFormat="1" ht="20.100000000000001" customHeight="1">
      <c r="A104" s="884" t="s">
        <v>699</v>
      </c>
      <c r="B104" s="884"/>
      <c r="C104" s="472"/>
      <c r="D104" s="472"/>
      <c r="E104" s="472"/>
      <c r="F104" s="472"/>
      <c r="G104" s="472"/>
      <c r="H104" s="472"/>
      <c r="I104" s="472"/>
      <c r="J104" s="472"/>
      <c r="K104" s="472"/>
      <c r="L104" s="472"/>
      <c r="M104" s="35"/>
      <c r="N104" s="35"/>
      <c r="O104" s="35"/>
      <c r="P104" s="35"/>
      <c r="Q104" s="35"/>
    </row>
    <row r="105" spans="1:17" s="190" customFormat="1" ht="20.100000000000001" customHeight="1">
      <c r="A105" s="884" t="s">
        <v>612</v>
      </c>
      <c r="B105" s="884"/>
      <c r="C105" s="472"/>
      <c r="D105" s="472"/>
      <c r="E105" s="472"/>
      <c r="F105" s="472"/>
      <c r="G105" s="472"/>
      <c r="H105" s="472"/>
      <c r="I105" s="472"/>
      <c r="J105" s="472"/>
      <c r="K105" s="472"/>
      <c r="L105" s="472"/>
      <c r="M105" s="35"/>
      <c r="N105" s="35"/>
      <c r="O105" s="35"/>
      <c r="P105" s="35"/>
      <c r="Q105" s="35"/>
    </row>
    <row r="106" spans="1:17" s="190" customFormat="1" ht="20.100000000000001" customHeight="1" thickBot="1">
      <c r="A106" s="927" t="s">
        <v>63</v>
      </c>
      <c r="B106" s="927"/>
      <c r="C106" s="473"/>
      <c r="D106" s="473"/>
      <c r="E106" s="473"/>
      <c r="F106" s="473"/>
      <c r="G106" s="473"/>
      <c r="H106" s="473"/>
      <c r="I106" s="473"/>
      <c r="J106" s="473"/>
      <c r="K106" s="473"/>
      <c r="L106" s="473"/>
      <c r="M106" s="474"/>
      <c r="N106" s="35"/>
      <c r="O106" s="35"/>
      <c r="P106" s="35"/>
      <c r="Q106" s="35"/>
    </row>
    <row r="107" spans="1:17" s="190" customFormat="1" ht="35.25" customHeight="1">
      <c r="A107" s="930" t="s">
        <v>700</v>
      </c>
      <c r="B107" s="930"/>
      <c r="C107" s="930"/>
      <c r="D107" s="930"/>
      <c r="E107" s="930"/>
      <c r="F107" s="930"/>
      <c r="G107" s="930"/>
      <c r="H107" s="930"/>
      <c r="I107" s="930"/>
      <c r="J107" s="930"/>
      <c r="K107" s="930"/>
      <c r="L107" s="930"/>
      <c r="M107" s="35"/>
      <c r="N107" s="35"/>
      <c r="O107" s="35"/>
    </row>
    <row r="108" spans="1:17" s="190" customFormat="1" ht="20.100000000000001" customHeight="1" thickBot="1">
      <c r="A108" s="90" t="s">
        <v>881</v>
      </c>
      <c r="B108" s="209"/>
      <c r="C108" s="237"/>
      <c r="D108" s="237"/>
      <c r="E108" s="237"/>
      <c r="F108" s="237"/>
      <c r="G108" s="237"/>
      <c r="H108" s="237"/>
      <c r="I108" s="237"/>
      <c r="J108" s="237"/>
      <c r="K108" s="237"/>
      <c r="L108" s="237"/>
      <c r="M108" s="35"/>
      <c r="N108" s="35"/>
      <c r="O108" s="35"/>
    </row>
    <row r="109" spans="1:17" s="190" customFormat="1" ht="20.100000000000001" customHeight="1" thickBot="1">
      <c r="A109" s="917" t="s">
        <v>676</v>
      </c>
      <c r="B109" s="917"/>
      <c r="C109" s="328" t="s">
        <v>677</v>
      </c>
      <c r="D109" s="328" t="s">
        <v>678</v>
      </c>
      <c r="E109" s="237"/>
      <c r="F109" s="237"/>
      <c r="G109" s="237"/>
      <c r="H109" s="237"/>
      <c r="I109" s="237"/>
      <c r="J109" s="237"/>
      <c r="K109" s="237"/>
      <c r="L109" s="237"/>
      <c r="M109" s="35"/>
      <c r="N109" s="35"/>
      <c r="O109" s="35"/>
    </row>
    <row r="110" spans="1:17" s="190" customFormat="1" ht="20.100000000000001" customHeight="1">
      <c r="A110" s="475">
        <f>IF('被投资单位基本信息G7-4'!E12="是",'被投资单位基本信息G7-4'!B12, )</f>
        <v>0</v>
      </c>
      <c r="B110" s="444"/>
      <c r="C110" s="476">
        <f>IF(A110&lt;&gt;0,'被投资单位基本信息G7-4'!K12,0)</f>
        <v>0</v>
      </c>
      <c r="D110" s="476">
        <f>IF(A110&lt;&gt;0,'被投资单位基本信息G7-4'!L12,0)</f>
        <v>0</v>
      </c>
      <c r="E110" s="237"/>
      <c r="F110" s="237"/>
      <c r="G110" s="237"/>
      <c r="H110" s="237"/>
      <c r="I110" s="237"/>
      <c r="J110" s="237"/>
      <c r="K110" s="237"/>
      <c r="L110" s="237"/>
      <c r="M110" s="35"/>
      <c r="N110" s="35"/>
      <c r="O110" s="35"/>
    </row>
    <row r="111" spans="1:17" s="190" customFormat="1" ht="20.100000000000001" customHeight="1">
      <c r="A111" s="209">
        <f>IF('被投资单位基本信息G7-4'!E13="是",'被投资单位基本信息G7-4'!B13, )</f>
        <v>0</v>
      </c>
      <c r="B111" s="448"/>
      <c r="C111" s="477">
        <f>IF(A111&lt;&gt;0,'被投资单位基本信息G7-4'!K13,0)</f>
        <v>0</v>
      </c>
      <c r="D111" s="477">
        <f>IF(A111&lt;&gt;0,'被投资单位基本信息G7-4'!L13,0)</f>
        <v>0</v>
      </c>
      <c r="E111" s="237"/>
      <c r="F111" s="237"/>
      <c r="G111" s="237"/>
      <c r="H111" s="237"/>
      <c r="I111" s="237"/>
      <c r="J111" s="237"/>
      <c r="K111" s="237"/>
      <c r="L111" s="237"/>
      <c r="M111" s="35"/>
      <c r="N111" s="35"/>
      <c r="O111" s="35"/>
    </row>
    <row r="112" spans="1:17" s="190" customFormat="1" ht="20.100000000000001" customHeight="1">
      <c r="A112" s="209">
        <f>IF('被投资单位基本信息G7-4'!E14="是",'被投资单位基本信息G7-4'!B14, )</f>
        <v>0</v>
      </c>
      <c r="B112" s="448"/>
      <c r="C112" s="477">
        <f>IF(A112&lt;&gt;0,'被投资单位基本信息G7-4'!K14,0)</f>
        <v>0</v>
      </c>
      <c r="D112" s="477">
        <f>IF(A112&lt;&gt;0,'被投资单位基本信息G7-4'!L14,0)</f>
        <v>0</v>
      </c>
      <c r="E112" s="237"/>
      <c r="F112" s="237"/>
      <c r="G112" s="237"/>
      <c r="H112" s="237"/>
      <c r="I112" s="237"/>
      <c r="J112" s="237"/>
      <c r="K112" s="237"/>
      <c r="L112" s="237"/>
      <c r="M112" s="35"/>
      <c r="N112" s="35"/>
      <c r="O112" s="35"/>
    </row>
    <row r="113" spans="1:15" s="190" customFormat="1" ht="20.100000000000001" customHeight="1">
      <c r="A113" s="209">
        <f>IF('被投资单位基本信息G7-4'!E15="是",'被投资单位基本信息G7-4'!B15, )</f>
        <v>0</v>
      </c>
      <c r="B113" s="448"/>
      <c r="C113" s="477">
        <f>IF(A113&lt;&gt;0,'被投资单位基本信息G7-4'!K15,0)</f>
        <v>0</v>
      </c>
      <c r="D113" s="477">
        <f>IF(A113&lt;&gt;0,'被投资单位基本信息G7-4'!L15,0)</f>
        <v>0</v>
      </c>
      <c r="E113" s="237"/>
      <c r="F113" s="237"/>
      <c r="G113" s="237"/>
      <c r="H113" s="237"/>
      <c r="I113" s="237"/>
      <c r="J113" s="237"/>
      <c r="K113" s="237"/>
      <c r="L113" s="237"/>
      <c r="M113" s="35"/>
      <c r="N113" s="35"/>
      <c r="O113" s="35"/>
    </row>
    <row r="114" spans="1:15" s="190" customFormat="1" ht="20.100000000000001" customHeight="1">
      <c r="A114" s="209">
        <f>IF('被投资单位基本信息G7-4'!E16="是",'被投资单位基本信息G7-4'!B16, )</f>
        <v>0</v>
      </c>
      <c r="B114" s="448"/>
      <c r="C114" s="477">
        <f>IF(A114&lt;&gt;0,'被投资单位基本信息G7-4'!K16,0)</f>
        <v>0</v>
      </c>
      <c r="D114" s="477">
        <f>IF(A114&lt;&gt;0,'被投资单位基本信息G7-4'!L16,0)</f>
        <v>0</v>
      </c>
      <c r="E114" s="237"/>
      <c r="F114" s="237"/>
      <c r="G114" s="237"/>
      <c r="H114" s="237"/>
      <c r="I114" s="237"/>
      <c r="J114" s="237"/>
      <c r="K114" s="237"/>
      <c r="L114" s="237"/>
      <c r="M114" s="35"/>
      <c r="N114" s="35"/>
      <c r="O114" s="35"/>
    </row>
    <row r="115" spans="1:15" s="190" customFormat="1" ht="20.100000000000001" customHeight="1">
      <c r="A115" s="209">
        <f>IF('被投资单位基本信息G7-4'!E17="是",'被投资单位基本信息G7-4'!B17, )</f>
        <v>0</v>
      </c>
      <c r="B115" s="448"/>
      <c r="C115" s="477">
        <f>IF(A115&lt;&gt;0,'被投资单位基本信息G7-4'!K17,0)</f>
        <v>0</v>
      </c>
      <c r="D115" s="477">
        <f>IF(A115&lt;&gt;0,'被投资单位基本信息G7-4'!L17,0)</f>
        <v>0</v>
      </c>
      <c r="E115" s="237"/>
      <c r="F115" s="237"/>
      <c r="G115" s="237"/>
      <c r="H115" s="237"/>
      <c r="I115" s="237"/>
      <c r="J115" s="237"/>
      <c r="K115" s="237"/>
      <c r="L115" s="237"/>
      <c r="M115" s="35"/>
      <c r="N115" s="35"/>
      <c r="O115" s="35"/>
    </row>
    <row r="116" spans="1:15" s="190" customFormat="1" ht="20.100000000000001" customHeight="1">
      <c r="A116" s="209">
        <f>IF('被投资单位基本信息G7-4'!E18="是",'被投资单位基本信息G7-4'!B18, )</f>
        <v>0</v>
      </c>
      <c r="B116" s="448"/>
      <c r="C116" s="477">
        <f>IF(A116&lt;&gt;0,'被投资单位基本信息G7-4'!K18,0)</f>
        <v>0</v>
      </c>
      <c r="D116" s="477">
        <f>IF(A116&lt;&gt;0,'被投资单位基本信息G7-4'!L18,0)</f>
        <v>0</v>
      </c>
      <c r="E116" s="237"/>
      <c r="F116" s="237"/>
      <c r="G116" s="237"/>
      <c r="H116" s="237"/>
      <c r="I116" s="237"/>
      <c r="J116" s="237"/>
      <c r="K116" s="237"/>
      <c r="L116" s="237"/>
      <c r="M116" s="35"/>
      <c r="N116" s="35"/>
      <c r="O116" s="35"/>
    </row>
    <row r="117" spans="1:15" s="190" customFormat="1" ht="20.100000000000001" customHeight="1">
      <c r="A117" s="209">
        <f>IF('被投资单位基本信息G7-4'!E19="是",'被投资单位基本信息G7-4'!B19, )</f>
        <v>0</v>
      </c>
      <c r="B117" s="448"/>
      <c r="C117" s="477">
        <f>IF(A117&lt;&gt;0,'被投资单位基本信息G7-4'!K19,0)</f>
        <v>0</v>
      </c>
      <c r="D117" s="477">
        <f>IF(A117&lt;&gt;0,'被投资单位基本信息G7-4'!L19,0)</f>
        <v>0</v>
      </c>
      <c r="E117" s="237"/>
      <c r="F117" s="237"/>
      <c r="G117" s="237"/>
      <c r="H117" s="237"/>
      <c r="I117" s="237"/>
      <c r="J117" s="237"/>
      <c r="K117" s="237"/>
      <c r="L117" s="237"/>
      <c r="M117" s="35"/>
      <c r="N117" s="35"/>
      <c r="O117" s="35"/>
    </row>
    <row r="118" spans="1:15" s="190" customFormat="1" ht="20.100000000000001" customHeight="1">
      <c r="A118" s="209">
        <f>IF('被投资单位基本信息G7-4'!E20="是",'被投资单位基本信息G7-4'!B20, )</f>
        <v>0</v>
      </c>
      <c r="B118" s="448"/>
      <c r="C118" s="477">
        <f>IF(A118&lt;&gt;0,'被投资单位基本信息G7-4'!K20,0)</f>
        <v>0</v>
      </c>
      <c r="D118" s="477">
        <f>IF(A118&lt;&gt;0,'被投资单位基本信息G7-4'!L20,0)</f>
        <v>0</v>
      </c>
      <c r="E118" s="237"/>
      <c r="F118" s="237"/>
      <c r="G118" s="237"/>
      <c r="H118" s="237"/>
      <c r="I118" s="237"/>
      <c r="J118" s="237"/>
      <c r="K118" s="237"/>
      <c r="L118" s="237"/>
      <c r="M118" s="35"/>
      <c r="N118" s="35"/>
      <c r="O118" s="35"/>
    </row>
    <row r="119" spans="1:15" s="190" customFormat="1" ht="20.100000000000001" customHeight="1" thickBot="1">
      <c r="A119" s="252">
        <f>IF('被投资单位基本信息G7-4'!E21="是",'被投资单位基本信息G7-4'!B21, )</f>
        <v>0</v>
      </c>
      <c r="B119" s="252"/>
      <c r="C119" s="471">
        <f>IF(A119&lt;&gt;0,'被投资单位基本信息G7-4'!K21,0)</f>
        <v>0</v>
      </c>
      <c r="D119" s="471">
        <f>IF(A119&lt;&gt;0,'被投资单位基本信息G7-4'!L21,0)</f>
        <v>0</v>
      </c>
      <c r="E119" s="237"/>
      <c r="F119" s="237"/>
      <c r="G119" s="237"/>
      <c r="H119" s="237"/>
      <c r="I119" s="237"/>
      <c r="J119" s="237"/>
      <c r="K119" s="237"/>
      <c r="L119" s="237"/>
      <c r="M119" s="35"/>
      <c r="N119" s="35"/>
      <c r="O119" s="35"/>
    </row>
    <row r="120" spans="1:15" s="190" customFormat="1" ht="20.100000000000001" customHeight="1">
      <c r="A120" s="209" t="s">
        <v>882</v>
      </c>
      <c r="B120" s="209"/>
      <c r="C120" s="237"/>
      <c r="D120" s="237"/>
      <c r="E120" s="237"/>
      <c r="F120" s="237"/>
      <c r="G120" s="237"/>
      <c r="H120" s="237"/>
      <c r="I120" s="237"/>
      <c r="J120" s="237"/>
      <c r="K120" s="237"/>
      <c r="L120" s="237"/>
      <c r="M120" s="35"/>
      <c r="N120" s="35"/>
      <c r="O120" s="35"/>
    </row>
    <row r="121" spans="1:15" s="190" customFormat="1" ht="20.100000000000001" customHeight="1" thickBot="1">
      <c r="A121" s="249" t="s">
        <v>701</v>
      </c>
      <c r="B121" s="249"/>
      <c r="C121" s="237"/>
      <c r="D121" s="237"/>
      <c r="E121" s="237"/>
      <c r="F121" s="237"/>
      <c r="G121" s="237"/>
      <c r="H121" s="237"/>
      <c r="I121" s="237"/>
      <c r="J121" s="237"/>
      <c r="K121" s="237"/>
      <c r="L121" s="237"/>
      <c r="M121" s="35"/>
      <c r="N121" s="35"/>
      <c r="O121" s="35"/>
    </row>
    <row r="122" spans="1:15" s="190" customFormat="1" ht="20.100000000000001" customHeight="1" thickBot="1">
      <c r="A122" s="886" t="s">
        <v>676</v>
      </c>
      <c r="B122" s="886"/>
      <c r="C122" s="886" t="s">
        <v>702</v>
      </c>
      <c r="D122" s="886" t="s">
        <v>703</v>
      </c>
      <c r="E122" s="886" t="s">
        <v>704</v>
      </c>
      <c r="F122" s="886" t="s">
        <v>705</v>
      </c>
      <c r="G122" s="917" t="s">
        <v>706</v>
      </c>
      <c r="H122" s="917"/>
      <c r="I122" s="917"/>
      <c r="J122" s="917"/>
      <c r="K122" s="237"/>
      <c r="L122" s="237"/>
      <c r="M122" s="35"/>
      <c r="N122" s="35"/>
      <c r="O122" s="35"/>
    </row>
    <row r="123" spans="1:15" s="190" customFormat="1" ht="33" customHeight="1" thickBot="1">
      <c r="A123" s="887"/>
      <c r="B123" s="887"/>
      <c r="C123" s="887"/>
      <c r="D123" s="887"/>
      <c r="E123" s="887"/>
      <c r="F123" s="887"/>
      <c r="G123" s="328" t="s">
        <v>707</v>
      </c>
      <c r="H123" s="328" t="s">
        <v>63</v>
      </c>
      <c r="I123" s="328" t="s">
        <v>708</v>
      </c>
      <c r="J123" s="328" t="s">
        <v>709</v>
      </c>
      <c r="K123" s="237"/>
      <c r="L123" s="237"/>
      <c r="M123" s="35"/>
      <c r="N123" s="35"/>
      <c r="O123" s="35"/>
    </row>
    <row r="124" spans="1:15" s="190" customFormat="1" ht="20.100000000000001" customHeight="1">
      <c r="A124" s="238"/>
      <c r="B124" s="238"/>
      <c r="C124" s="246"/>
      <c r="D124" s="251"/>
      <c r="E124" s="251"/>
      <c r="F124" s="246"/>
      <c r="G124" s="251"/>
      <c r="H124" s="251"/>
      <c r="I124" s="251"/>
      <c r="J124" s="251"/>
      <c r="K124" s="237"/>
      <c r="L124" s="237"/>
      <c r="M124" s="35"/>
      <c r="N124" s="35"/>
      <c r="O124" s="35"/>
    </row>
    <row r="125" spans="1:15" s="190" customFormat="1" ht="20.100000000000001" customHeight="1">
      <c r="A125" s="238"/>
      <c r="B125" s="238"/>
      <c r="C125" s="246"/>
      <c r="D125" s="251"/>
      <c r="E125" s="251"/>
      <c r="F125" s="246"/>
      <c r="G125" s="251"/>
      <c r="H125" s="251"/>
      <c r="I125" s="251"/>
      <c r="J125" s="251"/>
      <c r="K125" s="237"/>
      <c r="L125" s="237"/>
      <c r="M125" s="35"/>
      <c r="N125" s="35"/>
      <c r="O125" s="35"/>
    </row>
    <row r="126" spans="1:15" s="190" customFormat="1" ht="20.100000000000001" customHeight="1" thickBot="1">
      <c r="A126" s="252"/>
      <c r="B126" s="252"/>
      <c r="C126" s="248"/>
      <c r="D126" s="254"/>
      <c r="E126" s="254"/>
      <c r="F126" s="248"/>
      <c r="G126" s="254"/>
      <c r="H126" s="254"/>
      <c r="I126" s="254"/>
      <c r="J126" s="254"/>
      <c r="K126" s="237"/>
      <c r="L126" s="237"/>
      <c r="M126" s="35"/>
      <c r="N126" s="35"/>
      <c r="O126" s="35"/>
    </row>
    <row r="127" spans="1:15" s="190" customFormat="1" ht="20.100000000000001" customHeight="1">
      <c r="A127" s="209" t="s">
        <v>883</v>
      </c>
      <c r="B127" s="209"/>
      <c r="C127" s="237"/>
      <c r="D127" s="237"/>
      <c r="E127" s="237"/>
      <c r="F127" s="237"/>
      <c r="G127" s="237"/>
      <c r="H127" s="237"/>
      <c r="I127" s="237"/>
      <c r="J127" s="237"/>
      <c r="K127" s="237"/>
      <c r="L127" s="237"/>
      <c r="M127" s="35"/>
      <c r="N127" s="35"/>
      <c r="O127" s="35"/>
    </row>
    <row r="128" spans="1:15" s="190" customFormat="1" ht="20.100000000000001" customHeight="1" thickBot="1">
      <c r="A128" s="249" t="s">
        <v>710</v>
      </c>
      <c r="B128" s="249"/>
      <c r="C128" s="237"/>
      <c r="D128" s="237"/>
      <c r="E128" s="237"/>
      <c r="F128" s="237"/>
      <c r="G128" s="237"/>
      <c r="H128" s="237"/>
      <c r="I128" s="237"/>
      <c r="J128" s="237"/>
      <c r="K128" s="237"/>
      <c r="L128" s="237"/>
      <c r="M128" s="35"/>
      <c r="N128" s="35"/>
      <c r="O128" s="35"/>
    </row>
    <row r="129" spans="1:15" s="190" customFormat="1" ht="20.100000000000001" customHeight="1" thickBot="1">
      <c r="A129" s="904" t="s">
        <v>884</v>
      </c>
      <c r="B129" s="904" t="s">
        <v>885</v>
      </c>
      <c r="C129" s="904" t="s">
        <v>886</v>
      </c>
      <c r="D129" s="904" t="s">
        <v>887</v>
      </c>
      <c r="E129" s="904" t="s">
        <v>888</v>
      </c>
      <c r="F129" s="933" t="s">
        <v>889</v>
      </c>
      <c r="G129" s="933"/>
      <c r="H129" s="933"/>
      <c r="I129" s="904" t="s">
        <v>704</v>
      </c>
      <c r="J129" s="904" t="s">
        <v>890</v>
      </c>
      <c r="K129" s="904" t="s">
        <v>891</v>
      </c>
      <c r="L129" s="904" t="s">
        <v>892</v>
      </c>
      <c r="M129" s="904" t="s">
        <v>893</v>
      </c>
      <c r="N129" s="35"/>
    </row>
    <row r="130" spans="1:15" s="190" customFormat="1" ht="20.100000000000001" customHeight="1">
      <c r="A130" s="905"/>
      <c r="B130" s="905"/>
      <c r="C130" s="905"/>
      <c r="D130" s="905"/>
      <c r="E130" s="905"/>
      <c r="F130" s="907" t="s">
        <v>894</v>
      </c>
      <c r="G130" s="909" t="s">
        <v>895</v>
      </c>
      <c r="H130" s="909"/>
      <c r="I130" s="905"/>
      <c r="J130" s="905"/>
      <c r="K130" s="905"/>
      <c r="L130" s="905"/>
      <c r="M130" s="905"/>
      <c r="N130" s="35"/>
    </row>
    <row r="131" spans="1:15" s="190" customFormat="1" ht="20.100000000000001" customHeight="1" thickBot="1">
      <c r="A131" s="906"/>
      <c r="B131" s="906"/>
      <c r="C131" s="906"/>
      <c r="D131" s="906"/>
      <c r="E131" s="906"/>
      <c r="F131" s="908"/>
      <c r="G131" s="478" t="s">
        <v>711</v>
      </c>
      <c r="H131" s="479" t="s">
        <v>712</v>
      </c>
      <c r="I131" s="906"/>
      <c r="J131" s="906"/>
      <c r="K131" s="906"/>
      <c r="L131" s="906"/>
      <c r="M131" s="906"/>
      <c r="N131" s="35"/>
    </row>
    <row r="132" spans="1:15" s="190" customFormat="1" ht="20.100000000000001" customHeight="1">
      <c r="A132" s="425"/>
      <c r="B132" s="424"/>
      <c r="C132" s="424"/>
      <c r="D132" s="424"/>
      <c r="E132" s="424"/>
      <c r="F132" s="424"/>
      <c r="G132" s="424"/>
      <c r="H132" s="424"/>
      <c r="I132" s="424"/>
      <c r="J132" s="424"/>
      <c r="K132" s="424"/>
      <c r="L132" s="424"/>
      <c r="M132" s="424"/>
      <c r="N132" s="35"/>
    </row>
    <row r="133" spans="1:15" s="190" customFormat="1" ht="20.100000000000001" customHeight="1">
      <c r="A133" s="425"/>
      <c r="B133" s="424"/>
      <c r="C133" s="424"/>
      <c r="D133" s="424"/>
      <c r="E133" s="424"/>
      <c r="F133" s="424"/>
      <c r="G133" s="424"/>
      <c r="H133" s="424"/>
      <c r="I133" s="424"/>
      <c r="J133" s="424"/>
      <c r="K133" s="424"/>
      <c r="L133" s="424"/>
      <c r="M133" s="424"/>
      <c r="N133" s="35"/>
    </row>
    <row r="134" spans="1:15" s="190" customFormat="1" ht="20.100000000000001" customHeight="1" thickBot="1">
      <c r="A134" s="480"/>
      <c r="B134" s="427"/>
      <c r="C134" s="427"/>
      <c r="D134" s="427"/>
      <c r="E134" s="427"/>
      <c r="F134" s="427"/>
      <c r="G134" s="427"/>
      <c r="H134" s="427"/>
      <c r="I134" s="427"/>
      <c r="J134" s="427"/>
      <c r="K134" s="427"/>
      <c r="L134" s="427"/>
      <c r="M134" s="427"/>
      <c r="N134" s="35"/>
    </row>
    <row r="135" spans="1:15" s="190" customFormat="1" ht="20.100000000000001" customHeight="1">
      <c r="A135" s="238" t="s">
        <v>896</v>
      </c>
      <c r="B135" s="238"/>
      <c r="C135" s="246"/>
      <c r="D135" s="251"/>
      <c r="E135" s="251"/>
      <c r="F135" s="246"/>
      <c r="G135" s="251"/>
      <c r="H135" s="251"/>
      <c r="I135" s="246"/>
      <c r="J135" s="237"/>
      <c r="K135" s="237"/>
      <c r="L135" s="237"/>
      <c r="M135" s="35"/>
      <c r="N135" s="35"/>
    </row>
    <row r="136" spans="1:15" s="190" customFormat="1" ht="20.100000000000001" customHeight="1">
      <c r="A136" s="238"/>
      <c r="B136" s="238"/>
      <c r="C136" s="246"/>
      <c r="D136" s="251"/>
      <c r="E136" s="251"/>
      <c r="F136" s="246"/>
      <c r="G136" s="251"/>
      <c r="H136" s="251"/>
      <c r="I136" s="246"/>
      <c r="J136" s="237"/>
      <c r="K136" s="237"/>
      <c r="L136" s="237"/>
      <c r="M136" s="35"/>
      <c r="N136" s="35"/>
    </row>
    <row r="137" spans="1:15" s="190" customFormat="1" ht="20.100000000000001" customHeight="1">
      <c r="A137" s="209" t="s">
        <v>897</v>
      </c>
      <c r="B137" s="209"/>
      <c r="C137" s="237"/>
      <c r="D137" s="237"/>
      <c r="E137" s="237"/>
      <c r="F137" s="237"/>
      <c r="G137" s="237"/>
      <c r="H137" s="237"/>
      <c r="I137" s="237"/>
      <c r="J137" s="237"/>
      <c r="K137" s="237"/>
      <c r="L137" s="237"/>
      <c r="M137" s="35"/>
      <c r="N137" s="35"/>
      <c r="O137" s="35"/>
    </row>
    <row r="138" spans="1:15" s="190" customFormat="1" ht="20.100000000000001" customHeight="1" thickBot="1">
      <c r="A138" s="209" t="s">
        <v>713</v>
      </c>
      <c r="B138" s="209"/>
      <c r="C138" s="237"/>
      <c r="D138" s="237"/>
      <c r="E138" s="237"/>
      <c r="F138" s="237"/>
      <c r="G138" s="237"/>
      <c r="H138" s="237"/>
      <c r="I138" s="237"/>
      <c r="J138" s="237"/>
      <c r="K138" s="237"/>
      <c r="L138" s="237"/>
      <c r="M138" s="35"/>
      <c r="N138" s="35"/>
      <c r="O138" s="35"/>
    </row>
    <row r="139" spans="1:15" s="190" customFormat="1" ht="20.100000000000001" customHeight="1">
      <c r="A139" s="886" t="s">
        <v>714</v>
      </c>
      <c r="B139" s="886"/>
      <c r="C139" s="886" t="s">
        <v>715</v>
      </c>
      <c r="D139" s="886"/>
      <c r="E139" s="886" t="s">
        <v>716</v>
      </c>
      <c r="F139" s="886"/>
      <c r="G139" s="237"/>
      <c r="H139" s="237"/>
      <c r="I139" s="237"/>
      <c r="J139" s="237"/>
      <c r="K139" s="237"/>
      <c r="L139" s="237"/>
      <c r="M139" s="35"/>
      <c r="N139" s="35"/>
      <c r="O139" s="35"/>
    </row>
    <row r="140" spans="1:15" s="190" customFormat="1" ht="20.100000000000001" customHeight="1" thickBot="1">
      <c r="A140" s="887"/>
      <c r="B140" s="887"/>
      <c r="C140" s="210" t="s">
        <v>105</v>
      </c>
      <c r="D140" s="210" t="s">
        <v>711</v>
      </c>
      <c r="E140" s="210" t="s">
        <v>105</v>
      </c>
      <c r="F140" s="210" t="s">
        <v>711</v>
      </c>
      <c r="G140" s="237"/>
      <c r="H140" s="237"/>
      <c r="I140" s="237"/>
      <c r="J140" s="237"/>
      <c r="K140" s="237"/>
      <c r="L140" s="237"/>
      <c r="M140" s="35"/>
      <c r="N140" s="35"/>
      <c r="O140" s="35"/>
    </row>
    <row r="141" spans="1:15" s="190" customFormat="1" ht="20.100000000000001" customHeight="1">
      <c r="A141" s="209" t="s">
        <v>717</v>
      </c>
      <c r="B141" s="238"/>
      <c r="C141" s="481"/>
      <c r="D141" s="482"/>
      <c r="E141" s="482"/>
      <c r="F141" s="482"/>
      <c r="G141" s="237"/>
      <c r="H141" s="237"/>
      <c r="I141" s="237"/>
      <c r="J141" s="237"/>
      <c r="K141" s="237"/>
      <c r="L141" s="237"/>
      <c r="M141" s="35"/>
      <c r="N141" s="35"/>
      <c r="O141" s="35"/>
    </row>
    <row r="142" spans="1:15" s="190" customFormat="1" ht="20.100000000000001" customHeight="1">
      <c r="A142" s="238"/>
      <c r="B142" s="238"/>
      <c r="C142" s="481"/>
      <c r="D142" s="483"/>
      <c r="E142" s="484"/>
      <c r="F142" s="483"/>
      <c r="G142" s="237"/>
      <c r="H142" s="237"/>
      <c r="I142" s="237"/>
      <c r="J142" s="237"/>
      <c r="K142" s="237"/>
      <c r="L142" s="237"/>
      <c r="M142" s="35"/>
      <c r="N142" s="35"/>
      <c r="O142" s="35"/>
    </row>
    <row r="143" spans="1:15" s="190" customFormat="1" ht="20.100000000000001" customHeight="1">
      <c r="A143" s="238"/>
      <c r="B143" s="238"/>
      <c r="C143" s="481"/>
      <c r="D143" s="483"/>
      <c r="E143" s="484"/>
      <c r="F143" s="483"/>
      <c r="G143" s="237"/>
      <c r="H143" s="237"/>
      <c r="I143" s="237"/>
      <c r="J143" s="237"/>
      <c r="K143" s="237"/>
      <c r="L143" s="237"/>
      <c r="M143" s="35"/>
      <c r="N143" s="35"/>
      <c r="O143" s="35"/>
    </row>
    <row r="144" spans="1:15" s="190" customFormat="1" ht="20.100000000000001" customHeight="1">
      <c r="A144" s="238"/>
      <c r="B144" s="238"/>
      <c r="C144" s="481"/>
      <c r="D144" s="483"/>
      <c r="E144" s="484"/>
      <c r="F144" s="483"/>
      <c r="G144" s="237"/>
      <c r="H144" s="237"/>
      <c r="I144" s="237"/>
      <c r="J144" s="237"/>
      <c r="K144" s="237"/>
      <c r="L144" s="237"/>
      <c r="M144" s="35"/>
      <c r="N144" s="35"/>
      <c r="O144" s="35"/>
    </row>
    <row r="145" spans="1:15" s="190" customFormat="1" ht="20.100000000000001" customHeight="1">
      <c r="A145" s="238"/>
      <c r="B145" s="238"/>
      <c r="C145" s="481"/>
      <c r="D145" s="483"/>
      <c r="E145" s="484"/>
      <c r="F145" s="483"/>
      <c r="G145" s="237"/>
      <c r="H145" s="237"/>
      <c r="I145" s="237"/>
      <c r="J145" s="237"/>
      <c r="K145" s="237"/>
      <c r="L145" s="237"/>
      <c r="M145" s="35"/>
      <c r="N145" s="35"/>
      <c r="O145" s="35"/>
    </row>
    <row r="146" spans="1:15" s="190" customFormat="1" ht="20.100000000000001" customHeight="1">
      <c r="A146" s="238"/>
      <c r="B146" s="238"/>
      <c r="C146" s="481"/>
      <c r="D146" s="483"/>
      <c r="E146" s="484"/>
      <c r="F146" s="483"/>
      <c r="G146" s="237"/>
      <c r="H146" s="237"/>
      <c r="I146" s="237"/>
      <c r="J146" s="237"/>
      <c r="K146" s="237"/>
      <c r="L146" s="237"/>
      <c r="M146" s="35"/>
      <c r="N146" s="35"/>
      <c r="O146" s="35"/>
    </row>
    <row r="147" spans="1:15" s="190" customFormat="1" ht="20.100000000000001" customHeight="1">
      <c r="A147" s="238"/>
      <c r="B147" s="238"/>
      <c r="C147" s="481"/>
      <c r="D147" s="483"/>
      <c r="E147" s="484"/>
      <c r="F147" s="483"/>
      <c r="G147" s="237"/>
      <c r="H147" s="237"/>
      <c r="I147" s="237"/>
      <c r="J147" s="237"/>
      <c r="K147" s="237"/>
      <c r="L147" s="237"/>
      <c r="M147" s="35"/>
      <c r="N147" s="35"/>
      <c r="O147" s="35"/>
    </row>
    <row r="148" spans="1:15" s="190" customFormat="1" ht="20.100000000000001" customHeight="1">
      <c r="A148" s="238"/>
      <c r="B148" s="238"/>
      <c r="C148" s="481"/>
      <c r="D148" s="483"/>
      <c r="E148" s="484"/>
      <c r="F148" s="483"/>
      <c r="G148" s="237"/>
      <c r="H148" s="237"/>
      <c r="I148" s="237"/>
      <c r="J148" s="237"/>
      <c r="K148" s="237"/>
      <c r="L148" s="237"/>
      <c r="M148" s="35"/>
      <c r="N148" s="35"/>
      <c r="O148" s="35"/>
    </row>
    <row r="149" spans="1:15" s="190" customFormat="1" ht="20.100000000000001" customHeight="1">
      <c r="A149" s="238"/>
      <c r="B149" s="238"/>
      <c r="C149" s="481"/>
      <c r="D149" s="483"/>
      <c r="E149" s="484"/>
      <c r="F149" s="483"/>
      <c r="G149" s="237"/>
      <c r="H149" s="237"/>
      <c r="I149" s="237"/>
      <c r="J149" s="237"/>
      <c r="K149" s="237"/>
      <c r="L149" s="237"/>
      <c r="M149" s="35"/>
      <c r="N149" s="35"/>
      <c r="O149" s="35"/>
    </row>
    <row r="150" spans="1:15" s="190" customFormat="1" ht="20.100000000000001" customHeight="1">
      <c r="A150" s="238"/>
      <c r="B150" s="238"/>
      <c r="C150" s="481"/>
      <c r="D150" s="483"/>
      <c r="E150" s="484"/>
      <c r="F150" s="483"/>
      <c r="G150" s="237"/>
      <c r="H150" s="237"/>
      <c r="I150" s="237"/>
      <c r="J150" s="237"/>
      <c r="K150" s="237"/>
      <c r="L150" s="237"/>
      <c r="M150" s="35"/>
      <c r="N150" s="35"/>
      <c r="O150" s="35"/>
    </row>
    <row r="151" spans="1:15" s="190" customFormat="1" ht="20.100000000000001" customHeight="1">
      <c r="A151" s="238"/>
      <c r="B151" s="238"/>
      <c r="C151" s="481"/>
      <c r="D151" s="483"/>
      <c r="E151" s="484"/>
      <c r="F151" s="483"/>
      <c r="G151" s="237"/>
      <c r="H151" s="237"/>
      <c r="I151" s="237"/>
      <c r="J151" s="237"/>
      <c r="K151" s="237"/>
      <c r="L151" s="237"/>
      <c r="M151" s="35"/>
      <c r="N151" s="35"/>
      <c r="O151" s="35"/>
    </row>
    <row r="152" spans="1:15" s="190" customFormat="1" ht="20.100000000000001" customHeight="1">
      <c r="A152" s="238"/>
      <c r="B152" s="238"/>
      <c r="C152" s="481"/>
      <c r="D152" s="483"/>
      <c r="E152" s="484"/>
      <c r="F152" s="483"/>
      <c r="G152" s="237"/>
      <c r="H152" s="237"/>
      <c r="I152" s="237"/>
      <c r="J152" s="237"/>
      <c r="K152" s="237"/>
      <c r="L152" s="237"/>
      <c r="M152" s="35"/>
      <c r="N152" s="35"/>
      <c r="O152" s="35"/>
    </row>
    <row r="153" spans="1:15" s="190" customFormat="1" ht="20.100000000000001" customHeight="1">
      <c r="A153" s="238"/>
      <c r="B153" s="238"/>
      <c r="C153" s="481"/>
      <c r="D153" s="483"/>
      <c r="E153" s="484"/>
      <c r="F153" s="483"/>
      <c r="G153" s="237"/>
      <c r="H153" s="237"/>
      <c r="I153" s="237"/>
      <c r="J153" s="237"/>
      <c r="K153" s="237"/>
      <c r="L153" s="237"/>
      <c r="M153" s="35"/>
      <c r="N153" s="35"/>
      <c r="O153" s="35"/>
    </row>
    <row r="154" spans="1:15" s="190" customFormat="1" ht="20.100000000000001" customHeight="1">
      <c r="A154" s="238"/>
      <c r="B154" s="238"/>
      <c r="C154" s="481"/>
      <c r="D154" s="483"/>
      <c r="E154" s="484"/>
      <c r="F154" s="483"/>
      <c r="G154" s="237"/>
      <c r="H154" s="237"/>
      <c r="I154" s="237"/>
      <c r="J154" s="237"/>
      <c r="K154" s="237"/>
      <c r="L154" s="237"/>
      <c r="M154" s="35"/>
      <c r="N154" s="35"/>
      <c r="O154" s="35"/>
    </row>
    <row r="155" spans="1:15" s="190" customFormat="1" ht="20.100000000000001" customHeight="1">
      <c r="A155" s="238"/>
      <c r="B155" s="238"/>
      <c r="C155" s="481"/>
      <c r="D155" s="483"/>
      <c r="E155" s="484"/>
      <c r="F155" s="483"/>
      <c r="G155" s="237"/>
      <c r="H155" s="237"/>
      <c r="I155" s="237"/>
      <c r="J155" s="237"/>
      <c r="K155" s="237"/>
      <c r="L155" s="237"/>
      <c r="M155" s="35"/>
      <c r="N155" s="35"/>
      <c r="O155" s="35"/>
    </row>
    <row r="156" spans="1:15" s="190" customFormat="1" ht="20.100000000000001" customHeight="1">
      <c r="A156" s="238"/>
      <c r="B156" s="238"/>
      <c r="C156" s="481"/>
      <c r="D156" s="483"/>
      <c r="E156" s="484"/>
      <c r="F156" s="483"/>
      <c r="G156" s="237"/>
      <c r="H156" s="237"/>
      <c r="I156" s="237"/>
      <c r="J156" s="237"/>
      <c r="K156" s="237"/>
      <c r="L156" s="237"/>
      <c r="M156" s="35"/>
      <c r="N156" s="35"/>
      <c r="O156" s="35"/>
    </row>
    <row r="157" spans="1:15" s="190" customFormat="1" ht="20.100000000000001" customHeight="1">
      <c r="A157" s="209" t="s">
        <v>718</v>
      </c>
      <c r="B157" s="238"/>
      <c r="C157" s="481"/>
      <c r="D157" s="482"/>
      <c r="E157" s="482"/>
      <c r="F157" s="484"/>
      <c r="G157" s="237"/>
      <c r="H157" s="237"/>
      <c r="I157" s="237"/>
      <c r="J157" s="237"/>
      <c r="K157" s="237"/>
      <c r="L157" s="237"/>
      <c r="M157" s="35"/>
      <c r="N157" s="35"/>
      <c r="O157" s="35"/>
    </row>
    <row r="158" spans="1:15" s="190" customFormat="1" ht="20.100000000000001" customHeight="1">
      <c r="A158" s="209"/>
      <c r="B158" s="238"/>
      <c r="C158" s="481"/>
      <c r="D158" s="483"/>
      <c r="E158" s="484"/>
      <c r="F158" s="485"/>
      <c r="G158" s="237"/>
      <c r="H158" s="237"/>
      <c r="I158" s="237"/>
      <c r="J158" s="237"/>
      <c r="K158" s="237"/>
      <c r="L158" s="237"/>
      <c r="M158" s="35"/>
      <c r="N158" s="35"/>
      <c r="O158" s="35"/>
    </row>
    <row r="159" spans="1:15" s="190" customFormat="1" ht="20.100000000000001" customHeight="1">
      <c r="A159" s="209"/>
      <c r="B159" s="238"/>
      <c r="C159" s="481"/>
      <c r="D159" s="483"/>
      <c r="E159" s="484"/>
      <c r="F159" s="485"/>
      <c r="G159" s="237"/>
      <c r="H159" s="237"/>
      <c r="I159" s="237"/>
      <c r="J159" s="237"/>
      <c r="K159" s="237"/>
      <c r="L159" s="237"/>
      <c r="M159" s="35"/>
      <c r="N159" s="35"/>
      <c r="O159" s="35"/>
    </row>
    <row r="160" spans="1:15" s="190" customFormat="1" ht="20.100000000000001" customHeight="1">
      <c r="A160" s="209"/>
      <c r="B160" s="238"/>
      <c r="C160" s="481"/>
      <c r="D160" s="483"/>
      <c r="E160" s="484"/>
      <c r="F160" s="485"/>
      <c r="G160" s="237"/>
      <c r="H160" s="237"/>
      <c r="I160" s="237"/>
      <c r="J160" s="237"/>
      <c r="K160" s="237"/>
      <c r="L160" s="237"/>
      <c r="M160" s="35"/>
      <c r="N160" s="35"/>
      <c r="O160" s="35"/>
    </row>
    <row r="161" spans="1:15" s="190" customFormat="1" ht="20.100000000000001" customHeight="1">
      <c r="A161" s="209"/>
      <c r="B161" s="238"/>
      <c r="C161" s="481"/>
      <c r="D161" s="483"/>
      <c r="E161" s="484"/>
      <c r="F161" s="485"/>
      <c r="G161" s="237"/>
      <c r="H161" s="237"/>
      <c r="I161" s="237"/>
      <c r="J161" s="237"/>
      <c r="K161" s="237"/>
      <c r="L161" s="237"/>
      <c r="M161" s="35"/>
      <c r="N161" s="35"/>
      <c r="O161" s="35"/>
    </row>
    <row r="162" spans="1:15" s="190" customFormat="1" ht="20.100000000000001" customHeight="1">
      <c r="A162" s="209"/>
      <c r="B162" s="238"/>
      <c r="C162" s="481"/>
      <c r="D162" s="483"/>
      <c r="E162" s="484"/>
      <c r="F162" s="485"/>
      <c r="G162" s="237"/>
      <c r="H162" s="237"/>
      <c r="I162" s="237"/>
      <c r="J162" s="237"/>
      <c r="K162" s="237"/>
      <c r="L162" s="237"/>
      <c r="M162" s="35"/>
      <c r="N162" s="35"/>
      <c r="O162" s="35"/>
    </row>
    <row r="163" spans="1:15" s="190" customFormat="1" ht="20.100000000000001" customHeight="1">
      <c r="A163" s="209"/>
      <c r="B163" s="238"/>
      <c r="C163" s="481"/>
      <c r="D163" s="483"/>
      <c r="E163" s="484"/>
      <c r="F163" s="485"/>
      <c r="G163" s="237"/>
      <c r="H163" s="237"/>
      <c r="I163" s="237"/>
      <c r="J163" s="237"/>
      <c r="K163" s="237"/>
      <c r="L163" s="237"/>
      <c r="M163" s="35"/>
      <c r="N163" s="35"/>
      <c r="O163" s="35"/>
    </row>
    <row r="164" spans="1:15" s="190" customFormat="1" ht="20.100000000000001" customHeight="1">
      <c r="A164" s="209"/>
      <c r="B164" s="238"/>
      <c r="C164" s="481"/>
      <c r="D164" s="483"/>
      <c r="E164" s="484"/>
      <c r="F164" s="485"/>
      <c r="G164" s="237"/>
      <c r="H164" s="237"/>
      <c r="I164" s="237"/>
      <c r="J164" s="237"/>
      <c r="K164" s="237"/>
      <c r="L164" s="237"/>
      <c r="M164" s="35"/>
      <c r="N164" s="35"/>
      <c r="O164" s="35"/>
    </row>
    <row r="165" spans="1:15" s="190" customFormat="1" ht="20.100000000000001" customHeight="1">
      <c r="A165" s="209"/>
      <c r="B165" s="238"/>
      <c r="C165" s="481"/>
      <c r="D165" s="483"/>
      <c r="E165" s="484"/>
      <c r="F165" s="485"/>
      <c r="G165" s="237"/>
      <c r="H165" s="237"/>
      <c r="I165" s="237"/>
      <c r="J165" s="237"/>
      <c r="K165" s="237"/>
      <c r="L165" s="237"/>
      <c r="M165" s="35"/>
      <c r="N165" s="35"/>
      <c r="O165" s="35"/>
    </row>
    <row r="166" spans="1:15" s="190" customFormat="1" ht="20.100000000000001" customHeight="1">
      <c r="A166" s="209"/>
      <c r="B166" s="238"/>
      <c r="C166" s="481"/>
      <c r="D166" s="483"/>
      <c r="E166" s="484"/>
      <c r="F166" s="485"/>
      <c r="G166" s="237"/>
      <c r="H166" s="237"/>
      <c r="I166" s="237"/>
      <c r="J166" s="237"/>
      <c r="K166" s="237"/>
      <c r="L166" s="237"/>
      <c r="M166" s="35"/>
      <c r="N166" s="35"/>
      <c r="O166" s="35"/>
    </row>
    <row r="167" spans="1:15" s="190" customFormat="1" ht="20.100000000000001" customHeight="1">
      <c r="A167" s="209"/>
      <c r="B167" s="238"/>
      <c r="C167" s="481"/>
      <c r="D167" s="483"/>
      <c r="E167" s="484"/>
      <c r="F167" s="485"/>
      <c r="G167" s="237"/>
      <c r="H167" s="237"/>
      <c r="I167" s="237"/>
      <c r="J167" s="237"/>
      <c r="K167" s="237"/>
      <c r="L167" s="237"/>
      <c r="M167" s="35"/>
      <c r="N167" s="35"/>
      <c r="O167" s="35"/>
    </row>
    <row r="168" spans="1:15" s="190" customFormat="1" ht="20.100000000000001" customHeight="1">
      <c r="A168" s="209"/>
      <c r="B168" s="238"/>
      <c r="C168" s="481"/>
      <c r="D168" s="483"/>
      <c r="E168" s="484"/>
      <c r="F168" s="485"/>
      <c r="G168" s="237"/>
      <c r="H168" s="237"/>
      <c r="I168" s="237"/>
      <c r="J168" s="237"/>
      <c r="K168" s="237"/>
      <c r="L168" s="237"/>
      <c r="M168" s="35"/>
      <c r="N168" s="35"/>
      <c r="O168" s="35"/>
    </row>
    <row r="169" spans="1:15" s="190" customFormat="1" ht="20.100000000000001" customHeight="1">
      <c r="A169" s="209"/>
      <c r="B169" s="238"/>
      <c r="C169" s="481"/>
      <c r="D169" s="483"/>
      <c r="E169" s="484"/>
      <c r="F169" s="485"/>
      <c r="G169" s="237"/>
      <c r="H169" s="237"/>
      <c r="I169" s="237"/>
      <c r="J169" s="237"/>
      <c r="K169" s="237"/>
      <c r="L169" s="237"/>
      <c r="M169" s="35"/>
      <c r="N169" s="35"/>
      <c r="O169" s="35"/>
    </row>
    <row r="170" spans="1:15" s="190" customFormat="1" ht="20.100000000000001" customHeight="1">
      <c r="A170" s="209"/>
      <c r="B170" s="238"/>
      <c r="C170" s="481"/>
      <c r="D170" s="483"/>
      <c r="E170" s="484"/>
      <c r="F170" s="485"/>
      <c r="G170" s="237"/>
      <c r="H170" s="237"/>
      <c r="I170" s="237"/>
      <c r="J170" s="237"/>
      <c r="K170" s="237"/>
      <c r="L170" s="237"/>
      <c r="M170" s="35"/>
      <c r="N170" s="35"/>
      <c r="O170" s="35"/>
    </row>
    <row r="171" spans="1:15" s="190" customFormat="1" ht="20.100000000000001" customHeight="1">
      <c r="A171" s="209"/>
      <c r="B171" s="238"/>
      <c r="C171" s="481"/>
      <c r="D171" s="483"/>
      <c r="E171" s="484"/>
      <c r="F171" s="485"/>
      <c r="G171" s="237"/>
      <c r="H171" s="237"/>
      <c r="I171" s="237"/>
      <c r="J171" s="237"/>
      <c r="K171" s="237"/>
      <c r="L171" s="237"/>
      <c r="M171" s="35"/>
      <c r="N171" s="35"/>
      <c r="O171" s="35"/>
    </row>
    <row r="172" spans="1:15" s="190" customFormat="1" ht="20.100000000000001" customHeight="1" thickBot="1">
      <c r="A172" s="486"/>
      <c r="B172" s="252"/>
      <c r="C172" s="487"/>
      <c r="D172" s="488"/>
      <c r="E172" s="489"/>
      <c r="F172" s="490"/>
      <c r="G172" s="237"/>
      <c r="H172" s="237"/>
      <c r="I172" s="237"/>
      <c r="J172" s="237"/>
      <c r="K172" s="237"/>
      <c r="L172" s="237"/>
      <c r="M172" s="35"/>
      <c r="N172" s="35"/>
      <c r="O172" s="35"/>
    </row>
    <row r="173" spans="1:15" s="190" customFormat="1" ht="20.100000000000001" customHeight="1">
      <c r="A173" s="209" t="s">
        <v>898</v>
      </c>
      <c r="B173" s="209"/>
      <c r="C173" s="237"/>
      <c r="D173" s="237"/>
      <c r="E173" s="237"/>
      <c r="F173" s="237"/>
      <c r="G173" s="237"/>
      <c r="H173" s="237"/>
      <c r="I173" s="237"/>
      <c r="J173" s="237"/>
      <c r="K173" s="237"/>
      <c r="L173" s="237"/>
      <c r="M173" s="35"/>
      <c r="N173" s="35"/>
      <c r="O173" s="35"/>
    </row>
    <row r="174" spans="1:15" s="190" customFormat="1" ht="35.25" customHeight="1">
      <c r="A174" s="884" t="s">
        <v>719</v>
      </c>
      <c r="B174" s="884"/>
      <c r="C174" s="884"/>
      <c r="D174" s="884"/>
      <c r="E174" s="884"/>
      <c r="F174" s="884"/>
      <c r="G174" s="237"/>
      <c r="H174" s="237"/>
      <c r="I174" s="237"/>
      <c r="J174" s="237"/>
      <c r="K174" s="237"/>
      <c r="L174" s="237"/>
      <c r="M174" s="35"/>
      <c r="N174" s="35"/>
      <c r="O174" s="35"/>
    </row>
    <row r="175" spans="1:15" s="190" customFormat="1" ht="36" customHeight="1">
      <c r="A175" s="884" t="s">
        <v>720</v>
      </c>
      <c r="B175" s="884"/>
      <c r="C175" s="884"/>
      <c r="D175" s="884"/>
      <c r="E175" s="884"/>
      <c r="F175" s="884"/>
      <c r="G175" s="237"/>
      <c r="H175" s="237"/>
      <c r="I175" s="237"/>
      <c r="J175" s="237"/>
      <c r="K175" s="237"/>
      <c r="L175" s="237"/>
      <c r="M175" s="35"/>
      <c r="N175" s="35"/>
      <c r="O175" s="35"/>
    </row>
    <row r="176" spans="1:15" s="190" customFormat="1" ht="20.100000000000001" customHeight="1">
      <c r="A176" s="884" t="s">
        <v>721</v>
      </c>
      <c r="B176" s="884"/>
      <c r="C176" s="884"/>
      <c r="D176" s="884"/>
      <c r="E176" s="884"/>
      <c r="F176" s="884"/>
      <c r="G176" s="237"/>
      <c r="H176" s="237"/>
      <c r="I176" s="237"/>
      <c r="J176" s="237"/>
      <c r="K176" s="237"/>
      <c r="L176" s="237"/>
      <c r="M176" s="35"/>
      <c r="N176" s="35"/>
      <c r="O176" s="35"/>
    </row>
    <row r="177" spans="1:15" s="190" customFormat="1" ht="20.100000000000001" customHeight="1">
      <c r="A177" s="209" t="s">
        <v>899</v>
      </c>
      <c r="B177" s="209"/>
      <c r="C177" s="237"/>
      <c r="D177" s="237"/>
      <c r="E177" s="237"/>
      <c r="F177" s="237"/>
      <c r="G177" s="237"/>
      <c r="H177" s="237"/>
      <c r="I177" s="237"/>
      <c r="J177" s="237"/>
      <c r="K177" s="237"/>
      <c r="L177" s="237"/>
      <c r="M177" s="35"/>
      <c r="N177" s="35"/>
      <c r="O177" s="35"/>
    </row>
    <row r="178" spans="1:15" s="190" customFormat="1" ht="20.100000000000001" customHeight="1">
      <c r="A178" s="209" t="s">
        <v>527</v>
      </c>
      <c r="B178" s="209"/>
      <c r="C178" s="237"/>
      <c r="D178" s="237"/>
      <c r="E178" s="237"/>
      <c r="F178" s="237"/>
      <c r="G178" s="237"/>
      <c r="H178" s="237"/>
      <c r="I178" s="237"/>
      <c r="J178" s="237"/>
      <c r="K178" s="237"/>
      <c r="L178" s="237"/>
      <c r="M178" s="35"/>
      <c r="N178" s="35"/>
      <c r="O178" s="35"/>
    </row>
    <row r="179" spans="1:15" s="190" customFormat="1" ht="20.100000000000001" customHeight="1">
      <c r="A179" s="249" t="s">
        <v>722</v>
      </c>
      <c r="B179" s="249"/>
      <c r="C179" s="237"/>
      <c r="D179" s="237"/>
      <c r="E179" s="237"/>
      <c r="F179" s="237"/>
      <c r="G179" s="237"/>
      <c r="H179" s="237"/>
      <c r="I179" s="237"/>
      <c r="J179" s="237"/>
      <c r="K179" s="237"/>
      <c r="L179" s="237"/>
      <c r="M179" s="35"/>
      <c r="N179" s="35"/>
      <c r="O179" s="35"/>
    </row>
    <row r="180" spans="1:15" s="190" customFormat="1" ht="20.100000000000001" customHeight="1">
      <c r="A180" s="209" t="s">
        <v>723</v>
      </c>
      <c r="B180" s="209"/>
      <c r="C180" s="237"/>
      <c r="D180" s="237"/>
      <c r="E180" s="237"/>
      <c r="F180" s="237"/>
      <c r="G180" s="237"/>
      <c r="H180" s="237"/>
      <c r="I180" s="237"/>
      <c r="J180" s="237"/>
      <c r="K180" s="237"/>
      <c r="L180" s="237"/>
      <c r="M180" s="35"/>
      <c r="N180" s="35"/>
      <c r="O180" s="35"/>
    </row>
    <row r="181" spans="1:15" s="190" customFormat="1" ht="49.5" customHeight="1">
      <c r="A181" s="884" t="s">
        <v>724</v>
      </c>
      <c r="B181" s="884"/>
      <c r="C181" s="884"/>
      <c r="D181" s="884"/>
      <c r="E181" s="884"/>
      <c r="F181" s="884"/>
      <c r="G181" s="237"/>
      <c r="H181" s="237"/>
      <c r="I181" s="237"/>
      <c r="J181" s="237"/>
      <c r="K181" s="237"/>
      <c r="L181" s="237"/>
      <c r="M181" s="35"/>
      <c r="N181" s="35"/>
      <c r="O181" s="35"/>
    </row>
    <row r="182" spans="1:15" s="190" customFormat="1" ht="20.100000000000001" customHeight="1">
      <c r="A182" s="209" t="s">
        <v>725</v>
      </c>
      <c r="B182" s="209"/>
      <c r="C182" s="237"/>
      <c r="D182" s="237"/>
      <c r="E182" s="237"/>
      <c r="F182" s="237"/>
      <c r="G182" s="237"/>
      <c r="H182" s="237"/>
      <c r="I182" s="237"/>
      <c r="J182" s="237"/>
      <c r="K182" s="237"/>
      <c r="L182" s="237"/>
      <c r="M182" s="35"/>
      <c r="N182" s="35"/>
      <c r="O182" s="35"/>
    </row>
    <row r="183" spans="1:15" s="190" customFormat="1" ht="20.100000000000001" customHeight="1">
      <c r="A183" s="209" t="s">
        <v>900</v>
      </c>
      <c r="B183" s="209"/>
      <c r="C183" s="237"/>
      <c r="D183" s="237"/>
      <c r="E183" s="237"/>
      <c r="F183" s="237"/>
      <c r="G183" s="237"/>
      <c r="H183" s="237"/>
      <c r="I183" s="237"/>
      <c r="J183" s="237"/>
      <c r="K183" s="237"/>
      <c r="L183" s="237"/>
      <c r="M183" s="35"/>
      <c r="N183" s="35"/>
      <c r="O183" s="35"/>
    </row>
    <row r="184" spans="1:15" s="190" customFormat="1" ht="20.100000000000001" customHeight="1">
      <c r="A184" s="209" t="s">
        <v>751</v>
      </c>
      <c r="B184" s="209"/>
      <c r="C184" s="237"/>
      <c r="D184" s="237"/>
      <c r="E184" s="237"/>
      <c r="F184" s="237"/>
      <c r="G184" s="237"/>
      <c r="H184" s="237"/>
      <c r="I184" s="237"/>
      <c r="J184" s="237"/>
      <c r="K184" s="237"/>
      <c r="L184" s="237"/>
      <c r="M184" s="35"/>
      <c r="N184" s="35"/>
      <c r="O184" s="35"/>
    </row>
    <row r="185" spans="1:15" s="190" customFormat="1" ht="64.5" customHeight="1">
      <c r="A185" s="884" t="s">
        <v>726</v>
      </c>
      <c r="B185" s="884"/>
      <c r="C185" s="884"/>
      <c r="D185" s="884"/>
      <c r="E185" s="884"/>
      <c r="F185" s="884"/>
      <c r="G185" s="237"/>
      <c r="H185" s="237"/>
      <c r="I185" s="237"/>
      <c r="J185" s="237"/>
      <c r="K185" s="237"/>
      <c r="L185" s="237"/>
      <c r="M185" s="35"/>
      <c r="N185" s="35"/>
      <c r="O185" s="35"/>
    </row>
    <row r="186" spans="1:15" s="190" customFormat="1" ht="20.100000000000001" customHeight="1" thickBot="1">
      <c r="A186" s="209" t="s">
        <v>752</v>
      </c>
      <c r="B186" s="209"/>
      <c r="C186" s="237"/>
      <c r="D186" s="237"/>
      <c r="E186" s="237"/>
      <c r="F186" s="237"/>
      <c r="G186" s="237"/>
      <c r="H186" s="237"/>
      <c r="I186" s="237"/>
      <c r="J186" s="237"/>
      <c r="K186" s="237"/>
      <c r="L186" s="237"/>
      <c r="M186" s="35"/>
      <c r="N186" s="35"/>
      <c r="O186" s="35"/>
    </row>
    <row r="187" spans="1:15" s="190" customFormat="1" ht="20.100000000000001" customHeight="1" thickBot="1">
      <c r="A187" s="917" t="s">
        <v>509</v>
      </c>
      <c r="B187" s="917"/>
      <c r="C187" s="328" t="s">
        <v>1026</v>
      </c>
      <c r="D187" s="328" t="s">
        <v>1234</v>
      </c>
      <c r="E187" s="328" t="s">
        <v>1235</v>
      </c>
      <c r="F187" s="328"/>
      <c r="G187" s="328"/>
      <c r="H187" s="328"/>
      <c r="I187" s="237"/>
      <c r="J187" s="237"/>
      <c r="K187" s="237"/>
      <c r="L187" s="237"/>
      <c r="M187" s="35"/>
      <c r="N187" s="35"/>
      <c r="O187" s="35"/>
    </row>
    <row r="188" spans="1:15" s="190" customFormat="1" ht="20.100000000000001" customHeight="1">
      <c r="A188" s="918" t="s">
        <v>572</v>
      </c>
      <c r="B188" s="918"/>
      <c r="C188" s="257"/>
      <c r="D188" s="257"/>
      <c r="E188" s="257"/>
      <c r="F188" s="255"/>
      <c r="G188" s="255"/>
      <c r="H188" s="255"/>
      <c r="I188" s="237"/>
      <c r="J188" s="237"/>
      <c r="K188" s="237"/>
      <c r="L188" s="237"/>
      <c r="M188" s="35"/>
      <c r="N188" s="35"/>
      <c r="O188" s="35"/>
    </row>
    <row r="189" spans="1:15" s="190" customFormat="1" ht="20.100000000000001" customHeight="1">
      <c r="A189" s="912" t="s">
        <v>573</v>
      </c>
      <c r="B189" s="912"/>
      <c r="C189" s="491"/>
      <c r="D189" s="491"/>
      <c r="E189" s="491"/>
      <c r="F189" s="492"/>
      <c r="G189" s="492"/>
      <c r="H189" s="492"/>
      <c r="I189" s="237"/>
      <c r="J189" s="237"/>
      <c r="K189" s="237"/>
      <c r="L189" s="237"/>
      <c r="M189" s="35"/>
      <c r="N189" s="35"/>
      <c r="O189" s="35"/>
    </row>
    <row r="190" spans="1:15" s="190" customFormat="1" ht="20.100000000000001" customHeight="1">
      <c r="A190" s="912" t="s">
        <v>574</v>
      </c>
      <c r="B190" s="912"/>
      <c r="C190" s="491"/>
      <c r="D190" s="491"/>
      <c r="E190" s="491"/>
      <c r="F190" s="492"/>
      <c r="G190" s="492"/>
      <c r="H190" s="492"/>
      <c r="I190" s="237"/>
      <c r="J190" s="237"/>
      <c r="K190" s="237"/>
      <c r="L190" s="237"/>
      <c r="M190" s="35"/>
      <c r="N190" s="35"/>
      <c r="O190" s="35"/>
    </row>
    <row r="191" spans="1:15" s="190" customFormat="1" ht="20.100000000000001" customHeight="1">
      <c r="A191" s="912" t="s">
        <v>575</v>
      </c>
      <c r="B191" s="912"/>
      <c r="C191" s="491"/>
      <c r="D191" s="491"/>
      <c r="E191" s="491"/>
      <c r="F191" s="492"/>
      <c r="G191" s="492"/>
      <c r="H191" s="492"/>
      <c r="I191" s="237"/>
      <c r="J191" s="237"/>
      <c r="K191" s="237"/>
      <c r="L191" s="237"/>
      <c r="M191" s="35"/>
      <c r="N191" s="35"/>
      <c r="O191" s="35"/>
    </row>
    <row r="192" spans="1:15" s="190" customFormat="1" ht="20.100000000000001" customHeight="1">
      <c r="A192" s="912" t="s">
        <v>576</v>
      </c>
      <c r="B192" s="912"/>
      <c r="C192" s="491"/>
      <c r="D192" s="491"/>
      <c r="E192" s="491"/>
      <c r="F192" s="492"/>
      <c r="G192" s="492"/>
      <c r="H192" s="492"/>
      <c r="I192" s="237"/>
      <c r="J192" s="237"/>
      <c r="K192" s="237"/>
      <c r="L192" s="237"/>
      <c r="M192" s="35"/>
      <c r="N192" s="35"/>
      <c r="O192" s="35"/>
    </row>
    <row r="193" spans="1:16" s="190" customFormat="1" ht="20.100000000000001" customHeight="1">
      <c r="A193" s="912" t="s">
        <v>577</v>
      </c>
      <c r="B193" s="912"/>
      <c r="C193" s="491"/>
      <c r="D193" s="491"/>
      <c r="E193" s="491"/>
      <c r="F193" s="492"/>
      <c r="G193" s="492"/>
      <c r="H193" s="492"/>
      <c r="I193" s="237"/>
      <c r="J193" s="237"/>
      <c r="K193" s="237"/>
      <c r="L193" s="237"/>
      <c r="M193" s="35"/>
      <c r="N193" s="35"/>
      <c r="O193" s="35"/>
    </row>
    <row r="194" spans="1:16" s="190" customFormat="1" ht="20.100000000000001" customHeight="1">
      <c r="A194" s="918" t="s">
        <v>578</v>
      </c>
      <c r="B194" s="918"/>
      <c r="C194" s="493"/>
      <c r="D194" s="493"/>
      <c r="E194" s="493"/>
      <c r="F194" s="493"/>
      <c r="G194" s="493"/>
      <c r="H194" s="493"/>
      <c r="I194" s="237"/>
      <c r="J194" s="237"/>
      <c r="K194" s="237"/>
      <c r="L194" s="237"/>
      <c r="M194" s="35"/>
      <c r="N194" s="35"/>
      <c r="O194" s="35"/>
    </row>
    <row r="195" spans="1:16" s="190" customFormat="1" ht="36.75" customHeight="1">
      <c r="A195" s="912" t="s">
        <v>579</v>
      </c>
      <c r="B195" s="912"/>
      <c r="C195" s="491"/>
      <c r="D195" s="491"/>
      <c r="E195" s="491"/>
      <c r="F195" s="492"/>
      <c r="G195" s="492"/>
      <c r="H195" s="492"/>
      <c r="I195" s="237"/>
      <c r="J195" s="237"/>
      <c r="K195" s="237"/>
      <c r="L195" s="237"/>
      <c r="M195" s="35"/>
      <c r="N195" s="35"/>
      <c r="O195" s="35"/>
    </row>
    <row r="196" spans="1:16" s="190" customFormat="1" ht="20.100000000000001" customHeight="1">
      <c r="A196" s="918" t="s">
        <v>580</v>
      </c>
      <c r="B196" s="918"/>
      <c r="C196" s="491"/>
      <c r="D196" s="491"/>
      <c r="E196" s="491"/>
      <c r="F196" s="492"/>
      <c r="G196" s="492"/>
      <c r="H196" s="492"/>
      <c r="I196" s="237"/>
      <c r="J196" s="237"/>
      <c r="K196" s="237"/>
      <c r="L196" s="237"/>
      <c r="M196" s="35"/>
      <c r="N196" s="35"/>
      <c r="O196" s="35"/>
    </row>
    <row r="197" spans="1:16" s="190" customFormat="1" ht="20.100000000000001" customHeight="1">
      <c r="A197" s="912" t="s">
        <v>581</v>
      </c>
      <c r="B197" s="912"/>
      <c r="C197" s="491"/>
      <c r="D197" s="491"/>
      <c r="E197" s="491"/>
      <c r="F197" s="492"/>
      <c r="G197" s="492"/>
      <c r="H197" s="492"/>
      <c r="I197" s="237"/>
      <c r="J197" s="237"/>
      <c r="K197" s="237"/>
      <c r="L197" s="237"/>
      <c r="M197" s="35"/>
      <c r="N197" s="35"/>
      <c r="O197" s="35"/>
    </row>
    <row r="198" spans="1:16" s="190" customFormat="1" ht="20.100000000000001" customHeight="1">
      <c r="A198" s="912" t="s">
        <v>727</v>
      </c>
      <c r="B198" s="912"/>
      <c r="C198" s="491"/>
      <c r="D198" s="491"/>
      <c r="E198" s="491"/>
      <c r="F198" s="492"/>
      <c r="G198" s="492"/>
      <c r="H198" s="492"/>
      <c r="I198" s="440"/>
      <c r="J198" s="440"/>
      <c r="K198" s="440"/>
      <c r="L198" s="440"/>
    </row>
    <row r="199" spans="1:16" s="190" customFormat="1" ht="20.100000000000001" customHeight="1" thickBot="1">
      <c r="A199" s="937" t="s">
        <v>728</v>
      </c>
      <c r="B199" s="937"/>
      <c r="C199" s="494"/>
      <c r="D199" s="494"/>
      <c r="E199" s="494"/>
      <c r="F199" s="495"/>
      <c r="G199" s="495"/>
      <c r="H199" s="495"/>
      <c r="I199" s="440"/>
      <c r="J199" s="440"/>
      <c r="K199" s="440"/>
      <c r="L199" s="440"/>
    </row>
    <row r="200" spans="1:16" s="190" customFormat="1" ht="20.100000000000001" customHeight="1">
      <c r="A200" s="209" t="s">
        <v>729</v>
      </c>
      <c r="B200" s="440"/>
      <c r="C200" s="440"/>
      <c r="D200" s="440"/>
      <c r="E200" s="440"/>
      <c r="F200" s="440"/>
      <c r="G200" s="440"/>
      <c r="H200" s="440"/>
      <c r="I200" s="440"/>
      <c r="J200" s="440"/>
      <c r="K200" s="440"/>
      <c r="L200" s="440"/>
    </row>
    <row r="201" spans="1:16" s="190" customFormat="1" ht="20.100000000000001" customHeight="1" thickBot="1">
      <c r="A201" s="272" t="s">
        <v>845</v>
      </c>
      <c r="B201" s="232"/>
      <c r="C201" s="233"/>
      <c r="D201" s="233"/>
      <c r="E201" s="233"/>
      <c r="F201" s="233"/>
      <c r="G201" s="233"/>
      <c r="H201" s="233"/>
      <c r="I201" s="233"/>
      <c r="J201" s="233"/>
      <c r="K201" s="233"/>
      <c r="L201" s="233"/>
      <c r="M201" s="496"/>
      <c r="N201" s="496"/>
      <c r="O201" s="496"/>
      <c r="P201" s="496"/>
    </row>
    <row r="202" spans="1:16" s="190" customFormat="1" ht="20.100000000000001" customHeight="1" thickBot="1">
      <c r="A202" s="914" t="s">
        <v>509</v>
      </c>
      <c r="B202" s="914"/>
      <c r="C202" s="327" t="s">
        <v>730</v>
      </c>
      <c r="D202" s="327" t="s">
        <v>515</v>
      </c>
      <c r="E202" s="327" t="s">
        <v>516</v>
      </c>
      <c r="F202" s="497" t="s">
        <v>517</v>
      </c>
      <c r="G202" s="233"/>
      <c r="H202" s="233"/>
      <c r="I202" s="233"/>
      <c r="J202" s="233"/>
      <c r="K202" s="233"/>
      <c r="L202" s="233"/>
      <c r="M202" s="496"/>
      <c r="N202" s="496"/>
      <c r="O202" s="496"/>
      <c r="P202" s="496"/>
    </row>
    <row r="203" spans="1:16" s="190" customFormat="1" ht="20.100000000000001" customHeight="1">
      <c r="A203" s="915" t="s">
        <v>731</v>
      </c>
      <c r="B203" s="915"/>
      <c r="C203" s="498">
        <f>'长期股权投资审定表G7-1'!C23</f>
        <v>0</v>
      </c>
      <c r="D203" s="498">
        <f>'长期股权投资审定表G7-1'!D23</f>
        <v>0</v>
      </c>
      <c r="E203" s="498">
        <f>'长期股权投资审定表G7-1'!E23</f>
        <v>0</v>
      </c>
      <c r="F203" s="499">
        <f>C203+D203-E203</f>
        <v>0</v>
      </c>
      <c r="G203" s="233"/>
      <c r="H203" s="233"/>
      <c r="I203" s="233"/>
      <c r="J203" s="233"/>
      <c r="K203" s="233"/>
      <c r="L203" s="233"/>
      <c r="M203" s="496"/>
      <c r="N203" s="496"/>
      <c r="O203" s="496"/>
      <c r="P203" s="496"/>
    </row>
    <row r="204" spans="1:16" s="190" customFormat="1" ht="20.100000000000001" customHeight="1">
      <c r="A204" s="924" t="s">
        <v>732</v>
      </c>
      <c r="B204" s="924"/>
      <c r="C204" s="500">
        <f>'长期股权投资审定表G7-1'!C24</f>
        <v>0</v>
      </c>
      <c r="D204" s="500">
        <f>'长期股权投资审定表G7-1'!D24</f>
        <v>0</v>
      </c>
      <c r="E204" s="500">
        <f>'长期股权投资审定表G7-1'!E24</f>
        <v>0</v>
      </c>
      <c r="F204" s="500">
        <f>C204+D204-E204</f>
        <v>0</v>
      </c>
      <c r="G204" s="233"/>
      <c r="H204" s="233"/>
      <c r="I204" s="233"/>
      <c r="J204" s="233"/>
      <c r="K204" s="233"/>
      <c r="L204" s="233"/>
      <c r="M204" s="496"/>
      <c r="N204" s="496"/>
      <c r="O204" s="496"/>
      <c r="P204" s="496"/>
    </row>
    <row r="205" spans="1:16" s="190" customFormat="1" ht="20.100000000000001" customHeight="1" thickBot="1">
      <c r="A205" s="934" t="s">
        <v>511</v>
      </c>
      <c r="B205" s="934"/>
      <c r="C205" s="500">
        <f>'长期股权投资审定表G7-1'!C25</f>
        <v>0</v>
      </c>
      <c r="D205" s="500">
        <f>'长期股权投资审定表G7-1'!D25</f>
        <v>0</v>
      </c>
      <c r="E205" s="500">
        <f>'长期股权投资审定表G7-1'!E25</f>
        <v>0</v>
      </c>
      <c r="F205" s="500">
        <f>C205+D205-E205</f>
        <v>0</v>
      </c>
      <c r="G205" s="233"/>
      <c r="H205" s="233"/>
      <c r="I205" s="233"/>
      <c r="J205" s="233"/>
      <c r="K205" s="233"/>
      <c r="L205" s="233"/>
      <c r="M205" s="496"/>
      <c r="N205" s="496"/>
      <c r="O205" s="496"/>
      <c r="P205" s="496"/>
    </row>
    <row r="206" spans="1:16" s="190" customFormat="1" ht="20.100000000000001" customHeight="1">
      <c r="A206" s="935" t="s">
        <v>733</v>
      </c>
      <c r="B206" s="935"/>
      <c r="C206" s="501">
        <f>SUM(C203:C205)</f>
        <v>0</v>
      </c>
      <c r="D206" s="501">
        <f t="shared" ref="D206:E206" si="0">SUM(D203:D205)</f>
        <v>0</v>
      </c>
      <c r="E206" s="501">
        <f t="shared" si="0"/>
        <v>0</v>
      </c>
      <c r="F206" s="501">
        <f>C206+D206-E206</f>
        <v>0</v>
      </c>
      <c r="G206" s="233"/>
      <c r="H206" s="233"/>
      <c r="I206" s="233"/>
      <c r="J206" s="233"/>
      <c r="K206" s="233"/>
      <c r="L206" s="233"/>
      <c r="M206" s="496"/>
      <c r="N206" s="496"/>
      <c r="O206" s="496"/>
      <c r="P206" s="496"/>
    </row>
    <row r="207" spans="1:16" s="190" customFormat="1" ht="20.100000000000001" customHeight="1" thickBot="1">
      <c r="A207" s="934" t="s">
        <v>734</v>
      </c>
      <c r="B207" s="934"/>
      <c r="C207" s="502">
        <f>'长期股权投资审定表G7-1'!C43</f>
        <v>0</v>
      </c>
      <c r="D207" s="502">
        <f>'长期股权投资审定表G7-1'!D43</f>
        <v>0</v>
      </c>
      <c r="E207" s="502">
        <f>'长期股权投资审定表G7-1'!E43</f>
        <v>0</v>
      </c>
      <c r="F207" s="502">
        <f>C207+D207-E207</f>
        <v>0</v>
      </c>
      <c r="G207" s="233"/>
      <c r="H207" s="233"/>
      <c r="I207" s="233"/>
      <c r="J207" s="233"/>
      <c r="K207" s="233"/>
      <c r="L207" s="233"/>
      <c r="M207" s="496"/>
      <c r="N207" s="496"/>
      <c r="O207" s="496"/>
      <c r="P207" s="496"/>
    </row>
    <row r="208" spans="1:16" s="190" customFormat="1" ht="20.100000000000001" customHeight="1">
      <c r="A208" s="936" t="s">
        <v>512</v>
      </c>
      <c r="B208" s="936"/>
      <c r="C208" s="499">
        <f>C206-C207</f>
        <v>0</v>
      </c>
      <c r="D208" s="499">
        <f t="shared" ref="D208:F208" si="1">D206-D207</f>
        <v>0</v>
      </c>
      <c r="E208" s="499">
        <f t="shared" si="1"/>
        <v>0</v>
      </c>
      <c r="F208" s="499">
        <f t="shared" si="1"/>
        <v>0</v>
      </c>
      <c r="G208" s="233"/>
      <c r="H208" s="233"/>
      <c r="I208" s="233"/>
      <c r="J208" s="233"/>
      <c r="K208" s="233"/>
      <c r="L208" s="233"/>
      <c r="M208" s="496"/>
      <c r="N208" s="496"/>
      <c r="O208" s="496"/>
      <c r="P208" s="496"/>
    </row>
    <row r="209" spans="1:16" s="190" customFormat="1" ht="20.100000000000001" customHeight="1" thickBot="1">
      <c r="A209" s="503" t="s">
        <v>901</v>
      </c>
      <c r="B209"/>
      <c r="C209"/>
      <c r="D209"/>
      <c r="E209"/>
      <c r="F209"/>
      <c r="G209"/>
      <c r="H209"/>
      <c r="I209"/>
      <c r="J209"/>
      <c r="K209"/>
      <c r="L209"/>
      <c r="M209"/>
      <c r="N209" s="496"/>
      <c r="O209" s="496"/>
      <c r="P209" s="496"/>
    </row>
    <row r="210" spans="1:16" s="190" customFormat="1" ht="15.6" customHeight="1">
      <c r="A210" s="938" t="s">
        <v>513</v>
      </c>
      <c r="B210" s="911" t="s">
        <v>902</v>
      </c>
      <c r="C210" s="878" t="s">
        <v>903</v>
      </c>
      <c r="D210" s="910" t="s">
        <v>518</v>
      </c>
      <c r="E210" s="910"/>
      <c r="F210" s="910"/>
      <c r="G210" s="910"/>
      <c r="H210" s="910"/>
      <c r="I210" s="910"/>
      <c r="J210" s="910"/>
      <c r="K210" s="910"/>
      <c r="L210" s="911" t="s">
        <v>517</v>
      </c>
      <c r="M210" s="911" t="s">
        <v>519</v>
      </c>
      <c r="N210" s="496"/>
      <c r="O210" s="496"/>
      <c r="P210" s="496"/>
    </row>
    <row r="211" spans="1:16" s="190" customFormat="1" ht="15.6" customHeight="1" thickBot="1">
      <c r="A211" s="939"/>
      <c r="B211" s="882"/>
      <c r="C211" s="880"/>
      <c r="D211" s="437" t="s">
        <v>520</v>
      </c>
      <c r="E211" s="437" t="s">
        <v>521</v>
      </c>
      <c r="F211" s="437" t="s">
        <v>904</v>
      </c>
      <c r="G211" s="437" t="s">
        <v>905</v>
      </c>
      <c r="H211" s="437" t="s">
        <v>522</v>
      </c>
      <c r="I211" s="437" t="s">
        <v>523</v>
      </c>
      <c r="J211" s="437" t="s">
        <v>860</v>
      </c>
      <c r="K211" s="437" t="s">
        <v>524</v>
      </c>
      <c r="L211" s="882"/>
      <c r="M211" s="882"/>
      <c r="N211" s="496"/>
      <c r="O211" s="496"/>
      <c r="P211" s="496"/>
    </row>
    <row r="212" spans="1:16" s="190" customFormat="1" ht="15.6" customHeight="1">
      <c r="A212" s="504" t="s">
        <v>906</v>
      </c>
      <c r="B212" s="424"/>
      <c r="C212" s="424"/>
      <c r="D212" s="424"/>
      <c r="E212" s="424"/>
      <c r="F212" s="424"/>
      <c r="G212" s="424"/>
      <c r="H212" s="424"/>
      <c r="I212" s="424"/>
      <c r="J212" s="424"/>
      <c r="K212" s="424"/>
      <c r="L212" s="424"/>
      <c r="M212" s="424"/>
      <c r="N212" s="496"/>
      <c r="O212" s="496"/>
      <c r="P212" s="496"/>
    </row>
    <row r="213" spans="1:16" s="190" customFormat="1" ht="15.6" customHeight="1">
      <c r="A213" s="505"/>
      <c r="B213" s="424"/>
      <c r="C213" s="424"/>
      <c r="D213" s="424"/>
      <c r="E213" s="424"/>
      <c r="F213" s="424"/>
      <c r="G213" s="424"/>
      <c r="H213" s="424"/>
      <c r="I213" s="424"/>
      <c r="J213" s="424"/>
      <c r="K213" s="424"/>
      <c r="L213" s="424"/>
      <c r="M213" s="424"/>
      <c r="N213" s="496"/>
      <c r="O213" s="496"/>
      <c r="P213" s="496"/>
    </row>
    <row r="214" spans="1:16" s="190" customFormat="1" ht="15.6" customHeight="1">
      <c r="A214" s="505"/>
      <c r="B214" s="424"/>
      <c r="C214" s="424"/>
      <c r="D214" s="424"/>
      <c r="E214" s="424"/>
      <c r="F214" s="424"/>
      <c r="G214" s="424"/>
      <c r="H214" s="424"/>
      <c r="I214" s="424"/>
      <c r="J214" s="424"/>
      <c r="K214" s="424"/>
      <c r="L214" s="424"/>
      <c r="M214" s="424"/>
      <c r="N214" s="496"/>
      <c r="O214" s="496"/>
      <c r="P214" s="496"/>
    </row>
    <row r="215" spans="1:16" s="190" customFormat="1" ht="15.6" customHeight="1">
      <c r="A215" s="505"/>
      <c r="B215" s="424"/>
      <c r="C215" s="424"/>
      <c r="D215" s="424"/>
      <c r="E215" s="424"/>
      <c r="F215" s="424"/>
      <c r="G215" s="424"/>
      <c r="H215" s="424"/>
      <c r="I215" s="424"/>
      <c r="J215" s="424"/>
      <c r="K215" s="424"/>
      <c r="L215" s="424"/>
      <c r="M215" s="424"/>
      <c r="N215" s="496"/>
      <c r="O215" s="496"/>
      <c r="P215" s="496"/>
    </row>
    <row r="216" spans="1:16" s="190" customFormat="1" ht="15.6" customHeight="1">
      <c r="A216" s="506" t="s">
        <v>907</v>
      </c>
      <c r="B216" s="424"/>
      <c r="C216" s="424"/>
      <c r="D216" s="424"/>
      <c r="E216" s="424"/>
      <c r="F216" s="424"/>
      <c r="G216" s="424"/>
      <c r="H216" s="424"/>
      <c r="I216" s="424"/>
      <c r="J216" s="424"/>
      <c r="K216" s="424"/>
      <c r="L216" s="424"/>
      <c r="M216" s="424"/>
      <c r="N216" s="496"/>
      <c r="O216" s="496"/>
      <c r="P216" s="496"/>
    </row>
    <row r="217" spans="1:16" s="190" customFormat="1" ht="15.6" customHeight="1">
      <c r="A217" s="504" t="s">
        <v>908</v>
      </c>
      <c r="B217" s="424"/>
      <c r="C217" s="424"/>
      <c r="D217" s="424"/>
      <c r="E217" s="424"/>
      <c r="F217" s="424"/>
      <c r="G217" s="424"/>
      <c r="H217" s="424"/>
      <c r="I217" s="424"/>
      <c r="J217" s="424"/>
      <c r="K217" s="424"/>
      <c r="L217" s="424"/>
      <c r="M217" s="424"/>
      <c r="N217" s="496"/>
      <c r="O217" s="496"/>
      <c r="P217" s="496"/>
    </row>
    <row r="218" spans="1:16" s="190" customFormat="1" ht="15.6" customHeight="1">
      <c r="A218" s="505"/>
      <c r="B218" s="424"/>
      <c r="C218" s="424"/>
      <c r="D218" s="424"/>
      <c r="E218" s="424"/>
      <c r="F218" s="424"/>
      <c r="G218" s="424"/>
      <c r="H218" s="424"/>
      <c r="I218" s="424"/>
      <c r="J218" s="424"/>
      <c r="K218" s="424"/>
      <c r="L218" s="424"/>
      <c r="M218" s="424"/>
      <c r="N218" s="496"/>
      <c r="O218" s="496"/>
      <c r="P218" s="496"/>
    </row>
    <row r="219" spans="1:16" s="190" customFormat="1" ht="20.100000000000001" customHeight="1">
      <c r="A219" s="505"/>
      <c r="B219" s="424"/>
      <c r="C219" s="424"/>
      <c r="D219" s="424"/>
      <c r="E219" s="424"/>
      <c r="F219" s="424"/>
      <c r="G219" s="424"/>
      <c r="H219" s="424"/>
      <c r="I219" s="424"/>
      <c r="J219" s="424"/>
      <c r="K219" s="424"/>
      <c r="L219" s="424"/>
      <c r="M219" s="424"/>
      <c r="N219" s="496"/>
      <c r="O219" s="496"/>
      <c r="P219" s="496"/>
    </row>
    <row r="220" spans="1:16" s="190" customFormat="1" ht="20.100000000000001" customHeight="1">
      <c r="A220" s="505"/>
      <c r="B220" s="424"/>
      <c r="C220" s="424"/>
      <c r="D220" s="424"/>
      <c r="E220" s="424"/>
      <c r="F220" s="424"/>
      <c r="G220" s="424"/>
      <c r="H220" s="424"/>
      <c r="I220" s="424"/>
      <c r="J220" s="424"/>
      <c r="K220" s="424"/>
      <c r="L220" s="424"/>
      <c r="M220" s="424"/>
      <c r="N220" s="496"/>
      <c r="O220" s="496"/>
      <c r="P220" s="496"/>
    </row>
    <row r="221" spans="1:16" s="190" customFormat="1" ht="20.100000000000001" customHeight="1" thickBot="1">
      <c r="A221" s="507" t="s">
        <v>907</v>
      </c>
      <c r="B221" s="427"/>
      <c r="C221" s="427"/>
      <c r="D221" s="427"/>
      <c r="E221" s="427"/>
      <c r="F221" s="427"/>
      <c r="G221" s="427"/>
      <c r="H221" s="427"/>
      <c r="I221" s="427"/>
      <c r="J221" s="427"/>
      <c r="K221" s="427"/>
      <c r="L221" s="427"/>
      <c r="M221" s="427"/>
      <c r="N221" s="496"/>
      <c r="O221" s="496"/>
      <c r="P221" s="496"/>
    </row>
    <row r="222" spans="1:16" s="190" customFormat="1" ht="20.100000000000001" customHeight="1" thickBot="1">
      <c r="A222" s="508" t="s">
        <v>909</v>
      </c>
      <c r="B222" s="429"/>
      <c r="C222" s="429"/>
      <c r="D222" s="429"/>
      <c r="E222" s="429"/>
      <c r="F222" s="429"/>
      <c r="G222" s="429"/>
      <c r="H222" s="429"/>
      <c r="I222" s="429"/>
      <c r="J222" s="429"/>
      <c r="K222" s="429"/>
      <c r="L222" s="429"/>
      <c r="M222" s="429"/>
      <c r="N222" s="496"/>
      <c r="O222" s="496"/>
      <c r="P222" s="496"/>
    </row>
    <row r="223" spans="1:16" s="190" customFormat="1" ht="20.100000000000001" customHeight="1">
      <c r="A223" s="509" t="s">
        <v>910</v>
      </c>
      <c r="B223"/>
      <c r="C223"/>
      <c r="D223"/>
      <c r="E223"/>
      <c r="F223"/>
      <c r="G223"/>
      <c r="H223"/>
      <c r="I223"/>
      <c r="J223"/>
      <c r="K223"/>
      <c r="L223"/>
      <c r="M223"/>
      <c r="N223" s="496"/>
      <c r="O223" s="496"/>
      <c r="P223" s="496"/>
    </row>
    <row r="224" spans="1:16" s="190" customFormat="1" ht="20.100000000000001" customHeight="1">
      <c r="A224" s="233" t="s">
        <v>527</v>
      </c>
      <c r="B224" s="233"/>
      <c r="C224" s="233"/>
      <c r="D224" s="233"/>
      <c r="E224" s="233"/>
      <c r="F224" s="233"/>
      <c r="G224" s="233"/>
      <c r="H224" s="233"/>
      <c r="I224" s="233"/>
      <c r="J224" s="233"/>
      <c r="K224" s="233"/>
      <c r="L224" s="233"/>
      <c r="M224" s="496"/>
      <c r="N224" s="496"/>
      <c r="O224" s="496"/>
      <c r="P224" s="496"/>
    </row>
    <row r="225" spans="1:16" s="190" customFormat="1" ht="20.100000000000001" customHeight="1">
      <c r="A225" s="894" t="s">
        <v>735</v>
      </c>
      <c r="B225" s="894"/>
      <c r="C225" s="894"/>
      <c r="D225" s="894"/>
      <c r="E225" s="894"/>
      <c r="F225" s="894"/>
      <c r="G225" s="894"/>
      <c r="H225" s="894"/>
      <c r="I225" s="894"/>
      <c r="J225" s="894"/>
      <c r="K225" s="894"/>
      <c r="L225" s="894"/>
      <c r="M225" s="496"/>
      <c r="N225" s="496"/>
      <c r="O225" s="496"/>
      <c r="P225" s="496"/>
    </row>
    <row r="226" spans="1:16" s="190" customFormat="1" ht="20.100000000000001" customHeight="1">
      <c r="A226" s="892" t="s">
        <v>594</v>
      </c>
      <c r="B226" s="892"/>
      <c r="C226" s="892"/>
      <c r="D226" s="892"/>
      <c r="E226" s="892"/>
      <c r="F226" s="892"/>
      <c r="G226" s="892"/>
      <c r="H226" s="892"/>
      <c r="I226" s="892"/>
      <c r="J226" s="892"/>
      <c r="K226" s="892"/>
      <c r="L226" s="892"/>
      <c r="M226" s="496"/>
      <c r="N226" s="496"/>
      <c r="O226" s="496"/>
      <c r="P226" s="496"/>
    </row>
    <row r="227" spans="1:16" s="190" customFormat="1" ht="20.100000000000001" customHeight="1">
      <c r="A227" s="892" t="s">
        <v>595</v>
      </c>
      <c r="B227" s="892"/>
      <c r="C227" s="892"/>
      <c r="D227" s="892"/>
      <c r="E227" s="892"/>
      <c r="F227" s="892"/>
      <c r="G227" s="892"/>
      <c r="H227" s="892"/>
      <c r="I227" s="892"/>
      <c r="J227" s="892"/>
      <c r="K227" s="892"/>
      <c r="L227" s="892"/>
      <c r="M227" s="496"/>
      <c r="N227" s="496"/>
      <c r="O227" s="496"/>
      <c r="P227" s="496"/>
    </row>
    <row r="228" spans="1:16" s="190" customFormat="1" ht="20.100000000000001" customHeight="1" thickBot="1">
      <c r="A228" s="892" t="s">
        <v>596</v>
      </c>
      <c r="B228" s="892"/>
      <c r="C228" s="892"/>
      <c r="D228" s="892"/>
      <c r="E228" s="892"/>
      <c r="F228" s="892"/>
      <c r="G228" s="892"/>
      <c r="H228" s="892"/>
      <c r="I228" s="892"/>
      <c r="J228" s="892"/>
      <c r="K228" s="892"/>
      <c r="L228" s="892"/>
      <c r="M228" s="496"/>
      <c r="N228" s="496"/>
      <c r="O228" s="496"/>
      <c r="P228" s="496"/>
    </row>
    <row r="229" spans="1:16" s="190" customFormat="1" ht="20.100000000000001" customHeight="1">
      <c r="A229" s="890" t="s">
        <v>597</v>
      </c>
      <c r="B229" s="890"/>
      <c r="C229" s="901" t="str">
        <f>'被投资单位财务信息（合营、联营）G7-5'!C8</f>
        <v>合营企业1</v>
      </c>
      <c r="D229" s="901"/>
      <c r="E229" s="901"/>
      <c r="F229" s="901"/>
      <c r="G229" s="901"/>
      <c r="H229" s="901"/>
      <c r="I229" s="233"/>
      <c r="J229" s="233"/>
      <c r="K229" s="233"/>
      <c r="L229" s="233"/>
    </row>
    <row r="230" spans="1:16" s="190" customFormat="1" ht="20.100000000000001" customHeight="1" thickBot="1">
      <c r="A230" s="891"/>
      <c r="B230" s="891"/>
      <c r="C230" s="326" t="s">
        <v>54</v>
      </c>
      <c r="D230" s="326" t="s">
        <v>55</v>
      </c>
      <c r="E230" s="326"/>
      <c r="F230" s="326"/>
      <c r="G230" s="326"/>
      <c r="H230" s="326"/>
      <c r="I230" s="233"/>
      <c r="J230" s="233"/>
      <c r="K230" s="233"/>
      <c r="L230" s="233"/>
    </row>
    <row r="231" spans="1:16" s="190" customFormat="1" ht="20.100000000000001" customHeight="1">
      <c r="A231" s="930" t="s">
        <v>56</v>
      </c>
      <c r="B231" s="930"/>
      <c r="C231" s="510">
        <f>'被投资单位财务信息（合营、联营）G7-5'!C10</f>
        <v>0</v>
      </c>
      <c r="D231" s="510">
        <f>'被投资单位财务信息（合营、联营）G7-5'!D10</f>
        <v>0</v>
      </c>
      <c r="E231" s="510"/>
      <c r="F231" s="510"/>
      <c r="G231" s="510"/>
      <c r="H231" s="510"/>
      <c r="I231" s="233"/>
      <c r="J231" s="233"/>
      <c r="K231" s="233"/>
      <c r="L231" s="233"/>
    </row>
    <row r="232" spans="1:16" s="190" customFormat="1" ht="20.100000000000001" customHeight="1">
      <c r="A232" s="885" t="s">
        <v>57</v>
      </c>
      <c r="B232" s="885"/>
      <c r="C232" s="510">
        <f>'被投资单位财务信息（合营、联营）G7-5'!C12</f>
        <v>0</v>
      </c>
      <c r="D232" s="510">
        <f>'被投资单位财务信息（合营、联营）G7-5'!D12</f>
        <v>0</v>
      </c>
      <c r="E232" s="510"/>
      <c r="F232" s="510"/>
      <c r="G232" s="510"/>
      <c r="H232" s="510"/>
      <c r="I232" s="233"/>
      <c r="J232" s="233"/>
      <c r="K232" s="233"/>
      <c r="L232" s="233"/>
    </row>
    <row r="233" spans="1:16" s="190" customFormat="1" ht="20.100000000000001" customHeight="1">
      <c r="A233" s="931" t="s">
        <v>58</v>
      </c>
      <c r="B233" s="931"/>
      <c r="C233" s="511">
        <f>C231+C232</f>
        <v>0</v>
      </c>
      <c r="D233" s="511">
        <f t="shared" ref="D233" si="2">D231+D232</f>
        <v>0</v>
      </c>
      <c r="E233" s="511"/>
      <c r="F233" s="511"/>
      <c r="G233" s="511"/>
      <c r="H233" s="511"/>
      <c r="I233" s="233"/>
      <c r="J233" s="233"/>
      <c r="K233" s="233"/>
      <c r="L233" s="233"/>
    </row>
    <row r="234" spans="1:16" s="190" customFormat="1" ht="20.100000000000001" customHeight="1">
      <c r="A234" s="885" t="s">
        <v>59</v>
      </c>
      <c r="B234" s="885"/>
      <c r="C234" s="510">
        <f>'被投资单位财务信息（合营、联营）G7-5'!C14</f>
        <v>0</v>
      </c>
      <c r="D234" s="510">
        <f>'被投资单位财务信息（合营、联营）G7-5'!D14</f>
        <v>0</v>
      </c>
      <c r="E234" s="510"/>
      <c r="F234" s="510"/>
      <c r="G234" s="510"/>
      <c r="H234" s="510"/>
      <c r="I234" s="233"/>
      <c r="J234" s="233"/>
      <c r="K234" s="233"/>
      <c r="L234" s="233"/>
    </row>
    <row r="235" spans="1:16" s="190" customFormat="1" ht="20.100000000000001" customHeight="1">
      <c r="A235" s="885" t="s">
        <v>60</v>
      </c>
      <c r="B235" s="885"/>
      <c r="C235" s="510">
        <f>'被投资单位财务信息（合营、联营）G7-5'!C15</f>
        <v>0</v>
      </c>
      <c r="D235" s="510">
        <f>'被投资单位财务信息（合营、联营）G7-5'!D15</f>
        <v>0</v>
      </c>
      <c r="E235" s="510"/>
      <c r="F235" s="510"/>
      <c r="G235" s="510"/>
      <c r="H235" s="510"/>
      <c r="I235" s="233"/>
      <c r="J235" s="233"/>
      <c r="K235" s="233"/>
      <c r="L235" s="233"/>
    </row>
    <row r="236" spans="1:16" s="190" customFormat="1" ht="20.100000000000001" customHeight="1">
      <c r="A236" s="931" t="s">
        <v>61</v>
      </c>
      <c r="B236" s="931"/>
      <c r="C236" s="510">
        <f>C234+C235</f>
        <v>0</v>
      </c>
      <c r="D236" s="510">
        <f t="shared" ref="D236" si="3">D234+D235</f>
        <v>0</v>
      </c>
      <c r="E236" s="510"/>
      <c r="F236" s="510"/>
      <c r="G236" s="510"/>
      <c r="H236" s="510"/>
      <c r="I236" s="233"/>
      <c r="J236" s="233"/>
      <c r="K236" s="233"/>
      <c r="L236" s="233"/>
    </row>
    <row r="237" spans="1:16" s="190" customFormat="1" ht="20.100000000000001" customHeight="1">
      <c r="A237" s="885" t="s">
        <v>599</v>
      </c>
      <c r="B237" s="885"/>
      <c r="C237" s="510">
        <f>C233-C236</f>
        <v>0</v>
      </c>
      <c r="D237" s="510">
        <f t="shared" ref="D237" si="4">D233-D236</f>
        <v>0</v>
      </c>
      <c r="E237" s="510"/>
      <c r="F237" s="510"/>
      <c r="G237" s="510"/>
      <c r="H237" s="510"/>
      <c r="I237" s="233"/>
      <c r="J237" s="233"/>
      <c r="K237" s="233"/>
      <c r="L237" s="233"/>
    </row>
    <row r="238" spans="1:16" s="190" customFormat="1" ht="20.100000000000001" customHeight="1">
      <c r="A238" s="885" t="s">
        <v>602</v>
      </c>
      <c r="B238" s="885"/>
      <c r="C238" s="510">
        <f>'被投资单位财务信息（合营、联营）G7-5'!C21</f>
        <v>0</v>
      </c>
      <c r="D238" s="510">
        <f>'被投资单位财务信息（合营、联营）G7-5'!D21</f>
        <v>0</v>
      </c>
      <c r="E238" s="510"/>
      <c r="F238" s="510"/>
      <c r="G238" s="510"/>
      <c r="H238" s="510"/>
      <c r="I238" s="233"/>
      <c r="J238" s="233"/>
      <c r="K238" s="233"/>
      <c r="L238" s="233"/>
    </row>
    <row r="239" spans="1:16" s="190" customFormat="1" ht="20.100000000000001" customHeight="1">
      <c r="A239" s="885" t="s">
        <v>603</v>
      </c>
      <c r="B239" s="885"/>
      <c r="C239" s="510">
        <f>'被投资单位财务信息（合营、联营）G7-5'!C22</f>
        <v>0</v>
      </c>
      <c r="D239" s="510">
        <f>'被投资单位财务信息（合营、联营）G7-5'!D22</f>
        <v>0</v>
      </c>
      <c r="E239" s="510"/>
      <c r="F239" s="510"/>
      <c r="G239" s="510"/>
      <c r="H239" s="510"/>
      <c r="I239" s="233"/>
      <c r="J239" s="233"/>
      <c r="K239" s="233"/>
      <c r="L239" s="233"/>
    </row>
    <row r="240" spans="1:16" s="190" customFormat="1" ht="36" customHeight="1">
      <c r="A240" s="931" t="s">
        <v>608</v>
      </c>
      <c r="B240" s="931"/>
      <c r="C240" s="510">
        <f>'被投资单位财务信息（合营、联营）G7-5'!C27</f>
        <v>0</v>
      </c>
      <c r="D240" s="510">
        <f>'被投资单位财务信息（合营、联营）G7-5'!D27</f>
        <v>0</v>
      </c>
      <c r="E240" s="510"/>
      <c r="F240" s="510"/>
      <c r="G240" s="510"/>
      <c r="H240" s="510"/>
      <c r="I240" s="233"/>
      <c r="J240" s="233"/>
      <c r="K240" s="233"/>
      <c r="L240" s="233"/>
    </row>
    <row r="241" spans="1:16" s="190" customFormat="1" ht="33" customHeight="1" thickBot="1">
      <c r="A241" s="928" t="s">
        <v>609</v>
      </c>
      <c r="B241" s="928"/>
      <c r="C241" s="512">
        <f>'被投资单位财务信息（合营、联营）G7-5'!C28</f>
        <v>0</v>
      </c>
      <c r="D241" s="512">
        <f>'被投资单位财务信息（合营、联营）G7-5'!D28</f>
        <v>0</v>
      </c>
      <c r="E241" s="512"/>
      <c r="F241" s="512"/>
      <c r="G241" s="512"/>
      <c r="H241" s="512"/>
      <c r="I241" s="233"/>
      <c r="J241" s="233"/>
      <c r="K241" s="233"/>
      <c r="L241" s="233"/>
    </row>
    <row r="242" spans="1:16" s="190" customFormat="1" ht="20.100000000000001" customHeight="1" thickBot="1">
      <c r="A242" s="513" t="s">
        <v>610</v>
      </c>
      <c r="B242" s="514"/>
      <c r="C242" s="233"/>
      <c r="D242" s="233"/>
      <c r="E242" s="233"/>
      <c r="F242" s="233"/>
      <c r="G242" s="233"/>
      <c r="H242" s="233"/>
      <c r="I242" s="233"/>
      <c r="J242" s="233"/>
      <c r="K242" s="233"/>
      <c r="L242" s="233"/>
      <c r="M242" s="496"/>
      <c r="N242" s="496"/>
      <c r="O242" s="496"/>
      <c r="P242" s="496"/>
    </row>
    <row r="243" spans="1:16" s="190" customFormat="1" ht="20.100000000000001" customHeight="1">
      <c r="A243" s="890" t="s">
        <v>736</v>
      </c>
      <c r="B243" s="890"/>
      <c r="C243" s="901" t="str">
        <f>'被投资单位财务信息（合营、联营）G7-5'!C8</f>
        <v>合营企业1</v>
      </c>
      <c r="D243" s="901"/>
      <c r="E243" s="901"/>
      <c r="F243" s="901"/>
      <c r="G243" s="901"/>
      <c r="H243" s="901"/>
      <c r="I243" s="440"/>
      <c r="J243" s="440"/>
      <c r="K243" s="440"/>
      <c r="L243" s="440"/>
    </row>
    <row r="244" spans="1:16" s="190" customFormat="1" ht="20.100000000000001" customHeight="1" thickBot="1">
      <c r="A244" s="891"/>
      <c r="B244" s="891"/>
      <c r="C244" s="326" t="s">
        <v>553</v>
      </c>
      <c r="D244" s="326" t="s">
        <v>554</v>
      </c>
      <c r="E244" s="326"/>
      <c r="F244" s="326"/>
      <c r="G244" s="326"/>
      <c r="H244" s="326"/>
      <c r="I244" s="440"/>
      <c r="J244" s="440"/>
      <c r="K244" s="440"/>
      <c r="L244" s="440"/>
    </row>
    <row r="245" spans="1:16" s="190" customFormat="1" ht="20.100000000000001" customHeight="1">
      <c r="A245" s="930" t="s">
        <v>62</v>
      </c>
      <c r="B245" s="930"/>
      <c r="C245" s="515">
        <f>'被投资单位财务信息（合营、联营）G7-5'!C29</f>
        <v>0</v>
      </c>
      <c r="D245" s="515">
        <f>'被投资单位财务信息（合营、联营）G7-5'!D29</f>
        <v>0</v>
      </c>
      <c r="E245" s="515"/>
      <c r="F245" s="515"/>
      <c r="G245" s="515"/>
      <c r="H245" s="515"/>
      <c r="I245" s="440"/>
      <c r="J245" s="440"/>
      <c r="K245" s="440"/>
      <c r="L245" s="440"/>
    </row>
    <row r="246" spans="1:16" s="190" customFormat="1" ht="20.100000000000001" customHeight="1">
      <c r="A246" s="885" t="s">
        <v>611</v>
      </c>
      <c r="B246" s="885"/>
      <c r="C246" s="516">
        <f>'被投资单位财务信息（合营、联营）G7-5'!C30</f>
        <v>0</v>
      </c>
      <c r="D246" s="516">
        <f>'被投资单位财务信息（合营、联营）G7-5'!D30</f>
        <v>0</v>
      </c>
      <c r="E246" s="516"/>
      <c r="F246" s="516"/>
      <c r="G246" s="516"/>
      <c r="H246" s="516"/>
      <c r="I246" s="440"/>
      <c r="J246" s="440"/>
      <c r="K246" s="440"/>
      <c r="L246" s="440"/>
    </row>
    <row r="247" spans="1:16" s="190" customFormat="1" ht="20.100000000000001" customHeight="1">
      <c r="A247" s="885" t="s">
        <v>612</v>
      </c>
      <c r="B247" s="885"/>
      <c r="C247" s="516">
        <f>'被投资单位财务信息（合营、联营）G7-5'!C31</f>
        <v>0</v>
      </c>
      <c r="D247" s="516">
        <f>'被投资单位财务信息（合营、联营）G7-5'!D31</f>
        <v>0</v>
      </c>
      <c r="E247" s="516"/>
      <c r="F247" s="516"/>
      <c r="G247" s="516"/>
      <c r="H247" s="516"/>
      <c r="I247" s="440"/>
      <c r="J247" s="440"/>
      <c r="K247" s="440"/>
      <c r="L247" s="440"/>
    </row>
    <row r="248" spans="1:16" s="190" customFormat="1" ht="20.100000000000001" customHeight="1">
      <c r="A248" s="885" t="s">
        <v>63</v>
      </c>
      <c r="B248" s="885"/>
      <c r="C248" s="516">
        <f>'被投资单位财务信息（合营、联营）G7-5'!C32</f>
        <v>0</v>
      </c>
      <c r="D248" s="516">
        <f>'被投资单位财务信息（合营、联营）G7-5'!D32</f>
        <v>0</v>
      </c>
      <c r="E248" s="516"/>
      <c r="F248" s="516"/>
      <c r="G248" s="516"/>
      <c r="H248" s="516"/>
      <c r="I248" s="440"/>
      <c r="J248" s="440"/>
      <c r="K248" s="440"/>
      <c r="L248" s="440"/>
    </row>
    <row r="249" spans="1:16" s="190" customFormat="1" ht="20.100000000000001" customHeight="1">
      <c r="A249" s="885" t="s">
        <v>614</v>
      </c>
      <c r="B249" s="885"/>
      <c r="C249" s="516">
        <f>'被投资单位财务信息（合营、联营）G7-5'!C34</f>
        <v>0</v>
      </c>
      <c r="D249" s="516">
        <f>'被投资单位财务信息（合营、联营）G7-5'!D34</f>
        <v>0</v>
      </c>
      <c r="E249" s="516"/>
      <c r="F249" s="516"/>
      <c r="G249" s="516"/>
      <c r="H249" s="516"/>
      <c r="I249" s="440"/>
      <c r="J249" s="440"/>
      <c r="K249" s="440"/>
      <c r="L249" s="440"/>
    </row>
    <row r="250" spans="1:16" s="190" customFormat="1" ht="20.100000000000001" customHeight="1">
      <c r="A250" s="885" t="s">
        <v>64</v>
      </c>
      <c r="B250" s="885"/>
      <c r="C250" s="516">
        <f>'被投资单位财务信息（合营、联营）G7-5'!C35</f>
        <v>0</v>
      </c>
      <c r="D250" s="516">
        <f>'被投资单位财务信息（合营、联营）G7-5'!D35</f>
        <v>0</v>
      </c>
      <c r="E250" s="516"/>
      <c r="F250" s="516"/>
      <c r="G250" s="516"/>
      <c r="H250" s="516"/>
      <c r="I250" s="440"/>
      <c r="J250" s="440"/>
      <c r="K250" s="440"/>
      <c r="L250" s="440"/>
    </row>
    <row r="251" spans="1:16" s="190" customFormat="1" ht="20.100000000000001" customHeight="1" thickBot="1">
      <c r="A251" s="928" t="s">
        <v>737</v>
      </c>
      <c r="B251" s="928"/>
      <c r="C251" s="517">
        <f>'被投资单位财务信息（合营、联营）G7-5'!C36</f>
        <v>0</v>
      </c>
      <c r="D251" s="517">
        <f>'被投资单位财务信息（合营、联营）G7-5'!D36</f>
        <v>0</v>
      </c>
      <c r="E251" s="517"/>
      <c r="F251" s="517"/>
      <c r="G251" s="517"/>
      <c r="H251" s="517"/>
      <c r="I251" s="440"/>
      <c r="J251" s="440"/>
      <c r="K251" s="440"/>
      <c r="L251" s="440"/>
    </row>
    <row r="252" spans="1:16" s="190" customFormat="1" ht="20.100000000000001" customHeight="1">
      <c r="A252" s="892" t="s">
        <v>738</v>
      </c>
      <c r="B252" s="892"/>
      <c r="C252" s="892"/>
      <c r="D252" s="892"/>
      <c r="E252" s="892"/>
      <c r="F252" s="892"/>
      <c r="G252" s="892"/>
      <c r="H252" s="892"/>
      <c r="I252" s="892"/>
      <c r="J252" s="892"/>
      <c r="K252" s="892"/>
      <c r="L252" s="892"/>
      <c r="M252" s="496"/>
      <c r="N252" s="496"/>
      <c r="O252" s="496"/>
      <c r="P252" s="496"/>
    </row>
    <row r="253" spans="1:16" s="190" customFormat="1" ht="20.100000000000001" customHeight="1">
      <c r="A253" s="894" t="s">
        <v>739</v>
      </c>
      <c r="B253" s="894"/>
      <c r="C253" s="894"/>
      <c r="D253" s="894"/>
      <c r="E253" s="894"/>
      <c r="F253" s="894"/>
      <c r="G253" s="894"/>
      <c r="H253" s="894"/>
      <c r="I253" s="894"/>
      <c r="J253" s="894"/>
      <c r="K253" s="894"/>
      <c r="L253" s="894"/>
      <c r="M253" s="496"/>
      <c r="N253" s="496"/>
      <c r="O253" s="496"/>
      <c r="P253" s="496"/>
    </row>
    <row r="254" spans="1:16" s="190" customFormat="1" ht="20.100000000000001" customHeight="1">
      <c r="A254" s="892" t="s">
        <v>594</v>
      </c>
      <c r="B254" s="892"/>
      <c r="C254" s="892"/>
      <c r="D254" s="892"/>
      <c r="E254" s="892"/>
      <c r="F254" s="892"/>
      <c r="G254" s="892"/>
      <c r="H254" s="892"/>
      <c r="I254" s="892"/>
      <c r="J254" s="892"/>
      <c r="K254" s="892"/>
      <c r="L254" s="892"/>
      <c r="M254" s="496"/>
      <c r="N254" s="496"/>
      <c r="O254" s="496"/>
      <c r="P254" s="496"/>
    </row>
    <row r="255" spans="1:16" s="190" customFormat="1" ht="20.100000000000001" customHeight="1">
      <c r="A255" s="892" t="s">
        <v>618</v>
      </c>
      <c r="B255" s="892"/>
      <c r="C255" s="892"/>
      <c r="D255" s="892"/>
      <c r="E255" s="892"/>
      <c r="F255" s="892"/>
      <c r="G255" s="892"/>
      <c r="H255" s="892"/>
      <c r="I255" s="892"/>
      <c r="J255" s="892"/>
      <c r="K255" s="892"/>
      <c r="L255" s="892"/>
      <c r="M255" s="496"/>
      <c r="N255" s="496"/>
      <c r="O255" s="496"/>
      <c r="P255" s="496"/>
    </row>
    <row r="256" spans="1:16" s="190" customFormat="1" ht="20.100000000000001" customHeight="1" thickBot="1">
      <c r="A256" s="900" t="s">
        <v>596</v>
      </c>
      <c r="B256" s="900"/>
      <c r="C256" s="900"/>
      <c r="D256" s="900"/>
      <c r="E256" s="900"/>
      <c r="F256" s="900"/>
      <c r="G256" s="900"/>
      <c r="H256" s="900"/>
      <c r="I256" s="892"/>
      <c r="J256" s="892"/>
      <c r="K256" s="892"/>
      <c r="L256" s="892"/>
      <c r="M256" s="496"/>
      <c r="N256" s="496"/>
      <c r="O256" s="496"/>
      <c r="P256" s="496"/>
    </row>
    <row r="257" spans="1:12" s="190" customFormat="1" ht="20.100000000000001" customHeight="1">
      <c r="A257" s="890" t="s">
        <v>509</v>
      </c>
      <c r="B257" s="890"/>
      <c r="C257" s="901" t="str">
        <f>'被投资单位财务信息（合营、联营）G7-5'!E8</f>
        <v>合营企业2</v>
      </c>
      <c r="D257" s="901"/>
      <c r="E257" s="901" t="str">
        <f>'被投资单位财务信息（合营、联营）G7-5'!G8</f>
        <v>联营企业1</v>
      </c>
      <c r="F257" s="901"/>
      <c r="G257" s="901" t="str">
        <f>'被投资单位财务信息（合营、联营）G7-5'!I8</f>
        <v>联营企业2</v>
      </c>
      <c r="H257" s="901"/>
      <c r="I257" s="440"/>
      <c r="J257" s="440"/>
      <c r="K257" s="440"/>
      <c r="L257" s="440"/>
    </row>
    <row r="258" spans="1:12" s="190" customFormat="1" ht="20.100000000000001" customHeight="1" thickBot="1">
      <c r="A258" s="891"/>
      <c r="B258" s="891"/>
      <c r="C258" s="326" t="s">
        <v>54</v>
      </c>
      <c r="D258" s="326" t="s">
        <v>55</v>
      </c>
      <c r="E258" s="326" t="s">
        <v>54</v>
      </c>
      <c r="F258" s="326" t="s">
        <v>55</v>
      </c>
      <c r="G258" s="326" t="s">
        <v>54</v>
      </c>
      <c r="H258" s="326" t="s">
        <v>55</v>
      </c>
      <c r="I258" s="440"/>
      <c r="J258" s="440"/>
      <c r="K258" s="440"/>
      <c r="L258" s="440"/>
    </row>
    <row r="259" spans="1:12" s="190" customFormat="1" ht="20.100000000000001" customHeight="1">
      <c r="A259" s="930" t="s">
        <v>56</v>
      </c>
      <c r="B259" s="930"/>
      <c r="C259" s="518">
        <f>'被投资单位财务信息（合营、联营）G7-5'!E10</f>
        <v>0</v>
      </c>
      <c r="D259" s="518">
        <f>'被投资单位财务信息（合营、联营）G7-5'!F10</f>
        <v>0</v>
      </c>
      <c r="E259" s="518">
        <f>'被投资单位财务信息（合营、联营）G7-5'!G10</f>
        <v>0</v>
      </c>
      <c r="F259" s="518">
        <f>'被投资单位财务信息（合营、联营）G7-5'!H10</f>
        <v>0</v>
      </c>
      <c r="G259" s="518">
        <f>'被投资单位财务信息（合营、联营）G7-5'!I10</f>
        <v>0</v>
      </c>
      <c r="H259" s="518">
        <f>'被投资单位财务信息（合营、联营）G7-5'!J10</f>
        <v>0</v>
      </c>
      <c r="I259" s="440"/>
      <c r="J259" s="440"/>
      <c r="K259" s="440"/>
      <c r="L259" s="440"/>
    </row>
    <row r="260" spans="1:12" s="190" customFormat="1" ht="20.100000000000001" customHeight="1">
      <c r="A260" s="885" t="s">
        <v>57</v>
      </c>
      <c r="B260" s="885"/>
      <c r="C260" s="519">
        <f>'被投资单位财务信息（合营、联营）G7-5'!C12</f>
        <v>0</v>
      </c>
      <c r="D260" s="519">
        <f>'被投资单位财务信息（合营、联营）G7-5'!D12</f>
        <v>0</v>
      </c>
      <c r="E260" s="519"/>
      <c r="F260" s="519"/>
      <c r="G260" s="519"/>
      <c r="H260" s="519"/>
      <c r="I260" s="440"/>
      <c r="J260" s="440"/>
      <c r="K260" s="440"/>
      <c r="L260" s="440"/>
    </row>
    <row r="261" spans="1:12" s="190" customFormat="1" ht="20.100000000000001" customHeight="1">
      <c r="A261" s="931" t="s">
        <v>58</v>
      </c>
      <c r="B261" s="931"/>
      <c r="C261" s="520">
        <f>C259+C260</f>
        <v>0</v>
      </c>
      <c r="D261" s="520">
        <f t="shared" ref="D261" si="5">D259+D260</f>
        <v>0</v>
      </c>
      <c r="E261" s="520"/>
      <c r="F261" s="520"/>
      <c r="G261" s="520"/>
      <c r="H261" s="520"/>
      <c r="I261" s="440"/>
      <c r="J261" s="440"/>
      <c r="K261" s="440"/>
      <c r="L261" s="440"/>
    </row>
    <row r="262" spans="1:12" s="190" customFormat="1" ht="20.100000000000001" customHeight="1">
      <c r="A262" s="885" t="s">
        <v>59</v>
      </c>
      <c r="B262" s="885"/>
      <c r="C262" s="519">
        <f>'被投资单位财务信息（合营、联营）G7-5'!E14</f>
        <v>0</v>
      </c>
      <c r="D262" s="519">
        <f>'被投资单位财务信息（合营、联营）G7-5'!F14</f>
        <v>0</v>
      </c>
      <c r="E262" s="519"/>
      <c r="F262" s="519"/>
      <c r="G262" s="519"/>
      <c r="H262" s="519"/>
      <c r="I262" s="440"/>
      <c r="J262" s="440"/>
      <c r="K262" s="440"/>
      <c r="L262" s="440"/>
    </row>
    <row r="263" spans="1:12" s="190" customFormat="1" ht="20.100000000000001" customHeight="1">
      <c r="A263" s="885" t="s">
        <v>60</v>
      </c>
      <c r="B263" s="885"/>
      <c r="C263" s="519">
        <f>'被投资单位财务信息（合营、联营）G7-5'!E15</f>
        <v>0</v>
      </c>
      <c r="D263" s="519">
        <f>'被投资单位财务信息（合营、联营）G7-5'!F15</f>
        <v>0</v>
      </c>
      <c r="E263" s="519"/>
      <c r="F263" s="519"/>
      <c r="G263" s="519"/>
      <c r="H263" s="519"/>
      <c r="I263" s="440"/>
      <c r="J263" s="440"/>
      <c r="K263" s="440"/>
      <c r="L263" s="440"/>
    </row>
    <row r="264" spans="1:12" s="190" customFormat="1" ht="20.100000000000001" customHeight="1">
      <c r="A264" s="931" t="s">
        <v>61</v>
      </c>
      <c r="B264" s="931"/>
      <c r="C264" s="520">
        <f>C262+C263</f>
        <v>0</v>
      </c>
      <c r="D264" s="520">
        <f t="shared" ref="D264" si="6">D262+D263</f>
        <v>0</v>
      </c>
      <c r="E264" s="520"/>
      <c r="F264" s="520"/>
      <c r="G264" s="520"/>
      <c r="H264" s="520"/>
      <c r="I264" s="440"/>
      <c r="J264" s="440"/>
      <c r="K264" s="440"/>
      <c r="L264" s="440"/>
    </row>
    <row r="265" spans="1:12" s="190" customFormat="1" ht="20.100000000000001" customHeight="1">
      <c r="A265" s="885" t="s">
        <v>599</v>
      </c>
      <c r="B265" s="885"/>
      <c r="C265" s="519">
        <f>C261-C264</f>
        <v>0</v>
      </c>
      <c r="D265" s="519">
        <f t="shared" ref="D265" si="7">D261-D264</f>
        <v>0</v>
      </c>
      <c r="E265" s="519"/>
      <c r="F265" s="519"/>
      <c r="G265" s="519"/>
      <c r="H265" s="519"/>
      <c r="I265" s="440"/>
      <c r="J265" s="440"/>
      <c r="K265" s="440"/>
      <c r="L265" s="440"/>
    </row>
    <row r="266" spans="1:12" s="190" customFormat="1" ht="20.100000000000001" customHeight="1">
      <c r="A266" s="885" t="s">
        <v>602</v>
      </c>
      <c r="B266" s="885"/>
      <c r="C266" s="519">
        <f>'被投资单位财务信息（合营、联营）G7-5'!E21</f>
        <v>0</v>
      </c>
      <c r="D266" s="519">
        <f>'被投资单位财务信息（合营、联营）G7-5'!F21</f>
        <v>0</v>
      </c>
      <c r="E266" s="519"/>
      <c r="F266" s="519"/>
      <c r="G266" s="519"/>
      <c r="H266" s="519"/>
      <c r="I266" s="440"/>
      <c r="J266" s="440"/>
      <c r="K266" s="440"/>
      <c r="L266" s="440"/>
    </row>
    <row r="267" spans="1:12" s="190" customFormat="1" ht="20.100000000000001" customHeight="1">
      <c r="A267" s="885" t="s">
        <v>603</v>
      </c>
      <c r="B267" s="885"/>
      <c r="C267" s="519">
        <f>'被投资单位财务信息（合营、联营）G7-5'!E22</f>
        <v>0</v>
      </c>
      <c r="D267" s="519">
        <f>'被投资单位财务信息（合营、联营）G7-5'!F22</f>
        <v>0</v>
      </c>
      <c r="E267" s="519"/>
      <c r="F267" s="519"/>
      <c r="G267" s="519"/>
      <c r="H267" s="519"/>
      <c r="I267" s="440"/>
      <c r="J267" s="440"/>
      <c r="K267" s="440"/>
      <c r="L267" s="440"/>
    </row>
    <row r="268" spans="1:12" s="190" customFormat="1" ht="20.100000000000001" customHeight="1">
      <c r="A268" s="931" t="s">
        <v>608</v>
      </c>
      <c r="B268" s="931"/>
      <c r="C268" s="520">
        <f>'被投资单位财务信息（合营、联营）G7-5'!E27</f>
        <v>0</v>
      </c>
      <c r="D268" s="520">
        <f>'被投资单位财务信息（合营、联营）G7-5'!F27</f>
        <v>0</v>
      </c>
      <c r="E268" s="520"/>
      <c r="F268" s="520"/>
      <c r="G268" s="520"/>
      <c r="H268" s="520"/>
      <c r="I268" s="440"/>
      <c r="J268" s="440"/>
      <c r="K268" s="440"/>
      <c r="L268" s="440"/>
    </row>
    <row r="269" spans="1:12" s="190" customFormat="1" ht="31.5" customHeight="1" thickBot="1">
      <c r="A269" s="928" t="s">
        <v>609</v>
      </c>
      <c r="B269" s="928"/>
      <c r="C269" s="521">
        <f>'被投资单位财务信息（合营、联营）G7-5'!E28</f>
        <v>0</v>
      </c>
      <c r="D269" s="521">
        <f>'被投资单位财务信息（合营、联营）G7-5'!F28</f>
        <v>0</v>
      </c>
      <c r="E269" s="521"/>
      <c r="F269" s="521"/>
      <c r="G269" s="521"/>
      <c r="H269" s="521"/>
      <c r="I269" s="440"/>
      <c r="J269" s="440"/>
      <c r="K269" s="440"/>
      <c r="L269" s="440"/>
    </row>
    <row r="270" spans="1:12" s="190" customFormat="1" ht="20.100000000000001" customHeight="1" thickBot="1">
      <c r="A270" s="513" t="s">
        <v>610</v>
      </c>
      <c r="B270" s="514"/>
      <c r="C270" s="233"/>
      <c r="D270" s="233"/>
      <c r="E270" s="233"/>
      <c r="F270" s="233"/>
      <c r="G270" s="233"/>
      <c r="H270" s="233"/>
      <c r="I270" s="440"/>
      <c r="J270" s="440"/>
      <c r="K270" s="440"/>
      <c r="L270" s="440"/>
    </row>
    <row r="271" spans="1:12" s="190" customFormat="1" ht="20.100000000000001" customHeight="1">
      <c r="A271" s="890" t="s">
        <v>509</v>
      </c>
      <c r="B271" s="890"/>
      <c r="C271" s="901" t="str">
        <f>'被投资单位财务信息（合营、联营）G7-5'!E8</f>
        <v>合营企业2</v>
      </c>
      <c r="D271" s="901"/>
      <c r="E271" s="901" t="str">
        <f>'被投资单位财务信息（合营、联营）G7-5'!G8</f>
        <v>联营企业1</v>
      </c>
      <c r="F271" s="901"/>
      <c r="G271" s="901" t="str">
        <f>'被投资单位财务信息（合营、联营）G7-5'!I8</f>
        <v>联营企业2</v>
      </c>
      <c r="H271" s="901"/>
      <c r="I271" s="233"/>
      <c r="J271" s="440"/>
      <c r="K271" s="440"/>
      <c r="L271" s="440"/>
    </row>
    <row r="272" spans="1:12" s="190" customFormat="1" ht="20.100000000000001" customHeight="1" thickBot="1">
      <c r="A272" s="891"/>
      <c r="B272" s="891"/>
      <c r="C272" s="326" t="s">
        <v>553</v>
      </c>
      <c r="D272" s="326" t="s">
        <v>554</v>
      </c>
      <c r="E272" s="326" t="s">
        <v>553</v>
      </c>
      <c r="F272" s="326" t="s">
        <v>554</v>
      </c>
      <c r="G272" s="326" t="s">
        <v>553</v>
      </c>
      <c r="H272" s="326" t="s">
        <v>554</v>
      </c>
      <c r="I272" s="233"/>
      <c r="J272" s="440"/>
      <c r="K272" s="440"/>
      <c r="L272" s="440"/>
    </row>
    <row r="273" spans="1:16" s="190" customFormat="1" ht="20.100000000000001" customHeight="1">
      <c r="A273" s="929" t="s">
        <v>62</v>
      </c>
      <c r="B273" s="929"/>
      <c r="C273" s="518">
        <f>'被投资单位财务信息（合营、联营）G7-5'!E29</f>
        <v>0</v>
      </c>
      <c r="D273" s="518">
        <f>'被投资单位财务信息（合营、联营）G7-5'!F29</f>
        <v>0</v>
      </c>
      <c r="E273" s="518">
        <f>'被投资单位财务信息（合营、联营）G7-5'!G29</f>
        <v>0</v>
      </c>
      <c r="F273" s="518">
        <f>'被投资单位财务信息（合营、联营）G7-5'!H29</f>
        <v>0</v>
      </c>
      <c r="G273" s="518">
        <f>'被投资单位财务信息（合营、联营）G7-5'!I29</f>
        <v>0</v>
      </c>
      <c r="H273" s="518">
        <f>'被投资单位财务信息（合营、联营）G7-5'!J29</f>
        <v>0</v>
      </c>
      <c r="I273" s="233"/>
      <c r="J273" s="440"/>
      <c r="K273" s="440"/>
      <c r="L273" s="440"/>
    </row>
    <row r="274" spans="1:16" s="190" customFormat="1" ht="20.100000000000001" customHeight="1">
      <c r="A274" s="893" t="s">
        <v>63</v>
      </c>
      <c r="B274" s="893"/>
      <c r="C274" s="519">
        <f>'被投资单位财务信息（合营、联营）G7-5'!E32</f>
        <v>0</v>
      </c>
      <c r="D274" s="519">
        <f>'被投资单位财务信息（合营、联营）G7-5'!F32</f>
        <v>0</v>
      </c>
      <c r="E274" s="519">
        <f>'被投资单位财务信息（合营、联营）G7-5'!G32</f>
        <v>0</v>
      </c>
      <c r="F274" s="519">
        <f>'被投资单位财务信息（合营、联营）G7-5'!H32</f>
        <v>0</v>
      </c>
      <c r="G274" s="519">
        <f>'被投资单位财务信息（合营、联营）G7-5'!I32</f>
        <v>0</v>
      </c>
      <c r="H274" s="519">
        <f>'被投资单位财务信息（合营、联营）G7-5'!J32</f>
        <v>0</v>
      </c>
      <c r="I274" s="233"/>
      <c r="J274" s="440"/>
      <c r="K274" s="440"/>
      <c r="L274" s="440"/>
    </row>
    <row r="275" spans="1:16" s="190" customFormat="1" ht="20.100000000000001" customHeight="1">
      <c r="A275" s="893" t="s">
        <v>614</v>
      </c>
      <c r="B275" s="893"/>
      <c r="C275" s="519">
        <f>'被投资单位财务信息（合营、联营）G7-5'!E34</f>
        <v>0</v>
      </c>
      <c r="D275" s="519">
        <f>'被投资单位财务信息（合营、联营）G7-5'!F34</f>
        <v>0</v>
      </c>
      <c r="E275" s="519">
        <f>'被投资单位财务信息（合营、联营）G7-5'!G34</f>
        <v>0</v>
      </c>
      <c r="F275" s="519">
        <f>'被投资单位财务信息（合营、联营）G7-5'!H34</f>
        <v>0</v>
      </c>
      <c r="G275" s="519">
        <f>'被投资单位财务信息（合营、联营）G7-5'!I34</f>
        <v>0</v>
      </c>
      <c r="H275" s="519">
        <f>'被投资单位财务信息（合营、联营）G7-5'!J34</f>
        <v>0</v>
      </c>
      <c r="I275" s="233"/>
      <c r="J275" s="440"/>
      <c r="K275" s="440"/>
      <c r="L275" s="440"/>
    </row>
    <row r="276" spans="1:16" s="190" customFormat="1" ht="20.100000000000001" customHeight="1">
      <c r="A276" s="893" t="s">
        <v>64</v>
      </c>
      <c r="B276" s="893"/>
      <c r="C276" s="519">
        <f>'被投资单位财务信息（合营、联营）G7-5'!E35</f>
        <v>0</v>
      </c>
      <c r="D276" s="519">
        <f>'被投资单位财务信息（合营、联营）G7-5'!F35</f>
        <v>0</v>
      </c>
      <c r="E276" s="519">
        <f>'被投资单位财务信息（合营、联营）G7-5'!G35</f>
        <v>0</v>
      </c>
      <c r="F276" s="519">
        <f>'被投资单位财务信息（合营、联营）G7-5'!H35</f>
        <v>0</v>
      </c>
      <c r="G276" s="519">
        <f>'被投资单位财务信息（合营、联营）G7-5'!I35</f>
        <v>0</v>
      </c>
      <c r="H276" s="519">
        <f>'被投资单位财务信息（合营、联营）G7-5'!J35</f>
        <v>0</v>
      </c>
      <c r="I276" s="233"/>
      <c r="J276" s="440"/>
      <c r="K276" s="440"/>
      <c r="L276" s="440"/>
    </row>
    <row r="277" spans="1:16" s="190" customFormat="1" ht="32.25" customHeight="1" thickBot="1">
      <c r="A277" s="913" t="s">
        <v>740</v>
      </c>
      <c r="B277" s="913"/>
      <c r="C277" s="521">
        <f>'被投资单位财务信息（合营、联营）G7-5'!E36</f>
        <v>0</v>
      </c>
      <c r="D277" s="521">
        <f>'被投资单位财务信息（合营、联营）G7-5'!F36</f>
        <v>0</v>
      </c>
      <c r="E277" s="521">
        <f>'被投资单位财务信息（合营、联营）G7-5'!G36</f>
        <v>0</v>
      </c>
      <c r="F277" s="521">
        <f>'被投资单位财务信息（合营、联营）G7-5'!H36</f>
        <v>0</v>
      </c>
      <c r="G277" s="521">
        <f>'被投资单位财务信息（合营、联营）G7-5'!I36</f>
        <v>0</v>
      </c>
      <c r="H277" s="521">
        <f>'被投资单位财务信息（合营、联营）G7-5'!J36</f>
        <v>0</v>
      </c>
      <c r="I277" s="233"/>
      <c r="J277" s="440"/>
      <c r="K277" s="440"/>
      <c r="L277" s="440"/>
    </row>
    <row r="278" spans="1:16" s="190" customFormat="1" ht="20.100000000000001" customHeight="1">
      <c r="A278" s="513" t="s">
        <v>738</v>
      </c>
      <c r="B278" s="513"/>
      <c r="C278" s="233"/>
      <c r="D278" s="233"/>
      <c r="E278" s="233"/>
      <c r="F278" s="233"/>
      <c r="G278" s="233"/>
      <c r="H278" s="233"/>
      <c r="I278" s="233"/>
      <c r="J278" s="233"/>
      <c r="K278" s="233"/>
      <c r="L278" s="233"/>
      <c r="M278" s="496"/>
      <c r="N278" s="496"/>
      <c r="O278" s="496"/>
      <c r="P278" s="496"/>
    </row>
    <row r="279" spans="1:16" s="190" customFormat="1" ht="20.100000000000001" customHeight="1" thickBot="1">
      <c r="A279" s="272" t="s">
        <v>741</v>
      </c>
      <c r="B279" s="272"/>
      <c r="C279" s="233"/>
      <c r="D279" s="233"/>
      <c r="E279" s="233"/>
      <c r="F279" s="233"/>
      <c r="G279" s="233"/>
      <c r="H279" s="233"/>
      <c r="I279" s="233"/>
      <c r="J279" s="233"/>
      <c r="K279" s="233"/>
      <c r="L279" s="233"/>
      <c r="M279" s="496"/>
      <c r="N279" s="496"/>
      <c r="O279" s="496"/>
      <c r="P279" s="496"/>
    </row>
    <row r="280" spans="1:16" s="190" customFormat="1" ht="20.100000000000001" customHeight="1" thickBot="1">
      <c r="A280" s="932" t="s">
        <v>509</v>
      </c>
      <c r="B280" s="932"/>
      <c r="C280" s="522" t="s">
        <v>65</v>
      </c>
      <c r="D280" s="522" t="s">
        <v>742</v>
      </c>
      <c r="E280" s="233"/>
      <c r="F280" s="233"/>
      <c r="G280" s="233"/>
      <c r="H280" s="233"/>
      <c r="I280" s="233"/>
      <c r="J280" s="233"/>
      <c r="K280" s="233"/>
      <c r="L280" s="233"/>
      <c r="M280" s="496"/>
      <c r="N280" s="496"/>
      <c r="O280" s="496"/>
      <c r="P280" s="496"/>
    </row>
    <row r="281" spans="1:16" s="190" customFormat="1" ht="20.100000000000001" customHeight="1">
      <c r="A281" s="929" t="s">
        <v>626</v>
      </c>
      <c r="B281" s="929"/>
      <c r="C281" s="523"/>
      <c r="D281" s="523"/>
      <c r="E281" s="233"/>
      <c r="F281" s="233"/>
      <c r="G281" s="233"/>
      <c r="H281" s="233"/>
      <c r="I281" s="233"/>
      <c r="J281" s="233"/>
      <c r="K281" s="233"/>
      <c r="L281" s="233"/>
      <c r="M281" s="496"/>
      <c r="N281" s="496"/>
      <c r="O281" s="496"/>
      <c r="P281" s="496"/>
    </row>
    <row r="282" spans="1:16" s="190" customFormat="1" ht="20.100000000000001" customHeight="1">
      <c r="A282" s="893" t="s">
        <v>627</v>
      </c>
      <c r="B282" s="893"/>
      <c r="C282" s="524">
        <f>'被投资单位财务信息（合营、联营）G7-5'!G42</f>
        <v>0</v>
      </c>
      <c r="D282" s="525">
        <f>'被投资单位财务信息（合营、联营）G7-5'!I49</f>
        <v>0</v>
      </c>
      <c r="E282" s="233"/>
      <c r="F282" s="233"/>
      <c r="G282" s="233"/>
      <c r="H282" s="233"/>
      <c r="I282" s="233"/>
      <c r="J282" s="233"/>
      <c r="K282" s="233"/>
      <c r="L282" s="233"/>
      <c r="M282" s="496"/>
      <c r="N282" s="496"/>
      <c r="O282" s="496"/>
      <c r="P282" s="496"/>
    </row>
    <row r="283" spans="1:16" s="190" customFormat="1" ht="35.25" customHeight="1">
      <c r="A283" s="893" t="s">
        <v>628</v>
      </c>
      <c r="B283" s="893"/>
      <c r="C283" s="524">
        <f>'被投资单位财务信息（合营、联营）G7-5'!G43</f>
        <v>0</v>
      </c>
      <c r="D283" s="525">
        <f>'被投资单位财务信息（合营、联营）G7-5'!I50</f>
        <v>0</v>
      </c>
      <c r="E283" s="233"/>
      <c r="F283" s="233"/>
      <c r="G283" s="233"/>
      <c r="H283" s="233"/>
      <c r="I283" s="233"/>
      <c r="J283" s="233"/>
      <c r="K283" s="233"/>
      <c r="L283" s="233"/>
      <c r="M283" s="496"/>
      <c r="N283" s="496"/>
      <c r="O283" s="496"/>
      <c r="P283" s="496"/>
    </row>
    <row r="284" spans="1:16" s="190" customFormat="1" ht="20.100000000000001" customHeight="1">
      <c r="A284" s="893" t="s">
        <v>63</v>
      </c>
      <c r="B284" s="893"/>
      <c r="C284" s="524">
        <f>'被投资单位财务信息（合营、联营）G7-5'!G44</f>
        <v>0</v>
      </c>
      <c r="D284" s="525">
        <f>'被投资单位财务信息（合营、联营）G7-5'!I51</f>
        <v>0</v>
      </c>
      <c r="E284" s="233"/>
      <c r="F284" s="233"/>
      <c r="G284" s="233"/>
      <c r="H284" s="233"/>
      <c r="I284" s="233"/>
      <c r="J284" s="233"/>
      <c r="K284" s="233"/>
      <c r="L284" s="233"/>
      <c r="M284" s="496"/>
      <c r="N284" s="496"/>
      <c r="O284" s="496"/>
      <c r="P284" s="496"/>
    </row>
    <row r="285" spans="1:16" s="190" customFormat="1" ht="20.100000000000001" customHeight="1">
      <c r="A285" s="893" t="s">
        <v>614</v>
      </c>
      <c r="B285" s="893"/>
      <c r="C285" s="524">
        <f>'被投资单位财务信息（合营、联营）G7-5'!G45</f>
        <v>0</v>
      </c>
      <c r="D285" s="525">
        <f>'被投资单位财务信息（合营、联营）G7-5'!I52</f>
        <v>0</v>
      </c>
      <c r="E285" s="233"/>
      <c r="F285" s="233"/>
      <c r="G285" s="233"/>
      <c r="H285" s="233"/>
      <c r="I285" s="233"/>
      <c r="J285" s="233"/>
      <c r="K285" s="233"/>
      <c r="L285" s="233"/>
      <c r="M285" s="496"/>
      <c r="N285" s="496"/>
      <c r="O285" s="496"/>
      <c r="P285" s="496"/>
    </row>
    <row r="286" spans="1:16" s="190" customFormat="1" ht="20.100000000000001" customHeight="1">
      <c r="A286" s="893" t="s">
        <v>64</v>
      </c>
      <c r="B286" s="893"/>
      <c r="C286" s="524">
        <f>'被投资单位财务信息（合营、联营）G7-5'!G46</f>
        <v>0</v>
      </c>
      <c r="D286" s="525">
        <f>'被投资单位财务信息（合营、联营）G7-5'!I53</f>
        <v>0</v>
      </c>
      <c r="E286" s="233"/>
      <c r="F286" s="233"/>
      <c r="G286" s="233"/>
      <c r="H286" s="233"/>
      <c r="I286" s="233"/>
      <c r="J286" s="233"/>
      <c r="K286" s="233"/>
      <c r="L286" s="233"/>
      <c r="M286" s="496"/>
      <c r="N286" s="496"/>
      <c r="O286" s="496"/>
      <c r="P286" s="496"/>
    </row>
    <row r="287" spans="1:16" s="190" customFormat="1" ht="20.100000000000001" customHeight="1">
      <c r="A287" s="893" t="s">
        <v>629</v>
      </c>
      <c r="B287" s="893"/>
      <c r="C287" s="523"/>
      <c r="D287" s="523"/>
      <c r="E287" s="233"/>
      <c r="F287" s="233"/>
      <c r="G287" s="233"/>
      <c r="H287" s="233"/>
      <c r="I287" s="233"/>
      <c r="J287" s="233"/>
      <c r="K287" s="233"/>
      <c r="L287" s="233"/>
      <c r="M287" s="496"/>
      <c r="N287" s="496"/>
      <c r="O287" s="496"/>
      <c r="P287" s="496"/>
    </row>
    <row r="288" spans="1:16" s="190" customFormat="1" ht="20.100000000000001" customHeight="1">
      <c r="A288" s="893" t="s">
        <v>627</v>
      </c>
      <c r="B288" s="893"/>
      <c r="C288" s="524">
        <f>'被投资单位财务信息（合营、联营）G7-5'!G49</f>
        <v>0</v>
      </c>
      <c r="D288" s="524">
        <f>'被投资单位财务信息（合营、联营）G7-5'!I49</f>
        <v>0</v>
      </c>
      <c r="E288" s="233"/>
      <c r="F288" s="233"/>
      <c r="G288" s="233"/>
      <c r="H288" s="233"/>
      <c r="I288" s="233"/>
      <c r="J288" s="233"/>
      <c r="K288" s="233"/>
      <c r="L288" s="233"/>
      <c r="M288" s="496"/>
      <c r="N288" s="496"/>
      <c r="O288" s="496"/>
      <c r="P288" s="496"/>
    </row>
    <row r="289" spans="1:16" s="190" customFormat="1" ht="36" customHeight="1">
      <c r="A289" s="893" t="s">
        <v>628</v>
      </c>
      <c r="B289" s="893"/>
      <c r="C289" s="524">
        <f>'被投资单位财务信息（合营、联营）G7-5'!G50</f>
        <v>0</v>
      </c>
      <c r="D289" s="524">
        <f>'被投资单位财务信息（合营、联营）G7-5'!I50</f>
        <v>0</v>
      </c>
      <c r="E289" s="233"/>
      <c r="F289" s="233"/>
      <c r="G289" s="233"/>
      <c r="H289" s="233"/>
      <c r="I289" s="233"/>
      <c r="J289" s="233"/>
      <c r="K289" s="233"/>
      <c r="L289" s="233"/>
      <c r="M289" s="496"/>
      <c r="N289" s="496"/>
      <c r="O289" s="496"/>
      <c r="P289" s="496"/>
    </row>
    <row r="290" spans="1:16" s="190" customFormat="1" ht="20.100000000000001" customHeight="1">
      <c r="A290" s="893" t="s">
        <v>63</v>
      </c>
      <c r="B290" s="893"/>
      <c r="C290" s="524">
        <f>'被投资单位财务信息（合营、联营）G7-5'!G51</f>
        <v>0</v>
      </c>
      <c r="D290" s="524">
        <f>'被投资单位财务信息（合营、联营）G7-5'!I51</f>
        <v>0</v>
      </c>
      <c r="E290" s="233"/>
      <c r="F290" s="233"/>
      <c r="G290" s="233"/>
      <c r="H290" s="233"/>
      <c r="I290" s="233"/>
      <c r="J290" s="233"/>
      <c r="K290" s="233"/>
      <c r="L290" s="233"/>
      <c r="M290" s="496"/>
      <c r="N290" s="496"/>
      <c r="O290" s="496"/>
      <c r="P290" s="496"/>
    </row>
    <row r="291" spans="1:16" s="190" customFormat="1" ht="20.100000000000001" customHeight="1">
      <c r="A291" s="893" t="s">
        <v>614</v>
      </c>
      <c r="B291" s="893"/>
      <c r="C291" s="524">
        <f>'被投资单位财务信息（合营、联营）G7-5'!G52</f>
        <v>0</v>
      </c>
      <c r="D291" s="524">
        <f>'被投资单位财务信息（合营、联营）G7-5'!I52</f>
        <v>0</v>
      </c>
      <c r="E291" s="233"/>
      <c r="F291" s="233"/>
      <c r="G291" s="233"/>
      <c r="H291" s="233"/>
      <c r="I291" s="233"/>
      <c r="J291" s="233"/>
      <c r="K291" s="233"/>
      <c r="L291" s="233"/>
      <c r="M291" s="496"/>
      <c r="N291" s="496"/>
      <c r="O291" s="496"/>
      <c r="P291" s="496"/>
    </row>
    <row r="292" spans="1:16" s="190" customFormat="1" ht="20.100000000000001" customHeight="1" thickBot="1">
      <c r="A292" s="913" t="s">
        <v>64</v>
      </c>
      <c r="B292" s="913"/>
      <c r="C292" s="526">
        <f>'被投资单位财务信息（合营、联营）G7-5'!G53</f>
        <v>0</v>
      </c>
      <c r="D292" s="527">
        <f>'被投资单位财务信息（合营、联营）G7-5'!I53</f>
        <v>0</v>
      </c>
      <c r="E292" s="233"/>
      <c r="F292" s="233"/>
      <c r="G292" s="233"/>
      <c r="H292" s="233"/>
      <c r="I292" s="233"/>
      <c r="J292" s="233"/>
      <c r="K292" s="233"/>
      <c r="L292" s="233"/>
      <c r="M292" s="496"/>
      <c r="N292" s="496"/>
      <c r="O292" s="496"/>
      <c r="P292" s="496"/>
    </row>
    <row r="293" spans="1:16" s="190" customFormat="1" ht="20.100000000000001" customHeight="1">
      <c r="A293" s="513" t="s">
        <v>527</v>
      </c>
      <c r="B293" s="514"/>
      <c r="C293" s="233"/>
      <c r="D293" s="233"/>
      <c r="E293" s="233"/>
      <c r="F293" s="233"/>
      <c r="G293" s="233"/>
      <c r="H293" s="233"/>
      <c r="I293" s="233"/>
      <c r="J293" s="233"/>
      <c r="K293" s="233"/>
      <c r="L293" s="233"/>
      <c r="M293" s="496"/>
      <c r="N293" s="496"/>
      <c r="O293" s="496"/>
      <c r="P293" s="496"/>
    </row>
    <row r="294" spans="1:16" s="190" customFormat="1" ht="20.100000000000001" customHeight="1">
      <c r="A294" s="528" t="s">
        <v>743</v>
      </c>
      <c r="B294" s="528"/>
      <c r="C294" s="528"/>
      <c r="D294" s="528"/>
      <c r="E294" s="233"/>
      <c r="F294" s="233"/>
      <c r="G294" s="233"/>
      <c r="H294" s="233"/>
      <c r="I294" s="233"/>
      <c r="J294" s="233"/>
      <c r="K294" s="233"/>
      <c r="L294" s="233"/>
      <c r="M294" s="496"/>
      <c r="N294" s="496"/>
      <c r="O294" s="496"/>
      <c r="P294" s="496"/>
    </row>
    <row r="295" spans="1:16" s="190" customFormat="1" ht="20.100000000000001" customHeight="1">
      <c r="A295" s="528" t="s">
        <v>744</v>
      </c>
      <c r="B295" s="528"/>
      <c r="C295" s="528"/>
      <c r="D295" s="528"/>
      <c r="E295" s="233"/>
      <c r="F295" s="233"/>
      <c r="G295" s="233"/>
      <c r="H295" s="233"/>
      <c r="I295" s="233"/>
      <c r="J295" s="233"/>
      <c r="K295" s="233"/>
      <c r="L295" s="233"/>
      <c r="M295" s="496"/>
      <c r="N295" s="496"/>
      <c r="O295" s="496"/>
      <c r="P295" s="496"/>
    </row>
    <row r="296" spans="1:16" s="190" customFormat="1" ht="20.100000000000001" customHeight="1">
      <c r="A296" s="528" t="s">
        <v>632</v>
      </c>
      <c r="B296" s="528"/>
      <c r="C296" s="528"/>
      <c r="D296" s="528"/>
      <c r="E296" s="233"/>
      <c r="F296" s="233"/>
      <c r="G296" s="233"/>
      <c r="H296" s="233"/>
      <c r="I296" s="233"/>
      <c r="J296" s="233"/>
      <c r="K296" s="233"/>
      <c r="L296" s="233"/>
      <c r="M296" s="496"/>
      <c r="N296" s="496"/>
      <c r="O296" s="496"/>
      <c r="P296" s="496"/>
    </row>
    <row r="297" spans="1:16" s="190" customFormat="1" ht="20.100000000000001" customHeight="1">
      <c r="A297" s="894" t="s">
        <v>745</v>
      </c>
      <c r="B297" s="894"/>
      <c r="C297" s="894"/>
      <c r="D297" s="894"/>
      <c r="E297" s="233"/>
      <c r="F297" s="233"/>
      <c r="G297" s="233"/>
      <c r="H297" s="233"/>
      <c r="I297" s="233"/>
      <c r="J297" s="233"/>
      <c r="K297" s="233"/>
      <c r="L297" s="233"/>
      <c r="M297" s="496"/>
      <c r="N297" s="496"/>
      <c r="O297" s="496"/>
      <c r="P297" s="496"/>
    </row>
    <row r="298" spans="1:16" s="190" customFormat="1" ht="20.100000000000001" customHeight="1">
      <c r="A298" s="233" t="s">
        <v>746</v>
      </c>
      <c r="B298" s="233"/>
      <c r="C298" s="233"/>
      <c r="D298" s="233"/>
      <c r="E298" s="233"/>
      <c r="F298" s="233"/>
      <c r="G298" s="233"/>
      <c r="H298" s="233"/>
      <c r="I298" s="233"/>
      <c r="J298" s="233"/>
      <c r="K298" s="233"/>
      <c r="L298" s="233"/>
      <c r="M298" s="496"/>
      <c r="N298" s="496"/>
      <c r="O298" s="496"/>
      <c r="P298" s="496"/>
    </row>
    <row r="299" spans="1:16" s="190" customFormat="1" ht="20.100000000000001" customHeight="1">
      <c r="A299" s="233" t="s">
        <v>747</v>
      </c>
      <c r="B299" s="233"/>
      <c r="C299" s="233"/>
      <c r="D299" s="233"/>
      <c r="E299" s="233"/>
      <c r="F299" s="233"/>
      <c r="G299" s="233"/>
      <c r="H299" s="233"/>
      <c r="I299" s="233"/>
      <c r="J299" s="233"/>
      <c r="K299" s="233"/>
      <c r="L299" s="233"/>
      <c r="M299" s="496"/>
      <c r="N299" s="496"/>
      <c r="O299" s="496"/>
      <c r="P299" s="496"/>
    </row>
    <row r="300" spans="1:16" s="190" customFormat="1" ht="20.100000000000001" customHeight="1" thickBot="1">
      <c r="A300" s="233" t="s">
        <v>748</v>
      </c>
      <c r="B300" s="233"/>
      <c r="C300" s="233"/>
      <c r="D300" s="233"/>
      <c r="E300" s="233"/>
      <c r="F300" s="233"/>
      <c r="G300" s="233"/>
      <c r="H300" s="233"/>
      <c r="I300" s="233"/>
      <c r="J300" s="233"/>
      <c r="K300" s="233"/>
      <c r="L300" s="233"/>
      <c r="M300" s="496"/>
      <c r="N300" s="496"/>
      <c r="O300" s="496"/>
      <c r="P300" s="496"/>
    </row>
    <row r="301" spans="1:16" s="190" customFormat="1" ht="63.75" customHeight="1" thickBot="1">
      <c r="A301" s="914" t="s">
        <v>53</v>
      </c>
      <c r="B301" s="914"/>
      <c r="C301" s="327" t="s">
        <v>635</v>
      </c>
      <c r="D301" s="327" t="s">
        <v>636</v>
      </c>
      <c r="E301" s="327" t="s">
        <v>637</v>
      </c>
      <c r="F301" s="233"/>
      <c r="G301" s="233"/>
      <c r="H301" s="233"/>
      <c r="I301" s="233"/>
      <c r="J301" s="233"/>
      <c r="K301" s="233"/>
      <c r="L301" s="233"/>
      <c r="M301" s="496"/>
      <c r="N301" s="496"/>
      <c r="O301" s="496"/>
      <c r="P301" s="496"/>
    </row>
    <row r="302" spans="1:16" s="190" customFormat="1" ht="20.100000000000001" customHeight="1">
      <c r="A302" s="915" t="s">
        <v>749</v>
      </c>
      <c r="B302" s="915"/>
      <c r="C302" s="240"/>
      <c r="D302" s="240"/>
      <c r="E302" s="240"/>
      <c r="F302" s="233"/>
      <c r="G302" s="233"/>
      <c r="H302" s="233"/>
      <c r="I302" s="233"/>
      <c r="J302" s="233"/>
      <c r="K302" s="233"/>
      <c r="L302" s="233"/>
      <c r="M302" s="496"/>
      <c r="N302" s="496"/>
      <c r="O302" s="496"/>
      <c r="P302" s="496"/>
    </row>
    <row r="303" spans="1:16" s="190" customFormat="1" ht="20.100000000000001" customHeight="1">
      <c r="A303" s="230">
        <f>'未确认投资损失测试表G7-16'!B12</f>
        <v>0</v>
      </c>
      <c r="B303" s="230"/>
      <c r="C303" s="500">
        <f>IF('未确认投资损失测试表G7-16'!H12&lt;0,'未确认投资损失测试表G7-16'!H12,0)</f>
        <v>0</v>
      </c>
      <c r="D303" s="500">
        <f>'未确认投资损失测试表G7-16'!I12</f>
        <v>0</v>
      </c>
      <c r="E303" s="500">
        <f>'未确认投资损失测试表G7-16'!J12</f>
        <v>0</v>
      </c>
      <c r="F303" s="233"/>
      <c r="G303" s="233"/>
      <c r="H303" s="233"/>
      <c r="I303" s="233"/>
      <c r="J303" s="233"/>
      <c r="K303" s="233"/>
      <c r="L303" s="233"/>
      <c r="M303" s="496"/>
      <c r="N303" s="496"/>
      <c r="O303" s="496"/>
      <c r="P303" s="496"/>
    </row>
    <row r="304" spans="1:16" s="190" customFormat="1" ht="20.100000000000001" customHeight="1">
      <c r="A304" s="230">
        <f>'未确认投资损失测试表G7-16'!B13</f>
        <v>0</v>
      </c>
      <c r="B304" s="230"/>
      <c r="C304" s="500">
        <f>IF('未确认投资损失测试表G7-16'!H13&lt;0,'未确认投资损失测试表G7-16'!H13,0)</f>
        <v>0</v>
      </c>
      <c r="D304" s="500">
        <f>'未确认投资损失测试表G7-16'!I13</f>
        <v>0</v>
      </c>
      <c r="E304" s="500">
        <f>'未确认投资损失测试表G7-16'!J13</f>
        <v>0</v>
      </c>
      <c r="F304" s="233"/>
      <c r="G304" s="233"/>
      <c r="H304" s="233"/>
      <c r="I304" s="233"/>
      <c r="J304" s="233"/>
      <c r="K304" s="233"/>
      <c r="L304" s="233"/>
      <c r="M304" s="496"/>
      <c r="N304" s="496"/>
      <c r="O304" s="496"/>
      <c r="P304" s="496"/>
    </row>
    <row r="305" spans="1:16" s="190" customFormat="1" ht="20.100000000000001" customHeight="1">
      <c r="A305" s="230">
        <f>'未确认投资损失测试表G7-16'!B14</f>
        <v>0</v>
      </c>
      <c r="B305" s="230"/>
      <c r="C305" s="500">
        <f>IF('未确认投资损失测试表G7-16'!H14&lt;0,'未确认投资损失测试表G7-16'!H14,0)</f>
        <v>0</v>
      </c>
      <c r="D305" s="500">
        <f>'未确认投资损失测试表G7-16'!I14</f>
        <v>0</v>
      </c>
      <c r="E305" s="500">
        <f>'未确认投资损失测试表G7-16'!J14</f>
        <v>0</v>
      </c>
      <c r="F305" s="233"/>
      <c r="G305" s="233"/>
      <c r="H305" s="233"/>
      <c r="I305" s="233"/>
      <c r="J305" s="233"/>
      <c r="K305" s="233"/>
      <c r="L305" s="233"/>
      <c r="M305" s="496"/>
      <c r="N305" s="496"/>
      <c r="O305" s="496"/>
      <c r="P305" s="496"/>
    </row>
    <row r="306" spans="1:16" s="190" customFormat="1" ht="20.100000000000001" customHeight="1">
      <c r="A306" s="916" t="s">
        <v>526</v>
      </c>
      <c r="B306" s="916"/>
      <c r="C306" s="529">
        <f>SUM(C303:C305)</f>
        <v>0</v>
      </c>
      <c r="D306" s="529">
        <f t="shared" ref="D306:E306" si="8">SUM(D303:D305)</f>
        <v>0</v>
      </c>
      <c r="E306" s="529">
        <f t="shared" si="8"/>
        <v>0</v>
      </c>
      <c r="F306" s="233"/>
      <c r="G306" s="233"/>
      <c r="H306" s="233"/>
      <c r="I306" s="233"/>
      <c r="J306" s="233"/>
      <c r="K306" s="233"/>
      <c r="L306" s="233"/>
      <c r="M306" s="496"/>
      <c r="N306" s="496"/>
      <c r="O306" s="496"/>
      <c r="P306" s="496"/>
    </row>
    <row r="307" spans="1:16" s="190" customFormat="1" ht="20.100000000000001" customHeight="1">
      <c r="A307" s="924" t="s">
        <v>639</v>
      </c>
      <c r="B307" s="924"/>
      <c r="C307" s="500"/>
      <c r="D307" s="440"/>
      <c r="E307" s="440"/>
      <c r="F307" s="233"/>
      <c r="G307" s="233"/>
      <c r="H307" s="233"/>
      <c r="I307" s="233"/>
      <c r="J307" s="233"/>
      <c r="K307" s="233"/>
      <c r="L307" s="233"/>
      <c r="M307" s="496"/>
      <c r="N307" s="496"/>
      <c r="O307" s="496"/>
      <c r="P307" s="496"/>
    </row>
    <row r="308" spans="1:16" s="190" customFormat="1" ht="20.100000000000001" customHeight="1">
      <c r="A308" s="230">
        <f>'未确认投资损失测试表G7-16'!B17</f>
        <v>0</v>
      </c>
      <c r="B308" s="230"/>
      <c r="C308" s="500">
        <f>IF('未确认投资损失测试表G7-16'!H17&lt;0,'未确认投资损失测试表G7-16'!H17,0)</f>
        <v>0</v>
      </c>
      <c r="D308" s="500">
        <f>'未确认投资损失测试表G7-16'!I17</f>
        <v>0</v>
      </c>
      <c r="E308" s="500">
        <f>'未确认投资损失测试表G7-16'!J17</f>
        <v>0</v>
      </c>
      <c r="F308" s="233"/>
      <c r="G308" s="233"/>
      <c r="H308" s="233"/>
      <c r="I308" s="233"/>
      <c r="J308" s="233"/>
      <c r="K308" s="233"/>
      <c r="L308" s="233"/>
      <c r="M308" s="496"/>
      <c r="N308" s="496"/>
      <c r="O308" s="496"/>
      <c r="P308" s="496"/>
    </row>
    <row r="309" spans="1:16" s="190" customFormat="1" ht="20.100000000000001" customHeight="1">
      <c r="A309" s="230">
        <f>'未确认投资损失测试表G7-16'!B18</f>
        <v>0</v>
      </c>
      <c r="B309" s="230"/>
      <c r="C309" s="500">
        <f>IF('未确认投资损失测试表G7-16'!H18&lt;0,'未确认投资损失测试表G7-16'!H18,0)</f>
        <v>0</v>
      </c>
      <c r="D309" s="500">
        <f>'未确认投资损失测试表G7-16'!I18</f>
        <v>0</v>
      </c>
      <c r="E309" s="500">
        <f>'未确认投资损失测试表G7-16'!J18</f>
        <v>0</v>
      </c>
      <c r="F309" s="233"/>
      <c r="G309" s="233"/>
      <c r="H309" s="233"/>
      <c r="I309" s="233"/>
      <c r="J309" s="233"/>
      <c r="K309" s="233"/>
      <c r="L309" s="233"/>
      <c r="M309" s="496"/>
      <c r="N309" s="496"/>
      <c r="O309" s="496"/>
      <c r="P309" s="496"/>
    </row>
    <row r="310" spans="1:16" s="190" customFormat="1" ht="20.100000000000001" customHeight="1">
      <c r="A310" s="230">
        <f>'未确认投资损失测试表G7-16'!B19</f>
        <v>0</v>
      </c>
      <c r="B310" s="230"/>
      <c r="C310" s="500">
        <f>IF('未确认投资损失测试表G7-16'!H19&lt;0,'未确认投资损失测试表G7-16'!H19,0)</f>
        <v>0</v>
      </c>
      <c r="D310" s="500">
        <f>'未确认投资损失测试表G7-16'!I19</f>
        <v>0</v>
      </c>
      <c r="E310" s="500">
        <f>'未确认投资损失测试表G7-16'!J19</f>
        <v>0</v>
      </c>
      <c r="F310" s="233"/>
      <c r="G310" s="233"/>
      <c r="H310" s="233"/>
      <c r="I310" s="233"/>
      <c r="J310" s="233"/>
      <c r="K310" s="233"/>
      <c r="L310" s="233"/>
      <c r="M310" s="496"/>
      <c r="N310" s="496"/>
      <c r="O310" s="496"/>
      <c r="P310" s="496"/>
    </row>
    <row r="311" spans="1:16" s="190" customFormat="1" ht="20.100000000000001" customHeight="1" thickBot="1">
      <c r="A311" s="923" t="s">
        <v>526</v>
      </c>
      <c r="B311" s="923"/>
      <c r="C311" s="284">
        <f>SUM(C308:C310)</f>
        <v>0</v>
      </c>
      <c r="D311" s="284">
        <f t="shared" ref="D311:E311" si="9">SUM(D308:D310)</f>
        <v>0</v>
      </c>
      <c r="E311" s="284">
        <f t="shared" si="9"/>
        <v>0</v>
      </c>
      <c r="F311" s="233"/>
      <c r="G311" s="233"/>
      <c r="H311" s="233"/>
      <c r="I311" s="233"/>
      <c r="J311" s="233"/>
      <c r="K311" s="233"/>
      <c r="L311" s="233"/>
      <c r="M311" s="496"/>
      <c r="N311" s="496"/>
      <c r="O311" s="496"/>
      <c r="P311" s="496"/>
    </row>
    <row r="312" spans="1:16" s="190" customFormat="1" ht="20.100000000000001" customHeight="1" thickBot="1">
      <c r="A312" s="925" t="s">
        <v>512</v>
      </c>
      <c r="B312" s="925"/>
      <c r="C312" s="286">
        <f>C306+C311</f>
        <v>0</v>
      </c>
      <c r="D312" s="286">
        <f t="shared" ref="D312:E312" si="10">D306+D311</f>
        <v>0</v>
      </c>
      <c r="E312" s="286">
        <f t="shared" si="10"/>
        <v>0</v>
      </c>
      <c r="F312" s="233"/>
      <c r="G312" s="233"/>
      <c r="H312" s="233"/>
      <c r="I312" s="233"/>
      <c r="J312" s="233"/>
      <c r="K312" s="233"/>
      <c r="L312" s="233"/>
      <c r="M312" s="496"/>
      <c r="N312" s="496"/>
      <c r="O312" s="496"/>
      <c r="P312" s="496"/>
    </row>
    <row r="313" spans="1:16" s="190" customFormat="1" ht="20.100000000000001" customHeight="1">
      <c r="A313" s="233" t="s">
        <v>750</v>
      </c>
      <c r="B313" s="233"/>
      <c r="C313" s="233"/>
      <c r="D313" s="233"/>
      <c r="E313" s="233"/>
      <c r="F313" s="233"/>
      <c r="G313" s="233"/>
      <c r="H313" s="233"/>
      <c r="I313" s="233"/>
      <c r="J313" s="233"/>
      <c r="K313" s="233"/>
      <c r="L313" s="233"/>
      <c r="M313" s="496"/>
      <c r="N313" s="496"/>
      <c r="O313" s="496"/>
      <c r="P313" s="496"/>
    </row>
    <row r="314" spans="1:16" ht="15.6">
      <c r="A314" s="233" t="s">
        <v>955</v>
      </c>
      <c r="B314"/>
      <c r="C314"/>
      <c r="D314"/>
      <c r="E314"/>
      <c r="F314"/>
      <c r="G314"/>
    </row>
    <row r="315" spans="1:16" ht="15.6">
      <c r="A315" s="528" t="s">
        <v>911</v>
      </c>
      <c r="B315"/>
      <c r="C315"/>
      <c r="D315"/>
      <c r="E315"/>
      <c r="F315"/>
      <c r="G315"/>
    </row>
    <row r="316" spans="1:16" ht="15.6">
      <c r="A316" s="528" t="s">
        <v>912</v>
      </c>
      <c r="B316"/>
      <c r="C316"/>
      <c r="D316"/>
      <c r="E316"/>
      <c r="F316"/>
      <c r="G316"/>
    </row>
    <row r="317" spans="1:16" ht="15.6">
      <c r="A317" s="528" t="s">
        <v>913</v>
      </c>
      <c r="B317"/>
      <c r="C317"/>
      <c r="D317"/>
      <c r="E317"/>
      <c r="F317"/>
      <c r="G317"/>
    </row>
    <row r="318" spans="1:16" ht="15.6">
      <c r="A318" s="528" t="s">
        <v>914</v>
      </c>
      <c r="B318"/>
      <c r="C318"/>
      <c r="D318"/>
      <c r="E318"/>
      <c r="F318"/>
      <c r="G318"/>
    </row>
    <row r="319" spans="1:16" ht="15.6">
      <c r="A319" s="528" t="s">
        <v>915</v>
      </c>
      <c r="B319"/>
      <c r="C319"/>
      <c r="D319"/>
      <c r="E319"/>
      <c r="F319"/>
      <c r="G319"/>
    </row>
    <row r="320" spans="1:16" ht="15.6">
      <c r="A320" s="528" t="s">
        <v>916</v>
      </c>
      <c r="B320"/>
      <c r="C320"/>
      <c r="D320"/>
      <c r="E320"/>
      <c r="F320"/>
      <c r="G320"/>
    </row>
    <row r="321" spans="1:7" ht="15.6">
      <c r="A321" s="528" t="s">
        <v>917</v>
      </c>
      <c r="B321"/>
      <c r="C321"/>
      <c r="D321"/>
      <c r="E321"/>
      <c r="F321"/>
      <c r="G321"/>
    </row>
    <row r="322" spans="1:7" ht="16.2" thickBot="1">
      <c r="A322" s="528" t="s">
        <v>918</v>
      </c>
      <c r="B322"/>
      <c r="C322"/>
      <c r="D322"/>
      <c r="E322"/>
      <c r="F322"/>
      <c r="G322"/>
    </row>
    <row r="323" spans="1:7" ht="13.5" customHeight="1">
      <c r="A323" s="895" t="s">
        <v>105</v>
      </c>
      <c r="B323" s="436" t="s">
        <v>919</v>
      </c>
      <c r="C323" s="883" t="s">
        <v>54</v>
      </c>
      <c r="D323" s="883"/>
      <c r="E323" s="883" t="s">
        <v>55</v>
      </c>
      <c r="F323" s="883"/>
      <c r="G323" s="878" t="s">
        <v>921</v>
      </c>
    </row>
    <row r="324" spans="1:7" ht="15" thickBot="1">
      <c r="A324" s="897"/>
      <c r="B324" s="421" t="s">
        <v>920</v>
      </c>
      <c r="C324" s="421" t="s">
        <v>510</v>
      </c>
      <c r="D324" s="421" t="s">
        <v>922</v>
      </c>
      <c r="E324" s="421" t="s">
        <v>510</v>
      </c>
      <c r="F324" s="421" t="s">
        <v>922</v>
      </c>
      <c r="G324" s="880"/>
    </row>
    <row r="325" spans="1:7" ht="14.4">
      <c r="A325" s="423" t="s">
        <v>923</v>
      </c>
      <c r="B325" s="424"/>
      <c r="C325" s="424"/>
      <c r="D325" s="424"/>
      <c r="E325" s="424"/>
      <c r="F325" s="424"/>
      <c r="G325" s="424"/>
    </row>
    <row r="326" spans="1:7" ht="14.4">
      <c r="A326" s="423" t="s">
        <v>924</v>
      </c>
      <c r="B326" s="424"/>
      <c r="C326" s="424"/>
      <c r="D326" s="424"/>
      <c r="E326" s="424"/>
      <c r="F326" s="424"/>
      <c r="G326" s="424"/>
    </row>
    <row r="327" spans="1:7" ht="28.8">
      <c r="A327" s="423" t="s">
        <v>925</v>
      </c>
      <c r="B327" s="424"/>
      <c r="C327" s="424"/>
      <c r="D327" s="424"/>
      <c r="E327" s="424"/>
      <c r="F327" s="424"/>
      <c r="G327" s="424"/>
    </row>
    <row r="328" spans="1:7" ht="14.4" thickBot="1">
      <c r="A328" s="480" t="s">
        <v>907</v>
      </c>
      <c r="B328" s="427"/>
      <c r="C328" s="427"/>
      <c r="D328" s="427"/>
      <c r="E328" s="427"/>
      <c r="F328" s="427"/>
      <c r="G328" s="427"/>
    </row>
    <row r="329" spans="1:7" ht="15.6">
      <c r="A329" s="528" t="s">
        <v>926</v>
      </c>
      <c r="B329"/>
      <c r="C329"/>
      <c r="D329"/>
      <c r="E329"/>
      <c r="F329"/>
      <c r="G329"/>
    </row>
    <row r="330" spans="1:7" ht="15.6">
      <c r="A330" s="528" t="s">
        <v>927</v>
      </c>
      <c r="B330"/>
      <c r="C330"/>
      <c r="D330"/>
      <c r="E330"/>
      <c r="F330"/>
      <c r="G330"/>
    </row>
    <row r="331" spans="1:7" ht="15.6">
      <c r="A331" s="528" t="s">
        <v>928</v>
      </c>
      <c r="B331"/>
      <c r="C331"/>
      <c r="D331"/>
      <c r="E331"/>
      <c r="F331"/>
      <c r="G331"/>
    </row>
    <row r="332" spans="1:7" ht="15.6">
      <c r="A332" s="528" t="s">
        <v>929</v>
      </c>
      <c r="B332"/>
      <c r="C332"/>
      <c r="D332"/>
      <c r="E332"/>
      <c r="F332"/>
      <c r="G332"/>
    </row>
    <row r="333" spans="1:7" ht="15.6">
      <c r="A333" s="528" t="s">
        <v>930</v>
      </c>
      <c r="B333"/>
      <c r="C333"/>
      <c r="D333"/>
      <c r="E333"/>
      <c r="F333"/>
      <c r="G333"/>
    </row>
    <row r="334" spans="1:7" ht="15.6">
      <c r="A334" s="528" t="s">
        <v>931</v>
      </c>
      <c r="B334"/>
      <c r="C334"/>
      <c r="D334"/>
      <c r="E334"/>
      <c r="F334"/>
      <c r="G334"/>
    </row>
    <row r="335" spans="1:7" ht="15.6">
      <c r="A335" s="528" t="s">
        <v>932</v>
      </c>
      <c r="B335"/>
      <c r="C335"/>
      <c r="D335"/>
      <c r="E335"/>
      <c r="F335"/>
      <c r="G335"/>
    </row>
    <row r="336" spans="1:7" ht="15.6">
      <c r="A336" s="528" t="s">
        <v>933</v>
      </c>
      <c r="B336"/>
      <c r="C336"/>
      <c r="D336"/>
      <c r="E336"/>
      <c r="F336"/>
      <c r="G336"/>
    </row>
    <row r="337" spans="1:7" ht="15.6">
      <c r="A337" s="528" t="s">
        <v>934</v>
      </c>
      <c r="B337"/>
      <c r="C337"/>
      <c r="D337"/>
      <c r="E337"/>
      <c r="F337"/>
      <c r="G337"/>
    </row>
    <row r="338" spans="1:7" ht="15.6">
      <c r="A338" s="528" t="s">
        <v>935</v>
      </c>
      <c r="B338"/>
      <c r="C338"/>
      <c r="D338"/>
      <c r="E338"/>
      <c r="F338"/>
      <c r="G338"/>
    </row>
    <row r="339" spans="1:7" ht="16.2" thickBot="1">
      <c r="A339" s="528" t="s">
        <v>936</v>
      </c>
      <c r="B339"/>
      <c r="C339"/>
      <c r="D339"/>
      <c r="E339"/>
      <c r="F339"/>
      <c r="G339"/>
    </row>
    <row r="340" spans="1:7" ht="15.6">
      <c r="A340" s="435" t="s">
        <v>937</v>
      </c>
      <c r="B340" s="883" t="s">
        <v>939</v>
      </c>
      <c r="C340" s="883"/>
      <c r="D340" s="883"/>
      <c r="E340" s="878" t="s">
        <v>940</v>
      </c>
      <c r="F340"/>
      <c r="G340"/>
    </row>
    <row r="341" spans="1:7" ht="43.8" thickBot="1">
      <c r="A341" s="428" t="s">
        <v>938</v>
      </c>
      <c r="B341" s="421" t="s">
        <v>941</v>
      </c>
      <c r="C341" s="421" t="s">
        <v>942</v>
      </c>
      <c r="D341" s="421" t="s">
        <v>90</v>
      </c>
      <c r="E341" s="880"/>
      <c r="F341"/>
      <c r="G341"/>
    </row>
    <row r="342" spans="1:7" ht="15.6">
      <c r="A342" s="423" t="s">
        <v>943</v>
      </c>
      <c r="B342" s="424"/>
      <c r="C342" s="424"/>
      <c r="D342" s="424"/>
      <c r="E342" s="424"/>
      <c r="F342"/>
      <c r="G342"/>
    </row>
    <row r="343" spans="1:7" ht="15.6">
      <c r="A343" s="423" t="s">
        <v>944</v>
      </c>
      <c r="B343" s="424"/>
      <c r="C343" s="424"/>
      <c r="D343" s="424"/>
      <c r="E343" s="424"/>
      <c r="F343"/>
      <c r="G343"/>
    </row>
    <row r="344" spans="1:7" ht="16.2" thickBot="1">
      <c r="A344" s="480" t="s">
        <v>907</v>
      </c>
      <c r="B344" s="427"/>
      <c r="C344" s="427"/>
      <c r="D344" s="427"/>
      <c r="E344" s="427"/>
      <c r="F344"/>
      <c r="G344"/>
    </row>
    <row r="345" spans="1:7" ht="16.2" thickBot="1">
      <c r="A345" s="428" t="s">
        <v>862</v>
      </c>
      <c r="B345" s="429"/>
      <c r="C345" s="429"/>
      <c r="D345" s="429"/>
      <c r="E345" s="429"/>
      <c r="F345"/>
      <c r="G345"/>
    </row>
    <row r="346" spans="1:7" ht="15.6">
      <c r="A346" s="528" t="s">
        <v>945</v>
      </c>
      <c r="B346"/>
      <c r="C346"/>
      <c r="D346"/>
      <c r="E346"/>
      <c r="F346"/>
      <c r="G346"/>
    </row>
    <row r="347" spans="1:7" ht="15.6">
      <c r="A347" s="528" t="s">
        <v>946</v>
      </c>
      <c r="B347"/>
      <c r="C347"/>
      <c r="D347"/>
      <c r="E347"/>
      <c r="F347"/>
      <c r="G347"/>
    </row>
    <row r="348" spans="1:7" ht="15.6">
      <c r="A348" s="528" t="s">
        <v>947</v>
      </c>
      <c r="B348"/>
      <c r="C348"/>
      <c r="D348"/>
      <c r="E348"/>
      <c r="F348"/>
      <c r="G348"/>
    </row>
    <row r="349" spans="1:7" ht="15.6">
      <c r="A349" s="528" t="s">
        <v>948</v>
      </c>
      <c r="B349"/>
      <c r="C349"/>
      <c r="D349"/>
      <c r="E349"/>
      <c r="F349"/>
      <c r="G349"/>
    </row>
    <row r="350" spans="1:7" ht="15.6">
      <c r="A350" s="528" t="s">
        <v>949</v>
      </c>
      <c r="B350"/>
      <c r="C350"/>
      <c r="D350"/>
      <c r="E350"/>
      <c r="F350"/>
      <c r="G350"/>
    </row>
    <row r="351" spans="1:7" ht="15.6">
      <c r="A351" s="528" t="s">
        <v>950</v>
      </c>
      <c r="B351"/>
      <c r="C351"/>
      <c r="D351"/>
      <c r="E351"/>
      <c r="F351"/>
      <c r="G351"/>
    </row>
    <row r="352" spans="1:7" ht="15.6">
      <c r="A352" s="528" t="s">
        <v>951</v>
      </c>
      <c r="B352"/>
      <c r="C352"/>
      <c r="D352"/>
      <c r="E352"/>
      <c r="F352"/>
      <c r="G352"/>
    </row>
    <row r="353" spans="1:7" ht="15.6">
      <c r="A353" s="528" t="s">
        <v>952</v>
      </c>
      <c r="B353"/>
      <c r="C353"/>
      <c r="D353"/>
      <c r="E353"/>
      <c r="F353"/>
      <c r="G353"/>
    </row>
    <row r="354" spans="1:7" ht="15.6">
      <c r="A354" s="528" t="s">
        <v>953</v>
      </c>
      <c r="B354"/>
      <c r="C354"/>
      <c r="D354"/>
      <c r="E354"/>
      <c r="F354"/>
      <c r="G354"/>
    </row>
    <row r="355" spans="1:7" ht="15.6">
      <c r="A355" s="528" t="s">
        <v>954</v>
      </c>
      <c r="B355"/>
      <c r="C355"/>
      <c r="D355"/>
      <c r="E355"/>
      <c r="F355"/>
      <c r="G355"/>
    </row>
  </sheetData>
  <mergeCells count="187">
    <mergeCell ref="A297:D297"/>
    <mergeCell ref="A202:B202"/>
    <mergeCell ref="A203:B203"/>
    <mergeCell ref="A204:B204"/>
    <mergeCell ref="A205:B205"/>
    <mergeCell ref="A206:B206"/>
    <mergeCell ref="A207:B207"/>
    <mergeCell ref="A208:B208"/>
    <mergeCell ref="A194:B194"/>
    <mergeCell ref="A195:B195"/>
    <mergeCell ref="A196:B196"/>
    <mergeCell ref="A197:B197"/>
    <mergeCell ref="A198:B198"/>
    <mergeCell ref="A199:B199"/>
    <mergeCell ref="A210:A211"/>
    <mergeCell ref="B210:B211"/>
    <mergeCell ref="C271:D271"/>
    <mergeCell ref="A225:L225"/>
    <mergeCell ref="A226:L226"/>
    <mergeCell ref="A227:L227"/>
    <mergeCell ref="A228:L228"/>
    <mergeCell ref="C257:D257"/>
    <mergeCell ref="E257:F257"/>
    <mergeCell ref="A243:B244"/>
    <mergeCell ref="A245:B245"/>
    <mergeCell ref="A246:B246"/>
    <mergeCell ref="A247:B247"/>
    <mergeCell ref="A248:B248"/>
    <mergeCell ref="A249:B249"/>
    <mergeCell ref="A250:B250"/>
    <mergeCell ref="A251:B251"/>
    <mergeCell ref="G257:H257"/>
    <mergeCell ref="K129:K131"/>
    <mergeCell ref="A233:B233"/>
    <mergeCell ref="A129:A131"/>
    <mergeCell ref="B129:B131"/>
    <mergeCell ref="C129:C131"/>
    <mergeCell ref="D129:D131"/>
    <mergeCell ref="E129:E131"/>
    <mergeCell ref="F129:H129"/>
    <mergeCell ref="I129:I131"/>
    <mergeCell ref="J129:J131"/>
    <mergeCell ref="A241:B241"/>
    <mergeCell ref="A104:B104"/>
    <mergeCell ref="A105:B105"/>
    <mergeCell ref="A106:B106"/>
    <mergeCell ref="I98:J98"/>
    <mergeCell ref="K98:L98"/>
    <mergeCell ref="A122:B123"/>
    <mergeCell ref="D122:D123"/>
    <mergeCell ref="A96:B96"/>
    <mergeCell ref="F122:F123"/>
    <mergeCell ref="A107:L107"/>
    <mergeCell ref="L129:L131"/>
    <mergeCell ref="E271:F271"/>
    <mergeCell ref="G271:H271"/>
    <mergeCell ref="C229:D229"/>
    <mergeCell ref="E229:F229"/>
    <mergeCell ref="G229:H229"/>
    <mergeCell ref="C243:D243"/>
    <mergeCell ref="E243:F243"/>
    <mergeCell ref="G243:H243"/>
    <mergeCell ref="A252:L252"/>
    <mergeCell ref="A253:L253"/>
    <mergeCell ref="A254:L254"/>
    <mergeCell ref="A255:L255"/>
    <mergeCell ref="A256:L256"/>
    <mergeCell ref="A234:B234"/>
    <mergeCell ref="A235:B235"/>
    <mergeCell ref="A236:B236"/>
    <mergeCell ref="A237:B237"/>
    <mergeCell ref="A238:B238"/>
    <mergeCell ref="A239:B239"/>
    <mergeCell ref="A240:B240"/>
    <mergeCell ref="A229:B230"/>
    <mergeCell ref="A231:B231"/>
    <mergeCell ref="A232:B232"/>
    <mergeCell ref="A285:B285"/>
    <mergeCell ref="A286:B286"/>
    <mergeCell ref="A287:B287"/>
    <mergeCell ref="A288:B288"/>
    <mergeCell ref="A289:B289"/>
    <mergeCell ref="A257:B258"/>
    <mergeCell ref="A259:B259"/>
    <mergeCell ref="A260:B260"/>
    <mergeCell ref="A261:B261"/>
    <mergeCell ref="A262:B262"/>
    <mergeCell ref="A263:B263"/>
    <mergeCell ref="A264:B264"/>
    <mergeCell ref="A265:B265"/>
    <mergeCell ref="A266:B266"/>
    <mergeCell ref="A275:B275"/>
    <mergeCell ref="A276:B276"/>
    <mergeCell ref="A277:B277"/>
    <mergeCell ref="A280:B280"/>
    <mergeCell ref="A281:B281"/>
    <mergeCell ref="A267:B267"/>
    <mergeCell ref="A268:B268"/>
    <mergeCell ref="A283:B283"/>
    <mergeCell ref="A284:B284"/>
    <mergeCell ref="A311:B311"/>
    <mergeCell ref="A307:B307"/>
    <mergeCell ref="A312:B312"/>
    <mergeCell ref="A65:B65"/>
    <mergeCell ref="A66:B66"/>
    <mergeCell ref="A67:B67"/>
    <mergeCell ref="A68:B68"/>
    <mergeCell ref="A69:B69"/>
    <mergeCell ref="A70:B70"/>
    <mergeCell ref="A71:B71"/>
    <mergeCell ref="A72:B72"/>
    <mergeCell ref="A73:B73"/>
    <mergeCell ref="A98:B98"/>
    <mergeCell ref="A99:B99"/>
    <mergeCell ref="A100:B100"/>
    <mergeCell ref="A101:B101"/>
    <mergeCell ref="A102:B102"/>
    <mergeCell ref="A103:B103"/>
    <mergeCell ref="A282:B282"/>
    <mergeCell ref="A290:B290"/>
    <mergeCell ref="A269:B269"/>
    <mergeCell ref="A271:B272"/>
    <mergeCell ref="A273:B273"/>
    <mergeCell ref="A274:B274"/>
    <mergeCell ref="I62:J62"/>
    <mergeCell ref="K62:L62"/>
    <mergeCell ref="A87:B87"/>
    <mergeCell ref="A88:B88"/>
    <mergeCell ref="A89:B89"/>
    <mergeCell ref="A90:B90"/>
    <mergeCell ref="A91:B91"/>
    <mergeCell ref="A92:B92"/>
    <mergeCell ref="A93:B93"/>
    <mergeCell ref="A64:B64"/>
    <mergeCell ref="C62:D62"/>
    <mergeCell ref="E62:F62"/>
    <mergeCell ref="G62:H62"/>
    <mergeCell ref="A62:B63"/>
    <mergeCell ref="C87:D87"/>
    <mergeCell ref="A1:L1"/>
    <mergeCell ref="A2:L2"/>
    <mergeCell ref="A139:B140"/>
    <mergeCell ref="A187:B187"/>
    <mergeCell ref="A188:B188"/>
    <mergeCell ref="A189:B189"/>
    <mergeCell ref="A190:B190"/>
    <mergeCell ref="A191:B191"/>
    <mergeCell ref="E87:F87"/>
    <mergeCell ref="G87:H87"/>
    <mergeCell ref="C98:D98"/>
    <mergeCell ref="E98:F98"/>
    <mergeCell ref="G98:H98"/>
    <mergeCell ref="C122:C123"/>
    <mergeCell ref="E122:E123"/>
    <mergeCell ref="G122:J122"/>
    <mergeCell ref="A109:B109"/>
    <mergeCell ref="K87:L87"/>
    <mergeCell ref="I87:J87"/>
    <mergeCell ref="A95:B95"/>
    <mergeCell ref="A94:B94"/>
    <mergeCell ref="A174:F174"/>
    <mergeCell ref="A175:F175"/>
    <mergeCell ref="A176:F176"/>
    <mergeCell ref="B340:D340"/>
    <mergeCell ref="E340:E341"/>
    <mergeCell ref="M129:M131"/>
    <mergeCell ref="F130:F131"/>
    <mergeCell ref="G130:H130"/>
    <mergeCell ref="D210:K210"/>
    <mergeCell ref="L210:L211"/>
    <mergeCell ref="M210:M211"/>
    <mergeCell ref="A323:A324"/>
    <mergeCell ref="C323:D323"/>
    <mergeCell ref="E323:F323"/>
    <mergeCell ref="G323:G324"/>
    <mergeCell ref="C210:C211"/>
    <mergeCell ref="A192:B192"/>
    <mergeCell ref="A193:B193"/>
    <mergeCell ref="A181:F181"/>
    <mergeCell ref="A185:F185"/>
    <mergeCell ref="C139:D139"/>
    <mergeCell ref="E139:F139"/>
    <mergeCell ref="A291:B291"/>
    <mergeCell ref="A292:B292"/>
    <mergeCell ref="A301:B301"/>
    <mergeCell ref="A302:B302"/>
    <mergeCell ref="A306:B306"/>
  </mergeCells>
  <phoneticPr fontId="11" type="noConversion"/>
  <pageMargins left="0.70866141732283472" right="0.70866141732283472" top="0.74803149606299213" bottom="0.74803149606299213" header="0.31496062992125984" footer="0.31496062992125984"/>
  <pageSetup paperSize="9" fitToHeight="0" orientation="portrait" r:id="rId1"/>
  <headerFoot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BB103"/>
  <sheetViews>
    <sheetView view="pageBreakPreview" zoomScaleSheetLayoutView="100" workbookViewId="0">
      <selection sqref="A1:S1"/>
    </sheetView>
  </sheetViews>
  <sheetFormatPr defaultColWidth="9" defaultRowHeight="13.8"/>
  <cols>
    <col min="1" max="1" width="4.5" style="2" customWidth="1"/>
    <col min="2" max="2" width="18.796875" style="2" customWidth="1"/>
    <col min="3" max="3" width="13.5" style="2" customWidth="1"/>
    <col min="4" max="4" width="8.5" style="2" customWidth="1"/>
    <col min="5" max="5" width="9.69921875" style="2" customWidth="1"/>
    <col min="6" max="6" width="5.19921875" style="2" customWidth="1"/>
    <col min="7" max="7" width="10.09765625" style="2" customWidth="1"/>
    <col min="8" max="8" width="8.5" style="2" customWidth="1"/>
    <col min="9" max="9" width="11.69921875" style="2" customWidth="1"/>
    <col min="10" max="10" width="8.19921875" style="2" customWidth="1"/>
    <col min="11" max="11" width="8.3984375" style="2" customWidth="1"/>
    <col min="12" max="12" width="8.59765625" style="2" customWidth="1"/>
    <col min="13" max="13" width="8.8984375" style="2" customWidth="1"/>
    <col min="14" max="14" width="11" style="2" customWidth="1"/>
    <col min="15" max="15" width="8.8984375" style="2" customWidth="1"/>
    <col min="16" max="16" width="9.19921875" style="2" customWidth="1"/>
    <col min="17" max="17" width="8.19921875" style="2" customWidth="1"/>
    <col min="18" max="18" width="11.59765625" style="2" customWidth="1"/>
    <col min="19" max="19" width="8.8984375" style="2" customWidth="1"/>
    <col min="20" max="20" width="9" style="2"/>
    <col min="21" max="21" width="9.8984375" style="2" customWidth="1"/>
    <col min="22" max="16384" width="9" style="2"/>
  </cols>
  <sheetData>
    <row r="1" spans="1:54" s="625" customFormat="1" ht="19.95" customHeight="1">
      <c r="A1" s="942" t="s">
        <v>77</v>
      </c>
      <c r="B1" s="942"/>
      <c r="C1" s="942"/>
      <c r="D1" s="942"/>
      <c r="E1" s="942"/>
      <c r="F1" s="942"/>
      <c r="G1" s="942"/>
      <c r="H1" s="942"/>
      <c r="I1" s="942"/>
      <c r="J1" s="942"/>
      <c r="K1" s="942"/>
      <c r="L1" s="942"/>
      <c r="M1" s="942"/>
      <c r="N1" s="942"/>
      <c r="O1" s="942"/>
      <c r="P1" s="942"/>
      <c r="Q1" s="942"/>
      <c r="R1" s="942"/>
      <c r="S1" s="942"/>
      <c r="U1" s="623"/>
      <c r="V1" s="942" t="s">
        <v>77</v>
      </c>
      <c r="W1" s="942"/>
      <c r="X1" s="942"/>
      <c r="Y1" s="942"/>
      <c r="Z1" s="942"/>
      <c r="AA1" s="942"/>
      <c r="AB1" s="942"/>
      <c r="AC1" s="942"/>
      <c r="AD1" s="942"/>
      <c r="AE1" s="942"/>
      <c r="AF1" s="942"/>
      <c r="AG1" s="942"/>
      <c r="AH1" s="942"/>
      <c r="AI1" s="942"/>
      <c r="AJ1" s="942"/>
      <c r="AK1" s="942"/>
      <c r="AL1" s="942"/>
      <c r="AM1" s="942"/>
      <c r="AN1" s="942" t="s">
        <v>77</v>
      </c>
      <c r="AO1" s="942"/>
      <c r="AP1" s="942"/>
      <c r="AQ1" s="942"/>
      <c r="AR1" s="942"/>
      <c r="AS1" s="942"/>
      <c r="AT1" s="942"/>
      <c r="AU1" s="942"/>
      <c r="AV1" s="942"/>
      <c r="AW1" s="942"/>
      <c r="AX1" s="942"/>
      <c r="AY1" s="942"/>
      <c r="AZ1" s="942"/>
      <c r="BA1" s="942"/>
      <c r="BB1" s="942"/>
    </row>
    <row r="2" spans="1:54" s="636" customFormat="1" ht="19.95" customHeight="1">
      <c r="A2" s="943" t="s">
        <v>753</v>
      </c>
      <c r="B2" s="943"/>
      <c r="C2" s="943"/>
      <c r="D2" s="943"/>
      <c r="E2" s="943"/>
      <c r="F2" s="943"/>
      <c r="G2" s="943"/>
      <c r="H2" s="943"/>
      <c r="I2" s="943"/>
      <c r="J2" s="943"/>
      <c r="K2" s="943"/>
      <c r="L2" s="943"/>
      <c r="M2" s="943"/>
      <c r="N2" s="943"/>
      <c r="O2" s="943"/>
      <c r="P2" s="943"/>
      <c r="Q2" s="943"/>
      <c r="R2" s="943"/>
      <c r="S2" s="943"/>
      <c r="U2" s="634"/>
      <c r="V2" s="943" t="s">
        <v>1273</v>
      </c>
      <c r="W2" s="943"/>
      <c r="X2" s="943"/>
      <c r="Y2" s="943"/>
      <c r="Z2" s="943"/>
      <c r="AA2" s="943"/>
      <c r="AB2" s="943"/>
      <c r="AC2" s="943"/>
      <c r="AD2" s="943"/>
      <c r="AE2" s="943"/>
      <c r="AF2" s="943"/>
      <c r="AG2" s="943"/>
      <c r="AH2" s="943"/>
      <c r="AI2" s="943"/>
      <c r="AJ2" s="943"/>
      <c r="AK2" s="943"/>
      <c r="AL2" s="943"/>
      <c r="AM2" s="943"/>
      <c r="AN2" s="943" t="s">
        <v>1274</v>
      </c>
      <c r="AO2" s="943"/>
      <c r="AP2" s="943"/>
      <c r="AQ2" s="943"/>
      <c r="AR2" s="943"/>
      <c r="AS2" s="943"/>
      <c r="AT2" s="943"/>
      <c r="AU2" s="943"/>
      <c r="AV2" s="943"/>
      <c r="AW2" s="943"/>
      <c r="AX2" s="943"/>
      <c r="AY2" s="943"/>
      <c r="AZ2" s="943"/>
      <c r="BA2" s="943"/>
      <c r="BB2" s="943"/>
    </row>
    <row r="3" spans="1:54" s="207" customFormat="1" ht="19.95" customHeight="1">
      <c r="A3" s="207" t="str">
        <f>底稿目录!A2</f>
        <v>被审计单位：</v>
      </c>
      <c r="C3" s="207" t="str">
        <f>底稿目录!A4</f>
        <v>编制人：</v>
      </c>
      <c r="D3" s="208"/>
      <c r="E3" s="229" t="str">
        <f>底稿目录!A5</f>
        <v>编制日期：</v>
      </c>
      <c r="I3" s="207" t="s">
        <v>67</v>
      </c>
      <c r="J3" s="763" t="str">
        <f>底稿目录!F8</f>
        <v>G7-2</v>
      </c>
      <c r="L3" s="207" t="str">
        <f>A3</f>
        <v>被审计单位：</v>
      </c>
      <c r="M3" s="229"/>
      <c r="P3" s="207" t="str">
        <f>C3</f>
        <v>编制人：</v>
      </c>
      <c r="R3" s="229" t="str">
        <f>E3</f>
        <v>编制日期：</v>
      </c>
      <c r="T3" s="207" t="str">
        <f>I3</f>
        <v>索引号：</v>
      </c>
      <c r="U3" s="683" t="str">
        <f>J3</f>
        <v>G7-2</v>
      </c>
      <c r="V3" s="207" t="str">
        <f>底稿目录!A2</f>
        <v>被审计单位：</v>
      </c>
      <c r="AA3" s="207" t="str">
        <f>底稿目录!A4</f>
        <v>编制人：</v>
      </c>
      <c r="AB3" s="229"/>
      <c r="AC3" s="229"/>
      <c r="AE3" s="229" t="str">
        <f>底稿目录!A5</f>
        <v>编制日期：</v>
      </c>
      <c r="AL3" s="207" t="s">
        <v>2</v>
      </c>
      <c r="AM3" s="763" t="str">
        <f>底稿目录!F8</f>
        <v>G7-2</v>
      </c>
      <c r="AN3" s="207" t="str">
        <f>底稿目录!A2</f>
        <v>被审计单位：</v>
      </c>
      <c r="AP3" s="229"/>
      <c r="AQ3" s="229"/>
      <c r="AS3" s="207" t="str">
        <f>底稿目录!A4</f>
        <v>编制人：</v>
      </c>
      <c r="AX3" s="229" t="str">
        <f>底稿目录!A5</f>
        <v>编制日期：</v>
      </c>
      <c r="AY3" s="229"/>
      <c r="BA3" s="207" t="s">
        <v>2</v>
      </c>
      <c r="BB3" s="763" t="str">
        <f>底稿目录!F8</f>
        <v>G7-2</v>
      </c>
    </row>
    <row r="4" spans="1:54" s="207" customFormat="1" ht="19.95" customHeight="1">
      <c r="A4" s="207" t="str">
        <f>底稿目录!A3</f>
        <v>截止日：202X年12月31日</v>
      </c>
      <c r="C4" s="207" t="str">
        <f>底稿目录!A6</f>
        <v>复核人：</v>
      </c>
      <c r="D4" s="208"/>
      <c r="E4" s="229" t="str">
        <f>底稿目录!A7</f>
        <v>复核日期：</v>
      </c>
      <c r="I4" s="207" t="s">
        <v>1304</v>
      </c>
      <c r="L4" s="207" t="str">
        <f>A4</f>
        <v>截止日：202X年12月31日</v>
      </c>
      <c r="M4" s="229"/>
      <c r="P4" s="207" t="str">
        <f>C4</f>
        <v>复核人：</v>
      </c>
      <c r="R4" s="229" t="str">
        <f>E4</f>
        <v>复核日期：</v>
      </c>
      <c r="T4" s="207" t="str">
        <f>I4</f>
        <v>页 次：</v>
      </c>
      <c r="U4" s="207">
        <f>J4</f>
        <v>0</v>
      </c>
      <c r="V4" s="207" t="str">
        <f>底稿目录!A3</f>
        <v>截止日：202X年12月31日</v>
      </c>
      <c r="AA4" s="207" t="str">
        <f>底稿目录!A6</f>
        <v>复核人：</v>
      </c>
      <c r="AB4" s="229"/>
      <c r="AC4" s="229"/>
      <c r="AE4" s="229" t="str">
        <f>底稿目录!A7</f>
        <v>复核日期：</v>
      </c>
      <c r="AL4" s="207" t="s">
        <v>755</v>
      </c>
      <c r="AN4" s="207" t="str">
        <f>底稿目录!A3</f>
        <v>截止日：202X年12月31日</v>
      </c>
      <c r="AP4" s="229"/>
      <c r="AQ4" s="229"/>
      <c r="AS4" s="207" t="str">
        <f>底稿目录!A6</f>
        <v>复核人：</v>
      </c>
      <c r="AX4" s="229" t="str">
        <f>底稿目录!A7</f>
        <v>复核日期：</v>
      </c>
      <c r="AY4" s="229"/>
      <c r="BA4" s="207" t="s">
        <v>755</v>
      </c>
    </row>
    <row r="5" spans="1:54" ht="19.95" customHeight="1">
      <c r="A5" s="611" t="s">
        <v>1305</v>
      </c>
      <c r="B5" s="682"/>
      <c r="C5" s="682"/>
      <c r="D5" s="682"/>
      <c r="E5" s="682"/>
      <c r="F5" s="682"/>
      <c r="G5" s="682"/>
      <c r="H5" s="682"/>
      <c r="I5" s="682"/>
      <c r="J5" s="682"/>
      <c r="K5" s="682"/>
      <c r="L5" s="611" t="str">
        <f>A5</f>
        <v>一、审计目标：</v>
      </c>
      <c r="M5" s="682"/>
      <c r="N5" s="682"/>
      <c r="O5" s="682"/>
      <c r="P5" s="682"/>
      <c r="Q5" s="682"/>
      <c r="R5" s="682"/>
      <c r="S5" s="682"/>
      <c r="T5" s="682"/>
      <c r="U5" s="682"/>
      <c r="V5" s="2" t="str">
        <f>L5</f>
        <v>一、审计目标：</v>
      </c>
      <c r="AN5" s="2" t="str">
        <f>V5</f>
        <v>一、审计目标：</v>
      </c>
    </row>
    <row r="6" spans="1:54" ht="19.95" customHeight="1">
      <c r="A6" s="611" t="s">
        <v>1306</v>
      </c>
      <c r="B6" s="682"/>
      <c r="C6" s="682"/>
      <c r="D6" s="682"/>
      <c r="E6" s="682"/>
      <c r="F6" s="682"/>
      <c r="G6" s="682"/>
      <c r="H6" s="682"/>
      <c r="I6" s="682"/>
      <c r="J6" s="682"/>
      <c r="K6" s="682"/>
      <c r="L6" s="611" t="s">
        <v>1448</v>
      </c>
      <c r="M6" s="682"/>
      <c r="N6" s="682"/>
      <c r="O6" s="682"/>
      <c r="P6" s="682"/>
      <c r="Q6" s="682"/>
      <c r="R6" s="682"/>
      <c r="S6" s="682"/>
      <c r="T6" s="682"/>
      <c r="U6" s="682"/>
      <c r="V6" s="2" t="str">
        <f t="shared" ref="V6:V11" si="0">L6</f>
        <v>1.资产负债表中记录的长期股权投资是存在的，且已经记录在恰当的账户中；</v>
      </c>
      <c r="AN6" s="2" t="str">
        <f t="shared" ref="AN6:AN11" si="1">V6</f>
        <v>1.资产负债表中记录的长期股权投资是存在的，且已经记录在恰当的账户中；</v>
      </c>
    </row>
    <row r="7" spans="1:54" ht="19.95" customHeight="1">
      <c r="A7" s="611" t="s">
        <v>1307</v>
      </c>
      <c r="B7" s="682"/>
      <c r="C7" s="682"/>
      <c r="D7" s="682"/>
      <c r="E7" s="682"/>
      <c r="F7" s="682"/>
      <c r="G7" s="682"/>
      <c r="H7" s="682"/>
      <c r="I7" s="682"/>
      <c r="J7" s="682"/>
      <c r="K7" s="682"/>
      <c r="L7" s="611" t="s">
        <v>1449</v>
      </c>
      <c r="M7" s="682"/>
      <c r="N7" s="682"/>
      <c r="O7" s="682"/>
      <c r="P7" s="682"/>
      <c r="Q7" s="682"/>
      <c r="R7" s="682"/>
      <c r="S7" s="682"/>
      <c r="T7" s="682"/>
      <c r="U7" s="682"/>
      <c r="V7" s="2" t="str">
        <f t="shared" si="0"/>
        <v>2.所有应记录的长期股权投资均已记录，所有应当包括在财务报表中的相关披露均已包括；</v>
      </c>
      <c r="AN7" s="2" t="str">
        <f t="shared" si="1"/>
        <v>2.所有应记录的长期股权投资均已记录，所有应当包括在财务报表中的相关披露均已包括；</v>
      </c>
    </row>
    <row r="8" spans="1:54" ht="19.95" customHeight="1">
      <c r="A8" s="611" t="s">
        <v>1441</v>
      </c>
      <c r="B8" s="682"/>
      <c r="C8" s="682"/>
      <c r="D8" s="682"/>
      <c r="E8" s="682"/>
      <c r="F8" s="682"/>
      <c r="G8" s="682"/>
      <c r="H8" s="682"/>
      <c r="I8" s="682"/>
      <c r="J8" s="682"/>
      <c r="K8" s="682"/>
      <c r="L8" s="611" t="s">
        <v>1450</v>
      </c>
      <c r="M8" s="682"/>
      <c r="N8" s="682"/>
      <c r="O8" s="682"/>
      <c r="P8" s="682"/>
      <c r="Q8" s="682"/>
      <c r="R8" s="682"/>
      <c r="S8" s="682"/>
      <c r="T8" s="682"/>
      <c r="U8" s="682"/>
      <c r="V8" s="2" t="str">
        <f t="shared" si="0"/>
        <v>3.长期股权投资以恰当的金额包括在财务报表中，与之相关的计价或分摊调整已恰当记录，相关披露已得到恰当计量和描述；</v>
      </c>
      <c r="AN8" s="2" t="str">
        <f t="shared" si="1"/>
        <v>3.长期股权投资以恰当的金额包括在财务报表中，与之相关的计价或分摊调整已恰当记录，相关披露已得到恰当计量和描述；</v>
      </c>
    </row>
    <row r="9" spans="1:54" ht="19.95" customHeight="1">
      <c r="A9" s="611" t="s">
        <v>1308</v>
      </c>
      <c r="B9" s="682"/>
      <c r="C9" s="682"/>
      <c r="D9" s="682"/>
      <c r="E9" s="682"/>
      <c r="F9" s="682"/>
      <c r="G9" s="682"/>
      <c r="H9" s="682"/>
      <c r="I9" s="682"/>
      <c r="J9" s="682"/>
      <c r="K9" s="682"/>
      <c r="L9" s="611" t="s">
        <v>1451</v>
      </c>
      <c r="M9" s="682"/>
      <c r="N9" s="682"/>
      <c r="O9" s="682"/>
      <c r="P9" s="682"/>
      <c r="Q9" s="682"/>
      <c r="R9" s="682"/>
      <c r="S9" s="682"/>
      <c r="T9" s="682"/>
      <c r="U9" s="682"/>
      <c r="V9" s="2" t="str">
        <f t="shared" si="0"/>
        <v>4.记录的长期股权投资由被审计单位拥有或控制</v>
      </c>
      <c r="AN9" s="2" t="str">
        <f t="shared" si="1"/>
        <v>4.记录的长期股权投资由被审计单位拥有或控制</v>
      </c>
    </row>
    <row r="10" spans="1:54" ht="19.95" customHeight="1">
      <c r="A10" s="37" t="s">
        <v>264</v>
      </c>
      <c r="B10" s="130"/>
      <c r="C10" s="130"/>
      <c r="L10" s="611" t="str">
        <f t="shared" ref="L10:L11" si="2">A10</f>
        <v>二、审计过程</v>
      </c>
      <c r="V10" s="2" t="str">
        <f t="shared" si="0"/>
        <v>二、审计过程</v>
      </c>
      <c r="AN10" s="2" t="str">
        <f t="shared" si="1"/>
        <v>二、审计过程</v>
      </c>
    </row>
    <row r="11" spans="1:54" ht="25.8" customHeight="1">
      <c r="A11" s="940" t="s">
        <v>1424</v>
      </c>
      <c r="B11" s="940"/>
      <c r="C11" s="940"/>
      <c r="D11" s="940"/>
      <c r="E11" s="940"/>
      <c r="F11" s="940"/>
      <c r="G11" s="940"/>
      <c r="H11" s="940"/>
      <c r="I11" s="940"/>
      <c r="J11" s="940"/>
      <c r="K11" s="940"/>
      <c r="L11" s="940" t="str">
        <f t="shared" si="2"/>
        <v>提示：与被审计单位人员讨论确定是否存在被投资单位由于所在国家和地区及其他方面的影响，其向被审计单位转移资金的能力受到限制的情况，如存在，应详细记录受限情况，并提请被审计单位充分披露</v>
      </c>
      <c r="M11" s="940"/>
      <c r="N11" s="940"/>
      <c r="O11" s="940"/>
      <c r="P11" s="940"/>
      <c r="Q11" s="940"/>
      <c r="R11" s="940"/>
      <c r="S11" s="940"/>
      <c r="T11" s="940"/>
      <c r="U11" s="940"/>
      <c r="V11" s="18" t="str">
        <f t="shared" si="0"/>
        <v>提示：与被审计单位人员讨论确定是否存在被投资单位由于所在国家和地区及其他方面的影响，其向被审计单位转移资金的能力受到限制的情况，如存在，应详细记录受限情况，并提请被审计单位充分披露</v>
      </c>
      <c r="W11" s="841"/>
      <c r="X11" s="841"/>
      <c r="Y11" s="841"/>
      <c r="Z11" s="841"/>
      <c r="AA11" s="841"/>
      <c r="AB11" s="841"/>
      <c r="AC11" s="841"/>
      <c r="AD11" s="841"/>
      <c r="AE11" s="841"/>
      <c r="AF11" s="841"/>
      <c r="AG11" s="841"/>
      <c r="AH11" s="841"/>
      <c r="AI11" s="841"/>
      <c r="AJ11" s="841"/>
      <c r="AK11" s="841"/>
      <c r="AL11" s="841"/>
      <c r="AM11" s="841"/>
      <c r="AN11" s="941" t="str">
        <f t="shared" si="1"/>
        <v>提示：与被审计单位人员讨论确定是否存在被投资单位由于所在国家和地区及其他方面的影响，其向被审计单位转移资金的能力受到限制的情况，如存在，应详细记录受限情况，并提请被审计单位充分披露</v>
      </c>
      <c r="AO11" s="941"/>
      <c r="AP11" s="941"/>
      <c r="AQ11" s="941"/>
      <c r="AR11" s="941"/>
      <c r="AS11" s="941"/>
      <c r="AT11" s="941"/>
      <c r="AU11" s="941"/>
      <c r="AV11" s="941"/>
      <c r="AW11" s="941"/>
      <c r="AX11" s="941"/>
      <c r="AY11" s="941"/>
      <c r="AZ11" s="941"/>
      <c r="BA11" s="941"/>
      <c r="BB11" s="941"/>
    </row>
    <row r="12" spans="1:54" ht="19.95" customHeight="1">
      <c r="A12" s="23" t="s">
        <v>1425</v>
      </c>
      <c r="L12" s="23" t="s">
        <v>1425</v>
      </c>
      <c r="V12" s="23" t="s">
        <v>1425</v>
      </c>
    </row>
    <row r="13" spans="1:54" ht="19.95" customHeight="1">
      <c r="A13" s="944" t="s">
        <v>820</v>
      </c>
      <c r="B13" s="944" t="s">
        <v>186</v>
      </c>
      <c r="C13" s="944"/>
      <c r="D13" s="944"/>
      <c r="E13" s="944"/>
      <c r="F13" s="944" t="s">
        <v>1426</v>
      </c>
      <c r="G13" s="944"/>
      <c r="H13" s="944" t="s">
        <v>1427</v>
      </c>
      <c r="I13" s="944" t="s">
        <v>1428</v>
      </c>
      <c r="J13" s="944" t="s">
        <v>1429</v>
      </c>
      <c r="K13" s="944" t="s">
        <v>1430</v>
      </c>
      <c r="L13" s="948" t="s">
        <v>1431</v>
      </c>
      <c r="M13" s="948"/>
      <c r="N13" s="948"/>
      <c r="O13" s="948"/>
      <c r="P13" s="948"/>
      <c r="Q13" s="948"/>
      <c r="R13" s="948"/>
      <c r="S13" s="948"/>
      <c r="T13" s="948"/>
      <c r="U13" s="948"/>
      <c r="V13" s="948" t="s">
        <v>1432</v>
      </c>
      <c r="W13" s="948"/>
      <c r="X13" s="948" t="s">
        <v>1433</v>
      </c>
      <c r="Y13" s="948"/>
      <c r="Z13" s="948" t="s">
        <v>1434</v>
      </c>
      <c r="AA13" s="948"/>
      <c r="AB13" s="948" t="s">
        <v>1435</v>
      </c>
      <c r="AC13" s="948"/>
      <c r="AD13" s="948"/>
      <c r="AE13" s="948"/>
      <c r="AF13" s="948"/>
      <c r="AG13" s="948"/>
      <c r="AH13" s="948"/>
      <c r="AI13" s="948"/>
    </row>
    <row r="14" spans="1:54" ht="19.95" customHeight="1">
      <c r="A14" s="944"/>
      <c r="B14" s="944"/>
      <c r="C14" s="944"/>
      <c r="D14" s="944"/>
      <c r="E14" s="944"/>
      <c r="F14" s="944"/>
      <c r="G14" s="944"/>
      <c r="H14" s="944"/>
      <c r="I14" s="944"/>
      <c r="J14" s="944"/>
      <c r="K14" s="944"/>
      <c r="L14" s="948" t="s">
        <v>1436</v>
      </c>
      <c r="M14" s="948"/>
      <c r="N14" s="944" t="s">
        <v>1437</v>
      </c>
      <c r="O14" s="944"/>
      <c r="P14" s="944"/>
      <c r="Q14" s="948" t="s">
        <v>1438</v>
      </c>
      <c r="R14" s="948"/>
      <c r="S14" s="948"/>
      <c r="T14" s="948" t="s">
        <v>1069</v>
      </c>
      <c r="U14" s="948"/>
      <c r="V14" s="948" t="s">
        <v>1433</v>
      </c>
      <c r="W14" s="948" t="s">
        <v>1434</v>
      </c>
      <c r="X14" s="948" t="s">
        <v>1444</v>
      </c>
      <c r="Y14" s="948" t="s">
        <v>1439</v>
      </c>
      <c r="Z14" s="948" t="s">
        <v>1262</v>
      </c>
      <c r="AA14" s="948" t="s">
        <v>1439</v>
      </c>
      <c r="AB14" s="948" t="s">
        <v>1436</v>
      </c>
      <c r="AC14" s="948"/>
      <c r="AD14" s="944" t="s">
        <v>1437</v>
      </c>
      <c r="AE14" s="944"/>
      <c r="AF14" s="948" t="s">
        <v>1438</v>
      </c>
      <c r="AG14" s="948"/>
      <c r="AH14" s="948" t="s">
        <v>1069</v>
      </c>
      <c r="AI14" s="948"/>
    </row>
    <row r="15" spans="1:54" ht="19.95" customHeight="1">
      <c r="A15" s="944"/>
      <c r="B15" s="944"/>
      <c r="C15" s="944"/>
      <c r="D15" s="944"/>
      <c r="E15" s="944"/>
      <c r="F15" s="944"/>
      <c r="G15" s="944"/>
      <c r="H15" s="944"/>
      <c r="I15" s="944"/>
      <c r="J15" s="944"/>
      <c r="K15" s="944"/>
      <c r="L15" s="834" t="s">
        <v>1440</v>
      </c>
      <c r="M15" s="834" t="s">
        <v>1263</v>
      </c>
      <c r="N15" s="834" t="s">
        <v>1440</v>
      </c>
      <c r="O15" s="834" t="s">
        <v>1263</v>
      </c>
      <c r="P15" s="834" t="s">
        <v>1445</v>
      </c>
      <c r="Q15" s="834" t="s">
        <v>1440</v>
      </c>
      <c r="R15" s="834" t="s">
        <v>1263</v>
      </c>
      <c r="S15" s="834" t="s">
        <v>1442</v>
      </c>
      <c r="T15" s="834" t="s">
        <v>1440</v>
      </c>
      <c r="U15" s="834" t="s">
        <v>1263</v>
      </c>
      <c r="V15" s="948"/>
      <c r="W15" s="948"/>
      <c r="X15" s="948" t="s">
        <v>1262</v>
      </c>
      <c r="Y15" s="948" t="s">
        <v>1439</v>
      </c>
      <c r="Z15" s="948" t="s">
        <v>1446</v>
      </c>
      <c r="AA15" s="948" t="s">
        <v>1439</v>
      </c>
      <c r="AB15" s="834" t="s">
        <v>1440</v>
      </c>
      <c r="AC15" s="834" t="s">
        <v>1447</v>
      </c>
      <c r="AD15" s="834" t="s">
        <v>1440</v>
      </c>
      <c r="AE15" s="834" t="s">
        <v>1263</v>
      </c>
      <c r="AF15" s="834" t="s">
        <v>1440</v>
      </c>
      <c r="AG15" s="834" t="s">
        <v>1443</v>
      </c>
      <c r="AH15" s="834" t="s">
        <v>1440</v>
      </c>
      <c r="AI15" s="834" t="s">
        <v>1263</v>
      </c>
    </row>
    <row r="16" spans="1:54" ht="19.95" customHeight="1">
      <c r="A16" s="710">
        <v>1</v>
      </c>
      <c r="B16" s="290"/>
      <c r="C16" s="290"/>
      <c r="D16" s="290"/>
      <c r="E16" s="290"/>
      <c r="F16" s="290"/>
      <c r="G16" s="357"/>
      <c r="H16" s="711"/>
      <c r="I16" s="712"/>
      <c r="J16" s="713"/>
      <c r="K16" s="357"/>
      <c r="L16" s="714"/>
      <c r="M16" s="357"/>
      <c r="N16" s="714"/>
      <c r="O16" s="357"/>
      <c r="P16" s="357"/>
      <c r="Q16" s="715"/>
      <c r="R16" s="716"/>
      <c r="S16" s="357"/>
      <c r="T16" s="717">
        <f>L16+N16-Q16</f>
        <v>0</v>
      </c>
      <c r="U16" s="718">
        <f>M16+O16-R16</f>
        <v>0</v>
      </c>
      <c r="V16" s="289"/>
      <c r="W16" s="289"/>
      <c r="X16" s="289"/>
      <c r="Y16" s="289"/>
      <c r="Z16" s="289"/>
      <c r="AA16" s="289"/>
      <c r="AB16" s="717">
        <f>L16</f>
        <v>0</v>
      </c>
      <c r="AC16" s="718">
        <f>M16+V16+W16</f>
        <v>0</v>
      </c>
      <c r="AD16" s="717">
        <f>N16</f>
        <v>0</v>
      </c>
      <c r="AE16" s="718">
        <f>O16+X16+Z16</f>
        <v>0</v>
      </c>
      <c r="AF16" s="717">
        <f>Q16</f>
        <v>0</v>
      </c>
      <c r="AG16" s="718">
        <f>R16+Y16+AA16</f>
        <v>0</v>
      </c>
      <c r="AH16" s="717">
        <f>AB16+AD16-AF16</f>
        <v>0</v>
      </c>
      <c r="AI16" s="718">
        <f>AC16+AE16-AG16</f>
        <v>0</v>
      </c>
    </row>
    <row r="17" spans="1:54" ht="19.95" customHeight="1">
      <c r="A17" s="710">
        <v>2</v>
      </c>
      <c r="B17" s="290"/>
      <c r="C17" s="290"/>
      <c r="D17" s="290"/>
      <c r="E17" s="290"/>
      <c r="F17" s="290"/>
      <c r="G17" s="357"/>
      <c r="H17" s="711"/>
      <c r="I17" s="712"/>
      <c r="J17" s="713"/>
      <c r="K17" s="357"/>
      <c r="L17" s="714"/>
      <c r="M17" s="357"/>
      <c r="N17" s="714"/>
      <c r="O17" s="357"/>
      <c r="P17" s="357"/>
      <c r="Q17" s="715"/>
      <c r="R17" s="716"/>
      <c r="S17" s="357"/>
      <c r="T17" s="717">
        <f t="shared" ref="T17:T25" si="3">L17+N17-Q17</f>
        <v>0</v>
      </c>
      <c r="U17" s="718">
        <f t="shared" ref="U17:U25" si="4">M17+O17-R17</f>
        <v>0</v>
      </c>
      <c r="V17" s="289"/>
      <c r="W17" s="289"/>
      <c r="X17" s="289"/>
      <c r="Y17" s="289"/>
      <c r="Z17" s="289"/>
      <c r="AA17" s="289"/>
      <c r="AB17" s="717">
        <f t="shared" ref="AB17:AB25" si="5">L17</f>
        <v>0</v>
      </c>
      <c r="AC17" s="718">
        <f t="shared" ref="AC17:AC25" si="6">M17+V17+W17</f>
        <v>0</v>
      </c>
      <c r="AD17" s="717">
        <f t="shared" ref="AD17:AD25" si="7">N17</f>
        <v>0</v>
      </c>
      <c r="AE17" s="718">
        <f t="shared" ref="AE17:AE25" si="8">O17+X17+Z17</f>
        <v>0</v>
      </c>
      <c r="AF17" s="717">
        <f t="shared" ref="AF17:AF25" si="9">Q17</f>
        <v>0</v>
      </c>
      <c r="AG17" s="718">
        <f t="shared" ref="AG17:AG25" si="10">R17+Y17+AA17</f>
        <v>0</v>
      </c>
      <c r="AH17" s="717">
        <f t="shared" ref="AH17:AH25" si="11">AB17+AD17-AF17</f>
        <v>0</v>
      </c>
      <c r="AI17" s="718">
        <f t="shared" ref="AI17:AI25" si="12">AC17+AE17-AG17</f>
        <v>0</v>
      </c>
    </row>
    <row r="18" spans="1:54" ht="19.95" customHeight="1">
      <c r="A18" s="710">
        <v>3</v>
      </c>
      <c r="B18" s="290"/>
      <c r="C18" s="290"/>
      <c r="D18" s="290"/>
      <c r="E18" s="290"/>
      <c r="F18" s="290"/>
      <c r="G18" s="357"/>
      <c r="H18" s="711"/>
      <c r="I18" s="712"/>
      <c r="J18" s="713"/>
      <c r="K18" s="357"/>
      <c r="L18" s="714"/>
      <c r="M18" s="357"/>
      <c r="N18" s="714"/>
      <c r="O18" s="357"/>
      <c r="P18" s="357"/>
      <c r="Q18" s="715"/>
      <c r="R18" s="716"/>
      <c r="S18" s="357"/>
      <c r="T18" s="717">
        <f t="shared" si="3"/>
        <v>0</v>
      </c>
      <c r="U18" s="718">
        <f t="shared" si="4"/>
        <v>0</v>
      </c>
      <c r="V18" s="289"/>
      <c r="W18" s="289"/>
      <c r="X18" s="289"/>
      <c r="Y18" s="289"/>
      <c r="Z18" s="289"/>
      <c r="AA18" s="289"/>
      <c r="AB18" s="717">
        <f t="shared" si="5"/>
        <v>0</v>
      </c>
      <c r="AC18" s="718">
        <f t="shared" si="6"/>
        <v>0</v>
      </c>
      <c r="AD18" s="717">
        <f t="shared" si="7"/>
        <v>0</v>
      </c>
      <c r="AE18" s="718">
        <f t="shared" si="8"/>
        <v>0</v>
      </c>
      <c r="AF18" s="717">
        <f t="shared" si="9"/>
        <v>0</v>
      </c>
      <c r="AG18" s="718">
        <f t="shared" si="10"/>
        <v>0</v>
      </c>
      <c r="AH18" s="717">
        <f t="shared" si="11"/>
        <v>0</v>
      </c>
      <c r="AI18" s="718">
        <f t="shared" si="12"/>
        <v>0</v>
      </c>
    </row>
    <row r="19" spans="1:54" ht="19.95" customHeight="1">
      <c r="A19" s="710">
        <v>4</v>
      </c>
      <c r="B19" s="290"/>
      <c r="C19" s="290"/>
      <c r="D19" s="290"/>
      <c r="E19" s="290"/>
      <c r="F19" s="290"/>
      <c r="G19" s="357"/>
      <c r="H19" s="711"/>
      <c r="I19" s="712"/>
      <c r="J19" s="713"/>
      <c r="K19" s="357"/>
      <c r="L19" s="714"/>
      <c r="M19" s="357"/>
      <c r="N19" s="714"/>
      <c r="O19" s="357"/>
      <c r="P19" s="357"/>
      <c r="Q19" s="715"/>
      <c r="R19" s="716"/>
      <c r="S19" s="357"/>
      <c r="T19" s="717">
        <f t="shared" si="3"/>
        <v>0</v>
      </c>
      <c r="U19" s="718">
        <f t="shared" si="4"/>
        <v>0</v>
      </c>
      <c r="V19" s="289"/>
      <c r="W19" s="289"/>
      <c r="X19" s="289"/>
      <c r="Y19" s="289"/>
      <c r="Z19" s="289"/>
      <c r="AA19" s="289"/>
      <c r="AB19" s="717">
        <f t="shared" si="5"/>
        <v>0</v>
      </c>
      <c r="AC19" s="718">
        <f t="shared" si="6"/>
        <v>0</v>
      </c>
      <c r="AD19" s="717">
        <f t="shared" si="7"/>
        <v>0</v>
      </c>
      <c r="AE19" s="718">
        <f t="shared" si="8"/>
        <v>0</v>
      </c>
      <c r="AF19" s="717">
        <f t="shared" si="9"/>
        <v>0</v>
      </c>
      <c r="AG19" s="718">
        <f t="shared" si="10"/>
        <v>0</v>
      </c>
      <c r="AH19" s="717">
        <f t="shared" si="11"/>
        <v>0</v>
      </c>
      <c r="AI19" s="718">
        <f t="shared" si="12"/>
        <v>0</v>
      </c>
    </row>
    <row r="20" spans="1:54" ht="19.95" customHeight="1">
      <c r="A20" s="710">
        <v>5</v>
      </c>
      <c r="B20" s="290"/>
      <c r="C20" s="290"/>
      <c r="D20" s="290"/>
      <c r="E20" s="290"/>
      <c r="F20" s="290"/>
      <c r="G20" s="357"/>
      <c r="H20" s="711"/>
      <c r="I20" s="712"/>
      <c r="J20" s="713"/>
      <c r="K20" s="357"/>
      <c r="L20" s="714"/>
      <c r="M20" s="357"/>
      <c r="N20" s="714"/>
      <c r="O20" s="357"/>
      <c r="P20" s="357"/>
      <c r="Q20" s="715"/>
      <c r="R20" s="716"/>
      <c r="S20" s="357"/>
      <c r="T20" s="717">
        <f t="shared" si="3"/>
        <v>0</v>
      </c>
      <c r="U20" s="718">
        <f t="shared" si="4"/>
        <v>0</v>
      </c>
      <c r="V20" s="289"/>
      <c r="W20" s="289"/>
      <c r="X20" s="289"/>
      <c r="Y20" s="289"/>
      <c r="Z20" s="289"/>
      <c r="AA20" s="289"/>
      <c r="AB20" s="717">
        <f t="shared" si="5"/>
        <v>0</v>
      </c>
      <c r="AC20" s="718">
        <f t="shared" si="6"/>
        <v>0</v>
      </c>
      <c r="AD20" s="717">
        <f t="shared" si="7"/>
        <v>0</v>
      </c>
      <c r="AE20" s="718">
        <f t="shared" si="8"/>
        <v>0</v>
      </c>
      <c r="AF20" s="717">
        <f t="shared" si="9"/>
        <v>0</v>
      </c>
      <c r="AG20" s="718">
        <f t="shared" si="10"/>
        <v>0</v>
      </c>
      <c r="AH20" s="717">
        <f t="shared" si="11"/>
        <v>0</v>
      </c>
      <c r="AI20" s="718">
        <f t="shared" si="12"/>
        <v>0</v>
      </c>
    </row>
    <row r="21" spans="1:54" ht="19.95" customHeight="1">
      <c r="A21" s="710">
        <v>6</v>
      </c>
      <c r="B21" s="290"/>
      <c r="C21" s="290"/>
      <c r="D21" s="290"/>
      <c r="E21" s="290"/>
      <c r="F21" s="290"/>
      <c r="G21" s="357"/>
      <c r="H21" s="711"/>
      <c r="I21" s="712"/>
      <c r="J21" s="713"/>
      <c r="K21" s="357"/>
      <c r="L21" s="714"/>
      <c r="M21" s="357"/>
      <c r="N21" s="714"/>
      <c r="O21" s="357"/>
      <c r="P21" s="357"/>
      <c r="Q21" s="715"/>
      <c r="R21" s="716"/>
      <c r="S21" s="357"/>
      <c r="T21" s="717">
        <f t="shared" si="3"/>
        <v>0</v>
      </c>
      <c r="U21" s="718">
        <f t="shared" si="4"/>
        <v>0</v>
      </c>
      <c r="V21" s="289"/>
      <c r="W21" s="289"/>
      <c r="X21" s="289"/>
      <c r="Y21" s="289"/>
      <c r="Z21" s="289"/>
      <c r="AA21" s="289"/>
      <c r="AB21" s="717">
        <f t="shared" si="5"/>
        <v>0</v>
      </c>
      <c r="AC21" s="718">
        <f t="shared" si="6"/>
        <v>0</v>
      </c>
      <c r="AD21" s="717">
        <f t="shared" si="7"/>
        <v>0</v>
      </c>
      <c r="AE21" s="718">
        <f t="shared" si="8"/>
        <v>0</v>
      </c>
      <c r="AF21" s="717">
        <f t="shared" si="9"/>
        <v>0</v>
      </c>
      <c r="AG21" s="718">
        <f t="shared" si="10"/>
        <v>0</v>
      </c>
      <c r="AH21" s="717">
        <f t="shared" si="11"/>
        <v>0</v>
      </c>
      <c r="AI21" s="718">
        <f t="shared" si="12"/>
        <v>0</v>
      </c>
    </row>
    <row r="22" spans="1:54" ht="19.95" customHeight="1">
      <c r="A22" s="710">
        <v>7</v>
      </c>
      <c r="B22" s="290"/>
      <c r="C22" s="290"/>
      <c r="D22" s="290"/>
      <c r="E22" s="290"/>
      <c r="F22" s="290"/>
      <c r="G22" s="357"/>
      <c r="H22" s="711"/>
      <c r="I22" s="712"/>
      <c r="J22" s="713"/>
      <c r="K22" s="357"/>
      <c r="L22" s="714"/>
      <c r="M22" s="357"/>
      <c r="N22" s="714"/>
      <c r="O22" s="357"/>
      <c r="P22" s="357"/>
      <c r="Q22" s="715"/>
      <c r="R22" s="716"/>
      <c r="S22" s="357"/>
      <c r="T22" s="717">
        <f t="shared" si="3"/>
        <v>0</v>
      </c>
      <c r="U22" s="718">
        <f t="shared" si="4"/>
        <v>0</v>
      </c>
      <c r="V22" s="289"/>
      <c r="W22" s="289"/>
      <c r="X22" s="289"/>
      <c r="Y22" s="289"/>
      <c r="Z22" s="289"/>
      <c r="AA22" s="289"/>
      <c r="AB22" s="717">
        <f t="shared" si="5"/>
        <v>0</v>
      </c>
      <c r="AC22" s="718">
        <f t="shared" si="6"/>
        <v>0</v>
      </c>
      <c r="AD22" s="717">
        <f t="shared" si="7"/>
        <v>0</v>
      </c>
      <c r="AE22" s="718">
        <f t="shared" si="8"/>
        <v>0</v>
      </c>
      <c r="AF22" s="717">
        <f t="shared" si="9"/>
        <v>0</v>
      </c>
      <c r="AG22" s="718">
        <f t="shared" si="10"/>
        <v>0</v>
      </c>
      <c r="AH22" s="717">
        <f t="shared" si="11"/>
        <v>0</v>
      </c>
      <c r="AI22" s="718">
        <f t="shared" si="12"/>
        <v>0</v>
      </c>
    </row>
    <row r="23" spans="1:54" ht="19.95" customHeight="1">
      <c r="A23" s="710">
        <v>8</v>
      </c>
      <c r="B23" s="290"/>
      <c r="C23" s="290"/>
      <c r="D23" s="290"/>
      <c r="E23" s="290"/>
      <c r="F23" s="290"/>
      <c r="G23" s="357"/>
      <c r="H23" s="711"/>
      <c r="I23" s="712"/>
      <c r="J23" s="713"/>
      <c r="K23" s="357"/>
      <c r="L23" s="714"/>
      <c r="M23" s="357"/>
      <c r="N23" s="714"/>
      <c r="O23" s="357"/>
      <c r="P23" s="357"/>
      <c r="Q23" s="715"/>
      <c r="R23" s="716"/>
      <c r="S23" s="357"/>
      <c r="T23" s="717">
        <f t="shared" si="3"/>
        <v>0</v>
      </c>
      <c r="U23" s="718">
        <f t="shared" si="4"/>
        <v>0</v>
      </c>
      <c r="V23" s="289"/>
      <c r="W23" s="289"/>
      <c r="X23" s="289"/>
      <c r="Y23" s="289"/>
      <c r="Z23" s="289"/>
      <c r="AA23" s="289"/>
      <c r="AB23" s="717">
        <f t="shared" si="5"/>
        <v>0</v>
      </c>
      <c r="AC23" s="718">
        <f t="shared" si="6"/>
        <v>0</v>
      </c>
      <c r="AD23" s="717">
        <f t="shared" si="7"/>
        <v>0</v>
      </c>
      <c r="AE23" s="718">
        <f t="shared" si="8"/>
        <v>0</v>
      </c>
      <c r="AF23" s="717">
        <f t="shared" si="9"/>
        <v>0</v>
      </c>
      <c r="AG23" s="718">
        <f t="shared" si="10"/>
        <v>0</v>
      </c>
      <c r="AH23" s="717">
        <f t="shared" si="11"/>
        <v>0</v>
      </c>
      <c r="AI23" s="718">
        <f t="shared" si="12"/>
        <v>0</v>
      </c>
    </row>
    <row r="24" spans="1:54" ht="19.95" customHeight="1">
      <c r="A24" s="710">
        <v>9</v>
      </c>
      <c r="B24" s="290"/>
      <c r="C24" s="290"/>
      <c r="D24" s="290"/>
      <c r="E24" s="290"/>
      <c r="F24" s="290"/>
      <c r="G24" s="357"/>
      <c r="H24" s="711"/>
      <c r="I24" s="712"/>
      <c r="J24" s="713"/>
      <c r="K24" s="357"/>
      <c r="L24" s="714"/>
      <c r="M24" s="357"/>
      <c r="N24" s="714"/>
      <c r="O24" s="357"/>
      <c r="P24" s="357"/>
      <c r="Q24" s="715"/>
      <c r="R24" s="716"/>
      <c r="S24" s="357"/>
      <c r="T24" s="717">
        <f t="shared" si="3"/>
        <v>0</v>
      </c>
      <c r="U24" s="718">
        <f t="shared" si="4"/>
        <v>0</v>
      </c>
      <c r="V24" s="289"/>
      <c r="W24" s="289"/>
      <c r="X24" s="289"/>
      <c r="Y24" s="289"/>
      <c r="Z24" s="289"/>
      <c r="AA24" s="289"/>
      <c r="AB24" s="717">
        <f t="shared" si="5"/>
        <v>0</v>
      </c>
      <c r="AC24" s="718">
        <f t="shared" si="6"/>
        <v>0</v>
      </c>
      <c r="AD24" s="717">
        <f t="shared" si="7"/>
        <v>0</v>
      </c>
      <c r="AE24" s="718">
        <f t="shared" si="8"/>
        <v>0</v>
      </c>
      <c r="AF24" s="717">
        <f t="shared" si="9"/>
        <v>0</v>
      </c>
      <c r="AG24" s="718">
        <f t="shared" si="10"/>
        <v>0</v>
      </c>
      <c r="AH24" s="717">
        <f t="shared" si="11"/>
        <v>0</v>
      </c>
      <c r="AI24" s="718">
        <f t="shared" si="12"/>
        <v>0</v>
      </c>
    </row>
    <row r="25" spans="1:54" ht="19.95" customHeight="1">
      <c r="A25" s="710">
        <v>10</v>
      </c>
      <c r="B25" s="290" t="s">
        <v>768</v>
      </c>
      <c r="C25" s="290"/>
      <c r="D25" s="290"/>
      <c r="E25" s="290"/>
      <c r="F25" s="290"/>
      <c r="G25" s="357"/>
      <c r="H25" s="711"/>
      <c r="I25" s="712"/>
      <c r="J25" s="713"/>
      <c r="K25" s="357"/>
      <c r="L25" s="714"/>
      <c r="M25" s="357"/>
      <c r="N25" s="714"/>
      <c r="O25" s="357"/>
      <c r="P25" s="357"/>
      <c r="Q25" s="715"/>
      <c r="R25" s="716"/>
      <c r="S25" s="357"/>
      <c r="T25" s="717">
        <f t="shared" si="3"/>
        <v>0</v>
      </c>
      <c r="U25" s="718">
        <f t="shared" si="4"/>
        <v>0</v>
      </c>
      <c r="V25" s="289"/>
      <c r="W25" s="289"/>
      <c r="X25" s="289"/>
      <c r="Y25" s="289"/>
      <c r="Z25" s="289"/>
      <c r="AA25" s="289"/>
      <c r="AB25" s="717">
        <f t="shared" si="5"/>
        <v>0</v>
      </c>
      <c r="AC25" s="718">
        <f t="shared" si="6"/>
        <v>0</v>
      </c>
      <c r="AD25" s="717">
        <f t="shared" si="7"/>
        <v>0</v>
      </c>
      <c r="AE25" s="718">
        <f t="shared" si="8"/>
        <v>0</v>
      </c>
      <c r="AF25" s="717">
        <f t="shared" si="9"/>
        <v>0</v>
      </c>
      <c r="AG25" s="718">
        <f t="shared" si="10"/>
        <v>0</v>
      </c>
      <c r="AH25" s="717">
        <f t="shared" si="11"/>
        <v>0</v>
      </c>
      <c r="AI25" s="718">
        <f t="shared" si="12"/>
        <v>0</v>
      </c>
    </row>
    <row r="26" spans="1:54" ht="19.95" customHeight="1">
      <c r="A26" s="358" t="s">
        <v>769</v>
      </c>
      <c r="B26" s="358"/>
      <c r="C26" s="358"/>
      <c r="D26" s="358"/>
      <c r="E26" s="358"/>
      <c r="F26" s="719"/>
      <c r="G26" s="391">
        <f>SUM(G16:G25)</f>
        <v>0</v>
      </c>
      <c r="H26" s="720" t="s">
        <v>770</v>
      </c>
      <c r="I26" s="720" t="s">
        <v>770</v>
      </c>
      <c r="J26" s="718" t="s">
        <v>770</v>
      </c>
      <c r="K26" s="718">
        <f>SUM(K16:K25)</f>
        <v>0</v>
      </c>
      <c r="L26" s="720" t="s">
        <v>770</v>
      </c>
      <c r="M26" s="391">
        <f>SUM(M16:M25)</f>
        <v>0</v>
      </c>
      <c r="N26" s="720" t="s">
        <v>770</v>
      </c>
      <c r="O26" s="391">
        <f>SUM(O16:O25)</f>
        <v>0</v>
      </c>
      <c r="P26" s="720" t="s">
        <v>770</v>
      </c>
      <c r="Q26" s="720" t="s">
        <v>770</v>
      </c>
      <c r="R26" s="721">
        <f>SUM(R16:R25)</f>
        <v>0</v>
      </c>
      <c r="S26" s="720" t="s">
        <v>770</v>
      </c>
      <c r="T26" s="720" t="s">
        <v>770</v>
      </c>
      <c r="U26" s="391">
        <f>SUM(U16:U25)</f>
        <v>0</v>
      </c>
      <c r="V26" s="391">
        <f t="shared" ref="V26:AG26" si="13">SUM(V16:V25)</f>
        <v>0</v>
      </c>
      <c r="W26" s="391">
        <f t="shared" si="13"/>
        <v>0</v>
      </c>
      <c r="X26" s="391">
        <f t="shared" si="13"/>
        <v>0</v>
      </c>
      <c r="Y26" s="391">
        <f t="shared" si="13"/>
        <v>0</v>
      </c>
      <c r="Z26" s="391">
        <f t="shared" si="13"/>
        <v>0</v>
      </c>
      <c r="AA26" s="391">
        <f t="shared" si="13"/>
        <v>0</v>
      </c>
      <c r="AB26" s="720" t="s">
        <v>770</v>
      </c>
      <c r="AC26" s="391">
        <f t="shared" si="13"/>
        <v>0</v>
      </c>
      <c r="AD26" s="720" t="s">
        <v>770</v>
      </c>
      <c r="AE26" s="391">
        <f t="shared" si="13"/>
        <v>0</v>
      </c>
      <c r="AF26" s="720" t="s">
        <v>770</v>
      </c>
      <c r="AG26" s="391">
        <f t="shared" si="13"/>
        <v>0</v>
      </c>
      <c r="AH26" s="720" t="s">
        <v>770</v>
      </c>
      <c r="AI26" s="391">
        <f t="shared" ref="AI26" si="14">SUM(AI16:AI25)</f>
        <v>0</v>
      </c>
    </row>
    <row r="27" spans="1:54" ht="19.95" customHeight="1">
      <c r="A27" s="23" t="s">
        <v>771</v>
      </c>
      <c r="T27" s="23"/>
      <c r="V27" s="23" t="s">
        <v>771</v>
      </c>
      <c r="AH27" s="23"/>
      <c r="AN27" s="23" t="s">
        <v>771</v>
      </c>
    </row>
    <row r="28" spans="1:54" s="4" customFormat="1" ht="19.95" customHeight="1">
      <c r="A28" s="947" t="s">
        <v>772</v>
      </c>
      <c r="B28" s="947" t="s">
        <v>53</v>
      </c>
      <c r="C28" s="947" t="s">
        <v>756</v>
      </c>
      <c r="D28" s="947" t="s">
        <v>773</v>
      </c>
      <c r="E28" s="947" t="s">
        <v>757</v>
      </c>
      <c r="F28" s="947" t="s">
        <v>758</v>
      </c>
      <c r="G28" s="945" t="s">
        <v>774</v>
      </c>
      <c r="H28" s="945"/>
      <c r="I28" s="945"/>
      <c r="J28" s="945"/>
      <c r="K28" s="945"/>
      <c r="L28" s="945"/>
      <c r="M28" s="945"/>
      <c r="N28" s="945"/>
      <c r="O28" s="945"/>
      <c r="P28" s="945"/>
      <c r="Q28" s="945"/>
      <c r="R28" s="945"/>
      <c r="S28" s="945"/>
      <c r="T28" s="727"/>
      <c r="U28" s="727"/>
      <c r="V28" s="947" t="s">
        <v>759</v>
      </c>
      <c r="W28" s="947"/>
      <c r="X28" s="945" t="s">
        <v>760</v>
      </c>
      <c r="Y28" s="945"/>
      <c r="Z28" s="945"/>
      <c r="AA28" s="945"/>
      <c r="AB28" s="945"/>
      <c r="AC28" s="945"/>
      <c r="AD28" s="945"/>
      <c r="AE28" s="945"/>
      <c r="AF28" s="945" t="s">
        <v>761</v>
      </c>
      <c r="AG28" s="945"/>
      <c r="AH28" s="945"/>
      <c r="AI28" s="945"/>
      <c r="AJ28" s="945"/>
      <c r="AK28" s="945"/>
      <c r="AL28" s="945"/>
      <c r="AM28" s="945"/>
      <c r="AN28" s="945" t="s">
        <v>762</v>
      </c>
      <c r="AO28" s="945"/>
      <c r="AP28" s="945"/>
      <c r="AQ28" s="945"/>
      <c r="AR28" s="945"/>
      <c r="AS28" s="945"/>
      <c r="AT28" s="945"/>
      <c r="AU28" s="945"/>
      <c r="AV28" s="945"/>
      <c r="AW28" s="945"/>
      <c r="AX28" s="945"/>
      <c r="AY28" s="945"/>
      <c r="AZ28" s="945"/>
      <c r="BA28" s="945"/>
      <c r="BB28" s="945"/>
    </row>
    <row r="29" spans="1:54" s="4" customFormat="1" ht="19.95" customHeight="1">
      <c r="A29" s="947"/>
      <c r="B29" s="947"/>
      <c r="C29" s="947"/>
      <c r="D29" s="947"/>
      <c r="E29" s="947"/>
      <c r="F29" s="947"/>
      <c r="G29" s="945" t="s">
        <v>763</v>
      </c>
      <c r="H29" s="945"/>
      <c r="I29" s="947" t="s">
        <v>515</v>
      </c>
      <c r="J29" s="947"/>
      <c r="K29" s="947"/>
      <c r="L29" s="947"/>
      <c r="M29" s="947"/>
      <c r="N29" s="947"/>
      <c r="O29" s="947"/>
      <c r="P29" s="945" t="s">
        <v>516</v>
      </c>
      <c r="Q29" s="945"/>
      <c r="R29" s="945"/>
      <c r="S29" s="945"/>
      <c r="T29" s="727" t="s">
        <v>517</v>
      </c>
      <c r="U29" s="727"/>
      <c r="V29" s="947" t="s">
        <v>760</v>
      </c>
      <c r="W29" s="947" t="s">
        <v>761</v>
      </c>
      <c r="X29" s="945" t="s">
        <v>764</v>
      </c>
      <c r="Y29" s="945"/>
      <c r="Z29" s="945"/>
      <c r="AA29" s="945"/>
      <c r="AB29" s="945"/>
      <c r="AC29" s="945" t="s">
        <v>516</v>
      </c>
      <c r="AD29" s="945"/>
      <c r="AE29" s="945"/>
      <c r="AF29" s="945" t="s">
        <v>764</v>
      </c>
      <c r="AG29" s="945"/>
      <c r="AH29" s="945"/>
      <c r="AI29" s="945"/>
      <c r="AJ29" s="945"/>
      <c r="AK29" s="945" t="s">
        <v>516</v>
      </c>
      <c r="AL29" s="945"/>
      <c r="AM29" s="945"/>
      <c r="AN29" s="727" t="s">
        <v>763</v>
      </c>
      <c r="AO29" s="727"/>
      <c r="AP29" s="947" t="s">
        <v>515</v>
      </c>
      <c r="AQ29" s="947"/>
      <c r="AR29" s="947"/>
      <c r="AS29" s="947"/>
      <c r="AT29" s="947"/>
      <c r="AU29" s="947"/>
      <c r="AV29" s="947"/>
      <c r="AW29" s="945" t="s">
        <v>516</v>
      </c>
      <c r="AX29" s="945"/>
      <c r="AY29" s="945"/>
      <c r="AZ29" s="945"/>
      <c r="BA29" s="945" t="s">
        <v>517</v>
      </c>
      <c r="BB29" s="945"/>
    </row>
    <row r="30" spans="1:54" s="4" customFormat="1" ht="19.95" customHeight="1">
      <c r="A30" s="947"/>
      <c r="B30" s="947"/>
      <c r="C30" s="947"/>
      <c r="D30" s="947"/>
      <c r="E30" s="947"/>
      <c r="F30" s="947"/>
      <c r="G30" s="947" t="s">
        <v>766</v>
      </c>
      <c r="H30" s="947" t="s">
        <v>767</v>
      </c>
      <c r="I30" s="947" t="s">
        <v>766</v>
      </c>
      <c r="J30" s="947" t="s">
        <v>775</v>
      </c>
      <c r="K30" s="947" t="s">
        <v>776</v>
      </c>
      <c r="L30" s="947"/>
      <c r="M30" s="947"/>
      <c r="N30" s="947"/>
      <c r="O30" s="947" t="s">
        <v>670</v>
      </c>
      <c r="P30" s="947" t="s">
        <v>766</v>
      </c>
      <c r="Q30" s="947" t="s">
        <v>777</v>
      </c>
      <c r="R30" s="947" t="s">
        <v>778</v>
      </c>
      <c r="S30" s="947" t="s">
        <v>670</v>
      </c>
      <c r="T30" s="947" t="s">
        <v>766</v>
      </c>
      <c r="U30" s="947" t="s">
        <v>767</v>
      </c>
      <c r="V30" s="947"/>
      <c r="W30" s="947"/>
      <c r="X30" s="947" t="s">
        <v>775</v>
      </c>
      <c r="Y30" s="947" t="s">
        <v>776</v>
      </c>
      <c r="Z30" s="947"/>
      <c r="AA30" s="947"/>
      <c r="AB30" s="947" t="s">
        <v>670</v>
      </c>
      <c r="AC30" s="947" t="s">
        <v>777</v>
      </c>
      <c r="AD30" s="947" t="s">
        <v>778</v>
      </c>
      <c r="AE30" s="947" t="s">
        <v>670</v>
      </c>
      <c r="AF30" s="947" t="s">
        <v>775</v>
      </c>
      <c r="AG30" s="947" t="s">
        <v>776</v>
      </c>
      <c r="AH30" s="947"/>
      <c r="AI30" s="947"/>
      <c r="AJ30" s="947" t="s">
        <v>670</v>
      </c>
      <c r="AK30" s="947" t="s">
        <v>777</v>
      </c>
      <c r="AL30" s="947" t="s">
        <v>778</v>
      </c>
      <c r="AM30" s="947" t="s">
        <v>670</v>
      </c>
      <c r="AN30" s="947" t="s">
        <v>766</v>
      </c>
      <c r="AO30" s="947" t="s">
        <v>767</v>
      </c>
      <c r="AP30" s="947" t="s">
        <v>766</v>
      </c>
      <c r="AQ30" s="947" t="s">
        <v>775</v>
      </c>
      <c r="AR30" s="947" t="s">
        <v>776</v>
      </c>
      <c r="AS30" s="947"/>
      <c r="AT30" s="947"/>
      <c r="AU30" s="947"/>
      <c r="AV30" s="947" t="s">
        <v>670</v>
      </c>
      <c r="AW30" s="947" t="s">
        <v>766</v>
      </c>
      <c r="AX30" s="947" t="s">
        <v>777</v>
      </c>
      <c r="AY30" s="947" t="s">
        <v>778</v>
      </c>
      <c r="AZ30" s="947" t="s">
        <v>670</v>
      </c>
      <c r="BA30" s="947" t="s">
        <v>766</v>
      </c>
      <c r="BB30" s="947" t="s">
        <v>767</v>
      </c>
    </row>
    <row r="31" spans="1:54" s="4" customFormat="1" ht="27" customHeight="1">
      <c r="A31" s="947"/>
      <c r="B31" s="947"/>
      <c r="C31" s="947"/>
      <c r="D31" s="947"/>
      <c r="E31" s="947"/>
      <c r="F31" s="947"/>
      <c r="G31" s="947"/>
      <c r="H31" s="947"/>
      <c r="I31" s="947"/>
      <c r="J31" s="947"/>
      <c r="K31" s="709" t="s">
        <v>779</v>
      </c>
      <c r="L31" s="709" t="s">
        <v>780</v>
      </c>
      <c r="M31" s="709" t="s">
        <v>781</v>
      </c>
      <c r="N31" s="709" t="s">
        <v>782</v>
      </c>
      <c r="O31" s="947"/>
      <c r="P31" s="947"/>
      <c r="Q31" s="947"/>
      <c r="R31" s="947"/>
      <c r="S31" s="947"/>
      <c r="T31" s="947"/>
      <c r="U31" s="947"/>
      <c r="V31" s="947"/>
      <c r="W31" s="947"/>
      <c r="X31" s="947"/>
      <c r="Y31" s="709" t="s">
        <v>779</v>
      </c>
      <c r="Z31" s="709" t="s">
        <v>780</v>
      </c>
      <c r="AA31" s="709" t="s">
        <v>781</v>
      </c>
      <c r="AB31" s="947"/>
      <c r="AC31" s="947"/>
      <c r="AD31" s="947"/>
      <c r="AE31" s="947"/>
      <c r="AF31" s="947"/>
      <c r="AG31" s="709" t="s">
        <v>779</v>
      </c>
      <c r="AH31" s="709" t="s">
        <v>780</v>
      </c>
      <c r="AI31" s="709" t="s">
        <v>781</v>
      </c>
      <c r="AJ31" s="947"/>
      <c r="AK31" s="947"/>
      <c r="AL31" s="947"/>
      <c r="AM31" s="947"/>
      <c r="AN31" s="947"/>
      <c r="AO31" s="947"/>
      <c r="AP31" s="947"/>
      <c r="AQ31" s="947"/>
      <c r="AR31" s="709" t="s">
        <v>779</v>
      </c>
      <c r="AS31" s="709" t="s">
        <v>780</v>
      </c>
      <c r="AT31" s="709" t="s">
        <v>781</v>
      </c>
      <c r="AU31" s="709" t="s">
        <v>782</v>
      </c>
      <c r="AV31" s="947"/>
      <c r="AW31" s="947"/>
      <c r="AX31" s="947"/>
      <c r="AY31" s="947"/>
      <c r="AZ31" s="947"/>
      <c r="BA31" s="947"/>
      <c r="BB31" s="947"/>
    </row>
    <row r="32" spans="1:54" ht="19.95" customHeight="1">
      <c r="A32" s="722" t="s">
        <v>783</v>
      </c>
      <c r="B32" s="356"/>
      <c r="C32" s="356"/>
      <c r="D32" s="356"/>
      <c r="E32" s="356"/>
      <c r="F32" s="356"/>
      <c r="G32" s="356"/>
      <c r="H32" s="356"/>
      <c r="I32" s="356"/>
      <c r="J32" s="356"/>
      <c r="K32" s="356"/>
      <c r="L32" s="356"/>
      <c r="M32" s="356"/>
      <c r="N32" s="356"/>
      <c r="O32" s="356"/>
      <c r="P32" s="356"/>
      <c r="Q32" s="356"/>
      <c r="R32" s="356"/>
      <c r="S32" s="356"/>
      <c r="T32" s="356"/>
      <c r="U32" s="356"/>
      <c r="V32" s="356"/>
      <c r="W32" s="356"/>
      <c r="X32" s="356"/>
      <c r="Y32" s="356"/>
      <c r="Z32" s="356"/>
      <c r="AA32" s="356"/>
      <c r="AB32" s="356"/>
      <c r="AC32" s="356"/>
      <c r="AD32" s="356"/>
      <c r="AE32" s="356"/>
      <c r="AF32" s="356"/>
      <c r="AG32" s="356"/>
      <c r="AH32" s="356"/>
      <c r="AI32" s="356"/>
      <c r="AJ32" s="356"/>
      <c r="AK32" s="356"/>
      <c r="AL32" s="357"/>
      <c r="AM32" s="356"/>
      <c r="AN32" s="356"/>
      <c r="AO32" s="356"/>
      <c r="AP32" s="356"/>
      <c r="AQ32" s="356"/>
      <c r="AR32" s="356"/>
      <c r="AS32" s="356"/>
      <c r="AT32" s="356"/>
      <c r="AU32" s="356"/>
      <c r="AV32" s="356"/>
      <c r="AW32" s="356"/>
      <c r="AX32" s="356"/>
      <c r="AY32" s="356"/>
      <c r="AZ32" s="356"/>
      <c r="BA32" s="356"/>
      <c r="BB32" s="356"/>
    </row>
    <row r="33" spans="1:54" ht="19.95" customHeight="1">
      <c r="A33" s="710">
        <v>1</v>
      </c>
      <c r="B33" s="289"/>
      <c r="C33" s="357"/>
      <c r="D33" s="711"/>
      <c r="E33" s="712"/>
      <c r="F33" s="357"/>
      <c r="G33" s="711"/>
      <c r="H33" s="357"/>
      <c r="I33" s="711"/>
      <c r="J33" s="716"/>
      <c r="K33" s="357"/>
      <c r="L33" s="357"/>
      <c r="M33" s="357"/>
      <c r="N33" s="365">
        <f>SUM(K33:M33)</f>
        <v>0</v>
      </c>
      <c r="O33" s="357"/>
      <c r="P33" s="723"/>
      <c r="Q33" s="716"/>
      <c r="R33" s="357"/>
      <c r="S33" s="357"/>
      <c r="T33" s="724">
        <f>G33+I33-P33</f>
        <v>0</v>
      </c>
      <c r="U33" s="365">
        <f>H33+J33+N33-Q33-R33+O33-S33</f>
        <v>0</v>
      </c>
      <c r="V33" s="357"/>
      <c r="W33" s="357"/>
      <c r="X33" s="716"/>
      <c r="Y33" s="357"/>
      <c r="Z33" s="357"/>
      <c r="AA33" s="357"/>
      <c r="AB33" s="357"/>
      <c r="AC33" s="716"/>
      <c r="AD33" s="357"/>
      <c r="AE33" s="357"/>
      <c r="AF33" s="357"/>
      <c r="AG33" s="357"/>
      <c r="AH33" s="357"/>
      <c r="AI33" s="357"/>
      <c r="AJ33" s="357"/>
      <c r="AK33" s="357"/>
      <c r="AL33" s="357"/>
      <c r="AM33" s="357"/>
      <c r="AN33" s="365">
        <f>G33</f>
        <v>0</v>
      </c>
      <c r="AO33" s="365">
        <f>H33+V33+W33</f>
        <v>0</v>
      </c>
      <c r="AP33" s="365">
        <f>I33</f>
        <v>0</v>
      </c>
      <c r="AQ33" s="365">
        <f t="shared" ref="AQ33:AT37" si="15">J33+X33+AF33</f>
        <v>0</v>
      </c>
      <c r="AR33" s="365">
        <f>K33+Y33+AG33</f>
        <v>0</v>
      </c>
      <c r="AS33" s="365">
        <f t="shared" si="15"/>
        <v>0</v>
      </c>
      <c r="AT33" s="365">
        <f t="shared" si="15"/>
        <v>0</v>
      </c>
      <c r="AU33" s="365">
        <f>SUM(AR33:AT33)</f>
        <v>0</v>
      </c>
      <c r="AV33" s="365">
        <f>O33+AB33+AJ33</f>
        <v>0</v>
      </c>
      <c r="AW33" s="365">
        <f>P33</f>
        <v>0</v>
      </c>
      <c r="AX33" s="365">
        <f>Q33+AC33+AK33</f>
        <v>0</v>
      </c>
      <c r="AY33" s="365">
        <f>R33+AD33+AL33</f>
        <v>0</v>
      </c>
      <c r="AZ33" s="365">
        <f>S33+AE33+AM33</f>
        <v>0</v>
      </c>
      <c r="BA33" s="365">
        <f>AN33+AP33-AW33</f>
        <v>0</v>
      </c>
      <c r="BB33" s="365">
        <f>AO33+AQ33+AU33-AX33-AY33</f>
        <v>0</v>
      </c>
    </row>
    <row r="34" spans="1:54" ht="19.95" customHeight="1">
      <c r="A34" s="710">
        <v>2</v>
      </c>
      <c r="B34" s="289"/>
      <c r="C34" s="357"/>
      <c r="D34" s="711"/>
      <c r="E34" s="712"/>
      <c r="F34" s="357"/>
      <c r="G34" s="711"/>
      <c r="H34" s="357"/>
      <c r="I34" s="711"/>
      <c r="J34" s="716"/>
      <c r="K34" s="357"/>
      <c r="L34" s="357"/>
      <c r="M34" s="357"/>
      <c r="N34" s="365">
        <f t="shared" ref="N34:N45" si="16">SUM(K34:M34)</f>
        <v>0</v>
      </c>
      <c r="O34" s="357"/>
      <c r="P34" s="723"/>
      <c r="Q34" s="716"/>
      <c r="R34" s="357"/>
      <c r="S34" s="357"/>
      <c r="T34" s="718">
        <f>G34+I34-P34</f>
        <v>0</v>
      </c>
      <c r="U34" s="365">
        <f t="shared" ref="U34:U36" si="17">H34+J34+N34-Q34-R34+O34-S34</f>
        <v>0</v>
      </c>
      <c r="V34" s="357"/>
      <c r="W34" s="357"/>
      <c r="X34" s="716"/>
      <c r="Y34" s="357"/>
      <c r="Z34" s="357"/>
      <c r="AA34" s="357"/>
      <c r="AB34" s="357"/>
      <c r="AC34" s="716"/>
      <c r="AD34" s="357"/>
      <c r="AE34" s="357"/>
      <c r="AF34" s="357"/>
      <c r="AG34" s="357"/>
      <c r="AH34" s="357"/>
      <c r="AI34" s="357"/>
      <c r="AJ34" s="357"/>
      <c r="AK34" s="357"/>
      <c r="AL34" s="357"/>
      <c r="AM34" s="357"/>
      <c r="AN34" s="365">
        <f>G34</f>
        <v>0</v>
      </c>
      <c r="AO34" s="365">
        <f>H34+V34+W34</f>
        <v>0</v>
      </c>
      <c r="AP34" s="365">
        <f>I34</f>
        <v>0</v>
      </c>
      <c r="AQ34" s="365">
        <f t="shared" si="15"/>
        <v>0</v>
      </c>
      <c r="AR34" s="365">
        <f t="shared" si="15"/>
        <v>0</v>
      </c>
      <c r="AS34" s="365">
        <f t="shared" si="15"/>
        <v>0</v>
      </c>
      <c r="AT34" s="365">
        <f t="shared" si="15"/>
        <v>0</v>
      </c>
      <c r="AU34" s="365">
        <f t="shared" ref="AU34:AU44" si="18">SUM(AR34:AT34)</f>
        <v>0</v>
      </c>
      <c r="AV34" s="365">
        <f t="shared" ref="AV34:AV37" si="19">O34+AB34+AJ34</f>
        <v>0</v>
      </c>
      <c r="AW34" s="365">
        <f>P34</f>
        <v>0</v>
      </c>
      <c r="AX34" s="365">
        <f t="shared" ref="AX34:AY37" si="20">Q34+AC34+AK34</f>
        <v>0</v>
      </c>
      <c r="AY34" s="365">
        <f t="shared" si="20"/>
        <v>0</v>
      </c>
      <c r="AZ34" s="365">
        <f t="shared" ref="AZ34:AZ37" si="21">S34+AE34+AM34</f>
        <v>0</v>
      </c>
      <c r="BA34" s="365">
        <f>AN34+AP34-AW34</f>
        <v>0</v>
      </c>
      <c r="BB34" s="365">
        <f>AO34+AQ34+AU34-AX34-AY34</f>
        <v>0</v>
      </c>
    </row>
    <row r="35" spans="1:54" ht="19.95" customHeight="1">
      <c r="A35" s="710">
        <v>3</v>
      </c>
      <c r="B35" s="612"/>
      <c r="C35" s="357"/>
      <c r="D35" s="711"/>
      <c r="E35" s="712"/>
      <c r="F35" s="357"/>
      <c r="G35" s="711"/>
      <c r="H35" s="357"/>
      <c r="I35" s="711"/>
      <c r="J35" s="716"/>
      <c r="K35" s="357"/>
      <c r="L35" s="357"/>
      <c r="M35" s="357"/>
      <c r="N35" s="365">
        <f t="shared" si="16"/>
        <v>0</v>
      </c>
      <c r="O35" s="357"/>
      <c r="P35" s="723"/>
      <c r="Q35" s="716"/>
      <c r="R35" s="357"/>
      <c r="S35" s="357"/>
      <c r="T35" s="718">
        <f>G35+I35-P35</f>
        <v>0</v>
      </c>
      <c r="U35" s="365">
        <f t="shared" si="17"/>
        <v>0</v>
      </c>
      <c r="V35" s="357"/>
      <c r="W35" s="357"/>
      <c r="X35" s="716"/>
      <c r="Y35" s="357"/>
      <c r="Z35" s="357"/>
      <c r="AA35" s="357"/>
      <c r="AB35" s="357"/>
      <c r="AC35" s="716"/>
      <c r="AD35" s="357"/>
      <c r="AE35" s="357"/>
      <c r="AF35" s="357"/>
      <c r="AG35" s="357"/>
      <c r="AH35" s="357"/>
      <c r="AI35" s="357"/>
      <c r="AJ35" s="357"/>
      <c r="AK35" s="357"/>
      <c r="AL35" s="357"/>
      <c r="AM35" s="357"/>
      <c r="AN35" s="365">
        <f>G35</f>
        <v>0</v>
      </c>
      <c r="AO35" s="365">
        <f>H35+V35+W35</f>
        <v>0</v>
      </c>
      <c r="AP35" s="365">
        <f>I35</f>
        <v>0</v>
      </c>
      <c r="AQ35" s="365">
        <f t="shared" si="15"/>
        <v>0</v>
      </c>
      <c r="AR35" s="365">
        <f t="shared" si="15"/>
        <v>0</v>
      </c>
      <c r="AS35" s="365">
        <f t="shared" si="15"/>
        <v>0</v>
      </c>
      <c r="AT35" s="365">
        <f t="shared" si="15"/>
        <v>0</v>
      </c>
      <c r="AU35" s="365">
        <f t="shared" si="18"/>
        <v>0</v>
      </c>
      <c r="AV35" s="365">
        <f t="shared" si="19"/>
        <v>0</v>
      </c>
      <c r="AW35" s="365">
        <f>P35</f>
        <v>0</v>
      </c>
      <c r="AX35" s="365">
        <f t="shared" si="20"/>
        <v>0</v>
      </c>
      <c r="AY35" s="365">
        <f t="shared" si="20"/>
        <v>0</v>
      </c>
      <c r="AZ35" s="365">
        <f t="shared" si="21"/>
        <v>0</v>
      </c>
      <c r="BA35" s="365">
        <f>AN35+AP35-AW35</f>
        <v>0</v>
      </c>
      <c r="BB35" s="365">
        <f>AO35+AQ35+AU35-AX35-AY35</f>
        <v>0</v>
      </c>
    </row>
    <row r="36" spans="1:54" ht="19.95" customHeight="1">
      <c r="A36" s="710">
        <v>4</v>
      </c>
      <c r="B36" s="612"/>
      <c r="C36" s="357"/>
      <c r="D36" s="711"/>
      <c r="E36" s="712"/>
      <c r="F36" s="357"/>
      <c r="G36" s="711"/>
      <c r="H36" s="357"/>
      <c r="I36" s="711"/>
      <c r="J36" s="716"/>
      <c r="K36" s="357"/>
      <c r="L36" s="357"/>
      <c r="M36" s="357"/>
      <c r="N36" s="365">
        <f t="shared" si="16"/>
        <v>0</v>
      </c>
      <c r="O36" s="357"/>
      <c r="P36" s="723"/>
      <c r="Q36" s="716"/>
      <c r="R36" s="357"/>
      <c r="S36" s="357"/>
      <c r="T36" s="718">
        <f>G36+I36-P36</f>
        <v>0</v>
      </c>
      <c r="U36" s="365">
        <f t="shared" si="17"/>
        <v>0</v>
      </c>
      <c r="V36" s="357"/>
      <c r="W36" s="357"/>
      <c r="X36" s="716"/>
      <c r="Y36" s="357"/>
      <c r="Z36" s="357"/>
      <c r="AA36" s="357"/>
      <c r="AB36" s="357"/>
      <c r="AC36" s="716"/>
      <c r="AD36" s="357"/>
      <c r="AE36" s="357"/>
      <c r="AF36" s="357"/>
      <c r="AG36" s="357"/>
      <c r="AH36" s="357"/>
      <c r="AI36" s="357"/>
      <c r="AJ36" s="357"/>
      <c r="AK36" s="357"/>
      <c r="AL36" s="357"/>
      <c r="AM36" s="357"/>
      <c r="AN36" s="365">
        <f>G36</f>
        <v>0</v>
      </c>
      <c r="AO36" s="365">
        <f>H36+V36+W36</f>
        <v>0</v>
      </c>
      <c r="AP36" s="365">
        <f>I36</f>
        <v>0</v>
      </c>
      <c r="AQ36" s="365">
        <f t="shared" si="15"/>
        <v>0</v>
      </c>
      <c r="AR36" s="365">
        <f t="shared" si="15"/>
        <v>0</v>
      </c>
      <c r="AS36" s="365">
        <f t="shared" si="15"/>
        <v>0</v>
      </c>
      <c r="AT36" s="365">
        <f t="shared" si="15"/>
        <v>0</v>
      </c>
      <c r="AU36" s="365">
        <f t="shared" si="18"/>
        <v>0</v>
      </c>
      <c r="AV36" s="365">
        <f t="shared" si="19"/>
        <v>0</v>
      </c>
      <c r="AW36" s="365">
        <f>P36</f>
        <v>0</v>
      </c>
      <c r="AX36" s="365">
        <f t="shared" si="20"/>
        <v>0</v>
      </c>
      <c r="AY36" s="365">
        <f t="shared" si="20"/>
        <v>0</v>
      </c>
      <c r="AZ36" s="365">
        <f t="shared" si="21"/>
        <v>0</v>
      </c>
      <c r="BA36" s="365">
        <f>AN36+AP36-AW36</f>
        <v>0</v>
      </c>
      <c r="BB36" s="365">
        <f>AO36+AQ36+AU36-AX36-AY36</f>
        <v>0</v>
      </c>
    </row>
    <row r="37" spans="1:54" ht="19.95" customHeight="1">
      <c r="A37" s="710">
        <v>5</v>
      </c>
      <c r="B37" s="289" t="s">
        <v>768</v>
      </c>
      <c r="C37" s="357"/>
      <c r="D37" s="711"/>
      <c r="E37" s="712"/>
      <c r="F37" s="357"/>
      <c r="G37" s="711"/>
      <c r="H37" s="357"/>
      <c r="I37" s="711"/>
      <c r="J37" s="716"/>
      <c r="K37" s="357"/>
      <c r="L37" s="357"/>
      <c r="M37" s="357"/>
      <c r="N37" s="365">
        <f t="shared" si="16"/>
        <v>0</v>
      </c>
      <c r="O37" s="357"/>
      <c r="P37" s="723"/>
      <c r="Q37" s="716"/>
      <c r="R37" s="357"/>
      <c r="S37" s="357"/>
      <c r="T37" s="718">
        <f>G37+I37-P37</f>
        <v>0</v>
      </c>
      <c r="U37" s="365">
        <f>H37+J37+N37-Q37-R37+O37-S37</f>
        <v>0</v>
      </c>
      <c r="V37" s="357"/>
      <c r="W37" s="357"/>
      <c r="X37" s="716"/>
      <c r="Y37" s="357"/>
      <c r="Z37" s="357"/>
      <c r="AA37" s="357"/>
      <c r="AB37" s="357"/>
      <c r="AC37" s="716"/>
      <c r="AD37" s="357"/>
      <c r="AE37" s="357"/>
      <c r="AF37" s="357"/>
      <c r="AG37" s="357"/>
      <c r="AH37" s="357"/>
      <c r="AI37" s="357"/>
      <c r="AJ37" s="357"/>
      <c r="AK37" s="357"/>
      <c r="AL37" s="357"/>
      <c r="AM37" s="357"/>
      <c r="AN37" s="365">
        <f>G37</f>
        <v>0</v>
      </c>
      <c r="AO37" s="365">
        <f>H37+V37+W37</f>
        <v>0</v>
      </c>
      <c r="AP37" s="365">
        <f>I37</f>
        <v>0</v>
      </c>
      <c r="AQ37" s="365">
        <f t="shared" si="15"/>
        <v>0</v>
      </c>
      <c r="AR37" s="365">
        <f t="shared" si="15"/>
        <v>0</v>
      </c>
      <c r="AS37" s="365">
        <f t="shared" si="15"/>
        <v>0</v>
      </c>
      <c r="AT37" s="365">
        <f t="shared" si="15"/>
        <v>0</v>
      </c>
      <c r="AU37" s="365">
        <f t="shared" si="18"/>
        <v>0</v>
      </c>
      <c r="AV37" s="365">
        <f t="shared" si="19"/>
        <v>0</v>
      </c>
      <c r="AW37" s="365">
        <f>P37</f>
        <v>0</v>
      </c>
      <c r="AX37" s="365">
        <f t="shared" si="20"/>
        <v>0</v>
      </c>
      <c r="AY37" s="365">
        <f t="shared" si="20"/>
        <v>0</v>
      </c>
      <c r="AZ37" s="365">
        <f t="shared" si="21"/>
        <v>0</v>
      </c>
      <c r="BA37" s="365">
        <f>AN37+AP37-AW37</f>
        <v>0</v>
      </c>
      <c r="BB37" s="365">
        <f>AO37+AQ37+AU37-AX37-AY37</f>
        <v>0</v>
      </c>
    </row>
    <row r="38" spans="1:54" ht="19.95" customHeight="1">
      <c r="A38" s="948" t="s">
        <v>784</v>
      </c>
      <c r="B38" s="948"/>
      <c r="C38" s="357"/>
      <c r="D38" s="711"/>
      <c r="E38" s="712"/>
      <c r="F38" s="357"/>
      <c r="G38" s="725" t="s">
        <v>770</v>
      </c>
      <c r="H38" s="365">
        <f>SUM(H33:H37)</f>
        <v>0</v>
      </c>
      <c r="I38" s="725" t="s">
        <v>770</v>
      </c>
      <c r="J38" s="365">
        <f>SUM(J33:J37)</f>
        <v>0</v>
      </c>
      <c r="K38" s="365">
        <f t="shared" ref="K38:M38" si="22">SUM(K33:K37)</f>
        <v>0</v>
      </c>
      <c r="L38" s="365">
        <f t="shared" si="22"/>
        <v>0</v>
      </c>
      <c r="M38" s="365">
        <f t="shared" si="22"/>
        <v>0</v>
      </c>
      <c r="N38" s="365">
        <f>SUM(K38:M38)</f>
        <v>0</v>
      </c>
      <c r="O38" s="365">
        <f>SUM(O33:O37)</f>
        <v>0</v>
      </c>
      <c r="P38" s="365">
        <f>SUM(P33:P37)</f>
        <v>0</v>
      </c>
      <c r="Q38" s="365">
        <f t="shared" ref="Q38:R38" si="23">SUM(Q33:Q37)</f>
        <v>0</v>
      </c>
      <c r="R38" s="365">
        <f t="shared" si="23"/>
        <v>0</v>
      </c>
      <c r="S38" s="365"/>
      <c r="T38" s="726" t="s">
        <v>770</v>
      </c>
      <c r="U38" s="365">
        <f>SUM(U33:U37)</f>
        <v>0</v>
      </c>
      <c r="V38" s="365">
        <f>SUM(V33:V37)</f>
        <v>0</v>
      </c>
      <c r="W38" s="365">
        <f>SUM(W33:W37)</f>
        <v>0</v>
      </c>
      <c r="X38" s="365">
        <f t="shared" ref="X38:AC38" si="24">SUM(X33:X37)</f>
        <v>0</v>
      </c>
      <c r="Y38" s="365">
        <f t="shared" si="24"/>
        <v>0</v>
      </c>
      <c r="Z38" s="365">
        <f t="shared" si="24"/>
        <v>0</v>
      </c>
      <c r="AA38" s="365">
        <f t="shared" si="24"/>
        <v>0</v>
      </c>
      <c r="AB38" s="365">
        <f t="shared" si="24"/>
        <v>0</v>
      </c>
      <c r="AC38" s="365">
        <f t="shared" si="24"/>
        <v>0</v>
      </c>
      <c r="AD38" s="365">
        <f>SUM(AD33:AD37)</f>
        <v>0</v>
      </c>
      <c r="AE38" s="365">
        <f>SUM(AE33:AE37)</f>
        <v>0</v>
      </c>
      <c r="AF38" s="365">
        <f t="shared" ref="AF38" si="25">SUM(AF33:AF37)</f>
        <v>0</v>
      </c>
      <c r="AG38" s="365">
        <f t="shared" ref="AG38" si="26">SUM(AG33:AG37)</f>
        <v>0</v>
      </c>
      <c r="AH38" s="365">
        <f t="shared" ref="AH38" si="27">SUM(AH33:AH37)</f>
        <v>0</v>
      </c>
      <c r="AI38" s="365">
        <f t="shared" ref="AI38:AJ38" si="28">SUM(AI33:AI37)</f>
        <v>0</v>
      </c>
      <c r="AJ38" s="365">
        <f t="shared" si="28"/>
        <v>0</v>
      </c>
      <c r="AK38" s="365">
        <f t="shared" ref="AK38:AQ38" si="29">SUM(AK33:AK37)</f>
        <v>0</v>
      </c>
      <c r="AL38" s="365">
        <f t="shared" si="29"/>
        <v>0</v>
      </c>
      <c r="AM38" s="365">
        <f t="shared" si="29"/>
        <v>0</v>
      </c>
      <c r="AN38" s="725" t="s">
        <v>770</v>
      </c>
      <c r="AO38" s="365">
        <f t="shared" si="29"/>
        <v>0</v>
      </c>
      <c r="AP38" s="390" t="s">
        <v>770</v>
      </c>
      <c r="AQ38" s="365">
        <f t="shared" si="29"/>
        <v>0</v>
      </c>
      <c r="AR38" s="365">
        <f t="shared" ref="AR38" si="30">SUM(AR33:AR37)</f>
        <v>0</v>
      </c>
      <c r="AS38" s="365">
        <f t="shared" ref="AS38" si="31">SUM(AS33:AS37)</f>
        <v>0</v>
      </c>
      <c r="AT38" s="365">
        <f t="shared" ref="AT38" si="32">SUM(AT33:AT37)</f>
        <v>0</v>
      </c>
      <c r="AU38" s="365">
        <f t="shared" ref="AU38:AV38" si="33">SUM(AU33:AU37)</f>
        <v>0</v>
      </c>
      <c r="AV38" s="365">
        <f t="shared" si="33"/>
        <v>0</v>
      </c>
      <c r="AW38" s="390" t="s">
        <v>770</v>
      </c>
      <c r="AX38" s="365">
        <f t="shared" ref="AX38:BB38" si="34">SUM(AX33:AX37)</f>
        <v>0</v>
      </c>
      <c r="AY38" s="365">
        <f t="shared" si="34"/>
        <v>0</v>
      </c>
      <c r="AZ38" s="365">
        <f t="shared" si="34"/>
        <v>0</v>
      </c>
      <c r="BA38" s="726" t="s">
        <v>770</v>
      </c>
      <c r="BB38" s="365">
        <f t="shared" si="34"/>
        <v>0</v>
      </c>
    </row>
    <row r="39" spans="1:54" ht="19.95" customHeight="1">
      <c r="A39" s="178" t="s">
        <v>785</v>
      </c>
      <c r="B39" s="27"/>
      <c r="C39" s="13"/>
      <c r="D39" s="14"/>
      <c r="E39" s="15"/>
      <c r="F39" s="16"/>
      <c r="G39" s="173"/>
      <c r="H39" s="13"/>
      <c r="I39" s="13"/>
      <c r="J39" s="14"/>
      <c r="K39" s="13"/>
      <c r="L39" s="13"/>
      <c r="M39" s="13"/>
      <c r="N39" s="363"/>
      <c r="O39" s="357"/>
      <c r="P39" s="13"/>
      <c r="Q39" s="14"/>
      <c r="R39" s="13"/>
      <c r="S39" s="357"/>
      <c r="T39" s="318"/>
      <c r="U39" s="16"/>
      <c r="V39" s="175"/>
      <c r="W39" s="13"/>
      <c r="X39" s="14"/>
      <c r="Y39" s="13"/>
      <c r="Z39" s="13"/>
      <c r="AA39" s="13"/>
      <c r="AB39" s="357"/>
      <c r="AC39" s="14"/>
      <c r="AD39" s="13"/>
      <c r="AE39" s="357"/>
      <c r="AF39" s="13"/>
      <c r="AG39" s="13"/>
      <c r="AH39" s="13"/>
      <c r="AI39" s="13"/>
      <c r="AJ39" s="357"/>
      <c r="AK39" s="13"/>
      <c r="AL39" s="357"/>
      <c r="AM39" s="174"/>
      <c r="AN39" s="173"/>
      <c r="AO39" s="13"/>
      <c r="AP39" s="13"/>
      <c r="AQ39" s="14"/>
      <c r="AR39" s="13"/>
      <c r="AS39" s="13"/>
      <c r="AT39" s="13"/>
      <c r="AU39" s="13"/>
      <c r="AV39" s="357"/>
      <c r="AW39" s="13"/>
      <c r="AX39" s="14"/>
      <c r="AY39" s="13"/>
      <c r="AZ39" s="357"/>
      <c r="BA39" s="318"/>
      <c r="BB39" s="174"/>
    </row>
    <row r="40" spans="1:54" ht="19.95" customHeight="1">
      <c r="A40" s="710">
        <v>1</v>
      </c>
      <c r="B40" s="289"/>
      <c r="C40" s="357"/>
      <c r="D40" s="716"/>
      <c r="E40" s="713"/>
      <c r="F40" s="357"/>
      <c r="G40" s="716"/>
      <c r="H40" s="357"/>
      <c r="I40" s="357"/>
      <c r="J40" s="716"/>
      <c r="K40" s="357"/>
      <c r="L40" s="357"/>
      <c r="M40" s="357"/>
      <c r="N40" s="365">
        <f t="shared" si="16"/>
        <v>0</v>
      </c>
      <c r="O40" s="357"/>
      <c r="P40" s="357"/>
      <c r="Q40" s="716"/>
      <c r="R40" s="357"/>
      <c r="S40" s="357"/>
      <c r="T40" s="717">
        <f>G40+I40-P40</f>
        <v>0</v>
      </c>
      <c r="U40" s="365">
        <f>H40+J40+N40-Q40-R40+O40-S40</f>
        <v>0</v>
      </c>
      <c r="V40" s="357"/>
      <c r="W40" s="357"/>
      <c r="X40" s="716"/>
      <c r="Y40" s="357"/>
      <c r="Z40" s="357"/>
      <c r="AA40" s="357"/>
      <c r="AB40" s="357"/>
      <c r="AC40" s="716"/>
      <c r="AD40" s="357"/>
      <c r="AE40" s="357"/>
      <c r="AF40" s="357"/>
      <c r="AG40" s="357"/>
      <c r="AH40" s="357"/>
      <c r="AI40" s="357"/>
      <c r="AJ40" s="357"/>
      <c r="AK40" s="357"/>
      <c r="AL40" s="357"/>
      <c r="AM40" s="357"/>
      <c r="AN40" s="365">
        <f>G40</f>
        <v>0</v>
      </c>
      <c r="AO40" s="365">
        <f>H40+V40+W40</f>
        <v>0</v>
      </c>
      <c r="AP40" s="365">
        <f>I40</f>
        <v>0</v>
      </c>
      <c r="AQ40" s="365">
        <f t="shared" ref="AQ40:AT44" si="35">J40+X40+AF40</f>
        <v>0</v>
      </c>
      <c r="AR40" s="365">
        <f t="shared" si="35"/>
        <v>0</v>
      </c>
      <c r="AS40" s="365">
        <f t="shared" si="35"/>
        <v>0</v>
      </c>
      <c r="AT40" s="365">
        <f t="shared" si="35"/>
        <v>0</v>
      </c>
      <c r="AU40" s="365">
        <f t="shared" si="18"/>
        <v>0</v>
      </c>
      <c r="AV40" s="365">
        <f t="shared" ref="AV40:AV44" si="36">O40+AB40+AJ40</f>
        <v>0</v>
      </c>
      <c r="AW40" s="365">
        <f>P40</f>
        <v>0</v>
      </c>
      <c r="AX40" s="365">
        <f t="shared" ref="AX40:AY44" si="37">Q40+AC40+AK40</f>
        <v>0</v>
      </c>
      <c r="AY40" s="365">
        <f t="shared" si="37"/>
        <v>0</v>
      </c>
      <c r="AZ40" s="365">
        <f t="shared" ref="AZ40:AZ45" si="38">S40+AE40+AM40</f>
        <v>0</v>
      </c>
      <c r="BA40" s="365">
        <f>AN40+AP40-AW40</f>
        <v>0</v>
      </c>
      <c r="BB40" s="365">
        <f>AO40+AQ40+AU40-AX40-AY40</f>
        <v>0</v>
      </c>
    </row>
    <row r="41" spans="1:54" ht="19.95" customHeight="1">
      <c r="A41" s="710">
        <v>2</v>
      </c>
      <c r="B41" s="289"/>
      <c r="C41" s="357"/>
      <c r="D41" s="716"/>
      <c r="E41" s="713"/>
      <c r="F41" s="357"/>
      <c r="G41" s="716"/>
      <c r="H41" s="357"/>
      <c r="I41" s="357"/>
      <c r="J41" s="716"/>
      <c r="K41" s="357"/>
      <c r="L41" s="357"/>
      <c r="M41" s="357"/>
      <c r="N41" s="365">
        <f t="shared" si="16"/>
        <v>0</v>
      </c>
      <c r="O41" s="357"/>
      <c r="P41" s="357"/>
      <c r="Q41" s="716"/>
      <c r="R41" s="357"/>
      <c r="S41" s="357"/>
      <c r="T41" s="717">
        <f>G41+I41-P41</f>
        <v>0</v>
      </c>
      <c r="U41" s="365">
        <f>H41+J41+N41-Q41-R41</f>
        <v>0</v>
      </c>
      <c r="V41" s="357"/>
      <c r="W41" s="357"/>
      <c r="X41" s="716"/>
      <c r="Y41" s="357"/>
      <c r="Z41" s="357"/>
      <c r="AA41" s="357"/>
      <c r="AB41" s="357"/>
      <c r="AC41" s="716"/>
      <c r="AD41" s="357"/>
      <c r="AE41" s="357"/>
      <c r="AF41" s="357"/>
      <c r="AG41" s="357"/>
      <c r="AH41" s="357"/>
      <c r="AI41" s="357"/>
      <c r="AJ41" s="357"/>
      <c r="AK41" s="357"/>
      <c r="AL41" s="357"/>
      <c r="AM41" s="357"/>
      <c r="AN41" s="365">
        <f>G41</f>
        <v>0</v>
      </c>
      <c r="AO41" s="365">
        <f>H41+V41+W41</f>
        <v>0</v>
      </c>
      <c r="AP41" s="365">
        <f>I41</f>
        <v>0</v>
      </c>
      <c r="AQ41" s="365">
        <f t="shared" si="35"/>
        <v>0</v>
      </c>
      <c r="AR41" s="365">
        <f t="shared" si="35"/>
        <v>0</v>
      </c>
      <c r="AS41" s="365">
        <f t="shared" si="35"/>
        <v>0</v>
      </c>
      <c r="AT41" s="365">
        <f t="shared" si="35"/>
        <v>0</v>
      </c>
      <c r="AU41" s="365">
        <f t="shared" si="18"/>
        <v>0</v>
      </c>
      <c r="AV41" s="365">
        <f t="shared" si="36"/>
        <v>0</v>
      </c>
      <c r="AW41" s="365">
        <f>P41</f>
        <v>0</v>
      </c>
      <c r="AX41" s="365">
        <f t="shared" si="37"/>
        <v>0</v>
      </c>
      <c r="AY41" s="365">
        <f t="shared" si="37"/>
        <v>0</v>
      </c>
      <c r="AZ41" s="365">
        <f t="shared" si="38"/>
        <v>0</v>
      </c>
      <c r="BA41" s="365">
        <f>AN41+AP41-AW41</f>
        <v>0</v>
      </c>
      <c r="BB41" s="365">
        <f>AO41+AQ41+AU41-AX41-AY41</f>
        <v>0</v>
      </c>
    </row>
    <row r="42" spans="1:54" ht="19.95" customHeight="1">
      <c r="A42" s="710">
        <v>3</v>
      </c>
      <c r="B42" s="612"/>
      <c r="C42" s="357"/>
      <c r="D42" s="716"/>
      <c r="E42" s="713"/>
      <c r="F42" s="357"/>
      <c r="G42" s="716"/>
      <c r="H42" s="357"/>
      <c r="I42" s="357"/>
      <c r="J42" s="716"/>
      <c r="K42" s="357"/>
      <c r="L42" s="357"/>
      <c r="M42" s="357"/>
      <c r="N42" s="365">
        <f t="shared" si="16"/>
        <v>0</v>
      </c>
      <c r="O42" s="357"/>
      <c r="P42" s="357"/>
      <c r="Q42" s="716"/>
      <c r="R42" s="357"/>
      <c r="S42" s="357"/>
      <c r="T42" s="717">
        <f>G42+I42-P42</f>
        <v>0</v>
      </c>
      <c r="U42" s="365">
        <f>H42+J42+N42-Q42-R42</f>
        <v>0</v>
      </c>
      <c r="V42" s="357"/>
      <c r="W42" s="357"/>
      <c r="X42" s="716"/>
      <c r="Y42" s="357"/>
      <c r="Z42" s="357"/>
      <c r="AA42" s="357"/>
      <c r="AB42" s="357"/>
      <c r="AC42" s="716"/>
      <c r="AD42" s="357"/>
      <c r="AE42" s="357"/>
      <c r="AF42" s="357"/>
      <c r="AG42" s="357"/>
      <c r="AH42" s="357"/>
      <c r="AI42" s="357"/>
      <c r="AJ42" s="357"/>
      <c r="AK42" s="357"/>
      <c r="AL42" s="357"/>
      <c r="AM42" s="357"/>
      <c r="AN42" s="365">
        <f>G42</f>
        <v>0</v>
      </c>
      <c r="AO42" s="365">
        <f>H42+V42+W42</f>
        <v>0</v>
      </c>
      <c r="AP42" s="365">
        <f>I42</f>
        <v>0</v>
      </c>
      <c r="AQ42" s="365">
        <f t="shared" si="35"/>
        <v>0</v>
      </c>
      <c r="AR42" s="365">
        <f t="shared" si="35"/>
        <v>0</v>
      </c>
      <c r="AS42" s="365">
        <f t="shared" si="35"/>
        <v>0</v>
      </c>
      <c r="AT42" s="365">
        <f t="shared" si="35"/>
        <v>0</v>
      </c>
      <c r="AU42" s="365">
        <f t="shared" si="18"/>
        <v>0</v>
      </c>
      <c r="AV42" s="365">
        <f t="shared" si="36"/>
        <v>0</v>
      </c>
      <c r="AW42" s="365">
        <f>P42</f>
        <v>0</v>
      </c>
      <c r="AX42" s="365">
        <f t="shared" si="37"/>
        <v>0</v>
      </c>
      <c r="AY42" s="365">
        <f t="shared" si="37"/>
        <v>0</v>
      </c>
      <c r="AZ42" s="365">
        <f t="shared" si="38"/>
        <v>0</v>
      </c>
      <c r="BA42" s="365">
        <f>AN42+AP42-AW42</f>
        <v>0</v>
      </c>
      <c r="BB42" s="365">
        <f>AO42+AQ42+AU42-AX42-AY42</f>
        <v>0</v>
      </c>
    </row>
    <row r="43" spans="1:54" ht="19.95" customHeight="1">
      <c r="A43" s="710">
        <v>4</v>
      </c>
      <c r="B43" s="290"/>
      <c r="C43" s="357"/>
      <c r="D43" s="716"/>
      <c r="E43" s="713"/>
      <c r="F43" s="357"/>
      <c r="G43" s="716"/>
      <c r="H43" s="357"/>
      <c r="I43" s="357"/>
      <c r="J43" s="716"/>
      <c r="K43" s="357"/>
      <c r="L43" s="357"/>
      <c r="M43" s="357"/>
      <c r="N43" s="365">
        <f t="shared" si="16"/>
        <v>0</v>
      </c>
      <c r="O43" s="357"/>
      <c r="P43" s="357"/>
      <c r="Q43" s="716"/>
      <c r="R43" s="357"/>
      <c r="S43" s="357"/>
      <c r="T43" s="717">
        <f>G43+I43-P43</f>
        <v>0</v>
      </c>
      <c r="U43" s="365">
        <f>H43+J43+N43-Q43-R43</f>
        <v>0</v>
      </c>
      <c r="V43" s="357"/>
      <c r="W43" s="357"/>
      <c r="X43" s="716"/>
      <c r="Y43" s="357"/>
      <c r="Z43" s="357"/>
      <c r="AA43" s="357"/>
      <c r="AB43" s="357"/>
      <c r="AC43" s="716"/>
      <c r="AD43" s="357"/>
      <c r="AE43" s="357"/>
      <c r="AF43" s="357"/>
      <c r="AG43" s="357"/>
      <c r="AH43" s="357"/>
      <c r="AI43" s="357"/>
      <c r="AJ43" s="357"/>
      <c r="AK43" s="357"/>
      <c r="AL43" s="357"/>
      <c r="AM43" s="357"/>
      <c r="AN43" s="365">
        <f>G43</f>
        <v>0</v>
      </c>
      <c r="AO43" s="365">
        <f>H43+V43+W43</f>
        <v>0</v>
      </c>
      <c r="AP43" s="365">
        <f>I43</f>
        <v>0</v>
      </c>
      <c r="AQ43" s="365">
        <f t="shared" si="35"/>
        <v>0</v>
      </c>
      <c r="AR43" s="365">
        <f t="shared" si="35"/>
        <v>0</v>
      </c>
      <c r="AS43" s="365">
        <f t="shared" si="35"/>
        <v>0</v>
      </c>
      <c r="AT43" s="365">
        <f t="shared" si="35"/>
        <v>0</v>
      </c>
      <c r="AU43" s="365">
        <f t="shared" si="18"/>
        <v>0</v>
      </c>
      <c r="AV43" s="365">
        <f t="shared" si="36"/>
        <v>0</v>
      </c>
      <c r="AW43" s="365">
        <f>P43</f>
        <v>0</v>
      </c>
      <c r="AX43" s="365">
        <f t="shared" si="37"/>
        <v>0</v>
      </c>
      <c r="AY43" s="365">
        <f t="shared" si="37"/>
        <v>0</v>
      </c>
      <c r="AZ43" s="365">
        <f t="shared" si="38"/>
        <v>0</v>
      </c>
      <c r="BA43" s="365">
        <f>AN43+AP43-AW43</f>
        <v>0</v>
      </c>
      <c r="BB43" s="365">
        <f>AO43+AQ43+AU43-AX43-AY43</f>
        <v>0</v>
      </c>
    </row>
    <row r="44" spans="1:54" ht="19.95" customHeight="1">
      <c r="A44" s="710">
        <v>5</v>
      </c>
      <c r="B44" s="290" t="s">
        <v>768</v>
      </c>
      <c r="C44" s="357"/>
      <c r="D44" s="716"/>
      <c r="E44" s="713"/>
      <c r="F44" s="357"/>
      <c r="G44" s="716"/>
      <c r="H44" s="357"/>
      <c r="I44" s="357"/>
      <c r="J44" s="716"/>
      <c r="K44" s="357"/>
      <c r="L44" s="357"/>
      <c r="M44" s="357"/>
      <c r="N44" s="365">
        <f t="shared" si="16"/>
        <v>0</v>
      </c>
      <c r="O44" s="357"/>
      <c r="P44" s="357"/>
      <c r="Q44" s="716"/>
      <c r="R44" s="357"/>
      <c r="S44" s="357"/>
      <c r="T44" s="717">
        <f>G44+I44-P44</f>
        <v>0</v>
      </c>
      <c r="U44" s="365">
        <f>H44+J44+N44-Q44-R44</f>
        <v>0</v>
      </c>
      <c r="V44" s="357"/>
      <c r="W44" s="357"/>
      <c r="X44" s="716"/>
      <c r="Y44" s="357"/>
      <c r="Z44" s="357"/>
      <c r="AA44" s="357"/>
      <c r="AB44" s="357"/>
      <c r="AC44" s="716"/>
      <c r="AD44" s="357"/>
      <c r="AE44" s="357"/>
      <c r="AF44" s="357"/>
      <c r="AG44" s="357"/>
      <c r="AH44" s="357"/>
      <c r="AI44" s="357"/>
      <c r="AJ44" s="357"/>
      <c r="AK44" s="357"/>
      <c r="AL44" s="357"/>
      <c r="AM44" s="357"/>
      <c r="AN44" s="365">
        <f>G44</f>
        <v>0</v>
      </c>
      <c r="AO44" s="365">
        <f>H44+V44+W44</f>
        <v>0</v>
      </c>
      <c r="AP44" s="365">
        <f>I44</f>
        <v>0</v>
      </c>
      <c r="AQ44" s="365">
        <f t="shared" si="35"/>
        <v>0</v>
      </c>
      <c r="AR44" s="365">
        <f t="shared" si="35"/>
        <v>0</v>
      </c>
      <c r="AS44" s="365">
        <f t="shared" si="35"/>
        <v>0</v>
      </c>
      <c r="AT44" s="365">
        <f t="shared" si="35"/>
        <v>0</v>
      </c>
      <c r="AU44" s="365">
        <f t="shared" si="18"/>
        <v>0</v>
      </c>
      <c r="AV44" s="365">
        <f t="shared" si="36"/>
        <v>0</v>
      </c>
      <c r="AW44" s="365">
        <f>P44</f>
        <v>0</v>
      </c>
      <c r="AX44" s="365">
        <f t="shared" si="37"/>
        <v>0</v>
      </c>
      <c r="AY44" s="365">
        <f t="shared" si="37"/>
        <v>0</v>
      </c>
      <c r="AZ44" s="365">
        <f t="shared" si="38"/>
        <v>0</v>
      </c>
      <c r="BA44" s="365">
        <f>AN44+AP44-AW44</f>
        <v>0</v>
      </c>
      <c r="BB44" s="365">
        <f>AO44+AQ44+AU44-AX44-AY44</f>
        <v>0</v>
      </c>
    </row>
    <row r="45" spans="1:54" ht="19.95" customHeight="1">
      <c r="A45" s="944" t="s">
        <v>784</v>
      </c>
      <c r="B45" s="944"/>
      <c r="C45" s="357"/>
      <c r="D45" s="716"/>
      <c r="E45" s="713"/>
      <c r="F45" s="357"/>
      <c r="G45" s="728" t="s">
        <v>770</v>
      </c>
      <c r="H45" s="365">
        <f>SUM(H40:H44)</f>
        <v>0</v>
      </c>
      <c r="I45" s="728" t="s">
        <v>770</v>
      </c>
      <c r="J45" s="365">
        <f>SUM(J40:J44)</f>
        <v>0</v>
      </c>
      <c r="K45" s="365">
        <f t="shared" ref="K45" si="39">SUM(K40:K44)</f>
        <v>0</v>
      </c>
      <c r="L45" s="365">
        <f t="shared" ref="L45" si="40">SUM(L40:L44)</f>
        <v>0</v>
      </c>
      <c r="M45" s="365">
        <f t="shared" ref="M45" si="41">SUM(M40:M44)</f>
        <v>0</v>
      </c>
      <c r="N45" s="365">
        <f t="shared" si="16"/>
        <v>0</v>
      </c>
      <c r="O45" s="365">
        <f>SUM(O40:O44)</f>
        <v>0</v>
      </c>
      <c r="P45" s="365">
        <f>SUM(P40:P44)</f>
        <v>0</v>
      </c>
      <c r="Q45" s="365">
        <f t="shared" ref="Q45" si="42">SUM(Q40:Q44)</f>
        <v>0</v>
      </c>
      <c r="R45" s="365">
        <f>SUM(R40:R44)</f>
        <v>0</v>
      </c>
      <c r="S45" s="365">
        <f>SUM(S40:S44)</f>
        <v>0</v>
      </c>
      <c r="T45" s="729" t="s">
        <v>108</v>
      </c>
      <c r="U45" s="365">
        <f>H45+J45+N45-Q45-R45+O45-S45</f>
        <v>0</v>
      </c>
      <c r="V45" s="365">
        <f>SUM(V40:V44)</f>
        <v>0</v>
      </c>
      <c r="W45" s="365">
        <f>SUM(W40:W44)</f>
        <v>0</v>
      </c>
      <c r="X45" s="365">
        <f t="shared" ref="X45" si="43">SUM(X40:X44)</f>
        <v>0</v>
      </c>
      <c r="Y45" s="365">
        <f t="shared" ref="Y45" si="44">SUM(Y40:Y44)</f>
        <v>0</v>
      </c>
      <c r="Z45" s="365">
        <f t="shared" ref="Z45" si="45">SUM(Z40:Z44)</f>
        <v>0</v>
      </c>
      <c r="AA45" s="365">
        <f>SUM(AA40:AA44)</f>
        <v>0</v>
      </c>
      <c r="AB45" s="365">
        <f t="shared" ref="AB45" si="46">SUM(AB40:AB44)</f>
        <v>0</v>
      </c>
      <c r="AC45" s="365">
        <f t="shared" ref="AC45" si="47">SUM(AC40:AC44)</f>
        <v>0</v>
      </c>
      <c r="AD45" s="365">
        <f>SUM(AD40:AD44)</f>
        <v>0</v>
      </c>
      <c r="AE45" s="365">
        <f>SUM(AE40:AE44)</f>
        <v>0</v>
      </c>
      <c r="AF45" s="365">
        <f t="shared" ref="AF45" si="48">SUM(AF40:AF44)</f>
        <v>0</v>
      </c>
      <c r="AG45" s="365">
        <f t="shared" ref="AG45" si="49">SUM(AG40:AG44)</f>
        <v>0</v>
      </c>
      <c r="AH45" s="365">
        <f t="shared" ref="AH45" si="50">SUM(AH40:AH44)</f>
        <v>0</v>
      </c>
      <c r="AI45" s="365">
        <f t="shared" ref="AI45:AJ45" si="51">SUM(AI40:AI44)</f>
        <v>0</v>
      </c>
      <c r="AJ45" s="365">
        <f t="shared" si="51"/>
        <v>0</v>
      </c>
      <c r="AK45" s="365">
        <f t="shared" ref="AK45" si="52">SUM(AK40:AK44)</f>
        <v>0</v>
      </c>
      <c r="AL45" s="365">
        <f t="shared" ref="AL45:AM45" si="53">SUM(AL40:AL44)</f>
        <v>0</v>
      </c>
      <c r="AM45" s="365">
        <f t="shared" si="53"/>
        <v>0</v>
      </c>
      <c r="AN45" s="725" t="s">
        <v>770</v>
      </c>
      <c r="AO45" s="365">
        <f t="shared" ref="AO45" si="54">SUM(AO40:AO44)</f>
        <v>0</v>
      </c>
      <c r="AP45" s="390" t="s">
        <v>770</v>
      </c>
      <c r="AQ45" s="365">
        <f t="shared" ref="AQ45" si="55">SUM(AQ40:AQ44)</f>
        <v>0</v>
      </c>
      <c r="AR45" s="365">
        <f t="shared" ref="AR45" si="56">SUM(AR40:AR44)</f>
        <v>0</v>
      </c>
      <c r="AS45" s="365">
        <f t="shared" ref="AS45" si="57">SUM(AS40:AS44)</f>
        <v>0</v>
      </c>
      <c r="AT45" s="365">
        <f t="shared" ref="AT45" si="58">SUM(AT40:AT44)</f>
        <v>0</v>
      </c>
      <c r="AU45" s="365">
        <f>SUM(AU40:AU44)</f>
        <v>0</v>
      </c>
      <c r="AV45" s="365">
        <f>SUM(AV40:AV44)</f>
        <v>0</v>
      </c>
      <c r="AW45" s="390" t="s">
        <v>770</v>
      </c>
      <c r="AX45" s="365">
        <f t="shared" ref="AX45" si="59">SUM(AX40:AX44)</f>
        <v>0</v>
      </c>
      <c r="AY45" s="365">
        <f>SUM(AY40:AY44)</f>
        <v>0</v>
      </c>
      <c r="AZ45" s="365">
        <f t="shared" si="38"/>
        <v>0</v>
      </c>
      <c r="BA45" s="729" t="s">
        <v>770</v>
      </c>
      <c r="BB45" s="365">
        <f t="shared" ref="BB45" si="60">SUM(BB40:BB44)</f>
        <v>0</v>
      </c>
    </row>
    <row r="46" spans="1:54" ht="19.95" customHeight="1">
      <c r="A46" s="358" t="s">
        <v>786</v>
      </c>
      <c r="B46" s="358"/>
      <c r="C46" s="391">
        <f>SUM(C33:C44)</f>
        <v>0</v>
      </c>
      <c r="D46" s="730" t="s">
        <v>770</v>
      </c>
      <c r="E46" s="730" t="s">
        <v>770</v>
      </c>
      <c r="F46" s="730" t="s">
        <v>770</v>
      </c>
      <c r="G46" s="730" t="s">
        <v>770</v>
      </c>
      <c r="H46" s="391">
        <f>H45+H38</f>
        <v>0</v>
      </c>
      <c r="I46" s="730" t="s">
        <v>770</v>
      </c>
      <c r="J46" s="391">
        <f>J38+J45</f>
        <v>0</v>
      </c>
      <c r="K46" s="391">
        <f t="shared" ref="K46:M46" si="61">K38+K45</f>
        <v>0</v>
      </c>
      <c r="L46" s="391">
        <f t="shared" si="61"/>
        <v>0</v>
      </c>
      <c r="M46" s="391">
        <f t="shared" si="61"/>
        <v>0</v>
      </c>
      <c r="N46" s="391">
        <f>N38+N45</f>
        <v>0</v>
      </c>
      <c r="O46" s="391">
        <f>O38+O45</f>
        <v>0</v>
      </c>
      <c r="P46" s="731" t="s">
        <v>770</v>
      </c>
      <c r="Q46" s="391">
        <f>Q38+Q45</f>
        <v>0</v>
      </c>
      <c r="R46" s="391">
        <f>R38+R45</f>
        <v>0</v>
      </c>
      <c r="S46" s="391">
        <f>S38+S45</f>
        <v>0</v>
      </c>
      <c r="T46" s="731" t="s">
        <v>770</v>
      </c>
      <c r="U46" s="391">
        <f>U38+U45</f>
        <v>0</v>
      </c>
      <c r="V46" s="391">
        <f>SUM(V33:V44)</f>
        <v>0</v>
      </c>
      <c r="W46" s="391">
        <f>SUM(W33:W44)</f>
        <v>0</v>
      </c>
      <c r="X46" s="391">
        <f>SUM(X33:X44)</f>
        <v>0</v>
      </c>
      <c r="Y46" s="391">
        <f>SUM(Y33:Y44)</f>
        <v>0</v>
      </c>
      <c r="Z46" s="391"/>
      <c r="AA46" s="391">
        <f>SUM(AA33:AA44)</f>
        <v>0</v>
      </c>
      <c r="AB46" s="391">
        <f t="shared" ref="AB46" si="62">SUM(AB33:AB44)</f>
        <v>0</v>
      </c>
      <c r="AC46" s="391">
        <f t="shared" ref="AC46:AL46" si="63">SUM(AC33:AC44)</f>
        <v>0</v>
      </c>
      <c r="AD46" s="391">
        <f t="shared" si="63"/>
        <v>0</v>
      </c>
      <c r="AE46" s="391">
        <f t="shared" ref="AE46" si="64">SUM(AE33:AE44)</f>
        <v>0</v>
      </c>
      <c r="AF46" s="391">
        <f t="shared" si="63"/>
        <v>0</v>
      </c>
      <c r="AG46" s="391">
        <f t="shared" si="63"/>
        <v>0</v>
      </c>
      <c r="AH46" s="391">
        <f t="shared" si="63"/>
        <v>0</v>
      </c>
      <c r="AI46" s="391">
        <f t="shared" si="63"/>
        <v>0</v>
      </c>
      <c r="AJ46" s="391">
        <f t="shared" ref="AJ46" si="65">SUM(AJ33:AJ44)</f>
        <v>0</v>
      </c>
      <c r="AK46" s="391">
        <f t="shared" si="63"/>
        <v>0</v>
      </c>
      <c r="AL46" s="391">
        <f t="shared" si="63"/>
        <v>0</v>
      </c>
      <c r="AM46" s="391">
        <f t="shared" ref="AM46" si="66">SUM(AM33:AM44)</f>
        <v>0</v>
      </c>
      <c r="AN46" s="731" t="s">
        <v>770</v>
      </c>
      <c r="AO46" s="391">
        <f t="shared" ref="AO46:AU46" si="67">SUM(AO33:AO44)</f>
        <v>0</v>
      </c>
      <c r="AP46" s="391">
        <f t="shared" si="67"/>
        <v>0</v>
      </c>
      <c r="AQ46" s="391">
        <f t="shared" si="67"/>
        <v>0</v>
      </c>
      <c r="AR46" s="391">
        <f t="shared" si="67"/>
        <v>0</v>
      </c>
      <c r="AS46" s="391">
        <f t="shared" si="67"/>
        <v>0</v>
      </c>
      <c r="AT46" s="391">
        <f t="shared" si="67"/>
        <v>0</v>
      </c>
      <c r="AU46" s="391">
        <f t="shared" si="67"/>
        <v>0</v>
      </c>
      <c r="AV46" s="391">
        <f t="shared" ref="AV46" si="68">SUM(AV33:AV44)</f>
        <v>0</v>
      </c>
      <c r="AW46" s="731" t="s">
        <v>770</v>
      </c>
      <c r="AX46" s="391">
        <f>SUM(AX33:AX44)</f>
        <v>0</v>
      </c>
      <c r="AY46" s="391">
        <f>SUM(AY33:AY44)</f>
        <v>0</v>
      </c>
      <c r="AZ46" s="391">
        <f>SUM(AZ33:AZ44)</f>
        <v>0</v>
      </c>
      <c r="BA46" s="391"/>
      <c r="BB46" s="391">
        <f>SUM(BB33:BB44)</f>
        <v>0</v>
      </c>
    </row>
    <row r="47" spans="1:54" ht="19.95" customHeight="1">
      <c r="A47" s="944" t="s">
        <v>787</v>
      </c>
      <c r="B47" s="944"/>
      <c r="C47" s="730" t="s">
        <v>770</v>
      </c>
      <c r="D47" s="730" t="s">
        <v>770</v>
      </c>
      <c r="E47" s="730" t="s">
        <v>770</v>
      </c>
      <c r="F47" s="730" t="s">
        <v>770</v>
      </c>
      <c r="G47" s="730" t="s">
        <v>770</v>
      </c>
      <c r="H47" s="731">
        <f>M26+H46</f>
        <v>0</v>
      </c>
      <c r="I47" s="730" t="s">
        <v>770</v>
      </c>
      <c r="J47" s="731">
        <f>J46+O26</f>
        <v>0</v>
      </c>
      <c r="K47" s="732">
        <f>K46</f>
        <v>0</v>
      </c>
      <c r="L47" s="732">
        <f>L46</f>
        <v>0</v>
      </c>
      <c r="M47" s="732">
        <f>M46</f>
        <v>0</v>
      </c>
      <c r="N47" s="732">
        <f>N46</f>
        <v>0</v>
      </c>
      <c r="O47" s="732">
        <f>O46</f>
        <v>0</v>
      </c>
      <c r="P47" s="731" t="s">
        <v>770</v>
      </c>
      <c r="Q47" s="732"/>
      <c r="R47" s="732"/>
      <c r="S47" s="732"/>
      <c r="T47" s="721"/>
      <c r="U47" s="732">
        <f>SUM(U26,U46)</f>
        <v>0</v>
      </c>
      <c r="V47" s="732">
        <f>V26+V46</f>
        <v>0</v>
      </c>
      <c r="W47" s="732">
        <f>W26+W46</f>
        <v>0</v>
      </c>
      <c r="X47" s="732">
        <f>X26+X46</f>
        <v>0</v>
      </c>
      <c r="Y47" s="732">
        <f>Y46</f>
        <v>0</v>
      </c>
      <c r="Z47" s="732">
        <f>Z46</f>
        <v>0</v>
      </c>
      <c r="AA47" s="732">
        <f>AA46</f>
        <v>0</v>
      </c>
      <c r="AB47" s="732"/>
      <c r="AC47" s="732">
        <f>AC46+Y26</f>
        <v>0</v>
      </c>
      <c r="AD47" s="732">
        <f>AD46</f>
        <v>0</v>
      </c>
      <c r="AE47" s="732">
        <f>AE46</f>
        <v>0</v>
      </c>
      <c r="AF47" s="732">
        <f>Z26+AF46</f>
        <v>0</v>
      </c>
      <c r="AG47" s="732">
        <f>AG46</f>
        <v>0</v>
      </c>
      <c r="AH47" s="732">
        <f>AH46</f>
        <v>0</v>
      </c>
      <c r="AI47" s="732">
        <f>AI46</f>
        <v>0</v>
      </c>
      <c r="AJ47" s="732">
        <f>AJ46</f>
        <v>0</v>
      </c>
      <c r="AK47" s="732">
        <f>AK46+AA26</f>
        <v>0</v>
      </c>
      <c r="AL47" s="732">
        <f>AL46</f>
        <v>0</v>
      </c>
      <c r="AM47" s="732">
        <f>AM46</f>
        <v>0</v>
      </c>
      <c r="AN47" s="731" t="s">
        <v>770</v>
      </c>
      <c r="AO47" s="732">
        <f>AO46+AC26</f>
        <v>0</v>
      </c>
      <c r="AP47" s="731" t="s">
        <v>770</v>
      </c>
      <c r="AQ47" s="732">
        <f>AQ46+AE26</f>
        <v>0</v>
      </c>
      <c r="AR47" s="732">
        <f>AR46</f>
        <v>0</v>
      </c>
      <c r="AS47" s="732">
        <f>AS46</f>
        <v>0</v>
      </c>
      <c r="AT47" s="732">
        <f>AT46</f>
        <v>0</v>
      </c>
      <c r="AU47" s="732">
        <f>AU46</f>
        <v>0</v>
      </c>
      <c r="AV47" s="732">
        <f>AV46</f>
        <v>0</v>
      </c>
      <c r="AW47" s="731" t="s">
        <v>770</v>
      </c>
      <c r="AX47" s="733">
        <f>AX46+AG26</f>
        <v>0</v>
      </c>
      <c r="AY47" s="733">
        <f>AY46</f>
        <v>0</v>
      </c>
      <c r="AZ47" s="733">
        <f>AZ46</f>
        <v>0</v>
      </c>
      <c r="BA47" s="731" t="s">
        <v>770</v>
      </c>
      <c r="BB47" s="733">
        <f>BB46+AI26</f>
        <v>0</v>
      </c>
    </row>
    <row r="48" spans="1:54" ht="19.95" customHeight="1">
      <c r="A48" s="23" t="s">
        <v>788</v>
      </c>
      <c r="I48" s="176"/>
      <c r="T48" s="23" t="s">
        <v>788</v>
      </c>
    </row>
    <row r="49" spans="1:54" s="12" customFormat="1" ht="19.95" customHeight="1">
      <c r="A49" s="947" t="s">
        <v>772</v>
      </c>
      <c r="B49" s="947" t="s">
        <v>53</v>
      </c>
      <c r="C49" s="947" t="s">
        <v>756</v>
      </c>
      <c r="D49" s="947" t="s">
        <v>773</v>
      </c>
      <c r="E49" s="947" t="s">
        <v>757</v>
      </c>
      <c r="F49" s="947" t="s">
        <v>758</v>
      </c>
      <c r="G49" s="945" t="s">
        <v>774</v>
      </c>
      <c r="H49" s="945"/>
      <c r="I49" s="945"/>
      <c r="J49" s="945"/>
      <c r="K49" s="945"/>
      <c r="L49" s="945" t="s">
        <v>759</v>
      </c>
      <c r="M49" s="945"/>
      <c r="N49" s="945" t="s">
        <v>760</v>
      </c>
      <c r="O49" s="945"/>
      <c r="P49" s="945" t="s">
        <v>761</v>
      </c>
      <c r="Q49" s="945"/>
      <c r="R49" s="945" t="s">
        <v>762</v>
      </c>
      <c r="S49" s="945"/>
      <c r="T49" s="945"/>
      <c r="U49" s="945"/>
    </row>
    <row r="50" spans="1:54" s="12" customFormat="1" ht="19.95" customHeight="1">
      <c r="A50" s="947"/>
      <c r="B50" s="947"/>
      <c r="C50" s="947"/>
      <c r="D50" s="947"/>
      <c r="E50" s="947"/>
      <c r="F50" s="947"/>
      <c r="G50" s="945" t="s">
        <v>763</v>
      </c>
      <c r="H50" s="947" t="s">
        <v>515</v>
      </c>
      <c r="I50" s="945" t="s">
        <v>516</v>
      </c>
      <c r="J50" s="945" t="s">
        <v>517</v>
      </c>
      <c r="K50" s="945" t="s">
        <v>789</v>
      </c>
      <c r="L50" s="945" t="s">
        <v>760</v>
      </c>
      <c r="M50" s="945" t="s">
        <v>761</v>
      </c>
      <c r="N50" s="945" t="s">
        <v>764</v>
      </c>
      <c r="O50" s="945" t="s">
        <v>765</v>
      </c>
      <c r="P50" s="945" t="s">
        <v>764</v>
      </c>
      <c r="Q50" s="945" t="s">
        <v>765</v>
      </c>
      <c r="R50" s="945" t="s">
        <v>763</v>
      </c>
      <c r="S50" s="945" t="s">
        <v>764</v>
      </c>
      <c r="T50" s="945" t="s">
        <v>765</v>
      </c>
      <c r="U50" s="945" t="s">
        <v>790</v>
      </c>
    </row>
    <row r="51" spans="1:54" s="12" customFormat="1" ht="19.95" customHeight="1">
      <c r="A51" s="947"/>
      <c r="B51" s="947"/>
      <c r="C51" s="947"/>
      <c r="D51" s="947"/>
      <c r="E51" s="947"/>
      <c r="F51" s="947"/>
      <c r="G51" s="945"/>
      <c r="H51" s="947"/>
      <c r="I51" s="945"/>
      <c r="J51" s="945"/>
      <c r="K51" s="945"/>
      <c r="L51" s="945"/>
      <c r="M51" s="945" t="s">
        <v>761</v>
      </c>
      <c r="N51" s="945" t="s">
        <v>764</v>
      </c>
      <c r="O51" s="945" t="s">
        <v>765</v>
      </c>
      <c r="P51" s="945" t="s">
        <v>764</v>
      </c>
      <c r="Q51" s="945" t="s">
        <v>765</v>
      </c>
      <c r="R51" s="945"/>
      <c r="S51" s="945" t="s">
        <v>764</v>
      </c>
      <c r="T51" s="945" t="s">
        <v>765</v>
      </c>
      <c r="U51" s="945" t="s">
        <v>790</v>
      </c>
    </row>
    <row r="52" spans="1:54" s="181" customFormat="1" ht="19.95" customHeight="1">
      <c r="A52" s="734" t="s">
        <v>791</v>
      </c>
      <c r="B52" s="697"/>
      <c r="C52" s="697"/>
      <c r="D52" s="697"/>
      <c r="E52" s="697"/>
      <c r="F52" s="697"/>
      <c r="G52" s="735"/>
      <c r="H52" s="736"/>
      <c r="I52" s="736"/>
      <c r="J52" s="735"/>
      <c r="K52" s="737"/>
      <c r="L52" s="737"/>
      <c r="M52" s="737"/>
      <c r="N52" s="737"/>
      <c r="O52" s="737"/>
      <c r="P52" s="737"/>
      <c r="Q52" s="737"/>
      <c r="R52" s="737"/>
      <c r="S52" s="737"/>
      <c r="T52" s="737"/>
      <c r="U52" s="737"/>
    </row>
    <row r="53" spans="1:54" ht="19.95" customHeight="1">
      <c r="A53" s="710">
        <v>1</v>
      </c>
      <c r="B53" s="290">
        <f t="shared" ref="B53:B62" si="69">B16</f>
        <v>0</v>
      </c>
      <c r="C53" s="357"/>
      <c r="D53" s="711"/>
      <c r="E53" s="738"/>
      <c r="F53" s="713"/>
      <c r="G53" s="739"/>
      <c r="H53" s="740"/>
      <c r="I53" s="739"/>
      <c r="J53" s="741">
        <f t="shared" ref="J53:J62" si="70">G53+H53-I53</f>
        <v>0</v>
      </c>
      <c r="K53" s="610"/>
      <c r="L53" s="610"/>
      <c r="M53" s="610"/>
      <c r="N53" s="610"/>
      <c r="O53" s="610"/>
      <c r="P53" s="610"/>
      <c r="Q53" s="610"/>
      <c r="R53" s="741">
        <f t="shared" ref="R53:R62" si="71">G53+L53+M53</f>
        <v>0</v>
      </c>
      <c r="S53" s="741">
        <f t="shared" ref="S53:S62" si="72">H53+N53+P53</f>
        <v>0</v>
      </c>
      <c r="T53" s="741">
        <f t="shared" ref="T53:T62" si="73">I53+O53+Q53</f>
        <v>0</v>
      </c>
      <c r="U53" s="741">
        <f t="shared" ref="U53:U58" si="74">R53+S53-T53</f>
        <v>0</v>
      </c>
    </row>
    <row r="54" spans="1:54" ht="19.95" customHeight="1">
      <c r="A54" s="710">
        <v>2</v>
      </c>
      <c r="B54" s="290">
        <f t="shared" si="69"/>
        <v>0</v>
      </c>
      <c r="C54" s="357"/>
      <c r="D54" s="711"/>
      <c r="E54" s="738"/>
      <c r="F54" s="713"/>
      <c r="G54" s="739"/>
      <c r="H54" s="740"/>
      <c r="I54" s="739"/>
      <c r="J54" s="741">
        <f t="shared" si="70"/>
        <v>0</v>
      </c>
      <c r="K54" s="610"/>
      <c r="L54" s="610"/>
      <c r="M54" s="610"/>
      <c r="N54" s="610"/>
      <c r="O54" s="610"/>
      <c r="P54" s="610"/>
      <c r="Q54" s="610"/>
      <c r="R54" s="741">
        <f t="shared" si="71"/>
        <v>0</v>
      </c>
      <c r="S54" s="741">
        <f t="shared" si="72"/>
        <v>0</v>
      </c>
      <c r="T54" s="741">
        <f t="shared" si="73"/>
        <v>0</v>
      </c>
      <c r="U54" s="741">
        <f t="shared" si="74"/>
        <v>0</v>
      </c>
    </row>
    <row r="55" spans="1:54" ht="19.95" customHeight="1">
      <c r="A55" s="710">
        <v>3</v>
      </c>
      <c r="B55" s="290">
        <f t="shared" si="69"/>
        <v>0</v>
      </c>
      <c r="C55" s="357"/>
      <c r="D55" s="711"/>
      <c r="E55" s="738"/>
      <c r="F55" s="713"/>
      <c r="G55" s="739"/>
      <c r="H55" s="740"/>
      <c r="I55" s="739"/>
      <c r="J55" s="741">
        <f t="shared" si="70"/>
        <v>0</v>
      </c>
      <c r="K55" s="610"/>
      <c r="L55" s="610"/>
      <c r="M55" s="610"/>
      <c r="N55" s="610"/>
      <c r="O55" s="610"/>
      <c r="P55" s="610"/>
      <c r="Q55" s="610"/>
      <c r="R55" s="741">
        <f t="shared" si="71"/>
        <v>0</v>
      </c>
      <c r="S55" s="741">
        <f t="shared" si="72"/>
        <v>0</v>
      </c>
      <c r="T55" s="741">
        <f t="shared" si="73"/>
        <v>0</v>
      </c>
      <c r="U55" s="741">
        <f t="shared" si="74"/>
        <v>0</v>
      </c>
    </row>
    <row r="56" spans="1:54" ht="19.95" customHeight="1">
      <c r="A56" s="710">
        <v>4</v>
      </c>
      <c r="B56" s="290">
        <f t="shared" si="69"/>
        <v>0</v>
      </c>
      <c r="C56" s="357"/>
      <c r="D56" s="711"/>
      <c r="E56" s="738"/>
      <c r="F56" s="713"/>
      <c r="G56" s="739"/>
      <c r="H56" s="740"/>
      <c r="I56" s="739"/>
      <c r="J56" s="741">
        <f t="shared" si="70"/>
        <v>0</v>
      </c>
      <c r="K56" s="610"/>
      <c r="L56" s="610"/>
      <c r="M56" s="610"/>
      <c r="N56" s="610"/>
      <c r="O56" s="610"/>
      <c r="P56" s="610"/>
      <c r="Q56" s="610"/>
      <c r="R56" s="741">
        <f t="shared" si="71"/>
        <v>0</v>
      </c>
      <c r="S56" s="741">
        <f t="shared" si="72"/>
        <v>0</v>
      </c>
      <c r="T56" s="741">
        <f t="shared" si="73"/>
        <v>0</v>
      </c>
      <c r="U56" s="741">
        <f t="shared" si="74"/>
        <v>0</v>
      </c>
    </row>
    <row r="57" spans="1:54" ht="19.95" customHeight="1">
      <c r="A57" s="710">
        <v>5</v>
      </c>
      <c r="B57" s="290">
        <f t="shared" si="69"/>
        <v>0</v>
      </c>
      <c r="C57" s="357"/>
      <c r="D57" s="711"/>
      <c r="E57" s="738"/>
      <c r="F57" s="713"/>
      <c r="G57" s="739"/>
      <c r="H57" s="740"/>
      <c r="I57" s="739"/>
      <c r="J57" s="741">
        <f t="shared" si="70"/>
        <v>0</v>
      </c>
      <c r="K57" s="610"/>
      <c r="L57" s="610"/>
      <c r="M57" s="610"/>
      <c r="N57" s="610"/>
      <c r="O57" s="610"/>
      <c r="P57" s="610"/>
      <c r="Q57" s="610"/>
      <c r="R57" s="741">
        <f t="shared" si="71"/>
        <v>0</v>
      </c>
      <c r="S57" s="741">
        <f t="shared" si="72"/>
        <v>0</v>
      </c>
      <c r="T57" s="741">
        <f t="shared" si="73"/>
        <v>0</v>
      </c>
      <c r="U57" s="741">
        <f t="shared" si="74"/>
        <v>0</v>
      </c>
    </row>
    <row r="58" spans="1:54" ht="19.95" customHeight="1">
      <c r="A58" s="710">
        <v>6</v>
      </c>
      <c r="B58" s="290">
        <f t="shared" si="69"/>
        <v>0</v>
      </c>
      <c r="C58" s="357"/>
      <c r="D58" s="711"/>
      <c r="E58" s="738"/>
      <c r="F58" s="713"/>
      <c r="G58" s="739"/>
      <c r="H58" s="740"/>
      <c r="I58" s="739"/>
      <c r="J58" s="741">
        <f t="shared" si="70"/>
        <v>0</v>
      </c>
      <c r="K58" s="610"/>
      <c r="L58" s="610"/>
      <c r="M58" s="610"/>
      <c r="N58" s="610"/>
      <c r="O58" s="610"/>
      <c r="P58" s="610"/>
      <c r="Q58" s="610"/>
      <c r="R58" s="741">
        <f t="shared" si="71"/>
        <v>0</v>
      </c>
      <c r="S58" s="741">
        <f t="shared" si="72"/>
        <v>0</v>
      </c>
      <c r="T58" s="741">
        <f t="shared" si="73"/>
        <v>0</v>
      </c>
      <c r="U58" s="741">
        <f t="shared" si="74"/>
        <v>0</v>
      </c>
    </row>
    <row r="59" spans="1:54" ht="19.95" customHeight="1">
      <c r="A59" s="710">
        <v>7</v>
      </c>
      <c r="B59" s="290">
        <f t="shared" si="69"/>
        <v>0</v>
      </c>
      <c r="C59" s="357"/>
      <c r="D59" s="711"/>
      <c r="E59" s="738"/>
      <c r="F59" s="713"/>
      <c r="G59" s="739"/>
      <c r="H59" s="740"/>
      <c r="I59" s="739"/>
      <c r="J59" s="741">
        <f t="shared" si="70"/>
        <v>0</v>
      </c>
      <c r="K59" s="610"/>
      <c r="L59" s="610"/>
      <c r="M59" s="610"/>
      <c r="N59" s="610"/>
      <c r="O59" s="610"/>
      <c r="P59" s="610"/>
      <c r="Q59" s="610"/>
      <c r="R59" s="741">
        <f t="shared" si="71"/>
        <v>0</v>
      </c>
      <c r="S59" s="741">
        <f t="shared" si="72"/>
        <v>0</v>
      </c>
      <c r="T59" s="741">
        <f t="shared" si="73"/>
        <v>0</v>
      </c>
      <c r="U59" s="741">
        <f>R59+S59-T59</f>
        <v>0</v>
      </c>
    </row>
    <row r="60" spans="1:54" ht="19.95" customHeight="1">
      <c r="A60" s="710">
        <v>8</v>
      </c>
      <c r="B60" s="290">
        <f t="shared" si="69"/>
        <v>0</v>
      </c>
      <c r="C60" s="357"/>
      <c r="D60" s="711"/>
      <c r="E60" s="738"/>
      <c r="F60" s="713"/>
      <c r="G60" s="739"/>
      <c r="H60" s="740"/>
      <c r="I60" s="739"/>
      <c r="J60" s="741">
        <f t="shared" si="70"/>
        <v>0</v>
      </c>
      <c r="K60" s="610"/>
      <c r="L60" s="610"/>
      <c r="M60" s="610"/>
      <c r="N60" s="610"/>
      <c r="O60" s="610"/>
      <c r="P60" s="610"/>
      <c r="Q60" s="610"/>
      <c r="R60" s="741">
        <f t="shared" si="71"/>
        <v>0</v>
      </c>
      <c r="S60" s="741">
        <f t="shared" si="72"/>
        <v>0</v>
      </c>
      <c r="T60" s="741">
        <f t="shared" si="73"/>
        <v>0</v>
      </c>
      <c r="U60" s="741">
        <f t="shared" ref="U60:U67" si="75">R60+S60-T60</f>
        <v>0</v>
      </c>
    </row>
    <row r="61" spans="1:54" ht="19.95" customHeight="1">
      <c r="A61" s="710">
        <v>9</v>
      </c>
      <c r="B61" s="290">
        <f t="shared" si="69"/>
        <v>0</v>
      </c>
      <c r="C61" s="357"/>
      <c r="D61" s="711"/>
      <c r="E61" s="738"/>
      <c r="F61" s="713"/>
      <c r="G61" s="739"/>
      <c r="H61" s="740"/>
      <c r="I61" s="739"/>
      <c r="J61" s="741">
        <f t="shared" si="70"/>
        <v>0</v>
      </c>
      <c r="K61" s="610"/>
      <c r="L61" s="610"/>
      <c r="M61" s="610"/>
      <c r="N61" s="610"/>
      <c r="O61" s="610"/>
      <c r="P61" s="610"/>
      <c r="Q61" s="610"/>
      <c r="R61" s="741">
        <f t="shared" si="71"/>
        <v>0</v>
      </c>
      <c r="S61" s="741">
        <f t="shared" si="72"/>
        <v>0</v>
      </c>
      <c r="T61" s="741">
        <f t="shared" si="73"/>
        <v>0</v>
      </c>
      <c r="U61" s="741">
        <f t="shared" si="75"/>
        <v>0</v>
      </c>
    </row>
    <row r="62" spans="1:54" ht="19.95" customHeight="1">
      <c r="A62" s="710">
        <v>10</v>
      </c>
      <c r="B62" s="290" t="str">
        <f t="shared" si="69"/>
        <v>……</v>
      </c>
      <c r="C62" s="357"/>
      <c r="D62" s="711"/>
      <c r="E62" s="738"/>
      <c r="F62" s="713"/>
      <c r="G62" s="739"/>
      <c r="H62" s="740"/>
      <c r="I62" s="739"/>
      <c r="J62" s="741">
        <f t="shared" si="70"/>
        <v>0</v>
      </c>
      <c r="K62" s="610"/>
      <c r="L62" s="610"/>
      <c r="M62" s="610"/>
      <c r="N62" s="610"/>
      <c r="O62" s="610"/>
      <c r="P62" s="610"/>
      <c r="Q62" s="610"/>
      <c r="R62" s="741">
        <f t="shared" si="71"/>
        <v>0</v>
      </c>
      <c r="S62" s="741">
        <f t="shared" si="72"/>
        <v>0</v>
      </c>
      <c r="T62" s="741">
        <f t="shared" si="73"/>
        <v>0</v>
      </c>
      <c r="U62" s="741">
        <f t="shared" si="75"/>
        <v>0</v>
      </c>
    </row>
    <row r="63" spans="1:54" ht="25.8" customHeight="1">
      <c r="A63" s="946" t="s">
        <v>792</v>
      </c>
      <c r="B63" s="946"/>
      <c r="C63" s="390" t="s">
        <v>770</v>
      </c>
      <c r="D63" s="390" t="s">
        <v>770</v>
      </c>
      <c r="E63" s="390" t="s">
        <v>770</v>
      </c>
      <c r="F63" s="390" t="s">
        <v>770</v>
      </c>
      <c r="G63" s="742">
        <f>SUM(G53:G62)</f>
        <v>0</v>
      </c>
      <c r="H63" s="742">
        <f t="shared" ref="H63:M63" si="76">SUM(H53:H62)</f>
        <v>0</v>
      </c>
      <c r="I63" s="742">
        <f t="shared" si="76"/>
        <v>0</v>
      </c>
      <c r="J63" s="741">
        <f t="shared" si="76"/>
        <v>0</v>
      </c>
      <c r="K63" s="743" t="s">
        <v>770</v>
      </c>
      <c r="L63" s="742">
        <f t="shared" si="76"/>
        <v>0</v>
      </c>
      <c r="M63" s="742">
        <f t="shared" si="76"/>
        <v>0</v>
      </c>
      <c r="N63" s="742">
        <f t="shared" ref="N63" si="77">SUM(N53:N62)</f>
        <v>0</v>
      </c>
      <c r="O63" s="742">
        <f t="shared" ref="O63" si="78">SUM(O53:O62)</f>
        <v>0</v>
      </c>
      <c r="P63" s="742">
        <f t="shared" ref="P63" si="79">SUM(P53:P62)</f>
        <v>0</v>
      </c>
      <c r="Q63" s="742">
        <f t="shared" ref="Q63" si="80">SUM(Q53:Q62)</f>
        <v>0</v>
      </c>
      <c r="R63" s="744">
        <f>SUM(R53:R62)</f>
        <v>0</v>
      </c>
      <c r="S63" s="744">
        <f>SUM(S53:S62)</f>
        <v>0</v>
      </c>
      <c r="T63" s="744">
        <f>SUM(T53:T62)</f>
        <v>0</v>
      </c>
      <c r="U63" s="744">
        <f>SUM(U53:U62)</f>
        <v>0</v>
      </c>
    </row>
    <row r="64" spans="1:54" s="181" customFormat="1" ht="19.95" customHeight="1">
      <c r="A64" s="734" t="s">
        <v>793</v>
      </c>
      <c r="B64" s="745"/>
      <c r="C64" s="746"/>
      <c r="D64" s="747"/>
      <c r="E64" s="747"/>
      <c r="F64" s="748"/>
      <c r="G64" s="749"/>
      <c r="H64" s="750"/>
      <c r="I64" s="749"/>
      <c r="J64" s="751" t="s">
        <v>770</v>
      </c>
      <c r="K64" s="737"/>
      <c r="L64" s="737"/>
      <c r="M64" s="737"/>
      <c r="N64" s="737"/>
      <c r="O64" s="737"/>
      <c r="P64" s="737"/>
      <c r="Q64" s="737"/>
      <c r="R64" s="737">
        <f>G64+L64+M64</f>
        <v>0</v>
      </c>
      <c r="S64" s="737">
        <f>H64+N64+P64</f>
        <v>0</v>
      </c>
      <c r="T64" s="737">
        <f>I64+O64+Q64</f>
        <v>0</v>
      </c>
      <c r="U64" s="737">
        <f t="shared" si="75"/>
        <v>0</v>
      </c>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row>
    <row r="65" spans="1:21" ht="19.95" customHeight="1">
      <c r="A65" s="734" t="s">
        <v>794</v>
      </c>
      <c r="B65" s="745"/>
      <c r="C65" s="746"/>
      <c r="D65" s="747"/>
      <c r="E65" s="747"/>
      <c r="F65" s="748"/>
      <c r="G65" s="749"/>
      <c r="H65" s="750"/>
      <c r="I65" s="749"/>
      <c r="J65" s="751" t="s">
        <v>770</v>
      </c>
      <c r="K65" s="737"/>
      <c r="L65" s="737"/>
      <c r="M65" s="737"/>
      <c r="N65" s="737"/>
      <c r="O65" s="737"/>
      <c r="P65" s="737"/>
      <c r="Q65" s="737"/>
      <c r="R65" s="737"/>
      <c r="S65" s="737"/>
      <c r="T65" s="737"/>
      <c r="U65" s="737"/>
    </row>
    <row r="66" spans="1:21" ht="19.95" customHeight="1">
      <c r="A66" s="710">
        <v>1</v>
      </c>
      <c r="B66" s="290">
        <f>B33</f>
        <v>0</v>
      </c>
      <c r="C66" s="357"/>
      <c r="D66" s="716"/>
      <c r="E66" s="716"/>
      <c r="F66" s="713"/>
      <c r="G66" s="739"/>
      <c r="H66" s="740"/>
      <c r="I66" s="739"/>
      <c r="J66" s="741">
        <f>G66+H66-I66</f>
        <v>0</v>
      </c>
      <c r="K66" s="610"/>
      <c r="L66" s="610"/>
      <c r="M66" s="610"/>
      <c r="N66" s="610"/>
      <c r="O66" s="610"/>
      <c r="P66" s="610"/>
      <c r="Q66" s="610"/>
      <c r="R66" s="744">
        <f>G66+L66+M66</f>
        <v>0</v>
      </c>
      <c r="S66" s="744">
        <f t="shared" ref="S66:T70" si="81">H66+N66+P66</f>
        <v>0</v>
      </c>
      <c r="T66" s="744">
        <f t="shared" si="81"/>
        <v>0</v>
      </c>
      <c r="U66" s="744">
        <f t="shared" si="75"/>
        <v>0</v>
      </c>
    </row>
    <row r="67" spans="1:21" ht="19.95" customHeight="1">
      <c r="A67" s="710">
        <v>2</v>
      </c>
      <c r="B67" s="290">
        <f>B34</f>
        <v>0</v>
      </c>
      <c r="C67" s="357"/>
      <c r="D67" s="716"/>
      <c r="E67" s="716"/>
      <c r="F67" s="713"/>
      <c r="G67" s="739"/>
      <c r="H67" s="740"/>
      <c r="I67" s="739"/>
      <c r="J67" s="741">
        <f>G67+H67-I67</f>
        <v>0</v>
      </c>
      <c r="K67" s="610"/>
      <c r="L67" s="610"/>
      <c r="M67" s="610"/>
      <c r="N67" s="610"/>
      <c r="O67" s="610"/>
      <c r="P67" s="610"/>
      <c r="Q67" s="610"/>
      <c r="R67" s="744">
        <f>G67+L67+M67</f>
        <v>0</v>
      </c>
      <c r="S67" s="744">
        <f t="shared" si="81"/>
        <v>0</v>
      </c>
      <c r="T67" s="744">
        <f t="shared" si="81"/>
        <v>0</v>
      </c>
      <c r="U67" s="744">
        <f t="shared" si="75"/>
        <v>0</v>
      </c>
    </row>
    <row r="68" spans="1:21" ht="19.95" customHeight="1">
      <c r="A68" s="710">
        <v>3</v>
      </c>
      <c r="B68" s="290">
        <f>B35</f>
        <v>0</v>
      </c>
      <c r="C68" s="357"/>
      <c r="D68" s="716"/>
      <c r="E68" s="716"/>
      <c r="F68" s="713"/>
      <c r="G68" s="739"/>
      <c r="H68" s="740"/>
      <c r="I68" s="739"/>
      <c r="J68" s="741">
        <f>G68+H68-I68</f>
        <v>0</v>
      </c>
      <c r="K68" s="610"/>
      <c r="L68" s="610"/>
      <c r="M68" s="610"/>
      <c r="N68" s="610"/>
      <c r="O68" s="610"/>
      <c r="P68" s="610"/>
      <c r="Q68" s="610"/>
      <c r="R68" s="744">
        <f>G68+L68+M68</f>
        <v>0</v>
      </c>
      <c r="S68" s="744">
        <f t="shared" si="81"/>
        <v>0</v>
      </c>
      <c r="T68" s="744">
        <f t="shared" si="81"/>
        <v>0</v>
      </c>
      <c r="U68" s="744">
        <f>R68+S68-T68</f>
        <v>0</v>
      </c>
    </row>
    <row r="69" spans="1:21" ht="19.95" customHeight="1">
      <c r="A69" s="710">
        <v>4</v>
      </c>
      <c r="B69" s="290">
        <f>B36</f>
        <v>0</v>
      </c>
      <c r="C69" s="357"/>
      <c r="D69" s="716"/>
      <c r="E69" s="716"/>
      <c r="F69" s="713"/>
      <c r="G69" s="739"/>
      <c r="H69" s="740"/>
      <c r="I69" s="739"/>
      <c r="J69" s="741">
        <f>G69+H69-I69</f>
        <v>0</v>
      </c>
      <c r="K69" s="610"/>
      <c r="L69" s="610"/>
      <c r="M69" s="610"/>
      <c r="N69" s="610"/>
      <c r="O69" s="610"/>
      <c r="P69" s="610"/>
      <c r="Q69" s="610"/>
      <c r="R69" s="744">
        <f>G69+L69+M69</f>
        <v>0</v>
      </c>
      <c r="S69" s="744">
        <f t="shared" si="81"/>
        <v>0</v>
      </c>
      <c r="T69" s="744">
        <f t="shared" si="81"/>
        <v>0</v>
      </c>
      <c r="U69" s="744">
        <f t="shared" ref="U69:U76" si="82">R69+S69-T69</f>
        <v>0</v>
      </c>
    </row>
    <row r="70" spans="1:21" ht="19.95" customHeight="1">
      <c r="A70" s="710">
        <v>5</v>
      </c>
      <c r="B70" s="290" t="str">
        <f>B37</f>
        <v>……</v>
      </c>
      <c r="C70" s="357"/>
      <c r="D70" s="716"/>
      <c r="E70" s="716"/>
      <c r="F70" s="713"/>
      <c r="G70" s="739"/>
      <c r="H70" s="740"/>
      <c r="I70" s="739"/>
      <c r="J70" s="741">
        <f>G70+H70-I70</f>
        <v>0</v>
      </c>
      <c r="K70" s="610"/>
      <c r="L70" s="610"/>
      <c r="M70" s="610"/>
      <c r="N70" s="610"/>
      <c r="O70" s="610"/>
      <c r="P70" s="610"/>
      <c r="Q70" s="610"/>
      <c r="R70" s="744">
        <f>G70+L70+M70</f>
        <v>0</v>
      </c>
      <c r="S70" s="744">
        <f t="shared" si="81"/>
        <v>0</v>
      </c>
      <c r="T70" s="744">
        <f t="shared" si="81"/>
        <v>0</v>
      </c>
      <c r="U70" s="744">
        <f t="shared" si="82"/>
        <v>0</v>
      </c>
    </row>
    <row r="71" spans="1:21" ht="19.95" customHeight="1">
      <c r="A71" s="946" t="s">
        <v>795</v>
      </c>
      <c r="B71" s="946"/>
      <c r="C71" s="390" t="s">
        <v>770</v>
      </c>
      <c r="D71" s="390" t="s">
        <v>770</v>
      </c>
      <c r="E71" s="390" t="s">
        <v>770</v>
      </c>
      <c r="F71" s="390" t="s">
        <v>770</v>
      </c>
      <c r="G71" s="742">
        <f>SUM(G66:G70)</f>
        <v>0</v>
      </c>
      <c r="H71" s="742">
        <f>SUM(H66:H70)</f>
        <v>0</v>
      </c>
      <c r="I71" s="742">
        <f>SUM(I66:I70)</f>
        <v>0</v>
      </c>
      <c r="J71" s="741">
        <f>SUM(J66:J70)</f>
        <v>0</v>
      </c>
      <c r="K71" s="743" t="s">
        <v>770</v>
      </c>
      <c r="L71" s="744">
        <f>SUM(L66:L70)</f>
        <v>0</v>
      </c>
      <c r="M71" s="744">
        <f>SUM(M66:M70)</f>
        <v>0</v>
      </c>
      <c r="N71" s="744">
        <f t="shared" ref="N71:R71" si="83">SUM(N66:N70)</f>
        <v>0</v>
      </c>
      <c r="O71" s="744">
        <f t="shared" si="83"/>
        <v>0</v>
      </c>
      <c r="P71" s="744">
        <f t="shared" si="83"/>
        <v>0</v>
      </c>
      <c r="Q71" s="744">
        <f t="shared" si="83"/>
        <v>0</v>
      </c>
      <c r="R71" s="744">
        <f t="shared" si="83"/>
        <v>0</v>
      </c>
      <c r="S71" s="744">
        <f t="shared" ref="S71" si="84">SUM(S66:S70)</f>
        <v>0</v>
      </c>
      <c r="T71" s="744">
        <f t="shared" ref="T71:U71" si="85">SUM(T66:T70)</f>
        <v>0</v>
      </c>
      <c r="U71" s="744">
        <f t="shared" si="85"/>
        <v>0</v>
      </c>
    </row>
    <row r="72" spans="1:21" ht="19.95" customHeight="1">
      <c r="A72" s="734" t="s">
        <v>796</v>
      </c>
      <c r="B72" s="745"/>
      <c r="C72" s="357"/>
      <c r="D72" s="716"/>
      <c r="E72" s="716"/>
      <c r="F72" s="713"/>
      <c r="G72" s="739"/>
      <c r="H72" s="740"/>
      <c r="I72" s="739"/>
      <c r="J72" s="752" t="s">
        <v>770</v>
      </c>
      <c r="K72" s="610"/>
      <c r="L72" s="610"/>
      <c r="M72" s="610"/>
      <c r="N72" s="610"/>
      <c r="O72" s="610"/>
      <c r="P72" s="610"/>
      <c r="Q72" s="610"/>
      <c r="R72" s="753"/>
      <c r="S72" s="753"/>
      <c r="T72" s="753"/>
      <c r="U72" s="753"/>
    </row>
    <row r="73" spans="1:21" ht="19.95" customHeight="1">
      <c r="A73" s="710">
        <v>1</v>
      </c>
      <c r="B73" s="290">
        <f>B40</f>
        <v>0</v>
      </c>
      <c r="C73" s="357"/>
      <c r="D73" s="716"/>
      <c r="E73" s="716"/>
      <c r="F73" s="713"/>
      <c r="G73" s="739"/>
      <c r="H73" s="740"/>
      <c r="I73" s="739"/>
      <c r="J73" s="741">
        <f>G73+H73-I73</f>
        <v>0</v>
      </c>
      <c r="K73" s="610"/>
      <c r="L73" s="610"/>
      <c r="M73" s="610"/>
      <c r="N73" s="610"/>
      <c r="O73" s="610"/>
      <c r="P73" s="610"/>
      <c r="Q73" s="610"/>
      <c r="R73" s="744">
        <f>G73+L73+M73</f>
        <v>0</v>
      </c>
      <c r="S73" s="744">
        <f t="shared" ref="S73:T77" si="86">H73+N73+P73</f>
        <v>0</v>
      </c>
      <c r="T73" s="744">
        <f t="shared" si="86"/>
        <v>0</v>
      </c>
      <c r="U73" s="744">
        <f t="shared" si="82"/>
        <v>0</v>
      </c>
    </row>
    <row r="74" spans="1:21" ht="19.95" customHeight="1">
      <c r="A74" s="710">
        <v>2</v>
      </c>
      <c r="B74" s="290">
        <f>B41</f>
        <v>0</v>
      </c>
      <c r="C74" s="357"/>
      <c r="D74" s="716"/>
      <c r="E74" s="716"/>
      <c r="F74" s="713"/>
      <c r="G74" s="739"/>
      <c r="H74" s="740"/>
      <c r="I74" s="739"/>
      <c r="J74" s="741">
        <f>G74+H74-I74</f>
        <v>0</v>
      </c>
      <c r="K74" s="610"/>
      <c r="L74" s="610"/>
      <c r="M74" s="610"/>
      <c r="N74" s="610"/>
      <c r="O74" s="610"/>
      <c r="P74" s="610"/>
      <c r="Q74" s="610"/>
      <c r="R74" s="744">
        <f>G74+L74+M74</f>
        <v>0</v>
      </c>
      <c r="S74" s="744">
        <f t="shared" si="86"/>
        <v>0</v>
      </c>
      <c r="T74" s="744">
        <f t="shared" si="86"/>
        <v>0</v>
      </c>
      <c r="U74" s="744">
        <f t="shared" si="82"/>
        <v>0</v>
      </c>
    </row>
    <row r="75" spans="1:21" ht="19.95" customHeight="1">
      <c r="A75" s="710">
        <v>3</v>
      </c>
      <c r="B75" s="290">
        <f>B42</f>
        <v>0</v>
      </c>
      <c r="C75" s="357"/>
      <c r="D75" s="716"/>
      <c r="E75" s="716"/>
      <c r="F75" s="713"/>
      <c r="G75" s="739"/>
      <c r="H75" s="740"/>
      <c r="I75" s="739"/>
      <c r="J75" s="741">
        <f>G75+H75-I75</f>
        <v>0</v>
      </c>
      <c r="K75" s="610"/>
      <c r="L75" s="610"/>
      <c r="M75" s="610"/>
      <c r="N75" s="610"/>
      <c r="O75" s="610"/>
      <c r="P75" s="610"/>
      <c r="Q75" s="610"/>
      <c r="R75" s="744">
        <f>G75+L75+M75</f>
        <v>0</v>
      </c>
      <c r="S75" s="744">
        <f t="shared" si="86"/>
        <v>0</v>
      </c>
      <c r="T75" s="744">
        <f t="shared" si="86"/>
        <v>0</v>
      </c>
      <c r="U75" s="744">
        <f t="shared" si="82"/>
        <v>0</v>
      </c>
    </row>
    <row r="76" spans="1:21" ht="19.95" customHeight="1">
      <c r="A76" s="710">
        <v>4</v>
      </c>
      <c r="B76" s="290">
        <f>B43</f>
        <v>0</v>
      </c>
      <c r="C76" s="357"/>
      <c r="D76" s="716"/>
      <c r="E76" s="716"/>
      <c r="F76" s="713"/>
      <c r="G76" s="739"/>
      <c r="H76" s="740"/>
      <c r="I76" s="739"/>
      <c r="J76" s="741">
        <f>G76+H76-I76</f>
        <v>0</v>
      </c>
      <c r="K76" s="610"/>
      <c r="L76" s="610"/>
      <c r="M76" s="610"/>
      <c r="N76" s="610"/>
      <c r="O76" s="610"/>
      <c r="P76" s="610"/>
      <c r="Q76" s="610"/>
      <c r="R76" s="744">
        <f>G76+L76+M76</f>
        <v>0</v>
      </c>
      <c r="S76" s="744">
        <f t="shared" si="86"/>
        <v>0</v>
      </c>
      <c r="T76" s="744">
        <f t="shared" si="86"/>
        <v>0</v>
      </c>
      <c r="U76" s="744">
        <f t="shared" si="82"/>
        <v>0</v>
      </c>
    </row>
    <row r="77" spans="1:21" ht="19.95" customHeight="1">
      <c r="A77" s="710">
        <v>5</v>
      </c>
      <c r="B77" s="290" t="str">
        <f>B44</f>
        <v>……</v>
      </c>
      <c r="C77" s="357"/>
      <c r="D77" s="716"/>
      <c r="E77" s="716"/>
      <c r="F77" s="713"/>
      <c r="G77" s="739"/>
      <c r="H77" s="740"/>
      <c r="I77" s="739"/>
      <c r="J77" s="741">
        <f>G77+H77-I77</f>
        <v>0</v>
      </c>
      <c r="K77" s="610"/>
      <c r="L77" s="610"/>
      <c r="M77" s="610"/>
      <c r="N77" s="610"/>
      <c r="O77" s="610"/>
      <c r="P77" s="610"/>
      <c r="Q77" s="610"/>
      <c r="R77" s="744">
        <f>G77+L77+M77</f>
        <v>0</v>
      </c>
      <c r="S77" s="744">
        <f t="shared" si="86"/>
        <v>0</v>
      </c>
      <c r="T77" s="744">
        <f t="shared" si="86"/>
        <v>0</v>
      </c>
      <c r="U77" s="744">
        <f>R77+S77-T77</f>
        <v>0</v>
      </c>
    </row>
    <row r="78" spans="1:21" ht="19.95" customHeight="1">
      <c r="A78" s="944" t="s">
        <v>797</v>
      </c>
      <c r="B78" s="944"/>
      <c r="C78" s="754" t="s">
        <v>770</v>
      </c>
      <c r="D78" s="754" t="s">
        <v>770</v>
      </c>
      <c r="E78" s="754" t="s">
        <v>770</v>
      </c>
      <c r="F78" s="754" t="s">
        <v>770</v>
      </c>
      <c r="G78" s="742">
        <f>SUM(G73:G77)</f>
        <v>0</v>
      </c>
      <c r="H78" s="742">
        <f>SUM(H73:H77)</f>
        <v>0</v>
      </c>
      <c r="I78" s="742">
        <f>SUM(I73:I77)</f>
        <v>0</v>
      </c>
      <c r="J78" s="741">
        <f>SUM(J73:J77)</f>
        <v>0</v>
      </c>
      <c r="K78" s="755" t="s">
        <v>770</v>
      </c>
      <c r="L78" s="744">
        <f>SUM(L73:L77)</f>
        <v>0</v>
      </c>
      <c r="M78" s="744">
        <f>SUM(M73:M77)</f>
        <v>0</v>
      </c>
      <c r="N78" s="744">
        <f t="shared" ref="N78" si="87">SUM(N73:N77)</f>
        <v>0</v>
      </c>
      <c r="O78" s="744">
        <f t="shared" ref="O78" si="88">SUM(O73:O77)</f>
        <v>0</v>
      </c>
      <c r="P78" s="744">
        <f t="shared" ref="P78" si="89">SUM(P73:P77)</f>
        <v>0</v>
      </c>
      <c r="Q78" s="744">
        <f t="shared" ref="Q78" si="90">SUM(Q73:Q77)</f>
        <v>0</v>
      </c>
      <c r="R78" s="744">
        <f t="shared" ref="R78" si="91">SUM(R73:R77)</f>
        <v>0</v>
      </c>
      <c r="S78" s="744">
        <f t="shared" ref="S78" si="92">SUM(S73:S77)</f>
        <v>0</v>
      </c>
      <c r="T78" s="744">
        <f t="shared" ref="T78" si="93">SUM(T73:T77)</f>
        <v>0</v>
      </c>
      <c r="U78" s="744">
        <f t="shared" ref="U78" si="94">SUM(U73:U77)</f>
        <v>0</v>
      </c>
    </row>
    <row r="79" spans="1:21" ht="27" customHeight="1">
      <c r="A79" s="944" t="s">
        <v>798</v>
      </c>
      <c r="B79" s="944"/>
      <c r="C79" s="754" t="s">
        <v>770</v>
      </c>
      <c r="D79" s="754" t="s">
        <v>770</v>
      </c>
      <c r="E79" s="754" t="s">
        <v>770</v>
      </c>
      <c r="F79" s="754" t="s">
        <v>770</v>
      </c>
      <c r="G79" s="742">
        <f>G71+G78</f>
        <v>0</v>
      </c>
      <c r="H79" s="742">
        <f>H71+H78</f>
        <v>0</v>
      </c>
      <c r="I79" s="742">
        <f>I71+I78</f>
        <v>0</v>
      </c>
      <c r="J79" s="741">
        <f>J71+J78</f>
        <v>0</v>
      </c>
      <c r="K79" s="755" t="s">
        <v>770</v>
      </c>
      <c r="L79" s="742">
        <f>L71+L78</f>
        <v>0</v>
      </c>
      <c r="M79" s="742">
        <f>M71+M78</f>
        <v>0</v>
      </c>
      <c r="N79" s="742">
        <f t="shared" ref="N79:Q79" si="95">N71+N78</f>
        <v>0</v>
      </c>
      <c r="O79" s="742">
        <f t="shared" si="95"/>
        <v>0</v>
      </c>
      <c r="P79" s="742">
        <f t="shared" si="95"/>
        <v>0</v>
      </c>
      <c r="Q79" s="742">
        <f t="shared" si="95"/>
        <v>0</v>
      </c>
      <c r="R79" s="744">
        <f>G79+L79+M79</f>
        <v>0</v>
      </c>
      <c r="S79" s="744">
        <f>H79+N79+P79</f>
        <v>0</v>
      </c>
      <c r="T79" s="744">
        <f>I79+O79+Q79</f>
        <v>0</v>
      </c>
      <c r="U79" s="744">
        <f t="shared" ref="U79:U80" si="96">R79+S79-T79</f>
        <v>0</v>
      </c>
    </row>
    <row r="80" spans="1:21" ht="19.95" customHeight="1">
      <c r="A80" s="358" t="s">
        <v>799</v>
      </c>
      <c r="B80" s="358"/>
      <c r="C80" s="754" t="s">
        <v>770</v>
      </c>
      <c r="D80" s="754" t="s">
        <v>770</v>
      </c>
      <c r="E80" s="754" t="s">
        <v>770</v>
      </c>
      <c r="F80" s="754" t="s">
        <v>770</v>
      </c>
      <c r="G80" s="756">
        <f>G63+G79</f>
        <v>0</v>
      </c>
      <c r="H80" s="757">
        <f>H63+H79</f>
        <v>0</v>
      </c>
      <c r="I80" s="757">
        <f>I63+I79</f>
        <v>0</v>
      </c>
      <c r="J80" s="756">
        <f>SUM(J53:J79)</f>
        <v>0</v>
      </c>
      <c r="K80" s="758" t="s">
        <v>770</v>
      </c>
      <c r="L80" s="759">
        <f>L63+L79</f>
        <v>0</v>
      </c>
      <c r="M80" s="759">
        <f>M63+M79</f>
        <v>0</v>
      </c>
      <c r="N80" s="759">
        <f t="shared" ref="N80:Q80" si="97">N63+N79</f>
        <v>0</v>
      </c>
      <c r="O80" s="759">
        <f t="shared" si="97"/>
        <v>0</v>
      </c>
      <c r="P80" s="759">
        <f t="shared" si="97"/>
        <v>0</v>
      </c>
      <c r="Q80" s="759">
        <f t="shared" si="97"/>
        <v>0</v>
      </c>
      <c r="R80" s="759">
        <f>G80+L80+M80</f>
        <v>0</v>
      </c>
      <c r="S80" s="759">
        <f>H80+N80+P80</f>
        <v>0</v>
      </c>
      <c r="T80" s="759">
        <f>I80+O80+Q80</f>
        <v>0</v>
      </c>
      <c r="U80" s="759">
        <f t="shared" si="96"/>
        <v>0</v>
      </c>
    </row>
    <row r="81" spans="1:21" ht="19.95" customHeight="1">
      <c r="A81" s="944" t="s">
        <v>800</v>
      </c>
      <c r="B81" s="944"/>
      <c r="C81" s="754" t="s">
        <v>770</v>
      </c>
      <c r="D81" s="754" t="s">
        <v>770</v>
      </c>
      <c r="E81" s="754" t="s">
        <v>770</v>
      </c>
      <c r="F81" s="754" t="s">
        <v>770</v>
      </c>
      <c r="G81" s="391">
        <f>H47-G80</f>
        <v>0</v>
      </c>
      <c r="H81" s="731" t="s">
        <v>770</v>
      </c>
      <c r="I81" s="731" t="s">
        <v>770</v>
      </c>
      <c r="J81" s="391">
        <f>U47-J80</f>
        <v>0</v>
      </c>
      <c r="K81" s="730" t="s">
        <v>770</v>
      </c>
      <c r="L81" s="731" t="s">
        <v>108</v>
      </c>
      <c r="M81" s="720" t="s">
        <v>770</v>
      </c>
      <c r="N81" s="720" t="s">
        <v>770</v>
      </c>
      <c r="O81" s="720" t="s">
        <v>770</v>
      </c>
      <c r="P81" s="720" t="s">
        <v>770</v>
      </c>
      <c r="Q81" s="731" t="s">
        <v>770</v>
      </c>
      <c r="R81" s="391">
        <f>AO47-R80</f>
        <v>0</v>
      </c>
      <c r="S81" s="720" t="s">
        <v>770</v>
      </c>
      <c r="T81" s="731" t="s">
        <v>770</v>
      </c>
      <c r="U81" s="391">
        <f>BB47-U80</f>
        <v>0</v>
      </c>
    </row>
    <row r="82" spans="1:21" ht="19.95" customHeight="1">
      <c r="A82" s="23" t="s">
        <v>801</v>
      </c>
    </row>
    <row r="83" spans="1:21" ht="19.95" customHeight="1">
      <c r="A83" s="39" t="s">
        <v>802</v>
      </c>
      <c r="B83" s="28" t="s">
        <v>803</v>
      </c>
    </row>
    <row r="84" spans="1:21" ht="19.95" customHeight="1"/>
    <row r="85" spans="1:21" ht="19.95" customHeight="1"/>
    <row r="86" spans="1:21" ht="19.95" customHeight="1">
      <c r="A86" s="23" t="s">
        <v>804</v>
      </c>
    </row>
    <row r="87" spans="1:21" ht="19.95" customHeight="1"/>
    <row r="88" spans="1:21" ht="19.95" customHeight="1"/>
    <row r="89" spans="1:21" ht="18" customHeight="1"/>
    <row r="90" spans="1:21" ht="18" customHeight="1"/>
    <row r="91" spans="1:21" ht="18" customHeight="1">
      <c r="A91" s="172" t="s">
        <v>805</v>
      </c>
      <c r="B91" s="18"/>
    </row>
    <row r="92" spans="1:21" ht="18" customHeight="1">
      <c r="A92" s="18"/>
      <c r="B92" s="18" t="s">
        <v>806</v>
      </c>
    </row>
    <row r="93" spans="1:21" ht="18" customHeight="1">
      <c r="A93" s="18"/>
      <c r="B93" s="18" t="s">
        <v>807</v>
      </c>
    </row>
    <row r="94" spans="1:21" ht="18" customHeight="1">
      <c r="A94" s="18"/>
      <c r="B94" s="18" t="s">
        <v>808</v>
      </c>
    </row>
    <row r="95" spans="1:21" ht="18" customHeight="1">
      <c r="A95" s="18"/>
      <c r="B95" s="849" t="s">
        <v>1461</v>
      </c>
    </row>
    <row r="96" spans="1:21" ht="18" customHeight="1">
      <c r="A96" s="18"/>
      <c r="B96" s="850" t="s">
        <v>1458</v>
      </c>
    </row>
    <row r="97" spans="2:17" ht="18" customHeight="1">
      <c r="B97" s="657" t="s">
        <v>1459</v>
      </c>
    </row>
    <row r="98" spans="2:17" s="19" customFormat="1" ht="18" customHeight="1">
      <c r="B98" s="658" t="s">
        <v>1460</v>
      </c>
      <c r="C98" s="2"/>
      <c r="D98" s="2"/>
      <c r="E98" s="2"/>
      <c r="F98" s="2"/>
      <c r="G98" s="2"/>
      <c r="P98" s="2"/>
      <c r="Q98" s="2"/>
    </row>
    <row r="99" spans="2:17" s="19" customFormat="1" ht="18" customHeight="1">
      <c r="B99" s="18"/>
      <c r="D99" s="2"/>
      <c r="E99" s="2"/>
      <c r="F99" s="2"/>
      <c r="G99" s="2"/>
      <c r="P99" s="2"/>
      <c r="Q99" s="2"/>
    </row>
    <row r="100" spans="2:17" s="19" customFormat="1" ht="18" customHeight="1">
      <c r="B100" s="20"/>
      <c r="D100" s="2"/>
      <c r="E100" s="2"/>
      <c r="F100" s="2"/>
      <c r="G100" s="2"/>
      <c r="P100" s="2"/>
      <c r="Q100" s="2"/>
    </row>
    <row r="101" spans="2:17" s="19" customFormat="1" ht="18" customHeight="1">
      <c r="B101" s="21"/>
      <c r="C101" s="18"/>
      <c r="D101" s="2"/>
      <c r="E101" s="2"/>
      <c r="F101" s="2"/>
      <c r="G101" s="2"/>
      <c r="P101" s="2"/>
      <c r="Q101" s="2"/>
    </row>
    <row r="102" spans="2:17" s="19" customFormat="1" ht="18" customHeight="1">
      <c r="B102" s="21"/>
      <c r="C102" s="18"/>
    </row>
    <row r="103" spans="2:17" s="19" customFormat="1" ht="18" customHeight="1">
      <c r="B103" s="21"/>
      <c r="C103" s="18"/>
    </row>
  </sheetData>
  <mergeCells count="128">
    <mergeCell ref="V1:AM1"/>
    <mergeCell ref="V2:AM2"/>
    <mergeCell ref="AN1:BB1"/>
    <mergeCell ref="AN2:BB2"/>
    <mergeCell ref="AN28:BB28"/>
    <mergeCell ref="AV30:AV31"/>
    <mergeCell ref="AZ30:AZ31"/>
    <mergeCell ref="AP29:AV29"/>
    <mergeCell ref="AW29:AZ29"/>
    <mergeCell ref="BA29:BB29"/>
    <mergeCell ref="AO30:AO31"/>
    <mergeCell ref="AF30:AF31"/>
    <mergeCell ref="AX30:AX31"/>
    <mergeCell ref="AY30:AY31"/>
    <mergeCell ref="BA30:BA31"/>
    <mergeCell ref="BB30:BB31"/>
    <mergeCell ref="AP30:AP31"/>
    <mergeCell ref="AQ30:AQ31"/>
    <mergeCell ref="AR30:AU30"/>
    <mergeCell ref="AW30:AW31"/>
    <mergeCell ref="AL30:AL31"/>
    <mergeCell ref="AN30:AN31"/>
    <mergeCell ref="AF14:AG14"/>
    <mergeCell ref="AH14:AI14"/>
    <mergeCell ref="AM30:AM31"/>
    <mergeCell ref="AK29:AM29"/>
    <mergeCell ref="D28:D31"/>
    <mergeCell ref="E28:E31"/>
    <mergeCell ref="F28:F31"/>
    <mergeCell ref="P29:S29"/>
    <mergeCell ref="G28:S28"/>
    <mergeCell ref="I29:O29"/>
    <mergeCell ref="O30:O31"/>
    <mergeCell ref="S30:S31"/>
    <mergeCell ref="AK30:AK31"/>
    <mergeCell ref="X30:X31"/>
    <mergeCell ref="Y30:AA30"/>
    <mergeCell ref="AC30:AC31"/>
    <mergeCell ref="AD30:AD31"/>
    <mergeCell ref="V29:V31"/>
    <mergeCell ref="W29:W31"/>
    <mergeCell ref="AE30:AE31"/>
    <mergeCell ref="AG30:AI30"/>
    <mergeCell ref="AF29:AJ29"/>
    <mergeCell ref="AJ30:AJ31"/>
    <mergeCell ref="AC29:AE29"/>
    <mergeCell ref="A81:B81"/>
    <mergeCell ref="A47:B47"/>
    <mergeCell ref="G30:G31"/>
    <mergeCell ref="H30:H31"/>
    <mergeCell ref="I30:I31"/>
    <mergeCell ref="J30:J31"/>
    <mergeCell ref="K30:N30"/>
    <mergeCell ref="P30:P31"/>
    <mergeCell ref="A28:A31"/>
    <mergeCell ref="B28:B31"/>
    <mergeCell ref="C49:C51"/>
    <mergeCell ref="D49:D51"/>
    <mergeCell ref="E49:E51"/>
    <mergeCell ref="O50:O51"/>
    <mergeCell ref="P50:P51"/>
    <mergeCell ref="G29:H29"/>
    <mergeCell ref="A71:B71"/>
    <mergeCell ref="C28:C31"/>
    <mergeCell ref="G49:K49"/>
    <mergeCell ref="H50:H51"/>
    <mergeCell ref="I50:I51"/>
    <mergeCell ref="K50:K51"/>
    <mergeCell ref="A79:B79"/>
    <mergeCell ref="F49:F51"/>
    <mergeCell ref="V13:W13"/>
    <mergeCell ref="T30:T31"/>
    <mergeCell ref="U30:U31"/>
    <mergeCell ref="T14:U14"/>
    <mergeCell ref="N14:P14"/>
    <mergeCell ref="L14:M14"/>
    <mergeCell ref="Q30:Q31"/>
    <mergeCell ref="R30:R31"/>
    <mergeCell ref="X29:AB29"/>
    <mergeCell ref="AB30:AB31"/>
    <mergeCell ref="A13:A15"/>
    <mergeCell ref="G50:G51"/>
    <mergeCell ref="Z14:Z15"/>
    <mergeCell ref="AD14:AE14"/>
    <mergeCell ref="AB14:AC14"/>
    <mergeCell ref="AA14:AA15"/>
    <mergeCell ref="X14:X15"/>
    <mergeCell ref="Y14:Y15"/>
    <mergeCell ref="X28:AE28"/>
    <mergeCell ref="F13:G15"/>
    <mergeCell ref="AB13:AI13"/>
    <mergeCell ref="V14:V15"/>
    <mergeCell ref="W14:W15"/>
    <mergeCell ref="AF28:AM28"/>
    <mergeCell ref="X13:Y13"/>
    <mergeCell ref="Z13:AA13"/>
    <mergeCell ref="J50:J51"/>
    <mergeCell ref="L50:L51"/>
    <mergeCell ref="V28:W28"/>
    <mergeCell ref="M50:M51"/>
    <mergeCell ref="N50:N51"/>
    <mergeCell ref="J13:J15"/>
    <mergeCell ref="K13:K15"/>
    <mergeCell ref="L13:U13"/>
    <mergeCell ref="A11:K11"/>
    <mergeCell ref="L11:U11"/>
    <mergeCell ref="AN11:BB11"/>
    <mergeCell ref="A1:S1"/>
    <mergeCell ref="A2:S2"/>
    <mergeCell ref="A78:B78"/>
    <mergeCell ref="R49:U49"/>
    <mergeCell ref="L49:M49"/>
    <mergeCell ref="N49:O49"/>
    <mergeCell ref="P49:Q49"/>
    <mergeCell ref="A63:B63"/>
    <mergeCell ref="R50:R51"/>
    <mergeCell ref="S50:S51"/>
    <mergeCell ref="T50:T51"/>
    <mergeCell ref="U50:U51"/>
    <mergeCell ref="A49:A51"/>
    <mergeCell ref="B49:B51"/>
    <mergeCell ref="B13:E15"/>
    <mergeCell ref="A38:B38"/>
    <mergeCell ref="A45:B45"/>
    <mergeCell ref="H13:H15"/>
    <mergeCell ref="I13:I15"/>
    <mergeCell ref="Q14:S14"/>
    <mergeCell ref="Q50:Q51"/>
  </mergeCells>
  <phoneticPr fontId="11" type="noConversion"/>
  <dataValidations xWindow="924" yWindow="302" count="4">
    <dataValidation allowBlank="1" showInputMessage="1" showErrorMessage="1" prompt="减值准备增加金额请输在J列。" sqref="H53:H62 H64:H70 H72:H77"/>
    <dataValidation allowBlank="1" showInputMessage="1" showErrorMessage="1" prompt="请将减少金额填列在P列" sqref="AG16:AG25"/>
    <dataValidation allowBlank="1" showInputMessage="1" showErrorMessage="1" prompt="请将初始投资成本填在E列" sqref="F16:F25"/>
    <dataValidation allowBlank="1" showInputMessage="1" showErrorMessage="1" prompt="请先输入“本期新纳入合并范围的子公司”" sqref="B16:D25"/>
  </dataValidations>
  <hyperlinks>
    <hyperlink ref="J3" location="底稿目录!F8" display="底稿目录!F8"/>
    <hyperlink ref="U3" location="底稿目录!F8" display="底稿目录!F8"/>
    <hyperlink ref="AM3" location="底稿目录!F8" display="底稿目录!F8"/>
    <hyperlink ref="BB3" location="底稿目录!F8" display="底稿目录!F8"/>
  </hyperlinks>
  <pageMargins left="0.70866141732283472" right="0.70866141732283472" top="0.74803149606299213" bottom="0.74803149606299213" header="0.31496062992125984" footer="0.31496062992125984"/>
  <pageSetup paperSize="9" scale="60" fitToWidth="4" fitToHeight="0" orientation="landscape" blackAndWhite="1" r:id="rId1"/>
  <headerFooter>
    <oddFooter>&amp;C&amp;P/&amp;N</oddFooter>
  </headerFooter>
  <rowBreaks count="2" manualBreakCount="2">
    <brk id="26" max="53" man="1"/>
    <brk id="47" max="53" man="1"/>
  </rowBreaks>
  <colBreaks count="3" manualBreakCount="3">
    <brk id="11" max="83" man="1"/>
    <brk id="21" max="83" man="1"/>
    <brk id="39" max="8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J23"/>
  <sheetViews>
    <sheetView view="pageBreakPreview" zoomScaleNormal="100" zoomScaleSheetLayoutView="100" workbookViewId="0">
      <selection sqref="A1:J1"/>
    </sheetView>
  </sheetViews>
  <sheetFormatPr defaultColWidth="8.69921875" defaultRowHeight="15.6"/>
  <cols>
    <col min="1" max="1" width="20.69921875" style="331" customWidth="1"/>
    <col min="2" max="2" width="14.09765625" style="331" customWidth="1"/>
    <col min="3" max="3" width="13.19921875" style="331" customWidth="1"/>
    <col min="4" max="4" width="13.8984375" style="331" customWidth="1"/>
    <col min="5" max="5" width="12.296875" style="331" customWidth="1"/>
    <col min="6" max="6" width="8.69921875" style="331"/>
    <col min="7" max="7" width="10.09765625" style="331" customWidth="1"/>
    <col min="8" max="8" width="11.09765625" style="331" customWidth="1"/>
    <col min="9" max="9" width="10.69921875" style="331" customWidth="1"/>
    <col min="10" max="10" width="12" style="331" customWidth="1"/>
    <col min="11" max="16384" width="8.69921875" style="331"/>
  </cols>
  <sheetData>
    <row r="1" spans="1:10" s="618" customFormat="1" ht="19.95" customHeight="1">
      <c r="A1" s="949" t="s">
        <v>0</v>
      </c>
      <c r="B1" s="949"/>
      <c r="C1" s="949"/>
      <c r="D1" s="949"/>
      <c r="E1" s="949"/>
      <c r="F1" s="949"/>
      <c r="G1" s="949"/>
      <c r="H1" s="949"/>
      <c r="I1" s="949"/>
      <c r="J1" s="949"/>
    </row>
    <row r="2" spans="1:10" s="637" customFormat="1" ht="19.95" customHeight="1">
      <c r="A2" s="871" t="s">
        <v>844</v>
      </c>
      <c r="B2" s="871"/>
      <c r="C2" s="871"/>
      <c r="D2" s="871"/>
      <c r="E2" s="871"/>
      <c r="F2" s="871"/>
      <c r="G2" s="871"/>
      <c r="H2" s="871"/>
      <c r="I2" s="871"/>
      <c r="J2" s="871"/>
    </row>
    <row r="3" spans="1:10" s="684" customFormat="1" ht="19.95" customHeight="1">
      <c r="A3" s="677" t="str">
        <f>底稿目录!A2</f>
        <v>被审计单位：</v>
      </c>
      <c r="B3" s="677"/>
      <c r="C3" s="677"/>
      <c r="D3" s="677" t="str">
        <f>底稿目录!A4</f>
        <v>编制人：</v>
      </c>
      <c r="E3" s="677"/>
      <c r="F3" s="677"/>
      <c r="G3" s="677" t="str">
        <f>底稿目录!A5</f>
        <v>编制日期：</v>
      </c>
      <c r="H3" s="677"/>
      <c r="I3" s="848" t="s">
        <v>1309</v>
      </c>
      <c r="J3" s="763" t="str">
        <f>底稿目录!F9</f>
        <v>G7-3</v>
      </c>
    </row>
    <row r="4" spans="1:10" s="684" customFormat="1" ht="19.95" customHeight="1">
      <c r="A4" s="677" t="str">
        <f>底稿目录!A3</f>
        <v>截止日：202X年12月31日</v>
      </c>
      <c r="B4" s="677"/>
      <c r="C4" s="677"/>
      <c r="D4" s="677" t="str">
        <f>底稿目录!A6</f>
        <v>复核人：</v>
      </c>
      <c r="E4" s="677"/>
      <c r="F4" s="677"/>
      <c r="G4" s="677" t="str">
        <f>底稿目录!A7</f>
        <v>复核日期：</v>
      </c>
      <c r="H4" s="677"/>
      <c r="I4" s="848" t="s">
        <v>1457</v>
      </c>
    </row>
    <row r="5" spans="1:10" ht="36">
      <c r="A5" s="332" t="s">
        <v>832</v>
      </c>
      <c r="B5" s="333" t="s">
        <v>833</v>
      </c>
      <c r="C5" s="333" t="s">
        <v>1025</v>
      </c>
      <c r="D5" s="334" t="s">
        <v>834</v>
      </c>
      <c r="E5" s="334" t="s">
        <v>835</v>
      </c>
      <c r="F5" s="335" t="s">
        <v>836</v>
      </c>
      <c r="G5" s="334" t="s">
        <v>837</v>
      </c>
      <c r="H5" s="334" t="s">
        <v>838</v>
      </c>
      <c r="I5" s="334" t="s">
        <v>839</v>
      </c>
      <c r="J5" s="334" t="s">
        <v>840</v>
      </c>
    </row>
    <row r="6" spans="1:10" ht="19.95" customHeight="1">
      <c r="A6" s="336"/>
      <c r="B6" s="336"/>
      <c r="C6" s="336"/>
      <c r="D6" s="336"/>
      <c r="E6" s="336"/>
      <c r="F6" s="336"/>
      <c r="G6" s="336"/>
      <c r="H6" s="336"/>
      <c r="I6" s="336"/>
      <c r="J6" s="336"/>
    </row>
    <row r="7" spans="1:10" ht="19.95" customHeight="1">
      <c r="A7" s="337"/>
      <c r="B7" s="336"/>
      <c r="C7" s="336"/>
      <c r="D7" s="336"/>
      <c r="E7" s="336"/>
      <c r="F7" s="336"/>
      <c r="G7" s="336"/>
      <c r="H7" s="336"/>
      <c r="I7" s="336"/>
      <c r="J7" s="336"/>
    </row>
    <row r="8" spans="1:10" ht="19.95" customHeight="1">
      <c r="A8" s="338"/>
      <c r="B8" s="336"/>
      <c r="C8" s="336"/>
      <c r="D8" s="336"/>
      <c r="E8" s="336"/>
      <c r="F8" s="336"/>
      <c r="G8" s="336"/>
      <c r="H8" s="336"/>
      <c r="I8" s="336"/>
      <c r="J8" s="336"/>
    </row>
    <row r="9" spans="1:10" ht="19.95" customHeight="1">
      <c r="A9" s="338"/>
      <c r="B9" s="336"/>
      <c r="C9" s="336"/>
      <c r="D9" s="336"/>
      <c r="E9" s="336"/>
      <c r="F9" s="336"/>
      <c r="G9" s="336"/>
      <c r="H9" s="336"/>
      <c r="I9" s="336"/>
      <c r="J9" s="336"/>
    </row>
    <row r="10" spans="1:10" ht="19.95" customHeight="1">
      <c r="A10" s="338"/>
      <c r="B10" s="336"/>
      <c r="C10" s="336"/>
      <c r="D10" s="336"/>
      <c r="E10" s="336"/>
      <c r="F10" s="336"/>
      <c r="G10" s="336"/>
      <c r="H10" s="336"/>
      <c r="I10" s="336"/>
      <c r="J10" s="336"/>
    </row>
    <row r="11" spans="1:10" ht="19.95" customHeight="1">
      <c r="A11" s="339"/>
      <c r="B11" s="336"/>
      <c r="C11" s="336"/>
      <c r="D11" s="336"/>
      <c r="E11" s="336"/>
      <c r="F11" s="336"/>
      <c r="G11" s="336"/>
      <c r="H11" s="336"/>
      <c r="I11" s="336"/>
      <c r="J11" s="336"/>
    </row>
    <row r="12" spans="1:10" ht="19.95" customHeight="1">
      <c r="A12" s="338"/>
      <c r="B12" s="336"/>
      <c r="C12" s="336"/>
      <c r="D12" s="336"/>
      <c r="E12" s="336"/>
      <c r="F12" s="336"/>
      <c r="G12" s="336"/>
      <c r="H12" s="336"/>
      <c r="I12" s="336"/>
      <c r="J12" s="336"/>
    </row>
    <row r="13" spans="1:10" ht="19.95" customHeight="1">
      <c r="A13" s="338"/>
      <c r="B13" s="336"/>
      <c r="C13" s="336"/>
      <c r="D13" s="336"/>
      <c r="E13" s="336"/>
      <c r="F13" s="336"/>
      <c r="G13" s="336"/>
      <c r="H13" s="336"/>
      <c r="I13" s="336"/>
      <c r="J13" s="336"/>
    </row>
    <row r="14" spans="1:10" ht="19.95" customHeight="1">
      <c r="A14" s="338"/>
      <c r="B14" s="336"/>
      <c r="C14" s="336"/>
      <c r="D14" s="336"/>
      <c r="E14" s="336"/>
      <c r="F14" s="336"/>
      <c r="G14" s="336"/>
      <c r="H14" s="336"/>
      <c r="I14" s="336"/>
      <c r="J14" s="336"/>
    </row>
    <row r="15" spans="1:10" ht="19.95" customHeight="1">
      <c r="A15" s="338"/>
      <c r="B15" s="336"/>
      <c r="C15" s="336"/>
      <c r="D15" s="336"/>
      <c r="E15" s="336"/>
      <c r="F15" s="336"/>
      <c r="G15" s="336"/>
      <c r="H15" s="336"/>
      <c r="I15" s="336"/>
      <c r="J15" s="336"/>
    </row>
    <row r="16" spans="1:10" ht="19.95" customHeight="1">
      <c r="A16" s="338"/>
      <c r="B16" s="336"/>
      <c r="C16" s="336"/>
      <c r="D16" s="336"/>
      <c r="E16" s="336"/>
      <c r="F16" s="336"/>
      <c r="G16" s="336"/>
      <c r="H16" s="336"/>
      <c r="I16" s="336"/>
      <c r="J16" s="336"/>
    </row>
    <row r="17" spans="1:10" ht="19.95" customHeight="1">
      <c r="A17" s="338"/>
      <c r="B17" s="336"/>
      <c r="C17" s="336"/>
      <c r="D17" s="336"/>
      <c r="E17" s="336"/>
      <c r="F17" s="336"/>
      <c r="G17" s="336"/>
      <c r="H17" s="336"/>
      <c r="I17" s="336"/>
      <c r="J17" s="336"/>
    </row>
    <row r="18" spans="1:10" ht="19.95" customHeight="1">
      <c r="A18" s="338"/>
      <c r="B18" s="336"/>
      <c r="C18" s="336"/>
      <c r="D18" s="336"/>
      <c r="E18" s="336"/>
      <c r="F18" s="336"/>
      <c r="G18" s="336"/>
      <c r="H18" s="336"/>
      <c r="I18" s="336"/>
      <c r="J18" s="336"/>
    </row>
    <row r="19" spans="1:10" ht="19.95" customHeight="1">
      <c r="A19" s="338"/>
      <c r="B19" s="336"/>
      <c r="C19" s="336"/>
      <c r="D19" s="336"/>
      <c r="E19" s="336"/>
      <c r="F19" s="336"/>
      <c r="G19" s="336"/>
      <c r="H19" s="336"/>
      <c r="I19" s="336"/>
      <c r="J19" s="336"/>
    </row>
    <row r="20" spans="1:10" ht="19.95" customHeight="1">
      <c r="A20" s="338"/>
      <c r="B20" s="336"/>
      <c r="C20" s="336"/>
      <c r="D20" s="336"/>
      <c r="E20" s="336"/>
      <c r="F20" s="336"/>
      <c r="G20" s="336"/>
      <c r="H20" s="336"/>
      <c r="I20" s="336"/>
      <c r="J20" s="336"/>
    </row>
    <row r="21" spans="1:10" ht="19.95" customHeight="1">
      <c r="A21" s="340"/>
      <c r="B21" s="340"/>
      <c r="C21" s="340"/>
      <c r="D21" s="341"/>
      <c r="E21" s="341"/>
      <c r="F21" s="341"/>
      <c r="G21" s="342"/>
      <c r="H21" s="342"/>
      <c r="I21" s="341"/>
      <c r="J21" s="343"/>
    </row>
    <row r="22" spans="1:10" ht="19.95" customHeight="1">
      <c r="A22" s="344"/>
      <c r="B22" s="344"/>
      <c r="C22" s="344"/>
      <c r="D22" s="344"/>
      <c r="E22" s="345"/>
      <c r="F22" s="346"/>
      <c r="G22" s="347"/>
      <c r="H22" s="347"/>
      <c r="I22" s="347"/>
      <c r="J22" s="347"/>
    </row>
    <row r="23" spans="1:10" ht="19.95" customHeight="1"/>
  </sheetData>
  <mergeCells count="2">
    <mergeCell ref="A1:J1"/>
    <mergeCell ref="A2:J2"/>
  </mergeCells>
  <phoneticPr fontId="11" type="noConversion"/>
  <dataValidations count="1">
    <dataValidation type="list" allowBlank="1" showInputMessage="1" showErrorMessage="1" sqref="B6:B20">
      <formula1>"账项调整,报表调整,其他"</formula1>
    </dataValidation>
  </dataValidations>
  <hyperlinks>
    <hyperlink ref="J3" location="底稿目录!F9" display="底稿目录!F9"/>
  </hyperlinks>
  <pageMargins left="0.70866141732283472" right="0.70866141732283472" top="0.74803149606299213" bottom="0.74803149606299213" header="0.31496062992125984" footer="0.31496062992125984"/>
  <pageSetup paperSize="9" scale="95"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Y43"/>
  <sheetViews>
    <sheetView view="pageBreakPreview" zoomScaleSheetLayoutView="100" workbookViewId="0">
      <selection sqref="A1:T1"/>
    </sheetView>
  </sheetViews>
  <sheetFormatPr defaultColWidth="9" defaultRowHeight="13.8"/>
  <cols>
    <col min="1" max="1" width="4.5" style="34" customWidth="1"/>
    <col min="2" max="2" width="23.59765625" style="34" customWidth="1"/>
    <col min="3" max="3" width="7.3984375" style="34" customWidth="1"/>
    <col min="4" max="4" width="8.09765625" style="34" customWidth="1"/>
    <col min="5" max="5" width="12.19921875" style="34" customWidth="1"/>
    <col min="6" max="6" width="10.59765625" style="34" customWidth="1"/>
    <col min="7" max="7" width="10.8984375" style="34" customWidth="1"/>
    <col min="8" max="12" width="11" style="34" customWidth="1"/>
    <col min="13" max="13" width="10.19921875" style="34" customWidth="1"/>
    <col min="14" max="14" width="9" style="34"/>
    <col min="15" max="15" width="12.3984375" style="34" customWidth="1"/>
    <col min="16" max="16" width="11.69921875" style="34" customWidth="1"/>
    <col min="17" max="18" width="13.8984375" style="34" customWidth="1"/>
    <col min="19" max="19" width="6.8984375" style="34" customWidth="1"/>
    <col min="20" max="20" width="6.796875" style="34" customWidth="1"/>
    <col min="21" max="16384" width="9" style="34"/>
  </cols>
  <sheetData>
    <row r="1" spans="1:25" s="616" customFormat="1" ht="19.95" customHeight="1">
      <c r="A1" s="942" t="s">
        <v>0</v>
      </c>
      <c r="B1" s="942"/>
      <c r="C1" s="942"/>
      <c r="D1" s="942"/>
      <c r="E1" s="942"/>
      <c r="F1" s="942"/>
      <c r="G1" s="942"/>
      <c r="H1" s="942"/>
      <c r="I1" s="942"/>
      <c r="J1" s="942"/>
      <c r="K1" s="942"/>
      <c r="L1" s="942"/>
      <c r="M1" s="942"/>
      <c r="N1" s="942"/>
      <c r="O1" s="942"/>
      <c r="P1" s="942"/>
      <c r="Q1" s="942"/>
      <c r="R1" s="942"/>
      <c r="S1" s="942"/>
      <c r="T1" s="942"/>
      <c r="U1" s="623"/>
      <c r="V1" s="623"/>
      <c r="W1" s="623"/>
      <c r="X1" s="623"/>
      <c r="Y1" s="623"/>
    </row>
    <row r="2" spans="1:25" s="629" customFormat="1" ht="19.95" customHeight="1">
      <c r="A2" s="943" t="s">
        <v>1275</v>
      </c>
      <c r="B2" s="943"/>
      <c r="C2" s="943"/>
      <c r="D2" s="943"/>
      <c r="E2" s="943"/>
      <c r="F2" s="943"/>
      <c r="G2" s="943"/>
      <c r="H2" s="943"/>
      <c r="I2" s="943"/>
      <c r="J2" s="943"/>
      <c r="K2" s="943"/>
      <c r="L2" s="943"/>
      <c r="M2" s="943"/>
      <c r="N2" s="943"/>
      <c r="O2" s="943"/>
      <c r="P2" s="943"/>
      <c r="Q2" s="943"/>
      <c r="R2" s="943"/>
      <c r="S2" s="943"/>
      <c r="T2" s="943"/>
      <c r="U2" s="634"/>
      <c r="V2" s="634"/>
      <c r="W2" s="634"/>
      <c r="X2" s="634"/>
      <c r="Y2" s="634"/>
    </row>
    <row r="3" spans="1:25" s="676" customFormat="1" ht="19.95" customHeight="1">
      <c r="A3" s="207" t="str">
        <f>底稿目录!A2</f>
        <v>被审计单位：</v>
      </c>
      <c r="B3" s="207"/>
      <c r="C3" s="207"/>
      <c r="D3" s="207"/>
      <c r="E3" s="207"/>
      <c r="F3" s="207" t="str">
        <f>底稿目录!A4</f>
        <v>编制人：</v>
      </c>
      <c r="H3" s="207"/>
      <c r="I3" s="207"/>
      <c r="J3" s="207"/>
      <c r="K3" s="207"/>
      <c r="L3" s="207"/>
      <c r="M3" s="229" t="str">
        <f>底稿目录!A5</f>
        <v>编制日期：</v>
      </c>
      <c r="N3" s="229"/>
      <c r="O3" s="207"/>
      <c r="S3" s="207" t="s">
        <v>67</v>
      </c>
      <c r="T3" s="763" t="str">
        <f>底稿目录!F10</f>
        <v>G7-4</v>
      </c>
      <c r="U3" s="207"/>
      <c r="V3" s="207"/>
      <c r="W3" s="207"/>
    </row>
    <row r="4" spans="1:25" s="676" customFormat="1" ht="19.95" customHeight="1">
      <c r="A4" s="207" t="str">
        <f>底稿目录!A3</f>
        <v>截止日：202X年12月31日</v>
      </c>
      <c r="B4" s="207"/>
      <c r="C4" s="207"/>
      <c r="D4" s="207"/>
      <c r="E4" s="207"/>
      <c r="F4" s="207" t="str">
        <f>底稿目录!A6</f>
        <v>复核人：</v>
      </c>
      <c r="H4" s="207"/>
      <c r="I4" s="207"/>
      <c r="J4" s="207"/>
      <c r="K4" s="207"/>
      <c r="L4" s="207"/>
      <c r="M4" s="229" t="str">
        <f>底稿目录!A7</f>
        <v>复核日期：</v>
      </c>
      <c r="N4" s="229"/>
      <c r="O4" s="207"/>
      <c r="S4" s="207" t="s">
        <v>1310</v>
      </c>
      <c r="T4" s="207"/>
      <c r="U4" s="207"/>
      <c r="V4" s="207"/>
      <c r="W4" s="207"/>
    </row>
    <row r="5" spans="1:25" ht="19.95" customHeight="1">
      <c r="A5" s="37" t="s">
        <v>262</v>
      </c>
      <c r="B5" s="128"/>
      <c r="C5" s="130" t="s">
        <v>371</v>
      </c>
      <c r="D5" s="128"/>
      <c r="E5" s="128"/>
      <c r="M5" s="228"/>
    </row>
    <row r="6" spans="1:25" ht="19.95" customHeight="1">
      <c r="A6" s="37" t="s">
        <v>264</v>
      </c>
      <c r="B6" s="130"/>
      <c r="C6" s="126" t="s">
        <v>1000</v>
      </c>
      <c r="D6" s="130"/>
      <c r="E6" s="130"/>
    </row>
    <row r="7" spans="1:25" ht="19.95" customHeight="1">
      <c r="A7" s="125"/>
      <c r="C7" s="126" t="s">
        <v>1001</v>
      </c>
      <c r="D7" s="130"/>
      <c r="E7" s="130"/>
      <c r="F7" s="125"/>
    </row>
    <row r="8" spans="1:25" ht="19.95" customHeight="1">
      <c r="A8" s="125"/>
      <c r="C8" s="126" t="s">
        <v>1002</v>
      </c>
      <c r="D8" s="130"/>
      <c r="E8" s="130"/>
    </row>
    <row r="9" spans="1:25" ht="36.75" customHeight="1">
      <c r="A9" s="952" t="s">
        <v>427</v>
      </c>
      <c r="B9" s="953"/>
      <c r="C9" s="956" t="s">
        <v>423</v>
      </c>
      <c r="D9" s="956" t="s">
        <v>424</v>
      </c>
      <c r="E9" s="956" t="s">
        <v>428</v>
      </c>
      <c r="F9" s="951" t="s">
        <v>372</v>
      </c>
      <c r="G9" s="951" t="s">
        <v>373</v>
      </c>
      <c r="H9" s="951" t="s">
        <v>374</v>
      </c>
      <c r="I9" s="950" t="s">
        <v>503</v>
      </c>
      <c r="J9" s="950" t="s">
        <v>504</v>
      </c>
      <c r="K9" s="950" t="s">
        <v>501</v>
      </c>
      <c r="L9" s="950" t="s">
        <v>502</v>
      </c>
      <c r="M9" s="951" t="s">
        <v>375</v>
      </c>
      <c r="N9" s="951"/>
      <c r="O9" s="958" t="s">
        <v>376</v>
      </c>
      <c r="P9" s="951" t="s">
        <v>377</v>
      </c>
      <c r="Q9" s="950" t="s">
        <v>426</v>
      </c>
      <c r="R9" s="950" t="s">
        <v>505</v>
      </c>
      <c r="S9" s="958" t="s">
        <v>378</v>
      </c>
      <c r="T9" s="958" t="s">
        <v>379</v>
      </c>
    </row>
    <row r="10" spans="1:25" ht="40.5" customHeight="1">
      <c r="A10" s="954"/>
      <c r="B10" s="955"/>
      <c r="C10" s="957"/>
      <c r="D10" s="957"/>
      <c r="E10" s="957"/>
      <c r="F10" s="951"/>
      <c r="G10" s="951"/>
      <c r="H10" s="951"/>
      <c r="I10" s="951"/>
      <c r="J10" s="951"/>
      <c r="K10" s="951"/>
      <c r="L10" s="951"/>
      <c r="M10" s="48" t="s">
        <v>380</v>
      </c>
      <c r="N10" s="48" t="s">
        <v>381</v>
      </c>
      <c r="O10" s="959"/>
      <c r="P10" s="951"/>
      <c r="Q10" s="951"/>
      <c r="R10" s="951"/>
      <c r="S10" s="959"/>
      <c r="T10" s="959"/>
    </row>
    <row r="11" spans="1:25" ht="19.95" customHeight="1">
      <c r="A11" s="182" t="s">
        <v>382</v>
      </c>
      <c r="B11" s="183"/>
      <c r="C11" s="183"/>
      <c r="D11" s="183"/>
      <c r="E11" s="183"/>
      <c r="F11" s="109"/>
      <c r="G11" s="109"/>
      <c r="H11" s="109"/>
      <c r="I11" s="109"/>
      <c r="J11" s="109"/>
      <c r="K11" s="109"/>
      <c r="L11" s="109"/>
      <c r="M11" s="50"/>
      <c r="N11" s="50"/>
      <c r="O11" s="50"/>
      <c r="P11" s="109"/>
      <c r="Q11" s="109"/>
      <c r="R11" s="109"/>
      <c r="S11" s="289"/>
      <c r="T11" s="289"/>
    </row>
    <row r="12" spans="1:25" ht="19.95" customHeight="1">
      <c r="A12" s="27"/>
      <c r="B12" s="368">
        <f>'明细表G7-2'!B16</f>
        <v>0</v>
      </c>
      <c r="C12" s="17"/>
      <c r="D12" s="17"/>
      <c r="E12" s="17"/>
      <c r="F12" s="109"/>
      <c r="G12" s="109"/>
      <c r="H12" s="109"/>
      <c r="I12" s="109"/>
      <c r="J12" s="109"/>
      <c r="K12" s="51"/>
      <c r="L12" s="51"/>
      <c r="M12" s="50"/>
      <c r="N12" s="50"/>
      <c r="O12" s="50"/>
      <c r="P12" s="109"/>
      <c r="Q12" s="109"/>
      <c r="R12" s="109"/>
      <c r="S12" s="289"/>
      <c r="T12" s="295" t="s">
        <v>383</v>
      </c>
    </row>
    <row r="13" spans="1:25" ht="19.95" customHeight="1">
      <c r="A13" s="27"/>
      <c r="B13" s="368">
        <f>'明细表G7-2'!B17</f>
        <v>0</v>
      </c>
      <c r="C13" s="17"/>
      <c r="D13" s="17"/>
      <c r="E13" s="17"/>
      <c r="F13" s="109"/>
      <c r="G13" s="109"/>
      <c r="H13" s="109"/>
      <c r="I13" s="109"/>
      <c r="J13" s="109"/>
      <c r="K13" s="51"/>
      <c r="L13" s="51"/>
      <c r="M13" s="50"/>
      <c r="N13" s="50"/>
      <c r="O13" s="50"/>
      <c r="P13" s="109"/>
      <c r="Q13" s="109"/>
      <c r="R13" s="109"/>
      <c r="S13" s="289"/>
      <c r="T13" s="295"/>
    </row>
    <row r="14" spans="1:25" ht="19.95" customHeight="1">
      <c r="A14" s="27"/>
      <c r="B14" s="368">
        <f>'明细表G7-2'!B18</f>
        <v>0</v>
      </c>
      <c r="C14" s="17"/>
      <c r="D14" s="17"/>
      <c r="E14" s="17"/>
      <c r="F14" s="109"/>
      <c r="G14" s="109"/>
      <c r="H14" s="109"/>
      <c r="I14" s="109"/>
      <c r="J14" s="109"/>
      <c r="K14" s="51"/>
      <c r="L14" s="51"/>
      <c r="M14" s="50"/>
      <c r="N14" s="50"/>
      <c r="O14" s="50"/>
      <c r="P14" s="109"/>
      <c r="Q14" s="109"/>
      <c r="R14" s="109"/>
      <c r="S14" s="289"/>
      <c r="T14" s="295"/>
    </row>
    <row r="15" spans="1:25" ht="19.95" customHeight="1">
      <c r="A15" s="27"/>
      <c r="B15" s="368">
        <f>'明细表G7-2'!B19</f>
        <v>0</v>
      </c>
      <c r="C15" s="17"/>
      <c r="D15" s="17"/>
      <c r="E15" s="17"/>
      <c r="F15" s="109"/>
      <c r="G15" s="109"/>
      <c r="H15" s="109"/>
      <c r="I15" s="109"/>
      <c r="J15" s="109"/>
      <c r="K15" s="51"/>
      <c r="L15" s="51"/>
      <c r="M15" s="50"/>
      <c r="N15" s="50"/>
      <c r="O15" s="50"/>
      <c r="P15" s="109"/>
      <c r="Q15" s="109"/>
      <c r="R15" s="109"/>
      <c r="S15" s="289"/>
      <c r="T15" s="295"/>
    </row>
    <row r="16" spans="1:25" ht="19.95" customHeight="1">
      <c r="A16" s="27"/>
      <c r="B16" s="368">
        <f>'明细表G7-2'!B20</f>
        <v>0</v>
      </c>
      <c r="C16" s="17"/>
      <c r="D16" s="17"/>
      <c r="E16" s="17"/>
      <c r="F16" s="109"/>
      <c r="G16" s="109"/>
      <c r="H16" s="109"/>
      <c r="I16" s="109"/>
      <c r="J16" s="109"/>
      <c r="K16" s="51"/>
      <c r="L16" s="51"/>
      <c r="M16" s="50"/>
      <c r="N16" s="50"/>
      <c r="O16" s="50"/>
      <c r="P16" s="109"/>
      <c r="Q16" s="109"/>
      <c r="R16" s="109"/>
      <c r="S16" s="289"/>
      <c r="T16" s="295"/>
    </row>
    <row r="17" spans="1:20" ht="19.95" customHeight="1">
      <c r="A17" s="27"/>
      <c r="B17" s="368">
        <f>'明细表G7-2'!B21</f>
        <v>0</v>
      </c>
      <c r="C17" s="17"/>
      <c r="D17" s="17"/>
      <c r="E17" s="17"/>
      <c r="F17" s="109"/>
      <c r="G17" s="109"/>
      <c r="H17" s="109"/>
      <c r="I17" s="109"/>
      <c r="J17" s="109"/>
      <c r="K17" s="51"/>
      <c r="L17" s="51"/>
      <c r="M17" s="50"/>
      <c r="N17" s="50"/>
      <c r="O17" s="50"/>
      <c r="P17" s="109"/>
      <c r="Q17" s="109"/>
      <c r="R17" s="109"/>
      <c r="S17" s="289"/>
      <c r="T17" s="295"/>
    </row>
    <row r="18" spans="1:20" ht="19.95" customHeight="1">
      <c r="A18" s="27"/>
      <c r="B18" s="368">
        <f>'明细表G7-2'!B22</f>
        <v>0</v>
      </c>
      <c r="C18" s="17"/>
      <c r="D18" s="17"/>
      <c r="E18" s="17"/>
      <c r="F18" s="109"/>
      <c r="G18" s="109"/>
      <c r="H18" s="109"/>
      <c r="I18" s="109"/>
      <c r="J18" s="109"/>
      <c r="K18" s="51"/>
      <c r="L18" s="51"/>
      <c r="M18" s="50"/>
      <c r="N18" s="50"/>
      <c r="O18" s="50"/>
      <c r="P18" s="109"/>
      <c r="Q18" s="109"/>
      <c r="R18" s="109"/>
      <c r="S18" s="289"/>
      <c r="T18" s="295"/>
    </row>
    <row r="19" spans="1:20" ht="19.95" customHeight="1">
      <c r="A19" s="27"/>
      <c r="B19" s="368">
        <f>'明细表G7-2'!B23</f>
        <v>0</v>
      </c>
      <c r="C19" s="17"/>
      <c r="D19" s="17"/>
      <c r="E19" s="17"/>
      <c r="F19" s="109"/>
      <c r="G19" s="109"/>
      <c r="H19" s="109"/>
      <c r="I19" s="109"/>
      <c r="J19" s="109"/>
      <c r="K19" s="51"/>
      <c r="L19" s="51"/>
      <c r="M19" s="50"/>
      <c r="N19" s="50"/>
      <c r="O19" s="50"/>
      <c r="P19" s="109"/>
      <c r="Q19" s="109"/>
      <c r="R19" s="109"/>
      <c r="S19" s="289"/>
      <c r="T19" s="295"/>
    </row>
    <row r="20" spans="1:20" ht="19.95" customHeight="1">
      <c r="A20" s="27"/>
      <c r="B20" s="368">
        <f>'明细表G7-2'!B24</f>
        <v>0</v>
      </c>
      <c r="C20" s="17"/>
      <c r="D20" s="17"/>
      <c r="E20" s="17"/>
      <c r="F20" s="109"/>
      <c r="G20" s="109"/>
      <c r="H20" s="109"/>
      <c r="I20" s="109"/>
      <c r="J20" s="109"/>
      <c r="K20" s="51"/>
      <c r="L20" s="51"/>
      <c r="M20" s="50"/>
      <c r="N20" s="50"/>
      <c r="O20" s="50"/>
      <c r="P20" s="109"/>
      <c r="Q20" s="109"/>
      <c r="R20" s="109"/>
      <c r="S20" s="289"/>
      <c r="T20" s="295"/>
    </row>
    <row r="21" spans="1:20" ht="19.95" customHeight="1">
      <c r="A21" s="27"/>
      <c r="B21" s="368" t="str">
        <f>'明细表G7-2'!B25</f>
        <v>……</v>
      </c>
      <c r="C21" s="17"/>
      <c r="D21" s="17"/>
      <c r="E21" s="17"/>
      <c r="F21" s="109"/>
      <c r="G21" s="109"/>
      <c r="H21" s="109"/>
      <c r="I21" s="109"/>
      <c r="J21" s="109"/>
      <c r="K21" s="51"/>
      <c r="L21" s="51"/>
      <c r="M21" s="50"/>
      <c r="N21" s="50"/>
      <c r="O21" s="50"/>
      <c r="P21" s="109"/>
      <c r="Q21" s="109"/>
      <c r="R21" s="109"/>
      <c r="S21" s="289"/>
      <c r="T21" s="295"/>
    </row>
    <row r="22" spans="1:20" ht="19.95" customHeight="1">
      <c r="A22" s="182" t="s">
        <v>384</v>
      </c>
      <c r="B22" s="17"/>
      <c r="C22" s="17"/>
      <c r="D22" s="17"/>
      <c r="E22" s="17"/>
      <c r="F22" s="109"/>
      <c r="G22" s="109"/>
      <c r="H22" s="109"/>
      <c r="I22" s="109"/>
      <c r="J22" s="109"/>
      <c r="K22" s="51"/>
      <c r="L22" s="51"/>
      <c r="M22" s="50"/>
      <c r="N22" s="50"/>
      <c r="O22" s="50"/>
      <c r="P22" s="109"/>
      <c r="Q22" s="109"/>
      <c r="R22" s="109"/>
      <c r="S22" s="289"/>
      <c r="T22" s="295"/>
    </row>
    <row r="23" spans="1:20" ht="19.95" customHeight="1">
      <c r="A23" s="27"/>
      <c r="B23" s="368">
        <f>'明细表G7-2'!B33</f>
        <v>0</v>
      </c>
      <c r="C23" s="193" t="s">
        <v>108</v>
      </c>
      <c r="D23" s="193" t="s">
        <v>108</v>
      </c>
      <c r="E23" s="193"/>
      <c r="F23" s="109"/>
      <c r="G23" s="109"/>
      <c r="H23" s="109"/>
      <c r="I23" s="109"/>
      <c r="J23" s="109"/>
      <c r="K23" s="51"/>
      <c r="L23" s="51"/>
      <c r="M23" s="50"/>
      <c r="N23" s="50"/>
      <c r="O23" s="50"/>
      <c r="P23" s="109"/>
      <c r="Q23" s="193" t="s">
        <v>108</v>
      </c>
      <c r="R23" s="193"/>
      <c r="S23" s="289"/>
      <c r="T23" s="295" t="s">
        <v>385</v>
      </c>
    </row>
    <row r="24" spans="1:20" ht="19.95" customHeight="1">
      <c r="A24" s="27"/>
      <c r="B24" s="368">
        <f>'明细表G7-2'!B34</f>
        <v>0</v>
      </c>
      <c r="C24" s="193" t="s">
        <v>108</v>
      </c>
      <c r="D24" s="193" t="s">
        <v>108</v>
      </c>
      <c r="E24" s="193"/>
      <c r="F24" s="109"/>
      <c r="G24" s="109"/>
      <c r="H24" s="109"/>
      <c r="I24" s="109"/>
      <c r="J24" s="109"/>
      <c r="K24" s="51"/>
      <c r="L24" s="51"/>
      <c r="M24" s="50"/>
      <c r="N24" s="50"/>
      <c r="O24" s="50"/>
      <c r="P24" s="109"/>
      <c r="Q24" s="193" t="s">
        <v>108</v>
      </c>
      <c r="R24" s="193"/>
      <c r="S24" s="289"/>
      <c r="T24" s="296"/>
    </row>
    <row r="25" spans="1:20" ht="19.95" customHeight="1">
      <c r="A25" s="27"/>
      <c r="B25" s="368">
        <f>'明细表G7-2'!B35</f>
        <v>0</v>
      </c>
      <c r="C25" s="193" t="s">
        <v>108</v>
      </c>
      <c r="D25" s="193" t="s">
        <v>108</v>
      </c>
      <c r="E25" s="193"/>
      <c r="F25" s="109"/>
      <c r="G25" s="109"/>
      <c r="H25" s="109"/>
      <c r="I25" s="109"/>
      <c r="J25" s="109"/>
      <c r="K25" s="51"/>
      <c r="L25" s="51"/>
      <c r="M25" s="50"/>
      <c r="N25" s="50"/>
      <c r="O25" s="50"/>
      <c r="P25" s="109"/>
      <c r="Q25" s="193" t="s">
        <v>108</v>
      </c>
      <c r="R25" s="193"/>
      <c r="S25" s="289"/>
      <c r="T25" s="295"/>
    </row>
    <row r="26" spans="1:20" ht="19.95" customHeight="1">
      <c r="A26" s="27"/>
      <c r="B26" s="368">
        <f>'明细表G7-2'!B36</f>
        <v>0</v>
      </c>
      <c r="C26" s="193" t="s">
        <v>108</v>
      </c>
      <c r="D26" s="193" t="s">
        <v>108</v>
      </c>
      <c r="E26" s="193"/>
      <c r="F26" s="109"/>
      <c r="G26" s="109"/>
      <c r="H26" s="109"/>
      <c r="I26" s="109"/>
      <c r="J26" s="109"/>
      <c r="K26" s="51"/>
      <c r="L26" s="51"/>
      <c r="M26" s="50"/>
      <c r="N26" s="50"/>
      <c r="O26" s="50"/>
      <c r="P26" s="109"/>
      <c r="Q26" s="193" t="s">
        <v>108</v>
      </c>
      <c r="R26" s="193"/>
      <c r="S26" s="289"/>
      <c r="T26" s="295"/>
    </row>
    <row r="27" spans="1:20" ht="19.95" customHeight="1">
      <c r="A27" s="27"/>
      <c r="B27" s="368" t="str">
        <f>'明细表G7-2'!B37</f>
        <v>……</v>
      </c>
      <c r="C27" s="193" t="s">
        <v>108</v>
      </c>
      <c r="D27" s="193" t="s">
        <v>108</v>
      </c>
      <c r="E27" s="193"/>
      <c r="F27" s="109"/>
      <c r="G27" s="109"/>
      <c r="H27" s="109"/>
      <c r="I27" s="109"/>
      <c r="J27" s="109"/>
      <c r="K27" s="51"/>
      <c r="L27" s="51"/>
      <c r="M27" s="50"/>
      <c r="N27" s="50"/>
      <c r="O27" s="50"/>
      <c r="P27" s="109"/>
      <c r="Q27" s="193" t="s">
        <v>108</v>
      </c>
      <c r="R27" s="193"/>
      <c r="S27" s="289"/>
      <c r="T27" s="289"/>
    </row>
    <row r="28" spans="1:20" ht="19.95" customHeight="1">
      <c r="A28" s="182" t="s">
        <v>386</v>
      </c>
      <c r="B28" s="17"/>
      <c r="C28" s="17"/>
      <c r="D28" s="17"/>
      <c r="E28" s="17"/>
      <c r="F28" s="109"/>
      <c r="G28" s="109"/>
      <c r="H28" s="109"/>
      <c r="I28" s="109"/>
      <c r="J28" s="109"/>
      <c r="K28" s="51"/>
      <c r="L28" s="51"/>
      <c r="M28" s="50"/>
      <c r="N28" s="50"/>
      <c r="O28" s="50"/>
      <c r="P28" s="109"/>
      <c r="Q28" s="109"/>
      <c r="R28" s="109"/>
      <c r="S28" s="289"/>
      <c r="T28" s="289"/>
    </row>
    <row r="29" spans="1:20" ht="19.95" customHeight="1">
      <c r="A29" s="27"/>
      <c r="B29" s="368">
        <f>'明细表G7-2'!B40</f>
        <v>0</v>
      </c>
      <c r="C29" s="193" t="s">
        <v>108</v>
      </c>
      <c r="D29" s="193" t="s">
        <v>108</v>
      </c>
      <c r="E29" s="193"/>
      <c r="F29" s="109"/>
      <c r="G29" s="109"/>
      <c r="H29" s="109"/>
      <c r="I29" s="109"/>
      <c r="J29" s="109"/>
      <c r="K29" s="51"/>
      <c r="L29" s="51"/>
      <c r="M29" s="50"/>
      <c r="N29" s="50"/>
      <c r="O29" s="50"/>
      <c r="P29" s="109"/>
      <c r="Q29" s="193" t="s">
        <v>108</v>
      </c>
      <c r="R29" s="193"/>
      <c r="S29" s="289"/>
      <c r="T29" s="295" t="s">
        <v>385</v>
      </c>
    </row>
    <row r="30" spans="1:20" ht="19.95" customHeight="1">
      <c r="A30" s="27"/>
      <c r="B30" s="368">
        <f>'明细表G7-2'!B41</f>
        <v>0</v>
      </c>
      <c r="C30" s="193" t="s">
        <v>108</v>
      </c>
      <c r="D30" s="193" t="s">
        <v>108</v>
      </c>
      <c r="E30" s="193"/>
      <c r="F30" s="109"/>
      <c r="G30" s="109"/>
      <c r="H30" s="109"/>
      <c r="I30" s="109"/>
      <c r="J30" s="109"/>
      <c r="K30" s="51"/>
      <c r="L30" s="51"/>
      <c r="M30" s="50"/>
      <c r="N30" s="50"/>
      <c r="O30" s="50"/>
      <c r="P30" s="109"/>
      <c r="Q30" s="193" t="s">
        <v>108</v>
      </c>
      <c r="R30" s="193"/>
      <c r="S30" s="289"/>
      <c r="T30" s="295"/>
    </row>
    <row r="31" spans="1:20" ht="19.95" customHeight="1">
      <c r="A31" s="27"/>
      <c r="B31" s="368">
        <f>'明细表G7-2'!B42</f>
        <v>0</v>
      </c>
      <c r="C31" s="193" t="s">
        <v>108</v>
      </c>
      <c r="D31" s="193" t="s">
        <v>108</v>
      </c>
      <c r="E31" s="193"/>
      <c r="F31" s="109"/>
      <c r="G31" s="109"/>
      <c r="H31" s="109"/>
      <c r="I31" s="109"/>
      <c r="J31" s="109"/>
      <c r="K31" s="51"/>
      <c r="L31" s="51"/>
      <c r="M31" s="50"/>
      <c r="N31" s="50"/>
      <c r="O31" s="50"/>
      <c r="P31" s="109"/>
      <c r="Q31" s="193" t="s">
        <v>108</v>
      </c>
      <c r="R31" s="193"/>
      <c r="S31" s="289"/>
      <c r="T31" s="289"/>
    </row>
    <row r="32" spans="1:20" ht="19.95" customHeight="1">
      <c r="A32" s="27"/>
      <c r="B32" s="368">
        <f>'明细表G7-2'!B43</f>
        <v>0</v>
      </c>
      <c r="C32" s="193" t="s">
        <v>108</v>
      </c>
      <c r="D32" s="193" t="s">
        <v>108</v>
      </c>
      <c r="E32" s="193"/>
      <c r="F32" s="109"/>
      <c r="G32" s="109"/>
      <c r="H32" s="109"/>
      <c r="I32" s="109"/>
      <c r="J32" s="109"/>
      <c r="K32" s="51"/>
      <c r="L32" s="51"/>
      <c r="M32" s="50"/>
      <c r="N32" s="50"/>
      <c r="O32" s="50"/>
      <c r="P32" s="109"/>
      <c r="Q32" s="193" t="s">
        <v>108</v>
      </c>
      <c r="R32" s="193"/>
      <c r="S32" s="289"/>
      <c r="T32" s="289"/>
    </row>
    <row r="33" spans="1:20" ht="19.95" customHeight="1">
      <c r="A33" s="27"/>
      <c r="B33" s="368" t="str">
        <f>'明细表G7-2'!B44</f>
        <v>……</v>
      </c>
      <c r="C33" s="193" t="s">
        <v>108</v>
      </c>
      <c r="D33" s="193" t="s">
        <v>108</v>
      </c>
      <c r="E33" s="193"/>
      <c r="F33" s="109"/>
      <c r="G33" s="109"/>
      <c r="H33" s="109"/>
      <c r="I33" s="109"/>
      <c r="J33" s="109"/>
      <c r="K33" s="51"/>
      <c r="L33" s="51"/>
      <c r="M33" s="50"/>
      <c r="N33" s="50"/>
      <c r="O33" s="50"/>
      <c r="P33" s="109"/>
      <c r="Q33" s="193" t="s">
        <v>108</v>
      </c>
      <c r="R33" s="193"/>
      <c r="S33" s="289"/>
      <c r="T33" s="289"/>
    </row>
    <row r="34" spans="1:20" ht="19.95" customHeight="1">
      <c r="A34" s="182" t="s">
        <v>387</v>
      </c>
      <c r="B34" s="17"/>
      <c r="C34" s="17"/>
      <c r="D34" s="17"/>
      <c r="E34" s="17"/>
      <c r="F34" s="109"/>
      <c r="G34" s="109"/>
      <c r="H34" s="109"/>
      <c r="I34" s="109"/>
      <c r="J34" s="109"/>
      <c r="K34" s="51"/>
      <c r="L34" s="51"/>
      <c r="M34" s="50"/>
      <c r="N34" s="50"/>
      <c r="O34" s="50"/>
      <c r="P34" s="109"/>
      <c r="Q34" s="109"/>
      <c r="R34" s="109"/>
      <c r="S34" s="289"/>
      <c r="T34" s="289"/>
    </row>
    <row r="35" spans="1:20" ht="19.95" customHeight="1">
      <c r="A35" s="27"/>
      <c r="B35" s="17"/>
      <c r="C35" s="193" t="s">
        <v>108</v>
      </c>
      <c r="D35" s="193" t="s">
        <v>108</v>
      </c>
      <c r="E35" s="193"/>
      <c r="F35" s="109"/>
      <c r="G35" s="109"/>
      <c r="H35" s="109"/>
      <c r="I35" s="109"/>
      <c r="J35" s="109"/>
      <c r="K35" s="51"/>
      <c r="L35" s="51"/>
      <c r="M35" s="50"/>
      <c r="N35" s="50"/>
      <c r="O35" s="392" t="s">
        <v>108</v>
      </c>
      <c r="P35" s="393" t="s">
        <v>108</v>
      </c>
      <c r="Q35" s="393"/>
      <c r="R35" s="393"/>
      <c r="S35" s="289"/>
      <c r="T35" s="295" t="s">
        <v>388</v>
      </c>
    </row>
    <row r="36" spans="1:20" ht="19.95" customHeight="1">
      <c r="A36" s="27"/>
      <c r="B36" s="17"/>
      <c r="C36" s="193" t="s">
        <v>108</v>
      </c>
      <c r="D36" s="193" t="s">
        <v>108</v>
      </c>
      <c r="E36" s="193"/>
      <c r="F36" s="109"/>
      <c r="G36" s="109"/>
      <c r="H36" s="109"/>
      <c r="I36" s="109"/>
      <c r="J36" s="109"/>
      <c r="K36" s="51"/>
      <c r="L36" s="51"/>
      <c r="M36" s="50"/>
      <c r="N36" s="50"/>
      <c r="O36" s="392" t="s">
        <v>108</v>
      </c>
      <c r="P36" s="393" t="s">
        <v>108</v>
      </c>
      <c r="Q36" s="393"/>
      <c r="R36" s="393"/>
      <c r="S36" s="289"/>
      <c r="T36" s="289"/>
    </row>
    <row r="37" spans="1:20" ht="19.95" customHeight="1">
      <c r="A37" s="289"/>
      <c r="B37" s="290"/>
      <c r="C37" s="291" t="s">
        <v>108</v>
      </c>
      <c r="D37" s="291" t="s">
        <v>108</v>
      </c>
      <c r="E37" s="291"/>
      <c r="F37" s="292"/>
      <c r="G37" s="292"/>
      <c r="H37" s="292"/>
      <c r="I37" s="292"/>
      <c r="J37" s="292"/>
      <c r="K37" s="293"/>
      <c r="L37" s="293"/>
      <c r="M37" s="294"/>
      <c r="N37" s="294"/>
      <c r="O37" s="394" t="s">
        <v>108</v>
      </c>
      <c r="P37" s="395" t="s">
        <v>108</v>
      </c>
      <c r="Q37" s="395"/>
      <c r="R37" s="395"/>
      <c r="S37" s="289"/>
      <c r="T37" s="289"/>
    </row>
    <row r="38" spans="1:20" ht="19.95" customHeight="1">
      <c r="A38" s="289"/>
      <c r="B38" s="290"/>
      <c r="C38" s="291" t="s">
        <v>108</v>
      </c>
      <c r="D38" s="291" t="s">
        <v>108</v>
      </c>
      <c r="E38" s="291"/>
      <c r="F38" s="292"/>
      <c r="G38" s="292"/>
      <c r="H38" s="292"/>
      <c r="I38" s="292"/>
      <c r="J38" s="292"/>
      <c r="K38" s="293"/>
      <c r="L38" s="293"/>
      <c r="M38" s="294"/>
      <c r="N38" s="294"/>
      <c r="O38" s="394" t="s">
        <v>108</v>
      </c>
      <c r="P38" s="395" t="s">
        <v>108</v>
      </c>
      <c r="Q38" s="395"/>
      <c r="R38" s="395"/>
      <c r="S38" s="289"/>
      <c r="T38" s="289"/>
    </row>
    <row r="39" spans="1:20" ht="19.95" customHeight="1">
      <c r="A39" s="249" t="s">
        <v>425</v>
      </c>
      <c r="B39" s="40"/>
      <c r="C39" s="40"/>
      <c r="D39" s="40"/>
      <c r="E39" s="40"/>
      <c r="F39" s="112"/>
      <c r="G39" s="112"/>
      <c r="H39" s="112"/>
      <c r="I39" s="112"/>
      <c r="J39" s="112"/>
      <c r="K39" s="112"/>
      <c r="L39" s="112"/>
      <c r="M39" s="112"/>
      <c r="N39" s="112"/>
      <c r="O39" s="112"/>
      <c r="P39" s="112"/>
      <c r="Q39" s="112"/>
      <c r="R39" s="112"/>
      <c r="S39" s="2"/>
      <c r="T39" s="2"/>
    </row>
    <row r="40" spans="1:20" s="2" customFormat="1" ht="19.95" customHeight="1">
      <c r="A40" s="23" t="s">
        <v>97</v>
      </c>
    </row>
    <row r="41" spans="1:20" ht="19.95" customHeight="1">
      <c r="A41" s="2"/>
      <c r="B41" s="2"/>
      <c r="C41" s="2"/>
      <c r="D41" s="2"/>
      <c r="E41" s="2"/>
    </row>
    <row r="42" spans="1:20" ht="19.95" customHeight="1">
      <c r="A42" s="23" t="s">
        <v>389</v>
      </c>
      <c r="B42" s="2"/>
      <c r="C42" s="2"/>
      <c r="D42" s="2"/>
      <c r="E42" s="2"/>
    </row>
    <row r="43" spans="1:20" ht="19.95" customHeight="1">
      <c r="A43" s="2"/>
      <c r="B43" s="2"/>
      <c r="C43" s="2"/>
      <c r="D43" s="2"/>
      <c r="E43" s="2"/>
    </row>
  </sheetData>
  <mergeCells count="20">
    <mergeCell ref="Q9:Q10"/>
    <mergeCell ref="K9:K10"/>
    <mergeCell ref="L9:L10"/>
    <mergeCell ref="J9:J10"/>
    <mergeCell ref="R9:R10"/>
    <mergeCell ref="A9:B10"/>
    <mergeCell ref="E9:E10"/>
    <mergeCell ref="T9:T10"/>
    <mergeCell ref="A1:T1"/>
    <mergeCell ref="A2:T2"/>
    <mergeCell ref="S9:S10"/>
    <mergeCell ref="O9:O10"/>
    <mergeCell ref="G9:G10"/>
    <mergeCell ref="H9:H10"/>
    <mergeCell ref="M9:N9"/>
    <mergeCell ref="P9:P10"/>
    <mergeCell ref="F9:F10"/>
    <mergeCell ref="C9:C10"/>
    <mergeCell ref="D9:D10"/>
    <mergeCell ref="I9:I10"/>
  </mergeCells>
  <phoneticPr fontId="11" type="noConversion"/>
  <dataValidations count="2">
    <dataValidation type="list" allowBlank="1" showInputMessage="1" showErrorMessage="1" sqref="D12:D21">
      <formula1>"1,2,3,4,5"</formula1>
    </dataValidation>
    <dataValidation type="list" allowBlank="1" showInputMessage="1" showErrorMessage="1" sqref="E12:E21">
      <formula1>"是,否"</formula1>
    </dataValidation>
  </dataValidations>
  <hyperlinks>
    <hyperlink ref="T3" location="底稿目录!F10" display="底稿目录!F10"/>
  </hyperlinks>
  <pageMargins left="0.70866141732283472" right="0.70866141732283472" top="0.74803149606299213" bottom="0.74803149606299213" header="0.31496062992125984" footer="0.31496062992125984"/>
  <pageSetup paperSize="9" scale="55" fitToHeight="0" orientation="landscape"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J57"/>
  <sheetViews>
    <sheetView view="pageBreakPreview" zoomScaleNormal="100" zoomScaleSheetLayoutView="100" workbookViewId="0">
      <selection activeCell="B1" sqref="B1:J1"/>
    </sheetView>
  </sheetViews>
  <sheetFormatPr defaultColWidth="9" defaultRowHeight="15.6"/>
  <cols>
    <col min="1" max="1" width="3.8984375" style="90" customWidth="1"/>
    <col min="2" max="2" width="31.5" style="90" customWidth="1"/>
    <col min="3" max="10" width="10.19921875" style="90" customWidth="1"/>
    <col min="11" max="16384" width="9" style="90"/>
  </cols>
  <sheetData>
    <row r="1" spans="1:10" s="617" customFormat="1" ht="19.95" customHeight="1">
      <c r="B1" s="942" t="s">
        <v>0</v>
      </c>
      <c r="C1" s="942"/>
      <c r="D1" s="942"/>
      <c r="E1" s="942"/>
      <c r="F1" s="942"/>
      <c r="G1" s="942"/>
      <c r="H1" s="942"/>
      <c r="I1" s="942"/>
      <c r="J1" s="942"/>
    </row>
    <row r="2" spans="1:10" s="630" customFormat="1" ht="19.95" customHeight="1">
      <c r="B2" s="943" t="s">
        <v>1276</v>
      </c>
      <c r="C2" s="943"/>
      <c r="D2" s="943"/>
      <c r="E2" s="943"/>
      <c r="F2" s="943"/>
      <c r="G2" s="943"/>
      <c r="H2" s="943"/>
      <c r="I2" s="943"/>
      <c r="J2" s="943"/>
    </row>
    <row r="3" spans="1:10" s="207" customFormat="1" ht="19.95" customHeight="1">
      <c r="A3" s="207" t="str">
        <f>底稿目录!A2</f>
        <v>被审计单位：</v>
      </c>
      <c r="D3" s="207" t="str">
        <f>底稿目录!A4</f>
        <v>编制人：</v>
      </c>
      <c r="F3" s="229" t="str">
        <f>底稿目录!A5</f>
        <v>编制日期：</v>
      </c>
      <c r="G3" s="229"/>
      <c r="I3" s="207" t="s">
        <v>67</v>
      </c>
      <c r="J3" s="763" t="str">
        <f>底稿目录!F11</f>
        <v>G7-5</v>
      </c>
    </row>
    <row r="4" spans="1:10" s="207" customFormat="1" ht="19.95" customHeight="1">
      <c r="A4" s="207" t="str">
        <f>底稿目录!A3</f>
        <v>截止日：202X年12月31日</v>
      </c>
      <c r="D4" s="207" t="str">
        <f>底稿目录!A6</f>
        <v>复核人：</v>
      </c>
      <c r="F4" s="229" t="str">
        <f>底稿目录!A7</f>
        <v>复核日期：</v>
      </c>
      <c r="G4" s="229"/>
      <c r="I4" s="207" t="s">
        <v>1314</v>
      </c>
    </row>
    <row r="5" spans="1:10" ht="19.95" customHeight="1">
      <c r="A5" s="37" t="s">
        <v>262</v>
      </c>
      <c r="B5" s="128"/>
      <c r="C5" s="127" t="s">
        <v>390</v>
      </c>
      <c r="D5" s="2"/>
      <c r="F5" s="2"/>
      <c r="G5" s="2"/>
      <c r="I5" s="36"/>
    </row>
    <row r="6" spans="1:10" ht="19.95" customHeight="1">
      <c r="A6" s="37" t="s">
        <v>264</v>
      </c>
      <c r="B6" s="127"/>
      <c r="C6" s="127" t="s">
        <v>1003</v>
      </c>
      <c r="F6" s="2"/>
      <c r="G6" s="2"/>
      <c r="I6" s="36"/>
    </row>
    <row r="7" spans="1:10" ht="19.95" customHeight="1">
      <c r="A7" s="23" t="s">
        <v>391</v>
      </c>
      <c r="C7" s="2"/>
      <c r="D7" s="2"/>
      <c r="E7" s="2"/>
      <c r="F7" s="2"/>
      <c r="G7" s="2"/>
      <c r="H7" s="2"/>
      <c r="I7" s="2"/>
    </row>
    <row r="8" spans="1:10" s="102" customFormat="1" ht="19.95" customHeight="1">
      <c r="B8" s="960" t="s">
        <v>392</v>
      </c>
      <c r="C8" s="961" t="s">
        <v>1104</v>
      </c>
      <c r="D8" s="962"/>
      <c r="E8" s="961" t="s">
        <v>1105</v>
      </c>
      <c r="F8" s="962"/>
      <c r="G8" s="961" t="s">
        <v>1106</v>
      </c>
      <c r="H8" s="962"/>
      <c r="I8" s="961" t="s">
        <v>1107</v>
      </c>
      <c r="J8" s="962"/>
    </row>
    <row r="9" spans="1:10" ht="19.95" customHeight="1">
      <c r="B9" s="960"/>
      <c r="C9" s="297" t="s">
        <v>393</v>
      </c>
      <c r="D9" s="297" t="s">
        <v>394</v>
      </c>
      <c r="E9" s="297" t="s">
        <v>393</v>
      </c>
      <c r="F9" s="297" t="s">
        <v>394</v>
      </c>
      <c r="G9" s="297" t="s">
        <v>393</v>
      </c>
      <c r="H9" s="297" t="s">
        <v>394</v>
      </c>
      <c r="I9" s="297" t="s">
        <v>393</v>
      </c>
      <c r="J9" s="297" t="s">
        <v>394</v>
      </c>
    </row>
    <row r="10" spans="1:10" ht="19.95" customHeight="1">
      <c r="B10" s="289" t="s">
        <v>56</v>
      </c>
      <c r="C10" s="293"/>
      <c r="D10" s="293"/>
      <c r="E10" s="293"/>
      <c r="F10" s="293"/>
      <c r="G10" s="293"/>
      <c r="H10" s="293"/>
      <c r="I10" s="298"/>
      <c r="J10" s="298"/>
    </row>
    <row r="11" spans="1:10" ht="19.95" customHeight="1">
      <c r="B11" s="289" t="s">
        <v>395</v>
      </c>
      <c r="C11" s="293"/>
      <c r="D11" s="293"/>
      <c r="E11" s="293"/>
      <c r="F11" s="293"/>
      <c r="G11" s="293"/>
      <c r="H11" s="293"/>
      <c r="I11" s="298"/>
      <c r="J11" s="298"/>
    </row>
    <row r="12" spans="1:10" ht="19.95" customHeight="1">
      <c r="B12" s="289" t="s">
        <v>57</v>
      </c>
      <c r="C12" s="293"/>
      <c r="D12" s="293"/>
      <c r="E12" s="293"/>
      <c r="F12" s="293"/>
      <c r="G12" s="293"/>
      <c r="H12" s="293"/>
      <c r="I12" s="298"/>
      <c r="J12" s="298"/>
    </row>
    <row r="13" spans="1:10" ht="19.95" customHeight="1">
      <c r="B13" s="299" t="s">
        <v>58</v>
      </c>
      <c r="C13" s="400">
        <f>C10+C12</f>
        <v>0</v>
      </c>
      <c r="D13" s="400">
        <f t="shared" ref="D13:J13" si="0">D10+D12</f>
        <v>0</v>
      </c>
      <c r="E13" s="400">
        <f t="shared" si="0"/>
        <v>0</v>
      </c>
      <c r="F13" s="400">
        <f t="shared" si="0"/>
        <v>0</v>
      </c>
      <c r="G13" s="400">
        <f t="shared" si="0"/>
        <v>0</v>
      </c>
      <c r="H13" s="400">
        <f t="shared" si="0"/>
        <v>0</v>
      </c>
      <c r="I13" s="400">
        <f t="shared" si="0"/>
        <v>0</v>
      </c>
      <c r="J13" s="400">
        <f t="shared" si="0"/>
        <v>0</v>
      </c>
    </row>
    <row r="14" spans="1:10" ht="19.95" customHeight="1">
      <c r="B14" s="289" t="s">
        <v>59</v>
      </c>
      <c r="C14" s="293"/>
      <c r="D14" s="293"/>
      <c r="E14" s="293"/>
      <c r="F14" s="293"/>
      <c r="G14" s="293"/>
      <c r="H14" s="293"/>
      <c r="I14" s="298"/>
      <c r="J14" s="298"/>
    </row>
    <row r="15" spans="1:10" ht="19.95" customHeight="1">
      <c r="B15" s="289" t="s">
        <v>60</v>
      </c>
      <c r="C15" s="293"/>
      <c r="D15" s="293"/>
      <c r="E15" s="293"/>
      <c r="F15" s="293"/>
      <c r="G15" s="293"/>
      <c r="H15" s="293"/>
      <c r="I15" s="298"/>
      <c r="J15" s="298"/>
    </row>
    <row r="16" spans="1:10" ht="19.95" customHeight="1">
      <c r="B16" s="299" t="s">
        <v>61</v>
      </c>
      <c r="C16" s="400">
        <f>C14+C15</f>
        <v>0</v>
      </c>
      <c r="D16" s="400">
        <f t="shared" ref="D16:J16" si="1">D14+D15</f>
        <v>0</v>
      </c>
      <c r="E16" s="400">
        <f t="shared" si="1"/>
        <v>0</v>
      </c>
      <c r="F16" s="400">
        <f t="shared" si="1"/>
        <v>0</v>
      </c>
      <c r="G16" s="400">
        <f t="shared" si="1"/>
        <v>0</v>
      </c>
      <c r="H16" s="400">
        <f t="shared" si="1"/>
        <v>0</v>
      </c>
      <c r="I16" s="400">
        <f t="shared" si="1"/>
        <v>0</v>
      </c>
      <c r="J16" s="400">
        <f t="shared" si="1"/>
        <v>0</v>
      </c>
    </row>
    <row r="17" spans="2:10" ht="19.95" customHeight="1">
      <c r="B17" s="299" t="s">
        <v>396</v>
      </c>
      <c r="C17" s="293"/>
      <c r="D17" s="293"/>
      <c r="E17" s="293"/>
      <c r="F17" s="293"/>
      <c r="G17" s="293"/>
      <c r="H17" s="293"/>
      <c r="I17" s="298"/>
      <c r="J17" s="298"/>
    </row>
    <row r="18" spans="2:10" ht="19.95" customHeight="1">
      <c r="B18" s="289" t="s">
        <v>397</v>
      </c>
      <c r="C18" s="293"/>
      <c r="D18" s="293"/>
      <c r="E18" s="293"/>
      <c r="F18" s="293"/>
      <c r="G18" s="293"/>
      <c r="H18" s="293"/>
      <c r="I18" s="298"/>
      <c r="J18" s="298"/>
    </row>
    <row r="19" spans="2:10" ht="19.95" customHeight="1">
      <c r="B19" s="300" t="s">
        <v>398</v>
      </c>
      <c r="C19" s="293"/>
      <c r="D19" s="293"/>
      <c r="E19" s="293"/>
      <c r="F19" s="293"/>
      <c r="G19" s="293"/>
      <c r="H19" s="293"/>
      <c r="I19" s="298"/>
      <c r="J19" s="298"/>
    </row>
    <row r="20" spans="2:10" ht="19.95" customHeight="1">
      <c r="B20" s="289" t="s">
        <v>399</v>
      </c>
      <c r="C20" s="294"/>
      <c r="D20" s="294"/>
      <c r="E20" s="294"/>
      <c r="F20" s="294"/>
      <c r="G20" s="294"/>
      <c r="H20" s="294"/>
      <c r="I20" s="301"/>
      <c r="J20" s="301"/>
    </row>
    <row r="21" spans="2:10" ht="19.95" customHeight="1">
      <c r="B21" s="289" t="s">
        <v>400</v>
      </c>
      <c r="C21" s="369">
        <f>C17*C20</f>
        <v>0</v>
      </c>
      <c r="D21" s="369">
        <f t="shared" ref="D21:J21" si="2">D17*D20</f>
        <v>0</v>
      </c>
      <c r="E21" s="369">
        <f t="shared" si="2"/>
        <v>0</v>
      </c>
      <c r="F21" s="369">
        <f t="shared" si="2"/>
        <v>0</v>
      </c>
      <c r="G21" s="369">
        <f t="shared" si="2"/>
        <v>0</v>
      </c>
      <c r="H21" s="369">
        <f t="shared" si="2"/>
        <v>0</v>
      </c>
      <c r="I21" s="369">
        <f t="shared" si="2"/>
        <v>0</v>
      </c>
      <c r="J21" s="369">
        <f t="shared" si="2"/>
        <v>0</v>
      </c>
    </row>
    <row r="22" spans="2:10" ht="19.95" customHeight="1">
      <c r="B22" s="289" t="s">
        <v>401</v>
      </c>
      <c r="C22" s="369">
        <f>SUM(C23:C26)</f>
        <v>0</v>
      </c>
      <c r="D22" s="369">
        <f t="shared" ref="D22:J22" si="3">SUM(D23:D26)</f>
        <v>0</v>
      </c>
      <c r="E22" s="369">
        <f t="shared" si="3"/>
        <v>0</v>
      </c>
      <c r="F22" s="369">
        <f t="shared" si="3"/>
        <v>0</v>
      </c>
      <c r="G22" s="369">
        <f t="shared" si="3"/>
        <v>0</v>
      </c>
      <c r="H22" s="369">
        <f t="shared" si="3"/>
        <v>0</v>
      </c>
      <c r="I22" s="369">
        <f t="shared" si="3"/>
        <v>0</v>
      </c>
      <c r="J22" s="369">
        <f t="shared" si="3"/>
        <v>0</v>
      </c>
    </row>
    <row r="23" spans="2:10" ht="19.95" customHeight="1">
      <c r="B23" s="289" t="s">
        <v>402</v>
      </c>
      <c r="C23" s="293"/>
      <c r="D23" s="293"/>
      <c r="E23" s="293"/>
      <c r="F23" s="293"/>
      <c r="G23" s="293"/>
      <c r="H23" s="293"/>
      <c r="I23" s="298"/>
      <c r="J23" s="298"/>
    </row>
    <row r="24" spans="2:10" ht="19.95" customHeight="1">
      <c r="B24" s="300" t="s">
        <v>403</v>
      </c>
      <c r="C24" s="293"/>
      <c r="D24" s="293"/>
      <c r="E24" s="293"/>
      <c r="F24" s="293"/>
      <c r="G24" s="293"/>
      <c r="H24" s="293"/>
      <c r="I24" s="298"/>
      <c r="J24" s="298"/>
    </row>
    <row r="25" spans="2:10" ht="19.95" customHeight="1">
      <c r="B25" s="300" t="s">
        <v>404</v>
      </c>
      <c r="C25" s="293"/>
      <c r="D25" s="293"/>
      <c r="E25" s="293"/>
      <c r="F25" s="293"/>
      <c r="G25" s="293"/>
      <c r="H25" s="293"/>
      <c r="I25" s="298"/>
      <c r="J25" s="298"/>
    </row>
    <row r="26" spans="2:10" ht="19.95" customHeight="1">
      <c r="B26" s="300" t="s">
        <v>405</v>
      </c>
      <c r="C26" s="293"/>
      <c r="D26" s="293"/>
      <c r="E26" s="293"/>
      <c r="F26" s="293"/>
      <c r="G26" s="293"/>
      <c r="H26" s="293"/>
      <c r="I26" s="298"/>
      <c r="J26" s="298"/>
    </row>
    <row r="27" spans="2:10" ht="19.95" customHeight="1">
      <c r="B27" s="289" t="s">
        <v>406</v>
      </c>
      <c r="C27" s="369">
        <f>C21-C22</f>
        <v>0</v>
      </c>
      <c r="D27" s="369">
        <f t="shared" ref="D27:J27" si="4">D21-D22</f>
        <v>0</v>
      </c>
      <c r="E27" s="369">
        <f t="shared" si="4"/>
        <v>0</v>
      </c>
      <c r="F27" s="369">
        <f t="shared" si="4"/>
        <v>0</v>
      </c>
      <c r="G27" s="369">
        <f t="shared" si="4"/>
        <v>0</v>
      </c>
      <c r="H27" s="369">
        <f t="shared" si="4"/>
        <v>0</v>
      </c>
      <c r="I27" s="369">
        <f t="shared" si="4"/>
        <v>0</v>
      </c>
      <c r="J27" s="369">
        <f t="shared" si="4"/>
        <v>0</v>
      </c>
    </row>
    <row r="28" spans="2:10" ht="19.95" customHeight="1">
      <c r="B28" s="289" t="s">
        <v>407</v>
      </c>
      <c r="C28" s="293"/>
      <c r="D28" s="293"/>
      <c r="E28" s="293"/>
      <c r="F28" s="293"/>
      <c r="G28" s="293"/>
      <c r="H28" s="293"/>
      <c r="I28" s="298"/>
      <c r="J28" s="298"/>
    </row>
    <row r="29" spans="2:10" ht="19.95" customHeight="1">
      <c r="B29" s="289" t="s">
        <v>62</v>
      </c>
      <c r="C29" s="293"/>
      <c r="D29" s="293"/>
      <c r="E29" s="293"/>
      <c r="F29" s="293"/>
      <c r="G29" s="293"/>
      <c r="H29" s="293"/>
      <c r="I29" s="298"/>
      <c r="J29" s="298"/>
    </row>
    <row r="30" spans="2:10" ht="19.95" customHeight="1">
      <c r="B30" s="289" t="s">
        <v>408</v>
      </c>
      <c r="C30" s="293"/>
      <c r="D30" s="293"/>
      <c r="E30" s="293"/>
      <c r="F30" s="293"/>
      <c r="G30" s="293"/>
      <c r="H30" s="293"/>
      <c r="I30" s="298"/>
      <c r="J30" s="298"/>
    </row>
    <row r="31" spans="2:10" ht="19.95" customHeight="1">
      <c r="B31" s="289" t="s">
        <v>409</v>
      </c>
      <c r="C31" s="293"/>
      <c r="D31" s="293"/>
      <c r="E31" s="293"/>
      <c r="F31" s="293"/>
      <c r="G31" s="293"/>
      <c r="H31" s="293"/>
      <c r="I31" s="298"/>
      <c r="J31" s="298"/>
    </row>
    <row r="32" spans="2:10" ht="19.95" customHeight="1">
      <c r="B32" s="289" t="s">
        <v>63</v>
      </c>
      <c r="C32" s="293"/>
      <c r="D32" s="293"/>
      <c r="E32" s="293"/>
      <c r="F32" s="293"/>
      <c r="G32" s="293"/>
      <c r="H32" s="293"/>
      <c r="I32" s="298"/>
      <c r="J32" s="298"/>
    </row>
    <row r="33" spans="1:10" ht="19.95" customHeight="1">
      <c r="B33" s="289" t="s">
        <v>410</v>
      </c>
      <c r="C33" s="293"/>
      <c r="D33" s="293"/>
      <c r="E33" s="293"/>
      <c r="F33" s="293"/>
      <c r="G33" s="293"/>
      <c r="H33" s="293"/>
      <c r="I33" s="298"/>
      <c r="J33" s="298"/>
    </row>
    <row r="34" spans="1:10" ht="19.95" customHeight="1">
      <c r="B34" s="289" t="s">
        <v>411</v>
      </c>
      <c r="C34" s="293"/>
      <c r="D34" s="293"/>
      <c r="E34" s="293"/>
      <c r="F34" s="293"/>
      <c r="G34" s="293"/>
      <c r="H34" s="293"/>
      <c r="I34" s="298"/>
      <c r="J34" s="298"/>
    </row>
    <row r="35" spans="1:10" ht="19.95" customHeight="1">
      <c r="B35" s="289" t="s">
        <v>64</v>
      </c>
      <c r="C35" s="369">
        <f>C32+C34</f>
        <v>0</v>
      </c>
      <c r="D35" s="369">
        <f t="shared" ref="D35:J35" si="5">D32+D34</f>
        <v>0</v>
      </c>
      <c r="E35" s="369">
        <f t="shared" si="5"/>
        <v>0</v>
      </c>
      <c r="F35" s="369">
        <f t="shared" si="5"/>
        <v>0</v>
      </c>
      <c r="G35" s="369">
        <f>G32+G34</f>
        <v>0</v>
      </c>
      <c r="H35" s="369">
        <f t="shared" si="5"/>
        <v>0</v>
      </c>
      <c r="I35" s="369">
        <f t="shared" si="5"/>
        <v>0</v>
      </c>
      <c r="J35" s="369">
        <f t="shared" si="5"/>
        <v>0</v>
      </c>
    </row>
    <row r="36" spans="1:10" ht="19.95" customHeight="1">
      <c r="B36" s="396" t="s">
        <v>850</v>
      </c>
      <c r="C36" s="293"/>
      <c r="D36" s="293"/>
      <c r="E36" s="293"/>
      <c r="F36" s="293"/>
      <c r="G36" s="293"/>
      <c r="H36" s="293"/>
      <c r="I36" s="298"/>
      <c r="J36" s="298"/>
    </row>
    <row r="37" spans="1:10" ht="19.95" customHeight="1">
      <c r="B37" s="289" t="s">
        <v>412</v>
      </c>
      <c r="C37" s="293"/>
      <c r="D37" s="293"/>
      <c r="E37" s="293"/>
      <c r="F37" s="293"/>
      <c r="G37" s="293"/>
      <c r="H37" s="293"/>
      <c r="I37" s="298"/>
      <c r="J37" s="298"/>
    </row>
    <row r="38" spans="1:10" ht="19.95" customHeight="1">
      <c r="B38" s="289" t="s">
        <v>413</v>
      </c>
      <c r="C38" s="293"/>
      <c r="D38" s="293"/>
      <c r="E38" s="293"/>
      <c r="F38" s="293"/>
      <c r="G38" s="293"/>
      <c r="H38" s="293"/>
      <c r="I38" s="298"/>
      <c r="J38" s="298"/>
    </row>
    <row r="39" spans="1:10" ht="19.95" customHeight="1">
      <c r="B39" s="289" t="s">
        <v>414</v>
      </c>
      <c r="C39" s="369">
        <f>C37+C38</f>
        <v>0</v>
      </c>
      <c r="D39" s="369">
        <f t="shared" ref="D39:J39" si="6">D37+D38</f>
        <v>0</v>
      </c>
      <c r="E39" s="369">
        <f t="shared" si="6"/>
        <v>0</v>
      </c>
      <c r="F39" s="369">
        <f t="shared" si="6"/>
        <v>0</v>
      </c>
      <c r="G39" s="369">
        <f t="shared" si="6"/>
        <v>0</v>
      </c>
      <c r="H39" s="369">
        <f t="shared" si="6"/>
        <v>0</v>
      </c>
      <c r="I39" s="369">
        <f t="shared" si="6"/>
        <v>0</v>
      </c>
      <c r="J39" s="369">
        <f t="shared" si="6"/>
        <v>0</v>
      </c>
    </row>
    <row r="40" spans="1:10" ht="19.95" customHeight="1">
      <c r="A40" s="23" t="s">
        <v>415</v>
      </c>
      <c r="C40" s="2"/>
      <c r="D40" s="2"/>
      <c r="E40" s="2"/>
      <c r="F40" s="2"/>
      <c r="G40" s="2"/>
      <c r="H40" s="2"/>
      <c r="I40" s="2"/>
    </row>
    <row r="41" spans="1:10" s="2" customFormat="1" ht="25.8">
      <c r="B41" s="302" t="s">
        <v>174</v>
      </c>
      <c r="C41" s="302" t="s">
        <v>180</v>
      </c>
      <c r="D41" s="302" t="s">
        <v>181</v>
      </c>
      <c r="E41" s="302" t="s">
        <v>1102</v>
      </c>
      <c r="F41" s="302" t="s">
        <v>1103</v>
      </c>
      <c r="G41" s="404" t="s">
        <v>182</v>
      </c>
      <c r="H41" s="404" t="s">
        <v>183</v>
      </c>
      <c r="I41" s="289"/>
      <c r="J41" s="405"/>
    </row>
    <row r="42" spans="1:10" s="2" customFormat="1" ht="19.95" customHeight="1">
      <c r="B42" s="303" t="s">
        <v>175</v>
      </c>
      <c r="C42" s="289"/>
      <c r="D42" s="289"/>
      <c r="E42" s="289"/>
      <c r="F42" s="289"/>
      <c r="G42" s="573">
        <f>SUM(C42:F42)</f>
        <v>0</v>
      </c>
      <c r="H42" s="572"/>
      <c r="I42" s="289"/>
      <c r="J42" s="289"/>
    </row>
    <row r="43" spans="1:10" s="2" customFormat="1" ht="19.95" customHeight="1">
      <c r="B43" s="303" t="s">
        <v>176</v>
      </c>
      <c r="C43" s="289"/>
      <c r="D43" s="289"/>
      <c r="E43" s="289"/>
      <c r="F43" s="289"/>
      <c r="G43" s="573">
        <f>SUM(C43:F43)</f>
        <v>0</v>
      </c>
      <c r="H43" s="572"/>
      <c r="I43" s="289"/>
      <c r="J43" s="289"/>
    </row>
    <row r="44" spans="1:10" s="2" customFormat="1" ht="19.95" customHeight="1">
      <c r="B44" s="303" t="s">
        <v>177</v>
      </c>
      <c r="C44" s="289"/>
      <c r="D44" s="289"/>
      <c r="E44" s="289"/>
      <c r="F44" s="289"/>
      <c r="G44" s="573">
        <f>SUM(C44:F44)</f>
        <v>0</v>
      </c>
      <c r="H44" s="572"/>
      <c r="I44" s="289"/>
      <c r="J44" s="289"/>
    </row>
    <row r="45" spans="1:10" s="2" customFormat="1" ht="19.95" customHeight="1">
      <c r="B45" s="303" t="s">
        <v>178</v>
      </c>
      <c r="C45" s="289"/>
      <c r="D45" s="289"/>
      <c r="E45" s="289"/>
      <c r="F45" s="289"/>
      <c r="G45" s="573">
        <f>SUM(C45:F45)</f>
        <v>0</v>
      </c>
      <c r="H45" s="572"/>
      <c r="I45" s="289"/>
      <c r="J45" s="289"/>
    </row>
    <row r="46" spans="1:10" s="2" customFormat="1" ht="19.95" customHeight="1">
      <c r="B46" s="303" t="s">
        <v>179</v>
      </c>
      <c r="C46" s="289"/>
      <c r="D46" s="289"/>
      <c r="E46" s="289"/>
      <c r="F46" s="289"/>
      <c r="G46" s="573">
        <f>SUM(C46:F46)</f>
        <v>0</v>
      </c>
      <c r="H46" s="572"/>
      <c r="I46" s="289"/>
      <c r="J46" s="289"/>
    </row>
    <row r="47" spans="1:10" s="2" customFormat="1" ht="19.95" customHeight="1">
      <c r="A47" s="23" t="s">
        <v>173</v>
      </c>
      <c r="G47" s="36"/>
      <c r="H47" s="36"/>
      <c r="I47" s="36"/>
      <c r="J47" s="36"/>
    </row>
    <row r="48" spans="1:10" s="2" customFormat="1" ht="25.8">
      <c r="B48" s="302" t="s">
        <v>174</v>
      </c>
      <c r="C48" s="302" t="s">
        <v>180</v>
      </c>
      <c r="D48" s="302" t="s">
        <v>181</v>
      </c>
      <c r="E48" s="302" t="s">
        <v>1102</v>
      </c>
      <c r="F48" s="302" t="s">
        <v>1103</v>
      </c>
      <c r="G48" s="404" t="s">
        <v>182</v>
      </c>
      <c r="H48" s="404" t="s">
        <v>183</v>
      </c>
      <c r="I48" s="289"/>
      <c r="J48" s="405"/>
    </row>
    <row r="49" spans="1:10" s="2" customFormat="1" ht="19.95" customHeight="1">
      <c r="B49" s="640" t="s">
        <v>1288</v>
      </c>
      <c r="C49" s="289"/>
      <c r="D49" s="289"/>
      <c r="E49" s="289"/>
      <c r="F49" s="289"/>
      <c r="G49" s="573">
        <f>SUM(C49:F49)</f>
        <v>0</v>
      </c>
      <c r="H49" s="572"/>
      <c r="I49" s="289"/>
      <c r="J49" s="289"/>
    </row>
    <row r="50" spans="1:10" s="2" customFormat="1" ht="19.95" customHeight="1">
      <c r="B50" s="303" t="s">
        <v>176</v>
      </c>
      <c r="C50" s="289"/>
      <c r="D50" s="289"/>
      <c r="E50" s="289"/>
      <c r="F50" s="289"/>
      <c r="G50" s="573">
        <f t="shared" ref="G50:G53" si="7">SUM(C50:F50)</f>
        <v>0</v>
      </c>
      <c r="H50" s="572"/>
      <c r="I50" s="289"/>
      <c r="J50" s="289"/>
    </row>
    <row r="51" spans="1:10" s="2" customFormat="1" ht="19.95" customHeight="1">
      <c r="B51" s="303" t="s">
        <v>177</v>
      </c>
      <c r="C51" s="289"/>
      <c r="D51" s="289"/>
      <c r="E51" s="289"/>
      <c r="F51" s="289"/>
      <c r="G51" s="573">
        <f t="shared" si="7"/>
        <v>0</v>
      </c>
      <c r="H51" s="572"/>
      <c r="I51" s="289"/>
      <c r="J51" s="289"/>
    </row>
    <row r="52" spans="1:10" s="2" customFormat="1" ht="19.95" customHeight="1">
      <c r="B52" s="303" t="s">
        <v>178</v>
      </c>
      <c r="C52" s="289"/>
      <c r="D52" s="289"/>
      <c r="E52" s="289"/>
      <c r="F52" s="289"/>
      <c r="G52" s="573">
        <f t="shared" si="7"/>
        <v>0</v>
      </c>
      <c r="H52" s="572"/>
      <c r="I52" s="289"/>
      <c r="J52" s="289"/>
    </row>
    <row r="53" spans="1:10" s="2" customFormat="1" ht="19.95" customHeight="1">
      <c r="B53" s="303" t="s">
        <v>179</v>
      </c>
      <c r="C53" s="289"/>
      <c r="D53" s="289"/>
      <c r="E53" s="289"/>
      <c r="F53" s="289"/>
      <c r="G53" s="573">
        <f t="shared" si="7"/>
        <v>0</v>
      </c>
      <c r="H53" s="572"/>
      <c r="I53" s="289"/>
      <c r="J53" s="289"/>
    </row>
    <row r="54" spans="1:10" s="2" customFormat="1" ht="19.95" customHeight="1">
      <c r="A54" s="23" t="s">
        <v>416</v>
      </c>
      <c r="B54" s="23"/>
    </row>
    <row r="55" spans="1:10" ht="19.95" customHeight="1">
      <c r="A55" s="2"/>
      <c r="B55" s="35"/>
    </row>
    <row r="56" spans="1:10" ht="19.95" customHeight="1">
      <c r="A56" s="23" t="s">
        <v>417</v>
      </c>
      <c r="B56" s="35"/>
    </row>
    <row r="57" spans="1:10" ht="19.95" customHeight="1"/>
  </sheetData>
  <mergeCells count="7">
    <mergeCell ref="B1:J1"/>
    <mergeCell ref="B2:J2"/>
    <mergeCell ref="B8:B9"/>
    <mergeCell ref="C8:D8"/>
    <mergeCell ref="E8:F8"/>
    <mergeCell ref="G8:H8"/>
    <mergeCell ref="I8:J8"/>
  </mergeCells>
  <phoneticPr fontId="11" type="noConversion"/>
  <hyperlinks>
    <hyperlink ref="J3" location="底稿目录!F11" display="底稿目录!F11"/>
  </hyperlinks>
  <pageMargins left="0.70866141732283472" right="0.70866141732283472" top="0.74803149606299213" bottom="0.74803149606299213" header="0.31496062992125984" footer="0.31496062992125984"/>
  <pageSetup paperSize="9" scale="70" fitToHeight="0" orientation="portrait" blackAndWhite="1" r:id="rId1"/>
  <headerFooter>
    <oddFooter>&amp;C&amp;P/&amp;N</oddFooter>
  </headerFooter>
  <rowBreaks count="1" manualBreakCount="1">
    <brk id="27" max="1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G31"/>
  <sheetViews>
    <sheetView view="pageBreakPreview" zoomScaleSheetLayoutView="100" workbookViewId="0">
      <selection sqref="A1:F1"/>
    </sheetView>
  </sheetViews>
  <sheetFormatPr defaultColWidth="9" defaultRowHeight="13.8"/>
  <cols>
    <col min="1" max="1" width="3" style="130" customWidth="1"/>
    <col min="2" max="2" width="16" style="130" customWidth="1"/>
    <col min="3" max="3" width="15.3984375" style="130" customWidth="1"/>
    <col min="4" max="4" width="15" style="130" customWidth="1"/>
    <col min="5" max="5" width="28.69921875" style="130" customWidth="1"/>
    <col min="6" max="6" width="20.09765625" style="130" customWidth="1"/>
    <col min="7" max="7" width="5.19921875" style="130" customWidth="1"/>
    <col min="8" max="16384" width="9" style="130"/>
  </cols>
  <sheetData>
    <row r="1" spans="1:7" s="625" customFormat="1" ht="19.95" customHeight="1">
      <c r="A1" s="942" t="s">
        <v>0</v>
      </c>
      <c r="B1" s="942"/>
      <c r="C1" s="942"/>
      <c r="D1" s="942"/>
      <c r="E1" s="942"/>
      <c r="F1" s="942"/>
      <c r="G1" s="624"/>
    </row>
    <row r="2" spans="1:7" s="636" customFormat="1" ht="19.95" customHeight="1">
      <c r="A2" s="943" t="s">
        <v>1027</v>
      </c>
      <c r="B2" s="943"/>
      <c r="C2" s="943"/>
      <c r="D2" s="943"/>
      <c r="E2" s="943"/>
      <c r="F2" s="943"/>
      <c r="G2" s="635"/>
    </row>
    <row r="3" spans="1:7" s="207" customFormat="1" ht="19.95" customHeight="1">
      <c r="A3" s="207" t="str">
        <f>底稿目录!A2</f>
        <v>被审计单位：</v>
      </c>
      <c r="C3" s="207" t="str">
        <f>底稿目录!A4</f>
        <v>编制人：</v>
      </c>
      <c r="D3" s="207" t="str">
        <f>底稿目录!A5</f>
        <v>编制日期：</v>
      </c>
      <c r="E3" s="672" t="s">
        <v>2</v>
      </c>
      <c r="F3" s="763" t="str">
        <f>底稿目录!F12</f>
        <v>G7-6</v>
      </c>
    </row>
    <row r="4" spans="1:7" s="207" customFormat="1" ht="19.95" customHeight="1">
      <c r="A4" s="207" t="str">
        <f>底稿目录!A3</f>
        <v>截止日：202X年12月31日</v>
      </c>
      <c r="C4" s="207" t="str">
        <f>底稿目录!A6</f>
        <v>复核人：</v>
      </c>
      <c r="D4" s="207" t="str">
        <f>底稿目录!A7</f>
        <v>复核日期：</v>
      </c>
      <c r="E4" s="672" t="s">
        <v>1315</v>
      </c>
    </row>
    <row r="5" spans="1:7" ht="19.95" customHeight="1">
      <c r="A5" s="37" t="s">
        <v>262</v>
      </c>
      <c r="B5" s="128"/>
      <c r="C5" s="130" t="s">
        <v>263</v>
      </c>
      <c r="D5" s="129"/>
      <c r="E5" s="129"/>
      <c r="F5" s="129"/>
    </row>
    <row r="6" spans="1:7" ht="19.95" customHeight="1">
      <c r="A6" s="37" t="s">
        <v>264</v>
      </c>
      <c r="C6" s="126" t="s">
        <v>1004</v>
      </c>
      <c r="G6" s="131"/>
    </row>
    <row r="7" spans="1:7" ht="19.95" customHeight="1">
      <c r="A7" s="125"/>
      <c r="C7" s="126" t="s">
        <v>1005</v>
      </c>
      <c r="G7" s="131"/>
    </row>
    <row r="8" spans="1:7" ht="19.95" customHeight="1">
      <c r="B8" s="531" t="s">
        <v>265</v>
      </c>
      <c r="C8" s="531" t="s">
        <v>98</v>
      </c>
      <c r="D8" s="531"/>
      <c r="E8" s="531"/>
      <c r="F8" s="133" t="s">
        <v>266</v>
      </c>
      <c r="G8" s="131"/>
    </row>
    <row r="9" spans="1:7" ht="19.95" customHeight="1">
      <c r="A9" s="304"/>
      <c r="B9" s="305" t="s">
        <v>267</v>
      </c>
      <c r="C9" s="530" t="s">
        <v>281</v>
      </c>
      <c r="D9" s="530"/>
      <c r="E9" s="530"/>
      <c r="F9" s="134" t="s">
        <v>282</v>
      </c>
    </row>
    <row r="10" spans="1:7" ht="19.95" customHeight="1">
      <c r="A10" s="304"/>
      <c r="B10" s="305" t="s">
        <v>268</v>
      </c>
      <c r="C10" s="530" t="s">
        <v>283</v>
      </c>
      <c r="D10" s="530"/>
      <c r="E10" s="530"/>
      <c r="F10" s="134" t="s">
        <v>282</v>
      </c>
    </row>
    <row r="11" spans="1:7" ht="19.95" customHeight="1">
      <c r="A11" s="304"/>
      <c r="B11" s="305" t="s">
        <v>269</v>
      </c>
      <c r="C11" s="530" t="s">
        <v>284</v>
      </c>
      <c r="D11" s="530"/>
      <c r="E11" s="530"/>
      <c r="F11" s="134" t="s">
        <v>282</v>
      </c>
    </row>
    <row r="12" spans="1:7" ht="19.95" customHeight="1">
      <c r="A12" s="304"/>
      <c r="B12" s="305" t="s">
        <v>270</v>
      </c>
      <c r="C12" s="530" t="s">
        <v>285</v>
      </c>
      <c r="D12" s="530"/>
      <c r="E12" s="530"/>
      <c r="F12" s="134" t="s">
        <v>282</v>
      </c>
    </row>
    <row r="13" spans="1:7" ht="19.95" customHeight="1">
      <c r="A13" s="304"/>
      <c r="B13" s="305" t="s">
        <v>271</v>
      </c>
      <c r="C13" s="530" t="s">
        <v>286</v>
      </c>
      <c r="D13" s="530"/>
      <c r="E13" s="530"/>
      <c r="F13" s="134"/>
    </row>
    <row r="14" spans="1:7" ht="19.95" customHeight="1">
      <c r="A14" s="304"/>
      <c r="B14" s="305" t="s">
        <v>272</v>
      </c>
      <c r="C14" s="532" t="s">
        <v>287</v>
      </c>
      <c r="D14" s="532"/>
      <c r="E14" s="532"/>
      <c r="F14" s="134" t="s">
        <v>282</v>
      </c>
    </row>
    <row r="15" spans="1:7" ht="19.95" customHeight="1">
      <c r="A15" s="304"/>
      <c r="B15" s="305" t="s">
        <v>273</v>
      </c>
      <c r="C15" s="530"/>
      <c r="D15" s="530"/>
      <c r="E15" s="530"/>
      <c r="F15" s="134" t="s">
        <v>282</v>
      </c>
    </row>
    <row r="16" spans="1:7" ht="19.95" customHeight="1">
      <c r="A16" s="304"/>
      <c r="B16" s="305" t="s">
        <v>274</v>
      </c>
      <c r="C16" s="530" t="s">
        <v>288</v>
      </c>
      <c r="D16" s="530"/>
      <c r="E16" s="530"/>
      <c r="F16" s="134" t="s">
        <v>282</v>
      </c>
    </row>
    <row r="17" spans="1:6" ht="19.95" customHeight="1">
      <c r="A17" s="304"/>
      <c r="B17" s="305" t="s">
        <v>275</v>
      </c>
      <c r="C17" s="530" t="s">
        <v>289</v>
      </c>
      <c r="D17" s="530"/>
      <c r="E17" s="530"/>
      <c r="F17" s="134" t="s">
        <v>282</v>
      </c>
    </row>
    <row r="18" spans="1:6" ht="19.95" customHeight="1">
      <c r="A18" s="304"/>
      <c r="B18" s="305" t="s">
        <v>276</v>
      </c>
      <c r="C18" s="530" t="s">
        <v>290</v>
      </c>
      <c r="D18" s="530"/>
      <c r="E18" s="530"/>
      <c r="F18" s="134" t="s">
        <v>282</v>
      </c>
    </row>
    <row r="19" spans="1:6" ht="19.95" customHeight="1">
      <c r="A19" s="304"/>
      <c r="B19" s="305" t="s">
        <v>277</v>
      </c>
      <c r="C19" s="532" t="s">
        <v>291</v>
      </c>
      <c r="D19" s="532"/>
      <c r="E19" s="532"/>
      <c r="F19" s="134" t="s">
        <v>282</v>
      </c>
    </row>
    <row r="20" spans="1:6" ht="19.95" customHeight="1">
      <c r="A20" s="304"/>
      <c r="B20" s="305" t="s">
        <v>278</v>
      </c>
      <c r="C20" s="530" t="s">
        <v>292</v>
      </c>
      <c r="D20" s="530"/>
      <c r="E20" s="530"/>
      <c r="F20" s="134" t="s">
        <v>282</v>
      </c>
    </row>
    <row r="21" spans="1:6" ht="19.95" customHeight="1">
      <c r="A21" s="304"/>
      <c r="B21" s="533" t="s">
        <v>1028</v>
      </c>
      <c r="C21" s="530" t="s">
        <v>293</v>
      </c>
      <c r="D21" s="530"/>
      <c r="E21" s="530"/>
      <c r="F21" s="134" t="s">
        <v>282</v>
      </c>
    </row>
    <row r="22" spans="1:6" ht="19.95" customHeight="1">
      <c r="A22" s="304"/>
      <c r="B22" s="533" t="s">
        <v>1029</v>
      </c>
      <c r="C22" s="530"/>
      <c r="D22" s="530"/>
      <c r="E22" s="530"/>
      <c r="F22" s="134"/>
    </row>
    <row r="23" spans="1:6" ht="19.95" customHeight="1">
      <c r="A23" s="132" t="s">
        <v>279</v>
      </c>
    </row>
    <row r="24" spans="1:6" ht="19.95" customHeight="1">
      <c r="A24" s="135">
        <v>1</v>
      </c>
      <c r="B24" s="136" t="s">
        <v>294</v>
      </c>
      <c r="C24" s="137"/>
      <c r="D24" s="137"/>
      <c r="E24" s="137"/>
    </row>
    <row r="25" spans="1:6" ht="19.95" customHeight="1">
      <c r="A25" s="137"/>
      <c r="B25" s="138" t="s">
        <v>295</v>
      </c>
      <c r="C25" s="137"/>
      <c r="D25" s="137"/>
      <c r="E25" s="137"/>
    </row>
    <row r="26" spans="1:6" ht="19.95" customHeight="1">
      <c r="A26" s="135"/>
      <c r="B26" s="136"/>
      <c r="C26" s="139"/>
      <c r="D26" s="137"/>
      <c r="E26" s="137"/>
      <c r="F26" s="127"/>
    </row>
    <row r="27" spans="1:6" ht="19.95" customHeight="1">
      <c r="A27" s="137"/>
      <c r="B27" s="137"/>
      <c r="C27" s="140"/>
      <c r="D27" s="140"/>
      <c r="E27" s="141"/>
      <c r="F27" s="127"/>
    </row>
    <row r="28" spans="1:6" ht="19.95" customHeight="1">
      <c r="A28" s="137"/>
      <c r="B28" s="137"/>
      <c r="C28" s="140"/>
      <c r="D28" s="140"/>
      <c r="E28" s="141"/>
      <c r="F28" s="127"/>
    </row>
    <row r="29" spans="1:6" ht="19.95" customHeight="1">
      <c r="A29" s="132" t="s">
        <v>280</v>
      </c>
    </row>
    <row r="30" spans="1:6" ht="19.95" customHeight="1">
      <c r="B30" s="142" t="s">
        <v>296</v>
      </c>
    </row>
    <row r="31" spans="1:6" ht="19.95" customHeight="1"/>
  </sheetData>
  <mergeCells count="2">
    <mergeCell ref="A1:F1"/>
    <mergeCell ref="A2:F2"/>
  </mergeCells>
  <phoneticPr fontId="11" type="noConversion"/>
  <hyperlinks>
    <hyperlink ref="F3" location="底稿目录!F12" display="底稿目录!F12"/>
  </hyperlinks>
  <pageMargins left="0.70866141732283472" right="0.70866141732283472" top="0.74803149606299213" bottom="0.74803149606299213" header="0.31496062992125984" footer="0.31496062992125984"/>
  <pageSetup paperSize="9" scale="83" fitToHeight="0" orientation="portrait" blackAndWhite="1" r:id="rId1"/>
  <headerFooter>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I47"/>
  <sheetViews>
    <sheetView view="pageBreakPreview" zoomScaleSheetLayoutView="100" workbookViewId="0">
      <selection sqref="A1:I1"/>
    </sheetView>
  </sheetViews>
  <sheetFormatPr defaultColWidth="9" defaultRowHeight="15.6"/>
  <cols>
    <col min="1" max="1" width="6.69921875" style="90" customWidth="1"/>
    <col min="2" max="2" width="14.69921875" style="90" customWidth="1"/>
    <col min="3" max="3" width="23" style="90" customWidth="1"/>
    <col min="4" max="4" width="16.19921875" style="90" customWidth="1"/>
    <col min="5" max="5" width="12.19921875" style="90" customWidth="1"/>
    <col min="6" max="6" width="14.09765625" style="90" customWidth="1"/>
    <col min="7" max="7" width="12.09765625" style="90" customWidth="1"/>
    <col min="8" max="8" width="13.19921875" style="90" customWidth="1"/>
    <col min="9" max="10" width="9.59765625" style="90" customWidth="1"/>
    <col min="11" max="11" width="11.09765625" style="90" customWidth="1"/>
    <col min="12" max="16384" width="9" style="90"/>
  </cols>
  <sheetData>
    <row r="1" spans="1:9" s="617" customFormat="1" ht="19.95" customHeight="1">
      <c r="A1" s="942" t="s">
        <v>1267</v>
      </c>
      <c r="B1" s="942"/>
      <c r="C1" s="942"/>
      <c r="D1" s="942"/>
      <c r="E1" s="942"/>
      <c r="F1" s="942"/>
      <c r="G1" s="942"/>
      <c r="H1" s="942"/>
      <c r="I1" s="942"/>
    </row>
    <row r="2" spans="1:9" s="630" customFormat="1" ht="19.95" customHeight="1">
      <c r="A2" s="943" t="s">
        <v>1277</v>
      </c>
      <c r="B2" s="943"/>
      <c r="C2" s="943"/>
      <c r="D2" s="943"/>
      <c r="E2" s="943"/>
      <c r="F2" s="943"/>
      <c r="G2" s="943"/>
      <c r="H2" s="943"/>
      <c r="I2" s="943"/>
    </row>
    <row r="3" spans="1:9" s="673" customFormat="1" ht="19.95" customHeight="1">
      <c r="A3" s="673" t="str">
        <f>底稿目录!A2</f>
        <v>被审计单位：</v>
      </c>
      <c r="D3" s="673" t="str">
        <f>底稿目录!A4</f>
        <v>编制人：</v>
      </c>
      <c r="E3" s="681" t="str">
        <f>底稿目录!A5</f>
        <v>编制日期：</v>
      </c>
      <c r="G3" s="673" t="s">
        <v>67</v>
      </c>
      <c r="H3" s="763" t="str">
        <f>底稿目录!F13</f>
        <v>G7-7</v>
      </c>
    </row>
    <row r="4" spans="1:9" s="673" customFormat="1" ht="19.95" customHeight="1">
      <c r="A4" s="673" t="str">
        <f>底稿目录!A3</f>
        <v>截止日：202X年12月31日</v>
      </c>
      <c r="D4" s="673" t="str">
        <f>底稿目录!A6</f>
        <v>复核人：</v>
      </c>
      <c r="E4" s="681" t="str">
        <f>底稿目录!A7</f>
        <v>复核日期：</v>
      </c>
      <c r="G4" s="673" t="s">
        <v>1314</v>
      </c>
    </row>
    <row r="5" spans="1:9" ht="19.95" customHeight="1">
      <c r="A5" s="74" t="s">
        <v>146</v>
      </c>
      <c r="B5" s="123"/>
      <c r="C5" s="80" t="s">
        <v>241</v>
      </c>
    </row>
    <row r="6" spans="1:9" ht="19.95" customHeight="1">
      <c r="A6" s="75" t="s">
        <v>126</v>
      </c>
      <c r="B6" s="124"/>
    </row>
    <row r="7" spans="1:9" ht="19.95" customHeight="1">
      <c r="A7" s="54" t="s">
        <v>1108</v>
      </c>
      <c r="B7" s="574"/>
      <c r="C7" s="575"/>
      <c r="D7" s="576"/>
      <c r="E7" s="576"/>
      <c r="F7" s="576"/>
      <c r="G7" s="576"/>
      <c r="H7" s="577"/>
    </row>
    <row r="8" spans="1:9" ht="19.95" customHeight="1">
      <c r="A8" s="963" t="s">
        <v>242</v>
      </c>
      <c r="B8" s="964"/>
      <c r="C8" s="965"/>
      <c r="D8" s="969" t="s">
        <v>1026</v>
      </c>
      <c r="E8" s="970"/>
      <c r="F8" s="971" t="s">
        <v>1032</v>
      </c>
      <c r="G8" s="972"/>
    </row>
    <row r="9" spans="1:9" ht="19.95" customHeight="1">
      <c r="A9" s="966"/>
      <c r="B9" s="967"/>
      <c r="C9" s="968"/>
      <c r="D9" s="48" t="s">
        <v>243</v>
      </c>
      <c r="E9" s="48" t="s">
        <v>244</v>
      </c>
      <c r="F9" s="48" t="s">
        <v>243</v>
      </c>
      <c r="G9" s="48" t="s">
        <v>244</v>
      </c>
    </row>
    <row r="10" spans="1:9" ht="19.95" customHeight="1">
      <c r="A10" s="973" t="s">
        <v>245</v>
      </c>
      <c r="B10" s="974"/>
      <c r="C10" s="975"/>
      <c r="D10" s="17"/>
      <c r="E10" s="17"/>
      <c r="F10" s="17"/>
      <c r="G10" s="17"/>
    </row>
    <row r="11" spans="1:9" ht="19.95" customHeight="1">
      <c r="A11" s="973" t="s">
        <v>246</v>
      </c>
      <c r="B11" s="974"/>
      <c r="C11" s="975"/>
      <c r="D11" s="17"/>
      <c r="E11" s="17"/>
      <c r="F11" s="17"/>
      <c r="G11" s="17"/>
    </row>
    <row r="12" spans="1:9" ht="19.95" customHeight="1">
      <c r="A12" s="973" t="s">
        <v>1118</v>
      </c>
      <c r="B12" s="974"/>
      <c r="C12" s="975"/>
      <c r="D12" s="17"/>
      <c r="E12" s="17"/>
      <c r="F12" s="17"/>
      <c r="G12" s="17"/>
    </row>
    <row r="13" spans="1:9" ht="19.95" customHeight="1">
      <c r="A13" s="973" t="s">
        <v>1117</v>
      </c>
      <c r="B13" s="974"/>
      <c r="C13" s="975"/>
      <c r="D13" s="17"/>
      <c r="E13" s="17"/>
      <c r="F13" s="17"/>
      <c r="G13" s="17"/>
    </row>
    <row r="14" spans="1:9" ht="19.95" customHeight="1">
      <c r="A14" s="973" t="s">
        <v>247</v>
      </c>
      <c r="B14" s="974"/>
      <c r="C14" s="975"/>
      <c r="D14" s="17"/>
      <c r="E14" s="17"/>
      <c r="F14" s="17"/>
      <c r="G14" s="17"/>
    </row>
    <row r="15" spans="1:9" ht="19.95" customHeight="1">
      <c r="A15" s="981" t="s">
        <v>248</v>
      </c>
      <c r="B15" s="982"/>
      <c r="C15" s="983"/>
      <c r="D15" s="973"/>
      <c r="E15" s="975"/>
      <c r="F15" s="973"/>
      <c r="G15" s="975"/>
    </row>
    <row r="16" spans="1:9" s="153" customFormat="1" ht="19.95" customHeight="1">
      <c r="A16" s="154" t="s">
        <v>1110</v>
      </c>
    </row>
    <row r="17" spans="1:9" s="154" customFormat="1" ht="19.95" customHeight="1">
      <c r="A17" s="579" t="s">
        <v>344</v>
      </c>
      <c r="B17" s="579"/>
      <c r="C17" s="579"/>
      <c r="D17" s="580" t="s">
        <v>261</v>
      </c>
      <c r="E17" s="579" t="s">
        <v>346</v>
      </c>
      <c r="F17" s="579"/>
      <c r="G17" s="579"/>
      <c r="H17" s="580" t="s">
        <v>261</v>
      </c>
      <c r="I17" s="203" t="s">
        <v>345</v>
      </c>
    </row>
    <row r="18" spans="1:9" s="153" customFormat="1" ht="19.95" customHeight="1">
      <c r="A18" s="555" t="s">
        <v>1119</v>
      </c>
      <c r="B18" s="555"/>
      <c r="C18" s="555"/>
      <c r="D18" s="555"/>
      <c r="E18" s="555" t="s">
        <v>1120</v>
      </c>
      <c r="F18" s="555"/>
      <c r="G18" s="555"/>
      <c r="H18" s="555"/>
      <c r="I18" s="155"/>
    </row>
    <row r="19" spans="1:9" s="153" customFormat="1" ht="19.95" customHeight="1">
      <c r="A19" s="555" t="s">
        <v>1121</v>
      </c>
      <c r="B19" s="555"/>
      <c r="C19" s="555"/>
      <c r="D19" s="555"/>
      <c r="E19" s="555" t="s">
        <v>1122</v>
      </c>
      <c r="F19" s="555"/>
      <c r="G19" s="555"/>
      <c r="H19" s="555"/>
      <c r="I19" s="155"/>
    </row>
    <row r="20" spans="1:9" s="153" customFormat="1" ht="19.95" customHeight="1">
      <c r="A20" s="985" t="s">
        <v>1123</v>
      </c>
      <c r="B20" s="985"/>
      <c r="C20" s="985"/>
      <c r="D20" s="555"/>
      <c r="E20" s="555" t="s">
        <v>1124</v>
      </c>
      <c r="F20" s="555"/>
      <c r="G20" s="555"/>
      <c r="H20" s="555"/>
      <c r="I20" s="984"/>
    </row>
    <row r="21" spans="1:9" s="153" customFormat="1" ht="19.95" customHeight="1">
      <c r="A21" s="985"/>
      <c r="B21" s="985"/>
      <c r="C21" s="985"/>
      <c r="D21" s="555"/>
      <c r="E21" s="555" t="s">
        <v>1125</v>
      </c>
      <c r="F21" s="555"/>
      <c r="G21" s="555"/>
      <c r="H21" s="555"/>
      <c r="I21" s="984"/>
    </row>
    <row r="22" spans="1:9" s="153" customFormat="1" ht="19.95" customHeight="1">
      <c r="A22" s="555" t="s">
        <v>1126</v>
      </c>
      <c r="B22" s="555"/>
      <c r="C22" s="555"/>
      <c r="D22" s="555"/>
      <c r="E22" s="555" t="s">
        <v>1127</v>
      </c>
      <c r="F22" s="555"/>
      <c r="G22" s="555"/>
      <c r="H22" s="555"/>
      <c r="I22" s="155"/>
    </row>
    <row r="23" spans="1:9" s="153" customFormat="1" ht="19.95" customHeight="1">
      <c r="A23" s="555"/>
      <c r="B23" s="555"/>
      <c r="C23" s="555"/>
      <c r="D23" s="555"/>
      <c r="E23" s="555" t="s">
        <v>1128</v>
      </c>
      <c r="F23" s="555"/>
      <c r="G23" s="555"/>
      <c r="H23" s="555"/>
      <c r="I23" s="155"/>
    </row>
    <row r="24" spans="1:9" ht="19.95" customHeight="1">
      <c r="A24" s="54" t="s">
        <v>1109</v>
      </c>
      <c r="B24" s="56"/>
      <c r="C24" s="575"/>
      <c r="D24" s="578"/>
      <c r="E24" s="578"/>
      <c r="F24" s="578"/>
      <c r="G24" s="578"/>
    </row>
    <row r="25" spans="1:9" ht="19.95" customHeight="1">
      <c r="A25" s="978" t="s">
        <v>123</v>
      </c>
      <c r="B25" s="979"/>
      <c r="C25" s="980"/>
      <c r="D25" s="83" t="s">
        <v>131</v>
      </c>
      <c r="E25" s="83" t="s">
        <v>129</v>
      </c>
      <c r="F25" s="83" t="s">
        <v>130</v>
      </c>
      <c r="G25" s="83"/>
    </row>
    <row r="26" spans="1:9" ht="28.8" customHeight="1">
      <c r="A26" s="977" t="s">
        <v>109</v>
      </c>
      <c r="B26" s="977"/>
      <c r="C26" s="977"/>
      <c r="D26" s="61"/>
      <c r="E26" s="61"/>
      <c r="F26" s="61"/>
      <c r="G26" s="61"/>
    </row>
    <row r="27" spans="1:9" ht="26.4" customHeight="1">
      <c r="A27" s="977" t="s">
        <v>110</v>
      </c>
      <c r="B27" s="977"/>
      <c r="C27" s="977"/>
      <c r="D27" s="61"/>
      <c r="E27" s="61"/>
      <c r="F27" s="61"/>
      <c r="G27" s="61"/>
    </row>
    <row r="28" spans="1:9" ht="19.95" customHeight="1">
      <c r="A28" s="977" t="s">
        <v>111</v>
      </c>
      <c r="B28" s="977"/>
      <c r="C28" s="977"/>
      <c r="D28" s="61"/>
      <c r="E28" s="61"/>
      <c r="F28" s="61"/>
      <c r="G28" s="61"/>
    </row>
    <row r="29" spans="1:9" ht="28.2" customHeight="1">
      <c r="A29" s="977" t="s">
        <v>1115</v>
      </c>
      <c r="B29" s="977"/>
      <c r="C29" s="977"/>
      <c r="D29" s="61"/>
      <c r="E29" s="61"/>
      <c r="F29" s="61"/>
      <c r="G29" s="61"/>
    </row>
    <row r="30" spans="1:9" ht="30.6" customHeight="1">
      <c r="A30" s="977" t="s">
        <v>1116</v>
      </c>
      <c r="B30" s="977"/>
      <c r="C30" s="977"/>
      <c r="D30" s="63"/>
      <c r="E30" s="63"/>
      <c r="F30" s="63"/>
      <c r="G30" s="63"/>
    </row>
    <row r="31" spans="1:9" ht="19.95" customHeight="1">
      <c r="A31" s="976" t="s">
        <v>124</v>
      </c>
      <c r="B31" s="976"/>
      <c r="C31" s="976"/>
      <c r="D31" s="71" t="s">
        <v>115</v>
      </c>
      <c r="E31" s="71" t="s">
        <v>115</v>
      </c>
      <c r="F31" s="71" t="s">
        <v>115</v>
      </c>
      <c r="G31" s="71"/>
    </row>
    <row r="32" spans="1:9" ht="19.95" customHeight="1">
      <c r="A32" s="977" t="s">
        <v>125</v>
      </c>
      <c r="B32" s="977"/>
      <c r="C32" s="977"/>
      <c r="D32" s="71"/>
      <c r="E32" s="71"/>
      <c r="F32" s="71"/>
      <c r="G32" s="71"/>
    </row>
    <row r="33" spans="1:7" ht="19.95" customHeight="1">
      <c r="A33" s="418" t="s">
        <v>984</v>
      </c>
    </row>
    <row r="34" spans="1:7" ht="19.95" customHeight="1"/>
    <row r="35" spans="1:7" ht="19.95" customHeight="1"/>
    <row r="36" spans="1:7" ht="19.95" customHeight="1"/>
    <row r="37" spans="1:7" ht="19.95" customHeight="1">
      <c r="A37" s="418" t="s">
        <v>197</v>
      </c>
    </row>
    <row r="38" spans="1:7" ht="19.95" customHeight="1"/>
    <row r="39" spans="1:7" ht="19.95" customHeight="1"/>
    <row r="40" spans="1:7" ht="20.100000000000001" customHeight="1">
      <c r="A40" s="438" t="s">
        <v>118</v>
      </c>
      <c r="B40" s="438"/>
      <c r="C40" s="438"/>
      <c r="D40" s="438"/>
      <c r="E40" s="438"/>
      <c r="F40" s="438"/>
      <c r="G40" s="59"/>
    </row>
    <row r="41" spans="1:7" ht="20.100000000000001" customHeight="1">
      <c r="A41" s="534" t="s">
        <v>1031</v>
      </c>
      <c r="B41" s="535"/>
      <c r="C41" s="535"/>
      <c r="D41" s="535"/>
      <c r="E41" s="535"/>
      <c r="F41" s="535"/>
      <c r="G41" s="535"/>
    </row>
    <row r="42" spans="1:7" ht="19.5" customHeight="1">
      <c r="A42" s="57" t="s">
        <v>113</v>
      </c>
      <c r="B42" s="57"/>
      <c r="C42" s="57"/>
      <c r="D42" s="57"/>
      <c r="E42" s="57"/>
      <c r="F42" s="57"/>
      <c r="G42" s="57"/>
    </row>
    <row r="43" spans="1:7">
      <c r="A43" s="57" t="s">
        <v>119</v>
      </c>
      <c r="B43" s="57"/>
      <c r="C43" s="57"/>
      <c r="D43" s="57"/>
      <c r="E43" s="57"/>
      <c r="F43" s="57"/>
      <c r="G43" s="57"/>
    </row>
    <row r="44" spans="1:7">
      <c r="A44" s="57" t="s">
        <v>114</v>
      </c>
      <c r="B44" s="57"/>
      <c r="C44" s="57"/>
      <c r="D44" s="57"/>
      <c r="E44" s="57"/>
      <c r="F44" s="57"/>
      <c r="G44" s="57"/>
    </row>
    <row r="45" spans="1:7" ht="20.100000000000001" customHeight="1">
      <c r="A45" s="57" t="s">
        <v>249</v>
      </c>
      <c r="B45" s="57"/>
      <c r="C45" s="57"/>
      <c r="D45" s="57"/>
      <c r="E45" s="57"/>
      <c r="F45" s="57"/>
      <c r="G45" s="57"/>
    </row>
    <row r="46" spans="1:7" ht="20.100000000000001" customHeight="1">
      <c r="A46" s="534" t="s">
        <v>1030</v>
      </c>
      <c r="B46" s="77"/>
      <c r="C46" s="77"/>
      <c r="D46" s="64"/>
      <c r="E46" s="64"/>
      <c r="F46" s="64"/>
      <c r="G46" s="64"/>
    </row>
    <row r="47" spans="1:7">
      <c r="A47" s="57" t="s">
        <v>985</v>
      </c>
      <c r="B47" s="57"/>
      <c r="C47" s="57"/>
      <c r="D47" s="57"/>
      <c r="E47" s="57"/>
      <c r="F47" s="57"/>
      <c r="G47" s="57"/>
    </row>
  </sheetData>
  <mergeCells count="23">
    <mergeCell ref="I20:I21"/>
    <mergeCell ref="A20:C21"/>
    <mergeCell ref="A30:C30"/>
    <mergeCell ref="A28:C28"/>
    <mergeCell ref="A29:C29"/>
    <mergeCell ref="A31:C31"/>
    <mergeCell ref="A32:C32"/>
    <mergeCell ref="D15:E15"/>
    <mergeCell ref="F15:G15"/>
    <mergeCell ref="A25:C25"/>
    <mergeCell ref="A26:C26"/>
    <mergeCell ref="A27:C27"/>
    <mergeCell ref="A15:C15"/>
    <mergeCell ref="A10:C10"/>
    <mergeCell ref="A11:C11"/>
    <mergeCell ref="A12:C12"/>
    <mergeCell ref="A13:C13"/>
    <mergeCell ref="A14:C14"/>
    <mergeCell ref="A8:C9"/>
    <mergeCell ref="D8:E8"/>
    <mergeCell ref="F8:G8"/>
    <mergeCell ref="A1:I1"/>
    <mergeCell ref="A2:I2"/>
  </mergeCells>
  <phoneticPr fontId="11" type="noConversion"/>
  <hyperlinks>
    <hyperlink ref="H3" location="底稿目录!F13" display="底稿目录!F13"/>
  </hyperlinks>
  <pageMargins left="0.70866141732283472" right="0.70866141732283472" top="0.74803149606299213" bottom="0.74803149606299213" header="0.31496062992125984" footer="0.31496062992125984"/>
  <pageSetup paperSize="9" fitToHeight="0" orientation="landscape" blackAndWhite="1" r:id="rId1"/>
  <headerFooter>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I52"/>
  <sheetViews>
    <sheetView view="pageBreakPreview" zoomScaleSheetLayoutView="100" workbookViewId="0">
      <selection sqref="A1:I1"/>
    </sheetView>
  </sheetViews>
  <sheetFormatPr defaultColWidth="9" defaultRowHeight="15.6"/>
  <cols>
    <col min="1" max="1" width="6.69921875" style="90" customWidth="1"/>
    <col min="2" max="3" width="14.69921875" style="90" customWidth="1"/>
    <col min="4" max="4" width="16.19921875" style="90" customWidth="1"/>
    <col min="5" max="5" width="15.8984375" style="90" customWidth="1"/>
    <col min="6" max="6" width="14.09765625" style="90" customWidth="1"/>
    <col min="7" max="7" width="12.09765625" style="90" customWidth="1"/>
    <col min="8" max="8" width="13.5" style="90" customWidth="1"/>
    <col min="9" max="9" width="13.19921875" style="90" customWidth="1"/>
    <col min="10" max="12" width="9.59765625" style="90" customWidth="1"/>
    <col min="13" max="16384" width="9" style="90"/>
  </cols>
  <sheetData>
    <row r="1" spans="1:9" s="617" customFormat="1" ht="19.95" customHeight="1">
      <c r="A1" s="942" t="s">
        <v>0</v>
      </c>
      <c r="B1" s="942"/>
      <c r="C1" s="942"/>
      <c r="D1" s="942"/>
      <c r="E1" s="942"/>
      <c r="F1" s="942"/>
      <c r="G1" s="942"/>
      <c r="H1" s="942"/>
      <c r="I1" s="942"/>
    </row>
    <row r="2" spans="1:9" s="630" customFormat="1" ht="19.95" customHeight="1">
      <c r="A2" s="943" t="s">
        <v>1278</v>
      </c>
      <c r="B2" s="943"/>
      <c r="C2" s="943"/>
      <c r="D2" s="943"/>
      <c r="E2" s="943"/>
      <c r="F2" s="943"/>
      <c r="G2" s="943"/>
      <c r="H2" s="943"/>
      <c r="I2" s="943"/>
    </row>
    <row r="3" spans="1:9" s="673" customFormat="1" ht="19.95" customHeight="1">
      <c r="A3" s="673" t="str">
        <f>底稿目录!A2</f>
        <v>被审计单位：</v>
      </c>
      <c r="D3" s="673" t="str">
        <f>底稿目录!A4</f>
        <v>编制人：</v>
      </c>
      <c r="F3" s="681" t="str">
        <f>底稿目录!A5</f>
        <v>编制日期：</v>
      </c>
      <c r="G3" s="681"/>
      <c r="H3" s="673" t="s">
        <v>67</v>
      </c>
      <c r="I3" s="763" t="str">
        <f>底稿目录!F14</f>
        <v>G7-8</v>
      </c>
    </row>
    <row r="4" spans="1:9" s="673" customFormat="1" ht="19.95" customHeight="1">
      <c r="A4" s="673" t="str">
        <f>底稿目录!A3</f>
        <v>截止日：202X年12月31日</v>
      </c>
      <c r="D4" s="673" t="str">
        <f>底稿目录!A6</f>
        <v>复核人：</v>
      </c>
      <c r="F4" s="681" t="str">
        <f>底稿目录!A7</f>
        <v>复核日期：</v>
      </c>
      <c r="G4" s="681"/>
      <c r="H4" s="673" t="s">
        <v>1311</v>
      </c>
    </row>
    <row r="5" spans="1:9" ht="19.95" customHeight="1">
      <c r="A5" s="74" t="s">
        <v>146</v>
      </c>
      <c r="B5" s="123"/>
      <c r="C5" s="80" t="s">
        <v>241</v>
      </c>
    </row>
    <row r="6" spans="1:9" ht="19.95" customHeight="1">
      <c r="A6" s="75" t="s">
        <v>126</v>
      </c>
      <c r="B6" s="124"/>
    </row>
    <row r="7" spans="1:9" ht="19.95" customHeight="1">
      <c r="A7" s="54" t="s">
        <v>1111</v>
      </c>
      <c r="B7" s="54"/>
      <c r="C7" s="54"/>
      <c r="D7" s="54"/>
      <c r="E7" s="54"/>
      <c r="F7" s="54"/>
      <c r="G7" s="54"/>
      <c r="H7" s="54"/>
      <c r="I7" s="54"/>
    </row>
    <row r="8" spans="1:9" ht="19.95" customHeight="1">
      <c r="A8" s="997" t="s">
        <v>116</v>
      </c>
      <c r="B8" s="997"/>
      <c r="C8" s="997"/>
      <c r="D8" s="83" t="s">
        <v>131</v>
      </c>
      <c r="E8" s="65" t="s">
        <v>117</v>
      </c>
      <c r="F8" s="83" t="s">
        <v>132</v>
      </c>
      <c r="G8" s="65" t="s">
        <v>117</v>
      </c>
      <c r="H8" s="83" t="s">
        <v>133</v>
      </c>
      <c r="I8" s="65" t="s">
        <v>117</v>
      </c>
    </row>
    <row r="9" spans="1:9" ht="19.95" customHeight="1">
      <c r="A9" s="995" t="s">
        <v>1081</v>
      </c>
      <c r="B9" s="977"/>
      <c r="C9" s="977"/>
      <c r="D9" s="196"/>
      <c r="E9" s="92"/>
      <c r="F9" s="196"/>
      <c r="G9" s="92"/>
      <c r="H9" s="196"/>
      <c r="I9" s="92"/>
    </row>
    <row r="10" spans="1:9" ht="28.2" customHeight="1">
      <c r="A10" s="995" t="s">
        <v>1086</v>
      </c>
      <c r="B10" s="977"/>
      <c r="C10" s="977"/>
      <c r="D10" s="536">
        <v>100</v>
      </c>
      <c r="E10" s="61"/>
      <c r="F10" s="536"/>
      <c r="G10" s="61"/>
      <c r="H10" s="536"/>
      <c r="I10" s="61"/>
    </row>
    <row r="11" spans="1:9" ht="19.95" customHeight="1">
      <c r="A11" s="995" t="s">
        <v>1087</v>
      </c>
      <c r="B11" s="977"/>
      <c r="C11" s="977"/>
      <c r="D11" s="641">
        <v>0.32</v>
      </c>
      <c r="E11" s="641"/>
      <c r="F11" s="641"/>
      <c r="G11" s="642"/>
      <c r="H11" s="642"/>
      <c r="I11" s="642"/>
    </row>
    <row r="12" spans="1:9" ht="19.95" customHeight="1">
      <c r="A12" s="977" t="s">
        <v>1088</v>
      </c>
      <c r="B12" s="977"/>
      <c r="C12" s="977"/>
      <c r="D12" s="371">
        <f>D10*D11</f>
        <v>32</v>
      </c>
      <c r="E12" s="61"/>
      <c r="F12" s="371">
        <f>F10*F11</f>
        <v>0</v>
      </c>
      <c r="G12" s="61"/>
      <c r="H12" s="371">
        <f>H10*H11</f>
        <v>0</v>
      </c>
      <c r="I12" s="61"/>
    </row>
    <row r="13" spans="1:9" ht="30" customHeight="1">
      <c r="A13" s="995" t="s">
        <v>1148</v>
      </c>
      <c r="B13" s="977"/>
      <c r="C13" s="977"/>
      <c r="D13" s="371">
        <f>SUM(D14:D18)</f>
        <v>10</v>
      </c>
      <c r="E13" s="61"/>
      <c r="F13" s="371">
        <f>SUM(F14:F18)</f>
        <v>0</v>
      </c>
      <c r="G13" s="61"/>
      <c r="H13" s="371">
        <f>SUM(H14:H18)</f>
        <v>0</v>
      </c>
      <c r="I13" s="61"/>
    </row>
    <row r="14" spans="1:9" ht="19.95" customHeight="1">
      <c r="A14" s="977" t="s">
        <v>1129</v>
      </c>
      <c r="B14" s="977"/>
      <c r="C14" s="977"/>
      <c r="D14" s="61">
        <v>2</v>
      </c>
      <c r="E14" s="61"/>
      <c r="F14" s="61"/>
      <c r="G14" s="61"/>
      <c r="H14" s="61"/>
      <c r="I14" s="61"/>
    </row>
    <row r="15" spans="1:9" ht="19.95" customHeight="1">
      <c r="A15" s="995" t="s">
        <v>1082</v>
      </c>
      <c r="B15" s="977"/>
      <c r="C15" s="977"/>
      <c r="D15" s="61">
        <v>2</v>
      </c>
      <c r="E15" s="61"/>
      <c r="F15" s="61"/>
      <c r="G15" s="61"/>
      <c r="H15" s="61"/>
      <c r="I15" s="61"/>
    </row>
    <row r="16" spans="1:9" ht="19.95" customHeight="1">
      <c r="A16" s="995" t="s">
        <v>1083</v>
      </c>
      <c r="B16" s="977"/>
      <c r="C16" s="977"/>
      <c r="D16" s="61">
        <v>3</v>
      </c>
      <c r="E16" s="61"/>
      <c r="F16" s="61"/>
      <c r="G16" s="61"/>
      <c r="H16" s="61"/>
      <c r="I16" s="61"/>
    </row>
    <row r="17" spans="1:9" ht="19.95" customHeight="1">
      <c r="A17" s="995" t="s">
        <v>1084</v>
      </c>
      <c r="B17" s="977"/>
      <c r="C17" s="977"/>
      <c r="D17" s="61"/>
      <c r="E17" s="61"/>
      <c r="F17" s="61"/>
      <c r="G17" s="61"/>
      <c r="H17" s="61"/>
      <c r="I17" s="61"/>
    </row>
    <row r="18" spans="1:9" ht="19.95" customHeight="1">
      <c r="A18" s="995" t="s">
        <v>1085</v>
      </c>
      <c r="B18" s="977"/>
      <c r="C18" s="977"/>
      <c r="D18" s="61">
        <v>3</v>
      </c>
      <c r="E18" s="61"/>
      <c r="F18" s="61"/>
      <c r="G18" s="61"/>
      <c r="H18" s="61"/>
      <c r="I18" s="61"/>
    </row>
    <row r="19" spans="1:9" ht="19.95" customHeight="1">
      <c r="A19" s="977" t="s">
        <v>1130</v>
      </c>
      <c r="B19" s="977"/>
      <c r="C19" s="977"/>
      <c r="D19" s="370">
        <f>D12-D13</f>
        <v>22</v>
      </c>
      <c r="E19" s="61"/>
      <c r="F19" s="370">
        <f>F12-F13</f>
        <v>0</v>
      </c>
      <c r="G19" s="61"/>
      <c r="H19" s="370">
        <f>H12-H13</f>
        <v>0</v>
      </c>
      <c r="I19" s="61"/>
    </row>
    <row r="20" spans="1:9" ht="19.95" customHeight="1"/>
    <row r="21" spans="1:9" ht="19.95" customHeight="1">
      <c r="A21" s="54" t="s">
        <v>1137</v>
      </c>
      <c r="B21" s="55"/>
      <c r="C21" s="55"/>
      <c r="D21" s="64"/>
      <c r="E21" s="64"/>
      <c r="F21" s="64"/>
      <c r="G21" s="64"/>
      <c r="H21" s="64"/>
      <c r="I21" s="64"/>
    </row>
    <row r="22" spans="1:9" ht="19.95" customHeight="1">
      <c r="A22" s="996" t="s">
        <v>95</v>
      </c>
      <c r="B22" s="996"/>
      <c r="C22" s="996"/>
      <c r="D22" s="990" t="s">
        <v>137</v>
      </c>
      <c r="E22" s="990"/>
      <c r="F22" s="990"/>
      <c r="G22" s="990" t="s">
        <v>138</v>
      </c>
      <c r="H22" s="990"/>
      <c r="I22" s="990"/>
    </row>
    <row r="23" spans="1:9" ht="19.95" customHeight="1">
      <c r="A23" s="993" t="s">
        <v>1131</v>
      </c>
      <c r="B23" s="994"/>
      <c r="C23" s="994"/>
      <c r="D23" s="306">
        <v>1</v>
      </c>
      <c r="E23" s="306">
        <v>2</v>
      </c>
      <c r="F23" s="306" t="s">
        <v>139</v>
      </c>
      <c r="G23" s="306">
        <v>4</v>
      </c>
      <c r="H23" s="306">
        <v>5</v>
      </c>
      <c r="I23" s="307" t="s">
        <v>140</v>
      </c>
    </row>
    <row r="24" spans="1:9" ht="19.95" customHeight="1">
      <c r="A24" s="991" t="s">
        <v>1132</v>
      </c>
      <c r="B24" s="992"/>
      <c r="C24" s="992"/>
      <c r="D24" s="308">
        <v>1</v>
      </c>
      <c r="E24" s="308">
        <v>1</v>
      </c>
      <c r="F24" s="376" t="s">
        <v>108</v>
      </c>
      <c r="G24" s="308"/>
      <c r="H24" s="308"/>
      <c r="I24" s="376" t="s">
        <v>108</v>
      </c>
    </row>
    <row r="25" spans="1:9" ht="19.95" customHeight="1">
      <c r="A25" s="991" t="s">
        <v>1133</v>
      </c>
      <c r="B25" s="992"/>
      <c r="C25" s="992"/>
      <c r="D25" s="309">
        <v>0.01</v>
      </c>
      <c r="E25" s="309">
        <v>0.02</v>
      </c>
      <c r="F25" s="581">
        <f>SUM(D25:E25)</f>
        <v>0.03</v>
      </c>
      <c r="G25" s="309"/>
      <c r="H25" s="309"/>
      <c r="I25" s="377">
        <f>SUM(G25:H25)</f>
        <v>0</v>
      </c>
    </row>
    <row r="26" spans="1:9" ht="19.95" customHeight="1">
      <c r="A26" s="991" t="s">
        <v>1134</v>
      </c>
      <c r="B26" s="992"/>
      <c r="C26" s="992"/>
      <c r="D26" s="310">
        <v>1</v>
      </c>
      <c r="E26" s="310">
        <v>3</v>
      </c>
      <c r="F26" s="378">
        <f>SUM(D26:E26)</f>
        <v>4</v>
      </c>
      <c r="G26" s="310"/>
      <c r="H26" s="310"/>
      <c r="I26" s="378">
        <f>SUM(G26:H26)</f>
        <v>0</v>
      </c>
    </row>
    <row r="27" spans="1:9" ht="19.95" customHeight="1">
      <c r="A27" s="991" t="s">
        <v>1135</v>
      </c>
      <c r="B27" s="992"/>
      <c r="C27" s="992"/>
      <c r="D27" s="310">
        <v>22</v>
      </c>
      <c r="E27" s="310">
        <v>44</v>
      </c>
      <c r="F27" s="376" t="s">
        <v>1138</v>
      </c>
      <c r="G27" s="588"/>
      <c r="H27" s="588"/>
      <c r="I27" s="376" t="s">
        <v>1139</v>
      </c>
    </row>
    <row r="28" spans="1:9" ht="38.4" customHeight="1">
      <c r="A28" s="991" t="s">
        <v>1136</v>
      </c>
      <c r="B28" s="992"/>
      <c r="C28" s="992"/>
      <c r="D28" s="310">
        <v>22</v>
      </c>
      <c r="E28" s="310">
        <v>4</v>
      </c>
      <c r="F28" s="378">
        <f>SUM(D28:E28)</f>
        <v>26</v>
      </c>
      <c r="G28" s="310"/>
      <c r="H28" s="310"/>
      <c r="I28" s="378">
        <f t="shared" ref="I28" si="0">SUM(G28:H28)</f>
        <v>0</v>
      </c>
    </row>
    <row r="29" spans="1:9" ht="42.6" customHeight="1">
      <c r="A29" s="988" t="s">
        <v>141</v>
      </c>
      <c r="B29" s="988"/>
      <c r="C29" s="582" t="s">
        <v>1140</v>
      </c>
      <c r="D29" s="583" t="s">
        <v>1142</v>
      </c>
      <c r="E29" s="583" t="s">
        <v>1141</v>
      </c>
      <c r="F29" s="583" t="s">
        <v>1143</v>
      </c>
      <c r="G29" s="584"/>
      <c r="H29" s="585"/>
      <c r="I29" s="584"/>
    </row>
    <row r="30" spans="1:9" ht="19.95" customHeight="1">
      <c r="A30" s="989" t="s">
        <v>250</v>
      </c>
      <c r="B30" s="989"/>
      <c r="C30" s="586">
        <f>E27</f>
        <v>44</v>
      </c>
      <c r="D30" s="587">
        <f>C30*F25</f>
        <v>1.3199999999999998</v>
      </c>
      <c r="E30" s="587">
        <f>F26+F28-D30</f>
        <v>28.68</v>
      </c>
      <c r="F30" s="585"/>
      <c r="G30" s="584"/>
      <c r="H30" s="585"/>
      <c r="I30" s="311"/>
    </row>
    <row r="31" spans="1:9" ht="19.95" customHeight="1">
      <c r="A31" s="989" t="s">
        <v>251</v>
      </c>
      <c r="B31" s="989"/>
      <c r="C31" s="586">
        <f>H27</f>
        <v>0</v>
      </c>
      <c r="D31" s="587">
        <f>C31*I25</f>
        <v>0</v>
      </c>
      <c r="E31" s="587">
        <f>I26+I28-D31</f>
        <v>0</v>
      </c>
      <c r="F31" s="585"/>
      <c r="G31" s="584"/>
      <c r="H31" s="585"/>
      <c r="I31" s="311"/>
    </row>
    <row r="32" spans="1:9" ht="19.95" customHeight="1"/>
    <row r="33" spans="1:9" s="102" customFormat="1" ht="19.95" customHeight="1">
      <c r="A33" s="114" t="s">
        <v>1112</v>
      </c>
      <c r="B33" s="113"/>
      <c r="C33" s="113"/>
      <c r="D33" s="113"/>
      <c r="E33" s="113"/>
      <c r="F33" s="113"/>
      <c r="G33" s="113"/>
      <c r="H33" s="113"/>
      <c r="I33" s="113"/>
    </row>
    <row r="34" spans="1:9" s="121" customFormat="1" ht="36">
      <c r="A34" s="986" t="s">
        <v>255</v>
      </c>
      <c r="B34" s="987"/>
      <c r="C34" s="48" t="s">
        <v>253</v>
      </c>
      <c r="D34" s="122" t="s">
        <v>256</v>
      </c>
      <c r="E34" s="48" t="s">
        <v>257</v>
      </c>
      <c r="F34" s="48" t="s">
        <v>258</v>
      </c>
      <c r="G34" s="48" t="s">
        <v>259</v>
      </c>
      <c r="H34" s="48" t="s">
        <v>254</v>
      </c>
      <c r="I34" s="103" t="s">
        <v>260</v>
      </c>
    </row>
    <row r="35" spans="1:9" s="115" customFormat="1" ht="19.95" customHeight="1">
      <c r="A35" s="118"/>
      <c r="B35" s="119"/>
      <c r="C35" s="116"/>
      <c r="D35" s="46"/>
      <c r="E35" s="46"/>
      <c r="F35" s="46"/>
      <c r="G35" s="117"/>
      <c r="H35" s="117"/>
      <c r="I35" s="117"/>
    </row>
    <row r="36" spans="1:9" s="115" customFormat="1" ht="19.95" customHeight="1">
      <c r="A36" s="118"/>
      <c r="B36" s="119"/>
      <c r="C36" s="116"/>
      <c r="D36" s="46"/>
      <c r="E36" s="46"/>
      <c r="F36" s="46"/>
      <c r="G36" s="117"/>
      <c r="H36" s="117"/>
      <c r="I36" s="117"/>
    </row>
    <row r="37" spans="1:9" s="115" customFormat="1" ht="19.95" customHeight="1">
      <c r="A37" s="120"/>
      <c r="B37" s="99"/>
      <c r="C37" s="47"/>
      <c r="D37" s="38"/>
      <c r="E37" s="38"/>
      <c r="F37" s="117"/>
      <c r="G37" s="117"/>
      <c r="H37" s="117"/>
      <c r="I37" s="117"/>
    </row>
    <row r="38" spans="1:9" ht="19.95" customHeight="1">
      <c r="A38" s="418" t="s">
        <v>984</v>
      </c>
    </row>
    <row r="39" spans="1:9" ht="19.95" customHeight="1"/>
    <row r="40" spans="1:9" ht="19.95" customHeight="1"/>
    <row r="41" spans="1:9" ht="19.95" customHeight="1"/>
    <row r="42" spans="1:9" ht="19.95" customHeight="1">
      <c r="A42" s="418" t="s">
        <v>197</v>
      </c>
    </row>
    <row r="43" spans="1:9" ht="19.95" customHeight="1"/>
    <row r="44" spans="1:9" ht="19.95" customHeight="1"/>
    <row r="45" spans="1:9" ht="20.100000000000001" customHeight="1">
      <c r="A45" s="438" t="s">
        <v>118</v>
      </c>
      <c r="B45" s="438"/>
      <c r="C45" s="438"/>
      <c r="D45" s="438"/>
      <c r="E45" s="438"/>
      <c r="F45" s="438"/>
      <c r="G45" s="59"/>
      <c r="H45" s="60"/>
      <c r="I45" s="60"/>
    </row>
    <row r="46" spans="1:9" ht="20.100000000000001" customHeight="1">
      <c r="A46" s="534" t="s">
        <v>1031</v>
      </c>
      <c r="B46" s="535"/>
      <c r="C46" s="535"/>
      <c r="D46" s="535"/>
      <c r="E46" s="535"/>
      <c r="F46" s="535"/>
      <c r="G46" s="535"/>
      <c r="H46" s="535"/>
      <c r="I46" s="535"/>
    </row>
    <row r="47" spans="1:9" ht="19.5" customHeight="1">
      <c r="A47" s="57" t="s">
        <v>113</v>
      </c>
      <c r="B47" s="57"/>
      <c r="C47" s="57"/>
      <c r="D47" s="57"/>
      <c r="E47" s="57"/>
      <c r="F47" s="57"/>
      <c r="G47" s="57"/>
      <c r="H47" s="57"/>
      <c r="I47" s="57"/>
    </row>
    <row r="48" spans="1:9">
      <c r="A48" s="57" t="s">
        <v>119</v>
      </c>
      <c r="B48" s="57"/>
      <c r="C48" s="57"/>
      <c r="D48" s="57"/>
      <c r="E48" s="57"/>
      <c r="F48" s="57"/>
      <c r="G48" s="57"/>
      <c r="H48" s="57"/>
      <c r="I48" s="57"/>
    </row>
    <row r="49" spans="1:9">
      <c r="A49" s="57" t="s">
        <v>114</v>
      </c>
      <c r="B49" s="57"/>
      <c r="C49" s="57"/>
      <c r="D49" s="57"/>
      <c r="E49" s="57"/>
      <c r="F49" s="57"/>
      <c r="G49" s="57"/>
      <c r="H49" s="57"/>
      <c r="I49" s="57"/>
    </row>
    <row r="50" spans="1:9" ht="20.100000000000001" customHeight="1">
      <c r="A50" s="57" t="s">
        <v>249</v>
      </c>
      <c r="B50" s="57"/>
      <c r="C50" s="57"/>
      <c r="D50" s="57"/>
      <c r="E50" s="57"/>
      <c r="F50" s="57"/>
      <c r="G50" s="57"/>
      <c r="H50" s="57"/>
      <c r="I50" s="57"/>
    </row>
    <row r="51" spans="1:9" ht="20.100000000000001" customHeight="1">
      <c r="A51" s="534" t="s">
        <v>1030</v>
      </c>
      <c r="B51" s="77"/>
      <c r="C51" s="77"/>
      <c r="D51" s="64"/>
      <c r="E51" s="64"/>
      <c r="F51" s="64"/>
      <c r="G51" s="64"/>
      <c r="H51" s="64"/>
      <c r="I51" s="64"/>
    </row>
    <row r="52" spans="1:9">
      <c r="A52" s="57" t="s">
        <v>985</v>
      </c>
      <c r="B52" s="57"/>
      <c r="C52" s="57"/>
      <c r="D52" s="57"/>
      <c r="E52" s="57"/>
      <c r="F52" s="57"/>
      <c r="G52" s="57"/>
      <c r="H52" s="57"/>
      <c r="I52" s="57"/>
    </row>
  </sheetData>
  <mergeCells count="27">
    <mergeCell ref="A1:I1"/>
    <mergeCell ref="A2:I2"/>
    <mergeCell ref="A8:C8"/>
    <mergeCell ref="A9:C9"/>
    <mergeCell ref="A10:C10"/>
    <mergeCell ref="A11:C11"/>
    <mergeCell ref="A12:C12"/>
    <mergeCell ref="A13:C13"/>
    <mergeCell ref="A14:C14"/>
    <mergeCell ref="A15:C15"/>
    <mergeCell ref="G22:I22"/>
    <mergeCell ref="A23:C23"/>
    <mergeCell ref="A24:C24"/>
    <mergeCell ref="A25:C25"/>
    <mergeCell ref="A16:C16"/>
    <mergeCell ref="A17:C17"/>
    <mergeCell ref="A18:C18"/>
    <mergeCell ref="A19:C19"/>
    <mergeCell ref="A22:C22"/>
    <mergeCell ref="A34:B34"/>
    <mergeCell ref="A29:B29"/>
    <mergeCell ref="A30:B30"/>
    <mergeCell ref="A31:B31"/>
    <mergeCell ref="D22:F22"/>
    <mergeCell ref="A28:C28"/>
    <mergeCell ref="A26:C26"/>
    <mergeCell ref="A27:C27"/>
  </mergeCells>
  <phoneticPr fontId="11" type="noConversion"/>
  <hyperlinks>
    <hyperlink ref="I3" location="底稿目录!F14" display="底稿目录!F14"/>
  </hyperlinks>
  <pageMargins left="0.70866141732283472" right="0.70866141732283472" top="0.74803149606299213" bottom="0.74803149606299213" header="0.31496062992125984" footer="0.31496062992125984"/>
  <pageSetup paperSize="9" fitToHeight="0" orientation="landscape" blackAndWhite="1" r:id="rId1"/>
  <headerFooter>
    <oddFooter>&amp;C&amp;P/&amp;N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I53"/>
  <sheetViews>
    <sheetView view="pageBreakPreview" zoomScaleSheetLayoutView="100" workbookViewId="0">
      <selection sqref="A1:I1"/>
    </sheetView>
  </sheetViews>
  <sheetFormatPr defaultColWidth="9" defaultRowHeight="15.6"/>
  <cols>
    <col min="1" max="1" width="6.69921875" style="90" customWidth="1"/>
    <col min="2" max="2" width="14.69921875" style="90" customWidth="1"/>
    <col min="3" max="3" width="16.296875" style="90" customWidth="1"/>
    <col min="4" max="4" width="16.19921875" style="90" customWidth="1"/>
    <col min="5" max="5" width="12.19921875" style="90" customWidth="1"/>
    <col min="6" max="6" width="14.09765625" style="90" customWidth="1"/>
    <col min="7" max="7" width="12.09765625" style="90" customWidth="1"/>
    <col min="8" max="8" width="13.5" style="90" customWidth="1"/>
    <col min="9" max="9" width="13.19921875" style="90" customWidth="1"/>
    <col min="10" max="12" width="9.59765625" style="90" customWidth="1"/>
    <col min="13" max="16384" width="9" style="90"/>
  </cols>
  <sheetData>
    <row r="1" spans="1:9" s="617" customFormat="1" ht="19.95" customHeight="1">
      <c r="A1" s="942" t="s">
        <v>0</v>
      </c>
      <c r="B1" s="942"/>
      <c r="C1" s="942"/>
      <c r="D1" s="942"/>
      <c r="E1" s="942"/>
      <c r="F1" s="942"/>
      <c r="G1" s="942"/>
      <c r="H1" s="942"/>
      <c r="I1" s="942"/>
    </row>
    <row r="2" spans="1:9" s="630" customFormat="1" ht="19.95" customHeight="1">
      <c r="A2" s="943" t="s">
        <v>1279</v>
      </c>
      <c r="B2" s="943"/>
      <c r="C2" s="943"/>
      <c r="D2" s="943"/>
      <c r="E2" s="943"/>
      <c r="F2" s="943"/>
      <c r="G2" s="943"/>
      <c r="H2" s="943"/>
      <c r="I2" s="943"/>
    </row>
    <row r="3" spans="1:9" s="673" customFormat="1" ht="19.95" customHeight="1">
      <c r="A3" s="673" t="str">
        <f>底稿目录!A2</f>
        <v>被审计单位：</v>
      </c>
      <c r="D3" s="673" t="str">
        <f>底稿目录!A4</f>
        <v>编制人：</v>
      </c>
      <c r="F3" s="681" t="str">
        <f>底稿目录!A5</f>
        <v>编制日期：</v>
      </c>
      <c r="G3" s="681"/>
      <c r="H3" s="673" t="s">
        <v>67</v>
      </c>
      <c r="I3" s="763" t="str">
        <f>底稿目录!F15</f>
        <v>G7-9</v>
      </c>
    </row>
    <row r="4" spans="1:9" s="673" customFormat="1" ht="19.95" customHeight="1">
      <c r="A4" s="673" t="str">
        <f>底稿目录!A3</f>
        <v>截止日：202X年12月31日</v>
      </c>
      <c r="D4" s="673" t="str">
        <f>底稿目录!A6</f>
        <v>复核人：</v>
      </c>
      <c r="F4" s="681" t="str">
        <f>底稿目录!A7</f>
        <v>复核日期：</v>
      </c>
      <c r="G4" s="681"/>
      <c r="H4" s="673" t="s">
        <v>1312</v>
      </c>
    </row>
    <row r="5" spans="1:9" ht="19.95" customHeight="1">
      <c r="A5" s="74" t="s">
        <v>146</v>
      </c>
      <c r="B5" s="123"/>
      <c r="C5" s="80" t="s">
        <v>241</v>
      </c>
    </row>
    <row r="6" spans="1:9" ht="19.95" customHeight="1">
      <c r="A6" s="75" t="s">
        <v>126</v>
      </c>
      <c r="B6" s="124"/>
    </row>
    <row r="7" spans="1:9" ht="19.95" customHeight="1">
      <c r="A7" s="54" t="s">
        <v>1111</v>
      </c>
      <c r="B7" s="54"/>
      <c r="C7" s="54"/>
      <c r="D7" s="54"/>
      <c r="E7" s="54"/>
      <c r="F7" s="54"/>
      <c r="G7" s="54"/>
      <c r="H7" s="54"/>
      <c r="I7" s="54"/>
    </row>
    <row r="8" spans="1:9" ht="19.95" customHeight="1">
      <c r="A8" s="997" t="s">
        <v>127</v>
      </c>
      <c r="B8" s="997"/>
      <c r="C8" s="997"/>
      <c r="D8" s="83" t="s">
        <v>134</v>
      </c>
      <c r="E8" s="65" t="s">
        <v>128</v>
      </c>
      <c r="F8" s="83" t="s">
        <v>135</v>
      </c>
      <c r="G8" s="65" t="s">
        <v>128</v>
      </c>
      <c r="H8" s="83" t="s">
        <v>136</v>
      </c>
      <c r="I8" s="65" t="s">
        <v>128</v>
      </c>
    </row>
    <row r="9" spans="1:9" ht="19.95" customHeight="1">
      <c r="A9" s="995" t="s">
        <v>1149</v>
      </c>
      <c r="B9" s="977"/>
      <c r="C9" s="977"/>
      <c r="D9" s="536"/>
      <c r="E9" s="61"/>
      <c r="F9" s="536"/>
      <c r="G9" s="61"/>
      <c r="H9" s="536"/>
      <c r="I9" s="62"/>
    </row>
    <row r="10" spans="1:9" ht="19.95" customHeight="1">
      <c r="A10" s="995" t="s">
        <v>1150</v>
      </c>
      <c r="B10" s="977"/>
      <c r="C10" s="977"/>
      <c r="D10" s="536"/>
      <c r="E10" s="61"/>
      <c r="F10" s="536"/>
      <c r="G10" s="61"/>
      <c r="H10" s="536"/>
      <c r="I10" s="62"/>
    </row>
    <row r="11" spans="1:9" ht="19.95" customHeight="1">
      <c r="A11" s="995" t="s">
        <v>1151</v>
      </c>
      <c r="B11" s="977"/>
      <c r="C11" s="977"/>
      <c r="D11" s="643"/>
      <c r="E11" s="641"/>
      <c r="F11" s="643"/>
      <c r="G11" s="641"/>
      <c r="H11" s="643"/>
      <c r="I11" s="642"/>
    </row>
    <row r="12" spans="1:9" ht="25.8" customHeight="1">
      <c r="A12" s="995" t="s">
        <v>1152</v>
      </c>
      <c r="B12" s="977"/>
      <c r="C12" s="977"/>
      <c r="D12" s="373">
        <f>SUM(D13:D17)</f>
        <v>0</v>
      </c>
      <c r="E12" s="66"/>
      <c r="F12" s="373">
        <f>SUM(F13:F17)</f>
        <v>0</v>
      </c>
      <c r="G12" s="67"/>
      <c r="H12" s="373">
        <f>SUM(H13:H17)</f>
        <v>0</v>
      </c>
      <c r="I12" s="68"/>
    </row>
    <row r="13" spans="1:9" ht="19.95" customHeight="1">
      <c r="A13" s="977" t="s">
        <v>1153</v>
      </c>
      <c r="B13" s="977"/>
      <c r="C13" s="977"/>
      <c r="D13" s="66"/>
      <c r="E13" s="66"/>
      <c r="F13" s="66"/>
      <c r="G13" s="67"/>
      <c r="H13" s="68"/>
      <c r="I13" s="68"/>
    </row>
    <row r="14" spans="1:9" ht="19.95" customHeight="1">
      <c r="A14" s="995" t="s">
        <v>1144</v>
      </c>
      <c r="B14" s="977"/>
      <c r="C14" s="977"/>
      <c r="D14" s="66"/>
      <c r="E14" s="66"/>
      <c r="F14" s="66"/>
      <c r="G14" s="67"/>
      <c r="H14" s="68"/>
      <c r="I14" s="68"/>
    </row>
    <row r="15" spans="1:9" ht="19.95" customHeight="1">
      <c r="A15" s="995" t="s">
        <v>1145</v>
      </c>
      <c r="B15" s="977"/>
      <c r="C15" s="977"/>
      <c r="D15" s="66"/>
      <c r="E15" s="66"/>
      <c r="F15" s="66"/>
      <c r="G15" s="67"/>
      <c r="H15" s="68"/>
      <c r="I15" s="68"/>
    </row>
    <row r="16" spans="1:9" ht="19.95" customHeight="1">
      <c r="A16" s="995" t="s">
        <v>1146</v>
      </c>
      <c r="B16" s="977"/>
      <c r="C16" s="977"/>
      <c r="D16" s="66"/>
      <c r="E16" s="66"/>
      <c r="F16" s="66"/>
      <c r="G16" s="67"/>
      <c r="H16" s="68"/>
      <c r="I16" s="68"/>
    </row>
    <row r="17" spans="1:9" ht="19.95" customHeight="1">
      <c r="A17" s="995" t="s">
        <v>1147</v>
      </c>
      <c r="B17" s="977"/>
      <c r="C17" s="977"/>
      <c r="D17" s="66"/>
      <c r="E17" s="66"/>
      <c r="F17" s="66"/>
      <c r="G17" s="67"/>
      <c r="H17" s="68"/>
      <c r="I17" s="68"/>
    </row>
    <row r="18" spans="1:9" ht="19.95" customHeight="1">
      <c r="A18" s="995" t="s">
        <v>1158</v>
      </c>
      <c r="B18" s="977"/>
      <c r="C18" s="977"/>
      <c r="D18" s="538"/>
      <c r="E18" s="63"/>
      <c r="F18" s="538"/>
      <c r="G18" s="61"/>
      <c r="H18" s="538"/>
      <c r="I18" s="62"/>
    </row>
    <row r="19" spans="1:9" ht="31.8" customHeight="1">
      <c r="A19" s="995" t="s">
        <v>1155</v>
      </c>
      <c r="B19" s="977"/>
      <c r="C19" s="977"/>
      <c r="D19" s="63"/>
      <c r="E19" s="63"/>
      <c r="F19" s="63"/>
      <c r="G19" s="61"/>
      <c r="H19" s="62"/>
      <c r="I19" s="62"/>
    </row>
    <row r="20" spans="1:9" ht="19.95" customHeight="1">
      <c r="A20" s="977" t="s">
        <v>1159</v>
      </c>
      <c r="B20" s="977"/>
      <c r="C20" s="977"/>
      <c r="D20" s="374">
        <f>D12+D18</f>
        <v>0</v>
      </c>
      <c r="E20" s="63"/>
      <c r="F20" s="374">
        <f>F12+F18</f>
        <v>0</v>
      </c>
      <c r="G20" s="61"/>
      <c r="H20" s="374">
        <f>H12+H18</f>
        <v>0</v>
      </c>
      <c r="I20" s="62"/>
    </row>
    <row r="21" spans="1:9" ht="19.95" customHeight="1">
      <c r="A21" s="977" t="s">
        <v>1156</v>
      </c>
      <c r="B21" s="977"/>
      <c r="C21" s="977"/>
      <c r="D21" s="374">
        <f>D12-D19</f>
        <v>0</v>
      </c>
      <c r="E21" s="63"/>
      <c r="F21" s="374">
        <f>F12-F19</f>
        <v>0</v>
      </c>
      <c r="G21" s="61"/>
      <c r="H21" s="374">
        <f>H12-H19</f>
        <v>0</v>
      </c>
      <c r="I21" s="62"/>
    </row>
    <row r="22" spans="1:9" ht="27.6" customHeight="1">
      <c r="A22" s="977" t="s">
        <v>1157</v>
      </c>
      <c r="B22" s="977"/>
      <c r="C22" s="977"/>
      <c r="D22" s="374">
        <f>D20-D10*D11</f>
        <v>0</v>
      </c>
      <c r="E22" s="63"/>
      <c r="F22" s="374">
        <f>F20-F10*F11</f>
        <v>0</v>
      </c>
      <c r="G22" s="61"/>
      <c r="H22" s="374">
        <f>H20-H10*H11</f>
        <v>0</v>
      </c>
      <c r="I22" s="62"/>
    </row>
    <row r="23" spans="1:9" ht="19.95" customHeight="1">
      <c r="A23" s="55"/>
      <c r="B23" s="55"/>
      <c r="C23" s="55"/>
      <c r="D23" s="64"/>
      <c r="E23" s="64"/>
      <c r="F23" s="64"/>
      <c r="G23" s="64"/>
      <c r="H23" s="64"/>
      <c r="I23" s="64"/>
    </row>
    <row r="24" spans="1:9" ht="19.95" customHeight="1">
      <c r="A24" s="54" t="s">
        <v>1113</v>
      </c>
      <c r="B24" s="56"/>
      <c r="C24" s="56"/>
      <c r="D24" s="56"/>
      <c r="E24" s="56"/>
      <c r="F24" s="56"/>
      <c r="G24" s="56"/>
      <c r="H24" s="56"/>
      <c r="I24" s="56"/>
    </row>
    <row r="25" spans="1:9" ht="19.95" customHeight="1">
      <c r="A25" s="1001" t="s">
        <v>95</v>
      </c>
      <c r="B25" s="1001"/>
      <c r="C25" s="1001"/>
      <c r="D25" s="998" t="s">
        <v>142</v>
      </c>
      <c r="E25" s="998"/>
      <c r="F25" s="998"/>
      <c r="G25" s="998" t="s">
        <v>143</v>
      </c>
      <c r="H25" s="998"/>
      <c r="I25" s="998"/>
    </row>
    <row r="26" spans="1:9" ht="19.95" customHeight="1">
      <c r="A26" s="999" t="s">
        <v>1154</v>
      </c>
      <c r="B26" s="1000"/>
      <c r="C26" s="1000"/>
      <c r="D26" s="79">
        <v>1</v>
      </c>
      <c r="E26" s="79">
        <v>2</v>
      </c>
      <c r="F26" s="79" t="s">
        <v>139</v>
      </c>
      <c r="G26" s="79">
        <v>1</v>
      </c>
      <c r="H26" s="79">
        <v>2</v>
      </c>
      <c r="I26" s="86" t="s">
        <v>140</v>
      </c>
    </row>
    <row r="27" spans="1:9" ht="19.95" customHeight="1">
      <c r="A27" s="995" t="s">
        <v>1132</v>
      </c>
      <c r="B27" s="977"/>
      <c r="C27" s="977"/>
      <c r="D27" s="644"/>
      <c r="E27" s="644"/>
      <c r="F27" s="645" t="s">
        <v>108</v>
      </c>
      <c r="G27" s="646"/>
      <c r="H27" s="646"/>
      <c r="I27" s="379" t="s">
        <v>108</v>
      </c>
    </row>
    <row r="28" spans="1:9" ht="19.95" customHeight="1">
      <c r="A28" s="995" t="s">
        <v>1133</v>
      </c>
      <c r="B28" s="977"/>
      <c r="C28" s="977"/>
      <c r="D28" s="85"/>
      <c r="E28" s="85"/>
      <c r="F28" s="380">
        <f>SUM(D28:E28)</f>
        <v>0</v>
      </c>
      <c r="G28" s="81"/>
      <c r="H28" s="81"/>
      <c r="I28" s="380">
        <f>SUM(G28:H28)</f>
        <v>0</v>
      </c>
    </row>
    <row r="29" spans="1:9" ht="19.95" customHeight="1">
      <c r="A29" s="995" t="s">
        <v>1134</v>
      </c>
      <c r="B29" s="977"/>
      <c r="C29" s="977"/>
      <c r="D29" s="68"/>
      <c r="E29" s="68"/>
      <c r="F29" s="374">
        <f>SUM(D29:E29)</f>
        <v>0</v>
      </c>
      <c r="G29" s="82"/>
      <c r="H29" s="82"/>
      <c r="I29" s="374">
        <f>SUM(G29:H29)</f>
        <v>0</v>
      </c>
    </row>
    <row r="30" spans="1:9" ht="27.6" customHeight="1">
      <c r="A30" s="995" t="s">
        <v>1160</v>
      </c>
      <c r="B30" s="977"/>
      <c r="C30" s="977"/>
      <c r="D30" s="68"/>
      <c r="E30" s="68"/>
      <c r="F30" s="379" t="s">
        <v>108</v>
      </c>
      <c r="G30" s="82"/>
      <c r="H30" s="82"/>
      <c r="I30" s="379" t="s">
        <v>108</v>
      </c>
    </row>
    <row r="31" spans="1:9" ht="30.6" customHeight="1">
      <c r="A31" s="977" t="s">
        <v>1161</v>
      </c>
      <c r="B31" s="977"/>
      <c r="C31" s="977"/>
      <c r="D31" s="374">
        <f>D28*D30</f>
        <v>0</v>
      </c>
      <c r="E31" s="374">
        <f>E28*E30</f>
        <v>0</v>
      </c>
      <c r="F31" s="374">
        <f>SUM(D31:E31)</f>
        <v>0</v>
      </c>
      <c r="G31" s="374">
        <f t="shared" ref="G31:H31" si="0">G28*G30</f>
        <v>0</v>
      </c>
      <c r="H31" s="374">
        <f t="shared" si="0"/>
        <v>0</v>
      </c>
      <c r="I31" s="374">
        <f>SUM(G31:H31)</f>
        <v>0</v>
      </c>
    </row>
    <row r="32" spans="1:9" ht="19.95" customHeight="1">
      <c r="A32" s="977" t="s">
        <v>1162</v>
      </c>
      <c r="B32" s="977"/>
      <c r="C32" s="977"/>
      <c r="D32" s="381">
        <f>D29-D31</f>
        <v>0</v>
      </c>
      <c r="E32" s="381">
        <f>E29-E31</f>
        <v>0</v>
      </c>
      <c r="F32" s="374">
        <f>SUM(D32:E32)</f>
        <v>0</v>
      </c>
      <c r="G32" s="381">
        <f>G29-G31</f>
        <v>0</v>
      </c>
      <c r="H32" s="381">
        <f>H29-H31</f>
        <v>0</v>
      </c>
      <c r="I32" s="374">
        <f>SUM(G32:H32)</f>
        <v>0</v>
      </c>
    </row>
    <row r="33" spans="1:9" ht="38.4" customHeight="1">
      <c r="A33" s="991" t="s">
        <v>1164</v>
      </c>
      <c r="B33" s="992"/>
      <c r="C33" s="992"/>
      <c r="D33" s="68"/>
      <c r="E33" s="68"/>
      <c r="F33" s="374">
        <f>SUM(D33:E33)</f>
        <v>0</v>
      </c>
      <c r="G33" s="68"/>
      <c r="H33" s="68"/>
      <c r="I33" s="374">
        <f>SUM(G33:H33)</f>
        <v>0</v>
      </c>
    </row>
    <row r="34" spans="1:9" ht="19.95" customHeight="1">
      <c r="A34" s="977" t="s">
        <v>1163</v>
      </c>
      <c r="B34" s="977"/>
      <c r="C34" s="977"/>
      <c r="D34" s="379" t="s">
        <v>1165</v>
      </c>
      <c r="E34" s="379" t="s">
        <v>108</v>
      </c>
      <c r="F34" s="381">
        <f>F29+F33</f>
        <v>0</v>
      </c>
      <c r="G34" s="379" t="s">
        <v>108</v>
      </c>
      <c r="H34" s="379" t="s">
        <v>108</v>
      </c>
      <c r="I34" s="381">
        <f>I29+I33</f>
        <v>0</v>
      </c>
    </row>
    <row r="35" spans="1:9" ht="19.95" customHeight="1"/>
    <row r="36" spans="1:9" s="102" customFormat="1" ht="19.95" customHeight="1">
      <c r="A36" s="114" t="s">
        <v>1114</v>
      </c>
      <c r="B36" s="113"/>
      <c r="C36" s="113"/>
      <c r="D36" s="113"/>
      <c r="E36" s="113"/>
      <c r="F36" s="113"/>
      <c r="G36" s="113"/>
      <c r="H36" s="113"/>
      <c r="I36" s="113"/>
    </row>
    <row r="37" spans="1:9" s="121" customFormat="1" ht="36">
      <c r="A37" s="986" t="s">
        <v>255</v>
      </c>
      <c r="B37" s="987"/>
      <c r="C37" s="48" t="s">
        <v>253</v>
      </c>
      <c r="D37" s="122" t="s">
        <v>256</v>
      </c>
      <c r="E37" s="48" t="s">
        <v>257</v>
      </c>
      <c r="F37" s="48" t="s">
        <v>258</v>
      </c>
      <c r="G37" s="48" t="s">
        <v>259</v>
      </c>
      <c r="H37" s="48" t="s">
        <v>254</v>
      </c>
      <c r="I37" s="103" t="s">
        <v>260</v>
      </c>
    </row>
    <row r="38" spans="1:9" s="115" customFormat="1" ht="19.95" customHeight="1">
      <c r="A38" s="118"/>
      <c r="B38" s="119"/>
      <c r="C38" s="116"/>
      <c r="D38" s="46"/>
      <c r="E38" s="46"/>
      <c r="F38" s="46"/>
      <c r="G38" s="117"/>
      <c r="H38" s="117"/>
      <c r="I38" s="117"/>
    </row>
    <row r="39" spans="1:9" s="115" customFormat="1" ht="19.95" customHeight="1">
      <c r="A39" s="118"/>
      <c r="B39" s="119"/>
      <c r="C39" s="116"/>
      <c r="D39" s="46"/>
      <c r="E39" s="46"/>
      <c r="F39" s="46"/>
      <c r="G39" s="117"/>
      <c r="H39" s="117"/>
      <c r="I39" s="117"/>
    </row>
    <row r="40" spans="1:9" s="115" customFormat="1" ht="19.95" customHeight="1">
      <c r="A40" s="120"/>
      <c r="B40" s="99"/>
      <c r="C40" s="47"/>
      <c r="D40" s="38"/>
      <c r="E40" s="38"/>
      <c r="F40" s="117"/>
      <c r="G40" s="117"/>
      <c r="H40" s="117"/>
      <c r="I40" s="117"/>
    </row>
    <row r="41" spans="1:9" ht="19.95" customHeight="1">
      <c r="A41" s="23" t="s">
        <v>441</v>
      </c>
    </row>
    <row r="42" spans="1:9" ht="19.95" customHeight="1"/>
    <row r="43" spans="1:9" ht="19.95" customHeight="1"/>
    <row r="44" spans="1:9" ht="19.95" customHeight="1">
      <c r="A44" s="23" t="s">
        <v>233</v>
      </c>
    </row>
    <row r="45" spans="1:9" ht="19.95" customHeight="1"/>
    <row r="46" spans="1:9" ht="19.95" customHeight="1"/>
    <row r="47" spans="1:9" ht="20.100000000000001" customHeight="1">
      <c r="A47" s="58" t="s">
        <v>120</v>
      </c>
      <c r="B47" s="58"/>
      <c r="C47" s="58"/>
      <c r="D47" s="58"/>
      <c r="E47" s="58"/>
      <c r="F47" s="58"/>
      <c r="G47" s="59"/>
      <c r="H47" s="60"/>
      <c r="I47" s="60"/>
    </row>
    <row r="48" spans="1:9" ht="20.100000000000001" customHeight="1">
      <c r="A48" s="57" t="s">
        <v>1033</v>
      </c>
      <c r="B48" s="54"/>
      <c r="C48" s="54"/>
      <c r="D48" s="54"/>
      <c r="E48" s="54"/>
      <c r="F48" s="54"/>
      <c r="G48" s="54"/>
      <c r="H48" s="54"/>
      <c r="I48" s="54"/>
    </row>
    <row r="49" spans="1:9">
      <c r="A49" s="57" t="s">
        <v>121</v>
      </c>
      <c r="B49" s="57"/>
      <c r="C49" s="57"/>
      <c r="D49" s="57"/>
      <c r="E49" s="57"/>
      <c r="F49" s="57"/>
      <c r="G49" s="57"/>
      <c r="H49" s="57"/>
      <c r="I49" s="57"/>
    </row>
    <row r="50" spans="1:9" ht="20.100000000000001" customHeight="1">
      <c r="A50" s="57" t="s">
        <v>122</v>
      </c>
      <c r="B50" s="537"/>
      <c r="C50" s="537"/>
      <c r="D50" s="537"/>
      <c r="E50" s="537"/>
      <c r="F50" s="537"/>
      <c r="G50" s="537"/>
      <c r="H50" s="537"/>
      <c r="I50" s="537"/>
    </row>
    <row r="51" spans="1:9" ht="20.100000000000001" customHeight="1">
      <c r="A51" s="57" t="s">
        <v>249</v>
      </c>
      <c r="B51" s="57"/>
      <c r="C51" s="57"/>
      <c r="D51" s="57"/>
      <c r="E51" s="57"/>
      <c r="F51" s="57"/>
      <c r="G51" s="57"/>
      <c r="H51" s="57"/>
      <c r="I51" s="57"/>
    </row>
    <row r="52" spans="1:9" ht="20.100000000000001" customHeight="1">
      <c r="A52" s="57" t="s">
        <v>1034</v>
      </c>
      <c r="B52" s="56"/>
      <c r="C52" s="56"/>
      <c r="D52" s="56"/>
      <c r="E52" s="56"/>
      <c r="F52" s="56"/>
      <c r="G52" s="56"/>
      <c r="H52" s="56"/>
      <c r="I52" s="56"/>
    </row>
    <row r="53" spans="1:9">
      <c r="A53" s="57" t="s">
        <v>144</v>
      </c>
      <c r="B53" s="57"/>
      <c r="C53" s="57"/>
      <c r="D53" s="57"/>
      <c r="E53" s="57"/>
      <c r="F53" s="57"/>
      <c r="G53" s="57"/>
      <c r="H53" s="57"/>
      <c r="I53" s="57"/>
    </row>
  </sheetData>
  <mergeCells count="30">
    <mergeCell ref="A1:I1"/>
    <mergeCell ref="A2:I2"/>
    <mergeCell ref="A18:C18"/>
    <mergeCell ref="A19:C19"/>
    <mergeCell ref="A15:C15"/>
    <mergeCell ref="A16:C16"/>
    <mergeCell ref="A17:C17"/>
    <mergeCell ref="A12:C12"/>
    <mergeCell ref="A13:C13"/>
    <mergeCell ref="A14:C14"/>
    <mergeCell ref="A11:C11"/>
    <mergeCell ref="A37:B37"/>
    <mergeCell ref="A9:C9"/>
    <mergeCell ref="A10:C10"/>
    <mergeCell ref="A8:C8"/>
    <mergeCell ref="A25:C25"/>
    <mergeCell ref="A20:C20"/>
    <mergeCell ref="A21:C21"/>
    <mergeCell ref="A22:C22"/>
    <mergeCell ref="D25:F25"/>
    <mergeCell ref="G25:I25"/>
    <mergeCell ref="A32:C32"/>
    <mergeCell ref="A33:C33"/>
    <mergeCell ref="A34:C34"/>
    <mergeCell ref="A27:C27"/>
    <mergeCell ref="A28:C28"/>
    <mergeCell ref="A29:C29"/>
    <mergeCell ref="A30:C30"/>
    <mergeCell ref="A31:C31"/>
    <mergeCell ref="A26:C26"/>
  </mergeCells>
  <phoneticPr fontId="11" type="noConversion"/>
  <hyperlinks>
    <hyperlink ref="I3" location="底稿目录!F15" display="底稿目录!F15"/>
  </hyperlinks>
  <pageMargins left="0.70866141732283472" right="0.70866141732283472" top="0.74803149606299213" bottom="0.74803149606299213" header="0.31496062992125984" footer="0.31496062992125984"/>
  <pageSetup paperSize="9" fitToHeight="0" orientation="landscape" blackAndWhite="1" r:id="rId1"/>
  <headerFooter>
    <oddFooter>&amp;C&amp;P/&amp;N</oddFooter>
  </headerFooter>
  <rowBreaks count="1" manualBreakCount="1">
    <brk id="23" max="8"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I48"/>
  <sheetViews>
    <sheetView view="pageBreakPreview" zoomScale="110" zoomScaleSheetLayoutView="110" workbookViewId="0">
      <selection sqref="A1:I1"/>
    </sheetView>
  </sheetViews>
  <sheetFormatPr defaultColWidth="9" defaultRowHeight="15.6"/>
  <cols>
    <col min="1" max="1" width="10.69921875" style="90" customWidth="1"/>
    <col min="2" max="2" width="12.5" style="90" customWidth="1"/>
    <col min="3" max="3" width="11" style="90" customWidth="1"/>
    <col min="4" max="4" width="13.09765625" style="90" customWidth="1"/>
    <col min="5" max="5" width="15.59765625" style="90" customWidth="1"/>
    <col min="6" max="6" width="18.8984375" style="90" customWidth="1"/>
    <col min="7" max="7" width="14.5" style="90" customWidth="1"/>
    <col min="8" max="8" width="12.3984375" style="90" customWidth="1"/>
    <col min="9" max="9" width="12.5" style="90" customWidth="1"/>
    <col min="10" max="16384" width="9" style="90"/>
  </cols>
  <sheetData>
    <row r="1" spans="1:9" s="617" customFormat="1" ht="19.95" customHeight="1">
      <c r="A1" s="942" t="s">
        <v>0</v>
      </c>
      <c r="B1" s="942"/>
      <c r="C1" s="942"/>
      <c r="D1" s="942"/>
      <c r="E1" s="942"/>
      <c r="F1" s="942"/>
      <c r="G1" s="942"/>
      <c r="H1" s="942"/>
      <c r="I1" s="942"/>
    </row>
    <row r="2" spans="1:9" s="630" customFormat="1" ht="19.95" customHeight="1">
      <c r="A2" s="943" t="s">
        <v>499</v>
      </c>
      <c r="B2" s="943"/>
      <c r="C2" s="943"/>
      <c r="D2" s="943"/>
      <c r="E2" s="943"/>
      <c r="F2" s="943"/>
      <c r="G2" s="943"/>
      <c r="H2" s="943"/>
      <c r="I2" s="943"/>
    </row>
    <row r="3" spans="1:9" s="207" customFormat="1" ht="19.95" customHeight="1">
      <c r="A3" s="207" t="str">
        <f>底稿目录!A2</f>
        <v>被审计单位：</v>
      </c>
      <c r="D3" s="207" t="str">
        <f>底稿目录!A4</f>
        <v>编制人：</v>
      </c>
      <c r="F3" s="229" t="str">
        <f>底稿目录!A5</f>
        <v>编制日期：</v>
      </c>
      <c r="G3" s="229"/>
      <c r="H3" s="207" t="s">
        <v>67</v>
      </c>
      <c r="I3" s="763" t="str">
        <f>底稿目录!F16</f>
        <v>G7-10</v>
      </c>
    </row>
    <row r="4" spans="1:9" s="207" customFormat="1" ht="19.95" customHeight="1">
      <c r="A4" s="207" t="str">
        <f>底稿目录!A3</f>
        <v>截止日：202X年12月31日</v>
      </c>
      <c r="D4" s="207" t="str">
        <f>底稿目录!A6</f>
        <v>复核人：</v>
      </c>
      <c r="F4" s="229" t="str">
        <f>底稿目录!A7</f>
        <v>复核日期：</v>
      </c>
      <c r="G4" s="229"/>
      <c r="H4" s="207" t="s">
        <v>1316</v>
      </c>
    </row>
    <row r="5" spans="1:9" ht="19.95" customHeight="1">
      <c r="A5" s="74" t="s">
        <v>146</v>
      </c>
      <c r="B5" s="74"/>
      <c r="C5" s="2" t="s">
        <v>147</v>
      </c>
    </row>
    <row r="6" spans="1:9" ht="19.95" customHeight="1">
      <c r="A6" s="75" t="s">
        <v>126</v>
      </c>
      <c r="B6" s="75"/>
    </row>
    <row r="7" spans="1:9" s="89" customFormat="1" ht="19.95" customHeight="1">
      <c r="A7" s="72" t="s">
        <v>1036</v>
      </c>
      <c r="B7" s="77"/>
      <c r="C7" s="77"/>
      <c r="D7" s="77"/>
      <c r="E7" s="77"/>
      <c r="F7" s="77"/>
      <c r="G7" s="77"/>
      <c r="H7" s="77"/>
    </row>
    <row r="8" spans="1:9" s="88" customFormat="1" ht="24">
      <c r="A8" s="589" t="s">
        <v>148</v>
      </c>
      <c r="B8" s="590" t="s">
        <v>1174</v>
      </c>
      <c r="C8" s="73" t="s">
        <v>149</v>
      </c>
      <c r="D8" s="73" t="s">
        <v>150</v>
      </c>
      <c r="E8" s="73" t="s">
        <v>151</v>
      </c>
      <c r="F8" s="73" t="s">
        <v>152</v>
      </c>
      <c r="G8" s="73" t="s">
        <v>153</v>
      </c>
      <c r="H8" s="65" t="s">
        <v>154</v>
      </c>
      <c r="I8" s="65" t="s">
        <v>155</v>
      </c>
    </row>
    <row r="9" spans="1:9" s="2" customFormat="1" ht="19.95" customHeight="1">
      <c r="A9" s="87"/>
      <c r="B9" s="91"/>
      <c r="C9" s="641"/>
      <c r="D9" s="647"/>
      <c r="E9" s="78"/>
      <c r="F9" s="61"/>
      <c r="G9" s="375">
        <f>C9*F9</f>
        <v>0</v>
      </c>
      <c r="H9" s="71"/>
      <c r="I9" s="375">
        <f>G9-H9</f>
        <v>0</v>
      </c>
    </row>
    <row r="10" spans="1:9" s="2" customFormat="1" ht="19.95" customHeight="1">
      <c r="A10" s="87"/>
      <c r="B10" s="91"/>
      <c r="C10" s="641"/>
      <c r="D10" s="647"/>
      <c r="E10" s="78"/>
      <c r="F10" s="61"/>
      <c r="G10" s="375">
        <f>C10*F10</f>
        <v>0</v>
      </c>
      <c r="H10" s="71"/>
      <c r="I10" s="375">
        <f>G10-H10</f>
        <v>0</v>
      </c>
    </row>
    <row r="11" spans="1:9" s="2" customFormat="1" ht="19.95" customHeight="1">
      <c r="A11" s="87"/>
      <c r="B11" s="91"/>
      <c r="C11" s="641"/>
      <c r="D11" s="647"/>
      <c r="E11" s="78"/>
      <c r="F11" s="61"/>
      <c r="G11" s="375">
        <f>C11*F11</f>
        <v>0</v>
      </c>
      <c r="H11" s="71"/>
      <c r="I11" s="375">
        <f>G11-H11</f>
        <v>0</v>
      </c>
    </row>
    <row r="12" spans="1:9" s="2" customFormat="1" ht="19.95" customHeight="1">
      <c r="A12" s="87"/>
      <c r="B12" s="91"/>
      <c r="C12" s="641"/>
      <c r="D12" s="647"/>
      <c r="E12" s="78"/>
      <c r="F12" s="61"/>
      <c r="G12" s="375">
        <f>C12*F12</f>
        <v>0</v>
      </c>
      <c r="H12" s="71"/>
      <c r="I12" s="375">
        <f>G12-H12</f>
        <v>0</v>
      </c>
    </row>
    <row r="13" spans="1:9" s="2" customFormat="1" ht="19.95" customHeight="1">
      <c r="A13" s="87"/>
      <c r="B13" s="91"/>
      <c r="C13" s="641"/>
      <c r="D13" s="647"/>
      <c r="E13" s="78"/>
      <c r="F13" s="61"/>
      <c r="G13" s="375">
        <f>C13*F13</f>
        <v>0</v>
      </c>
      <c r="H13" s="71"/>
      <c r="I13" s="375">
        <f>G13-H13</f>
        <v>0</v>
      </c>
    </row>
    <row r="14" spans="1:9" ht="19.95" customHeight="1">
      <c r="A14" s="54" t="s">
        <v>156</v>
      </c>
      <c r="B14" s="54"/>
      <c r="C14" s="54"/>
      <c r="D14" s="54"/>
      <c r="E14" s="54"/>
      <c r="F14" s="54"/>
      <c r="G14" s="54"/>
      <c r="H14" s="54"/>
    </row>
    <row r="15" spans="1:9" ht="19.95" customHeight="1">
      <c r="A15" s="951" t="s">
        <v>252</v>
      </c>
      <c r="B15" s="951"/>
      <c r="C15" s="560" t="s">
        <v>1175</v>
      </c>
      <c r="D15" s="560" t="s">
        <v>1176</v>
      </c>
      <c r="E15" s="1008" t="s">
        <v>174</v>
      </c>
      <c r="F15" s="1008"/>
      <c r="G15" s="560" t="s">
        <v>1175</v>
      </c>
      <c r="H15" s="560" t="s">
        <v>1176</v>
      </c>
    </row>
    <row r="16" spans="1:9" ht="27.6" customHeight="1">
      <c r="A16" s="1004" t="s">
        <v>1166</v>
      </c>
      <c r="B16" s="1002"/>
      <c r="C16" s="109"/>
      <c r="D16" s="109"/>
      <c r="E16" s="1002" t="s">
        <v>1168</v>
      </c>
      <c r="F16" s="1002"/>
      <c r="G16" s="188"/>
      <c r="H16" s="27"/>
    </row>
    <row r="17" spans="1:9" ht="43.2" customHeight="1">
      <c r="A17" s="1002" t="s">
        <v>1169</v>
      </c>
      <c r="B17" s="1002"/>
      <c r="C17" s="648"/>
      <c r="D17" s="648"/>
      <c r="E17" s="1002" t="s">
        <v>1170</v>
      </c>
      <c r="F17" s="1002"/>
      <c r="G17" s="382">
        <f>G16*C18</f>
        <v>0</v>
      </c>
      <c r="H17" s="382">
        <f>H16*D18</f>
        <v>0</v>
      </c>
    </row>
    <row r="18" spans="1:9" ht="19.95" customHeight="1">
      <c r="A18" s="1004" t="s">
        <v>1167</v>
      </c>
      <c r="B18" s="1002"/>
      <c r="C18" s="648"/>
      <c r="D18" s="648"/>
      <c r="E18" s="1002" t="s">
        <v>1171</v>
      </c>
      <c r="F18" s="1002"/>
      <c r="G18" s="384">
        <f>G17-C19</f>
        <v>0</v>
      </c>
      <c r="H18" s="384">
        <f>H17-D19</f>
        <v>0</v>
      </c>
    </row>
    <row r="19" spans="1:9" ht="19.95" customHeight="1">
      <c r="A19" s="1004" t="s">
        <v>1177</v>
      </c>
      <c r="B19" s="1002"/>
      <c r="C19" s="385">
        <f>SUM(C20:C24)</f>
        <v>0</v>
      </c>
      <c r="D19" s="385">
        <f>SUM(D20:D24)</f>
        <v>0</v>
      </c>
      <c r="E19" s="1002" t="s">
        <v>1172</v>
      </c>
      <c r="F19" s="1002"/>
      <c r="G19" s="189"/>
      <c r="H19" s="189"/>
      <c r="I19" s="27"/>
    </row>
    <row r="20" spans="1:9" ht="19.95" customHeight="1">
      <c r="A20" s="1004" t="s">
        <v>422</v>
      </c>
      <c r="B20" s="1002"/>
      <c r="C20" s="109"/>
      <c r="D20" s="70"/>
      <c r="E20" s="1002" t="s">
        <v>1182</v>
      </c>
      <c r="F20" s="1002"/>
      <c r="G20" s="189"/>
      <c r="H20" s="189"/>
      <c r="I20" s="27"/>
    </row>
    <row r="21" spans="1:9" ht="19.95" customHeight="1">
      <c r="A21" s="1005" t="s">
        <v>1178</v>
      </c>
      <c r="B21" s="1005"/>
      <c r="C21" s="109"/>
      <c r="D21" s="70"/>
      <c r="E21" s="1002" t="s">
        <v>1183</v>
      </c>
      <c r="F21" s="1002"/>
      <c r="G21" s="189"/>
      <c r="H21" s="189"/>
      <c r="I21" s="27"/>
    </row>
    <row r="22" spans="1:9" ht="27.6" customHeight="1">
      <c r="A22" s="1005" t="s">
        <v>1179</v>
      </c>
      <c r="B22" s="1005"/>
      <c r="C22" s="109"/>
      <c r="D22" s="70"/>
      <c r="E22" s="1004" t="s">
        <v>145</v>
      </c>
      <c r="F22" s="1002"/>
      <c r="G22" s="189"/>
      <c r="H22" s="189"/>
      <c r="I22" s="27"/>
    </row>
    <row r="23" spans="1:9" ht="19.95" customHeight="1">
      <c r="A23" s="1003" t="s">
        <v>1180</v>
      </c>
      <c r="B23" s="1003"/>
      <c r="C23" s="189"/>
      <c r="D23" s="70"/>
      <c r="E23" s="561"/>
      <c r="F23" s="38"/>
      <c r="G23" s="189"/>
      <c r="H23" s="189"/>
      <c r="I23" s="27"/>
    </row>
    <row r="24" spans="1:9" ht="19.95" customHeight="1">
      <c r="A24" s="1003" t="s">
        <v>1181</v>
      </c>
      <c r="B24" s="1003"/>
      <c r="C24" s="189"/>
      <c r="D24" s="70"/>
      <c r="E24" s="539"/>
      <c r="F24" s="540"/>
      <c r="G24" s="545"/>
      <c r="H24" s="545"/>
      <c r="I24" s="545"/>
    </row>
    <row r="25" spans="1:9" ht="26.4" customHeight="1">
      <c r="A25" s="995" t="s">
        <v>1035</v>
      </c>
      <c r="B25" s="977"/>
      <c r="C25" s="381">
        <f>C16+C19</f>
        <v>0</v>
      </c>
      <c r="D25" s="381">
        <f>D16+D19</f>
        <v>0</v>
      </c>
      <c r="E25" s="541"/>
      <c r="F25" s="542"/>
      <c r="G25" s="545"/>
      <c r="H25" s="545"/>
      <c r="I25" s="545"/>
    </row>
    <row r="26" spans="1:9" ht="19.95" customHeight="1"/>
    <row r="27" spans="1:9" ht="19.95" customHeight="1">
      <c r="A27" s="54" t="s">
        <v>225</v>
      </c>
      <c r="B27" s="56"/>
      <c r="C27" s="56"/>
      <c r="D27" s="56"/>
      <c r="E27" s="56"/>
      <c r="F27" s="56"/>
      <c r="G27" s="64"/>
      <c r="H27" s="64"/>
    </row>
    <row r="28" spans="1:9" s="2" customFormat="1" ht="19.95" customHeight="1">
      <c r="A28" s="951" t="s">
        <v>252</v>
      </c>
      <c r="B28" s="951"/>
      <c r="C28" s="594" t="s">
        <v>1197</v>
      </c>
      <c r="D28" s="594" t="s">
        <v>1198</v>
      </c>
      <c r="E28" s="951" t="s">
        <v>252</v>
      </c>
      <c r="F28" s="951"/>
      <c r="G28" s="594" t="s">
        <v>1199</v>
      </c>
      <c r="H28" s="594" t="s">
        <v>1200</v>
      </c>
      <c r="I28" s="591"/>
    </row>
    <row r="29" spans="1:9" s="2" customFormat="1" ht="30.6" customHeight="1">
      <c r="A29" s="1004" t="s">
        <v>1187</v>
      </c>
      <c r="B29" s="1002"/>
      <c r="C29" s="109"/>
      <c r="D29" s="109"/>
      <c r="E29" s="1002" t="s">
        <v>1188</v>
      </c>
      <c r="F29" s="1002"/>
      <c r="G29" s="109"/>
      <c r="H29" s="109"/>
      <c r="I29" s="27"/>
    </row>
    <row r="30" spans="1:9" s="2" customFormat="1" ht="39" customHeight="1">
      <c r="A30" s="1004" t="s">
        <v>1184</v>
      </c>
      <c r="B30" s="1002"/>
      <c r="C30" s="648"/>
      <c r="D30" s="648"/>
      <c r="E30" s="1002" t="s">
        <v>1189</v>
      </c>
      <c r="F30" s="1002"/>
      <c r="G30" s="382">
        <f>H29*C31</f>
        <v>0</v>
      </c>
      <c r="H30" s="382">
        <f>I29*D31</f>
        <v>0</v>
      </c>
    </row>
    <row r="31" spans="1:9" s="2" customFormat="1" ht="19.95" customHeight="1">
      <c r="A31" s="1004" t="s">
        <v>1185</v>
      </c>
      <c r="B31" s="1002"/>
      <c r="C31" s="648"/>
      <c r="D31" s="648"/>
      <c r="E31" s="1002" t="s">
        <v>1190</v>
      </c>
      <c r="F31" s="1002"/>
      <c r="G31" s="384">
        <f>G30-C32</f>
        <v>0</v>
      </c>
      <c r="H31" s="384">
        <f>H30-D32</f>
        <v>0</v>
      </c>
    </row>
    <row r="32" spans="1:9" s="2" customFormat="1" ht="19.95" customHeight="1">
      <c r="A32" s="1004" t="s">
        <v>1186</v>
      </c>
      <c r="B32" s="1002"/>
      <c r="C32" s="382">
        <f>SUM(C33:C37)</f>
        <v>0</v>
      </c>
      <c r="D32" s="382">
        <f>SUM(D33:D37)</f>
        <v>0</v>
      </c>
      <c r="E32" s="1002" t="s">
        <v>1172</v>
      </c>
      <c r="F32" s="1002"/>
      <c r="G32" s="109"/>
      <c r="H32" s="109"/>
      <c r="I32" s="27"/>
    </row>
    <row r="33" spans="1:9" s="2" customFormat="1" ht="19.95" customHeight="1">
      <c r="A33" s="1004" t="s">
        <v>422</v>
      </c>
      <c r="B33" s="1002"/>
      <c r="C33" s="109"/>
      <c r="D33" s="70"/>
      <c r="E33" s="1002" t="s">
        <v>1191</v>
      </c>
      <c r="F33" s="1002"/>
      <c r="G33" s="109"/>
      <c r="H33" s="109"/>
      <c r="I33" s="27"/>
    </row>
    <row r="34" spans="1:9" s="2" customFormat="1" ht="19.95" customHeight="1">
      <c r="A34" s="1006" t="s">
        <v>1173</v>
      </c>
      <c r="B34" s="1007"/>
      <c r="C34" s="109"/>
      <c r="D34" s="70"/>
      <c r="E34" s="1002" t="s">
        <v>1192</v>
      </c>
      <c r="F34" s="1002"/>
      <c r="G34" s="109"/>
      <c r="H34" s="109"/>
      <c r="I34" s="27"/>
    </row>
    <row r="35" spans="1:9" s="2" customFormat="1" ht="26.4" customHeight="1">
      <c r="A35" s="1006" t="s">
        <v>1193</v>
      </c>
      <c r="B35" s="1007"/>
      <c r="C35" s="109"/>
      <c r="D35" s="70"/>
      <c r="E35" s="1004" t="s">
        <v>145</v>
      </c>
      <c r="F35" s="1002"/>
      <c r="G35" s="109"/>
      <c r="H35" s="109"/>
      <c r="I35" s="27"/>
    </row>
    <row r="36" spans="1:9" s="2" customFormat="1" ht="19.95" customHeight="1">
      <c r="A36" s="1006" t="s">
        <v>1194</v>
      </c>
      <c r="B36" s="1007"/>
      <c r="C36" s="109"/>
      <c r="D36" s="70"/>
      <c r="E36" s="561"/>
      <c r="F36" s="38"/>
      <c r="G36" s="109"/>
      <c r="H36" s="109"/>
      <c r="I36" s="27"/>
    </row>
    <row r="37" spans="1:9" s="2" customFormat="1" ht="19.95" customHeight="1">
      <c r="A37" s="1006" t="s">
        <v>1195</v>
      </c>
      <c r="B37" s="1007"/>
      <c r="C37" s="109"/>
      <c r="D37" s="70"/>
      <c r="E37" s="539"/>
      <c r="F37" s="540"/>
      <c r="G37" s="592"/>
      <c r="H37" s="592"/>
      <c r="I37" s="543"/>
    </row>
    <row r="38" spans="1:9" s="2" customFormat="1" ht="31.2" customHeight="1">
      <c r="A38" s="1002" t="s">
        <v>1196</v>
      </c>
      <c r="B38" s="1002"/>
      <c r="C38" s="382">
        <f>IF(C30=0,0,C32-C31/C30*C29)</f>
        <v>0</v>
      </c>
      <c r="D38" s="382">
        <f>IF(D30=0,0,D32-D31/D30*D29)</f>
        <v>0</v>
      </c>
      <c r="E38" s="541"/>
      <c r="F38" s="542"/>
      <c r="G38" s="593"/>
      <c r="H38" s="593"/>
      <c r="I38" s="544"/>
    </row>
    <row r="39" spans="1:9" s="2" customFormat="1" ht="19.95" customHeight="1">
      <c r="A39" s="54" t="s">
        <v>232</v>
      </c>
      <c r="B39" s="56"/>
      <c r="C39" s="56"/>
      <c r="D39" s="56"/>
      <c r="E39" s="56"/>
      <c r="F39" s="56"/>
      <c r="G39" s="56"/>
      <c r="H39" s="56"/>
    </row>
    <row r="40" spans="1:9" ht="19.95" customHeight="1">
      <c r="A40" s="35"/>
      <c r="B40" s="56"/>
      <c r="C40" s="56"/>
      <c r="D40" s="56"/>
      <c r="E40" s="56"/>
      <c r="F40" s="56"/>
      <c r="G40" s="56"/>
      <c r="H40" s="56"/>
    </row>
    <row r="41" spans="1:9" ht="19.95" customHeight="1">
      <c r="A41" s="35"/>
    </row>
    <row r="42" spans="1:9" ht="19.95" customHeight="1">
      <c r="A42" s="54" t="s">
        <v>233</v>
      </c>
    </row>
    <row r="43" spans="1:9" ht="19.95" customHeight="1"/>
    <row r="44" spans="1:9" ht="19.95" customHeight="1"/>
    <row r="45" spans="1:9">
      <c r="A45" s="57" t="s">
        <v>118</v>
      </c>
    </row>
    <row r="46" spans="1:9" ht="20.100000000000001" customHeight="1">
      <c r="A46" s="57" t="s">
        <v>1317</v>
      </c>
      <c r="B46" s="54"/>
      <c r="C46" s="54"/>
      <c r="D46" s="54"/>
      <c r="E46" s="54"/>
      <c r="F46" s="54"/>
      <c r="G46" s="54"/>
      <c r="H46" s="54"/>
    </row>
    <row r="47" spans="1:9">
      <c r="A47" s="57" t="s">
        <v>157</v>
      </c>
      <c r="B47" s="57"/>
      <c r="C47" s="57"/>
      <c r="D47" s="57"/>
      <c r="E47" s="57"/>
      <c r="F47" s="57"/>
      <c r="G47" s="57"/>
      <c r="H47" s="57"/>
    </row>
    <row r="48" spans="1:9">
      <c r="A48" s="57" t="s">
        <v>158</v>
      </c>
      <c r="B48" s="57"/>
      <c r="C48" s="57"/>
      <c r="D48" s="57"/>
      <c r="E48" s="57"/>
      <c r="F48" s="57"/>
      <c r="G48" s="57"/>
      <c r="H48" s="57"/>
    </row>
  </sheetData>
  <mergeCells count="40">
    <mergeCell ref="A23:B23"/>
    <mergeCell ref="A1:I1"/>
    <mergeCell ref="A2:I2"/>
    <mergeCell ref="A16:B16"/>
    <mergeCell ref="A15:B15"/>
    <mergeCell ref="E15:F15"/>
    <mergeCell ref="E16:F16"/>
    <mergeCell ref="A17:B17"/>
    <mergeCell ref="E17:F17"/>
    <mergeCell ref="A18:B18"/>
    <mergeCell ref="E18:F18"/>
    <mergeCell ref="A28:B28"/>
    <mergeCell ref="A32:B32"/>
    <mergeCell ref="A33:B33"/>
    <mergeCell ref="A37:B37"/>
    <mergeCell ref="A35:B35"/>
    <mergeCell ref="A29:B29"/>
    <mergeCell ref="A30:B30"/>
    <mergeCell ref="A31:B31"/>
    <mergeCell ref="E30:F30"/>
    <mergeCell ref="E31:F31"/>
    <mergeCell ref="A36:B36"/>
    <mergeCell ref="E32:F32"/>
    <mergeCell ref="E33:F33"/>
    <mergeCell ref="A38:B38"/>
    <mergeCell ref="A24:B24"/>
    <mergeCell ref="A19:B19"/>
    <mergeCell ref="E19:F19"/>
    <mergeCell ref="A20:B20"/>
    <mergeCell ref="E20:F20"/>
    <mergeCell ref="A21:B21"/>
    <mergeCell ref="E21:F21"/>
    <mergeCell ref="A22:B22"/>
    <mergeCell ref="E29:F29"/>
    <mergeCell ref="E22:F22"/>
    <mergeCell ref="E34:F34"/>
    <mergeCell ref="E35:F35"/>
    <mergeCell ref="E28:F28"/>
    <mergeCell ref="A34:B34"/>
    <mergeCell ref="A25:B25"/>
  </mergeCells>
  <phoneticPr fontId="11" type="noConversion"/>
  <hyperlinks>
    <hyperlink ref="I3" location="底稿目录!F16" display="底稿目录!F16"/>
  </hyperlinks>
  <pageMargins left="0.70866141732283472" right="0.70866141732283472" top="0.74803149606299213" bottom="0.74803149606299213" header="0.31496062992125984" footer="0.31496062992125984"/>
  <pageSetup paperSize="9" scale="91" fitToHeight="2" orientation="landscape" blackAndWhite="1" r:id="rId1"/>
  <headerFooter>
    <oddFooter>&amp;C&amp;P/&amp;N</oddFooter>
  </headerFooter>
  <rowBreaks count="1" manualBreakCount="1">
    <brk id="25" max="8"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N47"/>
  <sheetViews>
    <sheetView view="pageBreakPreview" zoomScaleNormal="100" zoomScaleSheetLayoutView="100" workbookViewId="0">
      <selection sqref="A1:L1"/>
    </sheetView>
  </sheetViews>
  <sheetFormatPr defaultColWidth="9" defaultRowHeight="13.8"/>
  <cols>
    <col min="1" max="1" width="4.19921875" style="2" customWidth="1"/>
    <col min="2" max="2" width="15.09765625" style="2" customWidth="1"/>
    <col min="3" max="3" width="14.09765625" style="2" customWidth="1"/>
    <col min="4" max="4" width="13.59765625" style="2" customWidth="1"/>
    <col min="5" max="5" width="13.5" style="2" customWidth="1"/>
    <col min="6" max="6" width="13.3984375" style="2" customWidth="1"/>
    <col min="7" max="7" width="13.8984375" style="2" customWidth="1"/>
    <col min="8" max="8" width="14.8984375" style="2" customWidth="1"/>
    <col min="9" max="9" width="15.09765625" style="2" customWidth="1"/>
    <col min="10" max="10" width="13.09765625" style="2" customWidth="1"/>
    <col min="11" max="11" width="14.3984375" style="2" customWidth="1"/>
    <col min="12" max="12" width="15.8984375" style="2" customWidth="1"/>
    <col min="13" max="16384" width="9" style="2"/>
  </cols>
  <sheetData>
    <row r="1" spans="1:14" s="623" customFormat="1" ht="19.95" customHeight="1">
      <c r="A1" s="1009" t="s">
        <v>0</v>
      </c>
      <c r="B1" s="1009"/>
      <c r="C1" s="1009"/>
      <c r="D1" s="1009"/>
      <c r="E1" s="1009"/>
      <c r="F1" s="1009"/>
      <c r="G1" s="1009"/>
      <c r="H1" s="1009"/>
      <c r="I1" s="1009"/>
      <c r="J1" s="1009"/>
      <c r="K1" s="1009"/>
      <c r="L1" s="1009"/>
      <c r="M1" s="622"/>
      <c r="N1" s="622"/>
    </row>
    <row r="2" spans="1:14" s="634" customFormat="1" ht="19.95" customHeight="1">
      <c r="A2" s="1010" t="s">
        <v>1280</v>
      </c>
      <c r="B2" s="1010"/>
      <c r="C2" s="1010"/>
      <c r="D2" s="1010"/>
      <c r="E2" s="1010"/>
      <c r="F2" s="1010"/>
      <c r="G2" s="1010"/>
      <c r="H2" s="1010"/>
      <c r="I2" s="1010"/>
      <c r="J2" s="1010"/>
      <c r="K2" s="1010"/>
      <c r="L2" s="1010"/>
      <c r="M2" s="633"/>
      <c r="N2" s="633"/>
    </row>
    <row r="3" spans="1:14" s="207" customFormat="1" ht="19.95" customHeight="1">
      <c r="A3" s="207" t="str">
        <f>底稿目录!A2</f>
        <v>被审计单位：</v>
      </c>
      <c r="E3" s="207" t="str">
        <f>底稿目录!A4</f>
        <v>编制人：</v>
      </c>
      <c r="I3" s="229" t="str">
        <f>底稿目录!A5</f>
        <v>编制日期：</v>
      </c>
      <c r="J3" s="229"/>
      <c r="K3" s="207" t="s">
        <v>849</v>
      </c>
      <c r="L3" s="763" t="str">
        <f>底稿目录!F17</f>
        <v>G7-11</v>
      </c>
      <c r="M3" s="671"/>
    </row>
    <row r="4" spans="1:14" s="207" customFormat="1" ht="19.95" customHeight="1">
      <c r="A4" s="207" t="str">
        <f>底稿目录!A3</f>
        <v>截止日：202X年12月31日</v>
      </c>
      <c r="E4" s="207" t="str">
        <f>底稿目录!A6</f>
        <v>复核人：</v>
      </c>
      <c r="I4" s="229" t="str">
        <f>底稿目录!A7</f>
        <v>复核日期：</v>
      </c>
      <c r="J4" s="229"/>
      <c r="K4" s="207" t="s">
        <v>1316</v>
      </c>
      <c r="M4" s="671"/>
    </row>
    <row r="5" spans="1:14" ht="19.95" customHeight="1">
      <c r="A5" s="74" t="s">
        <v>442</v>
      </c>
      <c r="C5" s="2" t="s">
        <v>446</v>
      </c>
    </row>
    <row r="6" spans="1:14" ht="19.95" customHeight="1">
      <c r="A6" s="75" t="s">
        <v>443</v>
      </c>
      <c r="C6" s="75"/>
    </row>
    <row r="7" spans="1:14" ht="19.95" customHeight="1">
      <c r="A7" s="23" t="s">
        <v>447</v>
      </c>
    </row>
    <row r="8" spans="1:14" ht="19.95" customHeight="1">
      <c r="B8" s="48" t="s">
        <v>429</v>
      </c>
      <c r="C8" s="48" t="s">
        <v>373</v>
      </c>
      <c r="D8" s="48" t="s">
        <v>374</v>
      </c>
      <c r="E8" s="48" t="s">
        <v>448</v>
      </c>
      <c r="F8" s="48" t="s">
        <v>449</v>
      </c>
      <c r="G8" s="1011" t="s">
        <v>450</v>
      </c>
      <c r="H8" s="1012"/>
    </row>
    <row r="9" spans="1:14" ht="19.95" customHeight="1">
      <c r="B9" s="17"/>
      <c r="C9" s="17"/>
      <c r="D9" s="109"/>
      <c r="E9" s="648"/>
      <c r="F9" s="648"/>
      <c r="G9" s="562"/>
      <c r="H9" s="194"/>
    </row>
    <row r="10" spans="1:14" ht="19.95" customHeight="1">
      <c r="B10" s="17"/>
      <c r="C10" s="17"/>
      <c r="D10" s="109"/>
      <c r="E10" s="648"/>
      <c r="F10" s="648"/>
      <c r="G10" s="195"/>
      <c r="H10" s="194"/>
    </row>
    <row r="11" spans="1:14" ht="19.95" customHeight="1">
      <c r="B11" s="17"/>
      <c r="C11" s="17"/>
      <c r="D11" s="109"/>
      <c r="E11" s="648"/>
      <c r="F11" s="648"/>
      <c r="G11" s="195"/>
      <c r="H11" s="194"/>
    </row>
    <row r="12" spans="1:14" ht="19.95" customHeight="1">
      <c r="B12" s="17"/>
      <c r="C12" s="17"/>
      <c r="D12" s="109"/>
      <c r="E12" s="648"/>
      <c r="F12" s="648"/>
      <c r="G12" s="195"/>
      <c r="H12" s="194"/>
    </row>
    <row r="13" spans="1:14" ht="19.95" customHeight="1">
      <c r="B13" s="17"/>
      <c r="C13" s="17"/>
      <c r="D13" s="109"/>
      <c r="E13" s="109"/>
      <c r="F13" s="109"/>
      <c r="G13" s="195"/>
      <c r="H13" s="194"/>
    </row>
    <row r="14" spans="1:14" s="39" customFormat="1" ht="24">
      <c r="B14" s="48" t="s">
        <v>198</v>
      </c>
      <c r="C14" s="48" t="s">
        <v>199</v>
      </c>
      <c r="D14" s="48" t="s">
        <v>430</v>
      </c>
      <c r="E14" s="48" t="s">
        <v>200</v>
      </c>
      <c r="F14" s="48" t="s">
        <v>431</v>
      </c>
      <c r="G14" s="48" t="s">
        <v>432</v>
      </c>
      <c r="H14" s="48" t="s">
        <v>201</v>
      </c>
      <c r="I14" s="48" t="s">
        <v>202</v>
      </c>
      <c r="J14" s="48" t="s">
        <v>203</v>
      </c>
      <c r="K14" s="49" t="s">
        <v>433</v>
      </c>
      <c r="L14" s="49" t="s">
        <v>226</v>
      </c>
      <c r="M14" s="4"/>
    </row>
    <row r="15" spans="1:14" ht="19.95" customHeight="1">
      <c r="B15" s="17"/>
      <c r="C15" s="107"/>
      <c r="D15" s="53"/>
      <c r="E15" s="53"/>
      <c r="F15" s="386">
        <f>D15-E15</f>
        <v>0</v>
      </c>
      <c r="G15" s="108"/>
      <c r="H15" s="109"/>
      <c r="I15" s="649"/>
      <c r="J15" s="109"/>
      <c r="K15" s="111" t="s">
        <v>434</v>
      </c>
      <c r="L15" s="27"/>
      <c r="M15" s="4"/>
    </row>
    <row r="16" spans="1:14" ht="19.95" customHeight="1">
      <c r="B16" s="17"/>
      <c r="C16" s="107"/>
      <c r="D16" s="53"/>
      <c r="E16" s="53"/>
      <c r="F16" s="386">
        <f t="shared" ref="F16:F18" si="0">D16-E16</f>
        <v>0</v>
      </c>
      <c r="G16" s="108"/>
      <c r="H16" s="109"/>
      <c r="I16" s="649"/>
      <c r="J16" s="109"/>
      <c r="K16" s="27"/>
      <c r="L16" s="27"/>
      <c r="M16" s="4"/>
    </row>
    <row r="17" spans="1:13" ht="19.95" customHeight="1">
      <c r="B17" s="17"/>
      <c r="C17" s="107"/>
      <c r="D17" s="53"/>
      <c r="E17" s="53"/>
      <c r="F17" s="386">
        <f t="shared" si="0"/>
        <v>0</v>
      </c>
      <c r="G17" s="108"/>
      <c r="H17" s="109"/>
      <c r="I17" s="649"/>
      <c r="J17" s="109"/>
      <c r="K17" s="27"/>
      <c r="L17" s="27"/>
      <c r="M17" s="4"/>
    </row>
    <row r="18" spans="1:13" ht="19.95" customHeight="1">
      <c r="B18" s="17"/>
      <c r="C18" s="107"/>
      <c r="D18" s="53"/>
      <c r="E18" s="53"/>
      <c r="F18" s="386">
        <f t="shared" si="0"/>
        <v>0</v>
      </c>
      <c r="G18" s="108"/>
      <c r="H18" s="109"/>
      <c r="I18" s="649"/>
      <c r="J18" s="109"/>
      <c r="K18" s="27"/>
      <c r="L18" s="27"/>
      <c r="M18" s="4"/>
    </row>
    <row r="19" spans="1:13" ht="19.95" customHeight="1">
      <c r="A19" s="23" t="s">
        <v>435</v>
      </c>
      <c r="M19" s="4"/>
    </row>
    <row r="20" spans="1:13" s="25" customFormat="1" ht="89.4">
      <c r="B20" s="48" t="s">
        <v>198</v>
      </c>
      <c r="C20" s="48" t="s">
        <v>209</v>
      </c>
      <c r="D20" s="48" t="s">
        <v>210</v>
      </c>
      <c r="E20" s="212" t="s">
        <v>1044</v>
      </c>
      <c r="F20" s="48" t="s">
        <v>206</v>
      </c>
      <c r="G20" s="48" t="s">
        <v>224</v>
      </c>
      <c r="H20" s="48" t="s">
        <v>1045</v>
      </c>
      <c r="I20" s="48" t="s">
        <v>223</v>
      </c>
      <c r="J20" s="48" t="s">
        <v>219</v>
      </c>
      <c r="K20" s="212" t="s">
        <v>1043</v>
      </c>
      <c r="L20" s="48" t="s">
        <v>221</v>
      </c>
    </row>
    <row r="21" spans="1:13" ht="19.95" customHeight="1">
      <c r="B21" s="110">
        <f>B15</f>
        <v>0</v>
      </c>
      <c r="C21" s="52"/>
      <c r="D21" s="367">
        <f>IF(D15=0,0,C21*E15/D15)</f>
        <v>0</v>
      </c>
      <c r="E21" s="372">
        <f>C21-D21</f>
        <v>0</v>
      </c>
      <c r="F21" s="52"/>
      <c r="G21" s="367">
        <f>F21-E21</f>
        <v>0</v>
      </c>
      <c r="H21" s="52"/>
      <c r="I21" s="52"/>
      <c r="J21" s="52"/>
      <c r="K21" s="367">
        <f>IF(D15=0,0,IF(G15="联营",G21+H21*E15/D15,IF(G15="合营",G21+H21*E15/D15,G21+I21)))</f>
        <v>0</v>
      </c>
      <c r="L21" s="372">
        <f>IF(D15=0,0,IF(G15="联营",J21*E15/D15,IF(G15="合营",J21*E15/D15,J21)))</f>
        <v>0</v>
      </c>
    </row>
    <row r="22" spans="1:13" ht="19.95" customHeight="1">
      <c r="B22" s="110">
        <f t="shared" ref="B22:B24" si="1">B16</f>
        <v>0</v>
      </c>
      <c r="C22" s="52"/>
      <c r="D22" s="367">
        <f>C22*E16</f>
        <v>0</v>
      </c>
      <c r="E22" s="372">
        <f t="shared" ref="E22:E24" si="2">C22-D22</f>
        <v>0</v>
      </c>
      <c r="F22" s="52"/>
      <c r="G22" s="367">
        <f t="shared" ref="G22:G24" si="3">F22-E22</f>
        <v>0</v>
      </c>
      <c r="H22" s="52"/>
      <c r="I22" s="52"/>
      <c r="J22" s="52"/>
      <c r="K22" s="367">
        <f t="shared" ref="K22:K24" si="4">IF(D16=0,0,IF(G16="联营",G22+H22*E16/D16,IF(G16="合营",G22+H22*E16/D16,G22+I22)))</f>
        <v>0</v>
      </c>
      <c r="L22" s="372">
        <f>IF(D16=0,0,IF(G16="联营",J22*E16/D16,IF(G16="合营",J22*E16/D16,J22)))</f>
        <v>0</v>
      </c>
    </row>
    <row r="23" spans="1:13" ht="19.95" customHeight="1">
      <c r="B23" s="110">
        <f t="shared" si="1"/>
        <v>0</v>
      </c>
      <c r="C23" s="52"/>
      <c r="D23" s="367">
        <f>C23*E17</f>
        <v>0</v>
      </c>
      <c r="E23" s="372">
        <f t="shared" si="2"/>
        <v>0</v>
      </c>
      <c r="F23" s="52"/>
      <c r="G23" s="367">
        <f t="shared" si="3"/>
        <v>0</v>
      </c>
      <c r="H23" s="52"/>
      <c r="I23" s="52"/>
      <c r="J23" s="52"/>
      <c r="K23" s="367">
        <f t="shared" si="4"/>
        <v>0</v>
      </c>
      <c r="L23" s="372">
        <f>IF(D17=0,0,IF(G17="联营",J23*E17/D17,IF(G17="合营",J23*E17/D17,J23)))</f>
        <v>0</v>
      </c>
    </row>
    <row r="24" spans="1:13" ht="19.95" customHeight="1">
      <c r="B24" s="110">
        <f t="shared" si="1"/>
        <v>0</v>
      </c>
      <c r="C24" s="52"/>
      <c r="D24" s="367">
        <f>C24*E18</f>
        <v>0</v>
      </c>
      <c r="E24" s="372">
        <f t="shared" si="2"/>
        <v>0</v>
      </c>
      <c r="F24" s="52"/>
      <c r="G24" s="367">
        <f t="shared" si="3"/>
        <v>0</v>
      </c>
      <c r="H24" s="52"/>
      <c r="I24" s="52"/>
      <c r="J24" s="52"/>
      <c r="K24" s="367">
        <f t="shared" si="4"/>
        <v>0</v>
      </c>
      <c r="L24" s="372">
        <f>IF(D18=0,0,IF(G18="联营",J24*E18/D18,IF(G18="合营",J24*E18/D18,J24)))</f>
        <v>0</v>
      </c>
    </row>
    <row r="25" spans="1:13" ht="19.95" customHeight="1">
      <c r="A25" s="106" t="s">
        <v>436</v>
      </c>
    </row>
    <row r="26" spans="1:13" s="39" customFormat="1" ht="60">
      <c r="B26" s="48" t="s">
        <v>198</v>
      </c>
      <c r="C26" s="48" t="s">
        <v>216</v>
      </c>
      <c r="D26" s="48" t="s">
        <v>217</v>
      </c>
      <c r="E26" s="48" t="s">
        <v>218</v>
      </c>
      <c r="F26" s="212" t="s">
        <v>1046</v>
      </c>
      <c r="G26" s="48" t="s">
        <v>234</v>
      </c>
      <c r="H26" s="48" t="s">
        <v>206</v>
      </c>
      <c r="I26" s="48" t="s">
        <v>235</v>
      </c>
      <c r="J26" s="48" t="s">
        <v>207</v>
      </c>
      <c r="K26" s="48" t="s">
        <v>208</v>
      </c>
      <c r="L26" s="49" t="s">
        <v>96</v>
      </c>
      <c r="M26" s="4"/>
    </row>
    <row r="27" spans="1:13" ht="19.95" customHeight="1">
      <c r="B27" s="17">
        <f>B15</f>
        <v>0</v>
      </c>
      <c r="C27" s="109">
        <v>11</v>
      </c>
      <c r="D27" s="367">
        <f>IF(D15=0,0,C27*E15/D15)</f>
        <v>0</v>
      </c>
      <c r="E27" s="372">
        <f>C15-D27</f>
        <v>0</v>
      </c>
      <c r="F27" s="109">
        <v>22</v>
      </c>
      <c r="G27" s="177">
        <v>4</v>
      </c>
      <c r="H27" s="372">
        <f>F21</f>
        <v>0</v>
      </c>
      <c r="I27" s="387">
        <f>H27-G27</f>
        <v>-4</v>
      </c>
      <c r="J27" s="27">
        <v>5</v>
      </c>
      <c r="K27" s="387">
        <f>C15+H27-C27-F27</f>
        <v>-33</v>
      </c>
      <c r="L27" s="27"/>
      <c r="M27" s="4"/>
    </row>
    <row r="28" spans="1:13" ht="19.95" customHeight="1">
      <c r="B28" s="17">
        <f>B16</f>
        <v>0</v>
      </c>
      <c r="C28" s="109"/>
      <c r="D28" s="367">
        <f>IF(D16=0,0,C28*E16/D16)</f>
        <v>0</v>
      </c>
      <c r="E28" s="372">
        <f>C16-D28</f>
        <v>0</v>
      </c>
      <c r="F28" s="109"/>
      <c r="G28" s="177">
        <f t="shared" ref="G28:G30" si="5">E22</f>
        <v>0</v>
      </c>
      <c r="H28" s="372">
        <f>F22</f>
        <v>0</v>
      </c>
      <c r="I28" s="387">
        <f t="shared" ref="I28:I30" si="6">H28-G28</f>
        <v>0</v>
      </c>
      <c r="J28" s="27"/>
      <c r="K28" s="387">
        <f>C16+H28-C28-F28</f>
        <v>0</v>
      </c>
      <c r="L28" s="27"/>
      <c r="M28" s="4"/>
    </row>
    <row r="29" spans="1:13" ht="19.95" customHeight="1">
      <c r="B29" s="17">
        <f>B17</f>
        <v>0</v>
      </c>
      <c r="C29" s="109"/>
      <c r="D29" s="367">
        <f>IF(D17=0,0,C29*E17/D17)</f>
        <v>0</v>
      </c>
      <c r="E29" s="372">
        <f>C17-D29</f>
        <v>0</v>
      </c>
      <c r="F29" s="109"/>
      <c r="G29" s="177">
        <f t="shared" si="5"/>
        <v>0</v>
      </c>
      <c r="H29" s="372">
        <f>F23</f>
        <v>0</v>
      </c>
      <c r="I29" s="387">
        <f t="shared" si="6"/>
        <v>0</v>
      </c>
      <c r="J29" s="27"/>
      <c r="K29" s="387">
        <f>C17+H29-C29-F29</f>
        <v>0</v>
      </c>
      <c r="L29" s="27"/>
      <c r="M29" s="4"/>
    </row>
    <row r="30" spans="1:13" ht="19.95" customHeight="1">
      <c r="B30" s="17">
        <f>B18</f>
        <v>0</v>
      </c>
      <c r="C30" s="109"/>
      <c r="D30" s="367">
        <f>IF(D18=0,0,C30*E18/D18)</f>
        <v>0</v>
      </c>
      <c r="E30" s="372">
        <f>C18-D30</f>
        <v>0</v>
      </c>
      <c r="F30" s="109"/>
      <c r="G30" s="177">
        <f t="shared" si="5"/>
        <v>0</v>
      </c>
      <c r="H30" s="372">
        <f>F24</f>
        <v>0</v>
      </c>
      <c r="I30" s="387">
        <f t="shared" si="6"/>
        <v>0</v>
      </c>
      <c r="J30" s="27"/>
      <c r="K30" s="387">
        <f>C18+H30-C30-F30</f>
        <v>0</v>
      </c>
      <c r="L30" s="27"/>
      <c r="M30" s="4"/>
    </row>
    <row r="31" spans="1:13" ht="19.95" customHeight="1"/>
    <row r="32" spans="1:13" ht="19.95" customHeight="1">
      <c r="A32" s="106" t="s">
        <v>1047</v>
      </c>
    </row>
    <row r="33" spans="1:12" ht="19.95" customHeight="1">
      <c r="B33" s="958" t="s">
        <v>186</v>
      </c>
      <c r="C33" s="958" t="s">
        <v>149</v>
      </c>
      <c r="D33" s="1013" t="s">
        <v>187</v>
      </c>
      <c r="E33" s="1014"/>
      <c r="F33" s="1014"/>
      <c r="G33" s="1015"/>
      <c r="H33" s="1013" t="s">
        <v>188</v>
      </c>
      <c r="I33" s="1014"/>
      <c r="J33" s="1014"/>
      <c r="K33" s="1014"/>
      <c r="L33" s="1015"/>
    </row>
    <row r="34" spans="1:12" ht="25.8">
      <c r="B34" s="959"/>
      <c r="C34" s="959"/>
      <c r="D34" s="197" t="s">
        <v>211</v>
      </c>
      <c r="E34" s="197" t="s">
        <v>189</v>
      </c>
      <c r="F34" s="197" t="s">
        <v>190</v>
      </c>
      <c r="G34" s="197" t="s">
        <v>191</v>
      </c>
      <c r="H34" s="48" t="s">
        <v>212</v>
      </c>
      <c r="I34" s="48" t="s">
        <v>213</v>
      </c>
      <c r="J34" s="48" t="s">
        <v>192</v>
      </c>
      <c r="K34" s="48" t="s">
        <v>193</v>
      </c>
      <c r="L34" s="48" t="s">
        <v>194</v>
      </c>
    </row>
    <row r="35" spans="1:12" ht="19.95" customHeight="1">
      <c r="B35" s="105"/>
      <c r="C35" s="198" t="s">
        <v>214</v>
      </c>
      <c r="D35" s="104" t="s">
        <v>215</v>
      </c>
      <c r="E35" s="104" t="s">
        <v>195</v>
      </c>
      <c r="F35" s="104" t="s">
        <v>196</v>
      </c>
      <c r="G35" s="104" t="s">
        <v>451</v>
      </c>
      <c r="H35" s="104" t="s">
        <v>452</v>
      </c>
      <c r="I35" s="104" t="s">
        <v>453</v>
      </c>
      <c r="J35" s="104" t="s">
        <v>454</v>
      </c>
      <c r="K35" s="104" t="s">
        <v>455</v>
      </c>
      <c r="L35" s="104" t="s">
        <v>456</v>
      </c>
    </row>
    <row r="36" spans="1:12" ht="19.95" customHeight="1">
      <c r="B36" s="41"/>
      <c r="C36" s="650"/>
      <c r="D36" s="27"/>
      <c r="E36" s="13"/>
      <c r="F36" s="13"/>
      <c r="G36" s="13"/>
      <c r="H36" s="363">
        <f>C36*D36*90%</f>
        <v>0</v>
      </c>
      <c r="I36" s="363">
        <f>D36*C36*10%</f>
        <v>0</v>
      </c>
      <c r="J36" s="363">
        <f>C36*E36</f>
        <v>0</v>
      </c>
      <c r="K36" s="363">
        <f>C36*F36</f>
        <v>0</v>
      </c>
      <c r="L36" s="363">
        <f>G36*C36</f>
        <v>0</v>
      </c>
    </row>
    <row r="37" spans="1:12" ht="19.95" customHeight="1">
      <c r="B37" s="41"/>
      <c r="C37" s="650"/>
      <c r="D37" s="27"/>
      <c r="E37" s="13"/>
      <c r="F37" s="13"/>
      <c r="G37" s="13"/>
      <c r="H37" s="363">
        <f t="shared" ref="H37:H39" si="7">C37*D37*90%</f>
        <v>0</v>
      </c>
      <c r="I37" s="363">
        <f t="shared" ref="I37:I39" si="8">D37*C37*10%</f>
        <v>0</v>
      </c>
      <c r="J37" s="363">
        <f>C37*E37</f>
        <v>0</v>
      </c>
      <c r="K37" s="363">
        <f>C37*F37</f>
        <v>0</v>
      </c>
      <c r="L37" s="363">
        <f>G37*C37</f>
        <v>0</v>
      </c>
    </row>
    <row r="38" spans="1:12" ht="19.95" customHeight="1">
      <c r="B38" s="41"/>
      <c r="C38" s="650"/>
      <c r="D38" s="27"/>
      <c r="E38" s="13"/>
      <c r="F38" s="13"/>
      <c r="G38" s="13"/>
      <c r="H38" s="363">
        <f t="shared" si="7"/>
        <v>0</v>
      </c>
      <c r="I38" s="363">
        <f t="shared" si="8"/>
        <v>0</v>
      </c>
      <c r="J38" s="363">
        <f>C38*E38</f>
        <v>0</v>
      </c>
      <c r="K38" s="363">
        <f>C38*F38</f>
        <v>0</v>
      </c>
      <c r="L38" s="363">
        <f>G38*C38</f>
        <v>0</v>
      </c>
    </row>
    <row r="39" spans="1:12" ht="19.95" customHeight="1">
      <c r="B39" s="41"/>
      <c r="C39" s="650"/>
      <c r="D39" s="27"/>
      <c r="E39" s="13"/>
      <c r="F39" s="13"/>
      <c r="G39" s="13"/>
      <c r="H39" s="363">
        <f t="shared" si="7"/>
        <v>0</v>
      </c>
      <c r="I39" s="363">
        <f t="shared" si="8"/>
        <v>0</v>
      </c>
      <c r="J39" s="363">
        <f>C39*E39</f>
        <v>0</v>
      </c>
      <c r="K39" s="363">
        <f>C39*F39</f>
        <v>0</v>
      </c>
      <c r="L39" s="363">
        <f>G39*C39</f>
        <v>0</v>
      </c>
    </row>
    <row r="40" spans="1:12" ht="19.95" customHeight="1">
      <c r="A40" s="23" t="s">
        <v>232</v>
      </c>
    </row>
    <row r="41" spans="1:12" ht="19.95" customHeight="1"/>
    <row r="42" spans="1:12" ht="19.95" customHeight="1"/>
    <row r="43" spans="1:12" ht="19.95" customHeight="1"/>
    <row r="44" spans="1:12" ht="19.95" customHeight="1">
      <c r="A44" s="23" t="s">
        <v>233</v>
      </c>
    </row>
    <row r="45" spans="1:12" ht="19.95" customHeight="1"/>
    <row r="46" spans="1:12" ht="19.95" customHeight="1"/>
    <row r="47" spans="1:12" ht="19.95" customHeight="1"/>
  </sheetData>
  <mergeCells count="7">
    <mergeCell ref="A1:L1"/>
    <mergeCell ref="A2:L2"/>
    <mergeCell ref="G8:H8"/>
    <mergeCell ref="H33:L33"/>
    <mergeCell ref="D33:G33"/>
    <mergeCell ref="B33:B34"/>
    <mergeCell ref="C33:C34"/>
  </mergeCells>
  <phoneticPr fontId="11" type="noConversion"/>
  <dataValidations count="1">
    <dataValidation type="list" allowBlank="1" showInputMessage="1" showErrorMessage="1" sqref="G15:G18">
      <formula1>"联营,合营,金融资产,无"</formula1>
    </dataValidation>
  </dataValidations>
  <hyperlinks>
    <hyperlink ref="L3" location="底稿目录!F17" display="底稿目录!F17"/>
  </hyperlinks>
  <pageMargins left="0.70866141732283472" right="0.70866141732283472" top="0.74803149606299213" bottom="0.74803149606299213" header="0.31496062992125984" footer="0.31496062992125984"/>
  <pageSetup paperSize="9" scale="76" fitToHeight="2" orientation="landscape" blackAndWhite="1" r:id="rId1"/>
  <headerFooter>
    <oddFooter>&amp;C&amp;P/&amp;N</oddFooter>
  </headerFooter>
  <rowBreaks count="1" manualBreakCount="1">
    <brk id="24" max="11"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N54"/>
  <sheetViews>
    <sheetView view="pageBreakPreview" zoomScaleNormal="100" zoomScaleSheetLayoutView="100" workbookViewId="0">
      <selection sqref="A1:L1"/>
    </sheetView>
  </sheetViews>
  <sheetFormatPr defaultColWidth="9" defaultRowHeight="13.8"/>
  <cols>
    <col min="1" max="1" width="4.19921875" style="2" customWidth="1"/>
    <col min="2" max="2" width="15.09765625" style="2" customWidth="1"/>
    <col min="3" max="3" width="14.09765625" style="2" customWidth="1"/>
    <col min="4" max="4" width="13.59765625" style="2" customWidth="1"/>
    <col min="5" max="5" width="13.5" style="2" customWidth="1"/>
    <col min="6" max="6" width="13.3984375" style="2" customWidth="1"/>
    <col min="7" max="7" width="13.8984375" style="2" customWidth="1"/>
    <col min="8" max="8" width="14.8984375" style="2" customWidth="1"/>
    <col min="9" max="9" width="15.09765625" style="2" customWidth="1"/>
    <col min="10" max="10" width="13.09765625" style="2" customWidth="1"/>
    <col min="11" max="11" width="14.3984375" style="2" customWidth="1"/>
    <col min="12" max="12" width="15.8984375" style="2" customWidth="1"/>
    <col min="13" max="16384" width="9" style="2"/>
  </cols>
  <sheetData>
    <row r="1" spans="1:14" s="623" customFormat="1" ht="19.95" customHeight="1">
      <c r="A1" s="1009" t="s">
        <v>0</v>
      </c>
      <c r="B1" s="1009"/>
      <c r="C1" s="1009"/>
      <c r="D1" s="1009"/>
      <c r="E1" s="1009"/>
      <c r="F1" s="1009"/>
      <c r="G1" s="1009"/>
      <c r="H1" s="1009"/>
      <c r="I1" s="1009"/>
      <c r="J1" s="1009"/>
      <c r="K1" s="1009"/>
      <c r="L1" s="1009"/>
      <c r="M1" s="622"/>
      <c r="N1" s="622"/>
    </row>
    <row r="2" spans="1:14" s="634" customFormat="1" ht="19.95" customHeight="1">
      <c r="A2" s="1010" t="s">
        <v>1281</v>
      </c>
      <c r="B2" s="1010"/>
      <c r="C2" s="1010"/>
      <c r="D2" s="1010"/>
      <c r="E2" s="1010"/>
      <c r="F2" s="1010"/>
      <c r="G2" s="1010"/>
      <c r="H2" s="1010"/>
      <c r="I2" s="1010"/>
      <c r="J2" s="1010"/>
      <c r="K2" s="1010"/>
      <c r="L2" s="1010"/>
      <c r="M2" s="633"/>
      <c r="N2" s="633"/>
    </row>
    <row r="3" spans="1:14" s="207" customFormat="1" ht="19.95" customHeight="1">
      <c r="A3" s="207" t="str">
        <f>底稿目录!A2</f>
        <v>被审计单位：</v>
      </c>
      <c r="E3" s="207" t="str">
        <f>底稿目录!A4</f>
        <v>编制人：</v>
      </c>
      <c r="I3" s="229" t="str">
        <f>底稿目录!A5</f>
        <v>编制日期：</v>
      </c>
      <c r="J3" s="229"/>
      <c r="K3" s="207" t="s">
        <v>849</v>
      </c>
      <c r="L3" s="763" t="str">
        <f>底稿目录!F18</f>
        <v>G7-12</v>
      </c>
      <c r="M3" s="671"/>
    </row>
    <row r="4" spans="1:14" s="207" customFormat="1" ht="19.95" customHeight="1">
      <c r="A4" s="207" t="str">
        <f>底稿目录!A3</f>
        <v>截止日：202X年12月31日</v>
      </c>
      <c r="E4" s="207" t="str">
        <f>底稿目录!A6</f>
        <v>复核人：</v>
      </c>
      <c r="I4" s="229" t="str">
        <f>底稿目录!A7</f>
        <v>复核日期：</v>
      </c>
      <c r="J4" s="229"/>
      <c r="K4" s="207" t="s">
        <v>1313</v>
      </c>
      <c r="M4" s="671"/>
    </row>
    <row r="5" spans="1:14" ht="19.95" customHeight="1">
      <c r="A5" s="74" t="s">
        <v>442</v>
      </c>
      <c r="C5" s="2" t="s">
        <v>446</v>
      </c>
    </row>
    <row r="6" spans="1:14" ht="19.95" customHeight="1">
      <c r="A6" s="75" t="s">
        <v>443</v>
      </c>
      <c r="C6" s="75"/>
    </row>
    <row r="7" spans="1:14" ht="19.95" customHeight="1">
      <c r="A7" s="23" t="s">
        <v>447</v>
      </c>
    </row>
    <row r="8" spans="1:14" ht="19.95" customHeight="1">
      <c r="B8" s="48" t="s">
        <v>429</v>
      </c>
      <c r="C8" s="48" t="s">
        <v>373</v>
      </c>
      <c r="D8" s="48" t="s">
        <v>374</v>
      </c>
      <c r="E8" s="48" t="s">
        <v>448</v>
      </c>
      <c r="F8" s="48" t="s">
        <v>449</v>
      </c>
      <c r="G8" s="1011" t="s">
        <v>450</v>
      </c>
      <c r="H8" s="1012"/>
    </row>
    <row r="9" spans="1:14" ht="19.95" customHeight="1">
      <c r="B9" s="17"/>
      <c r="C9" s="17"/>
      <c r="D9" s="109"/>
      <c r="E9" s="648"/>
      <c r="F9" s="648"/>
      <c r="G9" s="195"/>
      <c r="H9" s="194"/>
    </row>
    <row r="10" spans="1:14" ht="19.95" customHeight="1">
      <c r="B10" s="17"/>
      <c r="C10" s="17"/>
      <c r="D10" s="109"/>
      <c r="E10" s="648"/>
      <c r="F10" s="648"/>
      <c r="G10" s="195"/>
      <c r="H10" s="194"/>
    </row>
    <row r="11" spans="1:14" ht="19.95" customHeight="1">
      <c r="B11" s="17"/>
      <c r="C11" s="17"/>
      <c r="D11" s="109"/>
      <c r="E11" s="648"/>
      <c r="F11" s="648"/>
      <c r="G11" s="195"/>
      <c r="H11" s="194"/>
    </row>
    <row r="12" spans="1:14" ht="19.95" customHeight="1">
      <c r="B12" s="17"/>
      <c r="C12" s="17"/>
      <c r="D12" s="109"/>
      <c r="E12" s="648"/>
      <c r="F12" s="648"/>
      <c r="G12" s="195"/>
      <c r="H12" s="194"/>
    </row>
    <row r="13" spans="1:14" ht="19.95" customHeight="1">
      <c r="B13" s="17"/>
      <c r="C13" s="17"/>
      <c r="D13" s="109"/>
      <c r="E13" s="648"/>
      <c r="F13" s="648"/>
      <c r="G13" s="195"/>
      <c r="H13" s="194"/>
    </row>
    <row r="14" spans="1:14" ht="19.95" customHeight="1">
      <c r="A14" s="106" t="s">
        <v>995</v>
      </c>
    </row>
    <row r="15" spans="1:14" s="39" customFormat="1" ht="19.95" customHeight="1">
      <c r="B15" s="1016" t="s">
        <v>437</v>
      </c>
      <c r="C15" s="1017"/>
      <c r="D15" s="1018"/>
      <c r="E15" s="1016" t="s">
        <v>1201</v>
      </c>
      <c r="F15" s="1018"/>
      <c r="G15" s="1016" t="s">
        <v>1202</v>
      </c>
      <c r="H15" s="1018"/>
      <c r="I15" s="1016" t="s">
        <v>1203</v>
      </c>
      <c r="J15" s="1018"/>
      <c r="K15" s="1016" t="s">
        <v>1204</v>
      </c>
      <c r="L15" s="1018"/>
    </row>
    <row r="16" spans="1:14" s="39" customFormat="1" ht="19.95" customHeight="1">
      <c r="B16" s="1016"/>
      <c r="C16" s="1017"/>
      <c r="D16" s="1018"/>
      <c r="E16" s="49" t="s">
        <v>438</v>
      </c>
      <c r="F16" s="49" t="s">
        <v>439</v>
      </c>
      <c r="G16" s="49" t="s">
        <v>438</v>
      </c>
      <c r="H16" s="49" t="s">
        <v>439</v>
      </c>
      <c r="I16" s="49" t="s">
        <v>438</v>
      </c>
      <c r="J16" s="49" t="s">
        <v>439</v>
      </c>
      <c r="K16" s="49" t="s">
        <v>438</v>
      </c>
      <c r="L16" s="49" t="s">
        <v>439</v>
      </c>
    </row>
    <row r="17" spans="1:12" ht="19.95" customHeight="1">
      <c r="B17" s="101" t="s">
        <v>237</v>
      </c>
      <c r="C17" s="312"/>
      <c r="D17" s="76"/>
      <c r="E17" s="27"/>
      <c r="F17" s="27"/>
      <c r="G17" s="27"/>
      <c r="H17" s="27"/>
      <c r="I17" s="27"/>
      <c r="J17" s="27"/>
      <c r="K17" s="27"/>
      <c r="L17" s="27"/>
    </row>
    <row r="18" spans="1:12" ht="19.95" customHeight="1">
      <c r="B18" s="101" t="s">
        <v>238</v>
      </c>
      <c r="C18" s="312"/>
      <c r="D18" s="76"/>
      <c r="E18" s="27"/>
      <c r="F18" s="27"/>
      <c r="G18" s="27"/>
      <c r="H18" s="27"/>
      <c r="I18" s="27"/>
      <c r="J18" s="27"/>
      <c r="K18" s="27"/>
      <c r="L18" s="27"/>
    </row>
    <row r="19" spans="1:12" ht="19.95" customHeight="1">
      <c r="B19" s="101" t="s">
        <v>239</v>
      </c>
      <c r="C19" s="312"/>
      <c r="D19" s="76"/>
      <c r="E19" s="27"/>
      <c r="F19" s="27"/>
      <c r="G19" s="27"/>
      <c r="H19" s="27"/>
      <c r="I19" s="27"/>
      <c r="J19" s="27"/>
      <c r="K19" s="27"/>
      <c r="L19" s="27"/>
    </row>
    <row r="20" spans="1:12" ht="19.95" customHeight="1">
      <c r="B20" s="101" t="s">
        <v>240</v>
      </c>
      <c r="C20" s="312"/>
      <c r="D20" s="76"/>
      <c r="E20" s="27"/>
      <c r="F20" s="27"/>
      <c r="G20" s="27"/>
      <c r="H20" s="27"/>
      <c r="I20" s="27"/>
      <c r="J20" s="27"/>
      <c r="K20" s="27"/>
      <c r="L20" s="27"/>
    </row>
    <row r="21" spans="1:12" ht="19.95" customHeight="1">
      <c r="B21" s="101" t="s">
        <v>236</v>
      </c>
      <c r="C21" s="312"/>
      <c r="D21" s="76"/>
      <c r="E21" s="27"/>
      <c r="F21" s="27"/>
      <c r="G21" s="27"/>
      <c r="H21" s="27"/>
      <c r="I21" s="27"/>
      <c r="J21" s="27"/>
      <c r="K21" s="27"/>
      <c r="L21" s="27"/>
    </row>
    <row r="22" spans="1:12" ht="24">
      <c r="B22" s="48" t="s">
        <v>198</v>
      </c>
      <c r="C22" s="48" t="s">
        <v>199</v>
      </c>
      <c r="D22" s="48" t="s">
        <v>430</v>
      </c>
      <c r="E22" s="48" t="s">
        <v>200</v>
      </c>
      <c r="F22" s="48" t="s">
        <v>431</v>
      </c>
      <c r="G22" s="48" t="s">
        <v>432</v>
      </c>
      <c r="H22" s="48" t="s">
        <v>201</v>
      </c>
      <c r="I22" s="48" t="s">
        <v>202</v>
      </c>
      <c r="J22" s="48" t="s">
        <v>203</v>
      </c>
      <c r="K22" s="49" t="s">
        <v>433</v>
      </c>
      <c r="L22" s="49" t="s">
        <v>226</v>
      </c>
    </row>
    <row r="23" spans="1:12" ht="25.8">
      <c r="B23" s="17"/>
      <c r="C23" s="107"/>
      <c r="D23" s="53"/>
      <c r="E23" s="53"/>
      <c r="F23" s="386">
        <f>D23-E23</f>
        <v>0</v>
      </c>
      <c r="G23" s="108"/>
      <c r="H23" s="109"/>
      <c r="I23" s="109"/>
      <c r="J23" s="109"/>
      <c r="K23" s="111" t="s">
        <v>434</v>
      </c>
      <c r="L23" s="27"/>
    </row>
    <row r="24" spans="1:12" ht="19.95" customHeight="1">
      <c r="B24" s="17"/>
      <c r="C24" s="107"/>
      <c r="D24" s="53"/>
      <c r="E24" s="53"/>
      <c r="F24" s="386">
        <f t="shared" ref="F24:F26" si="0">D24-E24</f>
        <v>0</v>
      </c>
      <c r="G24" s="108"/>
      <c r="H24" s="109"/>
      <c r="I24" s="109"/>
      <c r="J24" s="109"/>
      <c r="K24" s="27"/>
      <c r="L24" s="27"/>
    </row>
    <row r="25" spans="1:12" ht="19.95" customHeight="1">
      <c r="B25" s="17"/>
      <c r="C25" s="107"/>
      <c r="D25" s="53"/>
      <c r="E25" s="53"/>
      <c r="F25" s="386">
        <f t="shared" si="0"/>
        <v>0</v>
      </c>
      <c r="G25" s="108"/>
      <c r="H25" s="109"/>
      <c r="I25" s="109"/>
      <c r="J25" s="109"/>
      <c r="K25" s="27"/>
      <c r="L25" s="27"/>
    </row>
    <row r="26" spans="1:12" ht="19.95" customHeight="1">
      <c r="B26" s="17"/>
      <c r="C26" s="107"/>
      <c r="D26" s="53"/>
      <c r="E26" s="53"/>
      <c r="F26" s="386">
        <f t="shared" si="0"/>
        <v>0</v>
      </c>
      <c r="G26" s="108"/>
      <c r="H26" s="109"/>
      <c r="I26" s="109"/>
      <c r="J26" s="109"/>
      <c r="K26" s="27"/>
      <c r="L26" s="27"/>
    </row>
    <row r="27" spans="1:12" ht="19.95" customHeight="1">
      <c r="A27" s="23" t="s">
        <v>1048</v>
      </c>
    </row>
    <row r="28" spans="1:12" ht="89.4">
      <c r="B28" s="48" t="s">
        <v>198</v>
      </c>
      <c r="C28" s="48" t="s">
        <v>209</v>
      </c>
      <c r="D28" s="48" t="s">
        <v>210</v>
      </c>
      <c r="E28" s="48" t="s">
        <v>205</v>
      </c>
      <c r="F28" s="48" t="s">
        <v>206</v>
      </c>
      <c r="G28" s="48" t="s">
        <v>224</v>
      </c>
      <c r="H28" s="48" t="s">
        <v>222</v>
      </c>
      <c r="I28" s="48" t="s">
        <v>223</v>
      </c>
      <c r="J28" s="48" t="s">
        <v>219</v>
      </c>
      <c r="K28" s="48" t="s">
        <v>220</v>
      </c>
      <c r="L28" s="48" t="s">
        <v>221</v>
      </c>
    </row>
    <row r="29" spans="1:12" ht="19.95" customHeight="1">
      <c r="B29" s="110">
        <f>B23</f>
        <v>0</v>
      </c>
      <c r="C29" s="52"/>
      <c r="D29" s="372">
        <f>IF(D23=0,0,C29*E23/D23)</f>
        <v>0</v>
      </c>
      <c r="E29" s="372">
        <f>C29-D29</f>
        <v>0</v>
      </c>
      <c r="F29" s="52"/>
      <c r="G29" s="367">
        <f>F29-E29</f>
        <v>0</v>
      </c>
      <c r="H29" s="52"/>
      <c r="I29" s="52"/>
      <c r="J29" s="52"/>
      <c r="K29" s="372">
        <f>IF(D23=0,0,IF(G23="联营",G29+H29*E23/D23,IF(G23="合营",F29-E29+H29*E23/D23,G29+I29)))</f>
        <v>0</v>
      </c>
      <c r="L29" s="372">
        <f>IF(D23=0,0,IF(G23="联营",J29*E23/D23,IF(G23="合营",J29*E23/D23,J29)))</f>
        <v>0</v>
      </c>
    </row>
    <row r="30" spans="1:12" ht="19.95" customHeight="1">
      <c r="B30" s="110">
        <f>B24</f>
        <v>0</v>
      </c>
      <c r="C30" s="52"/>
      <c r="D30" s="372">
        <f>C30*E24</f>
        <v>0</v>
      </c>
      <c r="E30" s="372">
        <f t="shared" ref="E30:E32" si="1">C30-D30</f>
        <v>0</v>
      </c>
      <c r="F30" s="52"/>
      <c r="G30" s="367">
        <f t="shared" ref="G30:G32" si="2">F30-E30</f>
        <v>0</v>
      </c>
      <c r="H30" s="52"/>
      <c r="I30" s="52"/>
      <c r="J30" s="52"/>
      <c r="K30" s="372">
        <f>IF(D24=0,0,IF(G24="联营",G30+H30*E24/D24,IF(G24="合营",F30-E30+H30*E24/D24,G30+I30)))</f>
        <v>0</v>
      </c>
      <c r="L30" s="372">
        <f>IF(D24=0,0,IF(G24="联营",J30*E24/D24,IF(G24="合营",J30*E24/D24,J30)))</f>
        <v>0</v>
      </c>
    </row>
    <row r="31" spans="1:12" ht="19.95" customHeight="1">
      <c r="B31" s="110">
        <f>B25</f>
        <v>0</v>
      </c>
      <c r="C31" s="52"/>
      <c r="D31" s="372">
        <f>C31*E25</f>
        <v>0</v>
      </c>
      <c r="E31" s="372">
        <f t="shared" si="1"/>
        <v>0</v>
      </c>
      <c r="F31" s="52"/>
      <c r="G31" s="367">
        <f t="shared" si="2"/>
        <v>0</v>
      </c>
      <c r="H31" s="52"/>
      <c r="I31" s="52"/>
      <c r="J31" s="52"/>
      <c r="K31" s="372">
        <f>IF(D25=0,0,IF(G25="联营",G31+H31*E25/D25,IF(G25="合营",F31-E31+H31*E25/D25,G31+I31)))</f>
        <v>0</v>
      </c>
      <c r="L31" s="372">
        <f>IF(D25=0,0,IF(G25="联营",J31*E25/D25,IF(G25="合营",J31*E25/D25,J31)))</f>
        <v>0</v>
      </c>
    </row>
    <row r="32" spans="1:12" ht="19.95" customHeight="1">
      <c r="B32" s="110">
        <f>B26</f>
        <v>0</v>
      </c>
      <c r="C32" s="52"/>
      <c r="D32" s="372">
        <f>C32*E26</f>
        <v>0</v>
      </c>
      <c r="E32" s="372">
        <f t="shared" si="1"/>
        <v>0</v>
      </c>
      <c r="F32" s="52"/>
      <c r="G32" s="367">
        <f t="shared" si="2"/>
        <v>0</v>
      </c>
      <c r="H32" s="52"/>
      <c r="I32" s="52"/>
      <c r="J32" s="52"/>
      <c r="K32" s="372">
        <f>IF(D26=0,0,IF(G26="联营",G32+H32*E26/D26,IF(G26="合营",F32-E32+H32*E26/D26,G32+I32)))</f>
        <v>0</v>
      </c>
      <c r="L32" s="372">
        <f>IF(D26=0,0,IF(G26="联营",J32*E26/D26,IF(G26="合营",J32*E26/D26,J32)))</f>
        <v>0</v>
      </c>
    </row>
    <row r="33" spans="1:12" ht="19.95" customHeight="1">
      <c r="A33" s="106" t="s">
        <v>1049</v>
      </c>
    </row>
    <row r="34" spans="1:12" ht="72">
      <c r="B34" s="48" t="s">
        <v>198</v>
      </c>
      <c r="C34" s="48" t="s">
        <v>216</v>
      </c>
      <c r="D34" s="48" t="s">
        <v>217</v>
      </c>
      <c r="E34" s="48" t="s">
        <v>218</v>
      </c>
      <c r="F34" s="48" t="s">
        <v>204</v>
      </c>
      <c r="G34" s="48" t="s">
        <v>234</v>
      </c>
      <c r="H34" s="48" t="s">
        <v>206</v>
      </c>
      <c r="I34" s="48" t="s">
        <v>235</v>
      </c>
      <c r="J34" s="48" t="s">
        <v>207</v>
      </c>
      <c r="K34" s="48" t="s">
        <v>208</v>
      </c>
      <c r="L34" s="48" t="s">
        <v>440</v>
      </c>
    </row>
    <row r="35" spans="1:12" ht="19.95" customHeight="1">
      <c r="B35" s="17">
        <f>B23</f>
        <v>0</v>
      </c>
      <c r="C35" s="109"/>
      <c r="D35" s="372">
        <f>IF(D23=0,0,C35*E23/D23)</f>
        <v>0</v>
      </c>
      <c r="E35" s="372">
        <f>C23-D35</f>
        <v>0</v>
      </c>
      <c r="F35" s="109"/>
      <c r="G35" s="372">
        <f>E29</f>
        <v>0</v>
      </c>
      <c r="H35" s="372">
        <f>F29</f>
        <v>0</v>
      </c>
      <c r="I35" s="372">
        <f>H35-G35</f>
        <v>0</v>
      </c>
      <c r="J35" s="27"/>
      <c r="K35" s="372">
        <f>C23+H35-C35-F35</f>
        <v>0</v>
      </c>
      <c r="L35" s="27"/>
    </row>
    <row r="36" spans="1:12" ht="19.95" customHeight="1">
      <c r="B36" s="17">
        <f>B24</f>
        <v>0</v>
      </c>
      <c r="C36" s="109"/>
      <c r="D36" s="372">
        <f>IF(D24=0,0,C36*E24/D24)</f>
        <v>0</v>
      </c>
      <c r="E36" s="372">
        <f>C24-D36</f>
        <v>0</v>
      </c>
      <c r="F36" s="109"/>
      <c r="G36" s="372">
        <f t="shared" ref="G36:G38" si="3">E30</f>
        <v>0</v>
      </c>
      <c r="H36" s="372">
        <f>F30</f>
        <v>0</v>
      </c>
      <c r="I36" s="372">
        <f t="shared" ref="I36:I38" si="4">H36-G36</f>
        <v>0</v>
      </c>
      <c r="J36" s="27"/>
      <c r="K36" s="372">
        <f>C24+H36-C36-F36</f>
        <v>0</v>
      </c>
      <c r="L36" s="27"/>
    </row>
    <row r="37" spans="1:12" ht="19.95" customHeight="1">
      <c r="B37" s="17">
        <f>B25</f>
        <v>0</v>
      </c>
      <c r="C37" s="109"/>
      <c r="D37" s="372">
        <f>IF(D25=0,0,C37*E25/D25)</f>
        <v>0</v>
      </c>
      <c r="E37" s="372">
        <f>C25-D37</f>
        <v>0</v>
      </c>
      <c r="F37" s="109"/>
      <c r="G37" s="372">
        <f t="shared" si="3"/>
        <v>0</v>
      </c>
      <c r="H37" s="372">
        <f>F31</f>
        <v>0</v>
      </c>
      <c r="I37" s="372">
        <f t="shared" si="4"/>
        <v>0</v>
      </c>
      <c r="J37" s="27"/>
      <c r="K37" s="372">
        <f>C25+H37-C37-F37</f>
        <v>0</v>
      </c>
      <c r="L37" s="27"/>
    </row>
    <row r="38" spans="1:12" ht="19.95" customHeight="1">
      <c r="B38" s="17">
        <f>B26</f>
        <v>0</v>
      </c>
      <c r="C38" s="109"/>
      <c r="D38" s="372">
        <f>IF(D26=0,0,C38*E26/D26)</f>
        <v>0</v>
      </c>
      <c r="E38" s="372">
        <f>C26-D38</f>
        <v>0</v>
      </c>
      <c r="F38" s="109"/>
      <c r="G38" s="372">
        <f t="shared" si="3"/>
        <v>0</v>
      </c>
      <c r="H38" s="372">
        <f>F32</f>
        <v>0</v>
      </c>
      <c r="I38" s="372">
        <f t="shared" si="4"/>
        <v>0</v>
      </c>
      <c r="J38" s="27"/>
      <c r="K38" s="372">
        <f>C26+H38-C38-F38</f>
        <v>0</v>
      </c>
      <c r="L38" s="27"/>
    </row>
    <row r="39" spans="1:12" ht="19.95" customHeight="1">
      <c r="A39" s="106" t="s">
        <v>1050</v>
      </c>
    </row>
    <row r="40" spans="1:12" ht="19.95" customHeight="1">
      <c r="B40" s="958" t="s">
        <v>186</v>
      </c>
      <c r="C40" s="958" t="s">
        <v>149</v>
      </c>
      <c r="D40" s="1013" t="s">
        <v>187</v>
      </c>
      <c r="E40" s="1014"/>
      <c r="F40" s="1014"/>
      <c r="G40" s="1015"/>
      <c r="H40" s="1013" t="s">
        <v>188</v>
      </c>
      <c r="I40" s="1014"/>
      <c r="J40" s="1014"/>
      <c r="K40" s="1014"/>
      <c r="L40" s="1015"/>
    </row>
    <row r="41" spans="1:12" ht="25.8">
      <c r="B41" s="959"/>
      <c r="C41" s="959"/>
      <c r="D41" s="197" t="s">
        <v>211</v>
      </c>
      <c r="E41" s="48" t="s">
        <v>189</v>
      </c>
      <c r="F41" s="48" t="s">
        <v>190</v>
      </c>
      <c r="G41" s="48" t="s">
        <v>191</v>
      </c>
      <c r="H41" s="48" t="s">
        <v>212</v>
      </c>
      <c r="I41" s="48" t="s">
        <v>213</v>
      </c>
      <c r="J41" s="48" t="s">
        <v>192</v>
      </c>
      <c r="K41" s="48" t="s">
        <v>193</v>
      </c>
      <c r="L41" s="48" t="s">
        <v>194</v>
      </c>
    </row>
    <row r="42" spans="1:12" ht="19.95" customHeight="1">
      <c r="B42" s="105"/>
      <c r="C42" s="198" t="s">
        <v>214</v>
      </c>
      <c r="D42" s="104" t="s">
        <v>215</v>
      </c>
      <c r="E42" s="104" t="s">
        <v>195</v>
      </c>
      <c r="F42" s="104" t="s">
        <v>196</v>
      </c>
      <c r="G42" s="104" t="s">
        <v>451</v>
      </c>
      <c r="H42" s="104" t="s">
        <v>457</v>
      </c>
      <c r="I42" s="104" t="s">
        <v>458</v>
      </c>
      <c r="J42" s="104" t="s">
        <v>459</v>
      </c>
      <c r="K42" s="104" t="s">
        <v>460</v>
      </c>
      <c r="L42" s="104" t="s">
        <v>461</v>
      </c>
    </row>
    <row r="43" spans="1:12" ht="19.95" customHeight="1">
      <c r="B43" s="41"/>
      <c r="C43" s="650"/>
      <c r="D43" s="27"/>
      <c r="E43" s="13"/>
      <c r="F43" s="13"/>
      <c r="G43" s="13"/>
      <c r="H43" s="363">
        <f>C43*D43*90%</f>
        <v>0</v>
      </c>
      <c r="I43" s="363">
        <f>D43*C43*10%</f>
        <v>0</v>
      </c>
      <c r="J43" s="363">
        <f>C43*E43</f>
        <v>0</v>
      </c>
      <c r="K43" s="363">
        <f>C43*F43</f>
        <v>0</v>
      </c>
      <c r="L43" s="363">
        <f>G43*C43</f>
        <v>0</v>
      </c>
    </row>
    <row r="44" spans="1:12" ht="19.95" customHeight="1">
      <c r="B44" s="41"/>
      <c r="C44" s="650"/>
      <c r="D44" s="27"/>
      <c r="E44" s="13"/>
      <c r="F44" s="13"/>
      <c r="G44" s="13"/>
      <c r="H44" s="363">
        <f t="shared" ref="H44:H46" si="5">C44*D44*90%</f>
        <v>0</v>
      </c>
      <c r="I44" s="363">
        <f t="shared" ref="I44:I46" si="6">D44*C44*10%</f>
        <v>0</v>
      </c>
      <c r="J44" s="363">
        <f>C44*E44</f>
        <v>0</v>
      </c>
      <c r="K44" s="363">
        <f>C44*F44</f>
        <v>0</v>
      </c>
      <c r="L44" s="363">
        <f>G44*C44</f>
        <v>0</v>
      </c>
    </row>
    <row r="45" spans="1:12" ht="19.95" customHeight="1">
      <c r="B45" s="41"/>
      <c r="C45" s="650"/>
      <c r="D45" s="27"/>
      <c r="E45" s="13"/>
      <c r="F45" s="13"/>
      <c r="G45" s="13"/>
      <c r="H45" s="363">
        <f t="shared" si="5"/>
        <v>0</v>
      </c>
      <c r="I45" s="363">
        <f t="shared" si="6"/>
        <v>0</v>
      </c>
      <c r="J45" s="363">
        <f>C45*E45</f>
        <v>0</v>
      </c>
      <c r="K45" s="363">
        <f>C45*F45</f>
        <v>0</v>
      </c>
      <c r="L45" s="363">
        <f>G45*C45</f>
        <v>0</v>
      </c>
    </row>
    <row r="46" spans="1:12" ht="19.95" customHeight="1">
      <c r="B46" s="41"/>
      <c r="C46" s="650"/>
      <c r="D46" s="27"/>
      <c r="E46" s="13"/>
      <c r="F46" s="13"/>
      <c r="G46" s="13"/>
      <c r="H46" s="363">
        <f t="shared" si="5"/>
        <v>0</v>
      </c>
      <c r="I46" s="363">
        <f t="shared" si="6"/>
        <v>0</v>
      </c>
      <c r="J46" s="363">
        <f>C46*E46</f>
        <v>0</v>
      </c>
      <c r="K46" s="363">
        <f>C46*F46</f>
        <v>0</v>
      </c>
      <c r="L46" s="363">
        <f>G46*C46</f>
        <v>0</v>
      </c>
    </row>
    <row r="47" spans="1:12" ht="19.95" customHeight="1">
      <c r="A47" s="23" t="s">
        <v>232</v>
      </c>
    </row>
    <row r="48" spans="1:12" ht="19.95" customHeight="1"/>
    <row r="49" spans="1:1" ht="19.95" customHeight="1"/>
    <row r="50" spans="1:1" ht="19.95" customHeight="1"/>
    <row r="51" spans="1:1" ht="19.95" customHeight="1">
      <c r="A51" s="23" t="s">
        <v>233</v>
      </c>
    </row>
    <row r="52" spans="1:1" ht="19.95" customHeight="1"/>
    <row r="53" spans="1:1" ht="19.95" customHeight="1"/>
    <row r="54" spans="1:1" ht="19.95" customHeight="1"/>
  </sheetData>
  <mergeCells count="12">
    <mergeCell ref="A1:L1"/>
    <mergeCell ref="A2:L2"/>
    <mergeCell ref="G8:H8"/>
    <mergeCell ref="B40:B41"/>
    <mergeCell ref="C40:C41"/>
    <mergeCell ref="D40:G40"/>
    <mergeCell ref="H40:L40"/>
    <mergeCell ref="B15:D16"/>
    <mergeCell ref="E15:F15"/>
    <mergeCell ref="G15:H15"/>
    <mergeCell ref="I15:J15"/>
    <mergeCell ref="K15:L15"/>
  </mergeCells>
  <phoneticPr fontId="11" type="noConversion"/>
  <dataValidations count="1">
    <dataValidation type="list" allowBlank="1" showInputMessage="1" showErrorMessage="1" sqref="G23:G26">
      <formula1>"联营,合营,金融资产,无"</formula1>
    </dataValidation>
  </dataValidations>
  <hyperlinks>
    <hyperlink ref="L3" location="底稿目录!F18" display="底稿目录!F18"/>
  </hyperlinks>
  <pageMargins left="0.70866141732283472" right="0.70866141732283472" top="0.74803149606299213" bottom="0.74803149606299213" header="0.31496062992125984" footer="0.31496062992125984"/>
  <pageSetup paperSize="9" scale="70" fitToHeight="0" orientation="landscape" blackAndWhite="1" r:id="rId1"/>
  <headerFooter>
    <oddFooter>&amp;C&amp;P/&amp;N</oddFooter>
  </headerFooter>
  <rowBreaks count="1" manualBreakCount="1">
    <brk id="26" max="11"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Q68"/>
  <sheetViews>
    <sheetView showZeros="0" view="pageBreakPreview" zoomScaleSheetLayoutView="100" workbookViewId="0">
      <selection sqref="A1:M1"/>
    </sheetView>
  </sheetViews>
  <sheetFormatPr defaultRowHeight="15.6"/>
  <cols>
    <col min="1" max="1" width="3.19921875" style="162" customWidth="1"/>
    <col min="2" max="2" width="18" style="162" customWidth="1"/>
    <col min="3" max="3" width="15" style="162" customWidth="1"/>
    <col min="4" max="4" width="13.3984375" style="162" customWidth="1"/>
    <col min="5" max="5" width="12.09765625" style="162" customWidth="1"/>
    <col min="6" max="6" width="12.59765625" style="162" customWidth="1"/>
    <col min="7" max="7" width="13" style="162" customWidth="1"/>
    <col min="8" max="8" width="14.5" style="162" customWidth="1"/>
    <col min="9" max="9" width="13.09765625" style="162" customWidth="1"/>
    <col min="10" max="10" width="14.3984375" style="162" customWidth="1"/>
    <col min="11" max="11" width="15" style="162" customWidth="1"/>
    <col min="12" max="12" width="13" style="162" customWidth="1"/>
    <col min="13" max="13" width="11.19921875" style="162" bestFit="1" customWidth="1"/>
    <col min="14" max="253" width="9" style="162"/>
    <col min="254" max="254" width="18" style="162" customWidth="1"/>
    <col min="255" max="255" width="15" style="162" customWidth="1"/>
    <col min="256" max="256" width="13.3984375" style="162" customWidth="1"/>
    <col min="257" max="257" width="12.09765625" style="162" customWidth="1"/>
    <col min="258" max="258" width="12.59765625" style="162" customWidth="1"/>
    <col min="259" max="259" width="13" style="162" customWidth="1"/>
    <col min="260" max="260" width="12.69921875" style="162" customWidth="1"/>
    <col min="261" max="261" width="10.3984375" style="162" customWidth="1"/>
    <col min="262" max="262" width="12.3984375" style="162" customWidth="1"/>
    <col min="263" max="263" width="12.09765625" style="162" customWidth="1"/>
    <col min="264" max="264" width="13" style="162" customWidth="1"/>
    <col min="265" max="509" width="9" style="162"/>
    <col min="510" max="510" width="18" style="162" customWidth="1"/>
    <col min="511" max="511" width="15" style="162" customWidth="1"/>
    <col min="512" max="512" width="13.3984375" style="162" customWidth="1"/>
    <col min="513" max="513" width="12.09765625" style="162" customWidth="1"/>
    <col min="514" max="514" width="12.59765625" style="162" customWidth="1"/>
    <col min="515" max="515" width="13" style="162" customWidth="1"/>
    <col min="516" max="516" width="12.69921875" style="162" customWidth="1"/>
    <col min="517" max="517" width="10.3984375" style="162" customWidth="1"/>
    <col min="518" max="518" width="12.3984375" style="162" customWidth="1"/>
    <col min="519" max="519" width="12.09765625" style="162" customWidth="1"/>
    <col min="520" max="520" width="13" style="162" customWidth="1"/>
    <col min="521" max="765" width="9" style="162"/>
    <col min="766" max="766" width="18" style="162" customWidth="1"/>
    <col min="767" max="767" width="15" style="162" customWidth="1"/>
    <col min="768" max="768" width="13.3984375" style="162" customWidth="1"/>
    <col min="769" max="769" width="12.09765625" style="162" customWidth="1"/>
    <col min="770" max="770" width="12.59765625" style="162" customWidth="1"/>
    <col min="771" max="771" width="13" style="162" customWidth="1"/>
    <col min="772" max="772" width="12.69921875" style="162" customWidth="1"/>
    <col min="773" max="773" width="10.3984375" style="162" customWidth="1"/>
    <col min="774" max="774" width="12.3984375" style="162" customWidth="1"/>
    <col min="775" max="775" width="12.09765625" style="162" customWidth="1"/>
    <col min="776" max="776" width="13" style="162" customWidth="1"/>
    <col min="777" max="1021" width="9" style="162"/>
    <col min="1022" max="1022" width="18" style="162" customWidth="1"/>
    <col min="1023" max="1023" width="15" style="162" customWidth="1"/>
    <col min="1024" max="1024" width="13.3984375" style="162" customWidth="1"/>
    <col min="1025" max="1025" width="12.09765625" style="162" customWidth="1"/>
    <col min="1026" max="1026" width="12.59765625" style="162" customWidth="1"/>
    <col min="1027" max="1027" width="13" style="162" customWidth="1"/>
    <col min="1028" max="1028" width="12.69921875" style="162" customWidth="1"/>
    <col min="1029" max="1029" width="10.3984375" style="162" customWidth="1"/>
    <col min="1030" max="1030" width="12.3984375" style="162" customWidth="1"/>
    <col min="1031" max="1031" width="12.09765625" style="162" customWidth="1"/>
    <col min="1032" max="1032" width="13" style="162" customWidth="1"/>
    <col min="1033" max="1277" width="9" style="162"/>
    <col min="1278" max="1278" width="18" style="162" customWidth="1"/>
    <col min="1279" max="1279" width="15" style="162" customWidth="1"/>
    <col min="1280" max="1280" width="13.3984375" style="162" customWidth="1"/>
    <col min="1281" max="1281" width="12.09765625" style="162" customWidth="1"/>
    <col min="1282" max="1282" width="12.59765625" style="162" customWidth="1"/>
    <col min="1283" max="1283" width="13" style="162" customWidth="1"/>
    <col min="1284" max="1284" width="12.69921875" style="162" customWidth="1"/>
    <col min="1285" max="1285" width="10.3984375" style="162" customWidth="1"/>
    <col min="1286" max="1286" width="12.3984375" style="162" customWidth="1"/>
    <col min="1287" max="1287" width="12.09765625" style="162" customWidth="1"/>
    <col min="1288" max="1288" width="13" style="162" customWidth="1"/>
    <col min="1289" max="1533" width="9" style="162"/>
    <col min="1534" max="1534" width="18" style="162" customWidth="1"/>
    <col min="1535" max="1535" width="15" style="162" customWidth="1"/>
    <col min="1536" max="1536" width="13.3984375" style="162" customWidth="1"/>
    <col min="1537" max="1537" width="12.09765625" style="162" customWidth="1"/>
    <col min="1538" max="1538" width="12.59765625" style="162" customWidth="1"/>
    <col min="1539" max="1539" width="13" style="162" customWidth="1"/>
    <col min="1540" max="1540" width="12.69921875" style="162" customWidth="1"/>
    <col min="1541" max="1541" width="10.3984375" style="162" customWidth="1"/>
    <col min="1542" max="1542" width="12.3984375" style="162" customWidth="1"/>
    <col min="1543" max="1543" width="12.09765625" style="162" customWidth="1"/>
    <col min="1544" max="1544" width="13" style="162" customWidth="1"/>
    <col min="1545" max="1789" width="9" style="162"/>
    <col min="1790" max="1790" width="18" style="162" customWidth="1"/>
    <col min="1791" max="1791" width="15" style="162" customWidth="1"/>
    <col min="1792" max="1792" width="13.3984375" style="162" customWidth="1"/>
    <col min="1793" max="1793" width="12.09765625" style="162" customWidth="1"/>
    <col min="1794" max="1794" width="12.59765625" style="162" customWidth="1"/>
    <col min="1795" max="1795" width="13" style="162" customWidth="1"/>
    <col min="1796" max="1796" width="12.69921875" style="162" customWidth="1"/>
    <col min="1797" max="1797" width="10.3984375" style="162" customWidth="1"/>
    <col min="1798" max="1798" width="12.3984375" style="162" customWidth="1"/>
    <col min="1799" max="1799" width="12.09765625" style="162" customWidth="1"/>
    <col min="1800" max="1800" width="13" style="162" customWidth="1"/>
    <col min="1801" max="2045" width="9" style="162"/>
    <col min="2046" max="2046" width="18" style="162" customWidth="1"/>
    <col min="2047" max="2047" width="15" style="162" customWidth="1"/>
    <col min="2048" max="2048" width="13.3984375" style="162" customWidth="1"/>
    <col min="2049" max="2049" width="12.09765625" style="162" customWidth="1"/>
    <col min="2050" max="2050" width="12.59765625" style="162" customWidth="1"/>
    <col min="2051" max="2051" width="13" style="162" customWidth="1"/>
    <col min="2052" max="2052" width="12.69921875" style="162" customWidth="1"/>
    <col min="2053" max="2053" width="10.3984375" style="162" customWidth="1"/>
    <col min="2054" max="2054" width="12.3984375" style="162" customWidth="1"/>
    <col min="2055" max="2055" width="12.09765625" style="162" customWidth="1"/>
    <col min="2056" max="2056" width="13" style="162" customWidth="1"/>
    <col min="2057" max="2301" width="9" style="162"/>
    <col min="2302" max="2302" width="18" style="162" customWidth="1"/>
    <col min="2303" max="2303" width="15" style="162" customWidth="1"/>
    <col min="2304" max="2304" width="13.3984375" style="162" customWidth="1"/>
    <col min="2305" max="2305" width="12.09765625" style="162" customWidth="1"/>
    <col min="2306" max="2306" width="12.59765625" style="162" customWidth="1"/>
    <col min="2307" max="2307" width="13" style="162" customWidth="1"/>
    <col min="2308" max="2308" width="12.69921875" style="162" customWidth="1"/>
    <col min="2309" max="2309" width="10.3984375" style="162" customWidth="1"/>
    <col min="2310" max="2310" width="12.3984375" style="162" customWidth="1"/>
    <col min="2311" max="2311" width="12.09765625" style="162" customWidth="1"/>
    <col min="2312" max="2312" width="13" style="162" customWidth="1"/>
    <col min="2313" max="2557" width="9" style="162"/>
    <col min="2558" max="2558" width="18" style="162" customWidth="1"/>
    <col min="2559" max="2559" width="15" style="162" customWidth="1"/>
    <col min="2560" max="2560" width="13.3984375" style="162" customWidth="1"/>
    <col min="2561" max="2561" width="12.09765625" style="162" customWidth="1"/>
    <col min="2562" max="2562" width="12.59765625" style="162" customWidth="1"/>
    <col min="2563" max="2563" width="13" style="162" customWidth="1"/>
    <col min="2564" max="2564" width="12.69921875" style="162" customWidth="1"/>
    <col min="2565" max="2565" width="10.3984375" style="162" customWidth="1"/>
    <col min="2566" max="2566" width="12.3984375" style="162" customWidth="1"/>
    <col min="2567" max="2567" width="12.09765625" style="162" customWidth="1"/>
    <col min="2568" max="2568" width="13" style="162" customWidth="1"/>
    <col min="2569" max="2813" width="9" style="162"/>
    <col min="2814" max="2814" width="18" style="162" customWidth="1"/>
    <col min="2815" max="2815" width="15" style="162" customWidth="1"/>
    <col min="2816" max="2816" width="13.3984375" style="162" customWidth="1"/>
    <col min="2817" max="2817" width="12.09765625" style="162" customWidth="1"/>
    <col min="2818" max="2818" width="12.59765625" style="162" customWidth="1"/>
    <col min="2819" max="2819" width="13" style="162" customWidth="1"/>
    <col min="2820" max="2820" width="12.69921875" style="162" customWidth="1"/>
    <col min="2821" max="2821" width="10.3984375" style="162" customWidth="1"/>
    <col min="2822" max="2822" width="12.3984375" style="162" customWidth="1"/>
    <col min="2823" max="2823" width="12.09765625" style="162" customWidth="1"/>
    <col min="2824" max="2824" width="13" style="162" customWidth="1"/>
    <col min="2825" max="3069" width="9" style="162"/>
    <col min="3070" max="3070" width="18" style="162" customWidth="1"/>
    <col min="3071" max="3071" width="15" style="162" customWidth="1"/>
    <col min="3072" max="3072" width="13.3984375" style="162" customWidth="1"/>
    <col min="3073" max="3073" width="12.09765625" style="162" customWidth="1"/>
    <col min="3074" max="3074" width="12.59765625" style="162" customWidth="1"/>
    <col min="3075" max="3075" width="13" style="162" customWidth="1"/>
    <col min="3076" max="3076" width="12.69921875" style="162" customWidth="1"/>
    <col min="3077" max="3077" width="10.3984375" style="162" customWidth="1"/>
    <col min="3078" max="3078" width="12.3984375" style="162" customWidth="1"/>
    <col min="3079" max="3079" width="12.09765625" style="162" customWidth="1"/>
    <col min="3080" max="3080" width="13" style="162" customWidth="1"/>
    <col min="3081" max="3325" width="9" style="162"/>
    <col min="3326" max="3326" width="18" style="162" customWidth="1"/>
    <col min="3327" max="3327" width="15" style="162" customWidth="1"/>
    <col min="3328" max="3328" width="13.3984375" style="162" customWidth="1"/>
    <col min="3329" max="3329" width="12.09765625" style="162" customWidth="1"/>
    <col min="3330" max="3330" width="12.59765625" style="162" customWidth="1"/>
    <col min="3331" max="3331" width="13" style="162" customWidth="1"/>
    <col min="3332" max="3332" width="12.69921875" style="162" customWidth="1"/>
    <col min="3333" max="3333" width="10.3984375" style="162" customWidth="1"/>
    <col min="3334" max="3334" width="12.3984375" style="162" customWidth="1"/>
    <col min="3335" max="3335" width="12.09765625" style="162" customWidth="1"/>
    <col min="3336" max="3336" width="13" style="162" customWidth="1"/>
    <col min="3337" max="3581" width="9" style="162"/>
    <col min="3582" max="3582" width="18" style="162" customWidth="1"/>
    <col min="3583" max="3583" width="15" style="162" customWidth="1"/>
    <col min="3584" max="3584" width="13.3984375" style="162" customWidth="1"/>
    <col min="3585" max="3585" width="12.09765625" style="162" customWidth="1"/>
    <col min="3586" max="3586" width="12.59765625" style="162" customWidth="1"/>
    <col min="3587" max="3587" width="13" style="162" customWidth="1"/>
    <col min="3588" max="3588" width="12.69921875" style="162" customWidth="1"/>
    <col min="3589" max="3589" width="10.3984375" style="162" customWidth="1"/>
    <col min="3590" max="3590" width="12.3984375" style="162" customWidth="1"/>
    <col min="3591" max="3591" width="12.09765625" style="162" customWidth="1"/>
    <col min="3592" max="3592" width="13" style="162" customWidth="1"/>
    <col min="3593" max="3837" width="9" style="162"/>
    <col min="3838" max="3838" width="18" style="162" customWidth="1"/>
    <col min="3839" max="3839" width="15" style="162" customWidth="1"/>
    <col min="3840" max="3840" width="13.3984375" style="162" customWidth="1"/>
    <col min="3841" max="3841" width="12.09765625" style="162" customWidth="1"/>
    <col min="3842" max="3842" width="12.59765625" style="162" customWidth="1"/>
    <col min="3843" max="3843" width="13" style="162" customWidth="1"/>
    <col min="3844" max="3844" width="12.69921875" style="162" customWidth="1"/>
    <col min="3845" max="3845" width="10.3984375" style="162" customWidth="1"/>
    <col min="3846" max="3846" width="12.3984375" style="162" customWidth="1"/>
    <col min="3847" max="3847" width="12.09765625" style="162" customWidth="1"/>
    <col min="3848" max="3848" width="13" style="162" customWidth="1"/>
    <col min="3849" max="4093" width="9" style="162"/>
    <col min="4094" max="4094" width="18" style="162" customWidth="1"/>
    <col min="4095" max="4095" width="15" style="162" customWidth="1"/>
    <col min="4096" max="4096" width="13.3984375" style="162" customWidth="1"/>
    <col min="4097" max="4097" width="12.09765625" style="162" customWidth="1"/>
    <col min="4098" max="4098" width="12.59765625" style="162" customWidth="1"/>
    <col min="4099" max="4099" width="13" style="162" customWidth="1"/>
    <col min="4100" max="4100" width="12.69921875" style="162" customWidth="1"/>
    <col min="4101" max="4101" width="10.3984375" style="162" customWidth="1"/>
    <col min="4102" max="4102" width="12.3984375" style="162" customWidth="1"/>
    <col min="4103" max="4103" width="12.09765625" style="162" customWidth="1"/>
    <col min="4104" max="4104" width="13" style="162" customWidth="1"/>
    <col min="4105" max="4349" width="9" style="162"/>
    <col min="4350" max="4350" width="18" style="162" customWidth="1"/>
    <col min="4351" max="4351" width="15" style="162" customWidth="1"/>
    <col min="4352" max="4352" width="13.3984375" style="162" customWidth="1"/>
    <col min="4353" max="4353" width="12.09765625" style="162" customWidth="1"/>
    <col min="4354" max="4354" width="12.59765625" style="162" customWidth="1"/>
    <col min="4355" max="4355" width="13" style="162" customWidth="1"/>
    <col min="4356" max="4356" width="12.69921875" style="162" customWidth="1"/>
    <col min="4357" max="4357" width="10.3984375" style="162" customWidth="1"/>
    <col min="4358" max="4358" width="12.3984375" style="162" customWidth="1"/>
    <col min="4359" max="4359" width="12.09765625" style="162" customWidth="1"/>
    <col min="4360" max="4360" width="13" style="162" customWidth="1"/>
    <col min="4361" max="4605" width="9" style="162"/>
    <col min="4606" max="4606" width="18" style="162" customWidth="1"/>
    <col min="4607" max="4607" width="15" style="162" customWidth="1"/>
    <col min="4608" max="4608" width="13.3984375" style="162" customWidth="1"/>
    <col min="4609" max="4609" width="12.09765625" style="162" customWidth="1"/>
    <col min="4610" max="4610" width="12.59765625" style="162" customWidth="1"/>
    <col min="4611" max="4611" width="13" style="162" customWidth="1"/>
    <col min="4612" max="4612" width="12.69921875" style="162" customWidth="1"/>
    <col min="4613" max="4613" width="10.3984375" style="162" customWidth="1"/>
    <col min="4614" max="4614" width="12.3984375" style="162" customWidth="1"/>
    <col min="4615" max="4615" width="12.09765625" style="162" customWidth="1"/>
    <col min="4616" max="4616" width="13" style="162" customWidth="1"/>
    <col min="4617" max="4861" width="9" style="162"/>
    <col min="4862" max="4862" width="18" style="162" customWidth="1"/>
    <col min="4863" max="4863" width="15" style="162" customWidth="1"/>
    <col min="4864" max="4864" width="13.3984375" style="162" customWidth="1"/>
    <col min="4865" max="4865" width="12.09765625" style="162" customWidth="1"/>
    <col min="4866" max="4866" width="12.59765625" style="162" customWidth="1"/>
    <col min="4867" max="4867" width="13" style="162" customWidth="1"/>
    <col min="4868" max="4868" width="12.69921875" style="162" customWidth="1"/>
    <col min="4869" max="4869" width="10.3984375" style="162" customWidth="1"/>
    <col min="4870" max="4870" width="12.3984375" style="162" customWidth="1"/>
    <col min="4871" max="4871" width="12.09765625" style="162" customWidth="1"/>
    <col min="4872" max="4872" width="13" style="162" customWidth="1"/>
    <col min="4873" max="5117" width="9" style="162"/>
    <col min="5118" max="5118" width="18" style="162" customWidth="1"/>
    <col min="5119" max="5119" width="15" style="162" customWidth="1"/>
    <col min="5120" max="5120" width="13.3984375" style="162" customWidth="1"/>
    <col min="5121" max="5121" width="12.09765625" style="162" customWidth="1"/>
    <col min="5122" max="5122" width="12.59765625" style="162" customWidth="1"/>
    <col min="5123" max="5123" width="13" style="162" customWidth="1"/>
    <col min="5124" max="5124" width="12.69921875" style="162" customWidth="1"/>
    <col min="5125" max="5125" width="10.3984375" style="162" customWidth="1"/>
    <col min="5126" max="5126" width="12.3984375" style="162" customWidth="1"/>
    <col min="5127" max="5127" width="12.09765625" style="162" customWidth="1"/>
    <col min="5128" max="5128" width="13" style="162" customWidth="1"/>
    <col min="5129" max="5373" width="9" style="162"/>
    <col min="5374" max="5374" width="18" style="162" customWidth="1"/>
    <col min="5375" max="5375" width="15" style="162" customWidth="1"/>
    <col min="5376" max="5376" width="13.3984375" style="162" customWidth="1"/>
    <col min="5377" max="5377" width="12.09765625" style="162" customWidth="1"/>
    <col min="5378" max="5378" width="12.59765625" style="162" customWidth="1"/>
    <col min="5379" max="5379" width="13" style="162" customWidth="1"/>
    <col min="5380" max="5380" width="12.69921875" style="162" customWidth="1"/>
    <col min="5381" max="5381" width="10.3984375" style="162" customWidth="1"/>
    <col min="5382" max="5382" width="12.3984375" style="162" customWidth="1"/>
    <col min="5383" max="5383" width="12.09765625" style="162" customWidth="1"/>
    <col min="5384" max="5384" width="13" style="162" customWidth="1"/>
    <col min="5385" max="5629" width="9" style="162"/>
    <col min="5630" max="5630" width="18" style="162" customWidth="1"/>
    <col min="5631" max="5631" width="15" style="162" customWidth="1"/>
    <col min="5632" max="5632" width="13.3984375" style="162" customWidth="1"/>
    <col min="5633" max="5633" width="12.09765625" style="162" customWidth="1"/>
    <col min="5634" max="5634" width="12.59765625" style="162" customWidth="1"/>
    <col min="5635" max="5635" width="13" style="162" customWidth="1"/>
    <col min="5636" max="5636" width="12.69921875" style="162" customWidth="1"/>
    <col min="5637" max="5637" width="10.3984375" style="162" customWidth="1"/>
    <col min="5638" max="5638" width="12.3984375" style="162" customWidth="1"/>
    <col min="5639" max="5639" width="12.09765625" style="162" customWidth="1"/>
    <col min="5640" max="5640" width="13" style="162" customWidth="1"/>
    <col min="5641" max="5885" width="9" style="162"/>
    <col min="5886" max="5886" width="18" style="162" customWidth="1"/>
    <col min="5887" max="5887" width="15" style="162" customWidth="1"/>
    <col min="5888" max="5888" width="13.3984375" style="162" customWidth="1"/>
    <col min="5889" max="5889" width="12.09765625" style="162" customWidth="1"/>
    <col min="5890" max="5890" width="12.59765625" style="162" customWidth="1"/>
    <col min="5891" max="5891" width="13" style="162" customWidth="1"/>
    <col min="5892" max="5892" width="12.69921875" style="162" customWidth="1"/>
    <col min="5893" max="5893" width="10.3984375" style="162" customWidth="1"/>
    <col min="5894" max="5894" width="12.3984375" style="162" customWidth="1"/>
    <col min="5895" max="5895" width="12.09765625" style="162" customWidth="1"/>
    <col min="5896" max="5896" width="13" style="162" customWidth="1"/>
    <col min="5897" max="6141" width="9" style="162"/>
    <col min="6142" max="6142" width="18" style="162" customWidth="1"/>
    <col min="6143" max="6143" width="15" style="162" customWidth="1"/>
    <col min="6144" max="6144" width="13.3984375" style="162" customWidth="1"/>
    <col min="6145" max="6145" width="12.09765625" style="162" customWidth="1"/>
    <col min="6146" max="6146" width="12.59765625" style="162" customWidth="1"/>
    <col min="6147" max="6147" width="13" style="162" customWidth="1"/>
    <col min="6148" max="6148" width="12.69921875" style="162" customWidth="1"/>
    <col min="6149" max="6149" width="10.3984375" style="162" customWidth="1"/>
    <col min="6150" max="6150" width="12.3984375" style="162" customWidth="1"/>
    <col min="6151" max="6151" width="12.09765625" style="162" customWidth="1"/>
    <col min="6152" max="6152" width="13" style="162" customWidth="1"/>
    <col min="6153" max="6397" width="9" style="162"/>
    <col min="6398" max="6398" width="18" style="162" customWidth="1"/>
    <col min="6399" max="6399" width="15" style="162" customWidth="1"/>
    <col min="6400" max="6400" width="13.3984375" style="162" customWidth="1"/>
    <col min="6401" max="6401" width="12.09765625" style="162" customWidth="1"/>
    <col min="6402" max="6402" width="12.59765625" style="162" customWidth="1"/>
    <col min="6403" max="6403" width="13" style="162" customWidth="1"/>
    <col min="6404" max="6404" width="12.69921875" style="162" customWidth="1"/>
    <col min="6405" max="6405" width="10.3984375" style="162" customWidth="1"/>
    <col min="6406" max="6406" width="12.3984375" style="162" customWidth="1"/>
    <col min="6407" max="6407" width="12.09765625" style="162" customWidth="1"/>
    <col min="6408" max="6408" width="13" style="162" customWidth="1"/>
    <col min="6409" max="6653" width="9" style="162"/>
    <col min="6654" max="6654" width="18" style="162" customWidth="1"/>
    <col min="6655" max="6655" width="15" style="162" customWidth="1"/>
    <col min="6656" max="6656" width="13.3984375" style="162" customWidth="1"/>
    <col min="6657" max="6657" width="12.09765625" style="162" customWidth="1"/>
    <col min="6658" max="6658" width="12.59765625" style="162" customWidth="1"/>
    <col min="6659" max="6659" width="13" style="162" customWidth="1"/>
    <col min="6660" max="6660" width="12.69921875" style="162" customWidth="1"/>
    <col min="6661" max="6661" width="10.3984375" style="162" customWidth="1"/>
    <col min="6662" max="6662" width="12.3984375" style="162" customWidth="1"/>
    <col min="6663" max="6663" width="12.09765625" style="162" customWidth="1"/>
    <col min="6664" max="6664" width="13" style="162" customWidth="1"/>
    <col min="6665" max="6909" width="9" style="162"/>
    <col min="6910" max="6910" width="18" style="162" customWidth="1"/>
    <col min="6911" max="6911" width="15" style="162" customWidth="1"/>
    <col min="6912" max="6912" width="13.3984375" style="162" customWidth="1"/>
    <col min="6913" max="6913" width="12.09765625" style="162" customWidth="1"/>
    <col min="6914" max="6914" width="12.59765625" style="162" customWidth="1"/>
    <col min="6915" max="6915" width="13" style="162" customWidth="1"/>
    <col min="6916" max="6916" width="12.69921875" style="162" customWidth="1"/>
    <col min="6917" max="6917" width="10.3984375" style="162" customWidth="1"/>
    <col min="6918" max="6918" width="12.3984375" style="162" customWidth="1"/>
    <col min="6919" max="6919" width="12.09765625" style="162" customWidth="1"/>
    <col min="6920" max="6920" width="13" style="162" customWidth="1"/>
    <col min="6921" max="7165" width="9" style="162"/>
    <col min="7166" max="7166" width="18" style="162" customWidth="1"/>
    <col min="7167" max="7167" width="15" style="162" customWidth="1"/>
    <col min="7168" max="7168" width="13.3984375" style="162" customWidth="1"/>
    <col min="7169" max="7169" width="12.09765625" style="162" customWidth="1"/>
    <col min="7170" max="7170" width="12.59765625" style="162" customWidth="1"/>
    <col min="7171" max="7171" width="13" style="162" customWidth="1"/>
    <col min="7172" max="7172" width="12.69921875" style="162" customWidth="1"/>
    <col min="7173" max="7173" width="10.3984375" style="162" customWidth="1"/>
    <col min="7174" max="7174" width="12.3984375" style="162" customWidth="1"/>
    <col min="7175" max="7175" width="12.09765625" style="162" customWidth="1"/>
    <col min="7176" max="7176" width="13" style="162" customWidth="1"/>
    <col min="7177" max="7421" width="9" style="162"/>
    <col min="7422" max="7422" width="18" style="162" customWidth="1"/>
    <col min="7423" max="7423" width="15" style="162" customWidth="1"/>
    <col min="7424" max="7424" width="13.3984375" style="162" customWidth="1"/>
    <col min="7425" max="7425" width="12.09765625" style="162" customWidth="1"/>
    <col min="7426" max="7426" width="12.59765625" style="162" customWidth="1"/>
    <col min="7427" max="7427" width="13" style="162" customWidth="1"/>
    <col min="7428" max="7428" width="12.69921875" style="162" customWidth="1"/>
    <col min="7429" max="7429" width="10.3984375" style="162" customWidth="1"/>
    <col min="7430" max="7430" width="12.3984375" style="162" customWidth="1"/>
    <col min="7431" max="7431" width="12.09765625" style="162" customWidth="1"/>
    <col min="7432" max="7432" width="13" style="162" customWidth="1"/>
    <col min="7433" max="7677" width="9" style="162"/>
    <col min="7678" max="7678" width="18" style="162" customWidth="1"/>
    <col min="7679" max="7679" width="15" style="162" customWidth="1"/>
    <col min="7680" max="7680" width="13.3984375" style="162" customWidth="1"/>
    <col min="7681" max="7681" width="12.09765625" style="162" customWidth="1"/>
    <col min="7682" max="7682" width="12.59765625" style="162" customWidth="1"/>
    <col min="7683" max="7683" width="13" style="162" customWidth="1"/>
    <col min="7684" max="7684" width="12.69921875" style="162" customWidth="1"/>
    <col min="7685" max="7685" width="10.3984375" style="162" customWidth="1"/>
    <col min="7686" max="7686" width="12.3984375" style="162" customWidth="1"/>
    <col min="7687" max="7687" width="12.09765625" style="162" customWidth="1"/>
    <col min="7688" max="7688" width="13" style="162" customWidth="1"/>
    <col min="7689" max="7933" width="9" style="162"/>
    <col min="7934" max="7934" width="18" style="162" customWidth="1"/>
    <col min="7935" max="7935" width="15" style="162" customWidth="1"/>
    <col min="7936" max="7936" width="13.3984375" style="162" customWidth="1"/>
    <col min="7937" max="7937" width="12.09765625" style="162" customWidth="1"/>
    <col min="7938" max="7938" width="12.59765625" style="162" customWidth="1"/>
    <col min="7939" max="7939" width="13" style="162" customWidth="1"/>
    <col min="7940" max="7940" width="12.69921875" style="162" customWidth="1"/>
    <col min="7941" max="7941" width="10.3984375" style="162" customWidth="1"/>
    <col min="7942" max="7942" width="12.3984375" style="162" customWidth="1"/>
    <col min="7943" max="7943" width="12.09765625" style="162" customWidth="1"/>
    <col min="7944" max="7944" width="13" style="162" customWidth="1"/>
    <col min="7945" max="8189" width="9" style="162"/>
    <col min="8190" max="8190" width="18" style="162" customWidth="1"/>
    <col min="8191" max="8191" width="15" style="162" customWidth="1"/>
    <col min="8192" max="8192" width="13.3984375" style="162" customWidth="1"/>
    <col min="8193" max="8193" width="12.09765625" style="162" customWidth="1"/>
    <col min="8194" max="8194" width="12.59765625" style="162" customWidth="1"/>
    <col min="8195" max="8195" width="13" style="162" customWidth="1"/>
    <col min="8196" max="8196" width="12.69921875" style="162" customWidth="1"/>
    <col min="8197" max="8197" width="10.3984375" style="162" customWidth="1"/>
    <col min="8198" max="8198" width="12.3984375" style="162" customWidth="1"/>
    <col min="8199" max="8199" width="12.09765625" style="162" customWidth="1"/>
    <col min="8200" max="8200" width="13" style="162" customWidth="1"/>
    <col min="8201" max="8445" width="9" style="162"/>
    <col min="8446" max="8446" width="18" style="162" customWidth="1"/>
    <col min="8447" max="8447" width="15" style="162" customWidth="1"/>
    <col min="8448" max="8448" width="13.3984375" style="162" customWidth="1"/>
    <col min="8449" max="8449" width="12.09765625" style="162" customWidth="1"/>
    <col min="8450" max="8450" width="12.59765625" style="162" customWidth="1"/>
    <col min="8451" max="8451" width="13" style="162" customWidth="1"/>
    <col min="8452" max="8452" width="12.69921875" style="162" customWidth="1"/>
    <col min="8453" max="8453" width="10.3984375" style="162" customWidth="1"/>
    <col min="8454" max="8454" width="12.3984375" style="162" customWidth="1"/>
    <col min="8455" max="8455" width="12.09765625" style="162" customWidth="1"/>
    <col min="8456" max="8456" width="13" style="162" customWidth="1"/>
    <col min="8457" max="8701" width="9" style="162"/>
    <col min="8702" max="8702" width="18" style="162" customWidth="1"/>
    <col min="8703" max="8703" width="15" style="162" customWidth="1"/>
    <col min="8704" max="8704" width="13.3984375" style="162" customWidth="1"/>
    <col min="8705" max="8705" width="12.09765625" style="162" customWidth="1"/>
    <col min="8706" max="8706" width="12.59765625" style="162" customWidth="1"/>
    <col min="8707" max="8707" width="13" style="162" customWidth="1"/>
    <col min="8708" max="8708" width="12.69921875" style="162" customWidth="1"/>
    <col min="8709" max="8709" width="10.3984375" style="162" customWidth="1"/>
    <col min="8710" max="8710" width="12.3984375" style="162" customWidth="1"/>
    <col min="8711" max="8711" width="12.09765625" style="162" customWidth="1"/>
    <col min="8712" max="8712" width="13" style="162" customWidth="1"/>
    <col min="8713" max="8957" width="9" style="162"/>
    <col min="8958" max="8958" width="18" style="162" customWidth="1"/>
    <col min="8959" max="8959" width="15" style="162" customWidth="1"/>
    <col min="8960" max="8960" width="13.3984375" style="162" customWidth="1"/>
    <col min="8961" max="8961" width="12.09765625" style="162" customWidth="1"/>
    <col min="8962" max="8962" width="12.59765625" style="162" customWidth="1"/>
    <col min="8963" max="8963" width="13" style="162" customWidth="1"/>
    <col min="8964" max="8964" width="12.69921875" style="162" customWidth="1"/>
    <col min="8965" max="8965" width="10.3984375" style="162" customWidth="1"/>
    <col min="8966" max="8966" width="12.3984375" style="162" customWidth="1"/>
    <col min="8967" max="8967" width="12.09765625" style="162" customWidth="1"/>
    <col min="8968" max="8968" width="13" style="162" customWidth="1"/>
    <col min="8969" max="9213" width="9" style="162"/>
    <col min="9214" max="9214" width="18" style="162" customWidth="1"/>
    <col min="9215" max="9215" width="15" style="162" customWidth="1"/>
    <col min="9216" max="9216" width="13.3984375" style="162" customWidth="1"/>
    <col min="9217" max="9217" width="12.09765625" style="162" customWidth="1"/>
    <col min="9218" max="9218" width="12.59765625" style="162" customWidth="1"/>
    <col min="9219" max="9219" width="13" style="162" customWidth="1"/>
    <col min="9220" max="9220" width="12.69921875" style="162" customWidth="1"/>
    <col min="9221" max="9221" width="10.3984375" style="162" customWidth="1"/>
    <col min="9222" max="9222" width="12.3984375" style="162" customWidth="1"/>
    <col min="9223" max="9223" width="12.09765625" style="162" customWidth="1"/>
    <col min="9224" max="9224" width="13" style="162" customWidth="1"/>
    <col min="9225" max="9469" width="9" style="162"/>
    <col min="9470" max="9470" width="18" style="162" customWidth="1"/>
    <col min="9471" max="9471" width="15" style="162" customWidth="1"/>
    <col min="9472" max="9472" width="13.3984375" style="162" customWidth="1"/>
    <col min="9473" max="9473" width="12.09765625" style="162" customWidth="1"/>
    <col min="9474" max="9474" width="12.59765625" style="162" customWidth="1"/>
    <col min="9475" max="9475" width="13" style="162" customWidth="1"/>
    <col min="9476" max="9476" width="12.69921875" style="162" customWidth="1"/>
    <col min="9477" max="9477" width="10.3984375" style="162" customWidth="1"/>
    <col min="9478" max="9478" width="12.3984375" style="162" customWidth="1"/>
    <col min="9479" max="9479" width="12.09765625" style="162" customWidth="1"/>
    <col min="9480" max="9480" width="13" style="162" customWidth="1"/>
    <col min="9481" max="9725" width="9" style="162"/>
    <col min="9726" max="9726" width="18" style="162" customWidth="1"/>
    <col min="9727" max="9727" width="15" style="162" customWidth="1"/>
    <col min="9728" max="9728" width="13.3984375" style="162" customWidth="1"/>
    <col min="9729" max="9729" width="12.09765625" style="162" customWidth="1"/>
    <col min="9730" max="9730" width="12.59765625" style="162" customWidth="1"/>
    <col min="9731" max="9731" width="13" style="162" customWidth="1"/>
    <col min="9732" max="9732" width="12.69921875" style="162" customWidth="1"/>
    <col min="9733" max="9733" width="10.3984375" style="162" customWidth="1"/>
    <col min="9734" max="9734" width="12.3984375" style="162" customWidth="1"/>
    <col min="9735" max="9735" width="12.09765625" style="162" customWidth="1"/>
    <col min="9736" max="9736" width="13" style="162" customWidth="1"/>
    <col min="9737" max="9981" width="9" style="162"/>
    <col min="9982" max="9982" width="18" style="162" customWidth="1"/>
    <col min="9983" max="9983" width="15" style="162" customWidth="1"/>
    <col min="9984" max="9984" width="13.3984375" style="162" customWidth="1"/>
    <col min="9985" max="9985" width="12.09765625" style="162" customWidth="1"/>
    <col min="9986" max="9986" width="12.59765625" style="162" customWidth="1"/>
    <col min="9987" max="9987" width="13" style="162" customWidth="1"/>
    <col min="9988" max="9988" width="12.69921875" style="162" customWidth="1"/>
    <col min="9989" max="9989" width="10.3984375" style="162" customWidth="1"/>
    <col min="9990" max="9990" width="12.3984375" style="162" customWidth="1"/>
    <col min="9991" max="9991" width="12.09765625" style="162" customWidth="1"/>
    <col min="9992" max="9992" width="13" style="162" customWidth="1"/>
    <col min="9993" max="10237" width="9" style="162"/>
    <col min="10238" max="10238" width="18" style="162" customWidth="1"/>
    <col min="10239" max="10239" width="15" style="162" customWidth="1"/>
    <col min="10240" max="10240" width="13.3984375" style="162" customWidth="1"/>
    <col min="10241" max="10241" width="12.09765625" style="162" customWidth="1"/>
    <col min="10242" max="10242" width="12.59765625" style="162" customWidth="1"/>
    <col min="10243" max="10243" width="13" style="162" customWidth="1"/>
    <col min="10244" max="10244" width="12.69921875" style="162" customWidth="1"/>
    <col min="10245" max="10245" width="10.3984375" style="162" customWidth="1"/>
    <col min="10246" max="10246" width="12.3984375" style="162" customWidth="1"/>
    <col min="10247" max="10247" width="12.09765625" style="162" customWidth="1"/>
    <col min="10248" max="10248" width="13" style="162" customWidth="1"/>
    <col min="10249" max="10493" width="9" style="162"/>
    <col min="10494" max="10494" width="18" style="162" customWidth="1"/>
    <col min="10495" max="10495" width="15" style="162" customWidth="1"/>
    <col min="10496" max="10496" width="13.3984375" style="162" customWidth="1"/>
    <col min="10497" max="10497" width="12.09765625" style="162" customWidth="1"/>
    <col min="10498" max="10498" width="12.59765625" style="162" customWidth="1"/>
    <col min="10499" max="10499" width="13" style="162" customWidth="1"/>
    <col min="10500" max="10500" width="12.69921875" style="162" customWidth="1"/>
    <col min="10501" max="10501" width="10.3984375" style="162" customWidth="1"/>
    <col min="10502" max="10502" width="12.3984375" style="162" customWidth="1"/>
    <col min="10503" max="10503" width="12.09765625" style="162" customWidth="1"/>
    <col min="10504" max="10504" width="13" style="162" customWidth="1"/>
    <col min="10505" max="10749" width="9" style="162"/>
    <col min="10750" max="10750" width="18" style="162" customWidth="1"/>
    <col min="10751" max="10751" width="15" style="162" customWidth="1"/>
    <col min="10752" max="10752" width="13.3984375" style="162" customWidth="1"/>
    <col min="10753" max="10753" width="12.09765625" style="162" customWidth="1"/>
    <col min="10754" max="10754" width="12.59765625" style="162" customWidth="1"/>
    <col min="10755" max="10755" width="13" style="162" customWidth="1"/>
    <col min="10756" max="10756" width="12.69921875" style="162" customWidth="1"/>
    <col min="10757" max="10757" width="10.3984375" style="162" customWidth="1"/>
    <col min="10758" max="10758" width="12.3984375" style="162" customWidth="1"/>
    <col min="10759" max="10759" width="12.09765625" style="162" customWidth="1"/>
    <col min="10760" max="10760" width="13" style="162" customWidth="1"/>
    <col min="10761" max="11005" width="9" style="162"/>
    <col min="11006" max="11006" width="18" style="162" customWidth="1"/>
    <col min="11007" max="11007" width="15" style="162" customWidth="1"/>
    <col min="11008" max="11008" width="13.3984375" style="162" customWidth="1"/>
    <col min="11009" max="11009" width="12.09765625" style="162" customWidth="1"/>
    <col min="11010" max="11010" width="12.59765625" style="162" customWidth="1"/>
    <col min="11011" max="11011" width="13" style="162" customWidth="1"/>
    <col min="11012" max="11012" width="12.69921875" style="162" customWidth="1"/>
    <col min="11013" max="11013" width="10.3984375" style="162" customWidth="1"/>
    <col min="11014" max="11014" width="12.3984375" style="162" customWidth="1"/>
    <col min="11015" max="11015" width="12.09765625" style="162" customWidth="1"/>
    <col min="11016" max="11016" width="13" style="162" customWidth="1"/>
    <col min="11017" max="11261" width="9" style="162"/>
    <col min="11262" max="11262" width="18" style="162" customWidth="1"/>
    <col min="11263" max="11263" width="15" style="162" customWidth="1"/>
    <col min="11264" max="11264" width="13.3984375" style="162" customWidth="1"/>
    <col min="11265" max="11265" width="12.09765625" style="162" customWidth="1"/>
    <col min="11266" max="11266" width="12.59765625" style="162" customWidth="1"/>
    <col min="11267" max="11267" width="13" style="162" customWidth="1"/>
    <col min="11268" max="11268" width="12.69921875" style="162" customWidth="1"/>
    <col min="11269" max="11269" width="10.3984375" style="162" customWidth="1"/>
    <col min="11270" max="11270" width="12.3984375" style="162" customWidth="1"/>
    <col min="11271" max="11271" width="12.09765625" style="162" customWidth="1"/>
    <col min="11272" max="11272" width="13" style="162" customWidth="1"/>
    <col min="11273" max="11517" width="9" style="162"/>
    <col min="11518" max="11518" width="18" style="162" customWidth="1"/>
    <col min="11519" max="11519" width="15" style="162" customWidth="1"/>
    <col min="11520" max="11520" width="13.3984375" style="162" customWidth="1"/>
    <col min="11521" max="11521" width="12.09765625" style="162" customWidth="1"/>
    <col min="11522" max="11522" width="12.59765625" style="162" customWidth="1"/>
    <col min="11523" max="11523" width="13" style="162" customWidth="1"/>
    <col min="11524" max="11524" width="12.69921875" style="162" customWidth="1"/>
    <col min="11525" max="11525" width="10.3984375" style="162" customWidth="1"/>
    <col min="11526" max="11526" width="12.3984375" style="162" customWidth="1"/>
    <col min="11527" max="11527" width="12.09765625" style="162" customWidth="1"/>
    <col min="11528" max="11528" width="13" style="162" customWidth="1"/>
    <col min="11529" max="11773" width="9" style="162"/>
    <col min="11774" max="11774" width="18" style="162" customWidth="1"/>
    <col min="11775" max="11775" width="15" style="162" customWidth="1"/>
    <col min="11776" max="11776" width="13.3984375" style="162" customWidth="1"/>
    <col min="11777" max="11777" width="12.09765625" style="162" customWidth="1"/>
    <col min="11778" max="11778" width="12.59765625" style="162" customWidth="1"/>
    <col min="11779" max="11779" width="13" style="162" customWidth="1"/>
    <col min="11780" max="11780" width="12.69921875" style="162" customWidth="1"/>
    <col min="11781" max="11781" width="10.3984375" style="162" customWidth="1"/>
    <col min="11782" max="11782" width="12.3984375" style="162" customWidth="1"/>
    <col min="11783" max="11783" width="12.09765625" style="162" customWidth="1"/>
    <col min="11784" max="11784" width="13" style="162" customWidth="1"/>
    <col min="11785" max="12029" width="9" style="162"/>
    <col min="12030" max="12030" width="18" style="162" customWidth="1"/>
    <col min="12031" max="12031" width="15" style="162" customWidth="1"/>
    <col min="12032" max="12032" width="13.3984375" style="162" customWidth="1"/>
    <col min="12033" max="12033" width="12.09765625" style="162" customWidth="1"/>
    <col min="12034" max="12034" width="12.59765625" style="162" customWidth="1"/>
    <col min="12035" max="12035" width="13" style="162" customWidth="1"/>
    <col min="12036" max="12036" width="12.69921875" style="162" customWidth="1"/>
    <col min="12037" max="12037" width="10.3984375" style="162" customWidth="1"/>
    <col min="12038" max="12038" width="12.3984375" style="162" customWidth="1"/>
    <col min="12039" max="12039" width="12.09765625" style="162" customWidth="1"/>
    <col min="12040" max="12040" width="13" style="162" customWidth="1"/>
    <col min="12041" max="12285" width="9" style="162"/>
    <col min="12286" max="12286" width="18" style="162" customWidth="1"/>
    <col min="12287" max="12287" width="15" style="162" customWidth="1"/>
    <col min="12288" max="12288" width="13.3984375" style="162" customWidth="1"/>
    <col min="12289" max="12289" width="12.09765625" style="162" customWidth="1"/>
    <col min="12290" max="12290" width="12.59765625" style="162" customWidth="1"/>
    <col min="12291" max="12291" width="13" style="162" customWidth="1"/>
    <col min="12292" max="12292" width="12.69921875" style="162" customWidth="1"/>
    <col min="12293" max="12293" width="10.3984375" style="162" customWidth="1"/>
    <col min="12294" max="12294" width="12.3984375" style="162" customWidth="1"/>
    <col min="12295" max="12295" width="12.09765625" style="162" customWidth="1"/>
    <col min="12296" max="12296" width="13" style="162" customWidth="1"/>
    <col min="12297" max="12541" width="9" style="162"/>
    <col min="12542" max="12542" width="18" style="162" customWidth="1"/>
    <col min="12543" max="12543" width="15" style="162" customWidth="1"/>
    <col min="12544" max="12544" width="13.3984375" style="162" customWidth="1"/>
    <col min="12545" max="12545" width="12.09765625" style="162" customWidth="1"/>
    <col min="12546" max="12546" width="12.59765625" style="162" customWidth="1"/>
    <col min="12547" max="12547" width="13" style="162" customWidth="1"/>
    <col min="12548" max="12548" width="12.69921875" style="162" customWidth="1"/>
    <col min="12549" max="12549" width="10.3984375" style="162" customWidth="1"/>
    <col min="12550" max="12550" width="12.3984375" style="162" customWidth="1"/>
    <col min="12551" max="12551" width="12.09765625" style="162" customWidth="1"/>
    <col min="12552" max="12552" width="13" style="162" customWidth="1"/>
    <col min="12553" max="12797" width="9" style="162"/>
    <col min="12798" max="12798" width="18" style="162" customWidth="1"/>
    <col min="12799" max="12799" width="15" style="162" customWidth="1"/>
    <col min="12800" max="12800" width="13.3984375" style="162" customWidth="1"/>
    <col min="12801" max="12801" width="12.09765625" style="162" customWidth="1"/>
    <col min="12802" max="12802" width="12.59765625" style="162" customWidth="1"/>
    <col min="12803" max="12803" width="13" style="162" customWidth="1"/>
    <col min="12804" max="12804" width="12.69921875" style="162" customWidth="1"/>
    <col min="12805" max="12805" width="10.3984375" style="162" customWidth="1"/>
    <col min="12806" max="12806" width="12.3984375" style="162" customWidth="1"/>
    <col min="12807" max="12807" width="12.09765625" style="162" customWidth="1"/>
    <col min="12808" max="12808" width="13" style="162" customWidth="1"/>
    <col min="12809" max="13053" width="9" style="162"/>
    <col min="13054" max="13054" width="18" style="162" customWidth="1"/>
    <col min="13055" max="13055" width="15" style="162" customWidth="1"/>
    <col min="13056" max="13056" width="13.3984375" style="162" customWidth="1"/>
    <col min="13057" max="13057" width="12.09765625" style="162" customWidth="1"/>
    <col min="13058" max="13058" width="12.59765625" style="162" customWidth="1"/>
    <col min="13059" max="13059" width="13" style="162" customWidth="1"/>
    <col min="13060" max="13060" width="12.69921875" style="162" customWidth="1"/>
    <col min="13061" max="13061" width="10.3984375" style="162" customWidth="1"/>
    <col min="13062" max="13062" width="12.3984375" style="162" customWidth="1"/>
    <col min="13063" max="13063" width="12.09765625" style="162" customWidth="1"/>
    <col min="13064" max="13064" width="13" style="162" customWidth="1"/>
    <col min="13065" max="13309" width="9" style="162"/>
    <col min="13310" max="13310" width="18" style="162" customWidth="1"/>
    <col min="13311" max="13311" width="15" style="162" customWidth="1"/>
    <col min="13312" max="13312" width="13.3984375" style="162" customWidth="1"/>
    <col min="13313" max="13313" width="12.09765625" style="162" customWidth="1"/>
    <col min="13314" max="13314" width="12.59765625" style="162" customWidth="1"/>
    <col min="13315" max="13315" width="13" style="162" customWidth="1"/>
    <col min="13316" max="13316" width="12.69921875" style="162" customWidth="1"/>
    <col min="13317" max="13317" width="10.3984375" style="162" customWidth="1"/>
    <col min="13318" max="13318" width="12.3984375" style="162" customWidth="1"/>
    <col min="13319" max="13319" width="12.09765625" style="162" customWidth="1"/>
    <col min="13320" max="13320" width="13" style="162" customWidth="1"/>
    <col min="13321" max="13565" width="9" style="162"/>
    <col min="13566" max="13566" width="18" style="162" customWidth="1"/>
    <col min="13567" max="13567" width="15" style="162" customWidth="1"/>
    <col min="13568" max="13568" width="13.3984375" style="162" customWidth="1"/>
    <col min="13569" max="13569" width="12.09765625" style="162" customWidth="1"/>
    <col min="13570" max="13570" width="12.59765625" style="162" customWidth="1"/>
    <col min="13571" max="13571" width="13" style="162" customWidth="1"/>
    <col min="13572" max="13572" width="12.69921875" style="162" customWidth="1"/>
    <col min="13573" max="13573" width="10.3984375" style="162" customWidth="1"/>
    <col min="13574" max="13574" width="12.3984375" style="162" customWidth="1"/>
    <col min="13575" max="13575" width="12.09765625" style="162" customWidth="1"/>
    <col min="13576" max="13576" width="13" style="162" customWidth="1"/>
    <col min="13577" max="13821" width="9" style="162"/>
    <col min="13822" max="13822" width="18" style="162" customWidth="1"/>
    <col min="13823" max="13823" width="15" style="162" customWidth="1"/>
    <col min="13824" max="13824" width="13.3984375" style="162" customWidth="1"/>
    <col min="13825" max="13825" width="12.09765625" style="162" customWidth="1"/>
    <col min="13826" max="13826" width="12.59765625" style="162" customWidth="1"/>
    <col min="13827" max="13827" width="13" style="162" customWidth="1"/>
    <col min="13828" max="13828" width="12.69921875" style="162" customWidth="1"/>
    <col min="13829" max="13829" width="10.3984375" style="162" customWidth="1"/>
    <col min="13830" max="13830" width="12.3984375" style="162" customWidth="1"/>
    <col min="13831" max="13831" width="12.09765625" style="162" customWidth="1"/>
    <col min="13832" max="13832" width="13" style="162" customWidth="1"/>
    <col min="13833" max="14077" width="9" style="162"/>
    <col min="14078" max="14078" width="18" style="162" customWidth="1"/>
    <col min="14079" max="14079" width="15" style="162" customWidth="1"/>
    <col min="14080" max="14080" width="13.3984375" style="162" customWidth="1"/>
    <col min="14081" max="14081" width="12.09765625" style="162" customWidth="1"/>
    <col min="14082" max="14082" width="12.59765625" style="162" customWidth="1"/>
    <col min="14083" max="14083" width="13" style="162" customWidth="1"/>
    <col min="14084" max="14084" width="12.69921875" style="162" customWidth="1"/>
    <col min="14085" max="14085" width="10.3984375" style="162" customWidth="1"/>
    <col min="14086" max="14086" width="12.3984375" style="162" customWidth="1"/>
    <col min="14087" max="14087" width="12.09765625" style="162" customWidth="1"/>
    <col min="14088" max="14088" width="13" style="162" customWidth="1"/>
    <col min="14089" max="14333" width="9" style="162"/>
    <col min="14334" max="14334" width="18" style="162" customWidth="1"/>
    <col min="14335" max="14335" width="15" style="162" customWidth="1"/>
    <col min="14336" max="14336" width="13.3984375" style="162" customWidth="1"/>
    <col min="14337" max="14337" width="12.09765625" style="162" customWidth="1"/>
    <col min="14338" max="14338" width="12.59765625" style="162" customWidth="1"/>
    <col min="14339" max="14339" width="13" style="162" customWidth="1"/>
    <col min="14340" max="14340" width="12.69921875" style="162" customWidth="1"/>
    <col min="14341" max="14341" width="10.3984375" style="162" customWidth="1"/>
    <col min="14342" max="14342" width="12.3984375" style="162" customWidth="1"/>
    <col min="14343" max="14343" width="12.09765625" style="162" customWidth="1"/>
    <col min="14344" max="14344" width="13" style="162" customWidth="1"/>
    <col min="14345" max="14589" width="9" style="162"/>
    <col min="14590" max="14590" width="18" style="162" customWidth="1"/>
    <col min="14591" max="14591" width="15" style="162" customWidth="1"/>
    <col min="14592" max="14592" width="13.3984375" style="162" customWidth="1"/>
    <col min="14593" max="14593" width="12.09765625" style="162" customWidth="1"/>
    <col min="14594" max="14594" width="12.59765625" style="162" customWidth="1"/>
    <col min="14595" max="14595" width="13" style="162" customWidth="1"/>
    <col min="14596" max="14596" width="12.69921875" style="162" customWidth="1"/>
    <col min="14597" max="14597" width="10.3984375" style="162" customWidth="1"/>
    <col min="14598" max="14598" width="12.3984375" style="162" customWidth="1"/>
    <col min="14599" max="14599" width="12.09765625" style="162" customWidth="1"/>
    <col min="14600" max="14600" width="13" style="162" customWidth="1"/>
    <col min="14601" max="14845" width="9" style="162"/>
    <col min="14846" max="14846" width="18" style="162" customWidth="1"/>
    <col min="14847" max="14847" width="15" style="162" customWidth="1"/>
    <col min="14848" max="14848" width="13.3984375" style="162" customWidth="1"/>
    <col min="14849" max="14849" width="12.09765625" style="162" customWidth="1"/>
    <col min="14850" max="14850" width="12.59765625" style="162" customWidth="1"/>
    <col min="14851" max="14851" width="13" style="162" customWidth="1"/>
    <col min="14852" max="14852" width="12.69921875" style="162" customWidth="1"/>
    <col min="14853" max="14853" width="10.3984375" style="162" customWidth="1"/>
    <col min="14854" max="14854" width="12.3984375" style="162" customWidth="1"/>
    <col min="14855" max="14855" width="12.09765625" style="162" customWidth="1"/>
    <col min="14856" max="14856" width="13" style="162" customWidth="1"/>
    <col min="14857" max="15101" width="9" style="162"/>
    <col min="15102" max="15102" width="18" style="162" customWidth="1"/>
    <col min="15103" max="15103" width="15" style="162" customWidth="1"/>
    <col min="15104" max="15104" width="13.3984375" style="162" customWidth="1"/>
    <col min="15105" max="15105" width="12.09765625" style="162" customWidth="1"/>
    <col min="15106" max="15106" width="12.59765625" style="162" customWidth="1"/>
    <col min="15107" max="15107" width="13" style="162" customWidth="1"/>
    <col min="15108" max="15108" width="12.69921875" style="162" customWidth="1"/>
    <col min="15109" max="15109" width="10.3984375" style="162" customWidth="1"/>
    <col min="15110" max="15110" width="12.3984375" style="162" customWidth="1"/>
    <col min="15111" max="15111" width="12.09765625" style="162" customWidth="1"/>
    <col min="15112" max="15112" width="13" style="162" customWidth="1"/>
    <col min="15113" max="15357" width="9" style="162"/>
    <col min="15358" max="15358" width="18" style="162" customWidth="1"/>
    <col min="15359" max="15359" width="15" style="162" customWidth="1"/>
    <col min="15360" max="15360" width="13.3984375" style="162" customWidth="1"/>
    <col min="15361" max="15361" width="12.09765625" style="162" customWidth="1"/>
    <col min="15362" max="15362" width="12.59765625" style="162" customWidth="1"/>
    <col min="15363" max="15363" width="13" style="162" customWidth="1"/>
    <col min="15364" max="15364" width="12.69921875" style="162" customWidth="1"/>
    <col min="15365" max="15365" width="10.3984375" style="162" customWidth="1"/>
    <col min="15366" max="15366" width="12.3984375" style="162" customWidth="1"/>
    <col min="15367" max="15367" width="12.09765625" style="162" customWidth="1"/>
    <col min="15368" max="15368" width="13" style="162" customWidth="1"/>
    <col min="15369" max="15613" width="9" style="162"/>
    <col min="15614" max="15614" width="18" style="162" customWidth="1"/>
    <col min="15615" max="15615" width="15" style="162" customWidth="1"/>
    <col min="15616" max="15616" width="13.3984375" style="162" customWidth="1"/>
    <col min="15617" max="15617" width="12.09765625" style="162" customWidth="1"/>
    <col min="15618" max="15618" width="12.59765625" style="162" customWidth="1"/>
    <col min="15619" max="15619" width="13" style="162" customWidth="1"/>
    <col min="15620" max="15620" width="12.69921875" style="162" customWidth="1"/>
    <col min="15621" max="15621" width="10.3984375" style="162" customWidth="1"/>
    <col min="15622" max="15622" width="12.3984375" style="162" customWidth="1"/>
    <col min="15623" max="15623" width="12.09765625" style="162" customWidth="1"/>
    <col min="15624" max="15624" width="13" style="162" customWidth="1"/>
    <col min="15625" max="15869" width="9" style="162"/>
    <col min="15870" max="15870" width="18" style="162" customWidth="1"/>
    <col min="15871" max="15871" width="15" style="162" customWidth="1"/>
    <col min="15872" max="15872" width="13.3984375" style="162" customWidth="1"/>
    <col min="15873" max="15873" width="12.09765625" style="162" customWidth="1"/>
    <col min="15874" max="15874" width="12.59765625" style="162" customWidth="1"/>
    <col min="15875" max="15875" width="13" style="162" customWidth="1"/>
    <col min="15876" max="15876" width="12.69921875" style="162" customWidth="1"/>
    <col min="15877" max="15877" width="10.3984375" style="162" customWidth="1"/>
    <col min="15878" max="15878" width="12.3984375" style="162" customWidth="1"/>
    <col min="15879" max="15879" width="12.09765625" style="162" customWidth="1"/>
    <col min="15880" max="15880" width="13" style="162" customWidth="1"/>
    <col min="15881" max="16125" width="9" style="162"/>
    <col min="16126" max="16126" width="18" style="162" customWidth="1"/>
    <col min="16127" max="16127" width="15" style="162" customWidth="1"/>
    <col min="16128" max="16128" width="13.3984375" style="162" customWidth="1"/>
    <col min="16129" max="16129" width="12.09765625" style="162" customWidth="1"/>
    <col min="16130" max="16130" width="12.59765625" style="162" customWidth="1"/>
    <col min="16131" max="16131" width="13" style="162" customWidth="1"/>
    <col min="16132" max="16132" width="12.69921875" style="162" customWidth="1"/>
    <col min="16133" max="16133" width="10.3984375" style="162" customWidth="1"/>
    <col min="16134" max="16134" width="12.3984375" style="162" customWidth="1"/>
    <col min="16135" max="16135" width="12.09765625" style="162" customWidth="1"/>
    <col min="16136" max="16136" width="13" style="162" customWidth="1"/>
    <col min="16137" max="16384" width="9" style="162"/>
  </cols>
  <sheetData>
    <row r="1" spans="1:17" s="621" customFormat="1" ht="19.95" customHeight="1">
      <c r="A1" s="1009" t="s">
        <v>0</v>
      </c>
      <c r="B1" s="1009"/>
      <c r="C1" s="1009"/>
      <c r="D1" s="1009"/>
      <c r="E1" s="1009"/>
      <c r="F1" s="1009"/>
      <c r="G1" s="1009"/>
      <c r="H1" s="1009"/>
      <c r="I1" s="1009"/>
      <c r="J1" s="1009"/>
      <c r="K1" s="1009"/>
      <c r="L1" s="1009"/>
      <c r="M1" s="1009"/>
      <c r="N1" s="622"/>
      <c r="O1" s="622"/>
      <c r="P1" s="622"/>
      <c r="Q1" s="622"/>
    </row>
    <row r="2" spans="1:17" s="632" customFormat="1" ht="19.95" customHeight="1">
      <c r="A2" s="1010" t="s">
        <v>1282</v>
      </c>
      <c r="B2" s="1010"/>
      <c r="C2" s="1010"/>
      <c r="D2" s="1010"/>
      <c r="E2" s="1010"/>
      <c r="F2" s="1010"/>
      <c r="G2" s="1010"/>
      <c r="H2" s="1010"/>
      <c r="I2" s="1010"/>
      <c r="J2" s="1010"/>
      <c r="K2" s="1010"/>
      <c r="L2" s="1010"/>
      <c r="M2" s="1010"/>
      <c r="N2" s="633"/>
      <c r="O2" s="633"/>
      <c r="P2" s="633"/>
      <c r="Q2" s="633"/>
    </row>
    <row r="3" spans="1:17" s="674" customFormat="1" ht="19.95" customHeight="1">
      <c r="A3" s="207" t="str">
        <f>底稿目录!A2</f>
        <v>被审计单位：</v>
      </c>
      <c r="C3" s="207"/>
      <c r="F3" s="207" t="str">
        <f>底稿目录!A4</f>
        <v>编制人：</v>
      </c>
      <c r="G3" s="207"/>
      <c r="I3" s="229" t="str">
        <f>底稿目录!A5</f>
        <v>编制日期：</v>
      </c>
      <c r="L3" s="207" t="s">
        <v>849</v>
      </c>
      <c r="M3" s="763" t="str">
        <f>底稿目录!F19</f>
        <v>G7-13</v>
      </c>
    </row>
    <row r="4" spans="1:17" s="674" customFormat="1" ht="19.95" customHeight="1">
      <c r="A4" s="207" t="str">
        <f>底稿目录!A3</f>
        <v>截止日：202X年12月31日</v>
      </c>
      <c r="C4" s="207"/>
      <c r="F4" s="207" t="str">
        <f>底稿目录!A6</f>
        <v>复核人：</v>
      </c>
      <c r="G4" s="207"/>
      <c r="I4" s="229" t="str">
        <f>底稿目录!A7</f>
        <v>复核日期：</v>
      </c>
      <c r="L4" s="207" t="s">
        <v>1314</v>
      </c>
    </row>
    <row r="5" spans="1:17" s="153" customFormat="1" ht="19.95" customHeight="1">
      <c r="A5" s="74" t="s">
        <v>442</v>
      </c>
      <c r="B5" s="2"/>
      <c r="C5" s="2" t="s">
        <v>462</v>
      </c>
    </row>
    <row r="6" spans="1:17" s="153" customFormat="1" ht="19.95" customHeight="1">
      <c r="A6" s="37" t="s">
        <v>463</v>
      </c>
      <c r="C6" s="431" t="s">
        <v>1006</v>
      </c>
    </row>
    <row r="7" spans="1:17" s="153" customFormat="1" ht="19.95" customHeight="1">
      <c r="B7" s="431"/>
      <c r="C7" s="153" t="s">
        <v>1007</v>
      </c>
    </row>
    <row r="8" spans="1:17" s="153" customFormat="1" ht="19.95" customHeight="1">
      <c r="A8" s="156"/>
      <c r="C8" s="153" t="s">
        <v>1008</v>
      </c>
    </row>
    <row r="9" spans="1:17" s="153" customFormat="1" ht="19.95" customHeight="1">
      <c r="A9" s="156"/>
      <c r="C9" s="153" t="s">
        <v>1009</v>
      </c>
    </row>
    <row r="10" spans="1:17" s="153" customFormat="1" ht="19.95" customHeight="1">
      <c r="A10" s="156"/>
      <c r="C10" s="4" t="s">
        <v>1010</v>
      </c>
    </row>
    <row r="11" spans="1:17" s="153" customFormat="1" ht="19.95" customHeight="1">
      <c r="A11" s="154" t="s">
        <v>464</v>
      </c>
    </row>
    <row r="12" spans="1:17" s="153" customFormat="1" ht="19.95" customHeight="1">
      <c r="A12" s="165" t="s">
        <v>465</v>
      </c>
      <c r="B12" s="164"/>
    </row>
    <row r="13" spans="1:17" s="153" customFormat="1" ht="19.95" customHeight="1">
      <c r="B13" s="1019" t="s">
        <v>466</v>
      </c>
      <c r="C13" s="1019"/>
      <c r="D13" s="1022" t="s">
        <v>467</v>
      </c>
      <c r="E13" s="1022"/>
      <c r="F13" s="1022"/>
      <c r="G13" s="1022"/>
      <c r="H13" s="1022" t="s">
        <v>468</v>
      </c>
      <c r="I13" s="1022"/>
      <c r="J13" s="1022"/>
      <c r="K13" s="1022"/>
    </row>
    <row r="14" spans="1:17" s="153" customFormat="1" ht="24">
      <c r="B14" s="1019"/>
      <c r="C14" s="1019"/>
      <c r="D14" s="203" t="s">
        <v>469</v>
      </c>
      <c r="E14" s="203" t="s">
        <v>470</v>
      </c>
      <c r="F14" s="203" t="s">
        <v>471</v>
      </c>
      <c r="G14" s="202" t="s">
        <v>472</v>
      </c>
      <c r="H14" s="202" t="s">
        <v>473</v>
      </c>
      <c r="I14" s="203" t="s">
        <v>470</v>
      </c>
      <c r="J14" s="203" t="s">
        <v>471</v>
      </c>
      <c r="K14" s="202" t="s">
        <v>474</v>
      </c>
    </row>
    <row r="15" spans="1:17" s="153" customFormat="1" ht="19.95" customHeight="1">
      <c r="B15" s="166" t="s">
        <v>339</v>
      </c>
      <c r="C15" s="163"/>
      <c r="D15" s="100"/>
      <c r="E15" s="100"/>
      <c r="F15" s="100"/>
      <c r="G15" s="383">
        <f>D15+E15-F15</f>
        <v>0</v>
      </c>
      <c r="H15" s="100"/>
      <c r="I15" s="100"/>
      <c r="J15" s="100"/>
      <c r="K15" s="383">
        <f>H15+I15-J15</f>
        <v>0</v>
      </c>
    </row>
    <row r="16" spans="1:17" s="153" customFormat="1" ht="19.95" customHeight="1">
      <c r="B16" s="166" t="s">
        <v>340</v>
      </c>
      <c r="C16" s="163"/>
      <c r="D16" s="100"/>
      <c r="E16" s="100"/>
      <c r="F16" s="100"/>
      <c r="G16" s="383">
        <f>D16+E16-F16</f>
        <v>0</v>
      </c>
      <c r="H16" s="100"/>
      <c r="I16" s="100"/>
      <c r="J16" s="100"/>
      <c r="K16" s="383">
        <f>H16+I16-J16</f>
        <v>0</v>
      </c>
    </row>
    <row r="17" spans="1:13" s="153" customFormat="1" ht="19.95" customHeight="1">
      <c r="B17" s="166" t="s">
        <v>341</v>
      </c>
      <c r="C17" s="163"/>
      <c r="D17" s="100"/>
      <c r="E17" s="100"/>
      <c r="F17" s="100"/>
      <c r="G17" s="383">
        <f>D17+E17-F17</f>
        <v>0</v>
      </c>
      <c r="H17" s="100"/>
      <c r="I17" s="100"/>
      <c r="J17" s="100"/>
      <c r="K17" s="383">
        <f>H17+I17-J17</f>
        <v>0</v>
      </c>
    </row>
    <row r="18" spans="1:13" s="153" customFormat="1" ht="19.95" customHeight="1">
      <c r="B18" s="1022" t="s">
        <v>172</v>
      </c>
      <c r="C18" s="1022"/>
      <c r="D18" s="383">
        <f t="shared" ref="D18:K18" si="0">SUM(D15:D17)</f>
        <v>0</v>
      </c>
      <c r="E18" s="383">
        <f t="shared" si="0"/>
        <v>0</v>
      </c>
      <c r="F18" s="383">
        <f t="shared" si="0"/>
        <v>0</v>
      </c>
      <c r="G18" s="383">
        <f t="shared" si="0"/>
        <v>0</v>
      </c>
      <c r="H18" s="383">
        <f t="shared" si="0"/>
        <v>0</v>
      </c>
      <c r="I18" s="383">
        <f t="shared" si="0"/>
        <v>0</v>
      </c>
      <c r="J18" s="383">
        <f t="shared" si="0"/>
        <v>0</v>
      </c>
      <c r="K18" s="383">
        <f t="shared" si="0"/>
        <v>0</v>
      </c>
    </row>
    <row r="19" spans="1:13" s="153" customFormat="1" ht="19.95" customHeight="1">
      <c r="A19" s="563" t="s">
        <v>1226</v>
      </c>
    </row>
    <row r="20" spans="1:13" s="153" customFormat="1" ht="19.95" customHeight="1">
      <c r="B20" s="154" t="s">
        <v>312</v>
      </c>
    </row>
    <row r="21" spans="1:13" s="153" customFormat="1" ht="25.95" customHeight="1">
      <c r="B21" s="1022" t="s">
        <v>347</v>
      </c>
      <c r="C21" s="1022" t="s">
        <v>348</v>
      </c>
      <c r="D21" s="1019" t="s">
        <v>349</v>
      </c>
      <c r="E21" s="1019" t="s">
        <v>350</v>
      </c>
      <c r="F21" s="1019"/>
      <c r="G21" s="1019" t="s">
        <v>1057</v>
      </c>
      <c r="H21" s="1019" t="s">
        <v>1058</v>
      </c>
      <c r="I21" s="1019" t="s">
        <v>1059</v>
      </c>
    </row>
    <row r="22" spans="1:13" s="153" customFormat="1" ht="37.950000000000003" customHeight="1">
      <c r="B22" s="1022"/>
      <c r="C22" s="1022"/>
      <c r="D22" s="1019"/>
      <c r="E22" s="203" t="s">
        <v>342</v>
      </c>
      <c r="F22" s="203" t="s">
        <v>343</v>
      </c>
      <c r="G22" s="1019"/>
      <c r="H22" s="1019"/>
      <c r="I22" s="1019"/>
    </row>
    <row r="23" spans="1:13" s="153" customFormat="1" ht="19.95" customHeight="1">
      <c r="B23" s="155"/>
      <c r="C23" s="651"/>
      <c r="D23" s="167"/>
      <c r="E23" s="167"/>
      <c r="F23" s="168"/>
      <c r="G23" s="389">
        <f>D23-E23*F23</f>
        <v>0</v>
      </c>
      <c r="H23" s="389">
        <f>IF(G23&gt;0,D23,D23-G23)</f>
        <v>0</v>
      </c>
      <c r="I23" s="389">
        <f>IF(G23&lt;0,-G23,0)</f>
        <v>0</v>
      </c>
    </row>
    <row r="24" spans="1:13" s="153" customFormat="1" ht="19.95" customHeight="1">
      <c r="B24" s="155"/>
      <c r="C24" s="651"/>
      <c r="D24" s="167"/>
      <c r="E24" s="167"/>
      <c r="F24" s="168"/>
      <c r="G24" s="389">
        <f>D24-E24</f>
        <v>0</v>
      </c>
      <c r="H24" s="389">
        <f>IF(G24&gt;0,D24,D24-G24)</f>
        <v>0</v>
      </c>
      <c r="I24" s="389">
        <f t="shared" ref="I24:I27" si="1">IF(G24&lt;0,-G24,0)</f>
        <v>0</v>
      </c>
    </row>
    <row r="25" spans="1:13" s="153" customFormat="1" ht="19.95" customHeight="1">
      <c r="B25" s="155"/>
      <c r="C25" s="651"/>
      <c r="D25" s="167"/>
      <c r="E25" s="167"/>
      <c r="F25" s="168"/>
      <c r="G25" s="389">
        <f>D25-E25</f>
        <v>0</v>
      </c>
      <c r="H25" s="389">
        <f>IF(G25&gt;0,D25,D25-G25)</f>
        <v>0</v>
      </c>
      <c r="I25" s="389">
        <f t="shared" si="1"/>
        <v>0</v>
      </c>
    </row>
    <row r="26" spans="1:13" s="153" customFormat="1" ht="19.95" customHeight="1">
      <c r="B26" s="155"/>
      <c r="C26" s="651"/>
      <c r="D26" s="167"/>
      <c r="E26" s="167"/>
      <c r="F26" s="168"/>
      <c r="G26" s="389">
        <f>D26-E26</f>
        <v>0</v>
      </c>
      <c r="H26" s="389">
        <f>IF(G26&gt;0,D26,D26-G26)</f>
        <v>0</v>
      </c>
      <c r="I26" s="389">
        <f t="shared" si="1"/>
        <v>0</v>
      </c>
    </row>
    <row r="27" spans="1:13" s="153" customFormat="1" ht="19.95" customHeight="1">
      <c r="B27" s="1025" t="s">
        <v>172</v>
      </c>
      <c r="C27" s="1025"/>
      <c r="D27" s="167">
        <f t="shared" ref="D27:H27" si="2">SUM(D23:D26)</f>
        <v>0</v>
      </c>
      <c r="E27" s="167">
        <f t="shared" si="2"/>
        <v>0</v>
      </c>
      <c r="F27" s="168">
        <f t="shared" si="2"/>
        <v>0</v>
      </c>
      <c r="G27" s="389">
        <f t="shared" si="2"/>
        <v>0</v>
      </c>
      <c r="H27" s="389">
        <f t="shared" si="2"/>
        <v>0</v>
      </c>
      <c r="I27" s="389">
        <f t="shared" si="1"/>
        <v>0</v>
      </c>
    </row>
    <row r="28" spans="1:13" s="153" customFormat="1" ht="19.95" customHeight="1">
      <c r="B28" s="1020" t="s">
        <v>361</v>
      </c>
      <c r="C28" s="1020"/>
      <c r="D28" s="1020"/>
      <c r="E28" s="1020"/>
      <c r="F28" s="1020"/>
      <c r="G28" s="1020"/>
      <c r="H28" s="1020"/>
      <c r="I28" s="1020"/>
      <c r="J28" s="1020"/>
      <c r="K28" s="1020"/>
      <c r="L28" s="1020"/>
      <c r="M28" s="1020"/>
    </row>
    <row r="29" spans="1:13" s="153" customFormat="1" ht="28.2" customHeight="1">
      <c r="B29" s="1022" t="s">
        <v>347</v>
      </c>
      <c r="C29" s="1019" t="s">
        <v>351</v>
      </c>
      <c r="D29" s="1019" t="s">
        <v>352</v>
      </c>
      <c r="E29" s="1019" t="s">
        <v>353</v>
      </c>
      <c r="F29" s="1019" t="s">
        <v>354</v>
      </c>
      <c r="G29" s="1019" t="s">
        <v>355</v>
      </c>
      <c r="H29" s="1019" t="s">
        <v>356</v>
      </c>
      <c r="I29" s="1019" t="s">
        <v>1055</v>
      </c>
      <c r="J29" s="1019" t="s">
        <v>1056</v>
      </c>
      <c r="K29" s="1021" t="s">
        <v>357</v>
      </c>
      <c r="L29" s="1021"/>
      <c r="M29" s="1021"/>
    </row>
    <row r="30" spans="1:13" s="153" customFormat="1" ht="72.45" customHeight="1">
      <c r="B30" s="1022"/>
      <c r="C30" s="1019"/>
      <c r="D30" s="1019"/>
      <c r="E30" s="1019"/>
      <c r="F30" s="1019"/>
      <c r="G30" s="1019"/>
      <c r="H30" s="1019"/>
      <c r="I30" s="1019"/>
      <c r="J30" s="1019"/>
      <c r="K30" s="205" t="s">
        <v>358</v>
      </c>
      <c r="L30" s="170" t="s">
        <v>359</v>
      </c>
      <c r="M30" s="170" t="s">
        <v>360</v>
      </c>
    </row>
    <row r="31" spans="1:13" s="153" customFormat="1" ht="19.95" customHeight="1">
      <c r="B31" s="100"/>
      <c r="C31" s="201"/>
      <c r="D31" s="169"/>
      <c r="E31" s="199"/>
      <c r="F31" s="169"/>
      <c r="G31" s="199"/>
      <c r="H31" s="389">
        <f>C31+E31-(D31+F31)*G31</f>
        <v>0</v>
      </c>
      <c r="I31" s="389">
        <f>IF(H31&gt;0,C31+E31,C31+E31-H31)</f>
        <v>0</v>
      </c>
      <c r="J31" s="389">
        <f>IF(H31&lt;0,-H31,0)</f>
        <v>0</v>
      </c>
      <c r="K31" s="199"/>
      <c r="L31" s="199"/>
      <c r="M31" s="389">
        <f>K31+L31</f>
        <v>0</v>
      </c>
    </row>
    <row r="32" spans="1:13" s="153" customFormat="1" ht="19.95" customHeight="1">
      <c r="B32" s="201"/>
      <c r="C32" s="199"/>
      <c r="D32" s="169"/>
      <c r="E32" s="199"/>
      <c r="F32" s="169"/>
      <c r="G32" s="199"/>
      <c r="H32" s="389">
        <f>C32+E32-(D32+F32)*G32</f>
        <v>0</v>
      </c>
      <c r="I32" s="389">
        <f>IF(H32&gt;0,C32+E32,C32+E32-H32)</f>
        <v>0</v>
      </c>
      <c r="J32" s="389">
        <f>IF(H32&lt;0,-H32,0)</f>
        <v>0</v>
      </c>
      <c r="K32" s="100"/>
      <c r="L32" s="100"/>
      <c r="M32" s="389">
        <f>K32+L32</f>
        <v>0</v>
      </c>
    </row>
    <row r="33" spans="1:13" s="153" customFormat="1" ht="19.95" customHeight="1">
      <c r="B33" s="201"/>
      <c r="C33" s="199"/>
      <c r="D33" s="169"/>
      <c r="E33" s="199"/>
      <c r="F33" s="169"/>
      <c r="G33" s="199"/>
      <c r="H33" s="389">
        <f>C33+E33-(D33+F33)*G33</f>
        <v>0</v>
      </c>
      <c r="I33" s="389">
        <f>IF(H33&gt;0,C33+E33,C33+E33-H33)</f>
        <v>0</v>
      </c>
      <c r="J33" s="389">
        <f>IF(H33&lt;0,-H33,0)</f>
        <v>0</v>
      </c>
      <c r="K33" s="100"/>
      <c r="L33" s="100"/>
      <c r="M33" s="389">
        <f>K33+L33</f>
        <v>0</v>
      </c>
    </row>
    <row r="34" spans="1:13" s="153" customFormat="1" ht="19.95" customHeight="1">
      <c r="B34" s="171" t="s">
        <v>172</v>
      </c>
      <c r="C34" s="388" t="s">
        <v>108</v>
      </c>
      <c r="D34" s="388" t="s">
        <v>108</v>
      </c>
      <c r="E34" s="388" t="s">
        <v>108</v>
      </c>
      <c r="F34" s="388" t="s">
        <v>108</v>
      </c>
      <c r="G34" s="388" t="s">
        <v>108</v>
      </c>
      <c r="H34" s="388" t="s">
        <v>108</v>
      </c>
      <c r="I34" s="388" t="s">
        <v>108</v>
      </c>
      <c r="J34" s="389">
        <f>SUM(J31:J33)</f>
        <v>0</v>
      </c>
      <c r="K34" s="388" t="s">
        <v>108</v>
      </c>
      <c r="L34" s="388" t="s">
        <v>108</v>
      </c>
      <c r="M34" s="389">
        <f>SUM(M31:M33)</f>
        <v>0</v>
      </c>
    </row>
    <row r="35" spans="1:13" ht="19.95" customHeight="1"/>
    <row r="36" spans="1:13" s="153" customFormat="1" ht="19.95" customHeight="1">
      <c r="B36" s="159" t="s">
        <v>313</v>
      </c>
      <c r="C36" s="157"/>
      <c r="D36" s="157"/>
      <c r="E36" s="158"/>
      <c r="F36" s="157"/>
      <c r="G36" s="157"/>
      <c r="H36" s="157"/>
    </row>
    <row r="37" spans="1:13" s="153" customFormat="1" ht="61.8">
      <c r="B37" s="202" t="s">
        <v>347</v>
      </c>
      <c r="C37" s="202" t="s">
        <v>362</v>
      </c>
      <c r="D37" s="170" t="s">
        <v>363</v>
      </c>
      <c r="E37" s="170" t="s">
        <v>364</v>
      </c>
      <c r="F37" s="170" t="s">
        <v>365</v>
      </c>
      <c r="G37" s="205" t="s">
        <v>366</v>
      </c>
      <c r="H37" s="170" t="s">
        <v>367</v>
      </c>
      <c r="I37" s="170" t="s">
        <v>368</v>
      </c>
      <c r="J37" s="170" t="s">
        <v>1060</v>
      </c>
      <c r="K37" s="170" t="s">
        <v>1061</v>
      </c>
      <c r="L37" s="156"/>
    </row>
    <row r="38" spans="1:13" s="153" customFormat="1" ht="19.95" customHeight="1">
      <c r="B38" s="201"/>
      <c r="C38" s="201"/>
      <c r="D38" s="199"/>
      <c r="E38" s="652"/>
      <c r="F38" s="199"/>
      <c r="G38" s="652"/>
      <c r="H38" s="199"/>
      <c r="I38" s="389">
        <f>F38-G38*H38</f>
        <v>0</v>
      </c>
      <c r="J38" s="389">
        <f>IF((D38+I38)&gt;0,F38,F38-I38-D38)</f>
        <v>0</v>
      </c>
      <c r="K38" s="389">
        <f>IF(I38+D38&lt;0,I38-D38,0)</f>
        <v>0</v>
      </c>
      <c r="M38" s="160"/>
    </row>
    <row r="39" spans="1:13" s="153" customFormat="1" ht="19.95" customHeight="1">
      <c r="B39" s="201"/>
      <c r="C39" s="201"/>
      <c r="D39" s="199"/>
      <c r="E39" s="652"/>
      <c r="F39" s="199"/>
      <c r="G39" s="652"/>
      <c r="H39" s="199"/>
      <c r="I39" s="389">
        <f>F39-G39*H39</f>
        <v>0</v>
      </c>
      <c r="J39" s="389">
        <f>IF((D39+I39)&gt;0,F39,F39-I39-D39)</f>
        <v>0</v>
      </c>
      <c r="K39" s="389">
        <f>IF(I39+D39&lt;0,I39-D39,0)</f>
        <v>0</v>
      </c>
      <c r="M39" s="160"/>
    </row>
    <row r="40" spans="1:13" s="153" customFormat="1" ht="19.95" customHeight="1">
      <c r="B40" s="201"/>
      <c r="C40" s="201"/>
      <c r="D40" s="199"/>
      <c r="E40" s="652"/>
      <c r="F40" s="199"/>
      <c r="G40" s="652"/>
      <c r="H40" s="199"/>
      <c r="I40" s="389">
        <f>F40-G40*H40</f>
        <v>0</v>
      </c>
      <c r="J40" s="389">
        <f>IF((D40+I40)&gt;0,F40,F40-I40-D40)</f>
        <v>0</v>
      </c>
      <c r="K40" s="389">
        <f>IF(I40+D40&lt;0,I40-D40,0)</f>
        <v>0</v>
      </c>
      <c r="M40" s="160"/>
    </row>
    <row r="41" spans="1:13" s="153" customFormat="1" ht="19.95" customHeight="1">
      <c r="B41" s="201"/>
      <c r="C41" s="201"/>
      <c r="D41" s="199"/>
      <c r="E41" s="652"/>
      <c r="F41" s="199"/>
      <c r="G41" s="652"/>
      <c r="H41" s="199"/>
      <c r="I41" s="389">
        <f>F41-G41*H41</f>
        <v>0</v>
      </c>
      <c r="J41" s="389">
        <f>IF((D41+I41)&gt;0,F41,F41-I41-D41)</f>
        <v>0</v>
      </c>
      <c r="K41" s="389">
        <f>IF(I41+D41&lt;0,I41-D41,0)</f>
        <v>0</v>
      </c>
      <c r="M41" s="160"/>
    </row>
    <row r="42" spans="1:13" s="153" customFormat="1" ht="19.95" customHeight="1">
      <c r="B42" s="171" t="s">
        <v>172</v>
      </c>
      <c r="C42" s="388" t="s">
        <v>108</v>
      </c>
      <c r="D42" s="388" t="s">
        <v>108</v>
      </c>
      <c r="E42" s="388" t="s">
        <v>421</v>
      </c>
      <c r="F42" s="388" t="s">
        <v>108</v>
      </c>
      <c r="G42" s="653" t="s">
        <v>108</v>
      </c>
      <c r="H42" s="388" t="s">
        <v>108</v>
      </c>
      <c r="I42" s="389">
        <f>SUM(I38:I41)</f>
        <v>0</v>
      </c>
      <c r="J42" s="389">
        <f>SUM(J38:J41)</f>
        <v>0</v>
      </c>
      <c r="K42" s="389">
        <f>SUM(K38:K41)</f>
        <v>0</v>
      </c>
      <c r="M42" s="160"/>
    </row>
    <row r="43" spans="1:13" ht="19.95" customHeight="1"/>
    <row r="44" spans="1:13" s="153" customFormat="1" ht="19.95" customHeight="1">
      <c r="A44" s="563" t="s">
        <v>1227</v>
      </c>
    </row>
    <row r="45" spans="1:13" s="153" customFormat="1" ht="19.95" customHeight="1">
      <c r="B45" s="1024" t="s">
        <v>185</v>
      </c>
      <c r="C45" s="1024" t="s">
        <v>314</v>
      </c>
      <c r="D45" s="1024"/>
      <c r="E45" s="1024"/>
      <c r="F45" s="1026" t="s">
        <v>315</v>
      </c>
      <c r="G45" s="1027"/>
      <c r="H45" s="1027"/>
      <c r="I45" s="1027"/>
      <c r="J45" s="1027"/>
      <c r="K45" s="1027"/>
      <c r="L45" s="1027"/>
      <c r="M45" s="1028"/>
    </row>
    <row r="46" spans="1:13" s="153" customFormat="1" ht="25.8">
      <c r="B46" s="1024"/>
      <c r="C46" s="200" t="s">
        <v>316</v>
      </c>
      <c r="D46" s="200" t="s">
        <v>317</v>
      </c>
      <c r="E46" s="204" t="s">
        <v>318</v>
      </c>
      <c r="F46" s="200" t="s">
        <v>319</v>
      </c>
      <c r="G46" s="200" t="s">
        <v>319</v>
      </c>
      <c r="H46" s="200" t="s">
        <v>319</v>
      </c>
      <c r="I46" s="200" t="s">
        <v>319</v>
      </c>
      <c r="J46" s="200" t="s">
        <v>319</v>
      </c>
      <c r="K46" s="200" t="s">
        <v>319</v>
      </c>
      <c r="L46" s="200" t="s">
        <v>66</v>
      </c>
      <c r="M46" s="200" t="s">
        <v>112</v>
      </c>
    </row>
    <row r="47" spans="1:13" s="153" customFormat="1" ht="19.95" customHeight="1">
      <c r="B47" s="155" t="s">
        <v>320</v>
      </c>
      <c r="C47" s="155"/>
      <c r="D47" s="155"/>
      <c r="E47" s="383">
        <f t="shared" ref="E47:E53" si="3">C47-D47</f>
        <v>0</v>
      </c>
      <c r="F47" s="155"/>
      <c r="G47" s="155"/>
      <c r="H47" s="155"/>
      <c r="I47" s="155"/>
      <c r="J47" s="155"/>
      <c r="K47" s="155"/>
      <c r="L47" s="155">
        <f>SUM(F47:K47)</f>
        <v>0</v>
      </c>
      <c r="M47" s="383">
        <f t="shared" ref="M47:M54" si="4">SUM(F47:L47)</f>
        <v>0</v>
      </c>
    </row>
    <row r="48" spans="1:13" s="153" customFormat="1" ht="19.95" customHeight="1">
      <c r="B48" s="155" t="s">
        <v>321</v>
      </c>
      <c r="C48" s="155"/>
      <c r="D48" s="155"/>
      <c r="E48" s="383">
        <f t="shared" si="3"/>
        <v>0</v>
      </c>
      <c r="F48" s="155"/>
      <c r="G48" s="155"/>
      <c r="H48" s="155"/>
      <c r="I48" s="155"/>
      <c r="J48" s="155"/>
      <c r="K48" s="155"/>
      <c r="L48" s="155">
        <f>SUM(F48:K48)</f>
        <v>0</v>
      </c>
      <c r="M48" s="383">
        <f t="shared" si="4"/>
        <v>0</v>
      </c>
    </row>
    <row r="49" spans="1:13" s="153" customFormat="1" ht="19.95" customHeight="1">
      <c r="B49" s="155" t="s">
        <v>322</v>
      </c>
      <c r="C49" s="155"/>
      <c r="D49" s="155"/>
      <c r="E49" s="383">
        <f t="shared" si="3"/>
        <v>0</v>
      </c>
      <c r="F49" s="155"/>
      <c r="G49" s="155"/>
      <c r="H49" s="155"/>
      <c r="I49" s="155"/>
      <c r="J49" s="155"/>
      <c r="K49" s="155"/>
      <c r="L49" s="155">
        <f>SUM(F49:K49)</f>
        <v>0</v>
      </c>
      <c r="M49" s="383">
        <f t="shared" si="4"/>
        <v>0</v>
      </c>
    </row>
    <row r="50" spans="1:13" s="153" customFormat="1" ht="19.95" customHeight="1">
      <c r="B50" s="211" t="s">
        <v>169</v>
      </c>
      <c r="C50" s="155">
        <f>SUM(C47:C49)</f>
        <v>0</v>
      </c>
      <c r="D50" s="155">
        <f>SUM(D47:D49)</f>
        <v>0</v>
      </c>
      <c r="E50" s="383">
        <f t="shared" si="3"/>
        <v>0</v>
      </c>
      <c r="F50" s="383">
        <f t="shared" ref="F50:L50" si="5">D50-E50</f>
        <v>0</v>
      </c>
      <c r="G50" s="383">
        <f t="shared" si="5"/>
        <v>0</v>
      </c>
      <c r="H50" s="383">
        <f t="shared" si="5"/>
        <v>0</v>
      </c>
      <c r="I50" s="383">
        <f t="shared" si="5"/>
        <v>0</v>
      </c>
      <c r="J50" s="383">
        <f t="shared" si="5"/>
        <v>0</v>
      </c>
      <c r="K50" s="383">
        <f t="shared" si="5"/>
        <v>0</v>
      </c>
      <c r="L50" s="383">
        <f t="shared" si="5"/>
        <v>0</v>
      </c>
      <c r="M50" s="383">
        <f t="shared" si="4"/>
        <v>0</v>
      </c>
    </row>
    <row r="51" spans="1:13" s="153" customFormat="1" ht="19.95" customHeight="1">
      <c r="B51" s="155" t="s">
        <v>170</v>
      </c>
      <c r="C51" s="155"/>
      <c r="D51" s="155"/>
      <c r="E51" s="383">
        <f t="shared" si="3"/>
        <v>0</v>
      </c>
      <c r="F51" s="155"/>
      <c r="G51" s="155"/>
      <c r="H51" s="155"/>
      <c r="I51" s="155"/>
      <c r="J51" s="155"/>
      <c r="K51" s="155"/>
      <c r="L51" s="155">
        <f>SUM(F51:K51)</f>
        <v>0</v>
      </c>
      <c r="M51" s="383">
        <f t="shared" si="4"/>
        <v>0</v>
      </c>
    </row>
    <row r="52" spans="1:13" s="153" customFormat="1" ht="19.95" customHeight="1">
      <c r="B52" s="211" t="s">
        <v>171</v>
      </c>
      <c r="C52" s="155">
        <f>SUM(C51:C51)</f>
        <v>0</v>
      </c>
      <c r="D52" s="155">
        <f>SUM(D51:D51)</f>
        <v>0</v>
      </c>
      <c r="E52" s="383">
        <f t="shared" si="3"/>
        <v>0</v>
      </c>
      <c r="F52" s="383">
        <f t="shared" ref="F52:L53" si="6">D52-E52</f>
        <v>0</v>
      </c>
      <c r="G52" s="383">
        <f t="shared" si="6"/>
        <v>0</v>
      </c>
      <c r="H52" s="383">
        <f t="shared" si="6"/>
        <v>0</v>
      </c>
      <c r="I52" s="383">
        <f t="shared" si="6"/>
        <v>0</v>
      </c>
      <c r="J52" s="383">
        <f t="shared" si="6"/>
        <v>0</v>
      </c>
      <c r="K52" s="383">
        <f t="shared" si="6"/>
        <v>0</v>
      </c>
      <c r="L52" s="383">
        <f t="shared" si="6"/>
        <v>0</v>
      </c>
      <c r="M52" s="383">
        <f t="shared" si="4"/>
        <v>0</v>
      </c>
    </row>
    <row r="53" spans="1:13" s="153" customFormat="1" ht="19.95" customHeight="1">
      <c r="B53" s="211" t="s">
        <v>323</v>
      </c>
      <c r="C53" s="155">
        <f>C50-C52</f>
        <v>0</v>
      </c>
      <c r="D53" s="155">
        <f>D50-D52</f>
        <v>0</v>
      </c>
      <c r="E53" s="383">
        <f t="shared" si="3"/>
        <v>0</v>
      </c>
      <c r="F53" s="383">
        <f t="shared" si="6"/>
        <v>0</v>
      </c>
      <c r="G53" s="383">
        <f t="shared" si="6"/>
        <v>0</v>
      </c>
      <c r="H53" s="383">
        <f t="shared" si="6"/>
        <v>0</v>
      </c>
      <c r="I53" s="383">
        <f t="shared" si="6"/>
        <v>0</v>
      </c>
      <c r="J53" s="383">
        <f t="shared" si="6"/>
        <v>0</v>
      </c>
      <c r="K53" s="383">
        <f t="shared" si="6"/>
        <v>0</v>
      </c>
      <c r="L53" s="383">
        <f t="shared" si="6"/>
        <v>0</v>
      </c>
      <c r="M53" s="383">
        <f t="shared" si="4"/>
        <v>0</v>
      </c>
    </row>
    <row r="54" spans="1:13" s="153" customFormat="1" ht="19.95" customHeight="1">
      <c r="B54" s="1023" t="s">
        <v>324</v>
      </c>
      <c r="C54" s="1023"/>
      <c r="D54" s="1023"/>
      <c r="E54" s="1023"/>
      <c r="F54" s="100"/>
      <c r="G54" s="100"/>
      <c r="H54" s="100"/>
      <c r="I54" s="100"/>
      <c r="J54" s="100"/>
      <c r="K54" s="100"/>
      <c r="L54" s="100"/>
      <c r="M54" s="383">
        <f t="shared" si="4"/>
        <v>0</v>
      </c>
    </row>
    <row r="55" spans="1:13" s="153" customFormat="1" ht="19.95" customHeight="1">
      <c r="B55" s="431" t="s">
        <v>1089</v>
      </c>
    </row>
    <row r="56" spans="1:13" s="153" customFormat="1" ht="19.95" customHeight="1">
      <c r="B56" s="153" t="s">
        <v>1063</v>
      </c>
    </row>
    <row r="57" spans="1:13" s="153" customFormat="1" ht="19.95" customHeight="1">
      <c r="B57" s="153" t="s">
        <v>1064</v>
      </c>
    </row>
    <row r="58" spans="1:13" s="153" customFormat="1" ht="19.95" customHeight="1">
      <c r="B58" s="153" t="s">
        <v>1062</v>
      </c>
    </row>
    <row r="59" spans="1:13" ht="19.95" customHeight="1"/>
    <row r="60" spans="1:13" ht="19.95" customHeight="1">
      <c r="A60" s="23" t="s">
        <v>232</v>
      </c>
      <c r="B60" s="2"/>
    </row>
    <row r="61" spans="1:13" ht="19.95" customHeight="1">
      <c r="A61" s="2"/>
      <c r="B61" s="2"/>
    </row>
    <row r="62" spans="1:13" ht="19.95" customHeight="1">
      <c r="A62" s="23" t="s">
        <v>233</v>
      </c>
      <c r="B62" s="2"/>
    </row>
    <row r="63" spans="1:13" ht="19.95" customHeight="1"/>
    <row r="64" spans="1:13" ht="20.100000000000001" customHeight="1">
      <c r="A64" s="547" t="s">
        <v>1052</v>
      </c>
    </row>
    <row r="65" spans="1:13" s="153" customFormat="1" ht="13.8">
      <c r="A65" s="547" t="s">
        <v>1053</v>
      </c>
      <c r="C65" s="546"/>
      <c r="D65" s="546"/>
      <c r="E65" s="546"/>
      <c r="F65" s="546"/>
      <c r="G65" s="546"/>
      <c r="H65" s="546"/>
      <c r="I65" s="546"/>
      <c r="J65" s="546"/>
      <c r="K65" s="546"/>
      <c r="L65" s="546"/>
      <c r="M65" s="546"/>
    </row>
    <row r="66" spans="1:13" s="153" customFormat="1" ht="13.8">
      <c r="A66" s="547" t="s">
        <v>1051</v>
      </c>
      <c r="C66" s="547"/>
      <c r="D66" s="547"/>
      <c r="E66" s="547"/>
      <c r="F66" s="547"/>
      <c r="G66" s="547"/>
      <c r="H66" s="547"/>
      <c r="I66" s="547"/>
      <c r="J66" s="547"/>
      <c r="K66" s="547"/>
      <c r="L66" s="547"/>
      <c r="M66" s="547"/>
    </row>
    <row r="67" spans="1:13" s="153" customFormat="1" ht="13.8">
      <c r="A67" s="550" t="s">
        <v>1054</v>
      </c>
      <c r="C67" s="157"/>
      <c r="D67" s="157"/>
      <c r="E67" s="158"/>
      <c r="F67" s="157"/>
      <c r="G67" s="157"/>
      <c r="H67" s="157"/>
    </row>
    <row r="68" spans="1:13" s="153" customFormat="1" ht="13.8">
      <c r="A68" s="549" t="s">
        <v>369</v>
      </c>
      <c r="C68" s="548"/>
      <c r="D68" s="548"/>
      <c r="E68" s="548"/>
      <c r="F68" s="548"/>
      <c r="G68" s="548"/>
      <c r="H68" s="548"/>
      <c r="I68" s="548"/>
      <c r="J68" s="548"/>
      <c r="K68" s="548"/>
      <c r="L68" s="548"/>
      <c r="M68" s="548"/>
    </row>
  </sheetData>
  <mergeCells count="29">
    <mergeCell ref="A1:M1"/>
    <mergeCell ref="A2:M2"/>
    <mergeCell ref="J29:J30"/>
    <mergeCell ref="B27:C27"/>
    <mergeCell ref="B29:B30"/>
    <mergeCell ref="F45:M45"/>
    <mergeCell ref="I29:I30"/>
    <mergeCell ref="G29:G30"/>
    <mergeCell ref="B18:C18"/>
    <mergeCell ref="B54:E54"/>
    <mergeCell ref="B45:B46"/>
    <mergeCell ref="C45:E45"/>
    <mergeCell ref="C29:C30"/>
    <mergeCell ref="D29:D30"/>
    <mergeCell ref="E29:E30"/>
    <mergeCell ref="F29:F30"/>
    <mergeCell ref="H29:H30"/>
    <mergeCell ref="B28:M28"/>
    <mergeCell ref="K29:M29"/>
    <mergeCell ref="I21:I22"/>
    <mergeCell ref="E21:F21"/>
    <mergeCell ref="B21:B22"/>
    <mergeCell ref="C21:C22"/>
    <mergeCell ref="D21:D22"/>
    <mergeCell ref="G21:G22"/>
    <mergeCell ref="H21:H22"/>
    <mergeCell ref="H13:K13"/>
    <mergeCell ref="B13:C14"/>
    <mergeCell ref="D13:G13"/>
  </mergeCells>
  <phoneticPr fontId="11" type="noConversion"/>
  <hyperlinks>
    <hyperlink ref="M3" location="底稿目录!F19" display="底稿目录!F19"/>
  </hyperlinks>
  <pageMargins left="0.70866141732283472" right="0.70866141732283472" top="0.74803149606299213" bottom="0.74803149606299213" header="0.31496062992125984" footer="0.31496062992125984"/>
  <pageSetup paperSize="9" scale="65" fitToHeight="2" orientation="landscape" blackAndWhite="1" r:id="rId1"/>
  <headerFooter>
    <oddFooter>&amp;C&amp;P/&amp;N</oddFooter>
  </headerFooter>
  <rowBreaks count="1" manualBreakCount="1">
    <brk id="34" max="12"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T54"/>
  <sheetViews>
    <sheetView showZeros="0" view="pageBreakPreview" zoomScale="90" zoomScaleSheetLayoutView="90" workbookViewId="0">
      <selection sqref="A1:I1"/>
    </sheetView>
  </sheetViews>
  <sheetFormatPr defaultRowHeight="15.6"/>
  <cols>
    <col min="1" max="1" width="3.19921875" style="162" customWidth="1"/>
    <col min="2" max="2" width="18" style="162" customWidth="1"/>
    <col min="3" max="3" width="8.296875" style="162" customWidth="1"/>
    <col min="4" max="4" width="13.3984375" style="162" customWidth="1"/>
    <col min="5" max="5" width="13.5" style="162" customWidth="1"/>
    <col min="6" max="6" width="12.59765625" style="162" customWidth="1"/>
    <col min="7" max="7" width="13" style="162" customWidth="1"/>
    <col min="8" max="8" width="13.19921875" style="162" customWidth="1"/>
    <col min="9" max="9" width="13.09765625" style="162" customWidth="1"/>
    <col min="10" max="10" width="14.3984375" style="162" customWidth="1"/>
    <col min="11" max="11" width="13.3984375" style="162" customWidth="1"/>
    <col min="12" max="12" width="13" style="162" customWidth="1"/>
    <col min="13" max="13" width="11.19921875" style="162" bestFit="1" customWidth="1"/>
    <col min="14" max="14" width="13.5" style="162" customWidth="1"/>
    <col min="15" max="15" width="8.69921875" style="162"/>
    <col min="16" max="16" width="9.59765625" style="162" customWidth="1"/>
    <col min="17" max="17" width="12.5" style="162" customWidth="1"/>
    <col min="18" max="19" width="10.5" style="162" customWidth="1"/>
    <col min="20" max="253" width="8.69921875" style="162"/>
    <col min="254" max="254" width="18" style="162" customWidth="1"/>
    <col min="255" max="255" width="15" style="162" customWidth="1"/>
    <col min="256" max="256" width="13.3984375" style="162" customWidth="1"/>
    <col min="257" max="257" width="12.09765625" style="162" customWidth="1"/>
    <col min="258" max="258" width="12.59765625" style="162" customWidth="1"/>
    <col min="259" max="259" width="13" style="162" customWidth="1"/>
    <col min="260" max="260" width="12.69921875" style="162" customWidth="1"/>
    <col min="261" max="261" width="10.3984375" style="162" customWidth="1"/>
    <col min="262" max="262" width="12.3984375" style="162" customWidth="1"/>
    <col min="263" max="263" width="12.09765625" style="162" customWidth="1"/>
    <col min="264" max="264" width="13" style="162" customWidth="1"/>
    <col min="265" max="509" width="8.69921875" style="162"/>
    <col min="510" max="510" width="18" style="162" customWidth="1"/>
    <col min="511" max="511" width="15" style="162" customWidth="1"/>
    <col min="512" max="512" width="13.3984375" style="162" customWidth="1"/>
    <col min="513" max="513" width="12.09765625" style="162" customWidth="1"/>
    <col min="514" max="514" width="12.59765625" style="162" customWidth="1"/>
    <col min="515" max="515" width="13" style="162" customWidth="1"/>
    <col min="516" max="516" width="12.69921875" style="162" customWidth="1"/>
    <col min="517" max="517" width="10.3984375" style="162" customWidth="1"/>
    <col min="518" max="518" width="12.3984375" style="162" customWidth="1"/>
    <col min="519" max="519" width="12.09765625" style="162" customWidth="1"/>
    <col min="520" max="520" width="13" style="162" customWidth="1"/>
    <col min="521" max="765" width="8.69921875" style="162"/>
    <col min="766" max="766" width="18" style="162" customWidth="1"/>
    <col min="767" max="767" width="15" style="162" customWidth="1"/>
    <col min="768" max="768" width="13.3984375" style="162" customWidth="1"/>
    <col min="769" max="769" width="12.09765625" style="162" customWidth="1"/>
    <col min="770" max="770" width="12.59765625" style="162" customWidth="1"/>
    <col min="771" max="771" width="13" style="162" customWidth="1"/>
    <col min="772" max="772" width="12.69921875" style="162" customWidth="1"/>
    <col min="773" max="773" width="10.3984375" style="162" customWidth="1"/>
    <col min="774" max="774" width="12.3984375" style="162" customWidth="1"/>
    <col min="775" max="775" width="12.09765625" style="162" customWidth="1"/>
    <col min="776" max="776" width="13" style="162" customWidth="1"/>
    <col min="777" max="1021" width="8.69921875" style="162"/>
    <col min="1022" max="1022" width="18" style="162" customWidth="1"/>
    <col min="1023" max="1023" width="15" style="162" customWidth="1"/>
    <col min="1024" max="1024" width="13.3984375" style="162" customWidth="1"/>
    <col min="1025" max="1025" width="12.09765625" style="162" customWidth="1"/>
    <col min="1026" max="1026" width="12.59765625" style="162" customWidth="1"/>
    <col min="1027" max="1027" width="13" style="162" customWidth="1"/>
    <col min="1028" max="1028" width="12.69921875" style="162" customWidth="1"/>
    <col min="1029" max="1029" width="10.3984375" style="162" customWidth="1"/>
    <col min="1030" max="1030" width="12.3984375" style="162" customWidth="1"/>
    <col min="1031" max="1031" width="12.09765625" style="162" customWidth="1"/>
    <col min="1032" max="1032" width="13" style="162" customWidth="1"/>
    <col min="1033" max="1277" width="8.69921875" style="162"/>
    <col min="1278" max="1278" width="18" style="162" customWidth="1"/>
    <col min="1279" max="1279" width="15" style="162" customWidth="1"/>
    <col min="1280" max="1280" width="13.3984375" style="162" customWidth="1"/>
    <col min="1281" max="1281" width="12.09765625" style="162" customWidth="1"/>
    <col min="1282" max="1282" width="12.59765625" style="162" customWidth="1"/>
    <col min="1283" max="1283" width="13" style="162" customWidth="1"/>
    <col min="1284" max="1284" width="12.69921875" style="162" customWidth="1"/>
    <col min="1285" max="1285" width="10.3984375" style="162" customWidth="1"/>
    <col min="1286" max="1286" width="12.3984375" style="162" customWidth="1"/>
    <col min="1287" max="1287" width="12.09765625" style="162" customWidth="1"/>
    <col min="1288" max="1288" width="13" style="162" customWidth="1"/>
    <col min="1289" max="1533" width="8.69921875" style="162"/>
    <col min="1534" max="1534" width="18" style="162" customWidth="1"/>
    <col min="1535" max="1535" width="15" style="162" customWidth="1"/>
    <col min="1536" max="1536" width="13.3984375" style="162" customWidth="1"/>
    <col min="1537" max="1537" width="12.09765625" style="162" customWidth="1"/>
    <col min="1538" max="1538" width="12.59765625" style="162" customWidth="1"/>
    <col min="1539" max="1539" width="13" style="162" customWidth="1"/>
    <col min="1540" max="1540" width="12.69921875" style="162" customWidth="1"/>
    <col min="1541" max="1541" width="10.3984375" style="162" customWidth="1"/>
    <col min="1542" max="1542" width="12.3984375" style="162" customWidth="1"/>
    <col min="1543" max="1543" width="12.09765625" style="162" customWidth="1"/>
    <col min="1544" max="1544" width="13" style="162" customWidth="1"/>
    <col min="1545" max="1789" width="8.69921875" style="162"/>
    <col min="1790" max="1790" width="18" style="162" customWidth="1"/>
    <col min="1791" max="1791" width="15" style="162" customWidth="1"/>
    <col min="1792" max="1792" width="13.3984375" style="162" customWidth="1"/>
    <col min="1793" max="1793" width="12.09765625" style="162" customWidth="1"/>
    <col min="1794" max="1794" width="12.59765625" style="162" customWidth="1"/>
    <col min="1795" max="1795" width="13" style="162" customWidth="1"/>
    <col min="1796" max="1796" width="12.69921875" style="162" customWidth="1"/>
    <col min="1797" max="1797" width="10.3984375" style="162" customWidth="1"/>
    <col min="1798" max="1798" width="12.3984375" style="162" customWidth="1"/>
    <col min="1799" max="1799" width="12.09765625" style="162" customWidth="1"/>
    <col min="1800" max="1800" width="13" style="162" customWidth="1"/>
    <col min="1801" max="2045" width="8.69921875" style="162"/>
    <col min="2046" max="2046" width="18" style="162" customWidth="1"/>
    <col min="2047" max="2047" width="15" style="162" customWidth="1"/>
    <col min="2048" max="2048" width="13.3984375" style="162" customWidth="1"/>
    <col min="2049" max="2049" width="12.09765625" style="162" customWidth="1"/>
    <col min="2050" max="2050" width="12.59765625" style="162" customWidth="1"/>
    <col min="2051" max="2051" width="13" style="162" customWidth="1"/>
    <col min="2052" max="2052" width="12.69921875" style="162" customWidth="1"/>
    <col min="2053" max="2053" width="10.3984375" style="162" customWidth="1"/>
    <col min="2054" max="2054" width="12.3984375" style="162" customWidth="1"/>
    <col min="2055" max="2055" width="12.09765625" style="162" customWidth="1"/>
    <col min="2056" max="2056" width="13" style="162" customWidth="1"/>
    <col min="2057" max="2301" width="8.69921875" style="162"/>
    <col min="2302" max="2302" width="18" style="162" customWidth="1"/>
    <col min="2303" max="2303" width="15" style="162" customWidth="1"/>
    <col min="2304" max="2304" width="13.3984375" style="162" customWidth="1"/>
    <col min="2305" max="2305" width="12.09765625" style="162" customWidth="1"/>
    <col min="2306" max="2306" width="12.59765625" style="162" customWidth="1"/>
    <col min="2307" max="2307" width="13" style="162" customWidth="1"/>
    <col min="2308" max="2308" width="12.69921875" style="162" customWidth="1"/>
    <col min="2309" max="2309" width="10.3984375" style="162" customWidth="1"/>
    <col min="2310" max="2310" width="12.3984375" style="162" customWidth="1"/>
    <col min="2311" max="2311" width="12.09765625" style="162" customWidth="1"/>
    <col min="2312" max="2312" width="13" style="162" customWidth="1"/>
    <col min="2313" max="2557" width="8.69921875" style="162"/>
    <col min="2558" max="2558" width="18" style="162" customWidth="1"/>
    <col min="2559" max="2559" width="15" style="162" customWidth="1"/>
    <col min="2560" max="2560" width="13.3984375" style="162" customWidth="1"/>
    <col min="2561" max="2561" width="12.09765625" style="162" customWidth="1"/>
    <col min="2562" max="2562" width="12.59765625" style="162" customWidth="1"/>
    <col min="2563" max="2563" width="13" style="162" customWidth="1"/>
    <col min="2564" max="2564" width="12.69921875" style="162" customWidth="1"/>
    <col min="2565" max="2565" width="10.3984375" style="162" customWidth="1"/>
    <col min="2566" max="2566" width="12.3984375" style="162" customWidth="1"/>
    <col min="2567" max="2567" width="12.09765625" style="162" customWidth="1"/>
    <col min="2568" max="2568" width="13" style="162" customWidth="1"/>
    <col min="2569" max="2813" width="8.69921875" style="162"/>
    <col min="2814" max="2814" width="18" style="162" customWidth="1"/>
    <col min="2815" max="2815" width="15" style="162" customWidth="1"/>
    <col min="2816" max="2816" width="13.3984375" style="162" customWidth="1"/>
    <col min="2817" max="2817" width="12.09765625" style="162" customWidth="1"/>
    <col min="2818" max="2818" width="12.59765625" style="162" customWidth="1"/>
    <col min="2819" max="2819" width="13" style="162" customWidth="1"/>
    <col min="2820" max="2820" width="12.69921875" style="162" customWidth="1"/>
    <col min="2821" max="2821" width="10.3984375" style="162" customWidth="1"/>
    <col min="2822" max="2822" width="12.3984375" style="162" customWidth="1"/>
    <col min="2823" max="2823" width="12.09765625" style="162" customWidth="1"/>
    <col min="2824" max="2824" width="13" style="162" customWidth="1"/>
    <col min="2825" max="3069" width="8.69921875" style="162"/>
    <col min="3070" max="3070" width="18" style="162" customWidth="1"/>
    <col min="3071" max="3071" width="15" style="162" customWidth="1"/>
    <col min="3072" max="3072" width="13.3984375" style="162" customWidth="1"/>
    <col min="3073" max="3073" width="12.09765625" style="162" customWidth="1"/>
    <col min="3074" max="3074" width="12.59765625" style="162" customWidth="1"/>
    <col min="3075" max="3075" width="13" style="162" customWidth="1"/>
    <col min="3076" max="3076" width="12.69921875" style="162" customWidth="1"/>
    <col min="3077" max="3077" width="10.3984375" style="162" customWidth="1"/>
    <col min="3078" max="3078" width="12.3984375" style="162" customWidth="1"/>
    <col min="3079" max="3079" width="12.09765625" style="162" customWidth="1"/>
    <col min="3080" max="3080" width="13" style="162" customWidth="1"/>
    <col min="3081" max="3325" width="8.69921875" style="162"/>
    <col min="3326" max="3326" width="18" style="162" customWidth="1"/>
    <col min="3327" max="3327" width="15" style="162" customWidth="1"/>
    <col min="3328" max="3328" width="13.3984375" style="162" customWidth="1"/>
    <col min="3329" max="3329" width="12.09765625" style="162" customWidth="1"/>
    <col min="3330" max="3330" width="12.59765625" style="162" customWidth="1"/>
    <col min="3331" max="3331" width="13" style="162" customWidth="1"/>
    <col min="3332" max="3332" width="12.69921875" style="162" customWidth="1"/>
    <col min="3333" max="3333" width="10.3984375" style="162" customWidth="1"/>
    <col min="3334" max="3334" width="12.3984375" style="162" customWidth="1"/>
    <col min="3335" max="3335" width="12.09765625" style="162" customWidth="1"/>
    <col min="3336" max="3336" width="13" style="162" customWidth="1"/>
    <col min="3337" max="3581" width="8.69921875" style="162"/>
    <col min="3582" max="3582" width="18" style="162" customWidth="1"/>
    <col min="3583" max="3583" width="15" style="162" customWidth="1"/>
    <col min="3584" max="3584" width="13.3984375" style="162" customWidth="1"/>
    <col min="3585" max="3585" width="12.09765625" style="162" customWidth="1"/>
    <col min="3586" max="3586" width="12.59765625" style="162" customWidth="1"/>
    <col min="3587" max="3587" width="13" style="162" customWidth="1"/>
    <col min="3588" max="3588" width="12.69921875" style="162" customWidth="1"/>
    <col min="3589" max="3589" width="10.3984375" style="162" customWidth="1"/>
    <col min="3590" max="3590" width="12.3984375" style="162" customWidth="1"/>
    <col min="3591" max="3591" width="12.09765625" style="162" customWidth="1"/>
    <col min="3592" max="3592" width="13" style="162" customWidth="1"/>
    <col min="3593" max="3837" width="8.69921875" style="162"/>
    <col min="3838" max="3838" width="18" style="162" customWidth="1"/>
    <col min="3839" max="3839" width="15" style="162" customWidth="1"/>
    <col min="3840" max="3840" width="13.3984375" style="162" customWidth="1"/>
    <col min="3841" max="3841" width="12.09765625" style="162" customWidth="1"/>
    <col min="3842" max="3842" width="12.59765625" style="162" customWidth="1"/>
    <col min="3843" max="3843" width="13" style="162" customWidth="1"/>
    <col min="3844" max="3844" width="12.69921875" style="162" customWidth="1"/>
    <col min="3845" max="3845" width="10.3984375" style="162" customWidth="1"/>
    <col min="3846" max="3846" width="12.3984375" style="162" customWidth="1"/>
    <col min="3847" max="3847" width="12.09765625" style="162" customWidth="1"/>
    <col min="3848" max="3848" width="13" style="162" customWidth="1"/>
    <col min="3849" max="4093" width="8.69921875" style="162"/>
    <col min="4094" max="4094" width="18" style="162" customWidth="1"/>
    <col min="4095" max="4095" width="15" style="162" customWidth="1"/>
    <col min="4096" max="4096" width="13.3984375" style="162" customWidth="1"/>
    <col min="4097" max="4097" width="12.09765625" style="162" customWidth="1"/>
    <col min="4098" max="4098" width="12.59765625" style="162" customWidth="1"/>
    <col min="4099" max="4099" width="13" style="162" customWidth="1"/>
    <col min="4100" max="4100" width="12.69921875" style="162" customWidth="1"/>
    <col min="4101" max="4101" width="10.3984375" style="162" customWidth="1"/>
    <col min="4102" max="4102" width="12.3984375" style="162" customWidth="1"/>
    <col min="4103" max="4103" width="12.09765625" style="162" customWidth="1"/>
    <col min="4104" max="4104" width="13" style="162" customWidth="1"/>
    <col min="4105" max="4349" width="8.69921875" style="162"/>
    <col min="4350" max="4350" width="18" style="162" customWidth="1"/>
    <col min="4351" max="4351" width="15" style="162" customWidth="1"/>
    <col min="4352" max="4352" width="13.3984375" style="162" customWidth="1"/>
    <col min="4353" max="4353" width="12.09765625" style="162" customWidth="1"/>
    <col min="4354" max="4354" width="12.59765625" style="162" customWidth="1"/>
    <col min="4355" max="4355" width="13" style="162" customWidth="1"/>
    <col min="4356" max="4356" width="12.69921875" style="162" customWidth="1"/>
    <col min="4357" max="4357" width="10.3984375" style="162" customWidth="1"/>
    <col min="4358" max="4358" width="12.3984375" style="162" customWidth="1"/>
    <col min="4359" max="4359" width="12.09765625" style="162" customWidth="1"/>
    <col min="4360" max="4360" width="13" style="162" customWidth="1"/>
    <col min="4361" max="4605" width="8.69921875" style="162"/>
    <col min="4606" max="4606" width="18" style="162" customWidth="1"/>
    <col min="4607" max="4607" width="15" style="162" customWidth="1"/>
    <col min="4608" max="4608" width="13.3984375" style="162" customWidth="1"/>
    <col min="4609" max="4609" width="12.09765625" style="162" customWidth="1"/>
    <col min="4610" max="4610" width="12.59765625" style="162" customWidth="1"/>
    <col min="4611" max="4611" width="13" style="162" customWidth="1"/>
    <col min="4612" max="4612" width="12.69921875" style="162" customWidth="1"/>
    <col min="4613" max="4613" width="10.3984375" style="162" customWidth="1"/>
    <col min="4614" max="4614" width="12.3984375" style="162" customWidth="1"/>
    <col min="4615" max="4615" width="12.09765625" style="162" customWidth="1"/>
    <col min="4616" max="4616" width="13" style="162" customWidth="1"/>
    <col min="4617" max="4861" width="8.69921875" style="162"/>
    <col min="4862" max="4862" width="18" style="162" customWidth="1"/>
    <col min="4863" max="4863" width="15" style="162" customWidth="1"/>
    <col min="4864" max="4864" width="13.3984375" style="162" customWidth="1"/>
    <col min="4865" max="4865" width="12.09765625" style="162" customWidth="1"/>
    <col min="4866" max="4866" width="12.59765625" style="162" customWidth="1"/>
    <col min="4867" max="4867" width="13" style="162" customWidth="1"/>
    <col min="4868" max="4868" width="12.69921875" style="162" customWidth="1"/>
    <col min="4869" max="4869" width="10.3984375" style="162" customWidth="1"/>
    <col min="4870" max="4870" width="12.3984375" style="162" customWidth="1"/>
    <col min="4871" max="4871" width="12.09765625" style="162" customWidth="1"/>
    <col min="4872" max="4872" width="13" style="162" customWidth="1"/>
    <col min="4873" max="5117" width="8.69921875" style="162"/>
    <col min="5118" max="5118" width="18" style="162" customWidth="1"/>
    <col min="5119" max="5119" width="15" style="162" customWidth="1"/>
    <col min="5120" max="5120" width="13.3984375" style="162" customWidth="1"/>
    <col min="5121" max="5121" width="12.09765625" style="162" customWidth="1"/>
    <col min="5122" max="5122" width="12.59765625" style="162" customWidth="1"/>
    <col min="5123" max="5123" width="13" style="162" customWidth="1"/>
    <col min="5124" max="5124" width="12.69921875" style="162" customWidth="1"/>
    <col min="5125" max="5125" width="10.3984375" style="162" customWidth="1"/>
    <col min="5126" max="5126" width="12.3984375" style="162" customWidth="1"/>
    <col min="5127" max="5127" width="12.09765625" style="162" customWidth="1"/>
    <col min="5128" max="5128" width="13" style="162" customWidth="1"/>
    <col min="5129" max="5373" width="8.69921875" style="162"/>
    <col min="5374" max="5374" width="18" style="162" customWidth="1"/>
    <col min="5375" max="5375" width="15" style="162" customWidth="1"/>
    <col min="5376" max="5376" width="13.3984375" style="162" customWidth="1"/>
    <col min="5377" max="5377" width="12.09765625" style="162" customWidth="1"/>
    <col min="5378" max="5378" width="12.59765625" style="162" customWidth="1"/>
    <col min="5379" max="5379" width="13" style="162" customWidth="1"/>
    <col min="5380" max="5380" width="12.69921875" style="162" customWidth="1"/>
    <col min="5381" max="5381" width="10.3984375" style="162" customWidth="1"/>
    <col min="5382" max="5382" width="12.3984375" style="162" customWidth="1"/>
    <col min="5383" max="5383" width="12.09765625" style="162" customWidth="1"/>
    <col min="5384" max="5384" width="13" style="162" customWidth="1"/>
    <col min="5385" max="5629" width="8.69921875" style="162"/>
    <col min="5630" max="5630" width="18" style="162" customWidth="1"/>
    <col min="5631" max="5631" width="15" style="162" customWidth="1"/>
    <col min="5632" max="5632" width="13.3984375" style="162" customWidth="1"/>
    <col min="5633" max="5633" width="12.09765625" style="162" customWidth="1"/>
    <col min="5634" max="5634" width="12.59765625" style="162" customWidth="1"/>
    <col min="5635" max="5635" width="13" style="162" customWidth="1"/>
    <col min="5636" max="5636" width="12.69921875" style="162" customWidth="1"/>
    <col min="5637" max="5637" width="10.3984375" style="162" customWidth="1"/>
    <col min="5638" max="5638" width="12.3984375" style="162" customWidth="1"/>
    <col min="5639" max="5639" width="12.09765625" style="162" customWidth="1"/>
    <col min="5640" max="5640" width="13" style="162" customWidth="1"/>
    <col min="5641" max="5885" width="8.69921875" style="162"/>
    <col min="5886" max="5886" width="18" style="162" customWidth="1"/>
    <col min="5887" max="5887" width="15" style="162" customWidth="1"/>
    <col min="5888" max="5888" width="13.3984375" style="162" customWidth="1"/>
    <col min="5889" max="5889" width="12.09765625" style="162" customWidth="1"/>
    <col min="5890" max="5890" width="12.59765625" style="162" customWidth="1"/>
    <col min="5891" max="5891" width="13" style="162" customWidth="1"/>
    <col min="5892" max="5892" width="12.69921875" style="162" customWidth="1"/>
    <col min="5893" max="5893" width="10.3984375" style="162" customWidth="1"/>
    <col min="5894" max="5894" width="12.3984375" style="162" customWidth="1"/>
    <col min="5895" max="5895" width="12.09765625" style="162" customWidth="1"/>
    <col min="5896" max="5896" width="13" style="162" customWidth="1"/>
    <col min="5897" max="6141" width="8.69921875" style="162"/>
    <col min="6142" max="6142" width="18" style="162" customWidth="1"/>
    <col min="6143" max="6143" width="15" style="162" customWidth="1"/>
    <col min="6144" max="6144" width="13.3984375" style="162" customWidth="1"/>
    <col min="6145" max="6145" width="12.09765625" style="162" customWidth="1"/>
    <col min="6146" max="6146" width="12.59765625" style="162" customWidth="1"/>
    <col min="6147" max="6147" width="13" style="162" customWidth="1"/>
    <col min="6148" max="6148" width="12.69921875" style="162" customWidth="1"/>
    <col min="6149" max="6149" width="10.3984375" style="162" customWidth="1"/>
    <col min="6150" max="6150" width="12.3984375" style="162" customWidth="1"/>
    <col min="6151" max="6151" width="12.09765625" style="162" customWidth="1"/>
    <col min="6152" max="6152" width="13" style="162" customWidth="1"/>
    <col min="6153" max="6397" width="8.69921875" style="162"/>
    <col min="6398" max="6398" width="18" style="162" customWidth="1"/>
    <col min="6399" max="6399" width="15" style="162" customWidth="1"/>
    <col min="6400" max="6400" width="13.3984375" style="162" customWidth="1"/>
    <col min="6401" max="6401" width="12.09765625" style="162" customWidth="1"/>
    <col min="6402" max="6402" width="12.59765625" style="162" customWidth="1"/>
    <col min="6403" max="6403" width="13" style="162" customWidth="1"/>
    <col min="6404" max="6404" width="12.69921875" style="162" customWidth="1"/>
    <col min="6405" max="6405" width="10.3984375" style="162" customWidth="1"/>
    <col min="6406" max="6406" width="12.3984375" style="162" customWidth="1"/>
    <col min="6407" max="6407" width="12.09765625" style="162" customWidth="1"/>
    <col min="6408" max="6408" width="13" style="162" customWidth="1"/>
    <col min="6409" max="6653" width="8.69921875" style="162"/>
    <col min="6654" max="6654" width="18" style="162" customWidth="1"/>
    <col min="6655" max="6655" width="15" style="162" customWidth="1"/>
    <col min="6656" max="6656" width="13.3984375" style="162" customWidth="1"/>
    <col min="6657" max="6657" width="12.09765625" style="162" customWidth="1"/>
    <col min="6658" max="6658" width="12.59765625" style="162" customWidth="1"/>
    <col min="6659" max="6659" width="13" style="162" customWidth="1"/>
    <col min="6660" max="6660" width="12.69921875" style="162" customWidth="1"/>
    <col min="6661" max="6661" width="10.3984375" style="162" customWidth="1"/>
    <col min="6662" max="6662" width="12.3984375" style="162" customWidth="1"/>
    <col min="6663" max="6663" width="12.09765625" style="162" customWidth="1"/>
    <col min="6664" max="6664" width="13" style="162" customWidth="1"/>
    <col min="6665" max="6909" width="8.69921875" style="162"/>
    <col min="6910" max="6910" width="18" style="162" customWidth="1"/>
    <col min="6911" max="6911" width="15" style="162" customWidth="1"/>
    <col min="6912" max="6912" width="13.3984375" style="162" customWidth="1"/>
    <col min="6913" max="6913" width="12.09765625" style="162" customWidth="1"/>
    <col min="6914" max="6914" width="12.59765625" style="162" customWidth="1"/>
    <col min="6915" max="6915" width="13" style="162" customWidth="1"/>
    <col min="6916" max="6916" width="12.69921875" style="162" customWidth="1"/>
    <col min="6917" max="6917" width="10.3984375" style="162" customWidth="1"/>
    <col min="6918" max="6918" width="12.3984375" style="162" customWidth="1"/>
    <col min="6919" max="6919" width="12.09765625" style="162" customWidth="1"/>
    <col min="6920" max="6920" width="13" style="162" customWidth="1"/>
    <col min="6921" max="7165" width="8.69921875" style="162"/>
    <col min="7166" max="7166" width="18" style="162" customWidth="1"/>
    <col min="7167" max="7167" width="15" style="162" customWidth="1"/>
    <col min="7168" max="7168" width="13.3984375" style="162" customWidth="1"/>
    <col min="7169" max="7169" width="12.09765625" style="162" customWidth="1"/>
    <col min="7170" max="7170" width="12.59765625" style="162" customWidth="1"/>
    <col min="7171" max="7171" width="13" style="162" customWidth="1"/>
    <col min="7172" max="7172" width="12.69921875" style="162" customWidth="1"/>
    <col min="7173" max="7173" width="10.3984375" style="162" customWidth="1"/>
    <col min="7174" max="7174" width="12.3984375" style="162" customWidth="1"/>
    <col min="7175" max="7175" width="12.09765625" style="162" customWidth="1"/>
    <col min="7176" max="7176" width="13" style="162" customWidth="1"/>
    <col min="7177" max="7421" width="8.69921875" style="162"/>
    <col min="7422" max="7422" width="18" style="162" customWidth="1"/>
    <col min="7423" max="7423" width="15" style="162" customWidth="1"/>
    <col min="7424" max="7424" width="13.3984375" style="162" customWidth="1"/>
    <col min="7425" max="7425" width="12.09765625" style="162" customWidth="1"/>
    <col min="7426" max="7426" width="12.59765625" style="162" customWidth="1"/>
    <col min="7427" max="7427" width="13" style="162" customWidth="1"/>
    <col min="7428" max="7428" width="12.69921875" style="162" customWidth="1"/>
    <col min="7429" max="7429" width="10.3984375" style="162" customWidth="1"/>
    <col min="7430" max="7430" width="12.3984375" style="162" customWidth="1"/>
    <col min="7431" max="7431" width="12.09765625" style="162" customWidth="1"/>
    <col min="7432" max="7432" width="13" style="162" customWidth="1"/>
    <col min="7433" max="7677" width="8.69921875" style="162"/>
    <col min="7678" max="7678" width="18" style="162" customWidth="1"/>
    <col min="7679" max="7679" width="15" style="162" customWidth="1"/>
    <col min="7680" max="7680" width="13.3984375" style="162" customWidth="1"/>
    <col min="7681" max="7681" width="12.09765625" style="162" customWidth="1"/>
    <col min="7682" max="7682" width="12.59765625" style="162" customWidth="1"/>
    <col min="7683" max="7683" width="13" style="162" customWidth="1"/>
    <col min="7684" max="7684" width="12.69921875" style="162" customWidth="1"/>
    <col min="7685" max="7685" width="10.3984375" style="162" customWidth="1"/>
    <col min="7686" max="7686" width="12.3984375" style="162" customWidth="1"/>
    <col min="7687" max="7687" width="12.09765625" style="162" customWidth="1"/>
    <col min="7688" max="7688" width="13" style="162" customWidth="1"/>
    <col min="7689" max="7933" width="8.69921875" style="162"/>
    <col min="7934" max="7934" width="18" style="162" customWidth="1"/>
    <col min="7935" max="7935" width="15" style="162" customWidth="1"/>
    <col min="7936" max="7936" width="13.3984375" style="162" customWidth="1"/>
    <col min="7937" max="7937" width="12.09765625" style="162" customWidth="1"/>
    <col min="7938" max="7938" width="12.59765625" style="162" customWidth="1"/>
    <col min="7939" max="7939" width="13" style="162" customWidth="1"/>
    <col min="7940" max="7940" width="12.69921875" style="162" customWidth="1"/>
    <col min="7941" max="7941" width="10.3984375" style="162" customWidth="1"/>
    <col min="7942" max="7942" width="12.3984375" style="162" customWidth="1"/>
    <col min="7943" max="7943" width="12.09765625" style="162" customWidth="1"/>
    <col min="7944" max="7944" width="13" style="162" customWidth="1"/>
    <col min="7945" max="8189" width="8.69921875" style="162"/>
    <col min="8190" max="8190" width="18" style="162" customWidth="1"/>
    <col min="8191" max="8191" width="15" style="162" customWidth="1"/>
    <col min="8192" max="8192" width="13.3984375" style="162" customWidth="1"/>
    <col min="8193" max="8193" width="12.09765625" style="162" customWidth="1"/>
    <col min="8194" max="8194" width="12.59765625" style="162" customWidth="1"/>
    <col min="8195" max="8195" width="13" style="162" customWidth="1"/>
    <col min="8196" max="8196" width="12.69921875" style="162" customWidth="1"/>
    <col min="8197" max="8197" width="10.3984375" style="162" customWidth="1"/>
    <col min="8198" max="8198" width="12.3984375" style="162" customWidth="1"/>
    <col min="8199" max="8199" width="12.09765625" style="162" customWidth="1"/>
    <col min="8200" max="8200" width="13" style="162" customWidth="1"/>
    <col min="8201" max="8445" width="8.69921875" style="162"/>
    <col min="8446" max="8446" width="18" style="162" customWidth="1"/>
    <col min="8447" max="8447" width="15" style="162" customWidth="1"/>
    <col min="8448" max="8448" width="13.3984375" style="162" customWidth="1"/>
    <col min="8449" max="8449" width="12.09765625" style="162" customWidth="1"/>
    <col min="8450" max="8450" width="12.59765625" style="162" customWidth="1"/>
    <col min="8451" max="8451" width="13" style="162" customWidth="1"/>
    <col min="8452" max="8452" width="12.69921875" style="162" customWidth="1"/>
    <col min="8453" max="8453" width="10.3984375" style="162" customWidth="1"/>
    <col min="8454" max="8454" width="12.3984375" style="162" customWidth="1"/>
    <col min="8455" max="8455" width="12.09765625" style="162" customWidth="1"/>
    <col min="8456" max="8456" width="13" style="162" customWidth="1"/>
    <col min="8457" max="8701" width="8.69921875" style="162"/>
    <col min="8702" max="8702" width="18" style="162" customWidth="1"/>
    <col min="8703" max="8703" width="15" style="162" customWidth="1"/>
    <col min="8704" max="8704" width="13.3984375" style="162" customWidth="1"/>
    <col min="8705" max="8705" width="12.09765625" style="162" customWidth="1"/>
    <col min="8706" max="8706" width="12.59765625" style="162" customWidth="1"/>
    <col min="8707" max="8707" width="13" style="162" customWidth="1"/>
    <col min="8708" max="8708" width="12.69921875" style="162" customWidth="1"/>
    <col min="8709" max="8709" width="10.3984375" style="162" customWidth="1"/>
    <col min="8710" max="8710" width="12.3984375" style="162" customWidth="1"/>
    <col min="8711" max="8711" width="12.09765625" style="162" customWidth="1"/>
    <col min="8712" max="8712" width="13" style="162" customWidth="1"/>
    <col min="8713" max="8957" width="8.69921875" style="162"/>
    <col min="8958" max="8958" width="18" style="162" customWidth="1"/>
    <col min="8959" max="8959" width="15" style="162" customWidth="1"/>
    <col min="8960" max="8960" width="13.3984375" style="162" customWidth="1"/>
    <col min="8961" max="8961" width="12.09765625" style="162" customWidth="1"/>
    <col min="8962" max="8962" width="12.59765625" style="162" customWidth="1"/>
    <col min="8963" max="8963" width="13" style="162" customWidth="1"/>
    <col min="8964" max="8964" width="12.69921875" style="162" customWidth="1"/>
    <col min="8965" max="8965" width="10.3984375" style="162" customWidth="1"/>
    <col min="8966" max="8966" width="12.3984375" style="162" customWidth="1"/>
    <col min="8967" max="8967" width="12.09765625" style="162" customWidth="1"/>
    <col min="8968" max="8968" width="13" style="162" customWidth="1"/>
    <col min="8969" max="9213" width="8.69921875" style="162"/>
    <col min="9214" max="9214" width="18" style="162" customWidth="1"/>
    <col min="9215" max="9215" width="15" style="162" customWidth="1"/>
    <col min="9216" max="9216" width="13.3984375" style="162" customWidth="1"/>
    <col min="9217" max="9217" width="12.09765625" style="162" customWidth="1"/>
    <col min="9218" max="9218" width="12.59765625" style="162" customWidth="1"/>
    <col min="9219" max="9219" width="13" style="162" customWidth="1"/>
    <col min="9220" max="9220" width="12.69921875" style="162" customWidth="1"/>
    <col min="9221" max="9221" width="10.3984375" style="162" customWidth="1"/>
    <col min="9222" max="9222" width="12.3984375" style="162" customWidth="1"/>
    <col min="9223" max="9223" width="12.09765625" style="162" customWidth="1"/>
    <col min="9224" max="9224" width="13" style="162" customWidth="1"/>
    <col min="9225" max="9469" width="8.69921875" style="162"/>
    <col min="9470" max="9470" width="18" style="162" customWidth="1"/>
    <col min="9471" max="9471" width="15" style="162" customWidth="1"/>
    <col min="9472" max="9472" width="13.3984375" style="162" customWidth="1"/>
    <col min="9473" max="9473" width="12.09765625" style="162" customWidth="1"/>
    <col min="9474" max="9474" width="12.59765625" style="162" customWidth="1"/>
    <col min="9475" max="9475" width="13" style="162" customWidth="1"/>
    <col min="9476" max="9476" width="12.69921875" style="162" customWidth="1"/>
    <col min="9477" max="9477" width="10.3984375" style="162" customWidth="1"/>
    <col min="9478" max="9478" width="12.3984375" style="162" customWidth="1"/>
    <col min="9479" max="9479" width="12.09765625" style="162" customWidth="1"/>
    <col min="9480" max="9480" width="13" style="162" customWidth="1"/>
    <col min="9481" max="9725" width="8.69921875" style="162"/>
    <col min="9726" max="9726" width="18" style="162" customWidth="1"/>
    <col min="9727" max="9727" width="15" style="162" customWidth="1"/>
    <col min="9728" max="9728" width="13.3984375" style="162" customWidth="1"/>
    <col min="9729" max="9729" width="12.09765625" style="162" customWidth="1"/>
    <col min="9730" max="9730" width="12.59765625" style="162" customWidth="1"/>
    <col min="9731" max="9731" width="13" style="162" customWidth="1"/>
    <col min="9732" max="9732" width="12.69921875" style="162" customWidth="1"/>
    <col min="9733" max="9733" width="10.3984375" style="162" customWidth="1"/>
    <col min="9734" max="9734" width="12.3984375" style="162" customWidth="1"/>
    <col min="9735" max="9735" width="12.09765625" style="162" customWidth="1"/>
    <col min="9736" max="9736" width="13" style="162" customWidth="1"/>
    <col min="9737" max="9981" width="8.69921875" style="162"/>
    <col min="9982" max="9982" width="18" style="162" customWidth="1"/>
    <col min="9983" max="9983" width="15" style="162" customWidth="1"/>
    <col min="9984" max="9984" width="13.3984375" style="162" customWidth="1"/>
    <col min="9985" max="9985" width="12.09765625" style="162" customWidth="1"/>
    <col min="9986" max="9986" width="12.59765625" style="162" customWidth="1"/>
    <col min="9987" max="9987" width="13" style="162" customWidth="1"/>
    <col min="9988" max="9988" width="12.69921875" style="162" customWidth="1"/>
    <col min="9989" max="9989" width="10.3984375" style="162" customWidth="1"/>
    <col min="9990" max="9990" width="12.3984375" style="162" customWidth="1"/>
    <col min="9991" max="9991" width="12.09765625" style="162" customWidth="1"/>
    <col min="9992" max="9992" width="13" style="162" customWidth="1"/>
    <col min="9993" max="10237" width="8.69921875" style="162"/>
    <col min="10238" max="10238" width="18" style="162" customWidth="1"/>
    <col min="10239" max="10239" width="15" style="162" customWidth="1"/>
    <col min="10240" max="10240" width="13.3984375" style="162" customWidth="1"/>
    <col min="10241" max="10241" width="12.09765625" style="162" customWidth="1"/>
    <col min="10242" max="10242" width="12.59765625" style="162" customWidth="1"/>
    <col min="10243" max="10243" width="13" style="162" customWidth="1"/>
    <col min="10244" max="10244" width="12.69921875" style="162" customWidth="1"/>
    <col min="10245" max="10245" width="10.3984375" style="162" customWidth="1"/>
    <col min="10246" max="10246" width="12.3984375" style="162" customWidth="1"/>
    <col min="10247" max="10247" width="12.09765625" style="162" customWidth="1"/>
    <col min="10248" max="10248" width="13" style="162" customWidth="1"/>
    <col min="10249" max="10493" width="8.69921875" style="162"/>
    <col min="10494" max="10494" width="18" style="162" customWidth="1"/>
    <col min="10495" max="10495" width="15" style="162" customWidth="1"/>
    <col min="10496" max="10496" width="13.3984375" style="162" customWidth="1"/>
    <col min="10497" max="10497" width="12.09765625" style="162" customWidth="1"/>
    <col min="10498" max="10498" width="12.59765625" style="162" customWidth="1"/>
    <col min="10499" max="10499" width="13" style="162" customWidth="1"/>
    <col min="10500" max="10500" width="12.69921875" style="162" customWidth="1"/>
    <col min="10501" max="10501" width="10.3984375" style="162" customWidth="1"/>
    <col min="10502" max="10502" width="12.3984375" style="162" customWidth="1"/>
    <col min="10503" max="10503" width="12.09765625" style="162" customWidth="1"/>
    <col min="10504" max="10504" width="13" style="162" customWidth="1"/>
    <col min="10505" max="10749" width="8.69921875" style="162"/>
    <col min="10750" max="10750" width="18" style="162" customWidth="1"/>
    <col min="10751" max="10751" width="15" style="162" customWidth="1"/>
    <col min="10752" max="10752" width="13.3984375" style="162" customWidth="1"/>
    <col min="10753" max="10753" width="12.09765625" style="162" customWidth="1"/>
    <col min="10754" max="10754" width="12.59765625" style="162" customWidth="1"/>
    <col min="10755" max="10755" width="13" style="162" customWidth="1"/>
    <col min="10756" max="10756" width="12.69921875" style="162" customWidth="1"/>
    <col min="10757" max="10757" width="10.3984375" style="162" customWidth="1"/>
    <col min="10758" max="10758" width="12.3984375" style="162" customWidth="1"/>
    <col min="10759" max="10759" width="12.09765625" style="162" customWidth="1"/>
    <col min="10760" max="10760" width="13" style="162" customWidth="1"/>
    <col min="10761" max="11005" width="8.69921875" style="162"/>
    <col min="11006" max="11006" width="18" style="162" customWidth="1"/>
    <col min="11007" max="11007" width="15" style="162" customWidth="1"/>
    <col min="11008" max="11008" width="13.3984375" style="162" customWidth="1"/>
    <col min="11009" max="11009" width="12.09765625" style="162" customWidth="1"/>
    <col min="11010" max="11010" width="12.59765625" style="162" customWidth="1"/>
    <col min="11011" max="11011" width="13" style="162" customWidth="1"/>
    <col min="11012" max="11012" width="12.69921875" style="162" customWidth="1"/>
    <col min="11013" max="11013" width="10.3984375" style="162" customWidth="1"/>
    <col min="11014" max="11014" width="12.3984375" style="162" customWidth="1"/>
    <col min="11015" max="11015" width="12.09765625" style="162" customWidth="1"/>
    <col min="11016" max="11016" width="13" style="162" customWidth="1"/>
    <col min="11017" max="11261" width="8.69921875" style="162"/>
    <col min="11262" max="11262" width="18" style="162" customWidth="1"/>
    <col min="11263" max="11263" width="15" style="162" customWidth="1"/>
    <col min="11264" max="11264" width="13.3984375" style="162" customWidth="1"/>
    <col min="11265" max="11265" width="12.09765625" style="162" customWidth="1"/>
    <col min="11266" max="11266" width="12.59765625" style="162" customWidth="1"/>
    <col min="11267" max="11267" width="13" style="162" customWidth="1"/>
    <col min="11268" max="11268" width="12.69921875" style="162" customWidth="1"/>
    <col min="11269" max="11269" width="10.3984375" style="162" customWidth="1"/>
    <col min="11270" max="11270" width="12.3984375" style="162" customWidth="1"/>
    <col min="11271" max="11271" width="12.09765625" style="162" customWidth="1"/>
    <col min="11272" max="11272" width="13" style="162" customWidth="1"/>
    <col min="11273" max="11517" width="8.69921875" style="162"/>
    <col min="11518" max="11518" width="18" style="162" customWidth="1"/>
    <col min="11519" max="11519" width="15" style="162" customWidth="1"/>
    <col min="11520" max="11520" width="13.3984375" style="162" customWidth="1"/>
    <col min="11521" max="11521" width="12.09765625" style="162" customWidth="1"/>
    <col min="11522" max="11522" width="12.59765625" style="162" customWidth="1"/>
    <col min="11523" max="11523" width="13" style="162" customWidth="1"/>
    <col min="11524" max="11524" width="12.69921875" style="162" customWidth="1"/>
    <col min="11525" max="11525" width="10.3984375" style="162" customWidth="1"/>
    <col min="11526" max="11526" width="12.3984375" style="162" customWidth="1"/>
    <col min="11527" max="11527" width="12.09765625" style="162" customWidth="1"/>
    <col min="11528" max="11528" width="13" style="162" customWidth="1"/>
    <col min="11529" max="11773" width="8.69921875" style="162"/>
    <col min="11774" max="11774" width="18" style="162" customWidth="1"/>
    <col min="11775" max="11775" width="15" style="162" customWidth="1"/>
    <col min="11776" max="11776" width="13.3984375" style="162" customWidth="1"/>
    <col min="11777" max="11777" width="12.09765625" style="162" customWidth="1"/>
    <col min="11778" max="11778" width="12.59765625" style="162" customWidth="1"/>
    <col min="11779" max="11779" width="13" style="162" customWidth="1"/>
    <col min="11780" max="11780" width="12.69921875" style="162" customWidth="1"/>
    <col min="11781" max="11781" width="10.3984375" style="162" customWidth="1"/>
    <col min="11782" max="11782" width="12.3984375" style="162" customWidth="1"/>
    <col min="11783" max="11783" width="12.09765625" style="162" customWidth="1"/>
    <col min="11784" max="11784" width="13" style="162" customWidth="1"/>
    <col min="11785" max="12029" width="8.69921875" style="162"/>
    <col min="12030" max="12030" width="18" style="162" customWidth="1"/>
    <col min="12031" max="12031" width="15" style="162" customWidth="1"/>
    <col min="12032" max="12032" width="13.3984375" style="162" customWidth="1"/>
    <col min="12033" max="12033" width="12.09765625" style="162" customWidth="1"/>
    <col min="12034" max="12034" width="12.59765625" style="162" customWidth="1"/>
    <col min="12035" max="12035" width="13" style="162" customWidth="1"/>
    <col min="12036" max="12036" width="12.69921875" style="162" customWidth="1"/>
    <col min="12037" max="12037" width="10.3984375" style="162" customWidth="1"/>
    <col min="12038" max="12038" width="12.3984375" style="162" customWidth="1"/>
    <col min="12039" max="12039" width="12.09765625" style="162" customWidth="1"/>
    <col min="12040" max="12040" width="13" style="162" customWidth="1"/>
    <col min="12041" max="12285" width="8.69921875" style="162"/>
    <col min="12286" max="12286" width="18" style="162" customWidth="1"/>
    <col min="12287" max="12287" width="15" style="162" customWidth="1"/>
    <col min="12288" max="12288" width="13.3984375" style="162" customWidth="1"/>
    <col min="12289" max="12289" width="12.09765625" style="162" customWidth="1"/>
    <col min="12290" max="12290" width="12.59765625" style="162" customWidth="1"/>
    <col min="12291" max="12291" width="13" style="162" customWidth="1"/>
    <col min="12292" max="12292" width="12.69921875" style="162" customWidth="1"/>
    <col min="12293" max="12293" width="10.3984375" style="162" customWidth="1"/>
    <col min="12294" max="12294" width="12.3984375" style="162" customWidth="1"/>
    <col min="12295" max="12295" width="12.09765625" style="162" customWidth="1"/>
    <col min="12296" max="12296" width="13" style="162" customWidth="1"/>
    <col min="12297" max="12541" width="8.69921875" style="162"/>
    <col min="12542" max="12542" width="18" style="162" customWidth="1"/>
    <col min="12543" max="12543" width="15" style="162" customWidth="1"/>
    <col min="12544" max="12544" width="13.3984375" style="162" customWidth="1"/>
    <col min="12545" max="12545" width="12.09765625" style="162" customWidth="1"/>
    <col min="12546" max="12546" width="12.59765625" style="162" customWidth="1"/>
    <col min="12547" max="12547" width="13" style="162" customWidth="1"/>
    <col min="12548" max="12548" width="12.69921875" style="162" customWidth="1"/>
    <col min="12549" max="12549" width="10.3984375" style="162" customWidth="1"/>
    <col min="12550" max="12550" width="12.3984375" style="162" customWidth="1"/>
    <col min="12551" max="12551" width="12.09765625" style="162" customWidth="1"/>
    <col min="12552" max="12552" width="13" style="162" customWidth="1"/>
    <col min="12553" max="12797" width="8.69921875" style="162"/>
    <col min="12798" max="12798" width="18" style="162" customWidth="1"/>
    <col min="12799" max="12799" width="15" style="162" customWidth="1"/>
    <col min="12800" max="12800" width="13.3984375" style="162" customWidth="1"/>
    <col min="12801" max="12801" width="12.09765625" style="162" customWidth="1"/>
    <col min="12802" max="12802" width="12.59765625" style="162" customWidth="1"/>
    <col min="12803" max="12803" width="13" style="162" customWidth="1"/>
    <col min="12804" max="12804" width="12.69921875" style="162" customWidth="1"/>
    <col min="12805" max="12805" width="10.3984375" style="162" customWidth="1"/>
    <col min="12806" max="12806" width="12.3984375" style="162" customWidth="1"/>
    <col min="12807" max="12807" width="12.09765625" style="162" customWidth="1"/>
    <col min="12808" max="12808" width="13" style="162" customWidth="1"/>
    <col min="12809" max="13053" width="8.69921875" style="162"/>
    <col min="13054" max="13054" width="18" style="162" customWidth="1"/>
    <col min="13055" max="13055" width="15" style="162" customWidth="1"/>
    <col min="13056" max="13056" width="13.3984375" style="162" customWidth="1"/>
    <col min="13057" max="13057" width="12.09765625" style="162" customWidth="1"/>
    <col min="13058" max="13058" width="12.59765625" style="162" customWidth="1"/>
    <col min="13059" max="13059" width="13" style="162" customWidth="1"/>
    <col min="13060" max="13060" width="12.69921875" style="162" customWidth="1"/>
    <col min="13061" max="13061" width="10.3984375" style="162" customWidth="1"/>
    <col min="13062" max="13062" width="12.3984375" style="162" customWidth="1"/>
    <col min="13063" max="13063" width="12.09765625" style="162" customWidth="1"/>
    <col min="13064" max="13064" width="13" style="162" customWidth="1"/>
    <col min="13065" max="13309" width="8.69921875" style="162"/>
    <col min="13310" max="13310" width="18" style="162" customWidth="1"/>
    <col min="13311" max="13311" width="15" style="162" customWidth="1"/>
    <col min="13312" max="13312" width="13.3984375" style="162" customWidth="1"/>
    <col min="13313" max="13313" width="12.09765625" style="162" customWidth="1"/>
    <col min="13314" max="13314" width="12.59765625" style="162" customWidth="1"/>
    <col min="13315" max="13315" width="13" style="162" customWidth="1"/>
    <col min="13316" max="13316" width="12.69921875" style="162" customWidth="1"/>
    <col min="13317" max="13317" width="10.3984375" style="162" customWidth="1"/>
    <col min="13318" max="13318" width="12.3984375" style="162" customWidth="1"/>
    <col min="13319" max="13319" width="12.09765625" style="162" customWidth="1"/>
    <col min="13320" max="13320" width="13" style="162" customWidth="1"/>
    <col min="13321" max="13565" width="8.69921875" style="162"/>
    <col min="13566" max="13566" width="18" style="162" customWidth="1"/>
    <col min="13567" max="13567" width="15" style="162" customWidth="1"/>
    <col min="13568" max="13568" width="13.3984375" style="162" customWidth="1"/>
    <col min="13569" max="13569" width="12.09765625" style="162" customWidth="1"/>
    <col min="13570" max="13570" width="12.59765625" style="162" customWidth="1"/>
    <col min="13571" max="13571" width="13" style="162" customWidth="1"/>
    <col min="13572" max="13572" width="12.69921875" style="162" customWidth="1"/>
    <col min="13573" max="13573" width="10.3984375" style="162" customWidth="1"/>
    <col min="13574" max="13574" width="12.3984375" style="162" customWidth="1"/>
    <col min="13575" max="13575" width="12.09765625" style="162" customWidth="1"/>
    <col min="13576" max="13576" width="13" style="162" customWidth="1"/>
    <col min="13577" max="13821" width="8.69921875" style="162"/>
    <col min="13822" max="13822" width="18" style="162" customWidth="1"/>
    <col min="13823" max="13823" width="15" style="162" customWidth="1"/>
    <col min="13824" max="13824" width="13.3984375" style="162" customWidth="1"/>
    <col min="13825" max="13825" width="12.09765625" style="162" customWidth="1"/>
    <col min="13826" max="13826" width="12.59765625" style="162" customWidth="1"/>
    <col min="13827" max="13827" width="13" style="162" customWidth="1"/>
    <col min="13828" max="13828" width="12.69921875" style="162" customWidth="1"/>
    <col min="13829" max="13829" width="10.3984375" style="162" customWidth="1"/>
    <col min="13830" max="13830" width="12.3984375" style="162" customWidth="1"/>
    <col min="13831" max="13831" width="12.09765625" style="162" customWidth="1"/>
    <col min="13832" max="13832" width="13" style="162" customWidth="1"/>
    <col min="13833" max="14077" width="8.69921875" style="162"/>
    <col min="14078" max="14078" width="18" style="162" customWidth="1"/>
    <col min="14079" max="14079" width="15" style="162" customWidth="1"/>
    <col min="14080" max="14080" width="13.3984375" style="162" customWidth="1"/>
    <col min="14081" max="14081" width="12.09765625" style="162" customWidth="1"/>
    <col min="14082" max="14082" width="12.59765625" style="162" customWidth="1"/>
    <col min="14083" max="14083" width="13" style="162" customWidth="1"/>
    <col min="14084" max="14084" width="12.69921875" style="162" customWidth="1"/>
    <col min="14085" max="14085" width="10.3984375" style="162" customWidth="1"/>
    <col min="14086" max="14086" width="12.3984375" style="162" customWidth="1"/>
    <col min="14087" max="14087" width="12.09765625" style="162" customWidth="1"/>
    <col min="14088" max="14088" width="13" style="162" customWidth="1"/>
    <col min="14089" max="14333" width="8.69921875" style="162"/>
    <col min="14334" max="14334" width="18" style="162" customWidth="1"/>
    <col min="14335" max="14335" width="15" style="162" customWidth="1"/>
    <col min="14336" max="14336" width="13.3984375" style="162" customWidth="1"/>
    <col min="14337" max="14337" width="12.09765625" style="162" customWidth="1"/>
    <col min="14338" max="14338" width="12.59765625" style="162" customWidth="1"/>
    <col min="14339" max="14339" width="13" style="162" customWidth="1"/>
    <col min="14340" max="14340" width="12.69921875" style="162" customWidth="1"/>
    <col min="14341" max="14341" width="10.3984375" style="162" customWidth="1"/>
    <col min="14342" max="14342" width="12.3984375" style="162" customWidth="1"/>
    <col min="14343" max="14343" width="12.09765625" style="162" customWidth="1"/>
    <col min="14344" max="14344" width="13" style="162" customWidth="1"/>
    <col min="14345" max="14589" width="8.69921875" style="162"/>
    <col min="14590" max="14590" width="18" style="162" customWidth="1"/>
    <col min="14591" max="14591" width="15" style="162" customWidth="1"/>
    <col min="14592" max="14592" width="13.3984375" style="162" customWidth="1"/>
    <col min="14593" max="14593" width="12.09765625" style="162" customWidth="1"/>
    <col min="14594" max="14594" width="12.59765625" style="162" customWidth="1"/>
    <col min="14595" max="14595" width="13" style="162" customWidth="1"/>
    <col min="14596" max="14596" width="12.69921875" style="162" customWidth="1"/>
    <col min="14597" max="14597" width="10.3984375" style="162" customWidth="1"/>
    <col min="14598" max="14598" width="12.3984375" style="162" customWidth="1"/>
    <col min="14599" max="14599" width="12.09765625" style="162" customWidth="1"/>
    <col min="14600" max="14600" width="13" style="162" customWidth="1"/>
    <col min="14601" max="14845" width="8.69921875" style="162"/>
    <col min="14846" max="14846" width="18" style="162" customWidth="1"/>
    <col min="14847" max="14847" width="15" style="162" customWidth="1"/>
    <col min="14848" max="14848" width="13.3984375" style="162" customWidth="1"/>
    <col min="14849" max="14849" width="12.09765625" style="162" customWidth="1"/>
    <col min="14850" max="14850" width="12.59765625" style="162" customWidth="1"/>
    <col min="14851" max="14851" width="13" style="162" customWidth="1"/>
    <col min="14852" max="14852" width="12.69921875" style="162" customWidth="1"/>
    <col min="14853" max="14853" width="10.3984375" style="162" customWidth="1"/>
    <col min="14854" max="14854" width="12.3984375" style="162" customWidth="1"/>
    <col min="14855" max="14855" width="12.09765625" style="162" customWidth="1"/>
    <col min="14856" max="14856" width="13" style="162" customWidth="1"/>
    <col min="14857" max="15101" width="8.69921875" style="162"/>
    <col min="15102" max="15102" width="18" style="162" customWidth="1"/>
    <col min="15103" max="15103" width="15" style="162" customWidth="1"/>
    <col min="15104" max="15104" width="13.3984375" style="162" customWidth="1"/>
    <col min="15105" max="15105" width="12.09765625" style="162" customWidth="1"/>
    <col min="15106" max="15106" width="12.59765625" style="162" customWidth="1"/>
    <col min="15107" max="15107" width="13" style="162" customWidth="1"/>
    <col min="15108" max="15108" width="12.69921875" style="162" customWidth="1"/>
    <col min="15109" max="15109" width="10.3984375" style="162" customWidth="1"/>
    <col min="15110" max="15110" width="12.3984375" style="162" customWidth="1"/>
    <col min="15111" max="15111" width="12.09765625" style="162" customWidth="1"/>
    <col min="15112" max="15112" width="13" style="162" customWidth="1"/>
    <col min="15113" max="15357" width="8.69921875" style="162"/>
    <col min="15358" max="15358" width="18" style="162" customWidth="1"/>
    <col min="15359" max="15359" width="15" style="162" customWidth="1"/>
    <col min="15360" max="15360" width="13.3984375" style="162" customWidth="1"/>
    <col min="15361" max="15361" width="12.09765625" style="162" customWidth="1"/>
    <col min="15362" max="15362" width="12.59765625" style="162" customWidth="1"/>
    <col min="15363" max="15363" width="13" style="162" customWidth="1"/>
    <col min="15364" max="15364" width="12.69921875" style="162" customWidth="1"/>
    <col min="15365" max="15365" width="10.3984375" style="162" customWidth="1"/>
    <col min="15366" max="15366" width="12.3984375" style="162" customWidth="1"/>
    <col min="15367" max="15367" width="12.09765625" style="162" customWidth="1"/>
    <col min="15368" max="15368" width="13" style="162" customWidth="1"/>
    <col min="15369" max="15613" width="8.69921875" style="162"/>
    <col min="15614" max="15614" width="18" style="162" customWidth="1"/>
    <col min="15615" max="15615" width="15" style="162" customWidth="1"/>
    <col min="15616" max="15616" width="13.3984375" style="162" customWidth="1"/>
    <col min="15617" max="15617" width="12.09765625" style="162" customWidth="1"/>
    <col min="15618" max="15618" width="12.59765625" style="162" customWidth="1"/>
    <col min="15619" max="15619" width="13" style="162" customWidth="1"/>
    <col min="15620" max="15620" width="12.69921875" style="162" customWidth="1"/>
    <col min="15621" max="15621" width="10.3984375" style="162" customWidth="1"/>
    <col min="15622" max="15622" width="12.3984375" style="162" customWidth="1"/>
    <col min="15623" max="15623" width="12.09765625" style="162" customWidth="1"/>
    <col min="15624" max="15624" width="13" style="162" customWidth="1"/>
    <col min="15625" max="15869" width="8.69921875" style="162"/>
    <col min="15870" max="15870" width="18" style="162" customWidth="1"/>
    <col min="15871" max="15871" width="15" style="162" customWidth="1"/>
    <col min="15872" max="15872" width="13.3984375" style="162" customWidth="1"/>
    <col min="15873" max="15873" width="12.09765625" style="162" customWidth="1"/>
    <col min="15874" max="15874" width="12.59765625" style="162" customWidth="1"/>
    <col min="15875" max="15875" width="13" style="162" customWidth="1"/>
    <col min="15876" max="15876" width="12.69921875" style="162" customWidth="1"/>
    <col min="15877" max="15877" width="10.3984375" style="162" customWidth="1"/>
    <col min="15878" max="15878" width="12.3984375" style="162" customWidth="1"/>
    <col min="15879" max="15879" width="12.09765625" style="162" customWidth="1"/>
    <col min="15880" max="15880" width="13" style="162" customWidth="1"/>
    <col min="15881" max="16125" width="8.69921875" style="162"/>
    <col min="16126" max="16126" width="18" style="162" customWidth="1"/>
    <col min="16127" max="16127" width="15" style="162" customWidth="1"/>
    <col min="16128" max="16128" width="13.3984375" style="162" customWidth="1"/>
    <col min="16129" max="16129" width="12.09765625" style="162" customWidth="1"/>
    <col min="16130" max="16130" width="12.59765625" style="162" customWidth="1"/>
    <col min="16131" max="16131" width="13" style="162" customWidth="1"/>
    <col min="16132" max="16132" width="12.69921875" style="162" customWidth="1"/>
    <col min="16133" max="16133" width="10.3984375" style="162" customWidth="1"/>
    <col min="16134" max="16134" width="12.3984375" style="162" customWidth="1"/>
    <col min="16135" max="16135" width="12.09765625" style="162" customWidth="1"/>
    <col min="16136" max="16136" width="13" style="162" customWidth="1"/>
    <col min="16137" max="16384" width="8.69921875" style="162"/>
  </cols>
  <sheetData>
    <row r="1" spans="1:20" s="621" customFormat="1" ht="19.95" customHeight="1">
      <c r="A1" s="1009" t="s">
        <v>0</v>
      </c>
      <c r="B1" s="1009"/>
      <c r="C1" s="1009"/>
      <c r="D1" s="1009"/>
      <c r="E1" s="1009"/>
      <c r="F1" s="1009"/>
      <c r="G1" s="1009"/>
      <c r="H1" s="1009"/>
      <c r="I1" s="1009"/>
      <c r="J1" s="1009" t="s">
        <v>0</v>
      </c>
      <c r="K1" s="1009"/>
      <c r="L1" s="1009"/>
      <c r="M1" s="1009"/>
      <c r="N1" s="1009"/>
      <c r="O1" s="1009"/>
      <c r="P1" s="1009"/>
      <c r="Q1" s="1009"/>
      <c r="R1" s="1009"/>
      <c r="S1" s="1009"/>
      <c r="T1" s="1009"/>
    </row>
    <row r="2" spans="1:20" s="632" customFormat="1" ht="19.95" customHeight="1">
      <c r="A2" s="1010" t="s">
        <v>1283</v>
      </c>
      <c r="B2" s="1010"/>
      <c r="C2" s="1010"/>
      <c r="D2" s="1010"/>
      <c r="E2" s="1010"/>
      <c r="F2" s="1010"/>
      <c r="G2" s="1010"/>
      <c r="H2" s="1010"/>
      <c r="I2" s="1010"/>
      <c r="J2" s="1010" t="s">
        <v>997</v>
      </c>
      <c r="K2" s="1010"/>
      <c r="L2" s="1010"/>
      <c r="M2" s="1010"/>
      <c r="N2" s="1010"/>
      <c r="O2" s="1010"/>
      <c r="P2" s="1010"/>
      <c r="Q2" s="1010"/>
      <c r="R2" s="1010"/>
      <c r="S2" s="1010"/>
      <c r="T2" s="1010"/>
    </row>
    <row r="3" spans="1:20" s="674" customFormat="1" ht="19.95" customHeight="1">
      <c r="A3" s="207" t="str">
        <f>底稿目录!A2</f>
        <v>被审计单位：</v>
      </c>
      <c r="C3" s="207"/>
      <c r="D3" s="207" t="str">
        <f>底稿目录!A4</f>
        <v>编制人：</v>
      </c>
      <c r="F3" s="229" t="str">
        <f>底稿目录!A5</f>
        <v>编制日期：</v>
      </c>
      <c r="G3" s="207"/>
      <c r="H3" s="207" t="s">
        <v>849</v>
      </c>
      <c r="I3" s="763" t="str">
        <f>底稿目录!F20</f>
        <v>G7-14</v>
      </c>
      <c r="J3" s="674" t="str">
        <f>A3</f>
        <v>被审计单位：</v>
      </c>
      <c r="L3" s="675" t="str">
        <f>D3</f>
        <v>编制人：</v>
      </c>
      <c r="N3" s="675" t="str">
        <f>F3</f>
        <v>编制日期：</v>
      </c>
      <c r="S3" s="674" t="str">
        <f>H3</f>
        <v>索引号：</v>
      </c>
      <c r="T3" s="763" t="str">
        <f>I3</f>
        <v>G7-14</v>
      </c>
    </row>
    <row r="4" spans="1:20" s="674" customFormat="1" ht="19.95" customHeight="1">
      <c r="A4" s="207" t="str">
        <f>底稿目录!A3</f>
        <v>截止日：202X年12月31日</v>
      </c>
      <c r="C4" s="207"/>
      <c r="D4" s="207" t="str">
        <f>底稿目录!A6</f>
        <v>复核人：</v>
      </c>
      <c r="F4" s="229" t="str">
        <f>底稿目录!A7</f>
        <v>复核日期：</v>
      </c>
      <c r="G4" s="207"/>
      <c r="H4" s="207" t="s">
        <v>1314</v>
      </c>
      <c r="J4" s="674" t="str">
        <f>A4</f>
        <v>截止日：202X年12月31日</v>
      </c>
      <c r="L4" s="675" t="str">
        <f>D4</f>
        <v>复核人：</v>
      </c>
      <c r="N4" s="675" t="str">
        <f>F4</f>
        <v>复核日期：</v>
      </c>
      <c r="S4" s="674" t="str">
        <f>H4</f>
        <v>页 次：</v>
      </c>
      <c r="T4" s="674">
        <f>I4</f>
        <v>0</v>
      </c>
    </row>
    <row r="5" spans="1:20" s="153" customFormat="1" ht="19.95" customHeight="1">
      <c r="A5" s="74" t="s">
        <v>442</v>
      </c>
      <c r="B5" s="2"/>
      <c r="C5" s="4" t="s">
        <v>996</v>
      </c>
      <c r="J5" s="153" t="str">
        <f>A5</f>
        <v>一、审计目标：</v>
      </c>
      <c r="K5" s="153">
        <f>B5</f>
        <v>0</v>
      </c>
      <c r="L5" s="153" t="str">
        <f>C5</f>
        <v>确定权益法核算的会计处理是否恰当。</v>
      </c>
    </row>
    <row r="6" spans="1:20" s="153" customFormat="1" ht="19.95" customHeight="1">
      <c r="A6" s="37" t="s">
        <v>463</v>
      </c>
      <c r="J6" s="153" t="str">
        <f t="shared" ref="J6:J7" si="0">A6</f>
        <v>二、审计过程</v>
      </c>
      <c r="K6" s="153">
        <f t="shared" ref="K6:K7" si="1">B6</f>
        <v>0</v>
      </c>
      <c r="L6" s="153">
        <f t="shared" ref="L6:L7" si="2">C6</f>
        <v>0</v>
      </c>
    </row>
    <row r="7" spans="1:20" s="153" customFormat="1" ht="19.95" customHeight="1">
      <c r="A7" s="37" t="s">
        <v>1228</v>
      </c>
      <c r="J7" s="153" t="str">
        <f t="shared" si="0"/>
        <v>1、被投资单位权益法调整测算</v>
      </c>
      <c r="K7" s="153">
        <f t="shared" si="1"/>
        <v>0</v>
      </c>
      <c r="L7" s="153">
        <f t="shared" si="2"/>
        <v>0</v>
      </c>
    </row>
    <row r="8" spans="1:20" s="153" customFormat="1" ht="19.95" customHeight="1">
      <c r="B8" s="951" t="s">
        <v>186</v>
      </c>
      <c r="C8" s="958" t="s">
        <v>149</v>
      </c>
      <c r="D8" s="1013" t="s">
        <v>187</v>
      </c>
      <c r="E8" s="1014"/>
      <c r="F8" s="1015"/>
      <c r="G8" s="1013" t="s">
        <v>475</v>
      </c>
      <c r="H8" s="1014"/>
      <c r="I8" s="1015"/>
      <c r="J8" s="951" t="s">
        <v>476</v>
      </c>
      <c r="K8" s="951" t="s">
        <v>477</v>
      </c>
      <c r="L8" s="951" t="s">
        <v>478</v>
      </c>
      <c r="M8" s="951" t="s">
        <v>479</v>
      </c>
      <c r="N8" s="951" t="s">
        <v>478</v>
      </c>
      <c r="O8" s="951" t="s">
        <v>480</v>
      </c>
      <c r="P8" s="951" t="s">
        <v>478</v>
      </c>
      <c r="Q8" s="950" t="s">
        <v>789</v>
      </c>
    </row>
    <row r="9" spans="1:20" s="153" customFormat="1" ht="25.8">
      <c r="B9" s="951"/>
      <c r="C9" s="959"/>
      <c r="D9" s="48" t="s">
        <v>189</v>
      </c>
      <c r="E9" s="48" t="s">
        <v>190</v>
      </c>
      <c r="F9" s="48" t="s">
        <v>370</v>
      </c>
      <c r="G9" s="48" t="s">
        <v>192</v>
      </c>
      <c r="H9" s="48" t="s">
        <v>193</v>
      </c>
      <c r="I9" s="48" t="s">
        <v>370</v>
      </c>
      <c r="J9" s="951"/>
      <c r="K9" s="951"/>
      <c r="L9" s="951"/>
      <c r="M9" s="951"/>
      <c r="N9" s="951"/>
      <c r="O9" s="951"/>
      <c r="P9" s="951"/>
      <c r="Q9" s="951"/>
    </row>
    <row r="10" spans="1:20" s="153" customFormat="1" ht="19.95" customHeight="1">
      <c r="B10" s="206"/>
      <c r="C10" s="48" t="s">
        <v>481</v>
      </c>
      <c r="D10" s="48" t="s">
        <v>482</v>
      </c>
      <c r="E10" s="48" t="s">
        <v>483</v>
      </c>
      <c r="F10" s="48" t="s">
        <v>484</v>
      </c>
      <c r="G10" s="48" t="s">
        <v>485</v>
      </c>
      <c r="H10" s="48" t="s">
        <v>486</v>
      </c>
      <c r="I10" s="48" t="s">
        <v>487</v>
      </c>
      <c r="J10" s="48" t="s">
        <v>488</v>
      </c>
      <c r="K10" s="48" t="s">
        <v>489</v>
      </c>
      <c r="L10" s="48" t="s">
        <v>490</v>
      </c>
      <c r="M10" s="48" t="s">
        <v>491</v>
      </c>
      <c r="N10" s="48" t="s">
        <v>492</v>
      </c>
      <c r="O10" s="48" t="s">
        <v>493</v>
      </c>
      <c r="P10" s="48" t="s">
        <v>494</v>
      </c>
      <c r="Q10" s="48"/>
    </row>
    <row r="11" spans="1:20" s="153" customFormat="1" ht="19.95" customHeight="1">
      <c r="B11" s="368">
        <f>'明细表G7-2'!B40</f>
        <v>0</v>
      </c>
      <c r="C11" s="558">
        <f>'明细表G7-2'!D40</f>
        <v>0</v>
      </c>
      <c r="D11" s="13"/>
      <c r="E11" s="13"/>
      <c r="F11" s="13"/>
      <c r="G11" s="363">
        <f>C11*D11</f>
        <v>0</v>
      </c>
      <c r="H11" s="363">
        <f>C11*E11</f>
        <v>0</v>
      </c>
      <c r="I11" s="363">
        <f>C11*F11</f>
        <v>0</v>
      </c>
      <c r="J11" s="13"/>
      <c r="K11" s="13"/>
      <c r="L11" s="363">
        <f>K11-G11+J11</f>
        <v>0</v>
      </c>
      <c r="M11" s="13"/>
      <c r="N11" s="363">
        <f>M11-H11</f>
        <v>0</v>
      </c>
      <c r="O11" s="13"/>
      <c r="P11" s="363">
        <f>O11-I11</f>
        <v>0</v>
      </c>
      <c r="Q11" s="17"/>
    </row>
    <row r="12" spans="1:20" s="153" customFormat="1" ht="19.95" customHeight="1">
      <c r="B12" s="368">
        <f>'明细表G7-2'!B41</f>
        <v>0</v>
      </c>
      <c r="C12" s="558">
        <f>'明细表G7-2'!D41</f>
        <v>0</v>
      </c>
      <c r="D12" s="13"/>
      <c r="E12" s="13"/>
      <c r="F12" s="13"/>
      <c r="G12" s="363">
        <f t="shared" ref="G12:G14" si="3">C12*D12</f>
        <v>0</v>
      </c>
      <c r="H12" s="363">
        <f t="shared" ref="H12:H14" si="4">C12*E12</f>
        <v>0</v>
      </c>
      <c r="I12" s="363">
        <f t="shared" ref="I12:I14" si="5">C12*F12</f>
        <v>0</v>
      </c>
      <c r="J12" s="13"/>
      <c r="K12" s="13"/>
      <c r="L12" s="363">
        <f t="shared" ref="L12:L14" si="6">K12-G12+J12</f>
        <v>0</v>
      </c>
      <c r="M12" s="13"/>
      <c r="N12" s="363">
        <f t="shared" ref="N12:N14" si="7">M12-H12</f>
        <v>0</v>
      </c>
      <c r="O12" s="13"/>
      <c r="P12" s="363">
        <f t="shared" ref="P12:P14" si="8">O12-I12</f>
        <v>0</v>
      </c>
      <c r="Q12" s="17"/>
    </row>
    <row r="13" spans="1:20" s="153" customFormat="1" ht="19.95" customHeight="1">
      <c r="B13" s="368">
        <f>'明细表G7-2'!B42</f>
        <v>0</v>
      </c>
      <c r="C13" s="558">
        <f>'明细表G7-2'!D42</f>
        <v>0</v>
      </c>
      <c r="D13" s="13"/>
      <c r="E13" s="13"/>
      <c r="F13" s="13"/>
      <c r="G13" s="363">
        <f t="shared" si="3"/>
        <v>0</v>
      </c>
      <c r="H13" s="363">
        <f t="shared" si="4"/>
        <v>0</v>
      </c>
      <c r="I13" s="363">
        <f t="shared" si="5"/>
        <v>0</v>
      </c>
      <c r="J13" s="13"/>
      <c r="K13" s="13"/>
      <c r="L13" s="363">
        <f t="shared" si="6"/>
        <v>0</v>
      </c>
      <c r="M13" s="13"/>
      <c r="N13" s="363">
        <f t="shared" si="7"/>
        <v>0</v>
      </c>
      <c r="O13" s="13"/>
      <c r="P13" s="363">
        <f t="shared" si="8"/>
        <v>0</v>
      </c>
      <c r="Q13" s="17"/>
    </row>
    <row r="14" spans="1:20" s="153" customFormat="1" ht="19.95" customHeight="1">
      <c r="B14" s="368">
        <f>'明细表G7-2'!B43</f>
        <v>0</v>
      </c>
      <c r="C14" s="558">
        <f>'明细表G7-2'!D43</f>
        <v>0</v>
      </c>
      <c r="D14" s="13"/>
      <c r="E14" s="13"/>
      <c r="F14" s="13"/>
      <c r="G14" s="363">
        <f t="shared" si="3"/>
        <v>0</v>
      </c>
      <c r="H14" s="363">
        <f t="shared" si="4"/>
        <v>0</v>
      </c>
      <c r="I14" s="363">
        <f t="shared" si="5"/>
        <v>0</v>
      </c>
      <c r="J14" s="13"/>
      <c r="K14" s="13"/>
      <c r="L14" s="363">
        <f t="shared" si="6"/>
        <v>0</v>
      </c>
      <c r="M14" s="13"/>
      <c r="N14" s="363">
        <f t="shared" si="7"/>
        <v>0</v>
      </c>
      <c r="O14" s="13"/>
      <c r="P14" s="363">
        <f t="shared" si="8"/>
        <v>0</v>
      </c>
      <c r="Q14" s="17"/>
    </row>
    <row r="15" spans="1:20" s="153" customFormat="1" ht="19.95" customHeight="1">
      <c r="B15" s="46" t="s">
        <v>172</v>
      </c>
      <c r="C15" s="26"/>
      <c r="D15" s="366">
        <f t="shared" ref="D15:P15" si="9">SUM(D11:D14)</f>
        <v>0</v>
      </c>
      <c r="E15" s="366">
        <f t="shared" si="9"/>
        <v>0</v>
      </c>
      <c r="F15" s="366">
        <f t="shared" si="9"/>
        <v>0</v>
      </c>
      <c r="G15" s="366">
        <f t="shared" si="9"/>
        <v>0</v>
      </c>
      <c r="H15" s="366">
        <f t="shared" si="9"/>
        <v>0</v>
      </c>
      <c r="I15" s="366">
        <f t="shared" si="9"/>
        <v>0</v>
      </c>
      <c r="J15" s="366">
        <f t="shared" si="9"/>
        <v>0</v>
      </c>
      <c r="K15" s="366">
        <f t="shared" si="9"/>
        <v>0</v>
      </c>
      <c r="L15" s="366">
        <f t="shared" si="9"/>
        <v>0</v>
      </c>
      <c r="M15" s="366">
        <f t="shared" si="9"/>
        <v>0</v>
      </c>
      <c r="N15" s="366">
        <f t="shared" si="9"/>
        <v>0</v>
      </c>
      <c r="O15" s="366">
        <f t="shared" si="9"/>
        <v>0</v>
      </c>
      <c r="P15" s="366">
        <f t="shared" si="9"/>
        <v>0</v>
      </c>
      <c r="Q15" s="559"/>
    </row>
    <row r="16" spans="1:20" s="153" customFormat="1" ht="19.95" customHeight="1">
      <c r="A16" s="154" t="s">
        <v>1229</v>
      </c>
      <c r="B16" s="552"/>
      <c r="C16" s="553"/>
      <c r="D16" s="551"/>
      <c r="E16" s="551"/>
      <c r="F16" s="551"/>
      <c r="G16" s="551"/>
      <c r="H16" s="551"/>
      <c r="I16" s="551"/>
      <c r="J16" s="551"/>
      <c r="K16" s="551"/>
      <c r="L16" s="551"/>
      <c r="M16" s="551"/>
      <c r="N16" s="551"/>
      <c r="O16" s="551"/>
      <c r="P16" s="551"/>
      <c r="Q16" s="551"/>
    </row>
    <row r="17" spans="1:20" s="153" customFormat="1" ht="19.95" customHeight="1">
      <c r="B17" s="946" t="s">
        <v>1071</v>
      </c>
      <c r="C17" s="1031" t="s">
        <v>1072</v>
      </c>
      <c r="D17" s="1034" t="s">
        <v>1066</v>
      </c>
      <c r="E17" s="1034"/>
      <c r="F17" s="1034"/>
      <c r="G17" s="1034" t="s">
        <v>1067</v>
      </c>
      <c r="H17" s="1034"/>
      <c r="I17" s="1034"/>
      <c r="J17" s="1034" t="s">
        <v>1073</v>
      </c>
      <c r="K17" s="1034"/>
      <c r="L17" s="1034"/>
      <c r="M17" s="1034" t="s">
        <v>1074</v>
      </c>
      <c r="N17" s="1034"/>
      <c r="O17" s="1034"/>
      <c r="P17" s="1032" t="s">
        <v>1076</v>
      </c>
      <c r="Q17" s="1032" t="s">
        <v>1077</v>
      </c>
      <c r="R17" s="1032" t="s">
        <v>1078</v>
      </c>
      <c r="S17" s="1032" t="s">
        <v>1079</v>
      </c>
      <c r="T17" s="1032" t="s">
        <v>1080</v>
      </c>
    </row>
    <row r="18" spans="1:20" s="153" customFormat="1" ht="25.8">
      <c r="B18" s="946"/>
      <c r="C18" s="1031"/>
      <c r="D18" s="556" t="s">
        <v>1068</v>
      </c>
      <c r="E18" s="556" t="s">
        <v>1075</v>
      </c>
      <c r="F18" s="556" t="s">
        <v>1069</v>
      </c>
      <c r="G18" s="556" t="s">
        <v>1068</v>
      </c>
      <c r="H18" s="556" t="s">
        <v>1070</v>
      </c>
      <c r="I18" s="556" t="s">
        <v>1069</v>
      </c>
      <c r="J18" s="556" t="s">
        <v>1068</v>
      </c>
      <c r="K18" s="556" t="s">
        <v>1075</v>
      </c>
      <c r="L18" s="556" t="s">
        <v>1069</v>
      </c>
      <c r="M18" s="556" t="s">
        <v>1068</v>
      </c>
      <c r="N18" s="556" t="s">
        <v>1075</v>
      </c>
      <c r="O18" s="556" t="s">
        <v>1069</v>
      </c>
      <c r="P18" s="1033"/>
      <c r="Q18" s="1033"/>
      <c r="R18" s="1033"/>
      <c r="S18" s="1033"/>
      <c r="T18" s="1033"/>
    </row>
    <row r="19" spans="1:20" s="153" customFormat="1" ht="19.95" customHeight="1">
      <c r="B19" s="615">
        <f>B11</f>
        <v>0</v>
      </c>
      <c r="C19" s="615">
        <f>C11</f>
        <v>0</v>
      </c>
      <c r="D19" s="654">
        <f>'明细表G7-2'!AO40</f>
        <v>0</v>
      </c>
      <c r="E19" s="654">
        <f>'明细表G7-2'!AQ40</f>
        <v>0</v>
      </c>
      <c r="F19" s="391">
        <f>D19+E19</f>
        <v>0</v>
      </c>
      <c r="G19" s="655"/>
      <c r="H19" s="391">
        <f>'明细表G7-2'!AR40</f>
        <v>0</v>
      </c>
      <c r="I19" s="391">
        <f>G19+H19</f>
        <v>0</v>
      </c>
      <c r="J19" s="655"/>
      <c r="K19" s="391">
        <f>'明细表G7-2'!AS40</f>
        <v>0</v>
      </c>
      <c r="L19" s="391">
        <f>J19+K19</f>
        <v>0</v>
      </c>
      <c r="M19" s="655"/>
      <c r="N19" s="391">
        <f>'明细表G7-2'!AT40</f>
        <v>0</v>
      </c>
      <c r="O19" s="391">
        <f>M19+N19</f>
        <v>0</v>
      </c>
      <c r="P19" s="554"/>
      <c r="Q19" s="391">
        <f>P19*C19</f>
        <v>0</v>
      </c>
      <c r="R19" s="391">
        <f>O19+L19+I19+F19</f>
        <v>0</v>
      </c>
      <c r="S19" s="391">
        <f>R19-Q19</f>
        <v>0</v>
      </c>
      <c r="T19" s="555"/>
    </row>
    <row r="20" spans="1:20" s="153" customFormat="1" ht="19.95" customHeight="1">
      <c r="B20" s="615">
        <f t="shared" ref="B20:C21" si="10">B12</f>
        <v>0</v>
      </c>
      <c r="C20" s="615">
        <f t="shared" si="10"/>
        <v>0</v>
      </c>
      <c r="D20" s="654">
        <f>'明细表G7-2'!AO41</f>
        <v>0</v>
      </c>
      <c r="E20" s="654">
        <f>'明细表G7-2'!AQ41</f>
        <v>0</v>
      </c>
      <c r="F20" s="391">
        <f t="shared" ref="F20:F21" si="11">D20+E20</f>
        <v>0</v>
      </c>
      <c r="G20" s="655"/>
      <c r="H20" s="391">
        <f>'明细表G7-2'!AR41</f>
        <v>0</v>
      </c>
      <c r="I20" s="391">
        <f t="shared" ref="I20:I21" si="12">G20+H20</f>
        <v>0</v>
      </c>
      <c r="J20" s="655"/>
      <c r="K20" s="391">
        <f>'明细表G7-2'!AS41</f>
        <v>0</v>
      </c>
      <c r="L20" s="391">
        <f t="shared" ref="L20:L21" si="13">J20+K20</f>
        <v>0</v>
      </c>
      <c r="M20" s="655"/>
      <c r="N20" s="391">
        <f>'明细表G7-2'!AT41</f>
        <v>0</v>
      </c>
      <c r="O20" s="391">
        <f t="shared" ref="O20:O21" si="14">M20+N20</f>
        <v>0</v>
      </c>
      <c r="P20" s="554"/>
      <c r="Q20" s="391">
        <f t="shared" ref="Q20:Q21" si="15">P20*C20</f>
        <v>0</v>
      </c>
      <c r="R20" s="391">
        <f t="shared" ref="R20:R21" si="16">O20+L20+I20+F20</f>
        <v>0</v>
      </c>
      <c r="S20" s="391">
        <f t="shared" ref="S20:S21" si="17">R20-Q20</f>
        <v>0</v>
      </c>
      <c r="T20" s="555"/>
    </row>
    <row r="21" spans="1:20" s="153" customFormat="1" ht="19.95" customHeight="1">
      <c r="B21" s="615">
        <f t="shared" si="10"/>
        <v>0</v>
      </c>
      <c r="C21" s="615">
        <f t="shared" si="10"/>
        <v>0</v>
      </c>
      <c r="D21" s="654">
        <f>'明细表G7-2'!AO42</f>
        <v>0</v>
      </c>
      <c r="E21" s="654">
        <f>'明细表G7-2'!AQ42</f>
        <v>0</v>
      </c>
      <c r="F21" s="391">
        <f t="shared" si="11"/>
        <v>0</v>
      </c>
      <c r="G21" s="554"/>
      <c r="H21" s="391">
        <f>'明细表G7-2'!AR42</f>
        <v>0</v>
      </c>
      <c r="I21" s="391">
        <f t="shared" si="12"/>
        <v>0</v>
      </c>
      <c r="J21" s="557"/>
      <c r="K21" s="391">
        <f>'明细表G7-2'!AS42</f>
        <v>0</v>
      </c>
      <c r="L21" s="391">
        <f t="shared" si="13"/>
        <v>0</v>
      </c>
      <c r="M21" s="554"/>
      <c r="N21" s="391">
        <f>'明细表G7-2'!AT42</f>
        <v>0</v>
      </c>
      <c r="O21" s="391">
        <f t="shared" si="14"/>
        <v>0</v>
      </c>
      <c r="P21" s="554"/>
      <c r="Q21" s="391">
        <f t="shared" si="15"/>
        <v>0</v>
      </c>
      <c r="R21" s="391">
        <f t="shared" si="16"/>
        <v>0</v>
      </c>
      <c r="S21" s="391">
        <f t="shared" si="17"/>
        <v>0</v>
      </c>
      <c r="T21" s="555"/>
    </row>
    <row r="22" spans="1:20" s="153" customFormat="1" ht="19.95" customHeight="1">
      <c r="B22" s="46" t="s">
        <v>1289</v>
      </c>
      <c r="C22" s="26"/>
      <c r="D22" s="366">
        <f>SUM(D19:D21)</f>
        <v>0</v>
      </c>
      <c r="E22" s="366">
        <f t="shared" ref="E22:S22" si="18">SUM(E19:E21)</f>
        <v>0</v>
      </c>
      <c r="F22" s="366">
        <f t="shared" si="18"/>
        <v>0</v>
      </c>
      <c r="G22" s="366">
        <f t="shared" si="18"/>
        <v>0</v>
      </c>
      <c r="H22" s="366">
        <f t="shared" si="18"/>
        <v>0</v>
      </c>
      <c r="I22" s="366">
        <f t="shared" si="18"/>
        <v>0</v>
      </c>
      <c r="J22" s="366">
        <f t="shared" si="18"/>
        <v>0</v>
      </c>
      <c r="K22" s="366">
        <f t="shared" si="18"/>
        <v>0</v>
      </c>
      <c r="L22" s="366">
        <f t="shared" si="18"/>
        <v>0</v>
      </c>
      <c r="M22" s="366">
        <f t="shared" si="18"/>
        <v>0</v>
      </c>
      <c r="N22" s="366">
        <f t="shared" si="18"/>
        <v>0</v>
      </c>
      <c r="O22" s="366">
        <f t="shared" si="18"/>
        <v>0</v>
      </c>
      <c r="P22" s="366">
        <f t="shared" si="18"/>
        <v>0</v>
      </c>
      <c r="Q22" s="366">
        <f t="shared" si="18"/>
        <v>0</v>
      </c>
      <c r="R22" s="366">
        <f t="shared" si="18"/>
        <v>0</v>
      </c>
      <c r="S22" s="366">
        <f t="shared" si="18"/>
        <v>0</v>
      </c>
    </row>
    <row r="23" spans="1:20" s="153" customFormat="1" ht="19.95" customHeight="1">
      <c r="A23" s="563" t="s">
        <v>1230</v>
      </c>
    </row>
    <row r="24" spans="1:20" s="153" customFormat="1" ht="19.95" customHeight="1">
      <c r="B24" s="1022" t="s">
        <v>95</v>
      </c>
      <c r="C24" s="1022"/>
      <c r="D24" s="397" t="s">
        <v>325</v>
      </c>
      <c r="E24" s="604" t="s">
        <v>326</v>
      </c>
      <c r="F24" s="604" t="s">
        <v>327</v>
      </c>
      <c r="G24" s="693" t="s">
        <v>328</v>
      </c>
      <c r="H24" s="686"/>
      <c r="I24" s="686"/>
      <c r="J24" s="686"/>
      <c r="K24" s="687"/>
      <c r="L24" s="686"/>
    </row>
    <row r="25" spans="1:20" s="153" customFormat="1" ht="19.95" customHeight="1">
      <c r="B25" s="1029" t="s">
        <v>1294</v>
      </c>
      <c r="C25" s="1029"/>
      <c r="D25" s="100"/>
      <c r="E25" s="100"/>
      <c r="F25" s="691"/>
      <c r="G25" s="369">
        <f t="shared" ref="G25:G32" si="19">D25+E25-F25</f>
        <v>0</v>
      </c>
      <c r="H25" s="688"/>
      <c r="I25" s="689"/>
      <c r="J25" s="687"/>
      <c r="K25" s="687"/>
      <c r="L25" s="686"/>
    </row>
    <row r="26" spans="1:20" s="153" customFormat="1" ht="19.95" customHeight="1">
      <c r="B26" s="1023" t="s">
        <v>329</v>
      </c>
      <c r="C26" s="1023"/>
      <c r="D26" s="100"/>
      <c r="E26" s="100"/>
      <c r="F26" s="691"/>
      <c r="G26" s="369">
        <f t="shared" si="19"/>
        <v>0</v>
      </c>
      <c r="H26" s="689"/>
      <c r="I26" s="689"/>
      <c r="J26" s="689"/>
      <c r="K26" s="689"/>
      <c r="L26" s="686"/>
    </row>
    <row r="27" spans="1:20" s="153" customFormat="1" ht="19.95" customHeight="1">
      <c r="B27" s="1023" t="s">
        <v>330</v>
      </c>
      <c r="C27" s="1023"/>
      <c r="D27" s="100"/>
      <c r="E27" s="100"/>
      <c r="F27" s="691"/>
      <c r="G27" s="369">
        <f t="shared" si="19"/>
        <v>0</v>
      </c>
      <c r="H27" s="689"/>
      <c r="I27" s="689"/>
      <c r="J27" s="689"/>
      <c r="K27" s="689"/>
      <c r="L27" s="686"/>
    </row>
    <row r="28" spans="1:20" s="153" customFormat="1" ht="19.95" customHeight="1">
      <c r="B28" s="1023" t="s">
        <v>331</v>
      </c>
      <c r="C28" s="1023"/>
      <c r="D28" s="100"/>
      <c r="E28" s="100"/>
      <c r="F28" s="691"/>
      <c r="G28" s="369">
        <f t="shared" si="19"/>
        <v>0</v>
      </c>
      <c r="H28" s="689"/>
      <c r="I28" s="689"/>
      <c r="J28" s="689"/>
      <c r="K28" s="689"/>
      <c r="L28" s="686"/>
    </row>
    <row r="29" spans="1:20" s="153" customFormat="1" ht="19.95" customHeight="1">
      <c r="B29" s="1023" t="s">
        <v>1290</v>
      </c>
      <c r="C29" s="1023"/>
      <c r="D29" s="100"/>
      <c r="E29" s="100"/>
      <c r="F29" s="691"/>
      <c r="G29" s="369">
        <f t="shared" si="19"/>
        <v>0</v>
      </c>
      <c r="H29" s="689"/>
      <c r="I29" s="689"/>
      <c r="J29" s="689"/>
      <c r="K29" s="689"/>
      <c r="L29" s="686"/>
    </row>
    <row r="30" spans="1:20" s="153" customFormat="1" ht="19.95" customHeight="1">
      <c r="B30" s="1023" t="s">
        <v>332</v>
      </c>
      <c r="C30" s="1023"/>
      <c r="D30" s="100"/>
      <c r="E30" s="100"/>
      <c r="F30" s="691"/>
      <c r="G30" s="369">
        <f t="shared" si="19"/>
        <v>0</v>
      </c>
      <c r="H30" s="689"/>
      <c r="I30" s="689"/>
      <c r="J30" s="689"/>
      <c r="K30" s="689"/>
      <c r="L30" s="686"/>
    </row>
    <row r="31" spans="1:20" s="153" customFormat="1" ht="19.95" customHeight="1">
      <c r="B31" s="1023" t="s">
        <v>1295</v>
      </c>
      <c r="C31" s="1023"/>
      <c r="D31" s="100"/>
      <c r="E31" s="100"/>
      <c r="F31" s="691"/>
      <c r="G31" s="369">
        <f t="shared" si="19"/>
        <v>0</v>
      </c>
      <c r="H31" s="689"/>
      <c r="I31" s="689"/>
      <c r="J31" s="689"/>
      <c r="K31" s="689"/>
      <c r="L31" s="686"/>
    </row>
    <row r="32" spans="1:20" s="153" customFormat="1" ht="19.95" customHeight="1">
      <c r="B32" s="1023" t="s">
        <v>333</v>
      </c>
      <c r="C32" s="1023"/>
      <c r="D32" s="100"/>
      <c r="E32" s="100"/>
      <c r="F32" s="691"/>
      <c r="G32" s="369">
        <f t="shared" si="19"/>
        <v>0</v>
      </c>
      <c r="H32" s="689"/>
      <c r="I32" s="689"/>
      <c r="J32" s="689"/>
      <c r="K32" s="689"/>
      <c r="L32" s="686"/>
    </row>
    <row r="33" spans="1:12" s="153" customFormat="1" ht="19.95" customHeight="1">
      <c r="B33" s="1023" t="s">
        <v>334</v>
      </c>
      <c r="C33" s="1023"/>
      <c r="D33" s="383">
        <f>SUM(D26:D27,-D28,D29:D32)</f>
        <v>0</v>
      </c>
      <c r="E33" s="383">
        <f>SUM(E26:E27,-E28,E29:E32)</f>
        <v>0</v>
      </c>
      <c r="F33" s="685">
        <f>SUM(F26:F27,-F28,F29:F32)</f>
        <v>0</v>
      </c>
      <c r="G33" s="369">
        <f>SUM(G26:G27,-G28,G29:G32)</f>
        <v>0</v>
      </c>
      <c r="H33" s="689"/>
      <c r="I33" s="689"/>
      <c r="J33" s="689"/>
      <c r="K33" s="689"/>
      <c r="L33" s="686"/>
    </row>
    <row r="34" spans="1:12" s="153" customFormat="1" ht="19.95" customHeight="1">
      <c r="B34" s="1023" t="s">
        <v>335</v>
      </c>
      <c r="C34" s="1023"/>
      <c r="D34" s="100"/>
      <c r="E34" s="100"/>
      <c r="F34" s="691"/>
      <c r="G34" s="369">
        <f>D34+E34-F34</f>
        <v>0</v>
      </c>
      <c r="H34" s="689"/>
      <c r="I34" s="689"/>
      <c r="J34" s="689"/>
      <c r="K34" s="689"/>
      <c r="L34" s="686"/>
    </row>
    <row r="35" spans="1:12" s="153" customFormat="1" ht="19.95" customHeight="1">
      <c r="B35" s="1023" t="s">
        <v>336</v>
      </c>
      <c r="C35" s="1023"/>
      <c r="D35" s="383">
        <f>D34+D33</f>
        <v>0</v>
      </c>
      <c r="E35" s="383">
        <f>E34+E33</f>
        <v>0</v>
      </c>
      <c r="F35" s="685">
        <f>F34+F33</f>
        <v>0</v>
      </c>
      <c r="G35" s="369">
        <f>G34+G33</f>
        <v>0</v>
      </c>
      <c r="H35" s="689"/>
      <c r="I35" s="689"/>
      <c r="J35" s="689"/>
      <c r="K35" s="689"/>
      <c r="L35" s="686"/>
    </row>
    <row r="36" spans="1:12" s="153" customFormat="1" ht="19.95" customHeight="1">
      <c r="B36" s="313" t="s">
        <v>1296</v>
      </c>
      <c r="C36" s="314"/>
      <c r="D36" s="100"/>
      <c r="E36" s="100"/>
      <c r="F36" s="691"/>
      <c r="G36" s="369">
        <f t="shared" ref="G36:G41" si="20">D36+E36-F36</f>
        <v>0</v>
      </c>
      <c r="H36" s="689"/>
      <c r="I36" s="689"/>
      <c r="J36" s="687"/>
      <c r="K36" s="687"/>
      <c r="L36" s="686"/>
    </row>
    <row r="37" spans="1:12" s="153" customFormat="1" ht="19.95" customHeight="1">
      <c r="B37" s="1030" t="s">
        <v>1297</v>
      </c>
      <c r="C37" s="1030"/>
      <c r="D37" s="100"/>
      <c r="E37" s="100"/>
      <c r="F37" s="691"/>
      <c r="G37" s="369">
        <f t="shared" si="20"/>
        <v>0</v>
      </c>
      <c r="H37" s="689"/>
      <c r="I37" s="689"/>
      <c r="J37" s="689"/>
      <c r="K37" s="689"/>
      <c r="L37" s="686"/>
    </row>
    <row r="38" spans="1:12" s="153" customFormat="1" ht="19.95" customHeight="1">
      <c r="B38" s="1023" t="s">
        <v>1298</v>
      </c>
      <c r="C38" s="1023"/>
      <c r="D38" s="100"/>
      <c r="E38" s="100"/>
      <c r="F38" s="691"/>
      <c r="G38" s="369">
        <f t="shared" si="20"/>
        <v>0</v>
      </c>
      <c r="H38" s="689"/>
      <c r="I38" s="689"/>
      <c r="J38" s="689"/>
      <c r="K38" s="689"/>
      <c r="L38" s="686"/>
    </row>
    <row r="39" spans="1:12" s="153" customFormat="1" ht="19.95" customHeight="1">
      <c r="B39" s="1023" t="s">
        <v>1299</v>
      </c>
      <c r="C39" s="1023"/>
      <c r="D39" s="100"/>
      <c r="E39" s="100"/>
      <c r="F39" s="691"/>
      <c r="G39" s="369">
        <f t="shared" si="20"/>
        <v>0</v>
      </c>
      <c r="H39" s="689"/>
      <c r="I39" s="689"/>
      <c r="J39" s="689"/>
      <c r="K39" s="689"/>
      <c r="L39" s="686"/>
    </row>
    <row r="40" spans="1:12" s="153" customFormat="1" ht="19.95" customHeight="1">
      <c r="B40" s="315" t="s">
        <v>1291</v>
      </c>
      <c r="C40" s="316"/>
      <c r="D40" s="100"/>
      <c r="E40" s="100"/>
      <c r="F40" s="691"/>
      <c r="G40" s="369">
        <f t="shared" si="20"/>
        <v>0</v>
      </c>
      <c r="H40" s="689"/>
      <c r="I40" s="689"/>
      <c r="J40" s="689"/>
      <c r="K40" s="689"/>
      <c r="L40" s="686"/>
    </row>
    <row r="41" spans="1:12" s="153" customFormat="1" ht="19.95" customHeight="1">
      <c r="B41" s="614" t="s">
        <v>1300</v>
      </c>
      <c r="C41" s="614"/>
      <c r="D41" s="100"/>
      <c r="E41" s="100"/>
      <c r="F41" s="691"/>
      <c r="G41" s="369">
        <f t="shared" si="20"/>
        <v>0</v>
      </c>
      <c r="H41" s="689"/>
      <c r="I41" s="689"/>
      <c r="J41" s="689"/>
      <c r="K41" s="689"/>
      <c r="L41" s="686"/>
    </row>
    <row r="42" spans="1:12" s="153" customFormat="1" ht="19.95" customHeight="1">
      <c r="B42" s="984" t="s">
        <v>1292</v>
      </c>
      <c r="C42" s="984"/>
      <c r="D42" s="383">
        <f>D35+D37+D38+D39-D41</f>
        <v>0</v>
      </c>
      <c r="E42" s="383">
        <f>E35+E37+E38+E39-E41</f>
        <v>0</v>
      </c>
      <c r="F42" s="685">
        <f>F35+F37+F38+F39-F41</f>
        <v>0</v>
      </c>
      <c r="G42" s="369">
        <f>G35+G37+G38+G39-G41</f>
        <v>0</v>
      </c>
      <c r="H42" s="689"/>
      <c r="I42" s="689"/>
      <c r="J42" s="689"/>
      <c r="K42" s="689"/>
      <c r="L42" s="686"/>
    </row>
    <row r="43" spans="1:12" s="153" customFormat="1" ht="19.95" customHeight="1">
      <c r="B43" s="1023"/>
      <c r="C43" s="1023"/>
      <c r="D43" s="100"/>
      <c r="E43" s="100"/>
      <c r="F43" s="691"/>
      <c r="G43" s="369">
        <f>D43+E43-F43</f>
        <v>0</v>
      </c>
      <c r="H43" s="689"/>
      <c r="I43" s="689"/>
      <c r="J43" s="687"/>
      <c r="K43" s="687"/>
      <c r="L43" s="686"/>
    </row>
    <row r="44" spans="1:12" s="153" customFormat="1" ht="19.95" customHeight="1">
      <c r="B44" s="984" t="s">
        <v>1293</v>
      </c>
      <c r="C44" s="984"/>
      <c r="D44" s="398"/>
      <c r="E44" s="398"/>
      <c r="F44" s="692"/>
      <c r="G44" s="369">
        <f>D44+E44-F44</f>
        <v>0</v>
      </c>
      <c r="H44" s="690"/>
      <c r="I44" s="690"/>
      <c r="J44" s="689"/>
      <c r="K44" s="689"/>
      <c r="L44" s="686"/>
    </row>
    <row r="45" spans="1:12" s="153" customFormat="1" ht="19.95" customHeight="1">
      <c r="B45" s="984" t="s">
        <v>1301</v>
      </c>
      <c r="C45" s="984"/>
      <c r="D45" s="383">
        <f>D42*D44</f>
        <v>0</v>
      </c>
      <c r="E45" s="383">
        <f>E42*E44</f>
        <v>0</v>
      </c>
      <c r="F45" s="685">
        <f>F42*F44</f>
        <v>0</v>
      </c>
      <c r="G45" s="369">
        <f>G42*G44</f>
        <v>0</v>
      </c>
      <c r="H45" s="689"/>
      <c r="I45" s="689"/>
      <c r="J45" s="689"/>
      <c r="K45" s="689"/>
      <c r="L45" s="686"/>
    </row>
    <row r="46" spans="1:12" s="153" customFormat="1" ht="19.95" customHeight="1">
      <c r="B46" s="161" t="s">
        <v>337</v>
      </c>
      <c r="F46" s="156"/>
      <c r="G46" s="156"/>
      <c r="H46" s="686"/>
      <c r="I46" s="686"/>
      <c r="J46" s="686"/>
      <c r="K46" s="686"/>
      <c r="L46" s="686"/>
    </row>
    <row r="47" spans="1:12" s="153" customFormat="1" ht="19.95" customHeight="1">
      <c r="B47" s="161" t="s">
        <v>338</v>
      </c>
      <c r="J47" s="686"/>
    </row>
    <row r="48" spans="1:12" ht="19.95" customHeight="1">
      <c r="A48" s="23" t="s">
        <v>232</v>
      </c>
      <c r="B48" s="2"/>
      <c r="J48" s="153"/>
    </row>
    <row r="49" spans="1:10" ht="19.95" customHeight="1">
      <c r="A49" s="2"/>
      <c r="B49" s="2"/>
      <c r="J49" s="153"/>
    </row>
    <row r="50" spans="1:10" ht="19.95" customHeight="1">
      <c r="A50" s="2"/>
      <c r="B50" s="2"/>
      <c r="J50" s="153"/>
    </row>
    <row r="51" spans="1:10" ht="19.95" customHeight="1">
      <c r="A51" s="23" t="s">
        <v>233</v>
      </c>
      <c r="B51" s="2"/>
      <c r="J51" s="153"/>
    </row>
    <row r="52" spans="1:10" ht="19.95" customHeight="1">
      <c r="J52" s="153"/>
    </row>
    <row r="53" spans="1:10" ht="19.95" customHeight="1"/>
    <row r="54" spans="1:10" ht="20.100000000000001" customHeight="1"/>
  </sheetData>
  <mergeCells count="46">
    <mergeCell ref="P17:P18"/>
    <mergeCell ref="Q17:Q18"/>
    <mergeCell ref="R17:R18"/>
    <mergeCell ref="D17:F17"/>
    <mergeCell ref="G17:I17"/>
    <mergeCell ref="J17:L17"/>
    <mergeCell ref="M17:O17"/>
    <mergeCell ref="J1:T1"/>
    <mergeCell ref="J2:T2"/>
    <mergeCell ref="B33:C33"/>
    <mergeCell ref="D8:F8"/>
    <mergeCell ref="O8:O9"/>
    <mergeCell ref="P8:P9"/>
    <mergeCell ref="Q8:Q9"/>
    <mergeCell ref="G8:I8"/>
    <mergeCell ref="J8:J9"/>
    <mergeCell ref="K8:K9"/>
    <mergeCell ref="L8:L9"/>
    <mergeCell ref="M8:M9"/>
    <mergeCell ref="N8:N9"/>
    <mergeCell ref="S17:S18"/>
    <mergeCell ref="T17:T18"/>
    <mergeCell ref="B17:B18"/>
    <mergeCell ref="A1:I1"/>
    <mergeCell ref="A2:I2"/>
    <mergeCell ref="C17:C18"/>
    <mergeCell ref="B34:C34"/>
    <mergeCell ref="B30:C30"/>
    <mergeCell ref="B8:B9"/>
    <mergeCell ref="C8:C9"/>
    <mergeCell ref="B45:C45"/>
    <mergeCell ref="B42:C42"/>
    <mergeCell ref="B43:C43"/>
    <mergeCell ref="B44:C44"/>
    <mergeCell ref="B24:C24"/>
    <mergeCell ref="B25:C25"/>
    <mergeCell ref="B26:C26"/>
    <mergeCell ref="B27:C27"/>
    <mergeCell ref="B28:C28"/>
    <mergeCell ref="B29:C29"/>
    <mergeCell ref="B38:C38"/>
    <mergeCell ref="B39:C39"/>
    <mergeCell ref="B35:C35"/>
    <mergeCell ref="B37:C37"/>
    <mergeCell ref="B31:C31"/>
    <mergeCell ref="B32:C32"/>
  </mergeCells>
  <phoneticPr fontId="11" type="noConversion"/>
  <hyperlinks>
    <hyperlink ref="I3" location="底稿目录!F20" display="底稿目录!F20"/>
    <hyperlink ref="T3" location="底稿目录!F20" display="底稿目录!F20"/>
  </hyperlinks>
  <pageMargins left="0.70866141732283472" right="0.70866141732283472" top="0.74803149606299213" bottom="0.74803149606299213" header="0.31496062992125984" footer="0.31496062992125984"/>
  <pageSetup paperSize="9" scale="80" fitToWidth="2" fitToHeight="0" orientation="landscape" blackAndWhite="1" r:id="rId1"/>
  <headerFooter>
    <oddFooter>&amp;C&amp;P/&amp;N</oddFooter>
  </headerFooter>
  <rowBreaks count="1" manualBreakCount="1">
    <brk id="22" max="19" man="1"/>
  </rowBreaks>
  <colBreaks count="1" manualBreakCount="1">
    <brk id="9" max="52"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N41"/>
  <sheetViews>
    <sheetView view="pageBreakPreview" zoomScaleSheetLayoutView="100" workbookViewId="0">
      <selection sqref="A1:L1"/>
    </sheetView>
  </sheetViews>
  <sheetFormatPr defaultColWidth="9" defaultRowHeight="15.6"/>
  <cols>
    <col min="1" max="1" width="3.19921875" style="90" customWidth="1"/>
    <col min="2" max="2" width="9" style="90"/>
    <col min="3" max="3" width="12.69921875" style="90" customWidth="1"/>
    <col min="4" max="4" width="18" style="90" customWidth="1"/>
    <col min="5" max="5" width="9.296875" style="90" customWidth="1"/>
    <col min="6" max="9" width="11.5" style="90" customWidth="1"/>
    <col min="10" max="10" width="13.5" style="90" customWidth="1"/>
    <col min="11" max="11" width="16.19921875" style="90" customWidth="1"/>
    <col min="12" max="12" width="11.5" style="90" customWidth="1"/>
    <col min="13" max="16384" width="9" style="90"/>
  </cols>
  <sheetData>
    <row r="1" spans="1:12" s="617" customFormat="1" ht="19.95" customHeight="1">
      <c r="A1" s="942" t="s">
        <v>0</v>
      </c>
      <c r="B1" s="942"/>
      <c r="C1" s="942"/>
      <c r="D1" s="942"/>
      <c r="E1" s="942"/>
      <c r="F1" s="942"/>
      <c r="G1" s="942"/>
      <c r="H1" s="942"/>
      <c r="I1" s="942"/>
      <c r="J1" s="942"/>
      <c r="K1" s="942"/>
      <c r="L1" s="942"/>
    </row>
    <row r="2" spans="1:12" s="630" customFormat="1" ht="19.95" customHeight="1">
      <c r="A2" s="943" t="s">
        <v>1287</v>
      </c>
      <c r="B2" s="943"/>
      <c r="C2" s="943"/>
      <c r="D2" s="943"/>
      <c r="E2" s="943"/>
      <c r="F2" s="943"/>
      <c r="G2" s="943"/>
      <c r="H2" s="943"/>
      <c r="I2" s="943"/>
      <c r="J2" s="943"/>
      <c r="K2" s="943"/>
      <c r="L2" s="943"/>
    </row>
    <row r="3" spans="1:12" s="673" customFormat="1" ht="19.95" customHeight="1">
      <c r="A3" s="673" t="str">
        <f>底稿目录!A2</f>
        <v>被审计单位：</v>
      </c>
      <c r="E3" s="673" t="str">
        <f>底稿目录!A4</f>
        <v>编制人：</v>
      </c>
      <c r="H3" s="673" t="str">
        <f>底稿目录!A5</f>
        <v>编制日期：</v>
      </c>
      <c r="K3" s="672" t="s">
        <v>2</v>
      </c>
      <c r="L3" s="763" t="str">
        <f>底稿目录!F21</f>
        <v>G7-15</v>
      </c>
    </row>
    <row r="4" spans="1:12" s="673" customFormat="1" ht="19.95" customHeight="1">
      <c r="A4" s="673" t="str">
        <f>底稿目录!A3</f>
        <v>截止日：202X年12月31日</v>
      </c>
      <c r="E4" s="673" t="str">
        <f>底稿目录!A6</f>
        <v>复核人：</v>
      </c>
      <c r="H4" s="673" t="str">
        <f>底稿目录!A7</f>
        <v>复核日期：</v>
      </c>
      <c r="K4" s="672" t="s">
        <v>1314</v>
      </c>
    </row>
    <row r="5" spans="1:12" s="2" customFormat="1" ht="19.95" customHeight="1">
      <c r="A5" s="37" t="s">
        <v>262</v>
      </c>
      <c r="B5" s="37"/>
      <c r="D5" s="130" t="s">
        <v>301</v>
      </c>
    </row>
    <row r="6" spans="1:12" s="2" customFormat="1" ht="19.95" customHeight="1">
      <c r="A6" s="37" t="s">
        <v>264</v>
      </c>
      <c r="B6" s="37"/>
      <c r="D6" s="126" t="s">
        <v>1011</v>
      </c>
    </row>
    <row r="7" spans="1:12" s="2" customFormat="1" ht="19.95" customHeight="1">
      <c r="D7" s="126" t="s">
        <v>1012</v>
      </c>
    </row>
    <row r="8" spans="1:12" s="2" customFormat="1" ht="19.95" customHeight="1">
      <c r="B8" s="143" t="s">
        <v>302</v>
      </c>
      <c r="C8" s="148"/>
      <c r="D8" s="149" t="s">
        <v>303</v>
      </c>
      <c r="E8" s="143"/>
      <c r="F8" s="143" t="s">
        <v>304</v>
      </c>
      <c r="G8" s="150"/>
      <c r="H8" s="143"/>
      <c r="I8" s="143"/>
      <c r="J8" s="143"/>
      <c r="K8" s="143"/>
      <c r="L8" s="143"/>
    </row>
    <row r="9" spans="1:12" s="2" customFormat="1" ht="19.95" customHeight="1">
      <c r="A9" s="1039" t="s">
        <v>1218</v>
      </c>
      <c r="B9" s="1040"/>
      <c r="C9" s="1040"/>
      <c r="D9" s="1040"/>
      <c r="E9" s="1040"/>
      <c r="F9" s="1040"/>
      <c r="G9" s="1040"/>
      <c r="H9" s="1040"/>
      <c r="I9" s="1040"/>
      <c r="J9" s="1040"/>
      <c r="K9" s="1040"/>
      <c r="L9" s="1040"/>
    </row>
    <row r="10" spans="1:12" s="2" customFormat="1" ht="19.95" customHeight="1">
      <c r="A10" s="1041" t="s">
        <v>809</v>
      </c>
      <c r="B10" s="1041"/>
      <c r="C10" s="1042" t="s">
        <v>810</v>
      </c>
      <c r="D10" s="1042" t="s">
        <v>811</v>
      </c>
      <c r="E10" s="1042" t="s">
        <v>812</v>
      </c>
      <c r="F10" s="1043" t="s">
        <v>1220</v>
      </c>
      <c r="G10" s="1044" t="s">
        <v>1221</v>
      </c>
      <c r="H10" s="1044" t="s">
        <v>1222</v>
      </c>
      <c r="I10" s="1042" t="s">
        <v>1223</v>
      </c>
      <c r="J10" s="1042" t="s">
        <v>813</v>
      </c>
      <c r="K10" s="1042"/>
      <c r="L10" s="1037" t="s">
        <v>96</v>
      </c>
    </row>
    <row r="11" spans="1:12" s="2" customFormat="1" ht="36">
      <c r="A11" s="1041"/>
      <c r="B11" s="1041"/>
      <c r="C11" s="1042"/>
      <c r="D11" s="1042"/>
      <c r="E11" s="1042"/>
      <c r="F11" s="1041"/>
      <c r="G11" s="1042"/>
      <c r="H11" s="1042"/>
      <c r="I11" s="1042"/>
      <c r="J11" s="319" t="s">
        <v>1224</v>
      </c>
      <c r="K11" s="603" t="s">
        <v>1225</v>
      </c>
      <c r="L11" s="1038"/>
    </row>
    <row r="12" spans="1:12" s="2" customFormat="1" ht="19.95" customHeight="1">
      <c r="A12" s="1045" t="s">
        <v>305</v>
      </c>
      <c r="B12" s="1045"/>
      <c r="C12" s="151" t="s">
        <v>306</v>
      </c>
      <c r="D12" s="145" t="s">
        <v>307</v>
      </c>
      <c r="E12" s="151"/>
      <c r="F12" s="146"/>
      <c r="G12" s="146"/>
      <c r="H12" s="146"/>
      <c r="I12" s="383">
        <f>F12-G12-H12</f>
        <v>0</v>
      </c>
      <c r="J12" s="383">
        <f>IF((F12-G12)&gt;0,F12-G12-H12-K12,0)</f>
        <v>0</v>
      </c>
      <c r="K12" s="147"/>
      <c r="L12" s="144"/>
    </row>
    <row r="13" spans="1:12" s="2" customFormat="1" ht="19.95" customHeight="1">
      <c r="A13" s="1045" t="s">
        <v>308</v>
      </c>
      <c r="B13" s="1045"/>
      <c r="C13" s="151" t="s">
        <v>309</v>
      </c>
      <c r="D13" s="145" t="s">
        <v>310</v>
      </c>
      <c r="E13" s="151"/>
      <c r="F13" s="146"/>
      <c r="G13" s="146"/>
      <c r="H13" s="146"/>
      <c r="I13" s="383">
        <f t="shared" ref="I13:I16" si="0">F13-G13-H13</f>
        <v>0</v>
      </c>
      <c r="J13" s="383">
        <f>IF((F13-G13)&gt;0,F13-G13-H13-K13,0)</f>
        <v>0</v>
      </c>
      <c r="K13" s="147"/>
      <c r="L13" s="144"/>
    </row>
    <row r="14" spans="1:12" s="2" customFormat="1" ht="19.95" customHeight="1">
      <c r="A14" s="1035" t="s">
        <v>184</v>
      </c>
      <c r="B14" s="1035" t="s">
        <v>300</v>
      </c>
      <c r="C14" s="151"/>
      <c r="D14" s="151"/>
      <c r="E14" s="151"/>
      <c r="F14" s="146"/>
      <c r="G14" s="146"/>
      <c r="H14" s="146"/>
      <c r="I14" s="383">
        <f t="shared" si="0"/>
        <v>0</v>
      </c>
      <c r="J14" s="383">
        <f>IF((F14-G14)&gt;0,F14-G14-H14-K14,0)</f>
        <v>0</v>
      </c>
      <c r="K14" s="147"/>
      <c r="L14" s="144"/>
    </row>
    <row r="15" spans="1:12" s="2" customFormat="1" ht="19.95" customHeight="1">
      <c r="A15" s="1035"/>
      <c r="B15" s="1035"/>
      <c r="C15" s="151"/>
      <c r="D15" s="151"/>
      <c r="E15" s="151"/>
      <c r="F15" s="146"/>
      <c r="G15" s="146"/>
      <c r="H15" s="146"/>
      <c r="I15" s="383">
        <f t="shared" si="0"/>
        <v>0</v>
      </c>
      <c r="J15" s="383">
        <f>IF((F15-G15)&gt;0,F15-G15-H15-K15,0)</f>
        <v>0</v>
      </c>
      <c r="K15" s="147"/>
      <c r="L15" s="144"/>
    </row>
    <row r="16" spans="1:12" s="2" customFormat="1" ht="19.95" customHeight="1">
      <c r="A16" s="1035"/>
      <c r="B16" s="1035"/>
      <c r="C16" s="151"/>
      <c r="D16" s="151"/>
      <c r="E16" s="151"/>
      <c r="F16" s="146"/>
      <c r="G16" s="146"/>
      <c r="H16" s="146"/>
      <c r="I16" s="383">
        <f t="shared" si="0"/>
        <v>0</v>
      </c>
      <c r="J16" s="383">
        <f>IF((F16-G16)&gt;0,F16-G16-H16-K16,0)</f>
        <v>0</v>
      </c>
      <c r="K16" s="147"/>
      <c r="L16" s="144"/>
    </row>
    <row r="17" spans="1:14" s="2" customFormat="1" ht="19.95" customHeight="1">
      <c r="A17" s="1035" t="s">
        <v>112</v>
      </c>
      <c r="B17" s="1035"/>
      <c r="C17" s="151"/>
      <c r="D17" s="151"/>
      <c r="E17" s="151"/>
      <c r="F17" s="383">
        <f>SUM(F12:F16)</f>
        <v>0</v>
      </c>
      <c r="G17" s="383">
        <f>SUM(G12:G16)</f>
        <v>0</v>
      </c>
      <c r="H17" s="383">
        <f>SUM(H12:H16)</f>
        <v>0</v>
      </c>
      <c r="I17" s="383">
        <f t="shared" ref="I17:J17" si="1">SUM(I12:I16)</f>
        <v>0</v>
      </c>
      <c r="J17" s="383">
        <f t="shared" si="1"/>
        <v>0</v>
      </c>
      <c r="K17" s="383">
        <f>SUM(K12:K16)</f>
        <v>0</v>
      </c>
      <c r="L17" s="144"/>
    </row>
    <row r="18" spans="1:14" s="2" customFormat="1" ht="19.95" customHeight="1">
      <c r="A18" s="1039" t="s">
        <v>1219</v>
      </c>
      <c r="B18" s="1040"/>
      <c r="C18" s="1040"/>
      <c r="D18" s="1040"/>
      <c r="E18" s="1040"/>
      <c r="F18" s="1040"/>
      <c r="G18" s="1040"/>
      <c r="H18" s="1040"/>
      <c r="I18" s="1040"/>
      <c r="J18" s="1040"/>
      <c r="K18" s="1040"/>
      <c r="L18" s="1040"/>
    </row>
    <row r="19" spans="1:14" s="2" customFormat="1" ht="19.95" customHeight="1">
      <c r="A19" s="1041" t="s">
        <v>809</v>
      </c>
      <c r="B19" s="1041"/>
      <c r="C19" s="1042" t="s">
        <v>814</v>
      </c>
      <c r="D19" s="1042" t="s">
        <v>815</v>
      </c>
      <c r="E19" s="1042" t="s">
        <v>812</v>
      </c>
      <c r="F19" s="1043" t="s">
        <v>1220</v>
      </c>
      <c r="G19" s="1044" t="s">
        <v>1221</v>
      </c>
      <c r="H19" s="1044" t="s">
        <v>1222</v>
      </c>
      <c r="I19" s="1042" t="s">
        <v>1223</v>
      </c>
      <c r="J19" s="1042" t="s">
        <v>813</v>
      </c>
      <c r="K19" s="1042"/>
      <c r="L19" s="1037" t="s">
        <v>96</v>
      </c>
    </row>
    <row r="20" spans="1:14" s="2" customFormat="1" ht="36">
      <c r="A20" s="1041"/>
      <c r="B20" s="1041"/>
      <c r="C20" s="1042"/>
      <c r="D20" s="1042"/>
      <c r="E20" s="1042"/>
      <c r="F20" s="1041"/>
      <c r="G20" s="1042"/>
      <c r="H20" s="1042"/>
      <c r="I20" s="1042"/>
      <c r="J20" s="319" t="s">
        <v>1224</v>
      </c>
      <c r="K20" s="603" t="s">
        <v>1225</v>
      </c>
      <c r="L20" s="1038"/>
    </row>
    <row r="21" spans="1:14" s="2" customFormat="1" ht="19.95" customHeight="1">
      <c r="A21" s="1045" t="s">
        <v>305</v>
      </c>
      <c r="B21" s="1045"/>
      <c r="C21" s="151" t="s">
        <v>306</v>
      </c>
      <c r="D21" s="145" t="s">
        <v>307</v>
      </c>
      <c r="E21" s="151"/>
      <c r="F21" s="146"/>
      <c r="G21" s="146"/>
      <c r="H21" s="146"/>
      <c r="I21" s="383">
        <f>F21-G21-H21</f>
        <v>0</v>
      </c>
      <c r="J21" s="383">
        <f>IF((F21-G21)&gt;0,F21-G21-H21-K21,0)</f>
        <v>0</v>
      </c>
      <c r="K21" s="147"/>
      <c r="L21" s="144"/>
    </row>
    <row r="22" spans="1:14" s="2" customFormat="1" ht="19.95" customHeight="1">
      <c r="A22" s="1045" t="s">
        <v>308</v>
      </c>
      <c r="B22" s="1045"/>
      <c r="C22" s="151" t="s">
        <v>309</v>
      </c>
      <c r="D22" s="145" t="s">
        <v>310</v>
      </c>
      <c r="E22" s="151"/>
      <c r="F22" s="146"/>
      <c r="G22" s="146"/>
      <c r="H22" s="146"/>
      <c r="I22" s="383">
        <f t="shared" ref="I22:I25" si="2">F22-G22-H22</f>
        <v>0</v>
      </c>
      <c r="J22" s="383">
        <f>IF((F22-G22)&gt;0,F22-G22-H22-K22,0)</f>
        <v>0</v>
      </c>
      <c r="K22" s="147"/>
      <c r="L22" s="144"/>
    </row>
    <row r="23" spans="1:14" s="2" customFormat="1" ht="19.95" customHeight="1">
      <c r="A23" s="1035" t="s">
        <v>184</v>
      </c>
      <c r="B23" s="1035" t="s">
        <v>300</v>
      </c>
      <c r="C23" s="151"/>
      <c r="D23" s="151"/>
      <c r="E23" s="151"/>
      <c r="F23" s="146"/>
      <c r="G23" s="146"/>
      <c r="H23" s="146"/>
      <c r="I23" s="383">
        <f t="shared" si="2"/>
        <v>0</v>
      </c>
      <c r="J23" s="383">
        <f>IF((F23-G23)&gt;0,F23-G23-H23-K23,0)</f>
        <v>0</v>
      </c>
      <c r="K23" s="147"/>
      <c r="L23" s="144"/>
    </row>
    <row r="24" spans="1:14" s="2" customFormat="1" ht="19.95" customHeight="1">
      <c r="A24" s="1035"/>
      <c r="B24" s="1035"/>
      <c r="C24" s="151"/>
      <c r="D24" s="151"/>
      <c r="E24" s="151"/>
      <c r="F24" s="146"/>
      <c r="G24" s="146"/>
      <c r="H24" s="146"/>
      <c r="I24" s="383">
        <f t="shared" si="2"/>
        <v>0</v>
      </c>
      <c r="J24" s="383">
        <f>IF((F24-G24)&gt;0,F24-G24-H24-K24,0)</f>
        <v>0</v>
      </c>
      <c r="K24" s="147"/>
      <c r="L24" s="144"/>
    </row>
    <row r="25" spans="1:14" s="2" customFormat="1" ht="19.95" customHeight="1">
      <c r="A25" s="1035"/>
      <c r="B25" s="1035"/>
      <c r="C25" s="151"/>
      <c r="D25" s="151"/>
      <c r="E25" s="151"/>
      <c r="F25" s="146"/>
      <c r="G25" s="146"/>
      <c r="H25" s="146"/>
      <c r="I25" s="383">
        <f t="shared" si="2"/>
        <v>0</v>
      </c>
      <c r="J25" s="383">
        <f>IF((F25-G25)&gt;0,F25-G25-H25-K25,0)</f>
        <v>0</v>
      </c>
      <c r="K25" s="147"/>
      <c r="L25" s="144"/>
    </row>
    <row r="26" spans="1:14" s="2" customFormat="1" ht="19.95" customHeight="1">
      <c r="A26" s="1036" t="s">
        <v>172</v>
      </c>
      <c r="B26" s="1036"/>
      <c r="C26" s="401"/>
      <c r="D26" s="401"/>
      <c r="E26" s="401"/>
      <c r="F26" s="402">
        <f>SUM(F21:F25)</f>
        <v>0</v>
      </c>
      <c r="G26" s="402">
        <f>SUM(G21:G25)</f>
        <v>0</v>
      </c>
      <c r="H26" s="402">
        <f>SUM(H21:H25)</f>
        <v>0</v>
      </c>
      <c r="I26" s="402">
        <f t="shared" ref="I26:K26" si="3">SUM(I21:I25)</f>
        <v>0</v>
      </c>
      <c r="J26" s="402">
        <f t="shared" si="3"/>
        <v>0</v>
      </c>
      <c r="K26" s="402">
        <f t="shared" si="3"/>
        <v>0</v>
      </c>
      <c r="L26" s="403"/>
    </row>
    <row r="27" spans="1:14" s="2" customFormat="1" ht="20.100000000000001" customHeight="1">
      <c r="A27" s="564" t="s">
        <v>311</v>
      </c>
      <c r="B27" s="599"/>
      <c r="C27" s="595"/>
      <c r="D27" s="595"/>
      <c r="E27" s="595"/>
      <c r="F27" s="596"/>
      <c r="G27" s="596"/>
      <c r="H27" s="596"/>
      <c r="I27" s="596"/>
      <c r="J27" s="596"/>
      <c r="K27" s="596"/>
      <c r="L27" s="597"/>
    </row>
    <row r="28" spans="1:14" s="567" customFormat="1" ht="13.8">
      <c r="A28" s="598" t="s">
        <v>1013</v>
      </c>
      <c r="B28" s="2"/>
      <c r="D28" s="570"/>
      <c r="E28" s="570"/>
      <c r="F28" s="570"/>
      <c r="G28" s="570"/>
      <c r="H28" s="570"/>
      <c r="I28" s="570"/>
      <c r="J28" s="570"/>
      <c r="K28" s="570"/>
      <c r="L28" s="570"/>
    </row>
    <row r="29" spans="1:14" s="567" customFormat="1" ht="13.8">
      <c r="A29" s="565" t="s">
        <v>1014</v>
      </c>
      <c r="B29" s="2"/>
      <c r="D29" s="570"/>
      <c r="E29" s="570"/>
      <c r="F29" s="570"/>
      <c r="G29" s="570"/>
      <c r="H29" s="570"/>
      <c r="I29" s="570"/>
      <c r="J29" s="570"/>
      <c r="K29" s="570"/>
      <c r="L29" s="570"/>
    </row>
    <row r="30" spans="1:14" s="567" customFormat="1" ht="20.100000000000001" customHeight="1">
      <c r="A30" s="600" t="s">
        <v>1207</v>
      </c>
      <c r="B30" s="152"/>
      <c r="C30" s="569"/>
      <c r="D30" s="568"/>
      <c r="E30" s="568"/>
      <c r="F30" s="568"/>
      <c r="G30" s="568"/>
      <c r="H30" s="568"/>
      <c r="I30" s="568"/>
      <c r="J30" s="568"/>
      <c r="K30" s="568"/>
      <c r="L30" s="568"/>
      <c r="M30" s="569"/>
      <c r="N30" s="569"/>
    </row>
    <row r="31" spans="1:14" s="567" customFormat="1" ht="13.8">
      <c r="A31" s="598" t="s">
        <v>1205</v>
      </c>
      <c r="B31" s="565"/>
      <c r="C31" s="568"/>
      <c r="D31" s="568"/>
      <c r="E31" s="568"/>
      <c r="F31" s="568"/>
      <c r="G31" s="568"/>
      <c r="H31" s="568"/>
      <c r="I31" s="568"/>
      <c r="J31" s="568"/>
      <c r="K31" s="568"/>
      <c r="L31" s="568"/>
      <c r="M31" s="569"/>
      <c r="N31" s="569"/>
    </row>
    <row r="32" spans="1:14" s="567" customFormat="1" ht="20.100000000000001" customHeight="1">
      <c r="A32" s="598" t="s">
        <v>1208</v>
      </c>
      <c r="B32" s="565"/>
      <c r="C32" s="568"/>
      <c r="D32" s="568"/>
      <c r="E32" s="568"/>
      <c r="F32" s="568"/>
      <c r="G32" s="568"/>
      <c r="H32" s="568"/>
      <c r="I32" s="568"/>
      <c r="J32" s="568"/>
      <c r="K32" s="568"/>
      <c r="L32" s="568"/>
      <c r="M32" s="569"/>
      <c r="N32" s="569"/>
    </row>
    <row r="33" spans="1:14" s="567" customFormat="1" ht="20.100000000000001" customHeight="1">
      <c r="A33" s="152"/>
      <c r="B33" s="565"/>
      <c r="C33" s="571" t="s">
        <v>1210</v>
      </c>
      <c r="D33" s="571"/>
      <c r="E33" s="571"/>
      <c r="F33" s="571" t="s">
        <v>1211</v>
      </c>
      <c r="G33" s="571"/>
      <c r="H33" s="571"/>
      <c r="I33" s="571"/>
      <c r="J33" s="571"/>
      <c r="K33" s="571"/>
      <c r="L33" s="571"/>
      <c r="M33" s="569"/>
      <c r="N33" s="569"/>
    </row>
    <row r="34" spans="1:14" s="567" customFormat="1" ht="20.100000000000001" customHeight="1">
      <c r="A34" s="569"/>
      <c r="B34" s="571"/>
      <c r="C34" s="571" t="s">
        <v>1212</v>
      </c>
      <c r="D34" s="571"/>
      <c r="E34" s="571"/>
      <c r="F34" s="571"/>
      <c r="G34" s="571" t="s">
        <v>1213</v>
      </c>
      <c r="H34" s="571"/>
      <c r="I34" s="571"/>
      <c r="J34" s="571"/>
      <c r="K34" s="571"/>
      <c r="L34" s="571"/>
      <c r="M34" s="569"/>
      <c r="N34" s="569"/>
    </row>
    <row r="35" spans="1:14" s="567" customFormat="1" ht="20.100000000000001" customHeight="1">
      <c r="A35" s="569"/>
      <c r="B35" s="571"/>
      <c r="C35" s="571" t="s">
        <v>1214</v>
      </c>
      <c r="D35" s="571"/>
      <c r="E35" s="571"/>
      <c r="F35" s="571"/>
      <c r="G35" s="571" t="s">
        <v>1215</v>
      </c>
      <c r="H35" s="571"/>
      <c r="I35" s="571"/>
      <c r="J35" s="571"/>
      <c r="K35" s="571"/>
      <c r="L35" s="571"/>
      <c r="M35" s="569"/>
      <c r="N35" s="569"/>
    </row>
    <row r="36" spans="1:14" s="2" customFormat="1" ht="22.95" customHeight="1">
      <c r="A36" s="598" t="s">
        <v>1209</v>
      </c>
      <c r="B36" s="601"/>
      <c r="C36" s="602"/>
      <c r="D36" s="602"/>
      <c r="E36" s="602"/>
      <c r="F36" s="602"/>
      <c r="G36" s="602"/>
      <c r="H36" s="602"/>
      <c r="I36" s="602"/>
      <c r="J36" s="602"/>
      <c r="K36" s="602"/>
      <c r="L36" s="602"/>
      <c r="M36" s="152"/>
      <c r="N36" s="152"/>
    </row>
    <row r="37" spans="1:14" s="152" customFormat="1" ht="13.8">
      <c r="A37" s="598" t="s">
        <v>1205</v>
      </c>
      <c r="B37" s="565"/>
      <c r="C37" s="564"/>
      <c r="D37" s="564"/>
      <c r="E37" s="564"/>
      <c r="F37" s="564"/>
      <c r="G37" s="564"/>
      <c r="H37" s="564"/>
      <c r="I37" s="564"/>
      <c r="J37" s="564"/>
      <c r="K37" s="564"/>
      <c r="L37" s="564"/>
    </row>
    <row r="38" spans="1:14" s="152" customFormat="1" ht="16.05" customHeight="1">
      <c r="A38" s="598" t="s">
        <v>1206</v>
      </c>
      <c r="B38" s="564"/>
      <c r="C38" s="564"/>
      <c r="D38" s="564"/>
      <c r="E38" s="564"/>
      <c r="F38" s="564"/>
      <c r="G38" s="564"/>
      <c r="H38" s="564"/>
      <c r="I38" s="564"/>
      <c r="J38" s="564"/>
      <c r="K38" s="564"/>
      <c r="L38" s="564"/>
    </row>
    <row r="39" spans="1:14" s="152" customFormat="1" ht="20.100000000000001" customHeight="1">
      <c r="B39" s="565"/>
      <c r="C39" s="565" t="s">
        <v>1216</v>
      </c>
      <c r="D39" s="565"/>
      <c r="E39" s="566"/>
      <c r="F39" s="565" t="s">
        <v>1217</v>
      </c>
      <c r="G39" s="565"/>
      <c r="H39" s="565"/>
      <c r="I39" s="565"/>
      <c r="J39" s="565"/>
      <c r="K39" s="565"/>
      <c r="L39" s="565"/>
    </row>
    <row r="40" spans="1:14" s="152" customFormat="1" ht="20.100000000000001" customHeight="1">
      <c r="B40" s="565"/>
      <c r="C40" s="565" t="s">
        <v>1098</v>
      </c>
      <c r="D40" s="565"/>
      <c r="E40" s="566"/>
      <c r="F40" s="565" t="s">
        <v>1099</v>
      </c>
      <c r="G40" s="565"/>
      <c r="H40" s="565"/>
      <c r="I40" s="565"/>
      <c r="J40" s="565"/>
      <c r="K40" s="565"/>
      <c r="L40" s="565"/>
    </row>
    <row r="41" spans="1:14" s="152" customFormat="1" ht="20.100000000000001" customHeight="1">
      <c r="B41" s="565"/>
      <c r="C41" s="565" t="s">
        <v>1100</v>
      </c>
      <c r="D41" s="565"/>
      <c r="E41" s="565"/>
      <c r="F41" s="566"/>
      <c r="G41" s="565" t="s">
        <v>1101</v>
      </c>
      <c r="H41" s="565"/>
      <c r="I41" s="565"/>
      <c r="J41" s="565"/>
      <c r="K41" s="565"/>
      <c r="L41" s="565"/>
    </row>
  </sheetData>
  <mergeCells count="36">
    <mergeCell ref="A1:L1"/>
    <mergeCell ref="A2:L2"/>
    <mergeCell ref="J19:K19"/>
    <mergeCell ref="A9:L9"/>
    <mergeCell ref="A10:B11"/>
    <mergeCell ref="A12:B12"/>
    <mergeCell ref="A13:B13"/>
    <mergeCell ref="A14:B14"/>
    <mergeCell ref="C19:C20"/>
    <mergeCell ref="D19:D20"/>
    <mergeCell ref="E19:E20"/>
    <mergeCell ref="F19:F20"/>
    <mergeCell ref="G19:G20"/>
    <mergeCell ref="H19:H20"/>
    <mergeCell ref="I19:I20"/>
    <mergeCell ref="A22:B22"/>
    <mergeCell ref="A23:B23"/>
    <mergeCell ref="A15:B15"/>
    <mergeCell ref="A16:B16"/>
    <mergeCell ref="A17:B17"/>
    <mergeCell ref="A24:B24"/>
    <mergeCell ref="A25:B25"/>
    <mergeCell ref="A26:B26"/>
    <mergeCell ref="L10:L11"/>
    <mergeCell ref="L19:L20"/>
    <mergeCell ref="A18:L18"/>
    <mergeCell ref="A19:B20"/>
    <mergeCell ref="C10:C11"/>
    <mergeCell ref="D10:D11"/>
    <mergeCell ref="E10:E11"/>
    <mergeCell ref="F10:F11"/>
    <mergeCell ref="G10:G11"/>
    <mergeCell ref="H10:H11"/>
    <mergeCell ref="I10:I11"/>
    <mergeCell ref="J10:K10"/>
    <mergeCell ref="A21:B21"/>
  </mergeCells>
  <phoneticPr fontId="11" type="noConversion"/>
  <hyperlinks>
    <hyperlink ref="L3" location="底稿目录!F21" display="底稿目录!F21"/>
  </hyperlinks>
  <pageMargins left="0.70866141732283472" right="0.70866141732283472" top="0.74803149606299213" bottom="0.74803149606299213" header="0.31496062992125984" footer="0.31496062992125984"/>
  <pageSetup paperSize="9" scale="88" orientation="landscape" blackAndWhite="1" r:id="rId1"/>
  <headerFooter>
    <oddFooter>&amp;C&amp;P/&amp;N</oddFooter>
  </headerFooter>
  <rowBreaks count="1" manualBreakCount="1">
    <brk id="17"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Q40"/>
  <sheetViews>
    <sheetView view="pageBreakPreview" zoomScaleSheetLayoutView="100" workbookViewId="0">
      <selection sqref="A1:K1"/>
    </sheetView>
  </sheetViews>
  <sheetFormatPr defaultColWidth="9" defaultRowHeight="13.8"/>
  <cols>
    <col min="1" max="1" width="4.5" style="29" customWidth="1"/>
    <col min="2" max="2" width="21" style="29" customWidth="1"/>
    <col min="3" max="3" width="9" style="29"/>
    <col min="4" max="4" width="12.19921875" style="29" customWidth="1"/>
    <col min="5" max="5" width="12.5" style="29" customWidth="1"/>
    <col min="6" max="6" width="12.69921875" style="29" customWidth="1"/>
    <col min="7" max="7" width="11.8984375" style="29" customWidth="1"/>
    <col min="8" max="8" width="12" style="29" customWidth="1"/>
    <col min="9" max="9" width="13" style="29" customWidth="1"/>
    <col min="10" max="10" width="10.5" style="29" customWidth="1"/>
    <col min="11" max="16384" width="9" style="29"/>
  </cols>
  <sheetData>
    <row r="1" spans="1:11" s="620" customFormat="1" ht="19.95" customHeight="1">
      <c r="A1" s="1050" t="s">
        <v>77</v>
      </c>
      <c r="B1" s="1050"/>
      <c r="C1" s="1050"/>
      <c r="D1" s="1050"/>
      <c r="E1" s="1050"/>
      <c r="F1" s="1050"/>
      <c r="G1" s="1050"/>
      <c r="H1" s="1050"/>
      <c r="I1" s="1050"/>
      <c r="J1" s="1050"/>
      <c r="K1" s="1050"/>
    </row>
    <row r="2" spans="1:11" s="631" customFormat="1" ht="19.95" customHeight="1">
      <c r="A2" s="1051" t="s">
        <v>445</v>
      </c>
      <c r="B2" s="1051"/>
      <c r="C2" s="1051"/>
      <c r="D2" s="1051"/>
      <c r="E2" s="1051"/>
      <c r="F2" s="1051"/>
      <c r="G2" s="1051"/>
      <c r="H2" s="1051"/>
      <c r="I2" s="1051"/>
      <c r="J2" s="1051"/>
      <c r="K2" s="1051"/>
    </row>
    <row r="3" spans="1:11" s="694" customFormat="1" ht="19.95" customHeight="1">
      <c r="A3" s="673" t="str">
        <f>底稿目录!A2</f>
        <v>被审计单位：</v>
      </c>
      <c r="B3" s="673"/>
      <c r="C3" s="673"/>
      <c r="D3" s="673"/>
      <c r="E3" s="673" t="str">
        <f>底稿目录!A4</f>
        <v>编制人：</v>
      </c>
      <c r="F3" s="673"/>
      <c r="G3" s="681" t="str">
        <f>底稿目录!A5</f>
        <v>编制日期：</v>
      </c>
      <c r="H3" s="681"/>
      <c r="J3" s="672" t="s">
        <v>67</v>
      </c>
      <c r="K3" s="763" t="str">
        <f>底稿目录!F22</f>
        <v>G7-16</v>
      </c>
    </row>
    <row r="4" spans="1:11" s="694" customFormat="1" ht="19.95" customHeight="1">
      <c r="A4" s="673" t="str">
        <f>底稿目录!A3</f>
        <v>截止日：202X年12月31日</v>
      </c>
      <c r="B4" s="673"/>
      <c r="C4" s="673"/>
      <c r="D4" s="673"/>
      <c r="E4" s="673" t="str">
        <f>底稿目录!A6</f>
        <v>复核人：</v>
      </c>
      <c r="F4" s="673"/>
      <c r="G4" s="681" t="str">
        <f>底稿目录!A7</f>
        <v>复核日期：</v>
      </c>
      <c r="H4" s="681"/>
      <c r="J4" s="672" t="s">
        <v>1316</v>
      </c>
      <c r="K4" s="673"/>
    </row>
    <row r="5" spans="1:11" s="24" customFormat="1" ht="19.95" customHeight="1">
      <c r="A5" s="74" t="s">
        <v>146</v>
      </c>
      <c r="B5" s="74"/>
      <c r="C5" s="4" t="s">
        <v>297</v>
      </c>
      <c r="D5" s="2"/>
      <c r="E5" s="4"/>
      <c r="F5" s="2"/>
      <c r="G5" s="4"/>
      <c r="H5" s="2"/>
      <c r="J5" s="3"/>
      <c r="K5" s="2"/>
    </row>
    <row r="6" spans="1:11" s="24" customFormat="1" ht="19.95" customHeight="1">
      <c r="A6" s="75" t="s">
        <v>126</v>
      </c>
      <c r="B6" s="75"/>
      <c r="C6" s="4" t="s">
        <v>1015</v>
      </c>
      <c r="D6" s="2"/>
      <c r="E6" s="4"/>
      <c r="F6" s="2"/>
      <c r="G6" s="4"/>
      <c r="H6" s="2"/>
      <c r="J6" s="3"/>
      <c r="K6" s="2"/>
    </row>
    <row r="7" spans="1:11" s="24" customFormat="1" ht="19.95" customHeight="1">
      <c r="A7" s="2"/>
      <c r="C7" s="4" t="s">
        <v>1016</v>
      </c>
      <c r="D7" s="2"/>
      <c r="E7" s="4"/>
      <c r="F7" s="2"/>
      <c r="G7" s="4"/>
      <c r="H7" s="2"/>
      <c r="J7" s="3"/>
      <c r="K7" s="2"/>
    </row>
    <row r="8" spans="1:11" ht="19.95" customHeight="1">
      <c r="A8" s="952" t="s">
        <v>53</v>
      </c>
      <c r="B8" s="953"/>
      <c r="C8" s="1052" t="s">
        <v>78</v>
      </c>
      <c r="D8" s="950" t="s">
        <v>79</v>
      </c>
      <c r="E8" s="951"/>
      <c r="F8" s="950" t="s">
        <v>80</v>
      </c>
      <c r="G8" s="951"/>
      <c r="H8" s="950" t="s">
        <v>81</v>
      </c>
      <c r="I8" s="951"/>
      <c r="J8" s="951"/>
      <c r="K8" s="950" t="s">
        <v>74</v>
      </c>
    </row>
    <row r="9" spans="1:11" ht="19.95" customHeight="1">
      <c r="A9" s="954"/>
      <c r="B9" s="955"/>
      <c r="C9" s="1053"/>
      <c r="D9" s="212" t="s">
        <v>76</v>
      </c>
      <c r="E9" s="212" t="s">
        <v>82</v>
      </c>
      <c r="F9" s="212" t="s">
        <v>55</v>
      </c>
      <c r="G9" s="212" t="s">
        <v>54</v>
      </c>
      <c r="H9" s="212" t="s">
        <v>55</v>
      </c>
      <c r="I9" s="212" t="s">
        <v>65</v>
      </c>
      <c r="J9" s="212" t="s">
        <v>54</v>
      </c>
      <c r="K9" s="951"/>
    </row>
    <row r="10" spans="1:11" ht="27.6">
      <c r="A10" s="1046" t="s">
        <v>83</v>
      </c>
      <c r="B10" s="1047"/>
      <c r="C10" s="212" t="s">
        <v>84</v>
      </c>
      <c r="D10" s="212" t="s">
        <v>85</v>
      </c>
      <c r="E10" s="212" t="s">
        <v>86</v>
      </c>
      <c r="F10" s="212" t="s">
        <v>87</v>
      </c>
      <c r="G10" s="212" t="s">
        <v>88</v>
      </c>
      <c r="H10" s="212" t="s">
        <v>89</v>
      </c>
      <c r="I10" s="212" t="s">
        <v>816</v>
      </c>
      <c r="J10" s="212" t="s">
        <v>817</v>
      </c>
      <c r="K10" s="104"/>
    </row>
    <row r="11" spans="1:11" ht="19.95" customHeight="1">
      <c r="A11" s="84" t="s">
        <v>418</v>
      </c>
      <c r="B11" s="186"/>
      <c r="C11" s="187"/>
      <c r="D11" s="180"/>
      <c r="E11" s="180"/>
      <c r="F11" s="180"/>
      <c r="G11" s="180"/>
      <c r="H11" s="180"/>
      <c r="I11" s="180"/>
      <c r="J11" s="180"/>
      <c r="K11" s="104"/>
    </row>
    <row r="12" spans="1:11" ht="19.95" customHeight="1">
      <c r="A12" s="41"/>
      <c r="B12" s="42"/>
      <c r="C12" s="26"/>
      <c r="D12" s="13"/>
      <c r="E12" s="13"/>
      <c r="F12" s="13"/>
      <c r="G12" s="13"/>
      <c r="H12" s="13"/>
      <c r="I12" s="363">
        <f>D12+E12-(G12-F12)*C12</f>
        <v>0</v>
      </c>
      <c r="J12" s="363">
        <f>H12+I12</f>
        <v>0</v>
      </c>
      <c r="K12" s="17"/>
    </row>
    <row r="13" spans="1:11" ht="19.95" customHeight="1">
      <c r="A13" s="41"/>
      <c r="B13" s="42"/>
      <c r="C13" s="26"/>
      <c r="D13" s="13"/>
      <c r="E13" s="13"/>
      <c r="F13" s="13"/>
      <c r="G13" s="13"/>
      <c r="H13" s="13"/>
      <c r="I13" s="363">
        <f t="shared" ref="I13:I14" si="0">D13+E13-(G13-F13)*C13</f>
        <v>0</v>
      </c>
      <c r="J13" s="363">
        <f t="shared" ref="J13:J14" si="1">H13+I13</f>
        <v>0</v>
      </c>
      <c r="K13" s="17"/>
    </row>
    <row r="14" spans="1:11" ht="19.95" customHeight="1">
      <c r="A14" s="41"/>
      <c r="B14" s="42"/>
      <c r="C14" s="26"/>
      <c r="D14" s="13"/>
      <c r="E14" s="13"/>
      <c r="F14" s="13"/>
      <c r="G14" s="13"/>
      <c r="H14" s="13"/>
      <c r="I14" s="363">
        <f t="shared" si="0"/>
        <v>0</v>
      </c>
      <c r="J14" s="363">
        <f t="shared" si="1"/>
        <v>0</v>
      </c>
      <c r="K14" s="17"/>
    </row>
    <row r="15" spans="1:11" ht="19.95" customHeight="1">
      <c r="A15" s="1046" t="s">
        <v>420</v>
      </c>
      <c r="B15" s="1015"/>
      <c r="C15" s="320" t="s">
        <v>421</v>
      </c>
      <c r="D15" s="363">
        <f>SUM(D12:D14)</f>
        <v>0</v>
      </c>
      <c r="E15" s="363">
        <f t="shared" ref="E15:H15" si="2">SUM(E12:E14)</f>
        <v>0</v>
      </c>
      <c r="F15" s="363">
        <f t="shared" si="2"/>
        <v>0</v>
      </c>
      <c r="G15" s="363">
        <f t="shared" si="2"/>
        <v>0</v>
      </c>
      <c r="H15" s="363">
        <f t="shared" si="2"/>
        <v>0</v>
      </c>
      <c r="I15" s="364">
        <f>SUM(I12:I14)</f>
        <v>0</v>
      </c>
      <c r="J15" s="364">
        <f>SUM(J12:J14)</f>
        <v>0</v>
      </c>
      <c r="K15" s="17"/>
    </row>
    <row r="16" spans="1:11" ht="19.95" customHeight="1">
      <c r="A16" s="69" t="s">
        <v>419</v>
      </c>
      <c r="B16" s="186"/>
      <c r="C16" s="187"/>
      <c r="D16" s="180"/>
      <c r="E16" s="180"/>
      <c r="F16" s="180"/>
      <c r="G16" s="180"/>
      <c r="H16" s="180"/>
      <c r="I16" s="180">
        <f t="shared" ref="I16:I19" si="3">D16+E16-(G16-F16)*C16</f>
        <v>0</v>
      </c>
      <c r="J16" s="180">
        <f t="shared" ref="J16:J19" si="4">H16+I16</f>
        <v>0</v>
      </c>
      <c r="K16" s="179"/>
    </row>
    <row r="17" spans="1:11" ht="19.95" customHeight="1">
      <c r="A17" s="41"/>
      <c r="B17" s="42"/>
      <c r="C17" s="26"/>
      <c r="D17" s="13"/>
      <c r="E17" s="13"/>
      <c r="F17" s="13"/>
      <c r="G17" s="13"/>
      <c r="H17" s="13"/>
      <c r="I17" s="363">
        <f t="shared" si="3"/>
        <v>0</v>
      </c>
      <c r="J17" s="363">
        <f t="shared" si="4"/>
        <v>0</v>
      </c>
      <c r="K17" s="17"/>
    </row>
    <row r="18" spans="1:11" ht="19.95" customHeight="1">
      <c r="A18" s="41"/>
      <c r="B18" s="42"/>
      <c r="C18" s="26"/>
      <c r="D18" s="13"/>
      <c r="E18" s="13"/>
      <c r="F18" s="13"/>
      <c r="G18" s="13"/>
      <c r="H18" s="13"/>
      <c r="I18" s="363">
        <f t="shared" si="3"/>
        <v>0</v>
      </c>
      <c r="J18" s="363">
        <f t="shared" si="4"/>
        <v>0</v>
      </c>
      <c r="K18" s="17"/>
    </row>
    <row r="19" spans="1:11" ht="19.95" customHeight="1">
      <c r="A19" s="41"/>
      <c r="B19" s="42"/>
      <c r="C19" s="26"/>
      <c r="D19" s="13"/>
      <c r="E19" s="13"/>
      <c r="F19" s="13"/>
      <c r="G19" s="13"/>
      <c r="H19" s="13"/>
      <c r="I19" s="363">
        <f t="shared" si="3"/>
        <v>0</v>
      </c>
      <c r="J19" s="363">
        <f t="shared" si="4"/>
        <v>0</v>
      </c>
      <c r="K19" s="17"/>
    </row>
    <row r="20" spans="1:11" ht="19.95" customHeight="1">
      <c r="A20" s="1048" t="s">
        <v>420</v>
      </c>
      <c r="B20" s="1012"/>
      <c r="C20" s="320" t="s">
        <v>108</v>
      </c>
      <c r="D20" s="365">
        <f>SUM(D17:D19)</f>
        <v>0</v>
      </c>
      <c r="E20" s="365">
        <f t="shared" ref="E20:H20" si="5">SUM(E17:E19)</f>
        <v>0</v>
      </c>
      <c r="F20" s="365">
        <f t="shared" si="5"/>
        <v>0</v>
      </c>
      <c r="G20" s="365">
        <f t="shared" si="5"/>
        <v>0</v>
      </c>
      <c r="H20" s="365">
        <f t="shared" si="5"/>
        <v>0</v>
      </c>
      <c r="I20" s="390">
        <f>SUM(I17:I19)</f>
        <v>0</v>
      </c>
      <c r="J20" s="390">
        <f>SUM(J17:J19)</f>
        <v>0</v>
      </c>
      <c r="K20" s="290"/>
    </row>
    <row r="21" spans="1:11" ht="19.95" customHeight="1">
      <c r="A21" s="1048" t="s">
        <v>90</v>
      </c>
      <c r="B21" s="1049"/>
      <c r="C21" s="321"/>
      <c r="D21" s="391">
        <f>D15+D20</f>
        <v>0</v>
      </c>
      <c r="E21" s="391">
        <f t="shared" ref="E21:H21" si="6">E15+E20</f>
        <v>0</v>
      </c>
      <c r="F21" s="391">
        <f t="shared" si="6"/>
        <v>0</v>
      </c>
      <c r="G21" s="391">
        <f t="shared" si="6"/>
        <v>0</v>
      </c>
      <c r="H21" s="391">
        <f t="shared" si="6"/>
        <v>0</v>
      </c>
      <c r="I21" s="391">
        <f>I15+I20</f>
        <v>0</v>
      </c>
      <c r="J21" s="391">
        <f t="shared" ref="J21" si="7">J15+J20</f>
        <v>0</v>
      </c>
      <c r="K21" s="317"/>
    </row>
    <row r="22" spans="1:11" ht="19.95" customHeight="1">
      <c r="A22" s="12" t="s">
        <v>298</v>
      </c>
      <c r="B22" s="12"/>
      <c r="C22" s="2"/>
      <c r="D22" s="2"/>
      <c r="E22" s="2"/>
      <c r="F22" s="2"/>
      <c r="G22" s="2"/>
      <c r="H22" s="2"/>
      <c r="I22" s="2"/>
      <c r="J22" s="2"/>
      <c r="K22" s="2"/>
    </row>
    <row r="23" spans="1:11" ht="19.95" customHeight="1">
      <c r="A23" s="2"/>
      <c r="B23" s="2"/>
      <c r="C23" s="2"/>
      <c r="D23" s="2"/>
      <c r="E23" s="2"/>
      <c r="F23" s="2"/>
      <c r="G23" s="2"/>
      <c r="H23" s="2"/>
      <c r="I23" s="2"/>
      <c r="J23" s="2"/>
      <c r="K23" s="2"/>
    </row>
    <row r="24" spans="1:11" ht="19.95" customHeight="1">
      <c r="A24" s="2"/>
      <c r="B24" s="2"/>
      <c r="C24" s="2"/>
      <c r="D24" s="2"/>
      <c r="E24" s="2"/>
      <c r="F24" s="2"/>
      <c r="G24" s="2"/>
      <c r="H24" s="2"/>
      <c r="I24" s="2"/>
      <c r="J24" s="2"/>
      <c r="K24" s="2"/>
    </row>
    <row r="25" spans="1:11" ht="19.95" customHeight="1">
      <c r="A25" s="12" t="s">
        <v>299</v>
      </c>
      <c r="B25" s="2"/>
      <c r="C25" s="2"/>
      <c r="D25" s="2"/>
      <c r="E25" s="2"/>
      <c r="F25" s="2"/>
      <c r="G25" s="2"/>
      <c r="H25" s="2"/>
      <c r="I25" s="2"/>
      <c r="J25" s="2"/>
      <c r="K25" s="2"/>
    </row>
    <row r="26" spans="1:11" ht="19.95" customHeight="1">
      <c r="A26" s="2"/>
      <c r="B26" s="2"/>
      <c r="C26" s="2"/>
      <c r="D26" s="2"/>
      <c r="E26" s="2"/>
      <c r="F26" s="2"/>
      <c r="G26" s="2"/>
      <c r="H26" s="2"/>
      <c r="I26" s="2"/>
      <c r="J26" s="2"/>
      <c r="K26" s="2"/>
    </row>
    <row r="27" spans="1:11" ht="19.95" customHeight="1">
      <c r="A27" s="2"/>
      <c r="B27" s="2"/>
      <c r="C27" s="2"/>
      <c r="D27" s="2"/>
      <c r="E27" s="2"/>
      <c r="F27" s="2"/>
      <c r="G27" s="2"/>
      <c r="H27" s="2"/>
      <c r="I27" s="2"/>
      <c r="J27" s="2"/>
      <c r="K27" s="2"/>
    </row>
    <row r="28" spans="1:11" ht="18" customHeight="1">
      <c r="A28" s="30"/>
      <c r="B28" s="30"/>
      <c r="C28" s="24"/>
      <c r="D28" s="24"/>
      <c r="E28" s="24"/>
      <c r="F28" s="24"/>
      <c r="G28" s="24"/>
      <c r="H28" s="24"/>
      <c r="I28" s="24"/>
      <c r="J28" s="24"/>
      <c r="K28" s="24"/>
    </row>
    <row r="29" spans="1:11" s="33" customFormat="1" ht="18" customHeight="1">
      <c r="A29" s="31" t="s">
        <v>91</v>
      </c>
      <c r="B29" s="31"/>
      <c r="C29" s="32"/>
      <c r="D29" s="32"/>
      <c r="E29" s="32"/>
      <c r="F29" s="32"/>
      <c r="G29" s="32"/>
      <c r="H29" s="32"/>
      <c r="I29" s="32"/>
      <c r="J29" s="32"/>
      <c r="K29" s="32"/>
    </row>
    <row r="30" spans="1:11" s="33" customFormat="1" ht="18" customHeight="1">
      <c r="A30" s="18" t="s">
        <v>92</v>
      </c>
      <c r="B30" s="18"/>
      <c r="C30" s="18"/>
      <c r="D30" s="18"/>
      <c r="E30" s="18"/>
      <c r="F30" s="18"/>
      <c r="G30" s="18"/>
      <c r="H30" s="18"/>
      <c r="I30" s="18"/>
      <c r="J30" s="18"/>
      <c r="K30" s="18"/>
    </row>
    <row r="31" spans="1:11" s="33" customFormat="1" ht="18" customHeight="1">
      <c r="A31" s="18" t="s">
        <v>93</v>
      </c>
      <c r="B31" s="18"/>
      <c r="C31" s="18"/>
      <c r="D31" s="18"/>
      <c r="E31" s="18"/>
      <c r="F31" s="18"/>
      <c r="G31" s="18"/>
      <c r="H31" s="18"/>
      <c r="I31" s="18"/>
      <c r="J31" s="18"/>
      <c r="K31" s="18"/>
    </row>
    <row r="32" spans="1:11" ht="18" customHeight="1">
      <c r="A32" s="24"/>
      <c r="B32" s="24"/>
      <c r="C32" s="24"/>
      <c r="D32" s="24"/>
      <c r="E32" s="24"/>
      <c r="F32" s="24"/>
      <c r="G32" s="24"/>
      <c r="H32" s="24"/>
      <c r="I32" s="24"/>
      <c r="J32" s="24"/>
      <c r="K32" s="24"/>
    </row>
    <row r="33" spans="1:17" s="19" customFormat="1" ht="18" customHeight="1">
      <c r="A33" s="18" t="s">
        <v>94</v>
      </c>
      <c r="B33" s="18"/>
      <c r="C33" s="2"/>
      <c r="D33" s="2"/>
      <c r="E33" s="2"/>
      <c r="F33" s="2"/>
      <c r="G33" s="2"/>
      <c r="H33" s="2"/>
      <c r="P33" s="2"/>
      <c r="Q33" s="2"/>
    </row>
    <row r="34" spans="1:17" s="19" customFormat="1" ht="18" customHeight="1">
      <c r="A34" s="18" t="s">
        <v>69</v>
      </c>
      <c r="B34" s="18"/>
      <c r="D34" s="2"/>
      <c r="E34" s="2"/>
      <c r="F34" s="2"/>
      <c r="G34" s="2"/>
      <c r="H34" s="2"/>
      <c r="P34" s="2"/>
      <c r="Q34" s="2"/>
    </row>
    <row r="35" spans="1:17" s="19" customFormat="1" ht="18" customHeight="1">
      <c r="A35" s="20" t="s">
        <v>70</v>
      </c>
      <c r="B35" s="20"/>
      <c r="D35" s="2"/>
      <c r="E35" s="2"/>
      <c r="F35" s="2"/>
      <c r="G35" s="2"/>
      <c r="H35" s="2"/>
      <c r="P35" s="2"/>
      <c r="Q35" s="2"/>
    </row>
    <row r="36" spans="1:17" s="19" customFormat="1" ht="18" customHeight="1">
      <c r="A36" s="21" t="s">
        <v>46</v>
      </c>
      <c r="B36" s="21"/>
      <c r="C36" s="22" t="s">
        <v>71</v>
      </c>
      <c r="D36" s="2"/>
      <c r="E36" s="2"/>
      <c r="F36" s="2"/>
      <c r="G36" s="2"/>
      <c r="H36" s="2"/>
      <c r="P36" s="2"/>
      <c r="Q36" s="2"/>
    </row>
    <row r="37" spans="1:17" s="19" customFormat="1" ht="18" customHeight="1">
      <c r="A37" s="21" t="s">
        <v>48</v>
      </c>
      <c r="B37" s="21"/>
      <c r="C37" s="22" t="s">
        <v>72</v>
      </c>
    </row>
    <row r="38" spans="1:17" s="19" customFormat="1" ht="18" customHeight="1">
      <c r="A38" s="21" t="s">
        <v>50</v>
      </c>
      <c r="B38" s="21"/>
      <c r="C38" s="22" t="s">
        <v>73</v>
      </c>
    </row>
    <row r="39" spans="1:17">
      <c r="A39" s="24"/>
      <c r="B39" s="24"/>
      <c r="C39" s="24"/>
      <c r="D39" s="24"/>
      <c r="E39" s="24"/>
      <c r="F39" s="24"/>
      <c r="G39" s="24"/>
      <c r="H39" s="24"/>
      <c r="I39" s="24"/>
      <c r="J39" s="24"/>
      <c r="K39" s="24"/>
    </row>
    <row r="40" spans="1:17">
      <c r="A40" s="24"/>
      <c r="B40" s="24"/>
      <c r="C40" s="24"/>
      <c r="D40" s="24"/>
      <c r="E40" s="24"/>
      <c r="F40" s="24"/>
      <c r="G40" s="24"/>
      <c r="H40" s="24"/>
      <c r="I40" s="24"/>
      <c r="J40" s="24"/>
      <c r="K40" s="24"/>
    </row>
  </sheetData>
  <mergeCells count="12">
    <mergeCell ref="A10:B10"/>
    <mergeCell ref="A21:B21"/>
    <mergeCell ref="A15:B15"/>
    <mergeCell ref="A20:B20"/>
    <mergeCell ref="A1:K1"/>
    <mergeCell ref="A2:K2"/>
    <mergeCell ref="C8:C9"/>
    <mergeCell ref="D8:E8"/>
    <mergeCell ref="F8:G8"/>
    <mergeCell ref="H8:J8"/>
    <mergeCell ref="K8:K9"/>
    <mergeCell ref="A8:B9"/>
  </mergeCells>
  <phoneticPr fontId="11" type="noConversion"/>
  <hyperlinks>
    <hyperlink ref="K3" location="底稿目录!F22" display="底稿目录!F22"/>
  </hyperlinks>
  <pageMargins left="0.70866141732283472" right="0.70866141732283472" top="0.74803149606299213" bottom="0.74803149606299213" header="0.31496062992125984" footer="0.31496062992125984"/>
  <pageSetup paperSize="9" scale="95" fitToHeight="0" orientation="landscape" blackAndWhite="1" r:id="rId1"/>
  <headerFooter>
    <oddFooter>&amp;C&amp;P/&amp;N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I33"/>
  <sheetViews>
    <sheetView view="pageBreakPreview" zoomScaleSheetLayoutView="100" workbookViewId="0">
      <selection sqref="A1:I1"/>
    </sheetView>
  </sheetViews>
  <sheetFormatPr defaultColWidth="9" defaultRowHeight="15.6"/>
  <cols>
    <col min="1" max="1" width="10.69921875" style="90" customWidth="1"/>
    <col min="2" max="2" width="11.09765625" style="90" customWidth="1"/>
    <col min="3" max="3" width="12.09765625" style="90" customWidth="1"/>
    <col min="4" max="4" width="14.59765625" style="90" customWidth="1"/>
    <col min="5" max="5" width="13.09765625" style="90" customWidth="1"/>
    <col min="6" max="6" width="15.59765625" style="90" customWidth="1"/>
    <col min="7" max="7" width="17.69921875" style="90" customWidth="1"/>
    <col min="8" max="8" width="13.19921875" style="90" customWidth="1"/>
    <col min="9" max="9" width="12.3984375" style="90" customWidth="1"/>
    <col min="10" max="16384" width="9" style="90"/>
  </cols>
  <sheetData>
    <row r="1" spans="1:9" s="617" customFormat="1" ht="19.95" customHeight="1">
      <c r="A1" s="942" t="s">
        <v>0</v>
      </c>
      <c r="B1" s="942"/>
      <c r="C1" s="942"/>
      <c r="D1" s="942"/>
      <c r="E1" s="942"/>
      <c r="F1" s="942"/>
      <c r="G1" s="942"/>
      <c r="H1" s="942"/>
      <c r="I1" s="942"/>
    </row>
    <row r="2" spans="1:9" s="630" customFormat="1" ht="19.95" customHeight="1">
      <c r="A2" s="943" t="s">
        <v>1284</v>
      </c>
      <c r="B2" s="943"/>
      <c r="C2" s="943"/>
      <c r="D2" s="943"/>
      <c r="E2" s="943"/>
      <c r="F2" s="943"/>
      <c r="G2" s="943"/>
      <c r="H2" s="943"/>
      <c r="I2" s="943"/>
    </row>
    <row r="3" spans="1:9" s="207" customFormat="1" ht="19.95" customHeight="1">
      <c r="A3" s="207" t="str">
        <f>底稿目录!A2</f>
        <v>被审计单位：</v>
      </c>
      <c r="E3" s="207" t="str">
        <f>底稿目录!A4</f>
        <v>编制人：</v>
      </c>
      <c r="G3" s="229" t="str">
        <f>底稿目录!A5</f>
        <v>编制日期：</v>
      </c>
      <c r="H3" s="672" t="s">
        <v>67</v>
      </c>
      <c r="I3" s="763" t="str">
        <f>底稿目录!F23</f>
        <v>G7-17</v>
      </c>
    </row>
    <row r="4" spans="1:9" s="207" customFormat="1" ht="19.95" customHeight="1">
      <c r="A4" s="207" t="str">
        <f>底稿目录!A3</f>
        <v>截止日：202X年12月31日</v>
      </c>
      <c r="E4" s="207" t="str">
        <f>底稿目录!A6</f>
        <v>复核人：</v>
      </c>
      <c r="G4" s="229" t="str">
        <f>底稿目录!A7</f>
        <v>复核日期：</v>
      </c>
      <c r="H4" s="672" t="s">
        <v>1316</v>
      </c>
    </row>
    <row r="5" spans="1:9" ht="19.95" customHeight="1">
      <c r="A5" s="74" t="s">
        <v>146</v>
      </c>
      <c r="B5" s="74"/>
      <c r="C5" s="4" t="s">
        <v>1040</v>
      </c>
    </row>
    <row r="6" spans="1:9" ht="19.95" customHeight="1">
      <c r="A6" s="75" t="s">
        <v>126</v>
      </c>
      <c r="B6" s="75"/>
    </row>
    <row r="7" spans="1:9" ht="19.95" customHeight="1">
      <c r="A7" s="54" t="s">
        <v>1037</v>
      </c>
      <c r="B7" s="56"/>
      <c r="C7" s="56"/>
      <c r="D7" s="56"/>
      <c r="E7" s="56"/>
      <c r="F7" s="56"/>
      <c r="G7" s="56"/>
      <c r="H7" s="56"/>
      <c r="I7" s="56"/>
    </row>
    <row r="8" spans="1:9" s="88" customFormat="1" ht="19.95" customHeight="1">
      <c r="A8" s="1001" t="s">
        <v>159</v>
      </c>
      <c r="B8" s="1001"/>
      <c r="C8" s="1001"/>
      <c r="D8" s="1001"/>
      <c r="E8" s="1001"/>
      <c r="F8" s="65" t="s">
        <v>1091</v>
      </c>
      <c r="G8" s="73" t="s">
        <v>1092</v>
      </c>
      <c r="H8" s="65" t="s">
        <v>1093</v>
      </c>
      <c r="I8" s="65" t="s">
        <v>226</v>
      </c>
    </row>
    <row r="9" spans="1:9" ht="30" customHeight="1">
      <c r="A9" s="977" t="s">
        <v>160</v>
      </c>
      <c r="B9" s="977"/>
      <c r="C9" s="977"/>
      <c r="D9" s="977"/>
      <c r="E9" s="977"/>
      <c r="F9" s="61"/>
      <c r="G9" s="61"/>
      <c r="H9" s="61"/>
      <c r="I9" s="61"/>
    </row>
    <row r="10" spans="1:9" ht="30" customHeight="1">
      <c r="A10" s="977" t="s">
        <v>161</v>
      </c>
      <c r="B10" s="977"/>
      <c r="C10" s="977"/>
      <c r="D10" s="977"/>
      <c r="E10" s="977"/>
      <c r="F10" s="61"/>
      <c r="G10" s="61"/>
      <c r="H10" s="61"/>
      <c r="I10" s="61"/>
    </row>
    <row r="11" spans="1:9" ht="30" customHeight="1">
      <c r="A11" s="977" t="s">
        <v>162</v>
      </c>
      <c r="B11" s="977"/>
      <c r="C11" s="977"/>
      <c r="D11" s="977"/>
      <c r="E11" s="977"/>
      <c r="F11" s="61"/>
      <c r="G11" s="61"/>
      <c r="H11" s="61"/>
      <c r="I11" s="61"/>
    </row>
    <row r="12" spans="1:9" ht="19.95" customHeight="1">
      <c r="A12" s="977" t="s">
        <v>163</v>
      </c>
      <c r="B12" s="977"/>
      <c r="C12" s="977"/>
      <c r="D12" s="977"/>
      <c r="E12" s="977"/>
      <c r="F12" s="61"/>
      <c r="G12" s="61"/>
      <c r="H12" s="61"/>
      <c r="I12" s="61"/>
    </row>
    <row r="13" spans="1:9" ht="19.95" customHeight="1">
      <c r="A13" s="977" t="s">
        <v>164</v>
      </c>
      <c r="B13" s="977"/>
      <c r="C13" s="977"/>
      <c r="D13" s="977"/>
      <c r="E13" s="977"/>
      <c r="F13" s="61"/>
      <c r="G13" s="61"/>
      <c r="H13" s="61"/>
      <c r="I13" s="61"/>
    </row>
    <row r="14" spans="1:9" ht="30" customHeight="1">
      <c r="A14" s="977" t="s">
        <v>165</v>
      </c>
      <c r="B14" s="977"/>
      <c r="C14" s="977"/>
      <c r="D14" s="977"/>
      <c r="E14" s="977"/>
      <c r="F14" s="61"/>
      <c r="G14" s="61"/>
      <c r="H14" s="61"/>
      <c r="I14" s="61"/>
    </row>
    <row r="15" spans="1:9" ht="19.95" customHeight="1">
      <c r="A15" s="977" t="s">
        <v>107</v>
      </c>
      <c r="B15" s="977"/>
      <c r="C15" s="977"/>
      <c r="D15" s="977"/>
      <c r="E15" s="977"/>
      <c r="F15" s="61"/>
      <c r="G15" s="61"/>
      <c r="H15" s="61"/>
      <c r="I15" s="61"/>
    </row>
    <row r="16" spans="1:9" ht="19.95" customHeight="1">
      <c r="A16" s="606" t="s">
        <v>1090</v>
      </c>
      <c r="B16" s="605"/>
      <c r="C16" s="605"/>
      <c r="D16" s="605"/>
      <c r="E16" s="605"/>
      <c r="F16" s="605"/>
      <c r="G16" s="605"/>
      <c r="H16" s="605"/>
      <c r="I16" s="605"/>
    </row>
    <row r="17" spans="1:9" ht="19.95" customHeight="1">
      <c r="A17" s="54"/>
      <c r="B17" s="56"/>
      <c r="C17" s="56"/>
      <c r="D17" s="56"/>
      <c r="E17" s="56"/>
      <c r="F17" s="56"/>
      <c r="G17" s="56"/>
      <c r="H17" s="56"/>
      <c r="I17" s="56"/>
    </row>
    <row r="18" spans="1:9" ht="19.95" customHeight="1">
      <c r="A18" s="54" t="s">
        <v>1038</v>
      </c>
      <c r="B18" s="56"/>
      <c r="C18" s="56"/>
      <c r="D18" s="56"/>
      <c r="E18" s="56"/>
      <c r="F18" s="56"/>
      <c r="G18" s="56"/>
      <c r="H18" s="56"/>
      <c r="I18" s="56"/>
    </row>
    <row r="19" spans="1:9" ht="19.95" customHeight="1">
      <c r="A19" s="93" t="s">
        <v>227</v>
      </c>
      <c r="B19" s="1055" t="s">
        <v>95</v>
      </c>
      <c r="C19" s="1056"/>
      <c r="D19" s="93" t="s">
        <v>226</v>
      </c>
      <c r="E19" s="56"/>
      <c r="F19" s="56"/>
      <c r="G19" s="56"/>
      <c r="H19" s="56"/>
      <c r="I19" s="56"/>
    </row>
    <row r="20" spans="1:9" ht="19.95" customHeight="1">
      <c r="A20" s="94">
        <v>1</v>
      </c>
      <c r="B20" s="95" t="s">
        <v>228</v>
      </c>
      <c r="C20" s="96"/>
      <c r="D20" s="760" t="s">
        <v>166</v>
      </c>
      <c r="E20" s="56"/>
      <c r="F20" s="56"/>
      <c r="G20" s="56"/>
      <c r="H20" s="56"/>
      <c r="I20" s="56"/>
    </row>
    <row r="21" spans="1:9" ht="19.95" customHeight="1">
      <c r="A21" s="94">
        <v>2</v>
      </c>
      <c r="B21" s="95" t="s">
        <v>229</v>
      </c>
      <c r="C21" s="96"/>
      <c r="D21" s="760" t="s">
        <v>167</v>
      </c>
      <c r="E21" s="56"/>
      <c r="F21" s="56"/>
      <c r="G21" s="56"/>
      <c r="H21" s="56"/>
      <c r="I21" s="56"/>
    </row>
    <row r="22" spans="1:9" ht="19.95" customHeight="1">
      <c r="A22" s="72" t="s">
        <v>1039</v>
      </c>
      <c r="B22" s="56"/>
      <c r="C22" s="56"/>
      <c r="D22" s="56"/>
      <c r="E22" s="56"/>
      <c r="F22" s="56"/>
      <c r="G22" s="56"/>
      <c r="H22" s="56"/>
      <c r="I22" s="56"/>
    </row>
    <row r="23" spans="1:9" s="2" customFormat="1" ht="19.95" customHeight="1">
      <c r="A23" s="1062" t="s">
        <v>1097</v>
      </c>
      <c r="B23" s="1057" t="s">
        <v>1095</v>
      </c>
      <c r="C23" s="1058"/>
      <c r="D23" s="1059"/>
      <c r="E23" s="1060" t="s">
        <v>1096</v>
      </c>
      <c r="F23" s="1064" t="s">
        <v>230</v>
      </c>
      <c r="G23" s="1066" t="s">
        <v>231</v>
      </c>
      <c r="H23" s="1064" t="s">
        <v>155</v>
      </c>
      <c r="I23" s="1054" t="s">
        <v>168</v>
      </c>
    </row>
    <row r="24" spans="1:9" s="2" customFormat="1" ht="36">
      <c r="A24" s="1063"/>
      <c r="B24" s="607" t="s">
        <v>1042</v>
      </c>
      <c r="C24" s="608" t="s">
        <v>1094</v>
      </c>
      <c r="D24" s="607" t="s">
        <v>1041</v>
      </c>
      <c r="E24" s="1061"/>
      <c r="F24" s="1065"/>
      <c r="G24" s="1067"/>
      <c r="H24" s="1065"/>
      <c r="I24" s="1054"/>
    </row>
    <row r="25" spans="1:9" s="2" customFormat="1" ht="19.95" customHeight="1">
      <c r="A25" s="97"/>
      <c r="B25" s="98"/>
      <c r="C25" s="656"/>
      <c r="D25" s="371">
        <f>C25*B25</f>
        <v>0</v>
      </c>
      <c r="E25" s="68"/>
      <c r="F25" s="371">
        <f>IF(A25-D25&gt;0,A25-D25,0)</f>
        <v>0</v>
      </c>
      <c r="G25" s="67"/>
      <c r="H25" s="371">
        <f>F25-G25</f>
        <v>0</v>
      </c>
      <c r="I25" s="27"/>
    </row>
    <row r="26" spans="1:9" s="2" customFormat="1" ht="19.95" customHeight="1">
      <c r="A26" s="97"/>
      <c r="B26" s="98"/>
      <c r="C26" s="656"/>
      <c r="D26" s="371"/>
      <c r="E26" s="68"/>
      <c r="F26" s="371">
        <f t="shared" ref="F26:F27" si="0">IF(A26-D26&gt;0,A26-D26,0)</f>
        <v>0</v>
      </c>
      <c r="G26" s="67"/>
      <c r="H26" s="371">
        <f t="shared" ref="H26:H27" si="1">F26-G26</f>
        <v>0</v>
      </c>
      <c r="I26" s="27"/>
    </row>
    <row r="27" spans="1:9" s="2" customFormat="1" ht="19.95" customHeight="1">
      <c r="A27" s="97"/>
      <c r="B27" s="98"/>
      <c r="C27" s="656"/>
      <c r="D27" s="371">
        <f>A27*C27</f>
        <v>0</v>
      </c>
      <c r="E27" s="68"/>
      <c r="F27" s="371">
        <f t="shared" si="0"/>
        <v>0</v>
      </c>
      <c r="G27" s="67"/>
      <c r="H27" s="371">
        <f t="shared" si="1"/>
        <v>0</v>
      </c>
      <c r="I27" s="27"/>
    </row>
    <row r="28" spans="1:9" s="2" customFormat="1" ht="19.95" customHeight="1">
      <c r="A28" s="54" t="s">
        <v>232</v>
      </c>
      <c r="B28" s="56"/>
      <c r="C28" s="56"/>
      <c r="D28" s="56"/>
      <c r="E28" s="56"/>
      <c r="F28" s="56"/>
      <c r="G28" s="56"/>
      <c r="H28" s="56"/>
      <c r="I28" s="56"/>
    </row>
    <row r="29" spans="1:9" ht="19.95" customHeight="1">
      <c r="A29" s="35"/>
      <c r="B29" s="56"/>
      <c r="C29" s="56"/>
      <c r="D29" s="56"/>
      <c r="E29" s="56"/>
      <c r="F29" s="56"/>
      <c r="G29" s="56"/>
      <c r="H29" s="56"/>
      <c r="I29" s="56"/>
    </row>
    <row r="30" spans="1:9" ht="19.95" customHeight="1">
      <c r="A30" s="35"/>
    </row>
    <row r="31" spans="1:9" ht="19.95" customHeight="1">
      <c r="A31" s="54" t="s">
        <v>233</v>
      </c>
    </row>
    <row r="32" spans="1:9" ht="19.95" customHeight="1"/>
    <row r="33" ht="19.95" customHeight="1"/>
  </sheetData>
  <mergeCells count="18">
    <mergeCell ref="I23:I24"/>
    <mergeCell ref="A11:E11"/>
    <mergeCell ref="A12:E12"/>
    <mergeCell ref="A13:E13"/>
    <mergeCell ref="A14:E14"/>
    <mergeCell ref="A15:E15"/>
    <mergeCell ref="B19:C19"/>
    <mergeCell ref="B23:D23"/>
    <mergeCell ref="E23:E24"/>
    <mergeCell ref="A23:A24"/>
    <mergeCell ref="F23:F24"/>
    <mergeCell ref="G23:G24"/>
    <mergeCell ref="H23:H24"/>
    <mergeCell ref="A8:E8"/>
    <mergeCell ref="A9:E9"/>
    <mergeCell ref="A10:E10"/>
    <mergeCell ref="A1:I1"/>
    <mergeCell ref="A2:I2"/>
  </mergeCells>
  <phoneticPr fontId="11" type="noConversion"/>
  <dataValidations count="2">
    <dataValidation type="list" allowBlank="1" showInputMessage="1" showErrorMessage="1" sqref="F15:I16">
      <formula1>"是,否"</formula1>
    </dataValidation>
    <dataValidation allowBlank="1" showInputMessage="1" showErrorMessage="1" prompt="请填在B列" sqref="A25:A27"/>
  </dataValidations>
  <hyperlinks>
    <hyperlink ref="I3" location="底稿目录!F23" display="底稿目录!F23"/>
  </hyperlinks>
  <pageMargins left="0.70866141732283472" right="0.70866141732283472" top="0.74803149606299213" bottom="0.74803149606299213" header="0.31496062992125984" footer="0.31496062992125984"/>
  <pageSetup paperSize="9" fitToHeight="0" orientation="landscape" blackAndWhite="1" r:id="rId1"/>
  <headerFooter>
    <oddFooter>&amp;C&amp;P/&amp;N</oddFooter>
  </headerFooter>
  <rowBreaks count="1" manualBreakCount="1">
    <brk id="21" max="8"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S99"/>
  <sheetViews>
    <sheetView view="pageBreakPreview" zoomScaleNormal="100" workbookViewId="0">
      <selection activeCell="Q3" sqref="Q3"/>
    </sheetView>
  </sheetViews>
  <sheetFormatPr defaultColWidth="8.09765625" defaultRowHeight="13.8"/>
  <cols>
    <col min="1" max="1" width="8.19921875" style="439" customWidth="1"/>
    <col min="2" max="2" width="8.09765625" style="439"/>
    <col min="3" max="3" width="16.5" style="439" customWidth="1"/>
    <col min="4" max="4" width="10.09765625" style="439" customWidth="1"/>
    <col min="5" max="5" width="11.296875" style="439" customWidth="1"/>
    <col min="6" max="6" width="8.8984375" style="439" customWidth="1"/>
    <col min="7" max="7" width="11" style="439" customWidth="1"/>
    <col min="8" max="8" width="29.19921875" style="439" customWidth="1"/>
    <col min="9" max="14" width="4.3984375" style="439" customWidth="1"/>
    <col min="15" max="15" width="8.796875" style="439" customWidth="1"/>
    <col min="16" max="16" width="7.09765625" style="439" customWidth="1"/>
    <col min="17" max="17" width="13" style="439" customWidth="1"/>
    <col min="18" max="16384" width="8.09765625" style="439"/>
  </cols>
  <sheetData>
    <row r="1" spans="1:19" s="625" customFormat="1" ht="20.100000000000001" customHeight="1">
      <c r="A1" s="942" t="s">
        <v>0</v>
      </c>
      <c r="B1" s="942"/>
      <c r="C1" s="942"/>
      <c r="D1" s="942"/>
      <c r="E1" s="942"/>
      <c r="F1" s="942"/>
      <c r="G1" s="942"/>
      <c r="H1" s="942"/>
      <c r="I1" s="942"/>
      <c r="J1" s="942"/>
      <c r="K1" s="942"/>
      <c r="L1" s="942"/>
      <c r="M1" s="942"/>
      <c r="N1" s="942"/>
      <c r="O1" s="942"/>
      <c r="P1" s="942"/>
      <c r="Q1" s="942"/>
    </row>
    <row r="2" spans="1:19" s="636" customFormat="1" ht="25.2" customHeight="1">
      <c r="A2" s="943" t="s">
        <v>1065</v>
      </c>
      <c r="B2" s="943"/>
      <c r="C2" s="943"/>
      <c r="D2" s="943"/>
      <c r="E2" s="943"/>
      <c r="F2" s="943"/>
      <c r="G2" s="943"/>
      <c r="H2" s="943"/>
      <c r="I2" s="943"/>
      <c r="J2" s="943"/>
      <c r="K2" s="943"/>
      <c r="L2" s="943"/>
      <c r="M2" s="943"/>
      <c r="N2" s="943"/>
      <c r="O2" s="943"/>
      <c r="P2" s="943"/>
      <c r="Q2" s="943"/>
    </row>
    <row r="3" spans="1:19" s="678" customFormat="1" ht="20.100000000000001" customHeight="1">
      <c r="A3" s="678" t="str">
        <f>底稿目录!A2</f>
        <v>被审计单位：</v>
      </c>
      <c r="B3" s="761"/>
      <c r="E3" s="678" t="str">
        <f>底稿目录!A4</f>
        <v>编制人：</v>
      </c>
      <c r="G3" s="761"/>
      <c r="H3" s="762" t="str">
        <f>底稿目录!A5</f>
        <v>编制日期：</v>
      </c>
      <c r="I3" s="762"/>
      <c r="P3" s="678" t="s">
        <v>67</v>
      </c>
      <c r="Q3" s="763" t="str">
        <f>底稿目录!F24</f>
        <v>G7-18</v>
      </c>
    </row>
    <row r="4" spans="1:19" s="678" customFormat="1" ht="20.100000000000001" customHeight="1">
      <c r="A4" s="764" t="str">
        <f>底稿目录!A3</f>
        <v>截止日：202X年12月31日</v>
      </c>
      <c r="B4" s="761"/>
      <c r="E4" s="678" t="str">
        <f>底稿目录!A6</f>
        <v>复核人：</v>
      </c>
      <c r="G4" s="761"/>
      <c r="H4" s="762" t="str">
        <f>底稿目录!A7</f>
        <v>复核日期：</v>
      </c>
      <c r="I4" s="762"/>
      <c r="P4" s="678" t="s">
        <v>1329</v>
      </c>
    </row>
    <row r="5" spans="1:19" s="767" customFormat="1" ht="20.100000000000001" customHeight="1">
      <c r="A5" s="765" t="s">
        <v>1330</v>
      </c>
      <c r="B5" s="766"/>
      <c r="D5" s="766"/>
      <c r="E5" s="766"/>
      <c r="F5" s="766"/>
      <c r="G5" s="766"/>
      <c r="H5" s="766"/>
      <c r="I5" s="766"/>
      <c r="J5" s="766"/>
      <c r="K5" s="766"/>
    </row>
    <row r="6" spans="1:19" s="767" customFormat="1" ht="20.100000000000001" customHeight="1">
      <c r="A6" s="768" t="s">
        <v>1411</v>
      </c>
      <c r="B6" s="766"/>
      <c r="D6" s="766"/>
      <c r="E6" s="766"/>
      <c r="F6" s="766"/>
      <c r="G6" s="766"/>
      <c r="H6" s="766"/>
      <c r="I6" s="766"/>
      <c r="J6" s="766"/>
      <c r="K6" s="766"/>
    </row>
    <row r="7" spans="1:19" s="767" customFormat="1" ht="20.100000000000001" customHeight="1">
      <c r="A7" s="768" t="s">
        <v>1412</v>
      </c>
      <c r="B7" s="766"/>
      <c r="D7" s="766"/>
      <c r="E7" s="766"/>
      <c r="F7" s="766"/>
      <c r="G7" s="766"/>
      <c r="H7" s="766"/>
      <c r="I7" s="766"/>
      <c r="J7" s="766"/>
      <c r="K7" s="766"/>
    </row>
    <row r="8" spans="1:19" s="767" customFormat="1" ht="20.100000000000001" customHeight="1">
      <c r="A8" s="1069" t="s">
        <v>1331</v>
      </c>
      <c r="B8" s="1069"/>
      <c r="C8" s="1069"/>
      <c r="D8" s="1069"/>
      <c r="E8" s="1069"/>
      <c r="F8" s="1069"/>
      <c r="G8" s="1069"/>
      <c r="H8" s="1069"/>
      <c r="I8" s="1069"/>
      <c r="J8" s="1069"/>
      <c r="K8" s="1069"/>
    </row>
    <row r="9" spans="1:19" s="773" customFormat="1" ht="19.95" customHeight="1">
      <c r="A9" s="769" t="s">
        <v>1332</v>
      </c>
      <c r="B9" s="770" t="s">
        <v>1333</v>
      </c>
      <c r="C9" s="771"/>
      <c r="D9" s="769"/>
      <c r="E9" s="770"/>
      <c r="F9" s="771"/>
      <c r="G9" s="769" t="s">
        <v>1334</v>
      </c>
      <c r="H9" s="770" t="s">
        <v>1335</v>
      </c>
      <c r="I9" s="770"/>
      <c r="J9" s="772"/>
      <c r="M9" s="774"/>
      <c r="N9" s="774"/>
      <c r="O9" s="774"/>
      <c r="P9" s="774"/>
      <c r="Q9" s="774"/>
      <c r="S9" s="775"/>
    </row>
    <row r="10" spans="1:19" s="773" customFormat="1" ht="19.95" customHeight="1">
      <c r="A10" s="769" t="s">
        <v>1336</v>
      </c>
      <c r="B10" s="770" t="s">
        <v>1337</v>
      </c>
      <c r="C10" s="771"/>
      <c r="D10" s="769"/>
      <c r="E10" s="770"/>
      <c r="F10" s="771"/>
      <c r="G10" s="769" t="s">
        <v>1338</v>
      </c>
      <c r="H10" s="770" t="s">
        <v>1453</v>
      </c>
      <c r="I10" s="770"/>
      <c r="J10" s="770"/>
      <c r="M10" s="774"/>
      <c r="N10" s="774"/>
      <c r="O10" s="774"/>
      <c r="P10" s="774"/>
      <c r="Q10" s="774"/>
      <c r="S10" s="775"/>
    </row>
    <row r="11" spans="1:19" s="773" customFormat="1" ht="19.95" customHeight="1">
      <c r="A11" s="769" t="s">
        <v>1339</v>
      </c>
      <c r="B11" s="770" t="s">
        <v>1452</v>
      </c>
      <c r="C11" s="771"/>
      <c r="D11" s="769"/>
      <c r="E11" s="770"/>
      <c r="F11" s="771"/>
      <c r="G11" s="769" t="s">
        <v>1340</v>
      </c>
      <c r="H11" s="770" t="s">
        <v>1341</v>
      </c>
      <c r="I11" s="772"/>
      <c r="J11" s="772"/>
      <c r="M11" s="774"/>
      <c r="N11" s="774"/>
      <c r="O11" s="774"/>
      <c r="P11" s="774"/>
      <c r="Q11" s="774"/>
      <c r="S11" s="775"/>
    </row>
    <row r="12" spans="1:19" ht="20.100000000000001" customHeight="1">
      <c r="A12" s="776" t="s">
        <v>1342</v>
      </c>
      <c r="B12" s="777"/>
      <c r="C12" s="777"/>
      <c r="D12" s="778"/>
      <c r="E12" s="779"/>
      <c r="F12" s="779"/>
      <c r="G12" s="767"/>
      <c r="H12" s="767"/>
      <c r="I12" s="767"/>
      <c r="J12" s="767"/>
      <c r="K12" s="767"/>
      <c r="L12" s="767"/>
      <c r="M12" s="767"/>
      <c r="N12" s="767"/>
      <c r="O12" s="767"/>
      <c r="P12" s="767"/>
    </row>
    <row r="13" spans="1:19" ht="20.100000000000001" customHeight="1">
      <c r="A13" s="780" t="s">
        <v>1413</v>
      </c>
      <c r="B13" s="777"/>
      <c r="C13" s="777"/>
      <c r="D13" s="778"/>
      <c r="E13" s="779"/>
      <c r="F13" s="779"/>
      <c r="G13" s="767"/>
      <c r="H13" s="767"/>
      <c r="I13" s="767"/>
      <c r="J13" s="767"/>
      <c r="K13" s="767"/>
      <c r="L13" s="767"/>
      <c r="M13" s="767"/>
      <c r="N13" s="767"/>
      <c r="O13" s="767"/>
      <c r="P13" s="767"/>
    </row>
    <row r="14" spans="1:19" s="771" customFormat="1" ht="19.95" customHeight="1">
      <c r="A14" s="781" t="s">
        <v>1343</v>
      </c>
    </row>
    <row r="15" spans="1:19" s="782" customFormat="1" ht="19.95" customHeight="1">
      <c r="A15" s="1070" t="s">
        <v>1344</v>
      </c>
      <c r="B15" s="1070"/>
      <c r="C15" s="1070"/>
      <c r="D15" s="1070"/>
      <c r="E15" s="1070"/>
      <c r="F15" s="1070"/>
      <c r="G15" s="1070"/>
      <c r="H15" s="1071" t="s">
        <v>1345</v>
      </c>
      <c r="I15" s="1072" t="s">
        <v>1346</v>
      </c>
      <c r="J15" s="1073"/>
      <c r="K15" s="1073"/>
      <c r="L15" s="1073"/>
      <c r="M15" s="1073"/>
      <c r="N15" s="1074"/>
      <c r="O15" s="1075" t="s">
        <v>1347</v>
      </c>
      <c r="P15" s="1075" t="s">
        <v>1348</v>
      </c>
      <c r="Q15" s="1076" t="s">
        <v>1349</v>
      </c>
    </row>
    <row r="16" spans="1:19" s="786" customFormat="1" ht="19.95" customHeight="1">
      <c r="A16" s="783" t="s">
        <v>1350</v>
      </c>
      <c r="B16" s="783" t="s">
        <v>1351</v>
      </c>
      <c r="C16" s="783" t="s">
        <v>1352</v>
      </c>
      <c r="D16" s="783" t="s">
        <v>1353</v>
      </c>
      <c r="E16" s="783" t="s">
        <v>1354</v>
      </c>
      <c r="F16" s="784" t="s">
        <v>1355</v>
      </c>
      <c r="G16" s="784" t="s">
        <v>1356</v>
      </c>
      <c r="H16" s="1071"/>
      <c r="I16" s="785">
        <v>1</v>
      </c>
      <c r="J16" s="785">
        <v>2</v>
      </c>
      <c r="K16" s="785">
        <v>3</v>
      </c>
      <c r="L16" s="785">
        <v>4</v>
      </c>
      <c r="M16" s="785">
        <v>5</v>
      </c>
      <c r="N16" s="785">
        <v>6</v>
      </c>
      <c r="O16" s="1075"/>
      <c r="P16" s="1075"/>
      <c r="Q16" s="1077"/>
    </row>
    <row r="17" spans="1:17" s="795" customFormat="1" ht="19.95" customHeight="1">
      <c r="A17" s="787"/>
      <c r="B17" s="788"/>
      <c r="C17" s="789"/>
      <c r="D17" s="790"/>
      <c r="E17" s="789"/>
      <c r="F17" s="791"/>
      <c r="G17" s="791"/>
      <c r="H17" s="792" t="s">
        <v>1357</v>
      </c>
      <c r="I17" s="793"/>
      <c r="J17" s="793"/>
      <c r="K17" s="793"/>
      <c r="L17" s="793"/>
      <c r="M17" s="793"/>
      <c r="N17" s="793"/>
      <c r="O17" s="788"/>
      <c r="P17" s="788"/>
      <c r="Q17" s="794"/>
    </row>
    <row r="18" spans="1:17" s="795" customFormat="1" ht="19.95" customHeight="1">
      <c r="A18" s="787"/>
      <c r="B18" s="788"/>
      <c r="C18" s="789"/>
      <c r="D18" s="790"/>
      <c r="E18" s="789"/>
      <c r="F18" s="791"/>
      <c r="G18" s="791"/>
      <c r="H18" s="792"/>
      <c r="I18" s="793"/>
      <c r="J18" s="793"/>
      <c r="K18" s="793"/>
      <c r="L18" s="793"/>
      <c r="M18" s="793"/>
      <c r="N18" s="793"/>
      <c r="O18" s="788"/>
      <c r="P18" s="788"/>
      <c r="Q18" s="794"/>
    </row>
    <row r="19" spans="1:17" s="795" customFormat="1" ht="19.95" customHeight="1">
      <c r="A19" s="787"/>
      <c r="B19" s="788"/>
      <c r="C19" s="789"/>
      <c r="D19" s="790"/>
      <c r="E19" s="789"/>
      <c r="F19" s="791"/>
      <c r="G19" s="791"/>
      <c r="H19" s="792"/>
      <c r="I19" s="793"/>
      <c r="J19" s="793"/>
      <c r="K19" s="793"/>
      <c r="L19" s="793"/>
      <c r="M19" s="793"/>
      <c r="N19" s="793"/>
      <c r="O19" s="788"/>
      <c r="P19" s="788"/>
      <c r="Q19" s="794"/>
    </row>
    <row r="20" spans="1:17" s="795" customFormat="1" ht="19.95" customHeight="1">
      <c r="A20" s="787"/>
      <c r="B20" s="788"/>
      <c r="C20" s="789"/>
      <c r="D20" s="790"/>
      <c r="E20" s="789"/>
      <c r="F20" s="791"/>
      <c r="G20" s="791"/>
      <c r="H20" s="792"/>
      <c r="I20" s="793"/>
      <c r="J20" s="793"/>
      <c r="K20" s="793"/>
      <c r="L20" s="793"/>
      <c r="M20" s="793"/>
      <c r="N20" s="793"/>
      <c r="O20" s="788"/>
      <c r="P20" s="788"/>
      <c r="Q20" s="794"/>
    </row>
    <row r="21" spans="1:17" s="795" customFormat="1" ht="19.95" customHeight="1">
      <c r="A21" s="787"/>
      <c r="B21" s="788"/>
      <c r="C21" s="789"/>
      <c r="D21" s="790"/>
      <c r="E21" s="789"/>
      <c r="F21" s="791"/>
      <c r="G21" s="791"/>
      <c r="H21" s="792"/>
      <c r="I21" s="793"/>
      <c r="J21" s="793"/>
      <c r="K21" s="793"/>
      <c r="L21" s="793"/>
      <c r="M21" s="793"/>
      <c r="N21" s="793"/>
      <c r="O21" s="788"/>
      <c r="P21" s="788"/>
      <c r="Q21" s="794"/>
    </row>
    <row r="22" spans="1:17" s="795" customFormat="1" ht="19.95" customHeight="1">
      <c r="A22" s="787"/>
      <c r="B22" s="788"/>
      <c r="C22" s="789"/>
      <c r="D22" s="789"/>
      <c r="E22" s="789"/>
      <c r="F22" s="791"/>
      <c r="G22" s="791"/>
      <c r="H22" s="789"/>
      <c r="I22" s="793"/>
      <c r="J22" s="793"/>
      <c r="K22" s="793"/>
      <c r="L22" s="793"/>
      <c r="M22" s="793"/>
      <c r="N22" s="793"/>
      <c r="O22" s="788"/>
      <c r="P22" s="788"/>
      <c r="Q22" s="794"/>
    </row>
    <row r="23" spans="1:17" s="795" customFormat="1" ht="19.95" customHeight="1">
      <c r="A23" s="787"/>
      <c r="B23" s="788"/>
      <c r="C23" s="789"/>
      <c r="D23" s="789"/>
      <c r="E23" s="789"/>
      <c r="F23" s="791"/>
      <c r="G23" s="791"/>
      <c r="H23" s="789"/>
      <c r="I23" s="793"/>
      <c r="J23" s="793"/>
      <c r="K23" s="793"/>
      <c r="L23" s="793"/>
      <c r="M23" s="793"/>
      <c r="N23" s="793"/>
      <c r="O23" s="788"/>
      <c r="P23" s="788"/>
      <c r="Q23" s="794"/>
    </row>
    <row r="24" spans="1:17" s="795" customFormat="1" ht="19.95" customHeight="1">
      <c r="A24" s="787"/>
      <c r="B24" s="788"/>
      <c r="C24" s="789"/>
      <c r="D24" s="789"/>
      <c r="E24" s="789"/>
      <c r="F24" s="791"/>
      <c r="G24" s="791"/>
      <c r="H24" s="789"/>
      <c r="I24" s="793"/>
      <c r="J24" s="793"/>
      <c r="K24" s="793"/>
      <c r="L24" s="793"/>
      <c r="M24" s="793"/>
      <c r="N24" s="793"/>
      <c r="O24" s="788"/>
      <c r="P24" s="788"/>
      <c r="Q24" s="794"/>
    </row>
    <row r="25" spans="1:17" s="795" customFormat="1" ht="19.95" customHeight="1">
      <c r="A25" s="787"/>
      <c r="B25" s="788"/>
      <c r="C25" s="789"/>
      <c r="D25" s="789"/>
      <c r="E25" s="789"/>
      <c r="F25" s="791"/>
      <c r="G25" s="791"/>
      <c r="H25" s="789"/>
      <c r="I25" s="793"/>
      <c r="J25" s="793"/>
      <c r="K25" s="793"/>
      <c r="L25" s="793"/>
      <c r="M25" s="793"/>
      <c r="N25" s="793"/>
      <c r="O25" s="788"/>
      <c r="P25" s="788"/>
      <c r="Q25" s="794"/>
    </row>
    <row r="26" spans="1:17" s="795" customFormat="1" ht="19.95" customHeight="1">
      <c r="A26" s="787"/>
      <c r="B26" s="788"/>
      <c r="C26" s="789"/>
      <c r="D26" s="789"/>
      <c r="E26" s="789"/>
      <c r="F26" s="791"/>
      <c r="G26" s="791"/>
      <c r="H26" s="789"/>
      <c r="I26" s="789"/>
      <c r="J26" s="787"/>
      <c r="K26" s="789"/>
      <c r="L26" s="791"/>
      <c r="M26" s="789"/>
      <c r="N26" s="789"/>
      <c r="O26" s="788"/>
      <c r="P26" s="788"/>
      <c r="Q26" s="796"/>
    </row>
    <row r="27" spans="1:17" s="846" customFormat="1" ht="19.95" customHeight="1">
      <c r="A27" s="1068" t="s">
        <v>1454</v>
      </c>
      <c r="B27" s="1068"/>
      <c r="C27" s="1068"/>
      <c r="D27" s="1068"/>
      <c r="E27" s="843"/>
      <c r="F27" s="844">
        <f>SUM(F17:F26)</f>
        <v>0</v>
      </c>
      <c r="G27" s="844">
        <f>SUM(G17:G26)</f>
        <v>0</v>
      </c>
      <c r="H27" s="843"/>
      <c r="I27" s="843"/>
      <c r="J27" s="845"/>
      <c r="K27" s="843"/>
      <c r="L27" s="844"/>
      <c r="M27" s="843"/>
      <c r="N27" s="843"/>
      <c r="O27" s="843"/>
      <c r="P27" s="844"/>
      <c r="Q27" s="843"/>
    </row>
    <row r="28" spans="1:17" s="846" customFormat="1" ht="19.95" customHeight="1">
      <c r="A28" s="1068" t="s">
        <v>1455</v>
      </c>
      <c r="B28" s="1068"/>
      <c r="C28" s="1068"/>
      <c r="D28" s="1068"/>
      <c r="E28" s="843"/>
      <c r="F28" s="844">
        <f>'长期股权投资审定表G7-1'!D22</f>
        <v>0</v>
      </c>
      <c r="G28" s="844">
        <f>'长期股权投资审定表G7-1'!E22</f>
        <v>0</v>
      </c>
      <c r="H28" s="843"/>
      <c r="I28" s="843"/>
      <c r="J28" s="845"/>
      <c r="K28" s="843"/>
      <c r="L28" s="844"/>
      <c r="M28" s="843"/>
      <c r="N28" s="843"/>
      <c r="O28" s="843"/>
      <c r="P28" s="844"/>
      <c r="Q28" s="843"/>
    </row>
    <row r="29" spans="1:17" s="846" customFormat="1" ht="19.95" customHeight="1">
      <c r="A29" s="1068" t="s">
        <v>1456</v>
      </c>
      <c r="B29" s="1068"/>
      <c r="C29" s="1068"/>
      <c r="D29" s="1068"/>
      <c r="E29" s="843"/>
      <c r="F29" s="847" t="e">
        <f>F27/F28</f>
        <v>#DIV/0!</v>
      </c>
      <c r="G29" s="847" t="e">
        <f>G27/G28</f>
        <v>#DIV/0!</v>
      </c>
      <c r="H29" s="843"/>
      <c r="I29" s="843"/>
      <c r="J29" s="845"/>
      <c r="K29" s="843"/>
      <c r="L29" s="844"/>
      <c r="M29" s="843"/>
      <c r="N29" s="843"/>
      <c r="O29" s="843"/>
      <c r="P29" s="844"/>
      <c r="Q29" s="843"/>
    </row>
    <row r="30" spans="1:17" s="795" customFormat="1" ht="19.95" customHeight="1">
      <c r="A30" s="797" t="s">
        <v>1358</v>
      </c>
      <c r="B30" s="842"/>
      <c r="C30" s="842"/>
      <c r="D30" s="842"/>
      <c r="E30" s="842"/>
      <c r="F30" s="842"/>
      <c r="G30" s="842"/>
      <c r="H30" s="842"/>
      <c r="I30" s="842"/>
      <c r="J30" s="842"/>
      <c r="K30" s="842"/>
      <c r="L30" s="842"/>
      <c r="M30" s="842"/>
      <c r="N30" s="842"/>
      <c r="O30" s="842"/>
      <c r="P30" s="842"/>
      <c r="Q30" s="798"/>
    </row>
    <row r="31" spans="1:17" s="802" customFormat="1" ht="19.95" customHeight="1">
      <c r="A31" s="799"/>
      <c r="B31" s="799"/>
      <c r="C31" s="800" t="s">
        <v>1344</v>
      </c>
      <c r="D31" s="799"/>
      <c r="E31" s="799"/>
      <c r="F31" s="799"/>
      <c r="G31" s="801"/>
      <c r="H31" s="1078" t="s">
        <v>1345</v>
      </c>
      <c r="I31" s="1080" t="s">
        <v>1346</v>
      </c>
      <c r="J31" s="1081"/>
      <c r="K31" s="1081"/>
      <c r="L31" s="1081"/>
      <c r="M31" s="1081"/>
      <c r="N31" s="1082"/>
      <c r="O31" s="1083" t="s">
        <v>1347</v>
      </c>
      <c r="P31" s="1084" t="s">
        <v>1348</v>
      </c>
      <c r="Q31" s="1086" t="s">
        <v>1349</v>
      </c>
    </row>
    <row r="32" spans="1:17" s="802" customFormat="1" ht="19.95" customHeight="1">
      <c r="A32" s="803" t="s">
        <v>1350</v>
      </c>
      <c r="B32" s="803" t="s">
        <v>1351</v>
      </c>
      <c r="C32" s="803" t="s">
        <v>1352</v>
      </c>
      <c r="D32" s="803" t="s">
        <v>1353</v>
      </c>
      <c r="E32" s="803" t="s">
        <v>1359</v>
      </c>
      <c r="F32" s="804" t="s">
        <v>1355</v>
      </c>
      <c r="G32" s="804" t="s">
        <v>1356</v>
      </c>
      <c r="H32" s="1079"/>
      <c r="I32" s="805">
        <v>1</v>
      </c>
      <c r="J32" s="805">
        <v>2</v>
      </c>
      <c r="K32" s="805">
        <v>3</v>
      </c>
      <c r="L32" s="805">
        <v>4</v>
      </c>
      <c r="M32" s="805">
        <v>5</v>
      </c>
      <c r="N32" s="805">
        <v>6</v>
      </c>
      <c r="O32" s="1083"/>
      <c r="P32" s="1085"/>
      <c r="Q32" s="1087"/>
    </row>
    <row r="33" spans="1:17" s="795" customFormat="1" ht="19.95" customHeight="1">
      <c r="A33" s="806"/>
      <c r="B33" s="807"/>
      <c r="C33" s="808"/>
      <c r="D33" s="809"/>
      <c r="E33" s="809"/>
      <c r="F33" s="810"/>
      <c r="G33" s="810"/>
      <c r="H33" s="807"/>
      <c r="I33" s="793"/>
      <c r="J33" s="793"/>
      <c r="K33" s="793"/>
      <c r="L33" s="793"/>
      <c r="M33" s="793"/>
      <c r="N33" s="793"/>
      <c r="O33" s="811"/>
      <c r="P33" s="794"/>
      <c r="Q33" s="794"/>
    </row>
    <row r="34" spans="1:17" s="795" customFormat="1" ht="19.95" customHeight="1">
      <c r="A34" s="806"/>
      <c r="B34" s="807"/>
      <c r="C34" s="809"/>
      <c r="D34" s="809"/>
      <c r="E34" s="809"/>
      <c r="F34" s="810"/>
      <c r="G34" s="810"/>
      <c r="H34" s="807"/>
      <c r="I34" s="793"/>
      <c r="J34" s="793"/>
      <c r="K34" s="793"/>
      <c r="L34" s="793"/>
      <c r="M34" s="793"/>
      <c r="N34" s="793"/>
      <c r="O34" s="811"/>
      <c r="P34" s="794"/>
      <c r="Q34" s="794"/>
    </row>
    <row r="35" spans="1:17" s="795" customFormat="1" ht="19.95" customHeight="1">
      <c r="A35" s="806"/>
      <c r="B35" s="807"/>
      <c r="C35" s="809"/>
      <c r="D35" s="809"/>
      <c r="E35" s="809"/>
      <c r="F35" s="810"/>
      <c r="G35" s="810"/>
      <c r="H35" s="807"/>
      <c r="I35" s="793"/>
      <c r="J35" s="793"/>
      <c r="K35" s="793"/>
      <c r="L35" s="793"/>
      <c r="M35" s="793"/>
      <c r="N35" s="793"/>
      <c r="O35" s="811"/>
      <c r="P35" s="794"/>
      <c r="Q35" s="794"/>
    </row>
    <row r="36" spans="1:17" s="795" customFormat="1" ht="19.95" customHeight="1">
      <c r="A36" s="806"/>
      <c r="B36" s="807"/>
      <c r="C36" s="809"/>
      <c r="D36" s="809"/>
      <c r="E36" s="809"/>
      <c r="F36" s="810"/>
      <c r="G36" s="810"/>
      <c r="H36" s="807"/>
      <c r="I36" s="793"/>
      <c r="J36" s="793"/>
      <c r="K36" s="793"/>
      <c r="L36" s="793"/>
      <c r="M36" s="793"/>
      <c r="N36" s="793"/>
      <c r="O36" s="811"/>
      <c r="P36" s="794"/>
      <c r="Q36" s="794"/>
    </row>
    <row r="37" spans="1:17" ht="20.100000000000001" customHeight="1">
      <c r="A37" s="806"/>
      <c r="B37" s="807"/>
      <c r="C37" s="809"/>
      <c r="D37" s="809"/>
      <c r="E37" s="809"/>
      <c r="F37" s="810"/>
      <c r="G37" s="810"/>
      <c r="H37" s="807"/>
      <c r="I37" s="793"/>
      <c r="J37" s="793"/>
      <c r="K37" s="793"/>
      <c r="L37" s="793"/>
      <c r="M37" s="793"/>
      <c r="N37" s="793"/>
      <c r="O37" s="811"/>
      <c r="P37" s="794"/>
      <c r="Q37" s="794"/>
    </row>
    <row r="38" spans="1:17" s="817" customFormat="1" ht="20.100000000000001" customHeight="1">
      <c r="A38" s="803" t="s">
        <v>90</v>
      </c>
      <c r="B38" s="812"/>
      <c r="C38" s="813"/>
      <c r="D38" s="813"/>
      <c r="E38" s="813"/>
      <c r="F38" s="814">
        <f>SUM(F33:F37)</f>
        <v>0</v>
      </c>
      <c r="G38" s="814">
        <f>SUM(G33:G37)</f>
        <v>0</v>
      </c>
      <c r="H38" s="815"/>
      <c r="I38" s="815"/>
      <c r="J38" s="815"/>
      <c r="K38" s="816"/>
      <c r="L38" s="815"/>
      <c r="M38" s="815"/>
      <c r="N38" s="815"/>
      <c r="O38" s="816"/>
      <c r="P38" s="815"/>
      <c r="Q38" s="815"/>
    </row>
    <row r="39" spans="1:17" ht="20.100000000000001" customHeight="1">
      <c r="A39" s="818" t="s">
        <v>1360</v>
      </c>
      <c r="B39" s="819"/>
      <c r="C39" s="819"/>
      <c r="D39" s="819"/>
      <c r="E39" s="819"/>
      <c r="F39" s="819"/>
      <c r="G39" s="819"/>
      <c r="H39" s="820"/>
      <c r="I39" s="821"/>
      <c r="J39" s="820"/>
      <c r="K39" s="820"/>
      <c r="L39" s="822"/>
      <c r="M39" s="823"/>
      <c r="N39" s="823"/>
      <c r="O39" s="823"/>
      <c r="P39" s="823"/>
    </row>
    <row r="40" spans="1:17" ht="20.100000000000001" customHeight="1">
      <c r="I40" s="824"/>
      <c r="J40" s="824"/>
      <c r="K40" s="824"/>
      <c r="L40" s="824"/>
      <c r="M40" s="824"/>
      <c r="N40" s="824"/>
      <c r="O40" s="824"/>
      <c r="P40" s="824"/>
    </row>
    <row r="41" spans="1:17" ht="20.100000000000001" customHeight="1">
      <c r="A41" s="819" t="s">
        <v>1361</v>
      </c>
      <c r="I41" s="824"/>
      <c r="J41" s="824"/>
      <c r="K41" s="824"/>
      <c r="L41" s="824"/>
      <c r="M41" s="824"/>
      <c r="N41" s="824"/>
      <c r="O41" s="824"/>
      <c r="P41" s="824"/>
    </row>
    <row r="42" spans="1:17" ht="24.75" customHeight="1">
      <c r="A42" s="824"/>
      <c r="B42" s="824"/>
      <c r="C42" s="824"/>
      <c r="D42" s="824"/>
      <c r="E42" s="824"/>
      <c r="F42" s="824"/>
      <c r="G42" s="824"/>
      <c r="H42" s="824"/>
      <c r="I42" s="824"/>
      <c r="J42" s="824"/>
      <c r="K42" s="824"/>
      <c r="L42" s="824"/>
      <c r="M42" s="824"/>
      <c r="N42" s="824"/>
      <c r="O42" s="824"/>
      <c r="P42" s="824"/>
    </row>
    <row r="43" spans="1:17" ht="24.75" customHeight="1">
      <c r="A43" s="824"/>
      <c r="B43" s="824"/>
      <c r="C43" s="824"/>
      <c r="D43" s="824"/>
      <c r="E43" s="824"/>
      <c r="F43" s="824"/>
      <c r="G43" s="824"/>
      <c r="H43" s="824"/>
      <c r="I43" s="824"/>
      <c r="J43" s="824"/>
      <c r="K43" s="824"/>
      <c r="L43" s="824"/>
      <c r="M43" s="824"/>
      <c r="N43" s="824"/>
      <c r="O43" s="824"/>
      <c r="P43" s="824"/>
    </row>
    <row r="44" spans="1:17" ht="18" customHeight="1">
      <c r="A44" s="825" t="s">
        <v>1362</v>
      </c>
      <c r="C44" s="824"/>
      <c r="D44" s="824"/>
      <c r="E44" s="824"/>
      <c r="F44" s="824"/>
      <c r="G44" s="824"/>
      <c r="H44" s="824"/>
      <c r="I44" s="824"/>
      <c r="J44" s="824"/>
      <c r="K44" s="824"/>
      <c r="L44" s="824"/>
      <c r="M44" s="824"/>
      <c r="N44" s="824"/>
      <c r="O44" s="824"/>
      <c r="P44" s="824"/>
    </row>
    <row r="45" spans="1:17" ht="18" customHeight="1">
      <c r="A45" s="826" t="s">
        <v>1363</v>
      </c>
      <c r="B45" s="826"/>
      <c r="C45" s="824"/>
      <c r="D45" s="824"/>
      <c r="E45" s="824"/>
      <c r="F45" s="824"/>
      <c r="G45" s="824"/>
      <c r="H45" s="824"/>
      <c r="I45" s="824"/>
      <c r="J45" s="824"/>
      <c r="K45" s="824"/>
      <c r="L45" s="824"/>
      <c r="M45" s="824"/>
      <c r="N45" s="824"/>
      <c r="O45" s="824"/>
      <c r="P45" s="824"/>
    </row>
    <row r="46" spans="1:17" ht="18" customHeight="1">
      <c r="A46" s="658" t="s">
        <v>69</v>
      </c>
      <c r="B46" s="658"/>
      <c r="C46" s="824"/>
      <c r="D46" s="824"/>
      <c r="E46" s="824"/>
      <c r="F46" s="824"/>
      <c r="G46" s="824"/>
      <c r="H46" s="824"/>
      <c r="I46" s="824"/>
      <c r="J46" s="824"/>
      <c r="K46" s="824"/>
      <c r="L46" s="824"/>
      <c r="M46" s="824"/>
      <c r="N46" s="824"/>
      <c r="O46" s="824"/>
      <c r="P46" s="824"/>
    </row>
    <row r="47" spans="1:17" ht="18" customHeight="1">
      <c r="A47" s="827" t="s">
        <v>1364</v>
      </c>
      <c r="B47" s="658"/>
      <c r="C47" s="824"/>
      <c r="D47" s="824"/>
      <c r="E47" s="824"/>
      <c r="F47" s="824"/>
      <c r="G47" s="824"/>
      <c r="H47" s="824"/>
      <c r="I47" s="824"/>
      <c r="J47" s="824"/>
      <c r="K47" s="824"/>
      <c r="L47" s="824"/>
      <c r="M47" s="824"/>
      <c r="N47" s="824"/>
      <c r="O47" s="824"/>
      <c r="P47" s="824"/>
    </row>
    <row r="48" spans="1:17" ht="18" customHeight="1">
      <c r="A48" s="828" t="s">
        <v>1365</v>
      </c>
      <c r="B48" s="658" t="s">
        <v>1366</v>
      </c>
    </row>
    <row r="49" spans="1:3" ht="18" customHeight="1">
      <c r="A49" s="828" t="s">
        <v>1367</v>
      </c>
      <c r="B49" s="658" t="s">
        <v>1368</v>
      </c>
    </row>
    <row r="50" spans="1:3" ht="18" customHeight="1">
      <c r="A50" s="828" t="s">
        <v>1369</v>
      </c>
      <c r="B50" s="658" t="s">
        <v>1370</v>
      </c>
    </row>
    <row r="51" spans="1:3" ht="15.75" customHeight="1"/>
    <row r="52" spans="1:3">
      <c r="A52" s="826" t="s">
        <v>1371</v>
      </c>
    </row>
    <row r="53" spans="1:3" s="826" customFormat="1">
      <c r="A53" s="829" t="s">
        <v>1372</v>
      </c>
      <c r="B53" s="826" t="s">
        <v>1373</v>
      </c>
    </row>
    <row r="54" spans="1:3" s="826" customFormat="1">
      <c r="A54" s="829"/>
      <c r="B54" s="826" t="s">
        <v>1374</v>
      </c>
    </row>
    <row r="55" spans="1:3" s="826" customFormat="1">
      <c r="A55" s="829"/>
      <c r="B55" s="826" t="s">
        <v>1375</v>
      </c>
    </row>
    <row r="56" spans="1:3" s="826" customFormat="1">
      <c r="A56" s="829"/>
      <c r="B56" s="826" t="s">
        <v>1376</v>
      </c>
    </row>
    <row r="57" spans="1:3" s="826" customFormat="1">
      <c r="A57" s="829"/>
    </row>
    <row r="58" spans="1:3" s="826" customFormat="1">
      <c r="A58" s="829"/>
      <c r="B58" s="8" t="s">
        <v>1377</v>
      </c>
      <c r="C58" s="7"/>
    </row>
    <row r="59" spans="1:3" s="826" customFormat="1">
      <c r="A59" s="829"/>
      <c r="B59" s="7" t="s">
        <v>1378</v>
      </c>
      <c r="C59" s="7"/>
    </row>
    <row r="60" spans="1:3" s="826" customFormat="1">
      <c r="A60" s="829"/>
      <c r="B60" s="7" t="s">
        <v>1379</v>
      </c>
      <c r="C60" s="7"/>
    </row>
    <row r="61" spans="1:3" s="826" customFormat="1">
      <c r="A61" s="830"/>
      <c r="B61" s="7" t="s">
        <v>1380</v>
      </c>
      <c r="C61" s="1"/>
    </row>
    <row r="62" spans="1:3" s="826" customFormat="1">
      <c r="B62" s="7" t="s">
        <v>1381</v>
      </c>
      <c r="C62" s="1"/>
    </row>
    <row r="63" spans="1:3" s="826" customFormat="1"/>
    <row r="64" spans="1:3">
      <c r="A64" s="829" t="s">
        <v>1382</v>
      </c>
      <c r="B64" s="826" t="s">
        <v>1383</v>
      </c>
    </row>
    <row r="65" spans="1:3">
      <c r="B65" s="826" t="s">
        <v>1384</v>
      </c>
    </row>
    <row r="66" spans="1:3">
      <c r="B66" s="826" t="s">
        <v>1385</v>
      </c>
    </row>
    <row r="67" spans="1:3">
      <c r="B67" s="826" t="s">
        <v>1386</v>
      </c>
    </row>
    <row r="68" spans="1:3">
      <c r="B68" s="826" t="s">
        <v>1387</v>
      </c>
    </row>
    <row r="69" spans="1:3">
      <c r="B69" s="826" t="s">
        <v>1388</v>
      </c>
    </row>
    <row r="70" spans="1:3">
      <c r="B70" s="826" t="s">
        <v>1389</v>
      </c>
    </row>
    <row r="72" spans="1:3">
      <c r="B72" s="831" t="s">
        <v>1390</v>
      </c>
    </row>
    <row r="73" spans="1:3">
      <c r="B73" s="826" t="s">
        <v>1391</v>
      </c>
    </row>
    <row r="74" spans="1:3">
      <c r="B74" s="826" t="s">
        <v>1392</v>
      </c>
    </row>
    <row r="76" spans="1:3">
      <c r="A76" s="829" t="s">
        <v>1393</v>
      </c>
      <c r="B76" s="826" t="s">
        <v>1394</v>
      </c>
      <c r="C76" s="826"/>
    </row>
    <row r="77" spans="1:3">
      <c r="B77" s="826" t="s">
        <v>1395</v>
      </c>
      <c r="C77" s="826"/>
    </row>
    <row r="78" spans="1:3">
      <c r="B78" s="826" t="s">
        <v>1396</v>
      </c>
      <c r="C78" s="826"/>
    </row>
    <row r="79" spans="1:3">
      <c r="B79" s="826" t="s">
        <v>1397</v>
      </c>
      <c r="C79" s="826"/>
    </row>
    <row r="80" spans="1:3">
      <c r="B80" s="826" t="s">
        <v>1398</v>
      </c>
      <c r="C80" s="826"/>
    </row>
    <row r="81" spans="2:3">
      <c r="B81" s="826"/>
      <c r="C81" s="826"/>
    </row>
    <row r="82" spans="2:3">
      <c r="B82" s="826" t="s">
        <v>1399</v>
      </c>
    </row>
    <row r="83" spans="2:3">
      <c r="B83" s="826" t="s">
        <v>1400</v>
      </c>
    </row>
    <row r="84" spans="2:3">
      <c r="B84" s="826"/>
    </row>
    <row r="85" spans="2:3">
      <c r="B85" s="831" t="s">
        <v>1401</v>
      </c>
      <c r="C85" s="826"/>
    </row>
    <row r="86" spans="2:3">
      <c r="B86" s="826" t="s">
        <v>1402</v>
      </c>
      <c r="C86" s="826"/>
    </row>
    <row r="87" spans="2:3">
      <c r="B87" s="826"/>
      <c r="C87" s="826"/>
    </row>
    <row r="88" spans="2:3">
      <c r="B88" s="826" t="s">
        <v>1403</v>
      </c>
      <c r="C88" s="826"/>
    </row>
    <row r="89" spans="2:3">
      <c r="B89" s="826" t="s">
        <v>1404</v>
      </c>
      <c r="C89" s="826"/>
    </row>
    <row r="90" spans="2:3">
      <c r="B90" s="826"/>
      <c r="C90" s="826"/>
    </row>
    <row r="91" spans="2:3">
      <c r="B91" s="826" t="s">
        <v>1405</v>
      </c>
      <c r="C91" s="826"/>
    </row>
    <row r="92" spans="2:3">
      <c r="B92" s="826" t="s">
        <v>1406</v>
      </c>
      <c r="C92" s="826"/>
    </row>
    <row r="93" spans="2:3">
      <c r="B93" s="826" t="s">
        <v>1407</v>
      </c>
      <c r="C93" s="826"/>
    </row>
    <row r="94" spans="2:3">
      <c r="B94" s="826"/>
      <c r="C94" s="826"/>
    </row>
    <row r="95" spans="2:3">
      <c r="B95" s="831" t="s">
        <v>1408</v>
      </c>
      <c r="C95" s="826"/>
    </row>
    <row r="96" spans="2:3" ht="25.8">
      <c r="B96" s="832" t="s">
        <v>1409</v>
      </c>
      <c r="C96" s="832" t="s">
        <v>1410</v>
      </c>
    </row>
    <row r="97" spans="2:3">
      <c r="B97" s="833">
        <v>1</v>
      </c>
      <c r="C97" s="833">
        <v>1.9</v>
      </c>
    </row>
    <row r="98" spans="2:3">
      <c r="B98" s="833">
        <v>5</v>
      </c>
      <c r="C98" s="833">
        <v>1.6</v>
      </c>
    </row>
    <row r="99" spans="2:3">
      <c r="B99" s="833">
        <v>10</v>
      </c>
      <c r="C99" s="833">
        <v>1.5</v>
      </c>
    </row>
  </sheetData>
  <mergeCells count="17">
    <mergeCell ref="H31:H32"/>
    <mergeCell ref="I31:N31"/>
    <mergeCell ref="O31:O32"/>
    <mergeCell ref="P31:P32"/>
    <mergeCell ref="Q31:Q32"/>
    <mergeCell ref="A27:D27"/>
    <mergeCell ref="A28:D28"/>
    <mergeCell ref="A29:D29"/>
    <mergeCell ref="A1:Q1"/>
    <mergeCell ref="A2:Q2"/>
    <mergeCell ref="A8:K8"/>
    <mergeCell ref="A15:G15"/>
    <mergeCell ref="H15:H16"/>
    <mergeCell ref="I15:N15"/>
    <mergeCell ref="O15:O16"/>
    <mergeCell ref="P15:P16"/>
    <mergeCell ref="Q15:Q16"/>
  </mergeCells>
  <phoneticPr fontId="11" type="noConversion"/>
  <dataValidations count="1">
    <dataValidation type="list" allowBlank="1" showInputMessage="1" showErrorMessage="1" sqref="I17:N25 I33:N37">
      <formula1>"√,X"</formula1>
    </dataValidation>
  </dataValidations>
  <hyperlinks>
    <hyperlink ref="Q3" location="底稿目录!F18" display="=底稿目录!F19"/>
  </hyperlinks>
  <pageMargins left="0.70866141732283505" right="0.70866141732283505" top="0.74803149606299202" bottom="0.74803149606299202" header="0.31496062992126" footer="0.31496062992126"/>
  <pageSetup paperSize="9" scale="70" fitToHeight="0" orientation="landscape" blackAndWhite="1"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22</vt:i4>
      </vt:variant>
      <vt:variant>
        <vt:lpstr>命名范围</vt:lpstr>
      </vt:variant>
      <vt:variant>
        <vt:i4>20</vt:i4>
      </vt:variant>
    </vt:vector>
  </HeadingPairs>
  <TitlesOfParts>
    <vt:vector size="42" baseType="lpstr">
      <vt:lpstr>底稿目录</vt:lpstr>
      <vt:lpstr>长期股权投资实质性程序表G7A</vt:lpstr>
      <vt:lpstr>长期股权投资审定表G7-1</vt:lpstr>
      <vt:lpstr>附注披露信息（上市公司）</vt:lpstr>
      <vt:lpstr>附注披露信息（国企）</vt:lpstr>
      <vt:lpstr>明细表G7-2</vt:lpstr>
      <vt:lpstr>调整分录汇总G7-3</vt:lpstr>
      <vt:lpstr>被投资单位基本信息G7-4</vt:lpstr>
      <vt:lpstr>被投资单位财务信息（合营、联营）G7-5</vt:lpstr>
      <vt:lpstr>被投资公司会计政策G7-6</vt:lpstr>
      <vt:lpstr>长期股权投资初始判断G7-7</vt:lpstr>
      <vt:lpstr>子公司初始计量测试（同控）G7-8</vt:lpstr>
      <vt:lpstr>子公司初始计量测试（非同控）G7-9</vt:lpstr>
      <vt:lpstr>子公司后续计量测试表G7-10</vt:lpstr>
      <vt:lpstr>处置子公司测试表（不包含一揽子交易）G7-11</vt:lpstr>
      <vt:lpstr>处置子公司测试表（一揽子交易）G7-12</vt:lpstr>
      <vt:lpstr>合营、联营企业投资成本测试表G7-13</vt:lpstr>
      <vt:lpstr>权益法测算表G7-14</vt:lpstr>
      <vt:lpstr>权益法未实现内部交易抵销测算表G7-15</vt:lpstr>
      <vt:lpstr>未确认投资损失测试表G7-16</vt:lpstr>
      <vt:lpstr>减值测试表G7-17</vt:lpstr>
      <vt:lpstr>凭证检查表G7-18</vt:lpstr>
      <vt:lpstr>'被投资单位财务信息（合营、联营）G7-5'!Print_Area</vt:lpstr>
      <vt:lpstr>'被投资单位基本信息G7-4'!Print_Area</vt:lpstr>
      <vt:lpstr>'被投资公司会计政策G7-6'!Print_Area</vt:lpstr>
      <vt:lpstr>'处置子公司测试表（不包含一揽子交易）G7-11'!Print_Area</vt:lpstr>
      <vt:lpstr>'处置子公司测试表（一揽子交易）G7-12'!Print_Area</vt:lpstr>
      <vt:lpstr>'调整分录汇总G7-3'!Print_Area</vt:lpstr>
      <vt:lpstr>'合营、联营企业投资成本测试表G7-13'!Print_Area</vt:lpstr>
      <vt:lpstr>'减值测试表G7-17'!Print_Area</vt:lpstr>
      <vt:lpstr>'明细表G7-2'!Print_Area</vt:lpstr>
      <vt:lpstr>'凭证检查表G7-18'!Print_Area</vt:lpstr>
      <vt:lpstr>'权益法测算表G7-14'!Print_Area</vt:lpstr>
      <vt:lpstr>'权益法未实现内部交易抵销测算表G7-15'!Print_Area</vt:lpstr>
      <vt:lpstr>'未确认投资损失测试表G7-16'!Print_Area</vt:lpstr>
      <vt:lpstr>'长期股权投资初始判断G7-7'!Print_Area</vt:lpstr>
      <vt:lpstr>'长期股权投资审定表G7-1'!Print_Area</vt:lpstr>
      <vt:lpstr>长期股权投资实质性程序表G7A!Print_Area</vt:lpstr>
      <vt:lpstr>'子公司初始计量测试（非同控）G7-9'!Print_Area</vt:lpstr>
      <vt:lpstr>'子公司初始计量测试（同控）G7-8'!Print_Area</vt:lpstr>
      <vt:lpstr>'子公司后续计量测试表G7-10'!Print_Area</vt:lpstr>
      <vt:lpstr>长期股权投资实质性程序表G7A!Print_Titles</vt:lpstr>
    </vt:vector>
  </TitlesOfParts>
  <Company>cngti.com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2025-10-27T03:07:09Z</cp:lastPrinted>
  <dcterms:created xsi:type="dcterms:W3CDTF">2014-10-22T06:57:25Z</dcterms:created>
  <dcterms:modified xsi:type="dcterms:W3CDTF">2025-11-04T08:43:30Z</dcterms:modified>
</cp:coreProperties>
</file>