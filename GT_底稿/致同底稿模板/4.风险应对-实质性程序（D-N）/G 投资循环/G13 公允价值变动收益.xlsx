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0" yWindow="0" windowWidth="19200" windowHeight="7008" tabRatio="891"/>
  </bookViews>
  <sheets>
    <sheet name="底稿目录" sheetId="11" r:id="rId1"/>
    <sheet name="公允价值变动收益审计程序表G13A" sheetId="28" r:id="rId2"/>
    <sheet name="公允价值变动收益审计程序表G13A-修订前" sheetId="30" state="hidden" r:id="rId3"/>
    <sheet name="审定表G13-1" sheetId="16" r:id="rId4"/>
    <sheet name="附注披露信息（上市公司）" sheetId="2" r:id="rId5"/>
    <sheet name="附注披露信息（国企）" sheetId="24" r:id="rId6"/>
    <sheet name="明细表G13-2" sheetId="27" r:id="rId7"/>
    <sheet name="调整分录汇总G13-3" sheetId="29" r:id="rId8"/>
  </sheets>
  <definedNames>
    <definedName name="_xlnm._FilterDatabase" localSheetId="2">'公允价值变动收益审计程序表G13A-修订前'!$A$16:$I$46</definedName>
    <definedName name="_xlnm.Print_Area" localSheetId="7">'调整分录汇总G13-3'!$A$1:$J$22</definedName>
    <definedName name="_xlnm.Print_Area" localSheetId="5">'附注披露信息（国企）'!$A$1:$E$17</definedName>
    <definedName name="_xlnm.Print_Area" localSheetId="4">'附注披露信息（上市公司）'!$A$1:$E$18</definedName>
    <definedName name="_xlnm.Print_Area" localSheetId="1">公允价值变动收益审计程序表G13A!$A$1:$I$23</definedName>
    <definedName name="_xlnm.Print_Area" localSheetId="2">'公允价值变动收益审计程序表G13A-修订前'!$A$1:$I$46</definedName>
    <definedName name="_xlnm.Print_Area" localSheetId="6">'明细表G13-2'!$A$1:$L$25</definedName>
    <definedName name="_xlnm.Print_Area" localSheetId="3">'审定表G13-1'!$A$1:$J$26</definedName>
    <definedName name="_xlnm.Print_Titles" localSheetId="1">公允价值变动收益审计程序表G13A!$16:$16</definedName>
    <definedName name="_xlnm.Print_Titles" localSheetId="2">'公允价值变动收益审计程序表G13A-修订前'!$16:$16</definedName>
    <definedName name="_xlnm.Print_Titles" localSheetId="3">'审定表G13-1'!$2:$6</definedName>
  </definedNames>
  <calcPr calcId="162913"/>
</workbook>
</file>

<file path=xl/calcChain.xml><?xml version="1.0" encoding="utf-8"?>
<calcChain xmlns="http://schemas.openxmlformats.org/spreadsheetml/2006/main">
  <c r="G4" i="29" l="1"/>
  <c r="D4" i="29"/>
  <c r="A4" i="29"/>
  <c r="J3" i="29"/>
  <c r="G3" i="29"/>
  <c r="D3" i="29"/>
  <c r="A3" i="29"/>
  <c r="J20" i="27"/>
  <c r="K20" i="27" s="1"/>
  <c r="I20" i="27"/>
  <c r="D20" i="27"/>
  <c r="J19" i="27"/>
  <c r="K19" i="27" s="1"/>
  <c r="I19" i="27"/>
  <c r="D19" i="27"/>
  <c r="J18" i="27"/>
  <c r="K18" i="27" s="1"/>
  <c r="I18" i="27"/>
  <c r="D18" i="27"/>
  <c r="J17" i="27"/>
  <c r="I17" i="27"/>
  <c r="C17" i="27"/>
  <c r="B17" i="27"/>
  <c r="D17" i="27" s="1"/>
  <c r="K16" i="27"/>
  <c r="J16" i="27"/>
  <c r="I16" i="27"/>
  <c r="D16" i="27"/>
  <c r="J15" i="27"/>
  <c r="K15" i="27" s="1"/>
  <c r="I15" i="27"/>
  <c r="D15" i="27"/>
  <c r="J14" i="27"/>
  <c r="I14" i="27"/>
  <c r="C14" i="27"/>
  <c r="B14" i="27"/>
  <c r="D14" i="27" s="1"/>
  <c r="K14" i="27" s="1"/>
  <c r="J13" i="27"/>
  <c r="K13" i="27" s="1"/>
  <c r="I13" i="27"/>
  <c r="D13" i="27"/>
  <c r="J12" i="27"/>
  <c r="I12" i="27"/>
  <c r="D12" i="27"/>
  <c r="J11" i="27"/>
  <c r="J21" i="27" s="1"/>
  <c r="I11" i="27"/>
  <c r="D11" i="27"/>
  <c r="C11" i="27"/>
  <c r="C21" i="27" s="1"/>
  <c r="B11" i="27"/>
  <c r="B21" i="27" s="1"/>
  <c r="G4" i="27"/>
  <c r="D4" i="27"/>
  <c r="A4" i="27"/>
  <c r="L3" i="27"/>
  <c r="G3" i="27"/>
  <c r="D3" i="27"/>
  <c r="A3" i="27"/>
  <c r="C9" i="24"/>
  <c r="C4" i="24"/>
  <c r="B4" i="24"/>
  <c r="A4" i="24"/>
  <c r="E3" i="24"/>
  <c r="C3" i="24"/>
  <c r="B3" i="24"/>
  <c r="A3" i="24"/>
  <c r="C14" i="2"/>
  <c r="C10" i="2"/>
  <c r="C4" i="2"/>
  <c r="B4" i="2"/>
  <c r="A4" i="2"/>
  <c r="E3" i="2"/>
  <c r="C3" i="2"/>
  <c r="B3" i="2"/>
  <c r="A3" i="2"/>
  <c r="F17" i="16"/>
  <c r="E17" i="16"/>
  <c r="G16" i="16"/>
  <c r="C16" i="2" s="1"/>
  <c r="C16" i="16"/>
  <c r="B16" i="16"/>
  <c r="D16" i="16" s="1"/>
  <c r="G15" i="16"/>
  <c r="C13" i="24" s="1"/>
  <c r="C15" i="16"/>
  <c r="B15" i="16"/>
  <c r="D15" i="16" s="1"/>
  <c r="G14" i="16"/>
  <c r="C14" i="16"/>
  <c r="D14" i="16" s="1"/>
  <c r="B14" i="16"/>
  <c r="G13" i="16"/>
  <c r="C13" i="2" s="1"/>
  <c r="B13" i="16"/>
  <c r="G12" i="16"/>
  <c r="C12" i="24" s="1"/>
  <c r="C12" i="16"/>
  <c r="B12" i="16"/>
  <c r="D12" i="16" s="1"/>
  <c r="G11" i="16"/>
  <c r="C12" i="2" s="1"/>
  <c r="C11" i="16"/>
  <c r="B11" i="16"/>
  <c r="D11" i="16" s="1"/>
  <c r="G10" i="16"/>
  <c r="C11" i="24" s="1"/>
  <c r="C10" i="16"/>
  <c r="G9" i="16"/>
  <c r="G17" i="16" s="1"/>
  <c r="C9" i="16"/>
  <c r="B9" i="16"/>
  <c r="D9" i="16" s="1"/>
  <c r="G8" i="16"/>
  <c r="C9" i="2" s="1"/>
  <c r="C8" i="2" s="1"/>
  <c r="C8" i="16"/>
  <c r="B8" i="16"/>
  <c r="D8" i="16" s="1"/>
  <c r="G7" i="16"/>
  <c r="C8" i="24" s="1"/>
  <c r="C7" i="16"/>
  <c r="G4" i="16"/>
  <c r="D4" i="16"/>
  <c r="A4" i="16"/>
  <c r="J3" i="16"/>
  <c r="G3" i="16"/>
  <c r="D3" i="16"/>
  <c r="A3" i="16"/>
  <c r="F4" i="30"/>
  <c r="C4" i="30"/>
  <c r="A4" i="30"/>
  <c r="I3" i="30"/>
  <c r="F3" i="30"/>
  <c r="C3" i="30"/>
  <c r="A3" i="30"/>
  <c r="F4" i="28"/>
  <c r="C4" i="28"/>
  <c r="A4" i="28"/>
  <c r="I3" i="28"/>
  <c r="F3" i="28"/>
  <c r="C3" i="28"/>
  <c r="A3" i="28"/>
  <c r="D6" i="11"/>
  <c r="D7" i="11" s="1"/>
  <c r="D8" i="11" s="1"/>
  <c r="D9" i="11" s="1"/>
  <c r="I21" i="27" l="1"/>
  <c r="K12" i="27"/>
  <c r="D21" i="27"/>
  <c r="K21" i="27" s="1"/>
  <c r="H16" i="16"/>
  <c r="I16" i="16"/>
  <c r="B16" i="2"/>
  <c r="B14" i="24"/>
  <c r="H8" i="16"/>
  <c r="B9" i="2"/>
  <c r="I8" i="16"/>
  <c r="B12" i="2"/>
  <c r="H11" i="16"/>
  <c r="G19" i="16"/>
  <c r="B14" i="2"/>
  <c r="H14" i="16"/>
  <c r="C11" i="2"/>
  <c r="I14" i="16"/>
  <c r="B10" i="2"/>
  <c r="H9" i="16"/>
  <c r="B9" i="24"/>
  <c r="H12" i="16"/>
  <c r="I12" i="16"/>
  <c r="B12" i="24"/>
  <c r="B15" i="2"/>
  <c r="B13" i="24"/>
  <c r="H15" i="16"/>
  <c r="K17" i="27"/>
  <c r="I11" i="16"/>
  <c r="C13" i="16"/>
  <c r="C17" i="16" s="1"/>
  <c r="I15" i="16"/>
  <c r="C15" i="2"/>
  <c r="C17" i="2" s="1"/>
  <c r="K11" i="27"/>
  <c r="C10" i="24"/>
  <c r="C15" i="24" s="1"/>
  <c r="C14" i="24"/>
  <c r="B7" i="16"/>
  <c r="I9" i="16"/>
  <c r="B10" i="16"/>
  <c r="D10" i="16" s="1"/>
  <c r="D7" i="16" l="1"/>
  <c r="B17" i="16"/>
  <c r="D13" i="16"/>
  <c r="B11" i="24"/>
  <c r="I10" i="16"/>
  <c r="H10" i="16"/>
  <c r="B8" i="2"/>
  <c r="I13" i="16" l="1"/>
  <c r="B13" i="2"/>
  <c r="B11" i="2" s="1"/>
  <c r="B17" i="2" s="1"/>
  <c r="H13" i="16"/>
  <c r="B10" i="24"/>
  <c r="H7" i="16"/>
  <c r="H17" i="16" s="1"/>
  <c r="B8" i="24"/>
  <c r="B15" i="24" s="1"/>
  <c r="D17" i="16"/>
  <c r="I7" i="16"/>
  <c r="I17" i="16" s="1"/>
  <c r="D19" i="16" l="1"/>
  <c r="D21" i="1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<sst xmlns="http://schemas.openxmlformats.org/spreadsheetml/2006/main" count="420" uniqueCount="236">
  <si>
    <t>底稿开列时，可先在以下单元格填写有关内容，以便其他底稿引用有关数据：</t>
  </si>
  <si>
    <t>被审计单位：</t>
  </si>
  <si>
    <r>
      <rPr>
        <b/>
        <sz val="10"/>
        <rFont val="宋体"/>
        <family val="3"/>
        <charset val="134"/>
      </rPr>
      <t>序号</t>
    </r>
  </si>
  <si>
    <r>
      <rPr>
        <b/>
        <sz val="10"/>
        <rFont val="宋体"/>
        <family val="3"/>
        <charset val="134"/>
      </rPr>
      <t>内容</t>
    </r>
  </si>
  <si>
    <r>
      <rPr>
        <b/>
        <sz val="10"/>
        <rFont val="宋体"/>
        <family val="3"/>
        <charset val="134"/>
      </rPr>
      <t>索引号</t>
    </r>
  </si>
  <si>
    <t>编制人：</t>
  </si>
  <si>
    <t>公允价值变动收益实质性程序表</t>
  </si>
  <si>
    <t>G13A</t>
  </si>
  <si>
    <t>编制日期：</t>
  </si>
  <si>
    <r>
      <rPr>
        <u/>
        <sz val="10"/>
        <color theme="10"/>
        <rFont val="宋体"/>
        <family val="3"/>
        <charset val="134"/>
      </rPr>
      <t>审定表</t>
    </r>
  </si>
  <si>
    <t>G13-1</t>
  </si>
  <si>
    <t>复核人：</t>
  </si>
  <si>
    <t>附注披露信息（上市公司）</t>
  </si>
  <si>
    <t>无需打印</t>
  </si>
  <si>
    <t>复核日期：</t>
  </si>
  <si>
    <t>附注披露信息（国企）</t>
  </si>
  <si>
    <r>
      <rPr>
        <u/>
        <sz val="10"/>
        <color theme="10"/>
        <rFont val="宋体"/>
        <family val="3"/>
        <charset val="134"/>
      </rPr>
      <t>明细表</t>
    </r>
  </si>
  <si>
    <t>G13-2</t>
  </si>
  <si>
    <r>
      <rPr>
        <u/>
        <sz val="10"/>
        <color theme="10"/>
        <rFont val="宋体"/>
        <family val="3"/>
        <charset val="134"/>
      </rPr>
      <t>调整分录汇总</t>
    </r>
  </si>
  <si>
    <t>G13-3</t>
  </si>
  <si>
    <t>致同会计师事务所</t>
  </si>
  <si>
    <t>索引号：</t>
  </si>
  <si>
    <t>页  次：</t>
  </si>
  <si>
    <r>
      <rPr>
        <b/>
        <sz val="10"/>
        <rFont val="宋体"/>
        <family val="3"/>
        <charset val="134"/>
      </rPr>
      <t>一、本账户涉及的科目</t>
    </r>
  </si>
  <si>
    <t>公允价值变动收益</t>
  </si>
  <si>
    <t>二、审计目标与认定的对应关系</t>
  </si>
  <si>
    <t>审计目标</t>
  </si>
  <si>
    <r>
      <rPr>
        <b/>
        <sz val="10"/>
        <rFont val="宋体"/>
        <family val="3"/>
        <charset val="134"/>
      </rPr>
      <t>财务报表的认定　</t>
    </r>
  </si>
  <si>
    <t>存在</t>
  </si>
  <si>
    <t>完整性</t>
  </si>
  <si>
    <t>列报</t>
  </si>
  <si>
    <r>
      <rPr>
        <b/>
        <sz val="10"/>
        <rFont val="宋体"/>
        <family val="3"/>
        <charset val="134"/>
      </rPr>
      <t>审计程序</t>
    </r>
  </si>
  <si>
    <r>
      <rPr>
        <b/>
        <sz val="10"/>
        <rFont val="宋体"/>
        <family val="3"/>
        <charset val="134"/>
      </rPr>
      <t>程序分类</t>
    </r>
  </si>
  <si>
    <t>财务报表的认定</t>
  </si>
  <si>
    <t>底稿索引号</t>
  </si>
  <si>
    <t>1</t>
  </si>
  <si>
    <t>获取或编制公允价值变动损益的明细表，完成以下工作，并编制审定表
（1）复核加计是否正确，与总账、明细账合计数核对是否相符；
（2）将上期发生额与上期经审计的财务报表核对；
（3）追查明细表至调节表；
（4）与上年明细项目进行比较，确定与上年分类相同；
（5）结合交易性金融资产、交易性金融负债、衍生工具、投资性房地产等科目的审计，复核其勾稽关系；
（6）调查重大或者异常的调节项目，并与客户的适当人员讨论差异，考虑回复的可信度并确认相关解释，以及采取适当的措施；
（7）检查非记账本位币计量的公允价值变动损益的折算汇率及折算是否正确。</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</si>
  <si>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</si>
  <si>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</si>
  <si>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</si>
  <si>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</si>
  <si>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</si>
  <si>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t>3</t>
  </si>
  <si>
    <r>
      <rPr>
        <sz val="10"/>
        <color theme="1"/>
        <rFont val="宋体"/>
        <family val="3"/>
        <charset val="134"/>
      </rPr>
      <t>备选</t>
    </r>
  </si>
  <si>
    <t>4</t>
  </si>
  <si>
    <t>5</t>
  </si>
  <si>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</si>
  <si>
    <t>6</t>
  </si>
  <si>
    <r>
      <rPr>
        <sz val="10"/>
        <color theme="1"/>
        <rFont val="宋体"/>
        <family val="3"/>
        <charset val="134"/>
      </rPr>
      <t>根据评估的舞弊风险等因素增加的审计程序。</t>
    </r>
  </si>
  <si>
    <t>7</t>
  </si>
  <si>
    <t>确定需在财务报表中单独披露的信息已被记录。</t>
  </si>
  <si>
    <r>
      <rPr>
        <b/>
        <sz val="10"/>
        <rFont val="宋体"/>
        <family val="3"/>
        <charset val="134"/>
      </rPr>
      <t>二、重大错报风险需从实质性程序获取的保证程度</t>
    </r>
  </si>
  <si>
    <r>
      <rPr>
        <b/>
        <sz val="10"/>
        <rFont val="宋体"/>
        <family val="3"/>
        <charset val="134"/>
      </rPr>
      <t>审计目标与认定对应关系</t>
    </r>
  </si>
  <si>
    <t>信赖/不信赖/不适用</t>
  </si>
  <si>
    <r>
      <rPr>
        <sz val="10"/>
        <rFont val="宋体"/>
        <family val="3"/>
        <charset val="134"/>
      </rPr>
      <t>索引号</t>
    </r>
  </si>
  <si>
    <t>发生</t>
  </si>
  <si>
    <r>
      <rPr>
        <sz val="10"/>
        <rFont val="宋体"/>
        <family val="3"/>
        <charset val="134"/>
      </rPr>
      <t>完整性</t>
    </r>
  </si>
  <si>
    <t>准确性</t>
  </si>
  <si>
    <t>分类</t>
  </si>
  <si>
    <r>
      <rPr>
        <sz val="10"/>
        <rFont val="宋体"/>
        <family val="3"/>
        <charset val="134"/>
      </rPr>
      <t>列报与披露</t>
    </r>
  </si>
  <si>
    <t>A. 利润表中记录的公允价值变动收益已发生，且与被审计单位有关。</t>
  </si>
  <si>
    <r>
      <rPr>
        <sz val="10"/>
        <rFont val="宋体"/>
        <family val="3"/>
        <charset val="134"/>
      </rPr>
      <t>√</t>
    </r>
  </si>
  <si>
    <t>B. 所有应当记录的公允价值变动收益均已记录。</t>
  </si>
  <si>
    <t>C. 与公允价值变动收益有关的金额及其他数据已恰当记录于正确的会计期间。</t>
  </si>
  <si>
    <t>D. 公允价值变动收益已记录于恰当的账户。</t>
  </si>
  <si>
    <t>E. 公允价值变动收益已按照企业会计准则的规定在财务报表中作出恰当的列报和披露。</t>
  </si>
  <si>
    <t>三、计划实施的实质性程序</t>
  </si>
  <si>
    <r>
      <rPr>
        <b/>
        <sz val="10"/>
        <rFont val="宋体"/>
        <family val="3"/>
        <charset val="134"/>
      </rPr>
      <t>审计目标</t>
    </r>
  </si>
  <si>
    <r>
      <rPr>
        <b/>
        <sz val="10"/>
        <rFont val="宋体"/>
        <family val="3"/>
        <charset val="134"/>
      </rPr>
      <t>执行情况说明
（含底稿索引）</t>
    </r>
  </si>
  <si>
    <t>（一）</t>
  </si>
  <si>
    <r>
      <rPr>
        <b/>
        <sz val="10"/>
        <rFont val="宋体"/>
        <family val="3"/>
        <charset val="134"/>
      </rPr>
      <t>编制审定表</t>
    </r>
  </si>
  <si>
    <r>
      <rPr>
        <sz val="10"/>
        <color theme="1"/>
        <rFont val="宋体"/>
        <family val="3"/>
        <charset val="134"/>
      </rPr>
      <t>常规★</t>
    </r>
  </si>
  <si>
    <t>D</t>
  </si>
  <si>
    <t>I9</t>
  </si>
  <si>
    <r>
      <rPr>
        <sz val="10"/>
        <rFont val="宋体"/>
        <family val="3"/>
        <charset val="134"/>
      </rPr>
      <t>整合为</t>
    </r>
    <r>
      <rPr>
        <sz val="10"/>
        <rFont val="Arial"/>
        <family val="2"/>
      </rPr>
      <t>1</t>
    </r>
  </si>
  <si>
    <r>
      <rPr>
        <sz val="10"/>
        <rFont val="宋体"/>
        <family val="3"/>
        <charset val="134"/>
      </rPr>
      <t>获取或编制公允价值变动损益的明细表，完成以下工作，并编制审定表
（</t>
    </r>
    <r>
      <rPr>
        <sz val="10"/>
        <rFont val="Arial"/>
        <family val="2"/>
      </rPr>
      <t>1</t>
    </r>
    <r>
      <rPr>
        <sz val="10"/>
        <rFont val="宋体"/>
        <family val="3"/>
        <charset val="134"/>
      </rPr>
      <t>）复核加计是否正确，与总账、明细账合计数核对是否相符；
（</t>
    </r>
    <r>
      <rPr>
        <sz val="10"/>
        <rFont val="Arial"/>
        <family val="2"/>
      </rPr>
      <t>2</t>
    </r>
    <r>
      <rPr>
        <sz val="10"/>
        <rFont val="宋体"/>
        <family val="3"/>
        <charset val="134"/>
      </rPr>
      <t>）将上期发生额与上期经审计的财务报表核对；
（</t>
    </r>
    <r>
      <rPr>
        <sz val="10"/>
        <rFont val="Arial"/>
        <family val="2"/>
      </rPr>
      <t>3</t>
    </r>
    <r>
      <rPr>
        <sz val="10"/>
        <rFont val="宋体"/>
        <family val="3"/>
        <charset val="134"/>
      </rPr>
      <t>）追查明细表至调节表；
（</t>
    </r>
    <r>
      <rPr>
        <sz val="10"/>
        <rFont val="Arial"/>
        <family val="2"/>
      </rPr>
      <t>4</t>
    </r>
    <r>
      <rPr>
        <sz val="10"/>
        <rFont val="宋体"/>
        <family val="3"/>
        <charset val="134"/>
      </rPr>
      <t>）与上年明细项目进行比较，确定与上年分类相同；
（</t>
    </r>
    <r>
      <rPr>
        <sz val="10"/>
        <rFont val="Arial"/>
        <family val="2"/>
      </rPr>
      <t>5</t>
    </r>
    <r>
      <rPr>
        <sz val="10"/>
        <rFont val="宋体"/>
        <family val="3"/>
        <charset val="134"/>
      </rPr>
      <t>）结合公允价值变动损益、交易性金融负债、应收款项融资、衍生工具、投资性房地产等科目的审计，复核其勾稽关系；
（</t>
    </r>
    <r>
      <rPr>
        <sz val="10"/>
        <rFont val="Arial"/>
        <family val="2"/>
      </rPr>
      <t>6</t>
    </r>
    <r>
      <rPr>
        <sz val="10"/>
        <rFont val="宋体"/>
        <family val="3"/>
        <charset val="134"/>
      </rPr>
      <t>）调查重大或者异常的调节项目，并与客户的适当人员讨论差异，考虑回复的可信度并确认相关解释，以及采取适当的措施；
（</t>
    </r>
    <r>
      <rPr>
        <sz val="10"/>
        <rFont val="Arial"/>
        <family val="2"/>
      </rPr>
      <t>7</t>
    </r>
    <r>
      <rPr>
        <sz val="10"/>
        <rFont val="宋体"/>
        <family val="3"/>
        <charset val="134"/>
      </rPr>
      <t>）检查非记账本位币计量的公允价值变动损益的折算汇率及折算是否正确。</t>
    </r>
  </si>
  <si>
    <t>（二）</t>
  </si>
  <si>
    <t>获取或编制明细并执行下列程序：</t>
  </si>
  <si>
    <r>
      <rPr>
        <sz val="10"/>
        <color theme="1"/>
        <rFont val="宋体"/>
        <family val="3"/>
        <charset val="134"/>
      </rPr>
      <t>复核加计正确</t>
    </r>
    <r>
      <rPr>
        <sz val="10"/>
        <color theme="1"/>
        <rFont val="Arial Narrow"/>
        <family val="2"/>
      </rPr>
      <t xml:space="preserve"> </t>
    </r>
    <r>
      <rPr>
        <sz val="10"/>
        <color theme="1"/>
        <rFont val="宋体"/>
        <family val="3"/>
        <charset val="134"/>
      </rPr>
      <t>。</t>
    </r>
    <r>
      <rPr>
        <sz val="10"/>
        <color theme="1"/>
        <rFont val="Arial Narrow"/>
        <family val="2"/>
      </rPr>
      <t xml:space="preserve"> </t>
    </r>
  </si>
  <si>
    <t>BD</t>
  </si>
  <si>
    <r>
      <rPr>
        <sz val="10"/>
        <color theme="1"/>
        <rFont val="宋体"/>
        <family val="3"/>
        <charset val="134"/>
      </rPr>
      <t>将总金额与总账、明细账合计数核对相符。</t>
    </r>
    <r>
      <rPr>
        <sz val="10"/>
        <color theme="1"/>
        <rFont val="Arial Narrow"/>
        <family val="2"/>
      </rPr>
      <t xml:space="preserve"> </t>
    </r>
  </si>
  <si>
    <t>将上期发生额与上期经审计的财务报表核对。</t>
  </si>
  <si>
    <t>常规</t>
  </si>
  <si>
    <t>追查明细表至调节表。</t>
  </si>
  <si>
    <r>
      <rPr>
        <sz val="10"/>
        <color theme="1"/>
        <rFont val="宋体"/>
        <family val="3"/>
        <charset val="134"/>
      </rPr>
      <t>与上年明细项目进行比较，确定与上年分类相同。</t>
    </r>
  </si>
  <si>
    <t>结合交易性金融资产、交易性金融负债、应收款项融资、衍生工具、投资性房地产等科目的审计，复核其勾稽关系。</t>
  </si>
  <si>
    <r>
      <rPr>
        <sz val="10"/>
        <color theme="1"/>
        <rFont val="宋体"/>
        <family val="3"/>
        <charset val="134"/>
      </rPr>
      <t>调查重大或者异常的调节项目。</t>
    </r>
    <r>
      <rPr>
        <sz val="10"/>
        <color theme="1"/>
        <rFont val="Arial Narrow"/>
        <family val="2"/>
      </rPr>
      <t xml:space="preserve"> </t>
    </r>
  </si>
  <si>
    <t>8</t>
  </si>
  <si>
    <r>
      <rPr>
        <sz val="10"/>
        <color theme="1"/>
        <rFont val="宋体"/>
        <family val="3"/>
        <charset val="134"/>
      </rPr>
      <t>与客户的适当人员讨论差异。</t>
    </r>
    <r>
      <rPr>
        <sz val="10"/>
        <color theme="1"/>
        <rFont val="Arial Narrow"/>
        <family val="2"/>
      </rPr>
      <t xml:space="preserve"> </t>
    </r>
  </si>
  <si>
    <t>9</t>
  </si>
  <si>
    <t>考虑回复的可信度并确认相关解释，以及采取适当的措施。</t>
  </si>
  <si>
    <t>（三）</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</si>
  <si>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</si>
  <si>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r>
      <rPr>
        <b/>
        <sz val="10"/>
        <color theme="1"/>
        <rFont val="宋体"/>
        <family val="3"/>
        <charset val="134"/>
      </rPr>
      <t>常规★</t>
    </r>
  </si>
  <si>
    <t>B</t>
  </si>
  <si>
    <r>
      <rPr>
        <b/>
        <sz val="10"/>
        <rFont val="宋体"/>
        <family val="3"/>
        <charset val="134"/>
      </rPr>
      <t>保留修改为</t>
    </r>
    <r>
      <rPr>
        <b/>
        <sz val="10"/>
        <rFont val="Arial"/>
        <family val="2"/>
      </rPr>
      <t>2</t>
    </r>
  </si>
  <si>
    <r>
      <rPr>
        <sz val="10"/>
        <rFont val="宋体"/>
        <family val="3"/>
        <charset val="134"/>
      </rPr>
      <t>获取有关信息准确性和完整性的审计证据。</t>
    </r>
  </si>
  <si>
    <r>
      <rPr>
        <sz val="10"/>
        <rFont val="宋体"/>
        <family val="3"/>
        <charset val="134"/>
      </rPr>
      <t>评价信息对实现审计目的是否足够准确和详细。</t>
    </r>
  </si>
  <si>
    <t>（四）</t>
  </si>
  <si>
    <r>
      <rPr>
        <b/>
        <sz val="10"/>
        <color theme="1"/>
        <rFont val="宋体"/>
        <family val="3"/>
        <charset val="134"/>
      </rPr>
      <t>若系首次承接，获取前期期末各科目明细表，执行下列程序：（</t>
    </r>
    <r>
      <rPr>
        <b/>
        <sz val="10"/>
        <color rgb="FFFF0000"/>
        <rFont val="宋体"/>
        <family val="3"/>
        <charset val="134"/>
      </rPr>
      <t>适用于首次审计时对期初余额的审计）</t>
    </r>
  </si>
  <si>
    <t>I9-2</t>
  </si>
  <si>
    <r>
      <rPr>
        <b/>
        <sz val="10"/>
        <rFont val="宋体"/>
        <family val="3"/>
        <charset val="134"/>
      </rPr>
      <t>保留为</t>
    </r>
    <r>
      <rPr>
        <b/>
        <sz val="10"/>
        <rFont val="Arial"/>
        <family val="2"/>
      </rPr>
      <t>3</t>
    </r>
  </si>
  <si>
    <r>
      <rPr>
        <sz val="10"/>
        <color theme="1"/>
        <rFont val="宋体"/>
        <family val="3"/>
        <charset val="134"/>
      </rPr>
      <t>确定计算的准确性。</t>
    </r>
    <r>
      <rPr>
        <sz val="10"/>
        <color theme="1"/>
        <rFont val="Arial Narrow"/>
        <family val="2"/>
      </rPr>
      <t xml:space="preserve"> </t>
    </r>
  </si>
  <si>
    <r>
      <rPr>
        <sz val="10"/>
        <color theme="1"/>
        <rFont val="宋体"/>
        <family val="3"/>
        <charset val="134"/>
      </rPr>
      <t>与总账核对一致。</t>
    </r>
    <r>
      <rPr>
        <sz val="10"/>
        <color theme="1"/>
        <rFont val="Arial Narrow"/>
        <family val="2"/>
      </rPr>
      <t xml:space="preserve"> </t>
    </r>
  </si>
  <si>
    <t>确定是否需要补充必要的程序，如果是，执行适当的应对程序。</t>
  </si>
  <si>
    <t>（五）</t>
  </si>
  <si>
    <t>根据实际情况，实施以下分析程序：</t>
  </si>
  <si>
    <t>A</t>
  </si>
  <si>
    <r>
      <rPr>
        <sz val="10"/>
        <rFont val="宋体"/>
        <family val="3"/>
        <charset val="134"/>
      </rPr>
      <t>保留为</t>
    </r>
    <r>
      <rPr>
        <sz val="10"/>
        <rFont val="Arial"/>
        <family val="2"/>
      </rPr>
      <t>4</t>
    </r>
  </si>
  <si>
    <r>
      <rPr>
        <sz val="10"/>
        <color theme="1"/>
        <rFont val="宋体"/>
        <family val="3"/>
        <charset val="134"/>
      </rPr>
      <t>获取或编制增、减分析表，确定增加内容及减少方式、对损益的影响；</t>
    </r>
  </si>
  <si>
    <t>（六）</t>
  </si>
  <si>
    <r>
      <rPr>
        <b/>
        <sz val="10"/>
        <color theme="1"/>
        <rFont val="宋体"/>
        <family val="3"/>
        <charset val="134"/>
      </rPr>
      <t>考虑大额或异常的余额或交易是否表明存在未识别的关联方。（参考“</t>
    </r>
    <r>
      <rPr>
        <b/>
        <sz val="10"/>
        <color theme="1"/>
        <rFont val="Arial Narrow"/>
        <family val="2"/>
      </rPr>
      <t xml:space="preserve">D </t>
    </r>
    <r>
      <rPr>
        <b/>
        <sz val="10"/>
        <color theme="1"/>
        <rFont val="宋体"/>
        <family val="3"/>
        <charset val="134"/>
      </rPr>
      <t>收入循环”关联方及关联方交易相关审计程序）</t>
    </r>
    <r>
      <rPr>
        <b/>
        <sz val="10"/>
        <color theme="1"/>
        <rFont val="Arial Narrow"/>
        <family val="2"/>
      </rPr>
      <t xml:space="preserve"> </t>
    </r>
  </si>
  <si>
    <r>
      <rPr>
        <sz val="10"/>
        <color theme="1"/>
        <rFont val="宋体"/>
        <family val="3"/>
        <charset val="134"/>
      </rPr>
      <t>常规</t>
    </r>
  </si>
  <si>
    <t>AD</t>
  </si>
  <si>
    <r>
      <rPr>
        <sz val="10"/>
        <rFont val="宋体"/>
        <family val="3"/>
        <charset val="134"/>
      </rPr>
      <t>保留为</t>
    </r>
    <r>
      <rPr>
        <sz val="10"/>
        <rFont val="Arial"/>
        <family val="2"/>
      </rPr>
      <t>5</t>
    </r>
  </si>
  <si>
    <t>（七）</t>
  </si>
  <si>
    <r>
      <rPr>
        <b/>
        <sz val="10"/>
        <color theme="1"/>
        <rFont val="宋体"/>
        <family val="3"/>
        <charset val="134"/>
      </rPr>
      <t>根据评估的舞弊风险等因素增加审计程序，例如：</t>
    </r>
  </si>
  <si>
    <r>
      <rPr>
        <sz val="10"/>
        <rFont val="宋体"/>
        <family val="3"/>
        <charset val="134"/>
      </rPr>
      <t>保留为</t>
    </r>
    <r>
      <rPr>
        <sz val="10"/>
        <rFont val="Arial"/>
        <family val="2"/>
      </rPr>
      <t>6</t>
    </r>
  </si>
  <si>
    <t>针对识别的特别风险（包括舞弊风险）考虑以下方面：期末或接近期末时的大额记录；在期末或接近期末增加的交易数量；异常的过账分录；期末或接近期末时的大笔日记账分录；会计处理方法或其他方面存在重大调整的项目；与复杂交易有关的项目；涉及重大判断或估计、计量结果具有高度不确定性的项目；涉及重大关联交易的项目；其他特殊项目。</t>
  </si>
  <si>
    <t>询问会计部门以外的负责发起执行投资交易的人员如下内容：存在舞弊或舞弊嫌疑；未披露的附加协议；企业的异常活动或指令。</t>
  </si>
  <si>
    <r>
      <rPr>
        <sz val="10"/>
        <color theme="1"/>
        <rFont val="宋体"/>
        <family val="3"/>
        <charset val="134"/>
      </rPr>
      <t>向被审计单位的具体操作人员或内部法律人员询问：对接近期末进行上述交易的意图；对上述交易存在的任何不正常条款或条件的认知；合同条款完整性的确认，是否存在未提供的补充协议或口头约定。</t>
    </r>
  </si>
  <si>
    <t>获取有关账户交易流水单，追查至被审计单位账面记录是否完整。</t>
  </si>
  <si>
    <r>
      <rPr>
        <sz val="10"/>
        <color theme="1"/>
        <rFont val="宋体"/>
        <family val="3"/>
        <charset val="134"/>
      </rPr>
      <t>查询上述交易对手的工商登记资料和财务资料，判断是否属于关联方，与被审计单位的交易是否为交易对方生产经营所需，交易价格是否公允，交易对方是否有能力履行交易约定。</t>
    </r>
  </si>
  <si>
    <r>
      <rPr>
        <sz val="10"/>
        <color theme="1"/>
        <rFont val="宋体"/>
        <family val="3"/>
        <charset val="134"/>
      </rPr>
      <t>基于对被审计单位及其环境的了解以及在审计过程中获取的其他信息，对于异常的交易应当评价其商业理由（或缺乏商业理由）是否表明被审计单位从事交易的目的是为了对财务信息作出虚假报告或掩盖侵占资产的行为。</t>
    </r>
  </si>
  <si>
    <r>
      <rPr>
        <sz val="10"/>
        <color theme="1"/>
        <rFont val="宋体"/>
        <family val="3"/>
        <charset val="134"/>
      </rPr>
      <t>取得管理层局声明书，确认合同协议是否已经完整提供。</t>
    </r>
  </si>
  <si>
    <t>（八）</t>
  </si>
  <si>
    <t>E</t>
  </si>
  <si>
    <t>I9-1</t>
  </si>
  <si>
    <r>
      <rPr>
        <sz val="10"/>
        <rFont val="宋体"/>
        <family val="3"/>
        <charset val="134"/>
      </rPr>
      <t>保留为</t>
    </r>
    <r>
      <rPr>
        <sz val="10"/>
        <rFont val="Arial"/>
        <family val="2"/>
      </rPr>
      <t>7</t>
    </r>
  </si>
  <si>
    <t>公允价值变动收益审定表</t>
  </si>
  <si>
    <t>页 次：</t>
  </si>
  <si>
    <t>项目</t>
  </si>
  <si>
    <t>本期数</t>
  </si>
  <si>
    <t>上期数</t>
  </si>
  <si>
    <t>本期与上期审定数比较</t>
  </si>
  <si>
    <r>
      <rPr>
        <b/>
        <sz val="10"/>
        <color indexed="8"/>
        <rFont val="宋体"/>
        <family val="3"/>
        <charset val="134"/>
      </rPr>
      <t>原因分析</t>
    </r>
  </si>
  <si>
    <r>
      <rPr>
        <b/>
        <sz val="10"/>
        <rFont val="宋体"/>
        <family val="3"/>
        <charset val="134"/>
      </rPr>
      <t>未审数</t>
    </r>
  </si>
  <si>
    <t>调整数</t>
  </si>
  <si>
    <r>
      <rPr>
        <b/>
        <sz val="10"/>
        <rFont val="宋体"/>
        <family val="3"/>
        <charset val="134"/>
      </rPr>
      <t>审定数</t>
    </r>
  </si>
  <si>
    <r>
      <rPr>
        <b/>
        <sz val="10"/>
        <rFont val="宋体"/>
        <family val="3"/>
        <charset val="134"/>
      </rPr>
      <t>变动额</t>
    </r>
  </si>
  <si>
    <r>
      <rPr>
        <b/>
        <sz val="10"/>
        <color indexed="8"/>
        <rFont val="宋体"/>
        <family val="3"/>
        <charset val="134"/>
      </rPr>
      <t>变动率</t>
    </r>
  </si>
  <si>
    <t>交易性金融资产</t>
  </si>
  <si>
    <t>其中：指定为以公允价值计量且其变动计入当期损益的金融资产</t>
  </si>
  <si>
    <t xml:space="preserve">     衍生金融资产</t>
  </si>
  <si>
    <t>交易性金融负债</t>
  </si>
  <si>
    <t>其中：指定为以公允价值计量且其变动计入当期损益的金融负债</t>
  </si>
  <si>
    <t xml:space="preserve">     衍生金融负债</t>
  </si>
  <si>
    <t>其他非流动金融资产</t>
  </si>
  <si>
    <t>以公允价值计量的投资性房地产</t>
  </si>
  <si>
    <t>其他</t>
  </si>
  <si>
    <t>合计</t>
  </si>
  <si>
    <t>试算平衡表数</t>
  </si>
  <si>
    <t>差异数</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</si>
  <si>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</si>
  <si>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）公允价值变动收益本期较上期增加（负数为减少）：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</si>
  <si>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</si>
  <si>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</si>
  <si>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</si>
  <si>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编制说明【非打印内容】</t>
  </si>
  <si>
    <t>本科目核算企业交易性金融资产、交易性金融负债，以及采用公允价值模式计量的投资性房地产、衍生工具、套期保值业务等公允价值变动形成的应计入当期损益的利得或损失。</t>
  </si>
  <si>
    <t>指定为以公允价值计量且其变动计入当期损益的金融资产或金融负债公允价值变动形成的应计入当期损益的利得或损失，也在本科目核算。</t>
  </si>
  <si>
    <t>页次：</t>
  </si>
  <si>
    <r>
      <rPr>
        <sz val="12"/>
        <color theme="1"/>
        <rFont val="仿宋_GB2312"/>
        <charset val="134"/>
      </rPr>
      <t>附注披露信息</t>
    </r>
  </si>
  <si>
    <r>
      <rPr>
        <sz val="12"/>
        <rFont val="仿宋_GB2312"/>
        <charset val="134"/>
      </rPr>
      <t>公允价值变动收益</t>
    </r>
    <r>
      <rPr>
        <sz val="12"/>
        <color indexed="12"/>
        <rFont val="仿宋_GB2312"/>
        <charset val="134"/>
      </rPr>
      <t>（注：以下不存在的项目可以删除）</t>
    </r>
  </si>
  <si>
    <t>产生公允价值变动收益的来源</t>
  </si>
  <si>
    <t>本期发生额</t>
  </si>
  <si>
    <t>上期发生额</t>
  </si>
  <si>
    <t xml:space="preserve">    其中：指定为以公允价值计量且其变动计入当期损益的金融资产</t>
  </si>
  <si>
    <t>衍生金融工具产生的公允价值变动收益</t>
  </si>
  <si>
    <t xml:space="preserve">    其中：指定为以公允价值计量且其变动计入当期损益的金融负债</t>
  </si>
  <si>
    <t>按公允价值计量的投资性房地产</t>
  </si>
  <si>
    <r>
      <rPr>
        <b/>
        <sz val="10.5"/>
        <color theme="1"/>
        <rFont val="仿宋_GB2312"/>
        <charset val="134"/>
      </rPr>
      <t>合</t>
    </r>
    <r>
      <rPr>
        <b/>
        <sz val="10.5"/>
        <color theme="1"/>
        <rFont val="Arial Narrow"/>
        <family val="2"/>
      </rPr>
      <t xml:space="preserve">  </t>
    </r>
    <r>
      <rPr>
        <b/>
        <sz val="10.5"/>
        <color theme="1"/>
        <rFont val="仿宋_GB2312"/>
        <charset val="134"/>
      </rPr>
      <t>计</t>
    </r>
  </si>
  <si>
    <t>衍生金融资产</t>
  </si>
  <si>
    <t>衍生金融负债</t>
  </si>
  <si>
    <t>公允价值变动收益明细表</t>
  </si>
  <si>
    <t xml:space="preserve">页  次：  </t>
  </si>
  <si>
    <t>一、审计目标</t>
  </si>
  <si>
    <r>
      <rPr>
        <sz val="10"/>
        <color indexed="8"/>
        <rFont val="Arial Narrow"/>
        <family val="2"/>
      </rPr>
      <t>1.</t>
    </r>
    <r>
      <rPr>
        <sz val="10"/>
        <color rgb="FF000000"/>
        <rFont val="宋体"/>
        <family val="3"/>
        <charset val="134"/>
      </rPr>
      <t>利润表中记录的公允价值变动收益已发生，且与被审计单位有关，已记录于恰当的账户；</t>
    </r>
    <r>
      <rPr>
        <sz val="10"/>
        <color indexed="8"/>
        <rFont val="Arial Narrow"/>
        <family val="2"/>
      </rPr>
      <t>2.</t>
    </r>
    <r>
      <rPr>
        <sz val="10"/>
        <color rgb="FF000000"/>
        <rFont val="宋体"/>
        <family val="3"/>
        <charset val="134"/>
      </rPr>
      <t>所有应记录的公允价值变动收益均已记录，所有应当包括在财务报表中的相关披露均已包括；</t>
    </r>
  </si>
  <si>
    <r>
      <rPr>
        <sz val="10"/>
        <color indexed="8"/>
        <rFont val="Arial Narrow"/>
        <family val="2"/>
      </rPr>
      <t>3.</t>
    </r>
    <r>
      <rPr>
        <sz val="10"/>
        <color rgb="FF000000"/>
        <rFont val="宋体"/>
        <family val="3"/>
        <charset val="134"/>
      </rPr>
      <t>与公允价值变动收益有关的金额及其他数据已恰当记录，相关披露已得到恰当计量和描述</t>
    </r>
  </si>
  <si>
    <r>
      <rPr>
        <b/>
        <sz val="10"/>
        <rFont val="宋体"/>
        <family val="3"/>
        <charset val="134"/>
      </rPr>
      <t>二、审计过程：</t>
    </r>
  </si>
  <si>
    <r>
      <rPr>
        <b/>
        <sz val="10"/>
        <rFont val="宋体"/>
        <family val="3"/>
        <charset val="134"/>
      </rPr>
      <t>项目</t>
    </r>
  </si>
  <si>
    <t>对应科目</t>
  </si>
  <si>
    <t>对应科目-公允价值变动</t>
  </si>
  <si>
    <t>核对</t>
  </si>
  <si>
    <t>索引号</t>
  </si>
  <si>
    <t>成本</t>
  </si>
  <si>
    <t>本期公允价值变动</t>
  </si>
  <si>
    <t>累计公允价值变动</t>
  </si>
  <si>
    <t>公允价值</t>
  </si>
  <si>
    <t>计入损益</t>
  </si>
  <si>
    <t>投资性房地产</t>
  </si>
  <si>
    <r>
      <rPr>
        <b/>
        <sz val="10"/>
        <rFont val="宋体"/>
        <family val="3"/>
        <charset val="134"/>
      </rPr>
      <t>合计</t>
    </r>
  </si>
  <si>
    <r>
      <rPr>
        <b/>
        <sz val="10"/>
        <rFont val="宋体"/>
        <family val="3"/>
        <charset val="134"/>
      </rPr>
      <t>三、审计说明：</t>
    </r>
  </si>
  <si>
    <r>
      <rPr>
        <i/>
        <sz val="10"/>
        <color indexed="12"/>
        <rFont val="宋体"/>
        <family val="3"/>
        <charset val="134"/>
      </rPr>
      <t>编制说明：</t>
    </r>
  </si>
  <si>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</si>
  <si>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</si>
  <si>
    <t>公允价值变动收益调整分录汇总表</t>
  </si>
  <si>
    <t>页 次：1</t>
  </si>
  <si>
    <t>调整事项说明</t>
  </si>
  <si>
    <t>类别（报表调整/账项调整/其他）</t>
  </si>
  <si>
    <t>报表项目</t>
  </si>
  <si>
    <t>科目名称</t>
  </si>
  <si>
    <t>附注项目</t>
  </si>
  <si>
    <t>……</t>
  </si>
  <si>
    <t>借方调整金额</t>
  </si>
  <si>
    <t>贷方调整金额</t>
  </si>
  <si>
    <t>索引</t>
  </si>
  <si>
    <t>备注</t>
  </si>
  <si>
    <t>三、计划实施的实质性程序</t>
    <phoneticPr fontId="135" type="noConversion"/>
  </si>
  <si>
    <t>准确性</t>
    <phoneticPr fontId="134" type="noConversion"/>
  </si>
  <si>
    <t>截止</t>
    <phoneticPr fontId="134" type="noConversion"/>
  </si>
  <si>
    <r>
      <t xml:space="preserve">A. </t>
    </r>
    <r>
      <rPr>
        <sz val="10"/>
        <rFont val="宋体"/>
        <family val="3"/>
        <charset val="134"/>
      </rPr>
      <t>利润表中记录的公允价值变动收益已发生，且与被审计单位有关，已记录于恰当的账户</t>
    </r>
    <phoneticPr fontId="134" type="noConversion"/>
  </si>
  <si>
    <r>
      <t xml:space="preserve">C. </t>
    </r>
    <r>
      <rPr>
        <sz val="10"/>
        <rFont val="宋体"/>
        <family val="3"/>
        <charset val="134"/>
      </rPr>
      <t>与公允价值变动收益有关的金额及其他数据已恰当记录，相关披露已得到恰当计量和描述</t>
    </r>
    <phoneticPr fontId="134" type="noConversion"/>
  </si>
  <si>
    <t>备选</t>
  </si>
  <si>
    <t>√</t>
    <phoneticPr fontId="135" type="noConversion"/>
  </si>
  <si>
    <t>√</t>
    <phoneticPr fontId="135" type="noConversion"/>
  </si>
  <si>
    <r>
      <t>对上期数的审计，取得上期明细表复核加计是否正确，与总账、明细账合计数是否相符，确定计算的准确性；确定是否需要补充必要的程序，如果是，执行适当的应对程序。</t>
    </r>
    <r>
      <rPr>
        <sz val="10"/>
        <color rgb="FFFF0000"/>
        <rFont val="宋体"/>
        <family val="3"/>
        <charset val="134"/>
      </rPr>
      <t>（适用于首次承接）</t>
    </r>
    <phoneticPr fontId="134" type="noConversion"/>
  </si>
  <si>
    <t>√</t>
    <phoneticPr fontId="135" type="noConversion"/>
  </si>
  <si>
    <t>IPO/上市/新三板/重组/舞弊应对</t>
    <phoneticPr fontId="137" type="noConversion"/>
  </si>
  <si>
    <t>检查公允价值变动收益是否已按企业会计准则或其他适用的规定在财务报表中做出恰当列报和披露。</t>
    <phoneticPr fontId="135" type="noConversion"/>
  </si>
  <si>
    <r>
      <t>A1-1/</t>
    </r>
    <r>
      <rPr>
        <sz val="10"/>
        <color rgb="FFFF0000"/>
        <rFont val="Arial Narrow"/>
        <family val="2"/>
      </rPr>
      <t>A1-15 /A1-16</t>
    </r>
    <phoneticPr fontId="135" type="noConversion"/>
  </si>
  <si>
    <t>G13-1
/G13-2</t>
    <phoneticPr fontId="134" type="noConversion"/>
  </si>
  <si>
    <t>交易性金融资产/衍生金融资产</t>
  </si>
  <si>
    <t>交易性金融负债/衍生金融负债</t>
  </si>
  <si>
    <t>获取或编制增、减分析表，分析增加内容及减少方式、对损益的影响，与相关科目核对一致；</t>
    <phoneticPr fontId="134" type="noConversion"/>
  </si>
  <si>
    <r>
      <t xml:space="preserve">B. </t>
    </r>
    <r>
      <rPr>
        <sz val="10"/>
        <rFont val="宋体"/>
        <family val="3"/>
        <charset val="134"/>
      </rPr>
      <t>所有应记录的公允价值变动收益均已记录，所有应当包括在财务报表中的相关披露均已包括</t>
    </r>
    <phoneticPr fontId="134" type="noConversion"/>
  </si>
  <si>
    <r>
      <t xml:space="preserve">D. </t>
    </r>
    <r>
      <rPr>
        <sz val="10"/>
        <rFont val="宋体"/>
        <family val="3"/>
        <charset val="134"/>
      </rPr>
      <t>公允价值变动收益已记录于正确的会计期间</t>
    </r>
    <phoneticPr fontId="134" type="noConversion"/>
  </si>
  <si>
    <r>
      <t xml:space="preserve">E. </t>
    </r>
    <r>
      <rPr>
        <sz val="10"/>
        <rFont val="宋体"/>
        <family val="3"/>
        <charset val="134"/>
      </rPr>
      <t>公允价值变动收益已被恰当地汇总或分解且表述清楚，相关披露在按照企业会计准则的编制基础下是相关的、可理解的</t>
    </r>
    <phoneticPr fontId="134" type="noConversion"/>
  </si>
  <si>
    <r>
      <rPr>
        <sz val="10"/>
        <rFont val="宋体"/>
        <family val="3"/>
        <charset val="134"/>
      </rPr>
      <t>会计期间：</t>
    </r>
    <r>
      <rPr>
        <sz val="10"/>
        <rFont val="Arial Narrow"/>
        <family val="2"/>
      </rPr>
      <t>202X</t>
    </r>
    <r>
      <rPr>
        <sz val="10"/>
        <rFont val="宋体"/>
        <family val="3"/>
        <charset val="134"/>
      </rPr>
      <t>年度</t>
    </r>
    <phoneticPr fontId="135" type="noConversion"/>
  </si>
  <si>
    <t>关于工作底稿与审计程序索引号对应的说明</t>
    <phoneticPr fontId="13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</si>
  <si>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3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</si>
  <si>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13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</si>
  <si>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135" type="noConversion"/>
  </si>
  <si>
    <t>根据被审计单位实际情况和风险评估情况裁剪、修改或增加审计程序</t>
    <phoneticPr fontId="135" type="noConversion"/>
  </si>
  <si>
    <t>审计程序</t>
    <phoneticPr fontId="137" type="noConversion"/>
  </si>
  <si>
    <r>
      <t>企业开展套期保值业务的，有效套期关系中套期工具或被套期项目的公允价值变动，也可以单独设置</t>
    </r>
    <r>
      <rPr>
        <sz val="10"/>
        <color rgb="FF0000FF"/>
        <rFont val="Arial Narrow"/>
        <family val="2"/>
      </rPr>
      <t xml:space="preserve">“6102 </t>
    </r>
    <r>
      <rPr>
        <sz val="10"/>
        <color rgb="FF0000FF"/>
        <rFont val="宋体"/>
        <family val="3"/>
        <charset val="134"/>
      </rPr>
      <t>套期损益</t>
    </r>
    <r>
      <rPr>
        <sz val="10"/>
        <color rgb="FF0000FF"/>
        <rFont val="Arial Narrow"/>
        <family val="2"/>
      </rPr>
      <t>”</t>
    </r>
    <r>
      <rPr>
        <sz val="10"/>
        <color rgb="FF0000FF"/>
        <rFont val="宋体"/>
        <family val="3"/>
        <charset val="134"/>
      </rPr>
      <t xml:space="preserve">科目核算。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</si>
</sst>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quot;$&quot;#,##0.00_);\(&quot;$&quot;#,##0.00\)"/>
    <numFmt numFmtId="177" formatCode="&quot;$&quot;#,##0_);\(&quot;$&quot;#,##0\)"/>
    <numFmt numFmtId="178" formatCode="0.000%"/>
    <numFmt numFmtId="179" formatCode="_-&quot;$&quot;* #,##0_-;\-&quot;$&quot;* #,##0_-;_-&quot;$&quot;* &quot;-&quot;_-;_-@_-"/>
    <numFmt numFmtId="180" formatCode="_-* #,##0_-;\-* #,##0_-;_-* &quot;-&quot;_-;_-@_-"/>
    <numFmt numFmtId="181" formatCode="#,##0.0_);\(#,##0.0\)"/>
    <numFmt numFmtId="182" formatCode="_([$€-2]* #,##0.00_);_([$€-2]* \(#,##0.00\);_([$€-2]* &quot;-&quot;??_)"/>
    <numFmt numFmtId="183" formatCode="_-#,##0%_-;\(#,##0%\);_-\ &quot;-&quot;_-"/>
    <numFmt numFmtId="184" formatCode="\(#,##0\)\ "/>
    <numFmt numFmtId="185" formatCode="_-* #,##0\¥_-;\-* #,##0\¥_-;_-* &quot;-&quot;\¥_-;_-@_-"/>
    <numFmt numFmtId="186" formatCode="hh:mm\ AM/PM_)"/>
    <numFmt numFmtId="187" formatCode="mmm/dd/yyyy;_-\ &quot;N/A&quot;_-;_-\ &quot;-&quot;_-"/>
    <numFmt numFmtId="188" formatCode="&quot;$&quot;#,##0;[Red]&quot;$&quot;&quot;$&quot;&quot;$&quot;&quot;$&quot;&quot;$&quot;&quot;$&quot;&quot;$&quot;\-#,##0"/>
    <numFmt numFmtId="189" formatCode="[Blue]#,##0_);[Blue]\(#,##0\)"/>
    <numFmt numFmtId="190" formatCode="0.0%"/>
    <numFmt numFmtId="191" formatCode="_-#,###,_-;\(#,###,\);_-\ \ &quot;-&quot;_-;_-@_-"/>
    <numFmt numFmtId="192" formatCode="_-* #,##0.00\¥_-;\-* #,##0.00\¥_-;_-* &quot;-&quot;??\¥_-;_-@_-"/>
    <numFmt numFmtId="193" formatCode="0.0%;\(0.0%\)"/>
    <numFmt numFmtId="194" formatCode="#,##0.00\¥;\-#,##0.00\¥"/>
    <numFmt numFmtId="195" formatCode="mmm/yyyy;_-\ &quot;N/A&quot;_-;_-\ &quot;-&quot;_-"/>
    <numFmt numFmtId="196" formatCode="[Blue]0.0%;[Blue]\(0.0%\)"/>
    <numFmt numFmtId="197" formatCode="_(&quot;$&quot;* #,##0_);_(&quot;$&quot;* \(#,##0\);_(&quot;$&quot;* &quot;-&quot;_);_(@_)"/>
    <numFmt numFmtId="198" formatCode="&quot;\&quot;#,##0.00;[Red]&quot;\&quot;&quot;\&quot;&quot;\&quot;&quot;\&quot;&quot;\&quot;&quot;\&quot;\-#,##0.00"/>
    <numFmt numFmtId="199" formatCode="#,##0_);[Blue]\(#,##0\)"/>
    <numFmt numFmtId="200" formatCode="0%;\(0%\)"/>
    <numFmt numFmtId="201" formatCode="#,##0;\(#,##0\)"/>
    <numFmt numFmtId="202" formatCode="[Red]0.0%;[Red]\(0.0%\)"/>
    <numFmt numFmtId="203" formatCode="#,##0;\-#,##0;&quot;-&quot;"/>
    <numFmt numFmtId="204" formatCode="\ \ @"/>
    <numFmt numFmtId="20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6" formatCode="\$#,##0.00;\(\$#,##0.00\)"/>
    <numFmt numFmtId="207" formatCode="_-#,##0_-;\(#,##0\);_-\ \ &quot;-&quot;_-;_-@_-"/>
    <numFmt numFmtId="208" formatCode="_-#0&quot;.&quot;0,_-;\(#0&quot;.&quot;0,\);_-\ \ &quot;-&quot;_-;_-@_-"/>
    <numFmt numFmtId="209" formatCode="#,##0_);\(#,##0_)"/>
    <numFmt numFmtId="210" formatCode="0.00000000000_);[Red]\(0.00000000000\)"/>
    <numFmt numFmtId="211" formatCode="_-* #,##0_-;\-* #,##0_-;_-* &quot;-&quot;??_-;_-@_-"/>
    <numFmt numFmtId="212" formatCode="&quot;\&quot;#,##0.00;[Red]&quot;\&quot;\-#,##0.00"/>
    <numFmt numFmtId="213" formatCode="_-#,###.00,_-;\(#,###.00,\);_-\ \ &quot;-&quot;_-;_-@_-"/>
    <numFmt numFmtId="214" formatCode="_(&quot;$&quot;* #,##0.00_);_(&quot;$&quot;* \(#,##0.00\);_(&quot;$&quot;* &quot;-&quot;??_);_(@_)"/>
    <numFmt numFmtId="215" formatCode="\$#,##0;\(\$#,##0\)"/>
    <numFmt numFmtId="216" formatCode="_-&quot;$&quot;* #,##0.00_-;\-&quot;$&quot;* #,##0.00_-;_-&quot;$&quot;* &quot;-&quot;??_-;_-@_-"/>
    <numFmt numFmtId="217" formatCode="_-* #,##0.00_-;\-* #,##0.00_-;_-* &quot;-&quot;??_-;_-@_-"/>
    <numFmt numFmtId="218" formatCode="_-#0&quot;.&quot;0000_-;\(#0&quot;.&quot;0000\);_-\ \ &quot;-&quot;_-;_-@_-"/>
    <numFmt numFmtId="219" formatCode="\¥#,##0;\-\¥#,##0"/>
    <numFmt numFmtId="220" formatCode="#,##0.00\¥;[Red]\-#,##0.00\¥"/>
    <numFmt numFmtId="221" formatCode="_-#,##0.00_-;\(#,##0.00\);_-\ \ &quot;-&quot;_-;_-@_-"/>
    <numFmt numFmtId="222" formatCode="&quot;\&quot;#,##0;&quot;\&quot;&quot;\&quot;\-#,##0"/>
    <numFmt numFmtId="223" formatCode="&quot;\&quot;#,##0;[Red]&quot;\&quot;&quot;\&quot;\-#,##0"/>
    <numFmt numFmtId="224" formatCode=";;;"/>
    <numFmt numFmtId="225" formatCode="0%_);\(0%\)"/>
    <numFmt numFmtId="226" formatCode="&quot;\&quot;#,##0;[Red]&quot;\&quot;\-#,##0"/>
  </numFmts>
  <fonts count="145">
    <font>
      <sz val="11"/>
      <color theme="1"/>
      <name val="宋体"/>
      <charset val="134"/>
      <scheme val="minor"/>
    </font>
    <font>
      <sz val="11"/>
      <color theme="1"/>
      <name val="宋体"/>
      <family val="2"/>
      <charset val="134"/>
      <scheme val="minor"/>
    </font>
    <font>
      <sz val="12"/>
      <name val="宋体"/>
      <family val="3"/>
      <charset val="134"/>
      <scheme val="minor"/>
    </font>
    <font>
      <sz val="14"/>
      <name val="宋体"/>
      <family val="3"/>
      <charset val="134"/>
      <scheme val="minor"/>
    </font>
    <font>
      <sz val="10"/>
      <name val="宋体"/>
      <family val="3"/>
      <charset val="134"/>
      <scheme val="minor"/>
    </font>
    <font>
      <sz val="12"/>
      <name val="宋体"/>
      <family val="3"/>
      <charset val="134"/>
    </font>
    <font>
      <b/>
      <sz val="12"/>
      <name val="宋体"/>
      <family val="3"/>
      <charset val="134"/>
      <scheme val="minor"/>
    </font>
    <font>
      <b/>
      <sz val="14"/>
      <name val="宋体"/>
      <family val="3"/>
      <charset val="134"/>
      <scheme val="minor"/>
    </font>
    <font>
      <b/>
      <sz val="10"/>
      <color indexed="8"/>
      <name val="宋体"/>
      <family val="3"/>
      <charset val="134"/>
    </font>
    <font>
      <b/>
      <sz val="10"/>
      <name val="宋体"/>
      <family val="3"/>
      <charset val="134"/>
    </font>
    <font>
      <b/>
      <sz val="10"/>
      <color rgb="FFE92841"/>
      <name val="Arial Narrow"/>
      <family val="2"/>
    </font>
    <font>
      <sz val="10"/>
      <color indexed="8"/>
      <name val="宋体"/>
      <family val="3"/>
      <charset val="134"/>
    </font>
    <font>
      <sz val="10"/>
      <name val="宋体"/>
      <family val="3"/>
      <charset val="134"/>
    </font>
    <font>
      <sz val="10"/>
      <color rgb="FFFF0000"/>
      <name val="宋体"/>
      <family val="3"/>
      <charset val="134"/>
    </font>
    <font>
      <b/>
      <sz val="10"/>
      <color indexed="8"/>
      <name val="Arial Narrow"/>
      <family val="2"/>
    </font>
    <font>
      <b/>
      <sz val="10"/>
      <name val="Arial Narrow"/>
      <family val="2"/>
    </font>
    <font>
      <sz val="10"/>
      <name val="Arial Narrow"/>
      <family val="2"/>
    </font>
    <font>
      <i/>
      <u/>
      <sz val="10"/>
      <color indexed="12"/>
      <name val="Arial Narrow"/>
      <family val="2"/>
    </font>
    <font>
      <u/>
      <sz val="10"/>
      <name val="Arial Narrow"/>
      <family val="2"/>
    </font>
    <font>
      <u/>
      <sz val="11"/>
      <color theme="10"/>
      <name val="宋体"/>
      <family val="3"/>
      <charset val="134"/>
    </font>
    <font>
      <sz val="10"/>
      <color indexed="8"/>
      <name val="Arial Narrow"/>
      <family val="2"/>
    </font>
    <font>
      <b/>
      <sz val="10"/>
      <color theme="1"/>
      <name val="宋体"/>
      <family val="3"/>
      <charset val="134"/>
      <scheme val="minor"/>
    </font>
    <font>
      <b/>
      <sz val="10"/>
      <color theme="1"/>
      <name val="宋体"/>
      <family val="3"/>
      <charset val="134"/>
    </font>
    <font>
      <sz val="10"/>
      <color theme="1"/>
      <name val="宋体"/>
      <family val="3"/>
      <charset val="134"/>
    </font>
    <font>
      <i/>
      <sz val="10"/>
      <color indexed="12"/>
      <name val="Arial Narrow"/>
      <family val="2"/>
    </font>
    <font>
      <sz val="10"/>
      <color indexed="12"/>
      <name val="宋体"/>
      <family val="3"/>
      <charset val="134"/>
    </font>
    <font>
      <sz val="10"/>
      <color indexed="12"/>
      <name val="Arial Narrow"/>
      <family val="2"/>
    </font>
    <font>
      <sz val="10"/>
      <color rgb="FF0000FF"/>
      <name val="宋体"/>
      <family val="3"/>
      <charset val="134"/>
    </font>
    <font>
      <sz val="10"/>
      <color rgb="FF0000FF"/>
      <name val="Arial Narrow"/>
      <family val="2"/>
    </font>
    <font>
      <b/>
      <sz val="10"/>
      <name val="宋体"/>
      <family val="3"/>
      <charset val="134"/>
      <scheme val="minor"/>
    </font>
    <font>
      <sz val="12"/>
      <name val="Arial Narrow"/>
      <family val="2"/>
    </font>
    <font>
      <sz val="12"/>
      <color theme="1"/>
      <name val="Arial Narrow"/>
      <family val="2"/>
    </font>
    <font>
      <sz val="12"/>
      <name val="仿宋_GB2312"/>
      <charset val="134"/>
    </font>
    <font>
      <b/>
      <sz val="10.5"/>
      <color theme="1"/>
      <name val="仿宋_GB2312"/>
      <charset val="134"/>
    </font>
    <font>
      <sz val="12"/>
      <color theme="1"/>
      <name val="仿宋_GB2312"/>
      <charset val="134"/>
    </font>
    <font>
      <sz val="12"/>
      <color rgb="FF000000"/>
      <name val="仿宋_GB2312"/>
      <charset val="134"/>
    </font>
    <font>
      <b/>
      <sz val="10.5"/>
      <color theme="1"/>
      <name val="Arial Narrow"/>
      <family val="2"/>
    </font>
    <font>
      <sz val="12"/>
      <color rgb="FF0000FF"/>
      <name val="仿宋_GB2312"/>
      <charset val="134"/>
    </font>
    <font>
      <b/>
      <sz val="10.5"/>
      <color rgb="FF000000"/>
      <name val="仿宋_GB2312"/>
      <charset val="134"/>
    </font>
    <font>
      <sz val="10"/>
      <name val="Arial"/>
      <family val="2"/>
    </font>
    <font>
      <b/>
      <sz val="10"/>
      <name val="Arial"/>
      <family val="2"/>
    </font>
    <font>
      <sz val="10"/>
      <color theme="1"/>
      <name val="Arial"/>
      <family val="2"/>
    </font>
    <font>
      <sz val="10"/>
      <color theme="1"/>
      <name val="Arial Narrow"/>
      <family val="2"/>
    </font>
    <font>
      <sz val="10"/>
      <color theme="1"/>
      <name val="宋体"/>
      <family val="3"/>
      <charset val="134"/>
    </font>
    <font>
      <b/>
      <sz val="10"/>
      <color theme="1"/>
      <name val="Arial"/>
      <family val="2"/>
    </font>
    <font>
      <b/>
      <sz val="10"/>
      <color theme="1"/>
      <name val="Arial Narrow"/>
      <family val="2"/>
    </font>
    <font>
      <sz val="10"/>
      <color indexed="10"/>
      <name val="Arial"/>
      <family val="2"/>
    </font>
    <font>
      <sz val="12"/>
      <name val="Arial"/>
      <family val="2"/>
    </font>
    <font>
      <b/>
      <sz val="12"/>
      <name val="宋体"/>
      <family val="3"/>
      <charset val="134"/>
    </font>
    <font>
      <sz val="10.5"/>
      <name val="Arial"/>
      <family val="2"/>
    </font>
    <font>
      <sz val="10.5"/>
      <name val="宋体"/>
      <family val="3"/>
      <charset val="134"/>
    </font>
    <font>
      <sz val="11"/>
      <name val="宋体"/>
      <family val="3"/>
      <charset val="134"/>
    </font>
    <font>
      <u/>
      <sz val="10"/>
      <color theme="10"/>
      <name val="宋体"/>
      <family val="3"/>
      <charset val="134"/>
    </font>
    <font>
      <sz val="10.5"/>
      <name val="Times New Roman"/>
      <family val="1"/>
    </font>
    <font>
      <u/>
      <sz val="10"/>
      <color theme="10"/>
      <name val="Arial Narrow"/>
      <family val="2"/>
    </font>
    <font>
      <b/>
      <sz val="12"/>
      <name val="Arial"/>
      <family val="2"/>
    </font>
    <font>
      <u/>
      <sz val="12"/>
      <color indexed="12"/>
      <name val="宋体"/>
      <family val="3"/>
      <charset val="134"/>
    </font>
    <font>
      <sz val="10"/>
      <color indexed="8"/>
      <name val="Arial"/>
      <family val="2"/>
    </font>
    <font>
      <sz val="10"/>
      <color indexed="8"/>
      <name val="MS Sans Serif"/>
      <family val="2"/>
    </font>
    <font>
      <sz val="8"/>
      <name val="Times New Roman"/>
      <family val="1"/>
    </font>
    <font>
      <sz val="14"/>
      <name val="柧挬"/>
      <family val="2"/>
    </font>
    <font>
      <sz val="11"/>
      <color theme="1"/>
      <name val="宋体"/>
      <family val="3"/>
      <charset val="134"/>
      <scheme val="minor"/>
    </font>
    <font>
      <sz val="11"/>
      <color rgb="FF006100"/>
      <name val="宋体"/>
      <family val="3"/>
      <charset val="134"/>
      <scheme val="minor"/>
    </font>
    <font>
      <sz val="9"/>
      <name val="Times New Roman"/>
      <family val="1"/>
    </font>
    <font>
      <sz val="10"/>
      <color indexed="16"/>
      <name val="MS Serif"/>
      <family val="1"/>
    </font>
    <font>
      <sz val="12"/>
      <name val="Times New Roman"/>
      <family val="1"/>
    </font>
    <font>
      <sz val="13"/>
      <name val="Tms Rmn"/>
      <family val="1"/>
    </font>
    <font>
      <sz val="10"/>
      <name val="Times New Roman"/>
      <family val="1"/>
    </font>
    <font>
      <sz val="12"/>
      <name val="???"/>
      <family val="1"/>
    </font>
    <font>
      <sz val="11"/>
      <color indexed="62"/>
      <name val="Calibri"/>
      <family val="2"/>
    </font>
    <font>
      <b/>
      <sz val="11"/>
      <color indexed="56"/>
      <name val="Calibri"/>
      <family val="2"/>
    </font>
    <font>
      <b/>
      <sz val="10"/>
      <name val="MS Sans Serif"/>
      <family val="2"/>
    </font>
    <font>
      <sz val="12"/>
      <name val="柧挬"/>
      <family val="2"/>
    </font>
    <font>
      <sz val="10"/>
      <name val="MS Sans Serif"/>
      <family val="2"/>
    </font>
    <font>
      <sz val="11"/>
      <color indexed="9"/>
      <name val="Calibri"/>
      <family val="2"/>
    </font>
    <font>
      <sz val="12"/>
      <color indexed="20"/>
      <name val="宋体"/>
      <family val="3"/>
      <charset val="134"/>
    </font>
    <font>
      <sz val="11"/>
      <name val="ＭＳ Ｐゴシック"/>
      <family val="2"/>
    </font>
    <font>
      <sz val="11"/>
      <color indexed="52"/>
      <name val="Calibri"/>
      <family val="2"/>
    </font>
    <font>
      <sz val="9"/>
      <color indexed="8"/>
      <name val="宋体"/>
      <family val="3"/>
      <charset val="134"/>
    </font>
    <font>
      <sz val="8"/>
      <color indexed="16"/>
      <name val="Century Schoolbook"/>
      <family val="1"/>
    </font>
    <font>
      <sz val="10"/>
      <name val="奔覆眉"/>
      <family val="2"/>
    </font>
    <font>
      <sz val="10"/>
      <name val="Courier"/>
      <family val="3"/>
    </font>
    <font>
      <i/>
      <sz val="11"/>
      <color indexed="23"/>
      <name val="Calibri"/>
      <family val="2"/>
    </font>
    <font>
      <sz val="10"/>
      <color indexed="20"/>
      <name val="Times New Roman"/>
      <family val="1"/>
    </font>
    <font>
      <sz val="10"/>
      <color indexed="17"/>
      <name val="Times New Roman"/>
      <family val="1"/>
    </font>
    <font>
      <u val="singleAccounting"/>
      <vertAlign val="subscript"/>
      <sz val="10"/>
      <name val="Times New Roman"/>
      <family val="1"/>
    </font>
    <font>
      <u/>
      <sz val="7.5"/>
      <color indexed="12"/>
      <name val="Arial"/>
      <family val="2"/>
    </font>
    <font>
      <i/>
      <sz val="9"/>
      <name val="Times New Roman"/>
      <family val="1"/>
    </font>
    <font>
      <sz val="8"/>
      <name val="Arial"/>
      <family val="2"/>
    </font>
    <font>
      <b/>
      <sz val="8"/>
      <name val="Arial"/>
      <family val="2"/>
    </font>
    <font>
      <sz val="11"/>
      <color indexed="8"/>
      <name val="Calibri"/>
      <family val="2"/>
    </font>
    <font>
      <sz val="7"/>
      <name val="Helv"/>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sz val="10"/>
      <name val="MS Serif"/>
      <family val="1"/>
    </font>
    <font>
      <sz val="12"/>
      <name val="Tms Rmn"/>
      <family val="1"/>
    </font>
    <font>
      <u/>
      <sz val="7.5"/>
      <color indexed="36"/>
      <name val="Arial"/>
      <family val="2"/>
    </font>
    <font>
      <sz val="11"/>
      <color indexed="17"/>
      <name val="Calibri"/>
      <family val="2"/>
    </font>
    <font>
      <b/>
      <sz val="12"/>
      <name val="Helv"/>
      <family val="2"/>
    </font>
    <font>
      <b/>
      <sz val="15"/>
      <color indexed="56"/>
      <name val="Calibri"/>
      <family val="2"/>
    </font>
    <font>
      <b/>
      <sz val="13"/>
      <color indexed="56"/>
      <name val="Calibri"/>
      <family val="2"/>
    </font>
    <font>
      <b/>
      <sz val="11"/>
      <color indexed="8"/>
      <name val="Calibri"/>
      <family val="2"/>
    </font>
    <font>
      <sz val="11"/>
      <color indexed="10"/>
      <name val="Calibri"/>
      <family val="2"/>
    </font>
    <font>
      <sz val="12"/>
      <name val="MS Sans Serif"/>
      <family val="2"/>
    </font>
    <font>
      <b/>
      <sz val="11"/>
      <name val="Helv"/>
      <family val="2"/>
    </font>
    <font>
      <sz val="11"/>
      <color indexed="60"/>
      <name val="Calibri"/>
      <family val="2"/>
    </font>
    <font>
      <b/>
      <i/>
      <sz val="10"/>
      <name val="Times New Roman"/>
      <family val="1"/>
    </font>
    <font>
      <sz val="7"/>
      <name val="Small Fonts"/>
      <family val="2"/>
    </font>
    <font>
      <sz val="8"/>
      <name val="Century Schoolbook"/>
      <family val="1"/>
    </font>
    <font>
      <b/>
      <sz val="11"/>
      <color indexed="63"/>
      <name val="Calibri"/>
      <family val="2"/>
    </font>
    <font>
      <sz val="10"/>
      <name val="Tms Rmn"/>
      <family val="1"/>
    </font>
    <font>
      <sz val="7"/>
      <color indexed="10"/>
      <name val="Helv"/>
      <family val="2"/>
    </font>
    <font>
      <sz val="10"/>
      <name val="Geneva"/>
      <family val="2"/>
    </font>
    <font>
      <b/>
      <sz val="12"/>
      <name val="MS Sans Serif"/>
      <family val="2"/>
    </font>
    <font>
      <b/>
      <sz val="8"/>
      <color indexed="8"/>
      <name val="Helv"/>
      <family val="2"/>
    </font>
    <font>
      <b/>
      <sz val="10"/>
      <color indexed="10"/>
      <name val="Arial"/>
      <family val="2"/>
    </font>
    <font>
      <b/>
      <sz val="9"/>
      <name val="Times New Roman"/>
      <family val="1"/>
    </font>
    <font>
      <sz val="11"/>
      <name val="明朝"/>
      <family val="2"/>
    </font>
    <font>
      <sz val="11"/>
      <color rgb="FF9C0006"/>
      <name val="宋体"/>
      <family val="3"/>
      <charset val="134"/>
      <scheme val="minor"/>
    </font>
    <font>
      <sz val="11"/>
      <color indexed="8"/>
      <name val="宋体"/>
      <family val="3"/>
      <charset val="134"/>
    </font>
    <font>
      <sz val="12"/>
      <color indexed="8"/>
      <name val="宋体"/>
      <family val="3"/>
      <charset val="134"/>
    </font>
    <font>
      <u/>
      <sz val="10"/>
      <color indexed="12"/>
      <name val="宋体"/>
      <family val="3"/>
      <charset val="134"/>
    </font>
    <font>
      <sz val="12"/>
      <name val="官帕眉"/>
      <family val="2"/>
    </font>
    <font>
      <sz val="12"/>
      <name val="바탕체"/>
      <family val="3"/>
    </font>
    <font>
      <sz val="10"/>
      <color rgb="FF000000"/>
      <name val="宋体"/>
      <family val="3"/>
      <charset val="134"/>
    </font>
    <font>
      <i/>
      <sz val="10"/>
      <color indexed="12"/>
      <name val="宋体"/>
      <family val="3"/>
      <charset val="134"/>
    </font>
    <font>
      <sz val="12"/>
      <color indexed="12"/>
      <name val="仿宋_GB2312"/>
      <charset val="134"/>
    </font>
    <font>
      <sz val="10"/>
      <color indexed="10"/>
      <name val="宋体"/>
      <family val="3"/>
      <charset val="134"/>
    </font>
    <font>
      <sz val="10"/>
      <color indexed="10"/>
      <name val="Arial Narrow"/>
      <family val="2"/>
    </font>
    <font>
      <b/>
      <sz val="10"/>
      <color rgb="FFFF0000"/>
      <name val="宋体"/>
      <family val="3"/>
      <charset val="134"/>
    </font>
    <font>
      <sz val="11"/>
      <color theme="1"/>
      <name val="宋体"/>
      <family val="3"/>
      <charset val="134"/>
      <scheme val="minor"/>
    </font>
    <font>
      <sz val="9"/>
      <name val="宋体"/>
      <family val="3"/>
      <charset val="134"/>
      <scheme val="minor"/>
    </font>
    <font>
      <sz val="9"/>
      <name val="宋体"/>
      <family val="3"/>
      <charset val="134"/>
    </font>
    <font>
      <sz val="10"/>
      <color rgb="FFFF0000"/>
      <name val="Arial Narrow"/>
      <family val="2"/>
    </font>
    <font>
      <sz val="9"/>
      <name val="宋体"/>
      <family val="2"/>
      <charset val="134"/>
      <scheme val="minor"/>
    </font>
    <font>
      <sz val="10"/>
      <color theme="10"/>
      <name val="Arial Narrow"/>
      <family val="2"/>
    </font>
    <font>
      <b/>
      <sz val="14"/>
      <name val="宋体"/>
      <family val="3"/>
      <charset val="134"/>
    </font>
    <font>
      <b/>
      <sz val="12"/>
      <name val="Arial Narrow"/>
      <family val="2"/>
    </font>
    <font>
      <sz val="10"/>
      <color theme="1"/>
      <name val="宋体"/>
      <family val="3"/>
      <charset val="134"/>
      <scheme val="minor"/>
    </font>
    <font>
      <b/>
      <sz val="9"/>
      <color indexed="81"/>
      <name val="宋体"/>
      <family val="3"/>
      <charset val="134"/>
    </font>
    <font>
      <sz val="9"/>
      <color indexed="81"/>
      <name val="宋体"/>
      <family val="3"/>
      <charset val="134"/>
    </font>
    <font>
      <b/>
      <sz val="10"/>
      <color rgb="FF0000FF"/>
      <name val="宋体"/>
      <family val="3"/>
      <charset val="134"/>
    </font>
  </fonts>
  <fills count="34">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2"/>
        <bgColor indexed="64"/>
      </patternFill>
    </fill>
  </fills>
  <borders count="25">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auto="1"/>
      </bottom>
      <diagonal/>
    </border>
  </borders>
  <cellStyleXfs count="378">
    <xf numFmtId="0" fontId="0" fillId="0" borderId="0">
      <alignment vertical="center"/>
    </xf>
    <xf numFmtId="41" fontId="39" fillId="0" borderId="0" applyFont="0" applyFill="0" applyBorder="0" applyAlignment="0" applyProtection="0"/>
    <xf numFmtId="0" fontId="57" fillId="0" borderId="0">
      <alignment vertical="top"/>
      <protection locked="0"/>
    </xf>
    <xf numFmtId="14" fontId="40" fillId="5" borderId="10">
      <alignment horizontal="center" vertical="center" wrapText="1"/>
    </xf>
    <xf numFmtId="0" fontId="5" fillId="0" borderId="0">
      <protection locked="0"/>
    </xf>
    <xf numFmtId="0" fontId="58" fillId="0" borderId="0"/>
    <xf numFmtId="0" fontId="59" fillId="0" borderId="0">
      <alignment horizontal="center" wrapText="1"/>
      <protection locked="0"/>
    </xf>
    <xf numFmtId="0" fontId="60" fillId="0" borderId="0" applyFont="0" applyFill="0" applyBorder="0" applyAlignment="0" applyProtection="0"/>
    <xf numFmtId="0" fontId="39" fillId="0" borderId="0"/>
    <xf numFmtId="193" fontId="39" fillId="0" borderId="0" applyFill="0" applyBorder="0" applyAlignment="0"/>
    <xf numFmtId="0" fontId="61" fillId="0" borderId="0">
      <alignment vertical="center"/>
    </xf>
    <xf numFmtId="197" fontId="39" fillId="0" borderId="0" applyFont="0" applyFill="0" applyBorder="0" applyAlignment="0" applyProtection="0"/>
    <xf numFmtId="0" fontId="57" fillId="0" borderId="0">
      <alignment vertical="top"/>
    </xf>
    <xf numFmtId="0" fontId="19" fillId="0" borderId="0" applyNumberFormat="0" applyFill="0" applyBorder="0" applyAlignment="0" applyProtection="0">
      <alignment vertical="top"/>
      <protection locked="0"/>
    </xf>
    <xf numFmtId="0" fontId="62" fillId="6" borderId="0" applyNumberFormat="0" applyBorder="0" applyAlignment="0" applyProtection="0">
      <alignment vertical="center"/>
    </xf>
    <xf numFmtId="180" fontId="39" fillId="0" borderId="0" applyFont="0" applyFill="0" applyBorder="0" applyAlignment="0" applyProtection="0"/>
    <xf numFmtId="0" fontId="39" fillId="0" borderId="0"/>
    <xf numFmtId="0" fontId="63" fillId="0" borderId="0">
      <alignment horizontal="left"/>
    </xf>
    <xf numFmtId="199" fontId="39" fillId="0" borderId="0" applyFill="0" applyBorder="0" applyAlignment="0"/>
    <xf numFmtId="0" fontId="64" fillId="0" borderId="0" applyNumberFormat="0" applyAlignment="0">
      <alignment horizontal="left"/>
    </xf>
    <xf numFmtId="0" fontId="133" fillId="0" borderId="0">
      <alignment vertical="center"/>
    </xf>
    <xf numFmtId="0" fontId="61" fillId="0" borderId="0">
      <alignment vertical="center"/>
    </xf>
    <xf numFmtId="189" fontId="39" fillId="0" borderId="0" applyFill="0" applyBorder="0" applyAlignment="0"/>
    <xf numFmtId="0" fontId="57" fillId="0" borderId="0">
      <alignment vertical="top"/>
    </xf>
    <xf numFmtId="0" fontId="65" fillId="0" borderId="0"/>
    <xf numFmtId="200" fontId="66" fillId="0" borderId="0" applyFont="0" applyFill="0" applyBorder="0" applyAlignment="0" applyProtection="0"/>
    <xf numFmtId="41" fontId="39" fillId="0" borderId="0" applyFont="0" applyFill="0" applyBorder="0" applyAlignment="0" applyProtection="0"/>
    <xf numFmtId="49" fontId="67" fillId="0" borderId="0" applyProtection="0">
      <alignment horizontal="left"/>
    </xf>
    <xf numFmtId="200" fontId="39" fillId="0" borderId="0" applyFont="0" applyFill="0" applyBorder="0" applyAlignment="0" applyProtection="0"/>
    <xf numFmtId="0" fontId="68" fillId="0" borderId="0"/>
    <xf numFmtId="0" fontId="57" fillId="0" borderId="0">
      <alignment vertical="top"/>
      <protection locked="0"/>
    </xf>
    <xf numFmtId="0" fontId="57" fillId="0" borderId="0">
      <alignment vertical="top"/>
    </xf>
    <xf numFmtId="49" fontId="67" fillId="0" borderId="0" applyProtection="0">
      <alignment horizontal="left"/>
    </xf>
    <xf numFmtId="182" fontId="69" fillId="7" borderId="11" applyNumberFormat="0" applyAlignment="0" applyProtection="0"/>
    <xf numFmtId="0" fontId="61" fillId="0" borderId="0">
      <alignment vertical="center"/>
    </xf>
    <xf numFmtId="199" fontId="39" fillId="0" borderId="0" applyFill="0" applyBorder="0" applyAlignment="0"/>
    <xf numFmtId="189" fontId="39" fillId="0" borderId="0" applyFill="0" applyBorder="0" applyAlignment="0"/>
    <xf numFmtId="182" fontId="70" fillId="0" borderId="12" applyNumberFormat="0" applyFill="0" applyAlignment="0" applyProtection="0"/>
    <xf numFmtId="0" fontId="61" fillId="0" borderId="0">
      <alignment vertical="center"/>
    </xf>
    <xf numFmtId="0" fontId="39" fillId="0" borderId="0" applyNumberFormat="0" applyFill="0" applyBorder="0" applyAlignment="0">
      <protection locked="0"/>
    </xf>
    <xf numFmtId="189" fontId="39" fillId="0" borderId="0" applyFill="0" applyBorder="0" applyAlignment="0"/>
    <xf numFmtId="190" fontId="66" fillId="0" borderId="0" applyFont="0" applyFill="0" applyBorder="0" applyAlignment="0" applyProtection="0"/>
    <xf numFmtId="0" fontId="71" fillId="0" borderId="0" applyNumberFormat="0" applyFill="0" applyBorder="0" applyAlignment="0" applyProtection="0"/>
    <xf numFmtId="0" fontId="39" fillId="0" borderId="0"/>
    <xf numFmtId="41" fontId="5" fillId="0" borderId="0" applyFont="0" applyFill="0" applyBorder="0" applyAlignment="0" applyProtection="0"/>
    <xf numFmtId="0" fontId="65" fillId="0" borderId="0"/>
    <xf numFmtId="0" fontId="57" fillId="0" borderId="0">
      <alignment vertical="top"/>
      <protection locked="0"/>
    </xf>
    <xf numFmtId="0" fontId="72" fillId="0" borderId="0"/>
    <xf numFmtId="0" fontId="73" fillId="0" borderId="0" applyNumberFormat="0" applyFont="0" applyFill="0" applyBorder="0" applyAlignment="0" applyProtection="0">
      <alignment horizontal="left"/>
    </xf>
    <xf numFmtId="0" fontId="57" fillId="0" borderId="0">
      <alignment vertical="top"/>
    </xf>
    <xf numFmtId="182" fontId="74" fillId="8" borderId="0" applyNumberFormat="0" applyBorder="0" applyAlignment="0" applyProtection="0"/>
    <xf numFmtId="0" fontId="5" fillId="0" borderId="0" applyNumberFormat="0" applyFill="0" applyBorder="0" applyAlignment="0" applyProtection="0"/>
    <xf numFmtId="0" fontId="75" fillId="9" borderId="0" applyNumberFormat="0" applyBorder="0" applyAlignment="0" applyProtection="0">
      <alignment vertical="center"/>
    </xf>
    <xf numFmtId="0" fontId="57" fillId="0" borderId="0">
      <alignment vertical="top"/>
      <protection locked="0"/>
    </xf>
    <xf numFmtId="43" fontId="65" fillId="0" borderId="0" applyFont="0" applyFill="0" applyBorder="0" applyAlignment="0" applyProtection="0"/>
    <xf numFmtId="180" fontId="65" fillId="0" borderId="0" applyFont="0" applyFill="0" applyBorder="0" applyAlignment="0" applyProtection="0"/>
    <xf numFmtId="0" fontId="39" fillId="0" borderId="0"/>
    <xf numFmtId="0" fontId="57" fillId="0" borderId="0">
      <alignment vertical="top"/>
    </xf>
    <xf numFmtId="0" fontId="39" fillId="0" borderId="0"/>
    <xf numFmtId="0" fontId="39" fillId="0" borderId="0"/>
    <xf numFmtId="40" fontId="60"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0" fontId="57" fillId="0" borderId="0">
      <alignment vertical="top"/>
      <protection locked="0"/>
    </xf>
    <xf numFmtId="0" fontId="57" fillId="0" borderId="0">
      <alignment vertical="top"/>
      <protection locked="0"/>
    </xf>
    <xf numFmtId="0" fontId="57" fillId="0" borderId="0">
      <alignment vertical="top"/>
      <protection locked="0"/>
    </xf>
    <xf numFmtId="0" fontId="57" fillId="0" borderId="0">
      <alignment vertical="top"/>
      <protection locked="0"/>
    </xf>
    <xf numFmtId="184" fontId="39" fillId="0" borderId="0" applyFill="0" applyBorder="0" applyAlignment="0"/>
    <xf numFmtId="0" fontId="57" fillId="0" borderId="0">
      <alignment vertical="top"/>
      <protection locked="0"/>
    </xf>
    <xf numFmtId="186" fontId="5" fillId="0" borderId="0" applyFont="0" applyFill="0" applyBorder="0" applyAlignment="0" applyProtection="0"/>
    <xf numFmtId="199" fontId="39" fillId="0" borderId="0" applyFill="0" applyBorder="0" applyAlignment="0"/>
    <xf numFmtId="0" fontId="57" fillId="0" borderId="0">
      <alignment vertical="top"/>
      <protection locked="0"/>
    </xf>
    <xf numFmtId="0" fontId="57" fillId="0" borderId="0">
      <alignment vertical="top"/>
      <protection locked="0"/>
    </xf>
    <xf numFmtId="0" fontId="57" fillId="0" borderId="0">
      <alignment vertical="top"/>
      <protection locked="0"/>
    </xf>
    <xf numFmtId="184" fontId="39" fillId="0" borderId="0" applyFont="0" applyFill="0" applyBorder="0" applyAlignment="0" applyProtection="0"/>
    <xf numFmtId="0" fontId="57" fillId="0" borderId="0">
      <alignment vertical="top"/>
      <protection locked="0"/>
    </xf>
    <xf numFmtId="182" fontId="77" fillId="0" borderId="13" applyNumberFormat="0" applyFill="0" applyAlignment="0" applyProtection="0"/>
    <xf numFmtId="0" fontId="39" fillId="0" borderId="0" applyNumberFormat="0" applyFill="0" applyBorder="0" applyAlignment="0">
      <protection locked="0"/>
    </xf>
    <xf numFmtId="0" fontId="57" fillId="0" borderId="0">
      <alignment vertical="top"/>
    </xf>
    <xf numFmtId="0" fontId="57" fillId="0" borderId="0">
      <alignment vertical="top"/>
    </xf>
    <xf numFmtId="0" fontId="39" fillId="0" borderId="0" applyNumberFormat="0" applyFill="0" applyBorder="0" applyAlignment="0" applyProtection="0"/>
    <xf numFmtId="49" fontId="57" fillId="0" borderId="0" applyFill="0" applyBorder="0" applyAlignment="0"/>
    <xf numFmtId="0" fontId="57" fillId="0" borderId="0">
      <alignment vertical="top"/>
      <protection locked="0"/>
    </xf>
    <xf numFmtId="209" fontId="39" fillId="0" borderId="0" applyFill="0" applyBorder="0" applyAlignment="0"/>
    <xf numFmtId="0" fontId="57" fillId="0" borderId="0">
      <alignment vertical="top"/>
      <protection locked="0"/>
    </xf>
    <xf numFmtId="0" fontId="5" fillId="0" borderId="0">
      <alignment vertical="center"/>
    </xf>
    <xf numFmtId="0" fontId="78" fillId="10" borderId="0">
      <alignment horizontal="left" vertical="center"/>
    </xf>
    <xf numFmtId="182" fontId="74" fillId="11" borderId="0" applyNumberFormat="0" applyBorder="0" applyAlignment="0" applyProtection="0"/>
    <xf numFmtId="0" fontId="57" fillId="0" borderId="0">
      <alignment vertical="top"/>
      <protection locked="0"/>
    </xf>
    <xf numFmtId="0" fontId="57" fillId="0" borderId="0">
      <alignment vertical="top"/>
    </xf>
    <xf numFmtId="0" fontId="57" fillId="0" borderId="0">
      <alignment vertical="top"/>
      <protection locked="0"/>
    </xf>
    <xf numFmtId="0" fontId="57" fillId="0" borderId="0">
      <alignment vertical="top"/>
    </xf>
    <xf numFmtId="0" fontId="65" fillId="0" borderId="0"/>
    <xf numFmtId="0" fontId="57" fillId="0" borderId="0">
      <alignment vertical="top"/>
    </xf>
    <xf numFmtId="0" fontId="57" fillId="0" borderId="0">
      <alignment vertical="top"/>
      <protection locked="0"/>
    </xf>
    <xf numFmtId="9" fontId="65" fillId="0" borderId="0" applyFont="0" applyFill="0" applyBorder="0" applyAlignment="0" applyProtection="0"/>
    <xf numFmtId="0" fontId="57" fillId="0" borderId="0">
      <alignment vertical="top"/>
    </xf>
    <xf numFmtId="9" fontId="5" fillId="0" borderId="0" applyFont="0" applyFill="0" applyBorder="0" applyAlignment="0" applyProtection="0"/>
    <xf numFmtId="184" fontId="39" fillId="0" borderId="0" applyFill="0" applyBorder="0" applyAlignment="0"/>
    <xf numFmtId="0" fontId="57" fillId="0" borderId="0">
      <alignment vertical="top"/>
    </xf>
    <xf numFmtId="182" fontId="5" fillId="0" borderId="0">
      <alignment vertical="center"/>
      <protection locked="0"/>
    </xf>
    <xf numFmtId="211" fontId="39" fillId="0" borderId="0" applyFont="0" applyFill="0" applyBorder="0" applyAlignment="0" applyProtection="0"/>
    <xf numFmtId="0" fontId="57" fillId="0" borderId="0">
      <alignment vertical="top"/>
      <protection locked="0"/>
    </xf>
    <xf numFmtId="0" fontId="57" fillId="0" borderId="0">
      <alignment vertical="top"/>
      <protection locked="0"/>
    </xf>
    <xf numFmtId="214" fontId="39" fillId="0" borderId="0" applyFont="0" applyFill="0" applyBorder="0" applyAlignment="0" applyProtection="0"/>
    <xf numFmtId="4" fontId="79" fillId="0" borderId="0">
      <alignment horizontal="right"/>
    </xf>
    <xf numFmtId="38" fontId="73" fillId="0" borderId="0" applyFont="0" applyFill="0" applyBorder="0" applyAlignment="0" applyProtection="0"/>
    <xf numFmtId="0" fontId="57" fillId="0" borderId="0">
      <alignment vertical="top"/>
      <protection locked="0"/>
    </xf>
    <xf numFmtId="0" fontId="57" fillId="0" borderId="0">
      <alignment vertical="top"/>
    </xf>
    <xf numFmtId="0" fontId="57" fillId="0" borderId="0">
      <alignment vertical="top"/>
    </xf>
    <xf numFmtId="0" fontId="61" fillId="0" borderId="0">
      <alignment vertical="center"/>
    </xf>
    <xf numFmtId="184" fontId="39" fillId="0" borderId="0" applyFill="0" applyBorder="0" applyAlignment="0"/>
    <xf numFmtId="0" fontId="57" fillId="0" borderId="0">
      <alignment vertical="top"/>
      <protection locked="0"/>
    </xf>
    <xf numFmtId="0" fontId="57" fillId="0" borderId="0">
      <alignment vertical="top"/>
    </xf>
    <xf numFmtId="0" fontId="57" fillId="0" borderId="0">
      <alignment vertical="top"/>
    </xf>
    <xf numFmtId="0" fontId="80" fillId="0" borderId="0"/>
    <xf numFmtId="0" fontId="57" fillId="0" borderId="0">
      <alignment vertical="top"/>
    </xf>
    <xf numFmtId="0" fontId="57" fillId="0" borderId="0">
      <alignment vertical="top"/>
      <protection locked="0"/>
    </xf>
    <xf numFmtId="0" fontId="81" fillId="0" borderId="0"/>
    <xf numFmtId="0" fontId="57" fillId="0" borderId="0">
      <alignment vertical="top"/>
    </xf>
    <xf numFmtId="0" fontId="57" fillId="0" borderId="0">
      <alignment vertical="top"/>
    </xf>
    <xf numFmtId="0" fontId="57" fillId="0" borderId="0">
      <alignment vertical="top"/>
      <protection locked="0"/>
    </xf>
    <xf numFmtId="0" fontId="57" fillId="0" borderId="0">
      <alignment vertical="top"/>
      <protection locked="0"/>
    </xf>
    <xf numFmtId="217" fontId="39" fillId="0" borderId="9" applyNumberFormat="0"/>
    <xf numFmtId="0" fontId="57" fillId="0" borderId="0">
      <alignment vertical="top"/>
      <protection locked="0"/>
    </xf>
    <xf numFmtId="0" fontId="57" fillId="0" borderId="0">
      <alignment vertical="top"/>
    </xf>
    <xf numFmtId="0" fontId="57" fillId="0" borderId="0">
      <alignment vertical="top"/>
    </xf>
    <xf numFmtId="0" fontId="57" fillId="0" borderId="0">
      <alignment vertical="top"/>
    </xf>
    <xf numFmtId="0" fontId="57" fillId="0" borderId="0">
      <alignment vertical="top"/>
    </xf>
    <xf numFmtId="217" fontId="65" fillId="0" borderId="0" applyFont="0" applyFill="0" applyBorder="0" applyAlignment="0" applyProtection="0"/>
    <xf numFmtId="0" fontId="57" fillId="0" borderId="0">
      <alignment vertical="top"/>
      <protection locked="0"/>
    </xf>
    <xf numFmtId="182" fontId="82" fillId="0" borderId="0" applyNumberFormat="0" applyFill="0" applyBorder="0" applyAlignment="0" applyProtection="0"/>
    <xf numFmtId="0" fontId="57" fillId="0" borderId="0">
      <alignment vertical="top"/>
    </xf>
    <xf numFmtId="0" fontId="57" fillId="0" borderId="0">
      <alignment vertical="top"/>
      <protection locked="0"/>
    </xf>
    <xf numFmtId="0" fontId="61" fillId="0" borderId="0">
      <alignment vertical="center"/>
    </xf>
    <xf numFmtId="0" fontId="57" fillId="0" borderId="0">
      <alignment vertical="top"/>
      <protection locked="0"/>
    </xf>
    <xf numFmtId="0" fontId="57" fillId="0" borderId="0">
      <alignment vertical="top"/>
      <protection locked="0"/>
    </xf>
    <xf numFmtId="0" fontId="57" fillId="0" borderId="0">
      <alignment vertical="top"/>
    </xf>
    <xf numFmtId="0" fontId="83" fillId="12" borderId="0" applyNumberFormat="0" applyBorder="0" applyAlignment="0" applyProtection="0">
      <alignment vertical="center"/>
    </xf>
    <xf numFmtId="177" fontId="66" fillId="0" borderId="0" applyFont="0" applyFill="0" applyBorder="0" applyAlignment="0" applyProtection="0"/>
    <xf numFmtId="0" fontId="57" fillId="0" borderId="0">
      <alignment vertical="top"/>
      <protection locked="0"/>
    </xf>
    <xf numFmtId="189" fontId="39" fillId="0" borderId="0" applyFill="0" applyBorder="0" applyAlignment="0"/>
    <xf numFmtId="0" fontId="57" fillId="0" borderId="0">
      <alignment vertical="top"/>
      <protection locked="0"/>
    </xf>
    <xf numFmtId="214" fontId="39" fillId="0" borderId="0" applyFont="0" applyFill="0" applyBorder="0" applyAlignment="0" applyProtection="0"/>
    <xf numFmtId="0" fontId="57" fillId="0" borderId="0">
      <alignment vertical="top"/>
    </xf>
    <xf numFmtId="184" fontId="39" fillId="0" borderId="0" applyFill="0" applyBorder="0" applyAlignment="0"/>
    <xf numFmtId="0" fontId="57" fillId="0" borderId="0">
      <alignment vertical="top"/>
      <protection locked="0"/>
    </xf>
    <xf numFmtId="0" fontId="57" fillId="0" borderId="0">
      <alignment vertical="top"/>
      <protection locked="0"/>
    </xf>
    <xf numFmtId="207" fontId="67" fillId="0" borderId="0" applyFill="0" applyBorder="0" applyProtection="0">
      <alignment horizontal="right"/>
    </xf>
    <xf numFmtId="221" fontId="67" fillId="0" borderId="0" applyFill="0" applyBorder="0" applyProtection="0">
      <alignment horizontal="right"/>
    </xf>
    <xf numFmtId="0" fontId="84" fillId="5" borderId="0" applyNumberFormat="0" applyBorder="0" applyAlignment="0" applyProtection="0">
      <alignment vertical="center"/>
    </xf>
    <xf numFmtId="187" fontId="85" fillId="0" borderId="0" applyFill="0" applyBorder="0" applyProtection="0">
      <alignment horizontal="center"/>
    </xf>
    <xf numFmtId="182" fontId="5" fillId="0" borderId="0">
      <alignment vertical="center"/>
      <protection locked="0"/>
    </xf>
    <xf numFmtId="14" fontId="59" fillId="0" borderId="0">
      <alignment horizontal="center" wrapText="1"/>
      <protection locked="0"/>
    </xf>
    <xf numFmtId="0" fontId="86" fillId="0" borderId="0" applyNumberFormat="0" applyFill="0" applyBorder="0" applyAlignment="0" applyProtection="0">
      <alignment vertical="top"/>
      <protection locked="0"/>
    </xf>
    <xf numFmtId="182" fontId="74" fillId="13" borderId="0" applyNumberFormat="0" applyBorder="0" applyAlignment="0" applyProtection="0"/>
    <xf numFmtId="191" fontId="67" fillId="0" borderId="0" applyFill="0" applyBorder="0" applyProtection="0">
      <alignment horizontal="right"/>
    </xf>
    <xf numFmtId="195" fontId="85" fillId="0" borderId="0" applyFill="0" applyBorder="0" applyProtection="0">
      <alignment horizontal="center"/>
    </xf>
    <xf numFmtId="183" fontId="87" fillId="0" borderId="0" applyFill="0" applyBorder="0" applyProtection="0">
      <alignment horizontal="right"/>
    </xf>
    <xf numFmtId="213" fontId="67" fillId="0" borderId="0" applyFill="0" applyBorder="0" applyProtection="0">
      <alignment horizontal="right"/>
    </xf>
    <xf numFmtId="208" fontId="67" fillId="0" borderId="0" applyFill="0" applyBorder="0" applyProtection="0">
      <alignment horizontal="right"/>
    </xf>
    <xf numFmtId="218" fontId="67" fillId="0" borderId="0" applyFill="0" applyBorder="0" applyProtection="0">
      <alignment horizontal="right"/>
    </xf>
    <xf numFmtId="38" fontId="88" fillId="14" borderId="0" applyNumberFormat="0" applyBorder="0" applyAlignment="0" applyProtection="0"/>
    <xf numFmtId="0" fontId="89" fillId="0" borderId="14">
      <alignment horizontal="center"/>
    </xf>
    <xf numFmtId="0" fontId="57" fillId="0" borderId="0">
      <alignment vertical="top"/>
      <protection locked="0"/>
    </xf>
    <xf numFmtId="10" fontId="66" fillId="0" borderId="0" applyFont="0" applyFill="0" applyBorder="0" applyAlignment="0" applyProtection="0"/>
    <xf numFmtId="0" fontId="61" fillId="0" borderId="0">
      <alignment vertical="center"/>
    </xf>
    <xf numFmtId="182" fontId="74" fillId="15" borderId="0" applyNumberFormat="0" applyBorder="0" applyAlignment="0" applyProtection="0"/>
    <xf numFmtId="219" fontId="5" fillId="0" borderId="0" applyFont="0" applyFill="0" applyBorder="0" applyAlignment="0" applyProtection="0"/>
    <xf numFmtId="182" fontId="90" fillId="16" borderId="0" applyNumberFormat="0" applyBorder="0" applyAlignment="0" applyProtection="0"/>
    <xf numFmtId="0" fontId="84" fillId="17" borderId="0" applyNumberFormat="0" applyBorder="0" applyAlignment="0" applyProtection="0">
      <alignment vertical="center"/>
    </xf>
    <xf numFmtId="182" fontId="90" fillId="9" borderId="0" applyNumberFormat="0" applyBorder="0" applyAlignment="0" applyProtection="0"/>
    <xf numFmtId="182" fontId="90" fillId="17" borderId="0" applyNumberFormat="0" applyBorder="0" applyAlignment="0" applyProtection="0"/>
    <xf numFmtId="182" fontId="90" fillId="12" borderId="0" applyNumberFormat="0" applyBorder="0" applyAlignment="0" applyProtection="0"/>
    <xf numFmtId="182" fontId="90" fillId="5" borderId="0" applyNumberFormat="0" applyBorder="0" applyAlignment="0" applyProtection="0"/>
    <xf numFmtId="182" fontId="90" fillId="7" borderId="0" applyNumberFormat="0" applyBorder="0" applyAlignment="0" applyProtection="0"/>
    <xf numFmtId="182" fontId="90" fillId="18" borderId="0" applyNumberFormat="0" applyBorder="0" applyAlignment="0" applyProtection="0"/>
    <xf numFmtId="182" fontId="90" fillId="19" borderId="0" applyNumberFormat="0" applyBorder="0" applyAlignment="0" applyProtection="0"/>
    <xf numFmtId="182" fontId="90" fillId="20" borderId="0" applyNumberFormat="0" applyBorder="0" applyAlignment="0" applyProtection="0"/>
    <xf numFmtId="222" fontId="5" fillId="0" borderId="0"/>
    <xf numFmtId="182" fontId="90" fillId="12" borderId="0" applyNumberFormat="0" applyBorder="0" applyAlignment="0" applyProtection="0"/>
    <xf numFmtId="3" fontId="91" fillId="0" borderId="0"/>
    <xf numFmtId="182" fontId="90" fillId="18" borderId="0" applyNumberFormat="0" applyBorder="0" applyAlignment="0" applyProtection="0"/>
    <xf numFmtId="182" fontId="90" fillId="21" borderId="0" applyNumberFormat="0" applyBorder="0" applyAlignment="0" applyProtection="0"/>
    <xf numFmtId="0" fontId="61" fillId="0" borderId="0">
      <alignment vertical="center"/>
    </xf>
    <xf numFmtId="182" fontId="74" fillId="19" borderId="0" applyNumberFormat="0" applyBorder="0" applyAlignment="0" applyProtection="0"/>
    <xf numFmtId="0" fontId="61" fillId="0" borderId="0">
      <alignment vertical="center"/>
    </xf>
    <xf numFmtId="182" fontId="74" fillId="20" borderId="0" applyNumberFormat="0" applyBorder="0" applyAlignment="0" applyProtection="0"/>
    <xf numFmtId="0" fontId="5" fillId="0" borderId="0">
      <alignment vertical="center"/>
    </xf>
    <xf numFmtId="0" fontId="78" fillId="10" borderId="0">
      <alignment horizontal="right" vertical="center"/>
    </xf>
    <xf numFmtId="182" fontId="74" fillId="22" borderId="0" applyNumberFormat="0" applyBorder="0" applyAlignment="0" applyProtection="0"/>
    <xf numFmtId="0" fontId="61" fillId="0" borderId="0">
      <alignment vertical="center"/>
    </xf>
    <xf numFmtId="182" fontId="74" fillId="23" borderId="0" applyNumberFormat="0" applyBorder="0" applyAlignment="0" applyProtection="0"/>
    <xf numFmtId="0" fontId="61" fillId="0" borderId="0">
      <alignment vertical="center"/>
    </xf>
    <xf numFmtId="182" fontId="74" fillId="24" borderId="0" applyNumberFormat="0" applyBorder="0" applyAlignment="0" applyProtection="0"/>
    <xf numFmtId="177" fontId="71" fillId="0" borderId="15" applyAlignment="0" applyProtection="0"/>
    <xf numFmtId="182" fontId="74" fillId="13" borderId="0" applyNumberFormat="0" applyBorder="0" applyAlignment="0" applyProtection="0"/>
    <xf numFmtId="182" fontId="74" fillId="11" borderId="0" applyNumberFormat="0" applyBorder="0" applyAlignment="0" applyProtection="0"/>
    <xf numFmtId="182" fontId="74" fillId="25" borderId="0" applyNumberFormat="0" applyBorder="0" applyAlignment="0" applyProtection="0"/>
    <xf numFmtId="0" fontId="5" fillId="0" borderId="0">
      <protection locked="0"/>
    </xf>
    <xf numFmtId="182" fontId="92" fillId="9" borderId="0" applyNumberFormat="0" applyBorder="0" applyAlignment="0" applyProtection="0"/>
    <xf numFmtId="203" fontId="57" fillId="0" borderId="0" applyFill="0" applyBorder="0" applyAlignment="0"/>
    <xf numFmtId="0" fontId="61" fillId="0" borderId="0">
      <alignment vertical="center"/>
    </xf>
    <xf numFmtId="184" fontId="39" fillId="0" borderId="0" applyFill="0" applyBorder="0" applyAlignment="0"/>
    <xf numFmtId="196" fontId="39" fillId="0" borderId="0" applyFill="0" applyBorder="0" applyAlignment="0"/>
    <xf numFmtId="0" fontId="5" fillId="0" borderId="0">
      <protection locked="0"/>
    </xf>
    <xf numFmtId="202" fontId="39" fillId="0" borderId="0" applyFill="0" applyBorder="0" applyAlignment="0"/>
    <xf numFmtId="184" fontId="39" fillId="0" borderId="0" applyFill="0" applyBorder="0" applyAlignment="0"/>
    <xf numFmtId="182" fontId="93" fillId="14" borderId="11" applyNumberFormat="0" applyAlignment="0" applyProtection="0"/>
    <xf numFmtId="188" fontId="39" fillId="0" borderId="0"/>
    <xf numFmtId="0" fontId="94" fillId="0" borderId="0"/>
    <xf numFmtId="182" fontId="95" fillId="26" borderId="16" applyNumberFormat="0" applyAlignment="0" applyProtection="0"/>
    <xf numFmtId="0" fontId="96" fillId="0" borderId="17" applyNumberFormat="0" applyFill="0" applyProtection="0">
      <alignment horizontal="center"/>
    </xf>
    <xf numFmtId="188" fontId="39" fillId="0" borderId="0"/>
    <xf numFmtId="178" fontId="5" fillId="0" borderId="0" applyFont="0" applyFill="0" applyBorder="0" applyAlignment="0" applyProtection="0"/>
    <xf numFmtId="188" fontId="39" fillId="0" borderId="0"/>
    <xf numFmtId="188" fontId="39" fillId="0" borderId="0"/>
    <xf numFmtId="188" fontId="39" fillId="0" borderId="0"/>
    <xf numFmtId="188" fontId="39" fillId="0" borderId="0"/>
    <xf numFmtId="188" fontId="39" fillId="0" borderId="0"/>
    <xf numFmtId="198" fontId="39" fillId="0" borderId="0" applyFont="0" applyFill="0" applyBorder="0" applyAlignment="0" applyProtection="0"/>
    <xf numFmtId="188" fontId="39" fillId="0" borderId="0"/>
    <xf numFmtId="0" fontId="57" fillId="0" borderId="0">
      <alignment vertical="top"/>
      <protection locked="0"/>
    </xf>
    <xf numFmtId="210" fontId="5" fillId="0" borderId="0" applyFont="0" applyFill="0" applyBorder="0" applyAlignment="0" applyProtection="0"/>
    <xf numFmtId="189" fontId="39" fillId="0" borderId="0" applyFont="0" applyFill="0" applyBorder="0" applyAlignment="0" applyProtection="0"/>
    <xf numFmtId="0" fontId="19" fillId="0" borderId="0" applyNumberFormat="0" applyFill="0" applyBorder="0" applyAlignment="0" applyProtection="0">
      <alignment vertical="top"/>
      <protection locked="0"/>
    </xf>
    <xf numFmtId="43" fontId="5" fillId="0" borderId="0" applyFont="0" applyFill="0" applyBorder="0" applyAlignment="0" applyProtection="0"/>
    <xf numFmtId="0" fontId="76" fillId="0" borderId="0" applyFont="0" applyFill="0" applyBorder="0" applyAlignment="0" applyProtection="0"/>
    <xf numFmtId="201" fontId="67" fillId="0" borderId="0"/>
    <xf numFmtId="37" fontId="66" fillId="0" borderId="0" applyFont="0" applyFill="0" applyBorder="0" applyAlignment="0" applyProtection="0"/>
    <xf numFmtId="189" fontId="39" fillId="0" borderId="0" applyFill="0" applyBorder="0" applyAlignment="0"/>
    <xf numFmtId="181" fontId="66" fillId="0" borderId="0" applyFont="0" applyFill="0" applyBorder="0" applyAlignment="0" applyProtection="0"/>
    <xf numFmtId="0" fontId="67" fillId="0" borderId="0"/>
    <xf numFmtId="39" fontId="66" fillId="0" borderId="0" applyFont="0" applyFill="0" applyBorder="0" applyAlignment="0" applyProtection="0"/>
    <xf numFmtId="40" fontId="73" fillId="0" borderId="0" applyFont="0" applyFill="0" applyBorder="0" applyAlignment="0" applyProtection="0"/>
    <xf numFmtId="0" fontId="97" fillId="0" borderId="0" applyNumberFormat="0" applyAlignment="0">
      <alignment horizontal="left"/>
    </xf>
    <xf numFmtId="0" fontId="81" fillId="0" borderId="0" applyNumberFormat="0" applyAlignment="0"/>
    <xf numFmtId="176" fontId="66" fillId="0" borderId="0" applyFont="0" applyFill="0" applyBorder="0" applyAlignment="0" applyProtection="0"/>
    <xf numFmtId="224" fontId="5" fillId="0" borderId="0" applyFont="0" applyFill="0" applyBorder="0" applyAlignment="0" applyProtection="0"/>
    <xf numFmtId="206" fontId="67" fillId="0" borderId="0"/>
    <xf numFmtId="15" fontId="73" fillId="0" borderId="0"/>
    <xf numFmtId="14" fontId="57" fillId="0" borderId="0" applyFill="0" applyBorder="0" applyAlignment="0"/>
    <xf numFmtId="41" fontId="39" fillId="0" borderId="0" applyFont="0" applyFill="0" applyBorder="0" applyAlignment="0" applyProtection="0"/>
    <xf numFmtId="43" fontId="39" fillId="0" borderId="0" applyFont="0" applyFill="0" applyBorder="0" applyAlignment="0" applyProtection="0"/>
    <xf numFmtId="215" fontId="67" fillId="0" borderId="0"/>
    <xf numFmtId="0" fontId="98" fillId="0" borderId="0" applyNumberFormat="0" applyFill="0" applyBorder="0" applyAlignment="0" applyProtection="0"/>
    <xf numFmtId="225" fontId="39" fillId="0" borderId="0" applyFont="0" applyFill="0" applyBorder="0" applyAlignment="0" applyProtection="0"/>
    <xf numFmtId="189" fontId="39" fillId="0" borderId="0" applyFill="0" applyBorder="0" applyAlignment="0"/>
    <xf numFmtId="199" fontId="39" fillId="0" borderId="0" applyFill="0" applyBorder="0" applyAlignment="0"/>
    <xf numFmtId="0" fontId="88" fillId="27" borderId="9"/>
    <xf numFmtId="0" fontId="61" fillId="0" borderId="0">
      <alignment vertical="center"/>
    </xf>
    <xf numFmtId="182" fontId="67" fillId="0" borderId="0" applyFont="0" applyFill="0" applyBorder="0" applyAlignment="0" applyProtection="0"/>
    <xf numFmtId="189" fontId="39" fillId="0" borderId="0" applyFill="0" applyBorder="0" applyAlignment="0"/>
    <xf numFmtId="0" fontId="99" fillId="0" borderId="0" applyNumberFormat="0" applyFill="0" applyBorder="0" applyAlignment="0" applyProtection="0">
      <alignment vertical="top"/>
      <protection locked="0"/>
    </xf>
    <xf numFmtId="0" fontId="61" fillId="0" borderId="0">
      <alignment vertical="center"/>
    </xf>
    <xf numFmtId="182" fontId="100" fillId="17" borderId="0" applyNumberFormat="0" applyBorder="0" applyAlignment="0" applyProtection="0"/>
    <xf numFmtId="43" fontId="67" fillId="0" borderId="0" applyFont="0" applyFill="0" applyBorder="0" applyAlignment="0" applyProtection="0"/>
    <xf numFmtId="0" fontId="101" fillId="0" borderId="0">
      <alignment horizontal="left"/>
    </xf>
    <xf numFmtId="0" fontId="55" fillId="0" borderId="8" applyNumberFormat="0" applyAlignment="0" applyProtection="0">
      <alignment horizontal="left" vertical="center"/>
    </xf>
    <xf numFmtId="0" fontId="55" fillId="0" borderId="18">
      <alignment horizontal="left" vertical="center"/>
    </xf>
    <xf numFmtId="182" fontId="102" fillId="0" borderId="19" applyNumberFormat="0" applyFill="0" applyAlignment="0" applyProtection="0"/>
    <xf numFmtId="0" fontId="5" fillId="0" borderId="0">
      <alignment vertical="center"/>
    </xf>
    <xf numFmtId="182" fontId="103" fillId="0" borderId="20" applyNumberFormat="0" applyFill="0" applyAlignment="0" applyProtection="0"/>
    <xf numFmtId="38" fontId="76" fillId="0" borderId="0" applyFont="0" applyFill="0" applyBorder="0" applyAlignment="0" applyProtection="0"/>
    <xf numFmtId="182" fontId="70" fillId="0" borderId="0" applyNumberFormat="0" applyFill="0" applyBorder="0" applyAlignment="0" applyProtection="0"/>
    <xf numFmtId="43" fontId="5" fillId="0" borderId="0" applyFont="0" applyFill="0" applyBorder="0" applyAlignment="0" applyProtection="0"/>
    <xf numFmtId="10" fontId="88" fillId="28" borderId="9" applyNumberFormat="0" applyBorder="0" applyAlignment="0" applyProtection="0"/>
    <xf numFmtId="194" fontId="5" fillId="29" borderId="0"/>
    <xf numFmtId="0" fontId="67" fillId="0" borderId="0" applyNumberFormat="0" applyFont="0" applyFill="0" applyBorder="0" applyProtection="0">
      <alignment horizontal="left" vertical="center"/>
    </xf>
    <xf numFmtId="182" fontId="104" fillId="0" borderId="21" applyNumberFormat="0" applyFill="0" applyAlignment="0" applyProtection="0"/>
    <xf numFmtId="184" fontId="39" fillId="0" borderId="0" applyFill="0" applyBorder="0" applyAlignment="0"/>
    <xf numFmtId="194" fontId="5" fillId="30" borderId="0"/>
    <xf numFmtId="0" fontId="5" fillId="0" borderId="0">
      <alignment vertical="center"/>
      <protection locked="0"/>
    </xf>
    <xf numFmtId="41" fontId="39" fillId="0" borderId="0" applyFont="0" applyFill="0" applyBorder="0" applyAlignment="0" applyProtection="0"/>
    <xf numFmtId="182" fontId="105" fillId="0" borderId="0" applyNumberFormat="0" applyFill="0" applyBorder="0" applyAlignment="0" applyProtection="0"/>
    <xf numFmtId="0" fontId="106" fillId="0" borderId="0" applyNumberFormat="0" applyFill="0">
      <alignment horizontal="left" vertical="center"/>
    </xf>
    <xf numFmtId="43" fontId="39" fillId="0" borderId="0" applyFont="0" applyFill="0" applyBorder="0" applyAlignment="0" applyProtection="0"/>
    <xf numFmtId="192" fontId="5" fillId="0" borderId="0" applyFont="0" applyFill="0" applyBorder="0" applyAlignment="0" applyProtection="0"/>
    <xf numFmtId="0" fontId="107" fillId="0" borderId="10"/>
    <xf numFmtId="0" fontId="5" fillId="0" borderId="0">
      <protection locked="0"/>
    </xf>
    <xf numFmtId="185" fontId="5" fillId="0" borderId="0" applyFont="0" applyFill="0" applyBorder="0" applyAlignment="0" applyProtection="0"/>
    <xf numFmtId="190" fontId="5" fillId="0" borderId="0" applyFont="0" applyFill="0" applyBorder="0" applyAlignment="0" applyProtection="0"/>
    <xf numFmtId="182" fontId="108" fillId="31" borderId="0" applyNumberFormat="0" applyBorder="0" applyAlignment="0" applyProtection="0"/>
    <xf numFmtId="0" fontId="109" fillId="0" borderId="0">
      <alignment horizontal="left"/>
    </xf>
    <xf numFmtId="0" fontId="67" fillId="0" borderId="0"/>
    <xf numFmtId="37" fontId="110" fillId="0" borderId="0"/>
    <xf numFmtId="0" fontId="39" fillId="0" borderId="0"/>
    <xf numFmtId="4" fontId="111" fillId="0" borderId="0">
      <alignment horizontal="right"/>
    </xf>
    <xf numFmtId="0" fontId="39" fillId="0" borderId="0"/>
    <xf numFmtId="0" fontId="5" fillId="0" borderId="0"/>
    <xf numFmtId="0" fontId="5" fillId="0" borderId="0">
      <alignment vertical="center"/>
    </xf>
    <xf numFmtId="0" fontId="73" fillId="0" borderId="0"/>
    <xf numFmtId="0" fontId="5" fillId="0" borderId="0">
      <alignment vertical="center"/>
    </xf>
    <xf numFmtId="182" fontId="39" fillId="28" borderId="22" applyNumberFormat="0" applyFont="0" applyAlignment="0" applyProtection="0"/>
    <xf numFmtId="217" fontId="39" fillId="0" borderId="0" applyFont="0" applyFill="0" applyBorder="0" applyAlignment="0" applyProtection="0"/>
    <xf numFmtId="41" fontId="65" fillId="0" borderId="0" applyFont="0" applyFill="0" applyBorder="0" applyAlignment="0" applyProtection="0"/>
    <xf numFmtId="182" fontId="112" fillId="14" borderId="23" applyNumberFormat="0" applyAlignment="0" applyProtection="0"/>
    <xf numFmtId="202" fontId="39" fillId="0" borderId="0" applyFont="0" applyFill="0" applyBorder="0" applyAlignment="0" applyProtection="0"/>
    <xf numFmtId="10" fontId="39" fillId="0" borderId="0" applyFont="0" applyFill="0" applyBorder="0" applyAlignment="0" applyProtection="0"/>
    <xf numFmtId="0" fontId="57" fillId="0" borderId="0">
      <alignment vertical="top"/>
    </xf>
    <xf numFmtId="0" fontId="88" fillId="14" borderId="9"/>
    <xf numFmtId="184" fontId="39" fillId="0" borderId="0" applyFill="0" applyBorder="0" applyAlignment="0"/>
    <xf numFmtId="4" fontId="63" fillId="0" borderId="0">
      <alignment horizontal="right"/>
    </xf>
    <xf numFmtId="0" fontId="61" fillId="0" borderId="0">
      <alignment vertical="center"/>
    </xf>
    <xf numFmtId="219" fontId="113" fillId="0" borderId="0"/>
    <xf numFmtId="3" fontId="114" fillId="0" borderId="0"/>
    <xf numFmtId="220" fontId="5" fillId="0" borderId="0" applyNumberFormat="0" applyFill="0" applyBorder="0" applyAlignment="0" applyProtection="0">
      <alignment horizontal="left"/>
    </xf>
    <xf numFmtId="41" fontId="67" fillId="0" borderId="0" applyFont="0" applyFill="0" applyBorder="0" applyAlignment="0" applyProtection="0"/>
    <xf numFmtId="4" fontId="115" fillId="0" borderId="0" applyFont="0" applyFill="0" applyBorder="0" applyAlignment="0" applyProtection="0"/>
    <xf numFmtId="43" fontId="88" fillId="0" borderId="1"/>
    <xf numFmtId="0" fontId="116" fillId="0" borderId="9">
      <alignment horizontal="center"/>
    </xf>
    <xf numFmtId="0" fontId="116" fillId="0" borderId="0">
      <alignment horizontal="center" vertical="center"/>
    </xf>
    <xf numFmtId="0" fontId="107" fillId="0" borderId="0"/>
    <xf numFmtId="0" fontId="56" fillId="0" borderId="0" applyNumberFormat="0" applyFill="0" applyBorder="0" applyAlignment="0" applyProtection="0">
      <alignment vertical="top"/>
      <protection locked="0"/>
    </xf>
    <xf numFmtId="40" fontId="117" fillId="0" borderId="0" applyBorder="0">
      <alignment horizontal="right"/>
    </xf>
    <xf numFmtId="204" fontId="57" fillId="0" borderId="0" applyFill="0" applyBorder="0" applyAlignment="0"/>
    <xf numFmtId="0" fontId="118" fillId="0" borderId="0" applyFill="0" applyBorder="0" applyProtection="0">
      <alignment horizontal="left" vertical="top"/>
    </xf>
    <xf numFmtId="0" fontId="5" fillId="0" borderId="0">
      <protection locked="0"/>
    </xf>
    <xf numFmtId="0" fontId="119" fillId="0" borderId="0">
      <alignment horizontal="center"/>
    </xf>
    <xf numFmtId="0" fontId="115" fillId="0" borderId="0" applyNumberFormat="0" applyFont="0" applyFill="0" applyBorder="0" applyProtection="0">
      <alignment horizontal="center" vertical="center" wrapText="1"/>
    </xf>
    <xf numFmtId="9" fontId="120" fillId="0" borderId="0" applyFont="0" applyFill="0" applyBorder="0" applyAlignment="0" applyProtection="0"/>
    <xf numFmtId="0" fontId="16" fillId="0" borderId="0"/>
    <xf numFmtId="9" fontId="5" fillId="0" borderId="0" applyFont="0" applyFill="0" applyBorder="0" applyAlignment="0" applyProtection="0">
      <alignment vertical="center"/>
    </xf>
    <xf numFmtId="9" fontId="5" fillId="0" borderId="0" applyFont="0" applyFill="0" applyBorder="0" applyAlignment="0" applyProtection="0"/>
    <xf numFmtId="0" fontId="60" fillId="0" borderId="0" applyFont="0" applyFill="0" applyBorder="0" applyAlignment="0" applyProtection="0"/>
    <xf numFmtId="0" fontId="121" fillId="3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5" fillId="0" borderId="0">
      <alignment vertical="center"/>
    </xf>
    <xf numFmtId="0" fontId="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9" fillId="0" borderId="0"/>
    <xf numFmtId="0" fontId="5" fillId="0" borderId="0"/>
    <xf numFmtId="0" fontId="65" fillId="0" borderId="0"/>
    <xf numFmtId="0" fontId="122" fillId="0" borderId="0" applyNumberFormat="0" applyBorder="0" applyProtection="0">
      <alignment vertical="center"/>
    </xf>
    <xf numFmtId="0" fontId="5" fillId="0" borderId="0">
      <protection locked="0"/>
    </xf>
    <xf numFmtId="0" fontId="5" fillId="0" borderId="0">
      <alignment vertical="center"/>
    </xf>
    <xf numFmtId="182" fontId="5" fillId="0" borderId="0">
      <protection locked="0"/>
    </xf>
    <xf numFmtId="0" fontId="5" fillId="0" borderId="0">
      <protection locked="0"/>
    </xf>
    <xf numFmtId="0" fontId="5" fillId="0" borderId="0">
      <alignment vertical="center"/>
    </xf>
    <xf numFmtId="182" fontId="5" fillId="0" borderId="0"/>
    <xf numFmtId="223" fontId="39" fillId="0" borderId="0" applyFont="0" applyFill="0" applyBorder="0" applyAlignment="0" applyProtection="0"/>
    <xf numFmtId="0" fontId="5" fillId="0" borderId="0">
      <alignment vertical="center"/>
    </xf>
    <xf numFmtId="0" fontId="5" fillId="0" borderId="0">
      <alignment vertical="center"/>
    </xf>
    <xf numFmtId="0" fontId="122" fillId="0" borderId="0">
      <alignment vertical="center"/>
    </xf>
    <xf numFmtId="0" fontId="61" fillId="0" borderId="0">
      <alignment vertical="center"/>
    </xf>
    <xf numFmtId="0" fontId="5" fillId="0" borderId="0" applyNumberFormat="0" applyFill="0" applyBorder="0" applyAlignment="0" applyProtection="0"/>
    <xf numFmtId="0" fontId="123" fillId="0" borderId="0" applyNumberFormat="0" applyBorder="0" applyAlignment="0" applyProtection="0">
      <alignment vertical="center"/>
    </xf>
    <xf numFmtId="0" fontId="61" fillId="0" borderId="0">
      <alignment vertical="center"/>
    </xf>
    <xf numFmtId="0" fontId="133" fillId="0" borderId="0">
      <alignment vertical="center"/>
    </xf>
    <xf numFmtId="0" fontId="61" fillId="0" borderId="0">
      <alignment vertical="center"/>
    </xf>
    <xf numFmtId="0" fontId="61" fillId="0" borderId="0">
      <alignment vertical="center"/>
    </xf>
    <xf numFmtId="0" fontId="124" fillId="0" borderId="0" applyNumberFormat="0" applyFill="0" applyBorder="0" applyAlignment="0" applyProtection="0">
      <alignment vertical="top"/>
      <protection locked="0"/>
    </xf>
    <xf numFmtId="182" fontId="5" fillId="0" borderId="0">
      <alignment vertical="center"/>
    </xf>
    <xf numFmtId="0" fontId="61" fillId="0" borderId="0">
      <alignment vertical="center"/>
    </xf>
    <xf numFmtId="0" fontId="5" fillId="0" borderId="0">
      <alignment vertical="center"/>
    </xf>
    <xf numFmtId="0" fontId="5" fillId="0" borderId="0" applyFill="0" applyBorder="0"/>
    <xf numFmtId="182" fontId="5" fillId="0" borderId="0">
      <alignment vertical="center"/>
    </xf>
    <xf numFmtId="182" fontId="5" fillId="0" borderId="0">
      <alignment vertical="center"/>
    </xf>
    <xf numFmtId="38" fontId="60" fillId="0" borderId="0" applyFont="0" applyFill="0" applyBorder="0" applyAlignment="0" applyProtection="0"/>
    <xf numFmtId="182" fontId="56" fillId="0" borderId="0" applyNumberFormat="0" applyFill="0" applyBorder="0" applyAlignment="0" applyProtection="0">
      <alignment vertical="top"/>
      <protection locked="0"/>
    </xf>
    <xf numFmtId="212" fontId="125" fillId="0" borderId="0" applyFont="0" applyFill="0" applyBorder="0" applyAlignment="0" applyProtection="0"/>
    <xf numFmtId="226" fontId="125" fillId="0" borderId="0" applyFont="0" applyFill="0" applyBorder="0" applyAlignment="0" applyProtection="0"/>
    <xf numFmtId="179" fontId="65" fillId="0" borderId="0" applyFont="0" applyFill="0" applyBorder="0" applyAlignment="0" applyProtection="0"/>
    <xf numFmtId="216" fontId="65" fillId="0" borderId="0" applyFont="0" applyFill="0" applyBorder="0" applyAlignment="0" applyProtection="0"/>
    <xf numFmtId="41" fontId="67" fillId="0" borderId="0" applyFont="0" applyFill="0" applyBorder="0" applyAlignment="0" applyProtection="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xf numFmtId="205" fontId="115" fillId="0" borderId="0" applyFont="0" applyFill="0" applyBorder="0" applyAlignment="0" applyProtection="0"/>
    <xf numFmtId="40" fontId="76" fillId="0" borderId="0" applyFont="0" applyFill="0" applyBorder="0" applyAlignment="0" applyProtection="0"/>
    <xf numFmtId="0" fontId="76" fillId="0" borderId="0" applyFont="0" applyFill="0" applyBorder="0" applyAlignment="0" applyProtection="0"/>
    <xf numFmtId="0" fontId="126" fillId="0" borderId="0"/>
    <xf numFmtId="182" fontId="1" fillId="0" borderId="0">
      <alignment vertical="center"/>
    </xf>
  </cellStyleXfs>
  <cellXfs count="268">
    <xf numFmtId="0" fontId="0" fillId="0" borderId="0" xfId="0">
      <alignment vertical="center"/>
    </xf>
    <xf numFmtId="0" fontId="2" fillId="0" borderId="0" xfId="4" applyFont="1">
      <protection locked="0"/>
    </xf>
    <xf numFmtId="0" fontId="3" fillId="0" borderId="0" xfId="4" applyFont="1">
      <protection locked="0"/>
    </xf>
    <xf numFmtId="0" fontId="4" fillId="0" borderId="0" xfId="4" applyFont="1" applyAlignment="1">
      <alignment horizontal="left" vertical="center"/>
      <protection locked="0"/>
    </xf>
    <xf numFmtId="0" fontId="5" fillId="0" borderId="0" xfId="4">
      <protection locked="0"/>
    </xf>
    <xf numFmtId="43" fontId="4" fillId="0" borderId="0" xfId="360" applyNumberFormat="1" applyFont="1" applyBorder="1" applyAlignment="1">
      <alignment horizontal="left" vertical="center"/>
    </xf>
    <xf numFmtId="0" fontId="8" fillId="2" borderId="1" xfId="4" applyFont="1" applyFill="1" applyBorder="1" applyAlignment="1" applyProtection="1">
      <alignment horizontal="center" vertical="center"/>
    </xf>
    <xf numFmtId="0" fontId="8" fillId="2" borderId="1" xfId="4" applyFont="1" applyFill="1" applyBorder="1" applyAlignment="1" applyProtection="1">
      <alignment horizontal="center" vertical="center" wrapText="1"/>
    </xf>
    <xf numFmtId="182" fontId="9" fillId="2" borderId="1" xfId="344" applyFont="1" applyFill="1" applyBorder="1" applyAlignment="1" applyProtection="1">
      <alignment horizontal="center" vertical="center" wrapText="1"/>
      <protection locked="0"/>
    </xf>
    <xf numFmtId="182" fontId="10" fillId="2" borderId="1" xfId="344" applyFont="1" applyFill="1" applyBorder="1" applyAlignment="1" applyProtection="1">
      <alignment horizontal="center" vertical="center" wrapText="1"/>
      <protection locked="0"/>
    </xf>
    <xf numFmtId="0" fontId="11" fillId="0" borderId="1" xfId="4" applyFont="1" applyBorder="1" applyAlignment="1" applyProtection="1">
      <alignment vertical="center"/>
    </xf>
    <xf numFmtId="0" fontId="12" fillId="0" borderId="1" xfId="4" applyFont="1" applyBorder="1" applyAlignment="1" applyProtection="1">
      <alignment vertical="center"/>
    </xf>
    <xf numFmtId="0" fontId="13" fillId="0" borderId="1" xfId="4" applyFont="1" applyBorder="1" applyAlignment="1" applyProtection="1">
      <alignment horizontal="left" vertical="center" indent="1"/>
    </xf>
    <xf numFmtId="0" fontId="14" fillId="0" borderId="1" xfId="4" applyFont="1" applyBorder="1" applyAlignment="1" applyProtection="1">
      <alignment horizontal="center" vertical="center"/>
    </xf>
    <xf numFmtId="43" fontId="15" fillId="0" borderId="2" xfId="360" applyNumberFormat="1" applyFont="1" applyBorder="1" applyAlignment="1">
      <alignment horizontal="left" vertical="center"/>
    </xf>
    <xf numFmtId="43" fontId="16" fillId="0" borderId="2" xfId="360" applyNumberFormat="1" applyFont="1" applyBorder="1" applyAlignment="1">
      <alignment horizontal="left" vertical="center"/>
    </xf>
    <xf numFmtId="43" fontId="17" fillId="0" borderId="2" xfId="313" applyNumberFormat="1" applyFont="1" applyBorder="1" applyAlignment="1" applyProtection="1">
      <alignment horizontal="center" vertical="center"/>
    </xf>
    <xf numFmtId="0" fontId="16" fillId="0" borderId="0" xfId="337" applyFont="1" applyAlignment="1">
      <alignment vertical="center"/>
    </xf>
    <xf numFmtId="9" fontId="18" fillId="0" borderId="0" xfId="97" applyFont="1" applyBorder="1" applyAlignment="1">
      <alignment horizontal="left" vertical="center"/>
    </xf>
    <xf numFmtId="0" fontId="16" fillId="0" borderId="0" xfId="337" applyFont="1" applyAlignment="1">
      <alignment horizontal="left" vertical="center"/>
    </xf>
    <xf numFmtId="10" fontId="18" fillId="0" borderId="0" xfId="97" applyNumberFormat="1" applyFont="1" applyBorder="1" applyAlignment="1">
      <alignment horizontal="left" vertical="center"/>
    </xf>
    <xf numFmtId="0" fontId="15" fillId="0" borderId="0" xfId="337" applyFont="1" applyAlignment="1">
      <alignment vertical="center"/>
    </xf>
    <xf numFmtId="0" fontId="2" fillId="0" borderId="0" xfId="359" applyFont="1">
      <alignment vertical="center"/>
    </xf>
    <xf numFmtId="0" fontId="3" fillId="0" borderId="0" xfId="359" applyFont="1">
      <alignment vertical="center"/>
    </xf>
    <xf numFmtId="0" fontId="4" fillId="0" borderId="0" xfId="317" applyFont="1" applyAlignment="1">
      <alignment vertical="center"/>
      <protection locked="0"/>
    </xf>
    <xf numFmtId="0" fontId="15" fillId="0" borderId="0" xfId="317" applyFont="1" applyAlignment="1">
      <alignment horizontal="center" vertical="center" wrapText="1"/>
      <protection locked="0"/>
    </xf>
    <xf numFmtId="0" fontId="16" fillId="0" borderId="0" xfId="317" applyFont="1" applyAlignment="1">
      <alignment vertical="center"/>
      <protection locked="0"/>
    </xf>
    <xf numFmtId="43" fontId="4" fillId="0" borderId="0" xfId="360" applyNumberFormat="1" applyFont="1" applyBorder="1" applyAlignment="1">
      <alignment vertical="center"/>
    </xf>
    <xf numFmtId="14" fontId="4" fillId="0" borderId="0" xfId="360" applyNumberFormat="1" applyFont="1" applyBorder="1" applyAlignment="1">
      <alignment vertical="center"/>
    </xf>
    <xf numFmtId="49" fontId="4" fillId="0" borderId="0" xfId="360" applyNumberFormat="1" applyFont="1" applyBorder="1" applyAlignment="1">
      <alignment vertical="center"/>
    </xf>
    <xf numFmtId="0" fontId="8" fillId="0" borderId="0" xfId="0" applyFont="1" applyAlignment="1">
      <alignment vertical="center"/>
    </xf>
    <xf numFmtId="0" fontId="14" fillId="0" borderId="0" xfId="0" applyFont="1" applyAlignment="1">
      <alignment vertical="center" wrapText="1"/>
    </xf>
    <xf numFmtId="0" fontId="20" fillId="0" borderId="0" xfId="0" applyFont="1" applyAlignment="1">
      <alignment horizontal="left" vertical="center"/>
    </xf>
    <xf numFmtId="0" fontId="14" fillId="0" borderId="0" xfId="0" applyFont="1" applyAlignment="1">
      <alignment horizontal="left" vertical="center" wrapText="1"/>
    </xf>
    <xf numFmtId="0" fontId="15" fillId="0" borderId="0" xfId="0" applyFont="1" applyProtection="1">
      <alignment vertical="center"/>
      <protection locked="0"/>
    </xf>
    <xf numFmtId="0" fontId="12" fillId="0" borderId="0" xfId="0" applyFont="1" applyAlignment="1" applyProtection="1">
      <alignment horizontal="left" vertical="center" indent="1"/>
      <protection locked="0"/>
    </xf>
    <xf numFmtId="43" fontId="16" fillId="0" borderId="0" xfId="360" applyNumberFormat="1" applyFont="1" applyBorder="1" applyAlignment="1">
      <alignment horizontal="left" vertical="center"/>
    </xf>
    <xf numFmtId="182" fontId="15" fillId="2" borderId="1" xfId="344" applyFont="1" applyFill="1" applyBorder="1" applyAlignment="1" applyProtection="1">
      <alignment horizontal="center" vertical="center" wrapText="1"/>
      <protection locked="0"/>
    </xf>
    <xf numFmtId="0" fontId="9" fillId="2" borderId="1" xfId="339" applyFont="1" applyFill="1" applyBorder="1" applyAlignment="1">
      <alignment horizontal="center" vertical="center" wrapText="1"/>
      <protection locked="0"/>
    </xf>
    <xf numFmtId="0" fontId="9" fillId="3" borderId="1" xfId="339" applyFont="1" applyFill="1" applyBorder="1" applyAlignment="1">
      <alignment horizontal="center" vertical="center" wrapText="1"/>
      <protection locked="0"/>
    </xf>
    <xf numFmtId="0" fontId="22" fillId="0" borderId="1" xfId="339" applyFont="1" applyBorder="1" applyAlignment="1" applyProtection="1">
      <alignment vertical="center" wrapText="1"/>
    </xf>
    <xf numFmtId="43" fontId="20" fillId="3" borderId="1" xfId="372" applyFont="1" applyFill="1" applyBorder="1" applyAlignment="1" applyProtection="1">
      <alignment horizontal="right" vertical="center"/>
    </xf>
    <xf numFmtId="43" fontId="16" fillId="0" borderId="1" xfId="372" applyFont="1" applyBorder="1" applyAlignment="1">
      <alignment vertical="center" wrapText="1"/>
    </xf>
    <xf numFmtId="0" fontId="23" fillId="0" borderId="1" xfId="339" applyFont="1" applyBorder="1" applyAlignment="1" applyProtection="1">
      <alignment vertical="center" wrapText="1"/>
    </xf>
    <xf numFmtId="43" fontId="20" fillId="0" borderId="1" xfId="372" applyFont="1" applyFill="1" applyBorder="1" applyAlignment="1">
      <alignment horizontal="right" vertical="center"/>
    </xf>
    <xf numFmtId="0" fontId="8" fillId="3" borderId="1" xfId="339" applyFont="1" applyFill="1" applyBorder="1" applyAlignment="1" applyProtection="1">
      <alignment horizontal="center" vertical="center"/>
    </xf>
    <xf numFmtId="43" fontId="14" fillId="3" borderId="1" xfId="372" applyFont="1" applyFill="1" applyBorder="1" applyAlignment="1" applyProtection="1">
      <alignment horizontal="right" vertical="center"/>
    </xf>
    <xf numFmtId="43" fontId="15" fillId="3" borderId="1" xfId="372" applyFont="1" applyFill="1" applyBorder="1" applyAlignment="1">
      <alignment vertical="center"/>
    </xf>
    <xf numFmtId="0" fontId="15" fillId="0" borderId="0" xfId="317" applyFont="1" applyAlignment="1">
      <alignment vertical="center"/>
      <protection locked="0"/>
    </xf>
    <xf numFmtId="0" fontId="24" fillId="0" borderId="0" xfId="317" applyFont="1" applyAlignment="1">
      <alignment vertical="center"/>
      <protection locked="0"/>
    </xf>
    <xf numFmtId="0" fontId="25" fillId="0" borderId="0" xfId="317" applyFont="1" applyAlignment="1">
      <alignment vertical="center"/>
      <protection locked="0"/>
    </xf>
    <xf numFmtId="0" fontId="26" fillId="0" borderId="0" xfId="317" applyFont="1">
      <protection locked="0"/>
    </xf>
    <xf numFmtId="43" fontId="27" fillId="0" borderId="0" xfId="360" applyNumberFormat="1" applyFont="1" applyBorder="1" applyAlignment="1">
      <alignment vertical="center"/>
    </xf>
    <xf numFmtId="43" fontId="28" fillId="0" borderId="0" xfId="360" applyNumberFormat="1" applyFont="1" applyBorder="1" applyAlignment="1">
      <alignment vertical="center"/>
    </xf>
    <xf numFmtId="43" fontId="16" fillId="0" borderId="0" xfId="360" applyNumberFormat="1" applyFont="1" applyBorder="1" applyAlignment="1">
      <alignment vertical="center"/>
    </xf>
    <xf numFmtId="0" fontId="29" fillId="2" borderId="1" xfId="0" applyFont="1" applyFill="1" applyBorder="1" applyAlignment="1">
      <alignment horizontal="center" vertical="center"/>
    </xf>
    <xf numFmtId="43" fontId="20" fillId="3" borderId="1" xfId="372" applyFont="1" applyFill="1" applyBorder="1" applyAlignment="1">
      <alignment horizontal="right" vertical="center"/>
    </xf>
    <xf numFmtId="43" fontId="20" fillId="3" borderId="1" xfId="372" applyFont="1" applyFill="1" applyBorder="1" applyAlignment="1">
      <alignment horizontal="center" vertical="center"/>
    </xf>
    <xf numFmtId="43" fontId="20" fillId="0" borderId="1" xfId="372" applyFont="1" applyFill="1" applyBorder="1" applyAlignment="1">
      <alignment horizontal="center" vertical="center"/>
    </xf>
    <xf numFmtId="0" fontId="6" fillId="0" borderId="0" xfId="317" applyFont="1" applyAlignment="1">
      <alignment vertical="center"/>
      <protection locked="0"/>
    </xf>
    <xf numFmtId="0" fontId="7" fillId="0" borderId="0" xfId="317" applyFont="1" applyAlignment="1">
      <alignment vertical="center"/>
      <protection locked="0"/>
    </xf>
    <xf numFmtId="0" fontId="30" fillId="0" borderId="0" xfId="317" applyFont="1">
      <protection locked="0"/>
    </xf>
    <xf numFmtId="0" fontId="16" fillId="0" borderId="0" xfId="317" applyFont="1">
      <protection locked="0"/>
    </xf>
    <xf numFmtId="0" fontId="4" fillId="0" borderId="0" xfId="317" applyFont="1" applyAlignment="1">
      <alignment horizontal="left" vertical="center"/>
      <protection locked="0"/>
    </xf>
    <xf numFmtId="14" fontId="4" fillId="0" borderId="0" xfId="317" applyNumberFormat="1" applyFont="1" applyAlignment="1">
      <alignment horizontal="left" vertical="center"/>
      <protection locked="0"/>
    </xf>
    <xf numFmtId="0" fontId="4" fillId="0" borderId="0" xfId="261" applyFont="1" applyAlignment="1">
      <alignment horizontal="justify" vertical="center" wrapText="1"/>
    </xf>
    <xf numFmtId="0" fontId="31" fillId="0" borderId="0" xfId="0" applyFont="1" applyAlignment="1">
      <alignment horizontal="justify" vertical="center"/>
    </xf>
    <xf numFmtId="0" fontId="32" fillId="0" borderId="0" xfId="0" applyFont="1" applyProtection="1">
      <alignment vertical="center"/>
      <protection locked="0"/>
    </xf>
    <xf numFmtId="0" fontId="31" fillId="0" borderId="0" xfId="0" applyFont="1">
      <alignment vertical="center"/>
    </xf>
    <xf numFmtId="0" fontId="33" fillId="0" borderId="8" xfId="0" applyFont="1" applyBorder="1" applyAlignment="1">
      <alignment horizontal="justify" vertical="center" wrapText="1"/>
    </xf>
    <xf numFmtId="0" fontId="33" fillId="0" borderId="8" xfId="0" applyFont="1" applyBorder="1" applyAlignment="1">
      <alignment horizontal="right" vertical="center" wrapText="1"/>
    </xf>
    <xf numFmtId="0" fontId="34" fillId="0" borderId="0" xfId="0" applyFont="1" applyAlignment="1">
      <alignment horizontal="justify" vertical="center"/>
    </xf>
    <xf numFmtId="43" fontId="35" fillId="0" borderId="0" xfId="0" applyNumberFormat="1" applyFont="1">
      <alignment vertical="center"/>
    </xf>
    <xf numFmtId="43" fontId="36" fillId="0" borderId="8" xfId="0" applyNumberFormat="1" applyFont="1" applyBorder="1" applyAlignment="1">
      <alignment horizontal="right" vertical="center" wrapText="1"/>
    </xf>
    <xf numFmtId="0" fontId="37" fillId="0" borderId="0" xfId="0" applyFont="1" applyAlignment="1">
      <alignment horizontal="left" vertical="center"/>
    </xf>
    <xf numFmtId="0" fontId="34" fillId="0" borderId="0" xfId="0" applyFont="1">
      <alignment vertical="center"/>
    </xf>
    <xf numFmtId="0" fontId="38" fillId="0" borderId="8" xfId="0" applyFont="1" applyBorder="1" applyAlignment="1">
      <alignment horizontal="right" vertical="center" wrapText="1"/>
    </xf>
    <xf numFmtId="43" fontId="2" fillId="0" borderId="0" xfId="360" applyNumberFormat="1" applyFont="1" applyBorder="1" applyAlignment="1">
      <alignment vertical="center"/>
    </xf>
    <xf numFmtId="43" fontId="3" fillId="0" borderId="0" xfId="360" applyNumberFormat="1" applyFont="1" applyBorder="1" applyAlignment="1">
      <alignment vertical="center"/>
    </xf>
    <xf numFmtId="43" fontId="15" fillId="0" borderId="0" xfId="360" applyNumberFormat="1" applyFont="1" applyBorder="1" applyAlignment="1">
      <alignment vertical="center"/>
    </xf>
    <xf numFmtId="43" fontId="15" fillId="0" borderId="0" xfId="360" applyNumberFormat="1" applyFont="1" applyFill="1" applyBorder="1" applyAlignment="1">
      <alignment vertical="center"/>
    </xf>
    <xf numFmtId="43" fontId="16" fillId="0" borderId="0" xfId="360" applyNumberFormat="1" applyFont="1" applyFill="1" applyBorder="1" applyAlignment="1">
      <alignment vertical="center"/>
    </xf>
    <xf numFmtId="182" fontId="15" fillId="2" borderId="1" xfId="205" applyNumberFormat="1" applyFont="1" applyFill="1" applyBorder="1" applyAlignment="1">
      <alignment horizontal="center" vertical="center"/>
      <protection locked="0"/>
    </xf>
    <xf numFmtId="43" fontId="16" fillId="3" borderId="1" xfId="372" applyFont="1" applyFill="1" applyBorder="1" applyAlignment="1">
      <alignment horizontal="right" vertical="center" wrapText="1"/>
    </xf>
    <xf numFmtId="0" fontId="13" fillId="0" borderId="1" xfId="339" applyFont="1" applyBorder="1" applyAlignment="1" applyProtection="1">
      <alignment vertical="center" wrapText="1"/>
    </xf>
    <xf numFmtId="43" fontId="9" fillId="0" borderId="0" xfId="360" applyNumberFormat="1" applyFont="1" applyFill="1" applyBorder="1" applyAlignment="1">
      <alignment vertical="center"/>
    </xf>
    <xf numFmtId="0" fontId="16" fillId="0" borderId="2" xfId="337" applyFont="1" applyBorder="1" applyAlignment="1">
      <alignment vertical="center"/>
    </xf>
    <xf numFmtId="43" fontId="20" fillId="3" borderId="1" xfId="265" applyFont="1" applyFill="1" applyBorder="1" applyAlignment="1" applyProtection="1">
      <alignment horizontal="right" vertical="center"/>
    </xf>
    <xf numFmtId="43" fontId="16" fillId="0" borderId="2" xfId="360" applyNumberFormat="1" applyFont="1" applyBorder="1" applyAlignment="1">
      <alignment vertical="center"/>
    </xf>
    <xf numFmtId="10" fontId="18" fillId="3" borderId="0" xfId="323" applyNumberFormat="1" applyFont="1" applyFill="1" applyBorder="1" applyAlignment="1">
      <alignment horizontal="center" vertical="center"/>
    </xf>
    <xf numFmtId="10" fontId="18" fillId="0" borderId="0" xfId="323" applyNumberFormat="1" applyFont="1" applyBorder="1" applyAlignment="1">
      <alignment horizontal="left" vertical="center"/>
    </xf>
    <xf numFmtId="43" fontId="12" fillId="0" borderId="0" xfId="360" applyNumberFormat="1" applyFont="1" applyBorder="1" applyAlignment="1">
      <alignment vertical="center"/>
    </xf>
    <xf numFmtId="182" fontId="14" fillId="2" borderId="1" xfId="205" applyNumberFormat="1" applyFont="1" applyFill="1" applyBorder="1" applyAlignment="1">
      <alignment horizontal="center" vertical="center" wrapText="1"/>
      <protection locked="0"/>
    </xf>
    <xf numFmtId="10" fontId="16" fillId="3" borderId="1" xfId="323" applyNumberFormat="1" applyFont="1" applyFill="1" applyBorder="1" applyAlignment="1">
      <alignment horizontal="right" vertical="center" wrapText="1"/>
    </xf>
    <xf numFmtId="43" fontId="16" fillId="0" borderId="1" xfId="372" applyFont="1" applyFill="1" applyBorder="1" applyAlignment="1">
      <alignment horizontal="right" vertical="center" wrapText="1"/>
    </xf>
    <xf numFmtId="182" fontId="2" fillId="0" borderId="0" xfId="357" applyFont="1">
      <alignment vertical="center"/>
    </xf>
    <xf numFmtId="182" fontId="3" fillId="0" borderId="0" xfId="357" applyFont="1">
      <alignment vertical="center"/>
    </xf>
    <xf numFmtId="182" fontId="4" fillId="0" borderId="0" xfId="152" applyFont="1">
      <alignment vertical="center"/>
      <protection locked="0"/>
    </xf>
    <xf numFmtId="182" fontId="39" fillId="0" borderId="0" xfId="152" applyFont="1">
      <alignment vertical="center"/>
      <protection locked="0"/>
    </xf>
    <xf numFmtId="182" fontId="40" fillId="0" borderId="0" xfId="361" applyFont="1">
      <alignment vertical="center"/>
    </xf>
    <xf numFmtId="49" fontId="40" fillId="0" borderId="0" xfId="361" applyNumberFormat="1" applyFont="1" applyAlignment="1">
      <alignment horizontal="left" vertical="center"/>
    </xf>
    <xf numFmtId="182" fontId="39" fillId="0" borderId="0" xfId="361" applyFont="1">
      <alignment vertical="center"/>
    </xf>
    <xf numFmtId="182" fontId="39" fillId="0" borderId="0" xfId="361" applyFont="1" applyAlignment="1">
      <alignment vertical="center" wrapText="1"/>
    </xf>
    <xf numFmtId="182" fontId="4" fillId="0" borderId="0" xfId="152" applyFont="1" applyAlignment="1">
      <alignment horizontal="left" vertical="center"/>
      <protection locked="0"/>
    </xf>
    <xf numFmtId="182" fontId="40" fillId="0" borderId="0" xfId="152" applyFont="1" applyAlignment="1">
      <alignment horizontal="left" vertical="center"/>
      <protection locked="0"/>
    </xf>
    <xf numFmtId="49" fontId="40" fillId="0" borderId="0" xfId="152" applyNumberFormat="1" applyFont="1" applyAlignment="1">
      <alignment horizontal="left" vertical="center"/>
      <protection locked="0"/>
    </xf>
    <xf numFmtId="182" fontId="40" fillId="0" borderId="0" xfId="152" applyFont="1" applyAlignment="1">
      <alignment horizontal="justify" vertical="center"/>
      <protection locked="0"/>
    </xf>
    <xf numFmtId="182" fontId="12" fillId="0" borderId="1" xfId="152" applyFont="1" applyBorder="1" applyAlignment="1">
      <alignment horizontal="center" vertical="center" wrapText="1"/>
      <protection locked="0"/>
    </xf>
    <xf numFmtId="182" fontId="39" fillId="0" borderId="1" xfId="152" applyFont="1" applyBorder="1" applyAlignment="1">
      <alignment horizontal="center" vertical="center" wrapText="1"/>
      <protection locked="0"/>
    </xf>
    <xf numFmtId="182" fontId="39" fillId="0" borderId="1" xfId="152" applyFont="1" applyBorder="1" applyAlignment="1">
      <alignment horizontal="left" vertical="center" wrapText="1"/>
      <protection locked="0"/>
    </xf>
    <xf numFmtId="49" fontId="40" fillId="2" borderId="1" xfId="152" applyNumberFormat="1" applyFont="1" applyFill="1" applyBorder="1" applyAlignment="1">
      <alignment horizontal="left" vertical="center"/>
      <protection locked="0"/>
    </xf>
    <xf numFmtId="182" fontId="40" fillId="2" borderId="1" xfId="152" applyFont="1" applyFill="1" applyBorder="1" applyAlignment="1">
      <alignment horizontal="center" vertical="center" wrapText="1"/>
      <protection locked="0"/>
    </xf>
    <xf numFmtId="49" fontId="9" fillId="2" borderId="1" xfId="152" applyNumberFormat="1" applyFont="1" applyFill="1" applyBorder="1" applyAlignment="1">
      <alignment horizontal="left" vertical="center"/>
      <protection locked="0"/>
    </xf>
    <xf numFmtId="182" fontId="40" fillId="2" borderId="1" xfId="152" applyFont="1" applyFill="1" applyBorder="1" applyAlignment="1">
      <alignment horizontal="left" vertical="center" wrapText="1"/>
      <protection locked="0"/>
    </xf>
    <xf numFmtId="182" fontId="41" fillId="2" borderId="1" xfId="152" applyFont="1" applyFill="1" applyBorder="1" applyAlignment="1" applyProtection="1">
      <alignment horizontal="center" vertical="center" wrapText="1"/>
    </xf>
    <xf numFmtId="49" fontId="9" fillId="2" borderId="1" xfId="361" applyNumberFormat="1" applyFont="1" applyFill="1" applyBorder="1" applyAlignment="1">
      <alignment horizontal="left" vertical="center"/>
    </xf>
    <xf numFmtId="182" fontId="9" fillId="2" borderId="1" xfId="152" applyFont="1" applyFill="1" applyBorder="1" applyAlignment="1">
      <alignment horizontal="left" vertical="center" wrapText="1"/>
      <protection locked="0"/>
    </xf>
    <xf numFmtId="49" fontId="16" fillId="0" borderId="1" xfId="0" applyNumberFormat="1" applyFont="1" applyBorder="1" applyAlignment="1" applyProtection="1">
      <alignment horizontal="left" vertical="center" indent="1"/>
      <protection locked="0"/>
    </xf>
    <xf numFmtId="0" fontId="42" fillId="0" borderId="1" xfId="0" applyFont="1" applyBorder="1" applyAlignment="1">
      <alignment vertical="center" wrapText="1"/>
    </xf>
    <xf numFmtId="0" fontId="42" fillId="0" borderId="1" xfId="0" applyFont="1" applyBorder="1" applyAlignment="1">
      <alignment horizontal="center" vertical="center" wrapText="1"/>
    </xf>
    <xf numFmtId="0" fontId="43" fillId="0" borderId="1" xfId="0" applyFont="1" applyBorder="1" applyAlignment="1">
      <alignment vertical="center" wrapText="1"/>
    </xf>
    <xf numFmtId="0" fontId="16" fillId="0" borderId="4" xfId="0" applyFont="1" applyBorder="1" applyAlignment="1">
      <alignment horizontal="center" vertical="center" wrapText="1"/>
    </xf>
    <xf numFmtId="0" fontId="23" fillId="0" borderId="1" xfId="0" applyFont="1" applyBorder="1" applyAlignment="1">
      <alignment vertical="center" wrapText="1"/>
    </xf>
    <xf numFmtId="49" fontId="9" fillId="2" borderId="1" xfId="0" applyNumberFormat="1" applyFont="1" applyFill="1" applyBorder="1" applyAlignment="1" applyProtection="1">
      <alignment horizontal="left" vertical="center"/>
      <protection locked="0"/>
    </xf>
    <xf numFmtId="182" fontId="44" fillId="2" borderId="1" xfId="152" applyFont="1" applyFill="1" applyBorder="1" applyAlignment="1" applyProtection="1">
      <alignment horizontal="center" vertical="center" wrapText="1"/>
    </xf>
    <xf numFmtId="49" fontId="40" fillId="0" borderId="1" xfId="361" applyNumberFormat="1" applyFont="1" applyBorder="1" applyAlignment="1">
      <alignment horizontal="left" vertical="center" indent="1"/>
    </xf>
    <xf numFmtId="0" fontId="22" fillId="2" borderId="1" xfId="0" applyFont="1" applyFill="1" applyBorder="1" applyAlignment="1">
      <alignment vertical="center" wrapText="1"/>
    </xf>
    <xf numFmtId="0" fontId="42" fillId="2" borderId="1" xfId="0" applyFont="1" applyFill="1" applyBorder="1" applyAlignment="1">
      <alignment horizontal="center" vertical="center" wrapText="1"/>
    </xf>
    <xf numFmtId="0" fontId="45" fillId="2" borderId="1" xfId="0" applyFont="1" applyFill="1" applyBorder="1" applyAlignment="1">
      <alignment vertical="center" wrapText="1"/>
    </xf>
    <xf numFmtId="182" fontId="2" fillId="0" borderId="0" xfId="357" applyFont="1" applyAlignment="1">
      <alignment vertical="center" wrapText="1"/>
    </xf>
    <xf numFmtId="182" fontId="3" fillId="0" borderId="0" xfId="357" applyFont="1" applyAlignment="1">
      <alignment vertical="center" wrapText="1"/>
    </xf>
    <xf numFmtId="182" fontId="4" fillId="0" borderId="0" xfId="152" applyFont="1" applyAlignment="1">
      <alignment vertical="center" wrapText="1"/>
      <protection locked="0"/>
    </xf>
    <xf numFmtId="182" fontId="39" fillId="0" borderId="0" xfId="152" applyFont="1" applyAlignment="1">
      <alignment vertical="center" wrapText="1"/>
      <protection locked="0"/>
    </xf>
    <xf numFmtId="182" fontId="46" fillId="0" borderId="1" xfId="152" applyFont="1" applyBorder="1" applyAlignment="1">
      <alignment horizontal="center" vertical="center" wrapText="1"/>
      <protection locked="0"/>
    </xf>
    <xf numFmtId="0" fontId="16" fillId="0" borderId="6" xfId="0" applyFont="1" applyBorder="1" applyAlignment="1">
      <alignment horizontal="center" vertical="center" wrapText="1"/>
    </xf>
    <xf numFmtId="182" fontId="39" fillId="0" borderId="0" xfId="100" applyFont="1">
      <alignment vertical="center"/>
      <protection locked="0"/>
    </xf>
    <xf numFmtId="182" fontId="39" fillId="0" borderId="0" xfId="362" applyFont="1">
      <alignment vertical="center"/>
    </xf>
    <xf numFmtId="49" fontId="9" fillId="0" borderId="0" xfId="354" applyNumberFormat="1" applyFont="1" applyBorder="1" applyAlignment="1" applyProtection="1">
      <alignment horizontal="left" vertical="center"/>
      <protection locked="0"/>
    </xf>
    <xf numFmtId="182" fontId="40" fillId="0" borderId="0" xfId="100" applyFont="1" applyBorder="1" applyAlignment="1">
      <alignment horizontal="left" vertical="center"/>
      <protection locked="0"/>
    </xf>
    <xf numFmtId="182" fontId="40" fillId="0" borderId="0" xfId="100" applyFont="1" applyBorder="1" applyAlignment="1">
      <alignment horizontal="justify" vertical="center"/>
      <protection locked="0"/>
    </xf>
    <xf numFmtId="182" fontId="39" fillId="0" borderId="0" xfId="100" applyFont="1" applyBorder="1">
      <alignment vertical="center"/>
      <protection locked="0"/>
    </xf>
    <xf numFmtId="182" fontId="39" fillId="0" borderId="0" xfId="100" applyFont="1" applyBorder="1" applyAlignment="1">
      <alignment horizontal="center" vertical="center" wrapText="1"/>
      <protection locked="0"/>
    </xf>
    <xf numFmtId="182" fontId="39" fillId="0" borderId="0" xfId="100" applyFont="1" applyBorder="1" applyAlignment="1">
      <alignment horizontal="left" vertical="center" wrapText="1"/>
      <protection locked="0"/>
    </xf>
    <xf numFmtId="49" fontId="16" fillId="0" borderId="1" xfId="362" applyNumberFormat="1" applyFont="1" applyBorder="1" applyAlignment="1">
      <alignment horizontal="center" vertical="center"/>
    </xf>
    <xf numFmtId="0" fontId="23" fillId="0" borderId="1" xfId="353" applyFont="1" applyBorder="1" applyAlignment="1">
      <alignment vertical="center" wrapText="1"/>
    </xf>
    <xf numFmtId="0" fontId="23" fillId="0" borderId="1" xfId="353" applyFont="1" applyBorder="1" applyAlignment="1">
      <alignment horizontal="center" vertical="center" wrapText="1"/>
    </xf>
    <xf numFmtId="0" fontId="22" fillId="0" borderId="1" xfId="353" applyFont="1" applyBorder="1" applyAlignment="1">
      <alignment horizontal="center" vertical="center" wrapText="1"/>
    </xf>
    <xf numFmtId="0" fontId="12" fillId="0" borderId="1" xfId="0" applyFont="1" applyBorder="1" applyAlignment="1">
      <alignment vertical="center" wrapText="1"/>
    </xf>
    <xf numFmtId="0" fontId="23" fillId="0" borderId="1" xfId="0" applyFont="1" applyBorder="1" applyAlignment="1">
      <alignment horizontal="center" vertical="center" wrapText="1"/>
    </xf>
    <xf numFmtId="0" fontId="16" fillId="0" borderId="1" xfId="353" applyFont="1" applyBorder="1" applyAlignment="1">
      <alignment horizontal="center" vertical="center" wrapText="1"/>
    </xf>
    <xf numFmtId="0" fontId="5" fillId="0" borderId="0" xfId="317" applyAlignment="1">
      <alignment vertical="center"/>
      <protection locked="0"/>
    </xf>
    <xf numFmtId="0" fontId="47" fillId="0" borderId="0" xfId="317" applyFont="1">
      <protection locked="0"/>
    </xf>
    <xf numFmtId="0" fontId="39" fillId="0" borderId="0" xfId="317" applyFont="1">
      <protection locked="0"/>
    </xf>
    <xf numFmtId="0" fontId="5" fillId="0" borderId="0" xfId="317">
      <protection locked="0"/>
    </xf>
    <xf numFmtId="0" fontId="48" fillId="0" borderId="0" xfId="317" applyFont="1" applyAlignment="1">
      <alignment vertical="center"/>
      <protection locked="0"/>
    </xf>
    <xf numFmtId="0" fontId="47" fillId="0" borderId="0" xfId="317" applyFont="1" applyAlignment="1">
      <alignment vertical="center"/>
      <protection locked="0"/>
    </xf>
    <xf numFmtId="0" fontId="12" fillId="4" borderId="0" xfId="317" applyFont="1" applyFill="1" applyAlignment="1">
      <alignment horizontal="justify" vertical="center" wrapText="1"/>
      <protection locked="0"/>
    </xf>
    <xf numFmtId="0" fontId="49" fillId="0" borderId="0" xfId="317" applyFont="1" applyAlignment="1">
      <alignment horizontal="justify" wrapText="1"/>
      <protection locked="0"/>
    </xf>
    <xf numFmtId="0" fontId="50" fillId="0" borderId="0" xfId="317" applyFont="1" applyAlignment="1">
      <alignment horizontal="justify" wrapText="1"/>
      <protection locked="0"/>
    </xf>
    <xf numFmtId="0" fontId="15" fillId="0" borderId="0" xfId="317" applyFont="1" applyAlignment="1">
      <alignment horizontal="center" vertical="center"/>
      <protection locked="0"/>
    </xf>
    <xf numFmtId="0" fontId="51" fillId="0" borderId="0" xfId="317" applyFont="1" applyAlignment="1">
      <alignment horizontal="justify" wrapText="1"/>
      <protection locked="0"/>
    </xf>
    <xf numFmtId="0" fontId="50" fillId="0" borderId="0" xfId="317" applyFont="1" applyAlignment="1">
      <alignment horizontal="justify" vertical="top" wrapText="1"/>
      <protection locked="0"/>
    </xf>
    <xf numFmtId="0" fontId="16" fillId="0" borderId="9" xfId="317" applyFont="1" applyBorder="1" applyAlignment="1">
      <alignment horizontal="center" wrapText="1"/>
      <protection locked="0"/>
    </xf>
    <xf numFmtId="0" fontId="52" fillId="0" borderId="9" xfId="13" applyFont="1" applyBorder="1" applyAlignment="1">
      <protection locked="0"/>
    </xf>
    <xf numFmtId="0" fontId="42" fillId="0" borderId="9" xfId="0" applyFont="1" applyBorder="1" applyAlignment="1">
      <alignment horizontal="center" vertical="center"/>
    </xf>
    <xf numFmtId="0" fontId="53" fillId="0" borderId="0" xfId="317" applyFont="1" applyAlignment="1">
      <alignment horizontal="justify" wrapText="1"/>
      <protection locked="0"/>
    </xf>
    <xf numFmtId="0" fontId="12" fillId="4" borderId="0" xfId="0" applyFont="1" applyFill="1" applyAlignment="1" applyProtection="1">
      <alignment horizontal="justify" vertical="center" wrapText="1"/>
      <protection locked="0"/>
    </xf>
    <xf numFmtId="0" fontId="54" fillId="0" borderId="9" xfId="13" applyFont="1" applyBorder="1" applyAlignment="1">
      <protection locked="0"/>
    </xf>
    <xf numFmtId="0" fontId="16" fillId="0" borderId="9" xfId="317" applyFont="1" applyBorder="1" applyAlignment="1">
      <alignment horizontal="center"/>
      <protection locked="0"/>
    </xf>
    <xf numFmtId="0" fontId="54" fillId="0" borderId="9" xfId="13" applyFont="1" applyBorder="1" applyAlignment="1">
      <alignment horizontal="center" vertical="center"/>
      <protection locked="0"/>
    </xf>
    <xf numFmtId="0" fontId="51" fillId="0" borderId="0" xfId="317" applyFont="1">
      <protection locked="0"/>
    </xf>
    <xf numFmtId="0" fontId="47" fillId="0" borderId="0" xfId="317" applyFont="1" applyAlignment="1">
      <alignment horizontal="center"/>
      <protection locked="0"/>
    </xf>
    <xf numFmtId="0" fontId="56" fillId="0" borderId="0" xfId="313" applyBorder="1" applyAlignment="1">
      <protection locked="0"/>
    </xf>
    <xf numFmtId="0" fontId="5" fillId="0" borderId="0" xfId="317" applyAlignment="1">
      <alignment horizontal="left"/>
      <protection locked="0"/>
    </xf>
    <xf numFmtId="0" fontId="56" fillId="0" borderId="0" xfId="313" applyAlignment="1">
      <protection locked="0"/>
    </xf>
    <xf numFmtId="0" fontId="52" fillId="0" borderId="9" xfId="13" quotePrefix="1" applyFont="1" applyBorder="1" applyAlignment="1">
      <protection locked="0"/>
    </xf>
    <xf numFmtId="0" fontId="54" fillId="0" borderId="9" xfId="13" quotePrefix="1" applyFont="1" applyBorder="1" applyAlignment="1">
      <protection locked="0"/>
    </xf>
    <xf numFmtId="182" fontId="39" fillId="0" borderId="0" xfId="152" applyFont="1" applyBorder="1" applyAlignment="1">
      <alignment vertical="center" wrapText="1"/>
      <protection locked="0"/>
    </xf>
    <xf numFmtId="182" fontId="12" fillId="0" borderId="0" xfId="152" applyFont="1" applyBorder="1" applyAlignment="1">
      <alignment vertical="center"/>
      <protection locked="0"/>
    </xf>
    <xf numFmtId="0" fontId="9" fillId="33" borderId="1" xfId="353" applyFont="1" applyFill="1" applyBorder="1" applyAlignment="1" applyProtection="1">
      <alignment horizontal="center" vertical="center"/>
      <protection locked="0"/>
    </xf>
    <xf numFmtId="0" fontId="9" fillId="33" borderId="1" xfId="353" applyFont="1" applyFill="1" applyBorder="1" applyAlignment="1" applyProtection="1">
      <alignment horizontal="center" vertical="center" wrapText="1"/>
      <protection locked="0"/>
    </xf>
    <xf numFmtId="0" fontId="12" fillId="0" borderId="1" xfId="4" applyFont="1" applyBorder="1" applyAlignment="1">
      <alignment horizontal="center" vertical="center" wrapText="1"/>
      <protection locked="0"/>
    </xf>
    <xf numFmtId="0" fontId="9" fillId="0" borderId="1" xfId="4" applyFont="1" applyBorder="1" applyAlignment="1">
      <alignment horizontal="center" vertical="center" wrapText="1"/>
      <protection locked="0"/>
    </xf>
    <xf numFmtId="0" fontId="39" fillId="0" borderId="1" xfId="184" applyFont="1" applyFill="1" applyBorder="1" applyAlignment="1" applyProtection="1">
      <alignment vertical="center" wrapText="1"/>
      <protection locked="0"/>
    </xf>
    <xf numFmtId="0" fontId="136" fillId="0" borderId="1" xfId="353" applyFont="1" applyBorder="1" applyAlignment="1">
      <alignment horizontal="center" vertical="center" wrapText="1"/>
    </xf>
    <xf numFmtId="0" fontId="12" fillId="0" borderId="1" xfId="353" applyFont="1" applyFill="1" applyBorder="1" applyAlignment="1" applyProtection="1">
      <alignment horizontal="center" vertical="center"/>
      <protection locked="0"/>
    </xf>
    <xf numFmtId="182" fontId="39" fillId="0" borderId="1" xfId="100" applyFont="1" applyFill="1" applyBorder="1" applyAlignment="1">
      <alignment vertical="center" wrapText="1"/>
      <protection locked="0"/>
    </xf>
    <xf numFmtId="0" fontId="23" fillId="0" borderId="1" xfId="353" applyFont="1" applyFill="1" applyBorder="1" applyAlignment="1">
      <alignment horizontal="center" vertical="center" wrapText="1"/>
    </xf>
    <xf numFmtId="0" fontId="12" fillId="0" borderId="1" xfId="184" applyFont="1" applyFill="1" applyBorder="1" applyAlignment="1" applyProtection="1">
      <alignment horizontal="left" vertical="center" wrapText="1"/>
      <protection locked="0"/>
    </xf>
    <xf numFmtId="0" fontId="16" fillId="0" borderId="1" xfId="339" applyFont="1" applyBorder="1" applyAlignment="1">
      <alignment horizontal="center" vertical="center" wrapText="1"/>
      <protection locked="0"/>
    </xf>
    <xf numFmtId="43" fontId="15" fillId="0" borderId="0" xfId="360" applyNumberFormat="1" applyFont="1" applyBorder="1" applyAlignment="1">
      <alignment horizontal="left" vertical="center"/>
    </xf>
    <xf numFmtId="43" fontId="17" fillId="0" borderId="0" xfId="313" applyNumberFormat="1" applyFont="1" applyBorder="1" applyAlignment="1" applyProtection="1">
      <alignment horizontal="center" vertical="center"/>
    </xf>
    <xf numFmtId="0" fontId="16" fillId="0" borderId="0" xfId="337" applyFont="1" applyBorder="1" applyAlignment="1">
      <alignment vertical="center"/>
    </xf>
    <xf numFmtId="43" fontId="12" fillId="0" borderId="1" xfId="372" applyFont="1" applyBorder="1" applyAlignment="1">
      <alignment vertical="center" wrapText="1"/>
    </xf>
    <xf numFmtId="182" fontId="138" fillId="0" borderId="0" xfId="13" applyNumberFormat="1" applyFont="1" applyAlignment="1">
      <alignment vertical="center"/>
      <protection locked="0"/>
    </xf>
    <xf numFmtId="0" fontId="16" fillId="0" borderId="1" xfId="0" applyFont="1" applyBorder="1" applyAlignment="1">
      <alignment horizontal="center" vertical="center" wrapText="1"/>
    </xf>
    <xf numFmtId="0" fontId="16" fillId="4" borderId="0" xfId="0" applyFont="1" applyFill="1" applyAlignment="1" applyProtection="1">
      <alignment horizontal="justify" vertical="center" wrapText="1"/>
      <protection locked="0"/>
    </xf>
    <xf numFmtId="0" fontId="139" fillId="0" borderId="0" xfId="0" applyFont="1" applyAlignment="1" applyProtection="1">
      <alignment horizontal="center" vertical="center"/>
      <protection locked="0"/>
    </xf>
    <xf numFmtId="182" fontId="27" fillId="0" borderId="0" xfId="377" applyFont="1" applyFill="1" applyAlignment="1">
      <alignment horizontal="left" vertical="center"/>
    </xf>
    <xf numFmtId="43" fontId="144" fillId="0" borderId="0" xfId="360" applyNumberFormat="1" applyFont="1" applyBorder="1" applyAlignment="1">
      <alignment vertical="center"/>
    </xf>
    <xf numFmtId="0" fontId="140" fillId="0" borderId="0" xfId="0" applyFont="1" applyAlignment="1" applyProtection="1">
      <alignment horizontal="left" vertical="center" wrapText="1"/>
      <protection locked="0"/>
    </xf>
    <xf numFmtId="0" fontId="30" fillId="0" borderId="0" xfId="0" applyFont="1" applyAlignment="1" applyProtection="1">
      <alignment horizontal="left" vertical="center" wrapText="1"/>
      <protection locked="0"/>
    </xf>
    <xf numFmtId="0" fontId="12" fillId="0" borderId="1" xfId="354" applyFont="1" applyBorder="1" applyAlignment="1" applyProtection="1">
      <alignment horizontal="center" vertical="center" wrapText="1"/>
      <protection locked="0"/>
    </xf>
    <xf numFmtId="182" fontId="6" fillId="0" borderId="0" xfId="357" applyFont="1" applyAlignment="1">
      <alignment horizontal="center" vertical="center"/>
    </xf>
    <xf numFmtId="182" fontId="7" fillId="0" borderId="0" xfId="357" applyFont="1" applyAlignment="1">
      <alignment horizontal="center" vertical="center"/>
    </xf>
    <xf numFmtId="182" fontId="4" fillId="0" borderId="0" xfId="152" applyFont="1" applyAlignment="1">
      <alignment horizontal="left" vertical="center"/>
      <protection locked="0"/>
    </xf>
    <xf numFmtId="182" fontId="40" fillId="0" borderId="0" xfId="152" applyFont="1" applyAlignment="1">
      <alignment horizontal="left" vertical="center"/>
      <protection locked="0"/>
    </xf>
    <xf numFmtId="0" fontId="9" fillId="33" borderId="1" xfId="354" applyFont="1" applyFill="1" applyBorder="1" applyAlignment="1" applyProtection="1">
      <alignment horizontal="center" vertical="center" wrapText="1"/>
      <protection locked="0"/>
    </xf>
    <xf numFmtId="0" fontId="16" fillId="0" borderId="1" xfId="354" applyFont="1" applyBorder="1" applyAlignment="1" applyProtection="1">
      <alignment horizontal="left" vertical="center" wrapText="1"/>
      <protection locked="0"/>
    </xf>
    <xf numFmtId="0" fontId="40" fillId="33" borderId="1" xfId="354" applyFont="1" applyFill="1" applyBorder="1" applyAlignment="1" applyProtection="1">
      <alignment horizontal="center" vertical="center"/>
      <protection locked="0"/>
    </xf>
    <xf numFmtId="0" fontId="9" fillId="2" borderId="1" xfId="354" applyFont="1" applyFill="1" applyBorder="1" applyAlignment="1" applyProtection="1">
      <alignment horizontal="center" vertical="center" wrapText="1"/>
      <protection locked="0"/>
    </xf>
    <xf numFmtId="0" fontId="9" fillId="0" borderId="24" xfId="353" applyFont="1" applyFill="1" applyBorder="1" applyAlignment="1" applyProtection="1">
      <alignment horizontal="left" vertical="center" wrapText="1"/>
      <protection locked="0"/>
    </xf>
    <xf numFmtId="0" fontId="9" fillId="2" borderId="1" xfId="354" applyFont="1" applyFill="1" applyBorder="1" applyAlignment="1" applyProtection="1">
      <alignment horizontal="center" vertical="center"/>
      <protection locked="0"/>
    </xf>
    <xf numFmtId="0" fontId="15" fillId="2" borderId="1" xfId="354" applyFont="1" applyFill="1" applyBorder="1" applyAlignment="1" applyProtection="1">
      <alignment horizontal="center" vertical="center"/>
      <protection locked="0"/>
    </xf>
    <xf numFmtId="49" fontId="40" fillId="2" borderId="1" xfId="100" applyNumberFormat="1" applyFont="1" applyFill="1" applyBorder="1" applyAlignment="1">
      <alignment horizontal="center" vertical="center"/>
      <protection locked="0"/>
    </xf>
    <xf numFmtId="0" fontId="9" fillId="33" borderId="1" xfId="353" applyFont="1" applyFill="1" applyBorder="1" applyAlignment="1" applyProtection="1">
      <alignment horizontal="center" vertical="center" wrapText="1"/>
      <protection locked="0"/>
    </xf>
    <xf numFmtId="182" fontId="40" fillId="2" borderId="1" xfId="100" applyFont="1" applyFill="1" applyBorder="1" applyAlignment="1">
      <alignment horizontal="center" vertical="center" wrapText="1"/>
      <protection locked="0"/>
    </xf>
    <xf numFmtId="182" fontId="12" fillId="0" borderId="4" xfId="152" applyFont="1" applyBorder="1" applyAlignment="1">
      <alignment horizontal="left" vertical="center" wrapText="1"/>
      <protection locked="0"/>
    </xf>
    <xf numFmtId="182" fontId="39" fillId="0" borderId="5" xfId="152" applyFont="1" applyBorder="1" applyAlignment="1">
      <alignment horizontal="left" vertical="center" wrapText="1"/>
      <protection locked="0"/>
    </xf>
    <xf numFmtId="182" fontId="39" fillId="0" borderId="6" xfId="152" applyFont="1" applyBorder="1" applyAlignment="1">
      <alignment horizontal="left" vertical="center" wrapText="1"/>
      <protection locked="0"/>
    </xf>
    <xf numFmtId="182" fontId="40" fillId="0" borderId="1" xfId="152" applyFont="1" applyBorder="1" applyAlignment="1">
      <alignment horizontal="center" vertical="center"/>
      <protection locked="0"/>
    </xf>
    <xf numFmtId="182" fontId="39" fillId="0" borderId="1" xfId="152" applyFont="1" applyBorder="1" applyAlignment="1">
      <alignment horizontal="left" vertical="center" wrapText="1"/>
      <protection locked="0"/>
    </xf>
    <xf numFmtId="182" fontId="12" fillId="0" borderId="1" xfId="152" applyFont="1" applyBorder="1" applyAlignment="1">
      <alignment horizontal="center" vertical="center" wrapText="1"/>
      <protection locked="0"/>
    </xf>
    <xf numFmtId="182" fontId="39" fillId="0" borderId="1" xfId="152" applyFont="1" applyBorder="1" applyAlignment="1">
      <alignment horizontal="center" vertical="center" wrapText="1"/>
      <protection locked="0"/>
    </xf>
    <xf numFmtId="182" fontId="9" fillId="0" borderId="0" xfId="152" applyFont="1" applyAlignment="1">
      <alignment horizontal="left" vertical="center"/>
      <protection locked="0"/>
    </xf>
    <xf numFmtId="182" fontId="40" fillId="2" borderId="4" xfId="152" applyFont="1" applyFill="1" applyBorder="1" applyAlignment="1">
      <alignment horizontal="center" vertical="center"/>
      <protection locked="0"/>
    </xf>
    <xf numFmtId="182" fontId="40" fillId="2" borderId="5" xfId="152" applyFont="1" applyFill="1" applyBorder="1" applyAlignment="1">
      <alignment horizontal="center" vertical="center"/>
      <protection locked="0"/>
    </xf>
    <xf numFmtId="182" fontId="40" fillId="2" borderId="6" xfId="152" applyFont="1" applyFill="1" applyBorder="1" applyAlignment="1">
      <alignment horizontal="center" vertical="center"/>
      <protection locked="0"/>
    </xf>
    <xf numFmtId="182" fontId="40" fillId="2" borderId="1" xfId="152" applyFont="1" applyFill="1" applyBorder="1" applyAlignment="1">
      <alignment horizontal="center" vertical="center" wrapText="1"/>
      <protection locked="0"/>
    </xf>
    <xf numFmtId="182" fontId="39" fillId="2" borderId="1" xfId="152" applyFont="1" applyFill="1" applyBorder="1" applyAlignment="1">
      <alignment horizontal="center" vertical="center" wrapText="1"/>
      <protection locked="0"/>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182" fontId="39" fillId="0" borderId="4" xfId="152" applyFont="1" applyBorder="1" applyAlignment="1">
      <alignment horizontal="center" vertical="center" wrapText="1"/>
      <protection locked="0"/>
    </xf>
    <xf numFmtId="182" fontId="39" fillId="0" borderId="6" xfId="152" applyFont="1" applyBorder="1" applyAlignment="1">
      <alignment horizontal="center" vertical="center" wrapText="1"/>
      <protection locked="0"/>
    </xf>
    <xf numFmtId="0" fontId="42" fillId="2" borderId="4" xfId="0" applyFont="1" applyFill="1" applyBorder="1" applyAlignment="1">
      <alignment horizontal="center" vertical="center" wrapText="1"/>
    </xf>
    <xf numFmtId="0" fontId="42" fillId="2" borderId="5" xfId="0" applyFont="1" applyFill="1" applyBorder="1" applyAlignment="1">
      <alignment horizontal="center" vertical="center" wrapText="1"/>
    </xf>
    <xf numFmtId="0" fontId="42" fillId="2" borderId="6"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6" xfId="0" applyFont="1" applyFill="1" applyBorder="1" applyAlignment="1">
      <alignment horizontal="center" vertical="center" wrapText="1"/>
    </xf>
    <xf numFmtId="182" fontId="39" fillId="0" borderId="0" xfId="152" applyFont="1" applyAlignment="1">
      <alignment horizontal="center" vertical="center" wrapText="1"/>
      <protection locked="0"/>
    </xf>
    <xf numFmtId="182" fontId="9" fillId="0" borderId="0" xfId="361" applyFont="1" applyAlignment="1">
      <alignment horizontal="center" vertical="center" wrapText="1"/>
    </xf>
    <xf numFmtId="182" fontId="40" fillId="0" borderId="0" xfId="361" applyFont="1" applyAlignment="1">
      <alignment horizontal="center" vertical="center" wrapText="1"/>
    </xf>
    <xf numFmtId="182" fontId="40" fillId="0" borderId="1" xfId="152" applyFont="1" applyBorder="1" applyAlignment="1">
      <alignment horizontal="left" vertical="center" wrapText="1"/>
      <protection locked="0"/>
    </xf>
    <xf numFmtId="43" fontId="6" fillId="0" borderId="0" xfId="360" applyNumberFormat="1" applyFont="1" applyBorder="1" applyAlignment="1">
      <alignment horizontal="center" vertical="center"/>
    </xf>
    <xf numFmtId="43" fontId="7" fillId="0" borderId="0" xfId="360" applyNumberFormat="1" applyFont="1" applyBorder="1" applyAlignment="1">
      <alignment horizontal="center" vertical="center"/>
    </xf>
    <xf numFmtId="182" fontId="9" fillId="2" borderId="4" xfId="344" applyFont="1" applyFill="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6" xfId="0" applyBorder="1" applyAlignment="1">
      <alignment horizontal="center" vertical="center" wrapText="1"/>
    </xf>
    <xf numFmtId="182" fontId="8" fillId="2" borderId="1" xfId="205" applyNumberFormat="1" applyFont="1" applyFill="1" applyBorder="1" applyAlignment="1">
      <alignment horizontal="center" vertical="center" wrapText="1"/>
      <protection locked="0"/>
    </xf>
    <xf numFmtId="0" fontId="15" fillId="2" borderId="1" xfId="205" applyFont="1" applyFill="1" applyBorder="1" applyAlignment="1">
      <alignment horizontal="center" vertical="center" wrapText="1"/>
      <protection locked="0"/>
    </xf>
    <xf numFmtId="0" fontId="8" fillId="2" borderId="3" xfId="339" applyFont="1" applyFill="1" applyBorder="1" applyAlignment="1" applyProtection="1">
      <alignment horizontal="center" vertical="center" wrapText="1"/>
    </xf>
    <xf numFmtId="0" fontId="14" fillId="2" borderId="7" xfId="339" applyFont="1" applyFill="1" applyBorder="1" applyAlignment="1" applyProtection="1">
      <alignment vertical="center" wrapText="1"/>
    </xf>
    <xf numFmtId="0" fontId="14" fillId="2" borderId="1" xfId="339" applyFont="1" applyFill="1" applyBorder="1" applyAlignment="1" applyProtection="1">
      <alignment horizontal="center" vertical="center"/>
    </xf>
    <xf numFmtId="0" fontId="20" fillId="2" borderId="1" xfId="339" applyFont="1" applyFill="1" applyBorder="1" applyAlignment="1" applyProtection="1">
      <alignment vertical="center"/>
    </xf>
    <xf numFmtId="0" fontId="6" fillId="0" borderId="0" xfId="317" applyFont="1" applyAlignment="1">
      <alignment horizontal="center" vertical="center"/>
      <protection locked="0"/>
    </xf>
    <xf numFmtId="0" fontId="7" fillId="0" borderId="0" xfId="317" applyFont="1" applyAlignment="1">
      <alignment horizontal="center" vertical="center"/>
      <protection locked="0"/>
    </xf>
    <xf numFmtId="0" fontId="6" fillId="0" borderId="0" xfId="359" applyFont="1" applyAlignment="1">
      <alignment horizontal="center" vertical="center"/>
    </xf>
    <xf numFmtId="0" fontId="7" fillId="0" borderId="0" xfId="359" applyFont="1" applyAlignment="1">
      <alignment horizontal="center" vertical="center"/>
    </xf>
    <xf numFmtId="182" fontId="9" fillId="2" borderId="1" xfId="344"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21" fillId="2" borderId="1" xfId="0" applyFont="1" applyFill="1" applyBorder="1" applyAlignment="1">
      <alignment horizontal="center" vertical="center" wrapText="1"/>
    </xf>
    <xf numFmtId="0" fontId="15" fillId="2" borderId="1" xfId="317" applyFont="1" applyFill="1" applyBorder="1" applyAlignment="1">
      <alignment horizontal="center" vertical="center" wrapText="1"/>
      <protection locked="0"/>
    </xf>
    <xf numFmtId="0" fontId="9" fillId="2" borderId="1" xfId="317" applyFont="1" applyFill="1" applyBorder="1" applyAlignment="1">
      <alignment horizontal="center" vertical="center" wrapText="1"/>
      <protection locked="0"/>
    </xf>
  </cellXfs>
  <cellStyles count="378">
    <cellStyle name="%" xfId="56"/>
    <cellStyle name="% 2" xfId="51"/>
    <cellStyle name="?" xfId="58"/>
    <cellStyle name="??" xfId="61"/>
    <cellStyle name="?? [0]" xfId="62"/>
    <cellStyle name="??_0N-HANDLING " xfId="29"/>
    <cellStyle name="?餡_x000c_k" xfId="43"/>
    <cellStyle name="?餡_x000c_k?_x000d_^" xfId="59"/>
    <cellStyle name="?餡_x000c_k?_x000d_^黇_x0001_??_x0007__x0001__x0001_" xfId="8"/>
    <cellStyle name="@_text" xfId="32"/>
    <cellStyle name="@_text_子公司附注汇总(房开公司)" xfId="27"/>
    <cellStyle name="_(本部)2006年年报审计PBC表" xfId="63"/>
    <cellStyle name="_07930建造合同" xfId="31"/>
    <cellStyle name="_12月项目部访问及审计-德勤" xfId="39"/>
    <cellStyle name="_2005-08-31审计底稿－李" xfId="46"/>
    <cellStyle name="_2005审计报表及附注-中国建材股份模板（房屋）" xfId="65"/>
    <cellStyle name="_2006年年报审计PBC表（合并）" xfId="66"/>
    <cellStyle name="_2006年年报审计PBC表-XX" xfId="68"/>
    <cellStyle name="_2006年年报审计PBC表-XXX" xfId="71"/>
    <cellStyle name="_2006年年报审计PBC表-福州分公司" xfId="72"/>
    <cellStyle name="_2006年年报审计PBC表-云南分公司" xfId="73"/>
    <cellStyle name="_2006年年报审计填报资料" xfId="75"/>
    <cellStyle name="_2007调整分录-鲁佳" xfId="77"/>
    <cellStyle name="_Book1" xfId="57"/>
    <cellStyle name="_CREC(Huo" xfId="78"/>
    <cellStyle name="_ET_STYLE_NoName_00_" xfId="79"/>
    <cellStyle name="_ET_STYLE_NoName_00__2007调整分录-鲁佳" xfId="80"/>
    <cellStyle name="_ET_STYLE_NoName_00__股份本部" xfId="30"/>
    <cellStyle name="_ET_STYLE_NoName_00__股份本部_1" xfId="82"/>
    <cellStyle name="_ET_STYLE_NoName_00__股份本部_3" xfId="84"/>
    <cellStyle name="_ET_STYLE_NoName_00__股份本部_6_股份本部_2" xfId="89"/>
    <cellStyle name="_ET_STYLE_NoName_00__股份本部_7_股份本部_3" xfId="91"/>
    <cellStyle name="_J1000-存货-ZHHG" xfId="92"/>
    <cellStyle name="_PBC审核提示" xfId="93"/>
    <cellStyle name="_宝丽华房地产20051231" xfId="94"/>
    <cellStyle name="_保证金-企业填写部分" xfId="96"/>
    <cellStyle name="_北新房屋2004年审-刘" xfId="99"/>
    <cellStyle name="_北新股份2005年审工作底稿" xfId="102"/>
    <cellStyle name="_北新建材关连交易基础表051230（10－12月版）更新稿" xfId="103"/>
    <cellStyle name="_北新建材-会计报表附注模版" xfId="107"/>
    <cellStyle name="_北新龙之星2004年审工作底稿" xfId="108"/>
    <cellStyle name="_北新物流2005底稿-刘" xfId="109"/>
    <cellStyle name="_北新置换memo" xfId="112"/>
    <cellStyle name="_本部其他应收应付年审底稿--鲁佳pb" xfId="53"/>
    <cellStyle name="_存货结转测试" xfId="113"/>
    <cellStyle name="_存货数量与明细05.12" xfId="114"/>
    <cellStyle name="_动力厂2004年审工作底稿-刘" xfId="116"/>
    <cellStyle name="_分工" xfId="117"/>
    <cellStyle name="_工程施工项目现场审计提示" xfId="119"/>
    <cellStyle name="_关联交易" xfId="121"/>
    <cellStyle name="_关联交易、往来统计表" xfId="88"/>
    <cellStyle name="_合并报表审计调整模板(CREC)" xfId="64"/>
    <cellStyle name="_合并公司2006年度科目明细表(定稿)" xfId="122"/>
    <cellStyle name="_建造合同-宜万指（正式版）" xfId="124"/>
    <cellStyle name="_科目核对表" xfId="125"/>
    <cellStyle name="_刘青分工填列信息统计" xfId="126"/>
    <cellStyle name="_刘青分工－子公司审计模板-电务" xfId="127"/>
    <cellStyle name="_刘青分工－子公司审计模板－铁达本部" xfId="23"/>
    <cellStyle name="_母PL" xfId="128"/>
    <cellStyle name="_母公司底稿-鲁佳" xfId="120"/>
    <cellStyle name="_年审筹资循环资料清单" xfId="130"/>
    <cellStyle name="_人员分工备忘录" xfId="132"/>
    <cellStyle name="_审计底稿-轩" xfId="133"/>
    <cellStyle name="_审计所需资料清单－子公司" xfId="49"/>
    <cellStyle name="_审计提示模版" xfId="2"/>
    <cellStyle name="_审计提示模版-母公司部分" xfId="136"/>
    <cellStyle name="_铁鸿源－刘青分工－子公司审计模板" xfId="137"/>
    <cellStyle name="_兴华审计成本" xfId="140"/>
    <cellStyle name="_岩土长投--急0121报王占学" xfId="12"/>
    <cellStyle name="_一公司建造合同前5名" xfId="135"/>
    <cellStyle name="_一公司－刘丰收" xfId="142"/>
    <cellStyle name="_银行询证函统计－大表" xfId="90"/>
    <cellStyle name="_长期借款－江阴" xfId="144"/>
    <cellStyle name="_子公司筹资循环－刘青" xfId="146"/>
    <cellStyle name="_子公司审计提示模版-Liufs" xfId="147"/>
    <cellStyle name="{Comma [0]}" xfId="148"/>
    <cellStyle name="{Comma}" xfId="149"/>
    <cellStyle name="{Date}" xfId="151"/>
    <cellStyle name="{Month}" xfId="157"/>
    <cellStyle name="{Percent}" xfId="158"/>
    <cellStyle name="{Thousand [0]}" xfId="156"/>
    <cellStyle name="{Thousand}" xfId="159"/>
    <cellStyle name="{Z'0000(1 dec)}" xfId="160"/>
    <cellStyle name="{Z'0000(4 dec)}" xfId="161"/>
    <cellStyle name="0%" xfId="25"/>
    <cellStyle name="0,0_x000d__x000a_NA_x000d__x000a_" xfId="24"/>
    <cellStyle name="0,0_x000d__x000a_NA_x000d__x000a_ 2" xfId="164"/>
    <cellStyle name="0.0%" xfId="41"/>
    <cellStyle name="0.00%" xfId="165"/>
    <cellStyle name="00" xfId="168"/>
    <cellStyle name="20% - Accent1" xfId="169"/>
    <cellStyle name="20% - Accent2" xfId="171"/>
    <cellStyle name="20% - Accent3" xfId="172"/>
    <cellStyle name="20% - Accent4" xfId="173"/>
    <cellStyle name="20% - Accent5" xfId="174"/>
    <cellStyle name="20% - Accent6" xfId="175"/>
    <cellStyle name="40% - Accent1" xfId="176"/>
    <cellStyle name="40% - Accent2" xfId="177"/>
    <cellStyle name="40% - Accent3" xfId="178"/>
    <cellStyle name="40% - Accent4" xfId="180"/>
    <cellStyle name="40% - Accent5" xfId="182"/>
    <cellStyle name="40% - Accent6" xfId="183"/>
    <cellStyle name="60% - Accent1" xfId="50"/>
    <cellStyle name="60% - Accent2" xfId="185"/>
    <cellStyle name="60% - Accent3" xfId="187"/>
    <cellStyle name="60% - Accent4" xfId="155"/>
    <cellStyle name="60% - Accent5" xfId="87"/>
    <cellStyle name="60% - Accent6" xfId="190"/>
    <cellStyle name="Accent1" xfId="192"/>
    <cellStyle name="Accent2" xfId="167"/>
    <cellStyle name="Accent3" xfId="194"/>
    <cellStyle name="Accent4" xfId="196"/>
    <cellStyle name="Accent5" xfId="197"/>
    <cellStyle name="Accent6" xfId="198"/>
    <cellStyle name="args.style" xfId="6"/>
    <cellStyle name="Bad" xfId="200"/>
    <cellStyle name="Black" xfId="181"/>
    <cellStyle name="Border" xfId="195"/>
    <cellStyle name="Calc Currency (0)" xfId="201"/>
    <cellStyle name="Calc Currency (2)" xfId="203"/>
    <cellStyle name="Calc Percent (0)" xfId="204"/>
    <cellStyle name="Calc Percent (1)" xfId="9"/>
    <cellStyle name="Calc Percent (2)" xfId="206"/>
    <cellStyle name="Calc Units (0)" xfId="22"/>
    <cellStyle name="Calc Units (1)" xfId="70"/>
    <cellStyle name="Calc Units (2)" xfId="207"/>
    <cellStyle name="Calculation" xfId="208"/>
    <cellStyle name="category" xfId="210"/>
    <cellStyle name="Check Cell" xfId="211"/>
    <cellStyle name="Col Heads" xfId="212"/>
    <cellStyle name="Column_Title" xfId="163"/>
    <cellStyle name="Comma  - Style1" xfId="213"/>
    <cellStyle name="Comma  - Style2" xfId="215"/>
    <cellStyle name="Comma  - Style3" xfId="209"/>
    <cellStyle name="Comma  - Style4" xfId="216"/>
    <cellStyle name="Comma  - Style5" xfId="217"/>
    <cellStyle name="Comma  - Style6" xfId="218"/>
    <cellStyle name="Comma  - Style7" xfId="219"/>
    <cellStyle name="Comma  - Style8" xfId="221"/>
    <cellStyle name="Comma [0]_ rislugp" xfId="106"/>
    <cellStyle name="Comma [00]" xfId="224"/>
    <cellStyle name="Comma 28" xfId="226"/>
    <cellStyle name="comma zerodec" xfId="228"/>
    <cellStyle name="Comma,0" xfId="229"/>
    <cellStyle name="Comma,1" xfId="231"/>
    <cellStyle name="Comma,2" xfId="233"/>
    <cellStyle name="Comma_ rislugp" xfId="234"/>
    <cellStyle name="Copied" xfId="235"/>
    <cellStyle name="COST1" xfId="236"/>
    <cellStyle name="Currency [0]_ rislugp" xfId="69"/>
    <cellStyle name="Currency [00]" xfId="74"/>
    <cellStyle name="Currency,0" xfId="139"/>
    <cellStyle name="Currency,2" xfId="237"/>
    <cellStyle name="Currency_ rislugp" xfId="238"/>
    <cellStyle name="Currency1" xfId="239"/>
    <cellStyle name="Date" xfId="240"/>
    <cellStyle name="Date Short" xfId="241"/>
    <cellStyle name="Dezimal [0]_laroux" xfId="242"/>
    <cellStyle name="Dezimal_laroux" xfId="243"/>
    <cellStyle name="Dollar (zero dec)" xfId="244"/>
    <cellStyle name="E&amp;Y House" xfId="245"/>
    <cellStyle name="Enter Currency (0)" xfId="247"/>
    <cellStyle name="Enter Currency (2)" xfId="98"/>
    <cellStyle name="Enter Units (0)" xfId="36"/>
    <cellStyle name="Enter Units (1)" xfId="248"/>
    <cellStyle name="Enter Units (2)" xfId="67"/>
    <cellStyle name="Entered" xfId="19"/>
    <cellStyle name="entry" xfId="17"/>
    <cellStyle name="entry box" xfId="249"/>
    <cellStyle name="Euro" xfId="251"/>
    <cellStyle name="Explanatory Text" xfId="131"/>
    <cellStyle name="Followed Hyperlink_AheadBehind.xls Chart 23" xfId="253"/>
    <cellStyle name="Good" xfId="255"/>
    <cellStyle name="Grey" xfId="162"/>
    <cellStyle name="HEADER" xfId="257"/>
    <cellStyle name="Header1" xfId="258"/>
    <cellStyle name="Header2" xfId="259"/>
    <cellStyle name="Heading" xfId="3"/>
    <cellStyle name="Heading 1" xfId="260"/>
    <cellStyle name="Heading 2" xfId="262"/>
    <cellStyle name="Heading 3" xfId="37"/>
    <cellStyle name="Heading 4" xfId="264"/>
    <cellStyle name="Hyperlink_AheadBehind.xls Chart 23" xfId="154"/>
    <cellStyle name="Input" xfId="33"/>
    <cellStyle name="Input [yellow]" xfId="266"/>
    <cellStyle name="Input Cells" xfId="267"/>
    <cellStyle name="left" xfId="268"/>
    <cellStyle name="Link Currency (0)" xfId="141"/>
    <cellStyle name="Link Currency (2)" xfId="111"/>
    <cellStyle name="Link Units (0)" xfId="40"/>
    <cellStyle name="Link Units (1)" xfId="35"/>
    <cellStyle name="Link Units (2)" xfId="270"/>
    <cellStyle name="Linked Cell" xfId="76"/>
    <cellStyle name="Linked Cells" xfId="271"/>
    <cellStyle name="Millares [0]_laroux" xfId="273"/>
    <cellStyle name="Millares_laroux" xfId="276"/>
    <cellStyle name="Milliers [0]_!!!GO" xfId="277"/>
    <cellStyle name="Milliers_!!!GO" xfId="214"/>
    <cellStyle name="Model" xfId="278"/>
    <cellStyle name="Moneda [0]_laroux" xfId="11"/>
    <cellStyle name="Moneda_laroux" xfId="143"/>
    <cellStyle name="Monétaire [0]_!!!GO" xfId="280"/>
    <cellStyle name="Monétaire_!!!GO" xfId="281"/>
    <cellStyle name="Mon閠aire [0]_laroux" xfId="101"/>
    <cellStyle name="Mon閠aire_laroux" xfId="223"/>
    <cellStyle name="Neutral" xfId="282"/>
    <cellStyle name="New Times Roman" xfId="284"/>
    <cellStyle name="no dec" xfId="285"/>
    <cellStyle name="Non défini" xfId="118"/>
    <cellStyle name="Normal - Style1" xfId="179"/>
    <cellStyle name="Normal 2" xfId="286"/>
    <cellStyle name="Normal 2 2" xfId="288"/>
    <cellStyle name="Normal 21" xfId="289"/>
    <cellStyle name="Normal 3 2" xfId="290"/>
    <cellStyle name="Normal_ rislugp" xfId="291"/>
    <cellStyle name="Normalny_Arkusz1" xfId="5"/>
    <cellStyle name="Note" xfId="293"/>
    <cellStyle name="Œ…‹æØ‚è [0.00]_Region Orders (2)" xfId="294"/>
    <cellStyle name="Œ…‹æØ‚è_Region Orders (2)" xfId="15"/>
    <cellStyle name="Output" xfId="296"/>
    <cellStyle name="per.style" xfId="153"/>
    <cellStyle name="Percent (0)" xfId="246"/>
    <cellStyle name="Percent [0]" xfId="297"/>
    <cellStyle name="Percent [00]" xfId="28"/>
    <cellStyle name="Percent [2]" xfId="298"/>
    <cellStyle name="Prefilled" xfId="300"/>
    <cellStyle name="PrePop Currency (0)" xfId="252"/>
    <cellStyle name="PrePop Currency (2)" xfId="301"/>
    <cellStyle name="PrePop Units (0)" xfId="230"/>
    <cellStyle name="PrePop Units (1)" xfId="18"/>
    <cellStyle name="PrePop Units (2)" xfId="145"/>
    <cellStyle name="price" xfId="302"/>
    <cellStyle name="pricing" xfId="304"/>
    <cellStyle name="PSChar" xfId="48"/>
    <cellStyle name="Red" xfId="305"/>
    <cellStyle name="revised" xfId="105"/>
    <cellStyle name="RevList" xfId="306"/>
    <cellStyle name="row_def_array" xfId="307"/>
    <cellStyle name="S4" xfId="86"/>
    <cellStyle name="S5" xfId="189"/>
    <cellStyle name="section" xfId="283"/>
    <cellStyle name="SOR" xfId="309"/>
    <cellStyle name="style" xfId="310"/>
    <cellStyle name="style1" xfId="311"/>
    <cellStyle name="style2" xfId="275"/>
    <cellStyle name="subhead" xfId="312"/>
    <cellStyle name="Subtotal" xfId="314"/>
    <cellStyle name="Text Indent A" xfId="81"/>
    <cellStyle name="Text Indent B" xfId="315"/>
    <cellStyle name="Text Indent C" xfId="83"/>
    <cellStyle name="Tickmark" xfId="316"/>
    <cellStyle name="title" xfId="318"/>
    <cellStyle name="Total" xfId="269"/>
    <cellStyle name="Warning Text" xfId="274"/>
    <cellStyle name="wrap" xfId="319"/>
    <cellStyle name="パーセント_laroux" xfId="320"/>
    <cellStyle name="_PLDT" xfId="45"/>
    <cellStyle name="_laroux" xfId="321"/>
    <cellStyle name="だ[0]_PLDT" xfId="55"/>
    <cellStyle name="だ_PLDT" xfId="129"/>
    <cellStyle name="だ[0]_Total (2)" xfId="1"/>
    <cellStyle name="だ_laroux" xfId="95"/>
    <cellStyle name="百分比 2" xfId="322"/>
    <cellStyle name="百分比 2 2" xfId="97"/>
    <cellStyle name="百分比 3" xfId="323"/>
    <cellStyle name="捠壿 [0.00]_PRODUCT DETAIL Q1" xfId="7"/>
    <cellStyle name="捠壿_PRODUCT DETAIL Q1" xfId="324"/>
    <cellStyle name="標準_１１月価格表" xfId="287"/>
    <cellStyle name="差_StartUp" xfId="325"/>
    <cellStyle name="差_T1000-主营业务收入-LJCH" xfId="52"/>
    <cellStyle name="差_子公司附注汇总(房开公司)" xfId="138"/>
    <cellStyle name="常规" xfId="0" builtinId="0"/>
    <cellStyle name="常规 10" xfId="254"/>
    <cellStyle name="常规 10 2" xfId="326"/>
    <cellStyle name="常规 10 3" xfId="327"/>
    <cellStyle name="常规 10 4" xfId="328"/>
    <cellStyle name="常规 11 2" xfId="329"/>
    <cellStyle name="常规 11 3" xfId="330"/>
    <cellStyle name="常规 11 4" xfId="292"/>
    <cellStyle name="常规 11 5" xfId="377"/>
    <cellStyle name="常规 12 2" xfId="331"/>
    <cellStyle name="常规 12 3" xfId="332"/>
    <cellStyle name="常规 12 4" xfId="333"/>
    <cellStyle name="常规 13 2" xfId="334"/>
    <cellStyle name="常规 13 3" xfId="250"/>
    <cellStyle name="常规 13 4" xfId="110"/>
    <cellStyle name="常规 2" xfId="317"/>
    <cellStyle name="常规 2 2" xfId="184"/>
    <cellStyle name="常规 2 2 2" xfId="335"/>
    <cellStyle name="常规 2 2 3" xfId="336"/>
    <cellStyle name="常规 2 2 4" xfId="4"/>
    <cellStyle name="常规 2 3" xfId="186"/>
    <cellStyle name="常规 2 3 2" xfId="199"/>
    <cellStyle name="常规 2 3 4" xfId="100"/>
    <cellStyle name="常规 2 4" xfId="152"/>
    <cellStyle name="常规 2 5" xfId="85"/>
    <cellStyle name="常规 2 6" xfId="188"/>
    <cellStyle name="常规 2 7" xfId="338"/>
    <cellStyle name="常规 2 8" xfId="339"/>
    <cellStyle name="常规 2_经销商信息-1-原始表" xfId="340"/>
    <cellStyle name="常规 3" xfId="272"/>
    <cellStyle name="常规 3 2" xfId="341"/>
    <cellStyle name="常规 3 2 2" xfId="205"/>
    <cellStyle name="常规 3 3" xfId="342"/>
    <cellStyle name="常规 3 4" xfId="343"/>
    <cellStyle name="常规 4" xfId="279"/>
    <cellStyle name="常规 4 2" xfId="344"/>
    <cellStyle name="常规 4 3" xfId="346"/>
    <cellStyle name="常规 4 4" xfId="347"/>
    <cellStyle name="常规 5" xfId="348"/>
    <cellStyle name="常规 5 2" xfId="21"/>
    <cellStyle name="常规 5 3" xfId="349"/>
    <cellStyle name="常规 5 4" xfId="202"/>
    <cellStyle name="常规 6" xfId="16"/>
    <cellStyle name="常规 6 2" xfId="350"/>
    <cellStyle name="常规 6 3" xfId="351"/>
    <cellStyle name="常规 6 4" xfId="352"/>
    <cellStyle name="常规 6 5" xfId="20"/>
    <cellStyle name="常规 7" xfId="353"/>
    <cellStyle name="常规 7 2" xfId="354"/>
    <cellStyle name="常规 7 3" xfId="10"/>
    <cellStyle name="常规 7 4" xfId="355"/>
    <cellStyle name="常规 8" xfId="134"/>
    <cellStyle name="常规 8 2" xfId="38"/>
    <cellStyle name="常规 8 3" xfId="34"/>
    <cellStyle name="常规 8 4" xfId="303"/>
    <cellStyle name="常规 9" xfId="358"/>
    <cellStyle name="常规 9 2" xfId="191"/>
    <cellStyle name="常规 9 3" xfId="166"/>
    <cellStyle name="常规 9 4" xfId="193"/>
    <cellStyle name="常规_2-1项目审定表－模板" xfId="261"/>
    <cellStyle name="常规_Book1" xfId="359"/>
    <cellStyle name="常规_Book1 2" xfId="357"/>
    <cellStyle name="常规_c-资产类" xfId="337"/>
    <cellStyle name="常规_新审定表" xfId="360"/>
    <cellStyle name="常规_制造费用" xfId="361"/>
    <cellStyle name="常规_制造费用 2" xfId="362"/>
    <cellStyle name="超级链接_B4-1审计项目工时预算与控制表(集团)" xfId="356"/>
    <cellStyle name="超链接" xfId="13" builtinId="8"/>
    <cellStyle name="超链接 2" xfId="313"/>
    <cellStyle name="超链接 2 2" xfId="364"/>
    <cellStyle name="超链接 3" xfId="225"/>
    <cellStyle name="分级显示行_1_4附件二凯旋评估表" xfId="42"/>
    <cellStyle name="好_StartUp" xfId="14"/>
    <cellStyle name="好_T1000-主营业务收入" xfId="170"/>
    <cellStyle name="好_子公司附注汇总(房开公司)" xfId="150"/>
    <cellStyle name="桁区切り [0.00]_１１月価格表" xfId="308"/>
    <cellStyle name="桁区切り_１１月価格表" xfId="26"/>
    <cellStyle name="霓付 [0]_1202" xfId="345"/>
    <cellStyle name="霓付_1202" xfId="220"/>
    <cellStyle name="烹拳 [0]_1202" xfId="365"/>
    <cellStyle name="烹拳_1202" xfId="366"/>
    <cellStyle name="砯刽 [0]_PLDT" xfId="367"/>
    <cellStyle name="砯刽_PLDT" xfId="368"/>
    <cellStyle name="普通_ 白土" xfId="232"/>
    <cellStyle name="千分位[0]_ 白土" xfId="369"/>
    <cellStyle name="千分位_ 白土" xfId="256"/>
    <cellStyle name="千位[0]_ 应交税金审定表" xfId="295"/>
    <cellStyle name="千位_ 应交税金审定表" xfId="54"/>
    <cellStyle name="千位分隔 2" xfId="370"/>
    <cellStyle name="千位分隔 2 3" xfId="371"/>
    <cellStyle name="千位分隔 2 4" xfId="265"/>
    <cellStyle name="千位分隔 3" xfId="372"/>
    <cellStyle name="千位分隔[0] 2" xfId="44"/>
    <cellStyle name="钎霖_(沥焊何巩)岿喊牢盔拌裙" xfId="115"/>
    <cellStyle name="通貨 [0.00]_１１月価格表" xfId="104"/>
    <cellStyle name="通貨_１１月価格表" xfId="373"/>
    <cellStyle name="样式 1" xfId="299"/>
    <cellStyle name="样式 1 2" xfId="222"/>
    <cellStyle name="昗弨_BOOKSHIP" xfId="47"/>
    <cellStyle name="寘嬫愗傝 [0.00]_PRODUCT DETAIL Q1" xfId="60"/>
    <cellStyle name="寘嬫愗傝_PRODUCT DETAIL Q1" xfId="363"/>
    <cellStyle name="资产" xfId="123"/>
    <cellStyle name="콤마 [0]_BOILER-CO1" xfId="263"/>
    <cellStyle name="콤마_BOILER-CO1" xfId="374"/>
    <cellStyle name="통화 [0]_BOILER-CO1" xfId="375"/>
    <cellStyle name="통화_BOILER-CO1" xfId="227"/>
    <cellStyle name="표준_0N-HANDLING " xfId="376"/>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workbookViewId="0"/>
  </sheetViews>
  <sheetFormatPr defaultColWidth="9" defaultRowHeight="20.25" customHeight="1"/>
  <cols>
    <col min="1" max="1" width="77.5546875" style="151" customWidth="1"/>
    <col min="2" max="2" width="2" style="151" customWidth="1"/>
    <col min="3" max="3" width="2.109375" style="151" customWidth="1"/>
    <col min="4" max="4" width="6.109375" style="152" customWidth="1"/>
    <col min="5" max="5" width="33.33203125" style="152" customWidth="1"/>
    <col min="6" max="6" width="13.21875" style="152" customWidth="1"/>
    <col min="7" max="16384" width="9" style="153"/>
  </cols>
  <sheetData>
    <row r="1" spans="1:8" s="150" customFormat="1" ht="20.25" customHeight="1">
      <c r="A1" s="154" t="s">
        <v>0</v>
      </c>
      <c r="B1" s="155"/>
      <c r="C1" s="155"/>
    </row>
    <row r="2" spans="1:8" ht="20.25" customHeight="1">
      <c r="A2" s="156" t="s">
        <v>1</v>
      </c>
      <c r="B2" s="157"/>
      <c r="C2" s="157"/>
      <c r="G2" s="158"/>
      <c r="H2" s="158"/>
    </row>
    <row r="3" spans="1:8" ht="20.25" customHeight="1">
      <c r="A3" s="196" t="s">
        <v>228</v>
      </c>
      <c r="B3" s="157"/>
      <c r="C3" s="157"/>
      <c r="D3" s="159" t="s">
        <v>2</v>
      </c>
      <c r="E3" s="159" t="s">
        <v>3</v>
      </c>
      <c r="F3" s="159" t="s">
        <v>4</v>
      </c>
      <c r="G3" s="160"/>
      <c r="H3" s="161"/>
    </row>
    <row r="4" spans="1:8" ht="20.25" customHeight="1">
      <c r="A4" s="156" t="s">
        <v>5</v>
      </c>
      <c r="D4" s="162"/>
      <c r="E4" s="163" t="s">
        <v>6</v>
      </c>
      <c r="F4" s="164" t="s">
        <v>7</v>
      </c>
      <c r="G4" s="160"/>
      <c r="H4" s="165"/>
    </row>
    <row r="5" spans="1:8" ht="20.25" customHeight="1">
      <c r="A5" s="166" t="s">
        <v>8</v>
      </c>
      <c r="D5" s="162">
        <v>1</v>
      </c>
      <c r="E5" s="167" t="s">
        <v>9</v>
      </c>
      <c r="F5" s="164" t="s">
        <v>10</v>
      </c>
      <c r="G5" s="160"/>
    </row>
    <row r="6" spans="1:8" ht="20.25" customHeight="1">
      <c r="A6" s="166" t="s">
        <v>11</v>
      </c>
      <c r="D6" s="168">
        <f>D5+1</f>
        <v>2</v>
      </c>
      <c r="E6" s="175" t="s">
        <v>12</v>
      </c>
      <c r="F6" s="169"/>
      <c r="G6" s="170" t="s">
        <v>13</v>
      </c>
    </row>
    <row r="7" spans="1:8" ht="20.25" customHeight="1">
      <c r="A7" s="166" t="s">
        <v>14</v>
      </c>
      <c r="D7" s="168">
        <f t="shared" ref="D7:D9" si="0">D6+1</f>
        <v>3</v>
      </c>
      <c r="E7" s="175" t="s">
        <v>15</v>
      </c>
      <c r="F7" s="169"/>
      <c r="G7" s="170" t="s">
        <v>13</v>
      </c>
    </row>
    <row r="8" spans="1:8" ht="20.25" customHeight="1">
      <c r="D8" s="168">
        <f t="shared" si="0"/>
        <v>4</v>
      </c>
      <c r="E8" s="176" t="s">
        <v>16</v>
      </c>
      <c r="F8" s="164" t="s">
        <v>17</v>
      </c>
      <c r="G8" s="170"/>
    </row>
    <row r="9" spans="1:8" ht="20.25" customHeight="1">
      <c r="A9" s="197" t="s">
        <v>229</v>
      </c>
      <c r="D9" s="168">
        <f t="shared" si="0"/>
        <v>5</v>
      </c>
      <c r="E9" s="176" t="s">
        <v>18</v>
      </c>
      <c r="F9" s="164" t="s">
        <v>19</v>
      </c>
      <c r="G9" s="170"/>
    </row>
    <row r="10" spans="1:8" ht="20.25" customHeight="1">
      <c r="A10" s="200" t="s">
        <v>230</v>
      </c>
      <c r="D10" s="171"/>
      <c r="E10" s="172"/>
      <c r="G10" s="170"/>
    </row>
    <row r="11" spans="1:8" ht="20.25" customHeight="1">
      <c r="A11" s="200"/>
      <c r="D11" s="171"/>
      <c r="E11" s="172"/>
      <c r="G11" s="170"/>
    </row>
    <row r="12" spans="1:8" ht="20.25" customHeight="1">
      <c r="A12" s="200"/>
      <c r="D12" s="171"/>
      <c r="E12" s="172"/>
      <c r="G12" s="170"/>
    </row>
    <row r="13" spans="1:8" ht="20.25" customHeight="1">
      <c r="A13" s="200"/>
      <c r="D13" s="171"/>
      <c r="E13" s="172"/>
      <c r="G13" s="170"/>
    </row>
    <row r="14" spans="1:8" ht="20.25" customHeight="1">
      <c r="A14" s="200" t="s">
        <v>231</v>
      </c>
      <c r="D14" s="171"/>
      <c r="E14" s="172"/>
      <c r="G14" s="170"/>
    </row>
    <row r="15" spans="1:8" ht="20.25" customHeight="1">
      <c r="A15" s="200"/>
      <c r="D15" s="171"/>
      <c r="E15" s="172"/>
      <c r="G15" s="170"/>
    </row>
    <row r="16" spans="1:8" ht="20.25" customHeight="1">
      <c r="A16" s="200"/>
      <c r="D16" s="171"/>
      <c r="E16" s="172"/>
    </row>
    <row r="17" spans="1:5" ht="20.25" customHeight="1">
      <c r="A17" s="201" t="s">
        <v>232</v>
      </c>
      <c r="D17" s="171"/>
      <c r="E17" s="172"/>
    </row>
    <row r="18" spans="1:5" ht="15.6">
      <c r="A18" s="201"/>
      <c r="D18" s="171"/>
      <c r="E18" s="172"/>
    </row>
    <row r="19" spans="1:5" ht="15.6">
      <c r="A19" s="201"/>
      <c r="D19" s="171"/>
      <c r="E19" s="172"/>
    </row>
    <row r="20" spans="1:5" ht="20.25" customHeight="1">
      <c r="A20" s="173"/>
      <c r="D20" s="171"/>
      <c r="E20" s="174"/>
    </row>
    <row r="21" spans="1:5" ht="20.25" customHeight="1">
      <c r="E21" s="174"/>
    </row>
  </sheetData>
  <mergeCells count="3">
    <mergeCell ref="A10:A13"/>
    <mergeCell ref="A14:A16"/>
    <mergeCell ref="A17:A19"/>
  </mergeCells>
  <phoneticPr fontId="134" type="noConversion"/>
  <hyperlinks>
    <hyperlink ref="E5" location="'审定表G13-1'!A1" display="审定表"/>
    <hyperlink ref="E6" location="'附注披露信息（上市公司）'!A1" display="附注披露信息（上市公司）"/>
    <hyperlink ref="E7" location="'附注披露信息（国企）'!A1" display="附注披露信息（国企）"/>
    <hyperlink ref="E8" location="'明细表G13-2'!A1" display="明细表"/>
    <hyperlink ref="E4" location="公允价值变动收益审计程序表G13A!A1" display="公允价值变动收益实质性程序表"/>
    <hyperlink ref="E9" location="'调整分录汇总G13-3'!A1" display="调整分录汇总"/>
  </hyperlinks>
  <printOptions horizontalCentered="1"/>
  <pageMargins left="0.70866141732283505" right="0.70866141732283505" top="0.74803149606299202" bottom="0.74803149606299202" header="0.31496062992126" footer="0.31496062992126"/>
  <pageSetup paperSize="9" orientation="landscape" blackAndWhite="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J23"/>
  <sheetViews>
    <sheetView view="pageBreakPreview" zoomScaleNormal="100" workbookViewId="0">
      <selection sqref="A1:I1"/>
    </sheetView>
  </sheetViews>
  <sheetFormatPr defaultColWidth="9" defaultRowHeight="13.2"/>
  <cols>
    <col min="1" max="1" width="4.5546875" style="100" customWidth="1"/>
    <col min="2" max="2" width="63.33203125" style="101" customWidth="1"/>
    <col min="3" max="3" width="11.5546875" style="101" customWidth="1"/>
    <col min="4" max="4" width="6.5546875" style="101" customWidth="1"/>
    <col min="5" max="5" width="6.77734375" style="101" customWidth="1"/>
    <col min="6" max="6" width="6.88671875" style="101" customWidth="1"/>
    <col min="7" max="7" width="6.21875" style="101" customWidth="1"/>
    <col min="8" max="8" width="4.77734375" style="101" customWidth="1"/>
    <col min="9" max="9" width="8" style="101" customWidth="1"/>
    <col min="10" max="16384" width="9" style="101"/>
  </cols>
  <sheetData>
    <row r="1" spans="1:10" s="95" customFormat="1" ht="15.6">
      <c r="A1" s="203" t="s">
        <v>20</v>
      </c>
      <c r="B1" s="203"/>
      <c r="C1" s="203"/>
      <c r="D1" s="203"/>
      <c r="E1" s="203"/>
      <c r="F1" s="203"/>
      <c r="G1" s="203"/>
      <c r="H1" s="203"/>
      <c r="I1" s="203"/>
    </row>
    <row r="2" spans="1:10" s="96" customFormat="1" ht="19.95" customHeight="1">
      <c r="A2" s="204" t="s">
        <v>6</v>
      </c>
      <c r="B2" s="204"/>
      <c r="C2" s="204"/>
      <c r="D2" s="204"/>
      <c r="E2" s="204"/>
      <c r="F2" s="204"/>
      <c r="G2" s="204"/>
      <c r="H2" s="204"/>
      <c r="I2" s="204"/>
    </row>
    <row r="3" spans="1:10" s="97" customFormat="1" ht="19.95" customHeight="1">
      <c r="A3" s="205" t="str">
        <f>底稿目录!A2</f>
        <v>被审计单位：</v>
      </c>
      <c r="B3" s="205"/>
      <c r="C3" s="97" t="str">
        <f>底稿目录!A4</f>
        <v>编制人：</v>
      </c>
      <c r="F3" s="97" t="str">
        <f>底稿目录!A5</f>
        <v>编制日期：</v>
      </c>
      <c r="H3" s="97" t="s">
        <v>21</v>
      </c>
      <c r="I3" s="194" t="str">
        <f>底稿目录!F4</f>
        <v>G13A</v>
      </c>
    </row>
    <row r="4" spans="1:10" s="97" customFormat="1" ht="19.95" customHeight="1">
      <c r="A4" s="205" t="str">
        <f>底稿目录!A3</f>
        <v>会计期间：202X年度</v>
      </c>
      <c r="B4" s="205"/>
      <c r="C4" s="97" t="str">
        <f>底稿目录!A6</f>
        <v>复核人：</v>
      </c>
      <c r="F4" s="97" t="str">
        <f>底稿目录!A7</f>
        <v>复核日期：</v>
      </c>
      <c r="H4" s="103" t="s">
        <v>22</v>
      </c>
    </row>
    <row r="5" spans="1:10" ht="19.95" customHeight="1">
      <c r="A5" s="206" t="s">
        <v>23</v>
      </c>
      <c r="B5" s="206"/>
    </row>
    <row r="6" spans="1:10" ht="19.95" customHeight="1">
      <c r="A6" s="178" t="s">
        <v>24</v>
      </c>
      <c r="B6" s="177"/>
      <c r="C6" s="177"/>
      <c r="D6" s="177"/>
      <c r="E6" s="177"/>
      <c r="F6" s="177"/>
      <c r="G6" s="177"/>
      <c r="H6" s="177"/>
      <c r="I6" s="177"/>
    </row>
    <row r="7" spans="1:10" s="135" customFormat="1" ht="19.95" customHeight="1">
      <c r="A7" s="137" t="s">
        <v>25</v>
      </c>
      <c r="B7" s="138"/>
      <c r="C7" s="139"/>
      <c r="D7" s="140"/>
      <c r="E7" s="140"/>
      <c r="F7" s="140"/>
      <c r="G7" s="140"/>
      <c r="H7" s="140"/>
      <c r="I7" s="140"/>
    </row>
    <row r="8" spans="1:10" s="135" customFormat="1" ht="19.95" customHeight="1">
      <c r="A8" s="207" t="s">
        <v>26</v>
      </c>
      <c r="B8" s="207"/>
      <c r="C8" s="207"/>
      <c r="D8" s="207"/>
      <c r="E8" s="207"/>
      <c r="F8" s="207"/>
      <c r="G8" s="209" t="s">
        <v>27</v>
      </c>
      <c r="H8" s="209"/>
      <c r="I8" s="209"/>
    </row>
    <row r="9" spans="1:10" s="135" customFormat="1" ht="19.95" customHeight="1">
      <c r="A9" s="208" t="s">
        <v>211</v>
      </c>
      <c r="B9" s="208"/>
      <c r="C9" s="208"/>
      <c r="D9" s="208"/>
      <c r="E9" s="208"/>
      <c r="F9" s="208"/>
      <c r="G9" s="202" t="s">
        <v>28</v>
      </c>
      <c r="H9" s="202"/>
      <c r="I9" s="202"/>
    </row>
    <row r="10" spans="1:10" s="135" customFormat="1" ht="19.95" customHeight="1">
      <c r="A10" s="208" t="s">
        <v>225</v>
      </c>
      <c r="B10" s="208"/>
      <c r="C10" s="208"/>
      <c r="D10" s="208"/>
      <c r="E10" s="208"/>
      <c r="F10" s="208"/>
      <c r="G10" s="202" t="s">
        <v>29</v>
      </c>
      <c r="H10" s="202"/>
      <c r="I10" s="202"/>
    </row>
    <row r="11" spans="1:10" s="135" customFormat="1" ht="19.95" customHeight="1">
      <c r="A11" s="208" t="s">
        <v>212</v>
      </c>
      <c r="B11" s="208"/>
      <c r="C11" s="208"/>
      <c r="D11" s="208"/>
      <c r="E11" s="208"/>
      <c r="F11" s="208"/>
      <c r="G11" s="202" t="s">
        <v>209</v>
      </c>
      <c r="H11" s="202"/>
      <c r="I11" s="202"/>
    </row>
    <row r="12" spans="1:10" s="135" customFormat="1" ht="19.95" customHeight="1">
      <c r="A12" s="208" t="s">
        <v>226</v>
      </c>
      <c r="B12" s="208"/>
      <c r="C12" s="208"/>
      <c r="D12" s="208"/>
      <c r="E12" s="208"/>
      <c r="F12" s="208"/>
      <c r="G12" s="202" t="s">
        <v>210</v>
      </c>
      <c r="H12" s="202"/>
      <c r="I12" s="202"/>
    </row>
    <row r="13" spans="1:10" s="135" customFormat="1" ht="24" customHeight="1">
      <c r="A13" s="208" t="s">
        <v>227</v>
      </c>
      <c r="B13" s="208"/>
      <c r="C13" s="208"/>
      <c r="D13" s="208"/>
      <c r="E13" s="208"/>
      <c r="F13" s="208"/>
      <c r="G13" s="202" t="s">
        <v>30</v>
      </c>
      <c r="H13" s="202"/>
      <c r="I13" s="202"/>
    </row>
    <row r="14" spans="1:10" s="135" customFormat="1" ht="19.95" customHeight="1">
      <c r="A14" s="211" t="s">
        <v>208</v>
      </c>
      <c r="B14" s="211"/>
      <c r="C14" s="142"/>
      <c r="D14" s="141"/>
      <c r="E14" s="141"/>
      <c r="F14" s="141"/>
      <c r="G14" s="141"/>
      <c r="H14" s="141"/>
      <c r="I14" s="141"/>
    </row>
    <row r="15" spans="1:10" s="135" customFormat="1" ht="19.95" customHeight="1">
      <c r="A15" s="214" t="s">
        <v>2</v>
      </c>
      <c r="B15" s="215" t="s">
        <v>234</v>
      </c>
      <c r="C15" s="216" t="s">
        <v>32</v>
      </c>
      <c r="D15" s="212" t="s">
        <v>33</v>
      </c>
      <c r="E15" s="213"/>
      <c r="F15" s="213"/>
      <c r="G15" s="213"/>
      <c r="H15" s="213"/>
      <c r="I15" s="210" t="s">
        <v>34</v>
      </c>
    </row>
    <row r="16" spans="1:10" s="135" customFormat="1" ht="36" customHeight="1">
      <c r="A16" s="214"/>
      <c r="B16" s="215"/>
      <c r="C16" s="216"/>
      <c r="D16" s="179" t="s">
        <v>55</v>
      </c>
      <c r="E16" s="179" t="s">
        <v>29</v>
      </c>
      <c r="F16" s="180" t="s">
        <v>209</v>
      </c>
      <c r="G16" s="180" t="s">
        <v>210</v>
      </c>
      <c r="H16" s="180" t="s">
        <v>30</v>
      </c>
      <c r="I16" s="210"/>
      <c r="J16" s="198" t="s">
        <v>233</v>
      </c>
    </row>
    <row r="17" spans="1:9" s="136" customFormat="1" ht="140.4" customHeight="1">
      <c r="A17" s="143" t="s">
        <v>35</v>
      </c>
      <c r="B17" s="144" t="s">
        <v>36</v>
      </c>
      <c r="C17" s="148" t="s">
        <v>37</v>
      </c>
      <c r="D17" s="181" t="s">
        <v>214</v>
      </c>
      <c r="E17" s="181" t="s">
        <v>214</v>
      </c>
      <c r="F17" s="182" t="s">
        <v>214</v>
      </c>
      <c r="G17" s="183"/>
      <c r="H17" s="183"/>
      <c r="I17" s="149" t="s">
        <v>221</v>
      </c>
    </row>
    <row r="18" spans="1:9" s="136" customFormat="1" ht="48">
      <c r="A18" s="143" t="s">
        <v>39</v>
      </c>
      <c r="B18" s="144" t="s">
        <v>40</v>
      </c>
      <c r="C18" s="148" t="s">
        <v>37</v>
      </c>
      <c r="D18" s="183"/>
      <c r="E18" s="182" t="s">
        <v>215</v>
      </c>
      <c r="F18" s="181" t="s">
        <v>215</v>
      </c>
      <c r="G18" s="183"/>
      <c r="H18" s="183"/>
      <c r="I18" s="184" t="s">
        <v>41</v>
      </c>
    </row>
    <row r="19" spans="1:9" s="136" customFormat="1" ht="44.4" customHeight="1">
      <c r="A19" s="143" t="s">
        <v>42</v>
      </c>
      <c r="B19" s="122" t="s">
        <v>216</v>
      </c>
      <c r="C19" s="148" t="s">
        <v>213</v>
      </c>
      <c r="D19" s="146"/>
      <c r="E19" s="145"/>
      <c r="F19" s="145"/>
      <c r="G19" s="145" t="s">
        <v>38</v>
      </c>
      <c r="H19" s="121"/>
      <c r="I19" s="149"/>
    </row>
    <row r="20" spans="1:9" s="136" customFormat="1" ht="25.8" customHeight="1">
      <c r="A20" s="143" t="s">
        <v>44</v>
      </c>
      <c r="B20" s="122" t="s">
        <v>224</v>
      </c>
      <c r="C20" s="148" t="s">
        <v>37</v>
      </c>
      <c r="D20" s="182" t="s">
        <v>217</v>
      </c>
      <c r="E20" s="185" t="s">
        <v>217</v>
      </c>
      <c r="F20" s="182" t="s">
        <v>217</v>
      </c>
      <c r="G20" s="181" t="s">
        <v>217</v>
      </c>
      <c r="H20" s="186"/>
      <c r="I20" s="134" t="s">
        <v>17</v>
      </c>
    </row>
    <row r="21" spans="1:9" ht="108">
      <c r="A21" s="143" t="s">
        <v>45</v>
      </c>
      <c r="B21" s="147" t="s">
        <v>46</v>
      </c>
      <c r="C21" s="148" t="s">
        <v>37</v>
      </c>
      <c r="D21" s="146" t="s">
        <v>38</v>
      </c>
      <c r="E21" s="145" t="s">
        <v>38</v>
      </c>
      <c r="F21" s="145" t="s">
        <v>38</v>
      </c>
      <c r="G21" s="146" t="s">
        <v>38</v>
      </c>
      <c r="H21" s="145" t="s">
        <v>38</v>
      </c>
      <c r="I21" s="195"/>
    </row>
    <row r="22" spans="1:9" s="136" customFormat="1" ht="36">
      <c r="A22" s="143" t="s">
        <v>47</v>
      </c>
      <c r="B22" s="118" t="s">
        <v>48</v>
      </c>
      <c r="C22" s="187" t="s">
        <v>218</v>
      </c>
      <c r="D22" s="146"/>
      <c r="E22" s="145"/>
      <c r="F22" s="146"/>
      <c r="G22" s="145"/>
      <c r="H22" s="195"/>
      <c r="I22" s="195"/>
    </row>
    <row r="23" spans="1:9" s="136" customFormat="1" ht="28.2" customHeight="1">
      <c r="A23" s="143" t="s">
        <v>49</v>
      </c>
      <c r="B23" s="188" t="s">
        <v>219</v>
      </c>
      <c r="C23" s="148" t="s">
        <v>37</v>
      </c>
      <c r="D23" s="119"/>
      <c r="E23" s="119"/>
      <c r="F23" s="119"/>
      <c r="G23" s="119"/>
      <c r="H23" s="145" t="s">
        <v>38</v>
      </c>
      <c r="I23" s="189" t="s">
        <v>220</v>
      </c>
    </row>
  </sheetData>
  <mergeCells count="23">
    <mergeCell ref="G11:I11"/>
    <mergeCell ref="I15:I16"/>
    <mergeCell ref="A14:B14"/>
    <mergeCell ref="D15:H15"/>
    <mergeCell ref="A15:A16"/>
    <mergeCell ref="B15:B16"/>
    <mergeCell ref="C15:C16"/>
    <mergeCell ref="G12:I12"/>
    <mergeCell ref="G13:I13"/>
    <mergeCell ref="A1:I1"/>
    <mergeCell ref="A2:I2"/>
    <mergeCell ref="A3:B3"/>
    <mergeCell ref="A4:B4"/>
    <mergeCell ref="A5:B5"/>
    <mergeCell ref="A8:F8"/>
    <mergeCell ref="A9:F9"/>
    <mergeCell ref="A10:F10"/>
    <mergeCell ref="A11:F11"/>
    <mergeCell ref="A12:F12"/>
    <mergeCell ref="A13:F13"/>
    <mergeCell ref="G8:I8"/>
    <mergeCell ref="G9:I9"/>
    <mergeCell ref="G10:I10"/>
  </mergeCells>
  <phoneticPr fontId="134" type="noConversion"/>
  <hyperlinks>
    <hyperlink ref="I3" location="底稿目录!F4" display="=底稿目录!F4"/>
  </hyperlinks>
  <printOptions horizontalCentered="1"/>
  <pageMargins left="0.70866141732283505" right="0.70866141732283505" top="0.74803149606299202" bottom="0.74803149606299202" header="0.31496062992126" footer="0.31496062992126"/>
  <pageSetup paperSize="9" scale="75" fitToWidth="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46"/>
  <sheetViews>
    <sheetView view="pageBreakPreview" topLeftCell="A31" zoomScaleNormal="100" workbookViewId="0">
      <selection activeCell="E4" sqref="E4"/>
    </sheetView>
  </sheetViews>
  <sheetFormatPr defaultColWidth="9" defaultRowHeight="30.75" customHeight="1" outlineLevelRow="1"/>
  <cols>
    <col min="1" max="1" width="8.33203125" style="100" customWidth="1"/>
    <col min="2" max="2" width="57.5546875" style="101" customWidth="1"/>
    <col min="3" max="3" width="9" style="101" customWidth="1"/>
    <col min="4" max="4" width="7.5546875" style="101" customWidth="1"/>
    <col min="5" max="6" width="9.109375" style="101" customWidth="1"/>
    <col min="7" max="7" width="3.33203125" style="101" customWidth="1"/>
    <col min="8" max="8" width="10.109375" style="101" customWidth="1"/>
    <col min="9" max="9" width="11.21875" style="101" hidden="1" customWidth="1"/>
    <col min="10" max="10" width="9" style="101"/>
    <col min="11" max="11" width="20.21875" style="102" customWidth="1"/>
    <col min="12" max="16384" width="9" style="101"/>
  </cols>
  <sheetData>
    <row r="1" spans="1:11" s="95" customFormat="1" ht="30.75" customHeight="1">
      <c r="A1" s="203" t="s">
        <v>20</v>
      </c>
      <c r="B1" s="203"/>
      <c r="C1" s="203"/>
      <c r="D1" s="203"/>
      <c r="E1" s="203"/>
      <c r="F1" s="203"/>
      <c r="G1" s="203"/>
      <c r="H1" s="203"/>
      <c r="I1" s="203"/>
      <c r="K1" s="129"/>
    </row>
    <row r="2" spans="1:11" s="96" customFormat="1" ht="30.75" customHeight="1">
      <c r="A2" s="204" t="s">
        <v>6</v>
      </c>
      <c r="B2" s="204"/>
      <c r="C2" s="204"/>
      <c r="D2" s="204"/>
      <c r="E2" s="204"/>
      <c r="F2" s="204"/>
      <c r="G2" s="204"/>
      <c r="H2" s="204"/>
      <c r="I2" s="204"/>
      <c r="K2" s="130"/>
    </row>
    <row r="3" spans="1:11" s="97" customFormat="1" ht="30.75" customHeight="1">
      <c r="A3" s="205" t="str">
        <f>底稿目录!A2</f>
        <v>被审计单位：</v>
      </c>
      <c r="B3" s="205"/>
      <c r="C3" s="97" t="str">
        <f>底稿目录!A4</f>
        <v>编制人：</v>
      </c>
      <c r="F3" s="97" t="str">
        <f>底稿目录!A5</f>
        <v>编制日期：</v>
      </c>
      <c r="H3" s="97" t="s">
        <v>21</v>
      </c>
      <c r="I3" s="97" t="str">
        <f>底稿目录!F4</f>
        <v>G13A</v>
      </c>
      <c r="K3" s="131"/>
    </row>
    <row r="4" spans="1:11" s="97" customFormat="1" ht="30.75" customHeight="1">
      <c r="A4" s="205" t="str">
        <f>底稿目录!A3</f>
        <v>会计期间：202X年度</v>
      </c>
      <c r="B4" s="205"/>
      <c r="C4" s="97" t="str">
        <f>底稿目录!A6</f>
        <v>复核人：</v>
      </c>
      <c r="F4" s="97" t="str">
        <f>底稿目录!A7</f>
        <v>复核日期：</v>
      </c>
      <c r="H4" s="103" t="s">
        <v>22</v>
      </c>
      <c r="K4" s="131"/>
    </row>
    <row r="5" spans="1:11" ht="30.75" customHeight="1">
      <c r="A5" s="206" t="s">
        <v>23</v>
      </c>
      <c r="B5" s="206"/>
    </row>
    <row r="6" spans="1:11" ht="30.75" customHeight="1">
      <c r="A6" s="217" t="s">
        <v>24</v>
      </c>
      <c r="B6" s="218"/>
      <c r="C6" s="218"/>
      <c r="D6" s="218"/>
      <c r="E6" s="218"/>
      <c r="F6" s="218"/>
      <c r="G6" s="218"/>
      <c r="H6" s="218"/>
      <c r="I6" s="219"/>
    </row>
    <row r="7" spans="1:11" s="98" customFormat="1" ht="30.75" customHeight="1">
      <c r="A7" s="105" t="s">
        <v>51</v>
      </c>
      <c r="B7" s="104"/>
      <c r="C7" s="106"/>
      <c r="K7" s="132"/>
    </row>
    <row r="8" spans="1:11" s="98" customFormat="1" ht="30.75" customHeight="1">
      <c r="A8" s="247" t="s">
        <v>52</v>
      </c>
      <c r="B8" s="247"/>
      <c r="C8" s="220" t="s">
        <v>27</v>
      </c>
      <c r="D8" s="220"/>
      <c r="E8" s="220"/>
      <c r="F8" s="220"/>
      <c r="G8" s="220"/>
      <c r="H8" s="222" t="s">
        <v>53</v>
      </c>
      <c r="I8" s="223" t="s">
        <v>54</v>
      </c>
      <c r="K8" s="132"/>
    </row>
    <row r="9" spans="1:11" s="98" customFormat="1" ht="30.75" customHeight="1">
      <c r="A9" s="247"/>
      <c r="B9" s="247"/>
      <c r="C9" s="107" t="s">
        <v>55</v>
      </c>
      <c r="D9" s="108" t="s">
        <v>56</v>
      </c>
      <c r="E9" s="107" t="s">
        <v>57</v>
      </c>
      <c r="F9" s="107" t="s">
        <v>58</v>
      </c>
      <c r="G9" s="108" t="s">
        <v>59</v>
      </c>
      <c r="H9" s="223"/>
      <c r="I9" s="223"/>
      <c r="K9" s="132"/>
    </row>
    <row r="10" spans="1:11" s="98" customFormat="1" ht="30.75" customHeight="1">
      <c r="A10" s="221" t="s">
        <v>60</v>
      </c>
      <c r="B10" s="221"/>
      <c r="C10" s="108" t="s">
        <v>61</v>
      </c>
      <c r="D10" s="108"/>
      <c r="E10" s="108"/>
      <c r="F10" s="108"/>
      <c r="G10" s="108"/>
      <c r="H10" s="108"/>
      <c r="I10" s="133"/>
      <c r="K10" s="132"/>
    </row>
    <row r="11" spans="1:11" s="98" customFormat="1" ht="30.75" customHeight="1">
      <c r="A11" s="221" t="s">
        <v>62</v>
      </c>
      <c r="B11" s="221"/>
      <c r="C11" s="109"/>
      <c r="D11" s="108" t="s">
        <v>61</v>
      </c>
      <c r="E11" s="108"/>
      <c r="F11" s="108"/>
      <c r="G11" s="108"/>
      <c r="H11" s="108"/>
      <c r="I11" s="133"/>
      <c r="K11" s="132"/>
    </row>
    <row r="12" spans="1:11" s="98" customFormat="1" ht="30.75" customHeight="1">
      <c r="A12" s="221" t="s">
        <v>63</v>
      </c>
      <c r="B12" s="221"/>
      <c r="C12" s="109"/>
      <c r="D12" s="108"/>
      <c r="E12" s="108" t="s">
        <v>61</v>
      </c>
      <c r="F12" s="108"/>
      <c r="G12" s="108"/>
      <c r="H12" s="108"/>
      <c r="I12" s="133"/>
      <c r="K12" s="132"/>
    </row>
    <row r="13" spans="1:11" s="98" customFormat="1" ht="30.75" customHeight="1">
      <c r="A13" s="221" t="s">
        <v>64</v>
      </c>
      <c r="B13" s="221"/>
      <c r="C13" s="109"/>
      <c r="D13" s="108"/>
      <c r="E13" s="108"/>
      <c r="F13" s="108" t="s">
        <v>61</v>
      </c>
      <c r="G13" s="108"/>
      <c r="H13" s="108"/>
      <c r="I13" s="133"/>
      <c r="K13" s="132"/>
    </row>
    <row r="14" spans="1:11" s="98" customFormat="1" ht="30.75" customHeight="1">
      <c r="A14" s="221" t="s">
        <v>65</v>
      </c>
      <c r="B14" s="221"/>
      <c r="C14" s="109"/>
      <c r="D14" s="108"/>
      <c r="E14" s="108"/>
      <c r="F14" s="108"/>
      <c r="G14" s="108" t="s">
        <v>61</v>
      </c>
      <c r="H14" s="108"/>
      <c r="I14" s="108"/>
      <c r="K14" s="132"/>
    </row>
    <row r="15" spans="1:11" s="98" customFormat="1" ht="30.75" customHeight="1">
      <c r="A15" s="224" t="s">
        <v>66</v>
      </c>
      <c r="B15" s="206"/>
      <c r="C15" s="106"/>
      <c r="K15" s="132"/>
    </row>
    <row r="16" spans="1:11" s="98" customFormat="1" ht="30.75" customHeight="1">
      <c r="A16" s="110" t="s">
        <v>2</v>
      </c>
      <c r="B16" s="111" t="s">
        <v>31</v>
      </c>
      <c r="C16" s="111" t="s">
        <v>32</v>
      </c>
      <c r="D16" s="225" t="s">
        <v>67</v>
      </c>
      <c r="E16" s="226"/>
      <c r="F16" s="226"/>
      <c r="G16" s="227"/>
      <c r="H16" s="228" t="s">
        <v>68</v>
      </c>
      <c r="I16" s="228"/>
      <c r="K16" s="132"/>
    </row>
    <row r="17" spans="1:11" s="98" customFormat="1" ht="30.75" customHeight="1">
      <c r="A17" s="112" t="s">
        <v>69</v>
      </c>
      <c r="B17" s="113" t="s">
        <v>70</v>
      </c>
      <c r="C17" s="114" t="s">
        <v>71</v>
      </c>
      <c r="D17" s="229" t="s">
        <v>72</v>
      </c>
      <c r="E17" s="229"/>
      <c r="F17" s="229"/>
      <c r="G17" s="229"/>
      <c r="H17" s="229" t="s">
        <v>73</v>
      </c>
      <c r="I17" s="229"/>
      <c r="J17" s="98" t="s">
        <v>74</v>
      </c>
      <c r="K17" s="244" t="s">
        <v>75</v>
      </c>
    </row>
    <row r="18" spans="1:11" ht="30.75" customHeight="1">
      <c r="A18" s="115" t="s">
        <v>76</v>
      </c>
      <c r="B18" s="116" t="s">
        <v>77</v>
      </c>
      <c r="C18" s="114" t="s">
        <v>71</v>
      </c>
      <c r="D18" s="229" t="s">
        <v>72</v>
      </c>
      <c r="E18" s="229"/>
      <c r="F18" s="229"/>
      <c r="G18" s="229"/>
      <c r="H18" s="229"/>
      <c r="I18" s="229"/>
      <c r="J18" s="98" t="s">
        <v>74</v>
      </c>
      <c r="K18" s="244"/>
    </row>
    <row r="19" spans="1:11" ht="30.75" customHeight="1" outlineLevel="1">
      <c r="A19" s="117" t="s">
        <v>35</v>
      </c>
      <c r="B19" s="118" t="s">
        <v>78</v>
      </c>
      <c r="C19" s="119" t="s">
        <v>37</v>
      </c>
      <c r="D19" s="230" t="s">
        <v>79</v>
      </c>
      <c r="E19" s="231"/>
      <c r="F19" s="231"/>
      <c r="G19" s="232"/>
      <c r="H19" s="233"/>
      <c r="I19" s="234"/>
      <c r="J19" s="98" t="s">
        <v>74</v>
      </c>
      <c r="K19" s="244"/>
    </row>
    <row r="20" spans="1:11" ht="30.75" customHeight="1" outlineLevel="1">
      <c r="A20" s="117" t="s">
        <v>39</v>
      </c>
      <c r="B20" s="118" t="s">
        <v>80</v>
      </c>
      <c r="C20" s="119" t="s">
        <v>37</v>
      </c>
      <c r="D20" s="230" t="s">
        <v>79</v>
      </c>
      <c r="E20" s="231"/>
      <c r="F20" s="231"/>
      <c r="G20" s="232"/>
      <c r="H20" s="233"/>
      <c r="I20" s="234"/>
      <c r="J20" s="98" t="s">
        <v>74</v>
      </c>
      <c r="K20" s="244"/>
    </row>
    <row r="21" spans="1:11" ht="30.75" customHeight="1" outlineLevel="1">
      <c r="A21" s="117" t="s">
        <v>42</v>
      </c>
      <c r="B21" s="120" t="s">
        <v>81</v>
      </c>
      <c r="C21" s="119" t="s">
        <v>82</v>
      </c>
      <c r="D21" s="230" t="s">
        <v>79</v>
      </c>
      <c r="E21" s="231"/>
      <c r="F21" s="231"/>
      <c r="G21" s="232"/>
      <c r="H21" s="235"/>
      <c r="I21" s="236"/>
      <c r="J21" s="98" t="s">
        <v>74</v>
      </c>
      <c r="K21" s="244"/>
    </row>
    <row r="22" spans="1:11" ht="30.75" customHeight="1" outlineLevel="1">
      <c r="A22" s="117" t="s">
        <v>44</v>
      </c>
      <c r="B22" s="122" t="s">
        <v>83</v>
      </c>
      <c r="C22" s="119" t="s">
        <v>82</v>
      </c>
      <c r="D22" s="230" t="s">
        <v>79</v>
      </c>
      <c r="E22" s="231"/>
      <c r="F22" s="231"/>
      <c r="G22" s="232"/>
      <c r="H22" s="235"/>
      <c r="I22" s="236"/>
      <c r="J22" s="98" t="s">
        <v>74</v>
      </c>
      <c r="K22" s="244"/>
    </row>
    <row r="23" spans="1:11" ht="30.75" customHeight="1" outlineLevel="1">
      <c r="A23" s="117" t="s">
        <v>45</v>
      </c>
      <c r="B23" s="118" t="s">
        <v>84</v>
      </c>
      <c r="C23" s="119" t="s">
        <v>82</v>
      </c>
      <c r="D23" s="230" t="s">
        <v>79</v>
      </c>
      <c r="E23" s="231"/>
      <c r="F23" s="231"/>
      <c r="G23" s="232"/>
      <c r="H23" s="235"/>
      <c r="I23" s="236"/>
      <c r="J23" s="98" t="s">
        <v>74</v>
      </c>
      <c r="K23" s="244"/>
    </row>
    <row r="24" spans="1:11" ht="30.75" customHeight="1" outlineLevel="1">
      <c r="A24" s="117" t="s">
        <v>47</v>
      </c>
      <c r="B24" s="122" t="s">
        <v>85</v>
      </c>
      <c r="C24" s="119" t="s">
        <v>37</v>
      </c>
      <c r="D24" s="230" t="s">
        <v>79</v>
      </c>
      <c r="E24" s="231"/>
      <c r="F24" s="231"/>
      <c r="G24" s="232"/>
      <c r="H24" s="235"/>
      <c r="I24" s="236"/>
      <c r="J24" s="98" t="s">
        <v>74</v>
      </c>
      <c r="K24" s="244"/>
    </row>
    <row r="25" spans="1:11" ht="30.75" customHeight="1" outlineLevel="1">
      <c r="A25" s="117" t="s">
        <v>49</v>
      </c>
      <c r="B25" s="118" t="s">
        <v>86</v>
      </c>
      <c r="C25" s="119" t="s">
        <v>82</v>
      </c>
      <c r="D25" s="230" t="s">
        <v>79</v>
      </c>
      <c r="E25" s="231"/>
      <c r="F25" s="231"/>
      <c r="G25" s="232"/>
      <c r="H25" s="235"/>
      <c r="I25" s="236"/>
      <c r="J25" s="98" t="s">
        <v>74</v>
      </c>
      <c r="K25" s="244"/>
    </row>
    <row r="26" spans="1:11" ht="30.75" customHeight="1" outlineLevel="1">
      <c r="A26" s="117" t="s">
        <v>87</v>
      </c>
      <c r="B26" s="118" t="s">
        <v>88</v>
      </c>
      <c r="C26" s="119" t="s">
        <v>82</v>
      </c>
      <c r="D26" s="230" t="s">
        <v>79</v>
      </c>
      <c r="E26" s="231"/>
      <c r="F26" s="231"/>
      <c r="G26" s="232"/>
      <c r="H26" s="235"/>
      <c r="I26" s="236"/>
      <c r="J26" s="98" t="s">
        <v>74</v>
      </c>
      <c r="K26" s="244"/>
    </row>
    <row r="27" spans="1:11" ht="30.75" customHeight="1" outlineLevel="1">
      <c r="A27" s="117" t="s">
        <v>89</v>
      </c>
      <c r="B27" s="122" t="s">
        <v>90</v>
      </c>
      <c r="C27" s="119" t="s">
        <v>82</v>
      </c>
      <c r="D27" s="230" t="s">
        <v>79</v>
      </c>
      <c r="E27" s="231"/>
      <c r="F27" s="231"/>
      <c r="G27" s="232"/>
      <c r="H27" s="235"/>
      <c r="I27" s="236"/>
      <c r="J27" s="98" t="s">
        <v>74</v>
      </c>
      <c r="K27" s="244"/>
    </row>
    <row r="28" spans="1:11" s="99" customFormat="1" ht="30.75" customHeight="1">
      <c r="A28" s="123" t="s">
        <v>91</v>
      </c>
      <c r="B28" s="113" t="s">
        <v>92</v>
      </c>
      <c r="C28" s="124" t="s">
        <v>93</v>
      </c>
      <c r="D28" s="229" t="s">
        <v>94</v>
      </c>
      <c r="E28" s="229"/>
      <c r="F28" s="229"/>
      <c r="G28" s="229"/>
      <c r="H28" s="229" t="s">
        <v>41</v>
      </c>
      <c r="I28" s="229"/>
      <c r="J28" s="99" t="s">
        <v>95</v>
      </c>
      <c r="K28" s="245" t="s">
        <v>40</v>
      </c>
    </row>
    <row r="29" spans="1:11" ht="30.75" customHeight="1" outlineLevel="1">
      <c r="A29" s="125" t="s">
        <v>35</v>
      </c>
      <c r="B29" s="109" t="s">
        <v>96</v>
      </c>
      <c r="C29" s="108"/>
      <c r="D29" s="223"/>
      <c r="E29" s="223"/>
      <c r="F29" s="223"/>
      <c r="G29" s="223"/>
      <c r="H29" s="237"/>
      <c r="I29" s="238"/>
      <c r="J29" s="99" t="s">
        <v>95</v>
      </c>
      <c r="K29" s="246"/>
    </row>
    <row r="30" spans="1:11" ht="30.75" customHeight="1" outlineLevel="1">
      <c r="A30" s="125" t="s">
        <v>39</v>
      </c>
      <c r="B30" s="109" t="s">
        <v>97</v>
      </c>
      <c r="C30" s="108"/>
      <c r="D30" s="223"/>
      <c r="E30" s="223"/>
      <c r="F30" s="223"/>
      <c r="G30" s="223"/>
      <c r="H30" s="237"/>
      <c r="I30" s="238"/>
      <c r="J30" s="99" t="s">
        <v>95</v>
      </c>
      <c r="K30" s="246"/>
    </row>
    <row r="31" spans="1:11" ht="30.75" customHeight="1">
      <c r="A31" s="123" t="s">
        <v>98</v>
      </c>
      <c r="B31" s="126" t="s">
        <v>99</v>
      </c>
      <c r="C31" s="127" t="s">
        <v>43</v>
      </c>
      <c r="D31" s="239" t="s">
        <v>94</v>
      </c>
      <c r="E31" s="240"/>
      <c r="F31" s="240"/>
      <c r="G31" s="241"/>
      <c r="H31" s="242" t="s">
        <v>100</v>
      </c>
      <c r="I31" s="243"/>
      <c r="J31" s="99" t="s">
        <v>101</v>
      </c>
    </row>
    <row r="32" spans="1:11" ht="30.75" customHeight="1">
      <c r="A32" s="117" t="s">
        <v>35</v>
      </c>
      <c r="B32" s="118" t="s">
        <v>102</v>
      </c>
      <c r="C32" s="119" t="s">
        <v>43</v>
      </c>
      <c r="D32" s="230" t="s">
        <v>94</v>
      </c>
      <c r="E32" s="231"/>
      <c r="F32" s="231"/>
      <c r="G32" s="232"/>
      <c r="H32" s="235"/>
      <c r="I32" s="236"/>
      <c r="J32" s="99" t="s">
        <v>101</v>
      </c>
    </row>
    <row r="33" spans="1:10" ht="30.75" customHeight="1">
      <c r="A33" s="117" t="s">
        <v>39</v>
      </c>
      <c r="B33" s="118" t="s">
        <v>103</v>
      </c>
      <c r="C33" s="119" t="s">
        <v>43</v>
      </c>
      <c r="D33" s="230" t="s">
        <v>94</v>
      </c>
      <c r="E33" s="231"/>
      <c r="F33" s="231"/>
      <c r="G33" s="232"/>
      <c r="H33" s="235"/>
      <c r="I33" s="236"/>
      <c r="J33" s="99" t="s">
        <v>101</v>
      </c>
    </row>
    <row r="34" spans="1:10" ht="30.75" customHeight="1">
      <c r="A34" s="117" t="s">
        <v>42</v>
      </c>
      <c r="B34" s="122" t="s">
        <v>104</v>
      </c>
      <c r="C34" s="119" t="s">
        <v>43</v>
      </c>
      <c r="D34" s="230" t="s">
        <v>94</v>
      </c>
      <c r="E34" s="231"/>
      <c r="F34" s="231"/>
      <c r="G34" s="232"/>
      <c r="H34" s="235"/>
      <c r="I34" s="236"/>
      <c r="J34" s="99" t="s">
        <v>101</v>
      </c>
    </row>
    <row r="35" spans="1:10" ht="30.75" customHeight="1">
      <c r="A35" s="123" t="s">
        <v>105</v>
      </c>
      <c r="B35" s="126" t="s">
        <v>106</v>
      </c>
      <c r="C35" s="127" t="s">
        <v>82</v>
      </c>
      <c r="D35" s="239" t="s">
        <v>107</v>
      </c>
      <c r="E35" s="240"/>
      <c r="F35" s="240"/>
      <c r="G35" s="241"/>
      <c r="H35" s="242" t="s">
        <v>100</v>
      </c>
      <c r="I35" s="243"/>
      <c r="J35" s="101" t="s">
        <v>108</v>
      </c>
    </row>
    <row r="36" spans="1:10" ht="30.75" customHeight="1">
      <c r="A36" s="117" t="s">
        <v>35</v>
      </c>
      <c r="B36" s="118" t="s">
        <v>109</v>
      </c>
      <c r="C36" s="119" t="s">
        <v>82</v>
      </c>
      <c r="D36" s="230" t="s">
        <v>107</v>
      </c>
      <c r="E36" s="231"/>
      <c r="F36" s="231"/>
      <c r="G36" s="232"/>
      <c r="H36" s="235"/>
      <c r="I36" s="236"/>
      <c r="J36" s="101" t="s">
        <v>108</v>
      </c>
    </row>
    <row r="37" spans="1:10" ht="30.75" customHeight="1">
      <c r="A37" s="123" t="s">
        <v>110</v>
      </c>
      <c r="B37" s="128" t="s">
        <v>111</v>
      </c>
      <c r="C37" s="127" t="s">
        <v>112</v>
      </c>
      <c r="D37" s="239" t="s">
        <v>113</v>
      </c>
      <c r="E37" s="240"/>
      <c r="F37" s="240"/>
      <c r="G37" s="241"/>
      <c r="H37" s="242" t="s">
        <v>100</v>
      </c>
      <c r="I37" s="243"/>
      <c r="J37" s="101" t="s">
        <v>114</v>
      </c>
    </row>
    <row r="38" spans="1:10" ht="30.75" customHeight="1">
      <c r="A38" s="123" t="s">
        <v>115</v>
      </c>
      <c r="B38" s="128" t="s">
        <v>116</v>
      </c>
      <c r="C38" s="127" t="s">
        <v>43</v>
      </c>
      <c r="D38" s="239" t="s">
        <v>107</v>
      </c>
      <c r="E38" s="240"/>
      <c r="F38" s="240"/>
      <c r="G38" s="241"/>
      <c r="H38" s="242" t="s">
        <v>100</v>
      </c>
      <c r="I38" s="243"/>
      <c r="J38" s="101" t="s">
        <v>117</v>
      </c>
    </row>
    <row r="39" spans="1:10" ht="30.75" customHeight="1">
      <c r="A39" s="117" t="s">
        <v>35</v>
      </c>
      <c r="B39" s="122" t="s">
        <v>118</v>
      </c>
      <c r="C39" s="119" t="s">
        <v>43</v>
      </c>
      <c r="D39" s="230" t="s">
        <v>107</v>
      </c>
      <c r="E39" s="231"/>
      <c r="F39" s="231"/>
      <c r="G39" s="232"/>
      <c r="H39" s="235"/>
      <c r="I39" s="236"/>
      <c r="J39" s="101" t="s">
        <v>117</v>
      </c>
    </row>
    <row r="40" spans="1:10" ht="30.75" customHeight="1">
      <c r="A40" s="117" t="s">
        <v>39</v>
      </c>
      <c r="B40" s="122" t="s">
        <v>119</v>
      </c>
      <c r="C40" s="119" t="s">
        <v>43</v>
      </c>
      <c r="D40" s="230" t="s">
        <v>107</v>
      </c>
      <c r="E40" s="231"/>
      <c r="F40" s="231"/>
      <c r="G40" s="232"/>
      <c r="H40" s="235"/>
      <c r="I40" s="236"/>
      <c r="J40" s="101" t="s">
        <v>117</v>
      </c>
    </row>
    <row r="41" spans="1:10" ht="30.75" customHeight="1">
      <c r="A41" s="117" t="s">
        <v>42</v>
      </c>
      <c r="B41" s="118" t="s">
        <v>120</v>
      </c>
      <c r="C41" s="119" t="s">
        <v>43</v>
      </c>
      <c r="D41" s="230" t="s">
        <v>107</v>
      </c>
      <c r="E41" s="231"/>
      <c r="F41" s="231"/>
      <c r="G41" s="232"/>
      <c r="H41" s="235"/>
      <c r="I41" s="236"/>
      <c r="J41" s="101" t="s">
        <v>117</v>
      </c>
    </row>
    <row r="42" spans="1:10" ht="30.75" customHeight="1">
      <c r="A42" s="117" t="s">
        <v>44</v>
      </c>
      <c r="B42" s="122" t="s">
        <v>121</v>
      </c>
      <c r="C42" s="119" t="s">
        <v>43</v>
      </c>
      <c r="D42" s="230" t="s">
        <v>107</v>
      </c>
      <c r="E42" s="231"/>
      <c r="F42" s="231"/>
      <c r="G42" s="232"/>
      <c r="H42" s="235"/>
      <c r="I42" s="236"/>
      <c r="J42" s="101" t="s">
        <v>117</v>
      </c>
    </row>
    <row r="43" spans="1:10" ht="30.75" customHeight="1">
      <c r="A43" s="117" t="s">
        <v>45</v>
      </c>
      <c r="B43" s="118" t="s">
        <v>122</v>
      </c>
      <c r="C43" s="119" t="s">
        <v>43</v>
      </c>
      <c r="D43" s="230" t="s">
        <v>107</v>
      </c>
      <c r="E43" s="231"/>
      <c r="F43" s="231"/>
      <c r="G43" s="232"/>
      <c r="H43" s="235"/>
      <c r="I43" s="236"/>
      <c r="J43" s="101" t="s">
        <v>117</v>
      </c>
    </row>
    <row r="44" spans="1:10" ht="30.75" customHeight="1">
      <c r="A44" s="117" t="s">
        <v>47</v>
      </c>
      <c r="B44" s="118" t="s">
        <v>123</v>
      </c>
      <c r="C44" s="119" t="s">
        <v>43</v>
      </c>
      <c r="D44" s="230" t="s">
        <v>107</v>
      </c>
      <c r="E44" s="231"/>
      <c r="F44" s="231"/>
      <c r="G44" s="232"/>
      <c r="H44" s="235"/>
      <c r="I44" s="236"/>
      <c r="J44" s="101" t="s">
        <v>117</v>
      </c>
    </row>
    <row r="45" spans="1:10" ht="30.75" customHeight="1">
      <c r="A45" s="117" t="s">
        <v>49</v>
      </c>
      <c r="B45" s="118" t="s">
        <v>124</v>
      </c>
      <c r="C45" s="119" t="s">
        <v>43</v>
      </c>
      <c r="D45" s="230" t="s">
        <v>107</v>
      </c>
      <c r="E45" s="231"/>
      <c r="F45" s="231"/>
      <c r="G45" s="232"/>
      <c r="H45" s="235"/>
      <c r="I45" s="236"/>
      <c r="J45" s="101" t="s">
        <v>117</v>
      </c>
    </row>
    <row r="46" spans="1:10" ht="30.75" customHeight="1">
      <c r="A46" s="123" t="s">
        <v>125</v>
      </c>
      <c r="B46" s="126" t="s">
        <v>50</v>
      </c>
      <c r="C46" s="127" t="s">
        <v>37</v>
      </c>
      <c r="D46" s="239" t="s">
        <v>126</v>
      </c>
      <c r="E46" s="240"/>
      <c r="F46" s="240"/>
      <c r="G46" s="241"/>
      <c r="H46" s="242" t="s">
        <v>127</v>
      </c>
      <c r="I46" s="243"/>
      <c r="J46" s="101" t="s">
        <v>128</v>
      </c>
    </row>
  </sheetData>
  <autoFilter ref="A16:I46"/>
  <mergeCells count="80">
    <mergeCell ref="K17:K27"/>
    <mergeCell ref="K28:K30"/>
    <mergeCell ref="A8:B9"/>
    <mergeCell ref="D44:G44"/>
    <mergeCell ref="H44:I44"/>
    <mergeCell ref="D38:G38"/>
    <mergeCell ref="H38:I38"/>
    <mergeCell ref="D39:G39"/>
    <mergeCell ref="H39:I39"/>
    <mergeCell ref="D40:G40"/>
    <mergeCell ref="H40:I40"/>
    <mergeCell ref="D35:G35"/>
    <mergeCell ref="H35:I35"/>
    <mergeCell ref="D36:G36"/>
    <mergeCell ref="H36:I36"/>
    <mergeCell ref="D37:G37"/>
    <mergeCell ref="D45:G45"/>
    <mergeCell ref="H45:I45"/>
    <mergeCell ref="D46:G46"/>
    <mergeCell ref="H46:I46"/>
    <mergeCell ref="D41:G41"/>
    <mergeCell ref="H41:I41"/>
    <mergeCell ref="D42:G42"/>
    <mergeCell ref="H42:I42"/>
    <mergeCell ref="D43:G43"/>
    <mergeCell ref="H43:I43"/>
    <mergeCell ref="H37:I37"/>
    <mergeCell ref="D32:G32"/>
    <mergeCell ref="H32:I32"/>
    <mergeCell ref="D33:G33"/>
    <mergeCell ref="H33:I33"/>
    <mergeCell ref="D34:G34"/>
    <mergeCell ref="H34:I34"/>
    <mergeCell ref="D29:G29"/>
    <mergeCell ref="H29:I29"/>
    <mergeCell ref="D30:G30"/>
    <mergeCell ref="H30:I30"/>
    <mergeCell ref="D31:G31"/>
    <mergeCell ref="H31:I31"/>
    <mergeCell ref="D26:G26"/>
    <mergeCell ref="H26:I26"/>
    <mergeCell ref="D27:G27"/>
    <mergeCell ref="H27:I27"/>
    <mergeCell ref="D28:G28"/>
    <mergeCell ref="H28:I28"/>
    <mergeCell ref="D23:G23"/>
    <mergeCell ref="H23:I23"/>
    <mergeCell ref="D24:G24"/>
    <mergeCell ref="H24:I24"/>
    <mergeCell ref="D25:G25"/>
    <mergeCell ref="H25:I25"/>
    <mergeCell ref="D20:G20"/>
    <mergeCell ref="H20:I20"/>
    <mergeCell ref="D21:G21"/>
    <mergeCell ref="H21:I21"/>
    <mergeCell ref="D22:G22"/>
    <mergeCell ref="H22:I22"/>
    <mergeCell ref="D17:G17"/>
    <mergeCell ref="H17:I17"/>
    <mergeCell ref="D18:G18"/>
    <mergeCell ref="H18:I18"/>
    <mergeCell ref="D19:G19"/>
    <mergeCell ref="H19:I19"/>
    <mergeCell ref="A13:B13"/>
    <mergeCell ref="A14:B14"/>
    <mergeCell ref="A15:B15"/>
    <mergeCell ref="D16:G16"/>
    <mergeCell ref="H16:I16"/>
    <mergeCell ref="A6:I6"/>
    <mergeCell ref="C8:G8"/>
    <mergeCell ref="A10:B10"/>
    <mergeCell ref="A11:B11"/>
    <mergeCell ref="A12:B12"/>
    <mergeCell ref="H8:H9"/>
    <mergeCell ref="I8:I9"/>
    <mergeCell ref="A1:I1"/>
    <mergeCell ref="A2:I2"/>
    <mergeCell ref="A3:B3"/>
    <mergeCell ref="A4:B4"/>
    <mergeCell ref="A5:B5"/>
  </mergeCells>
  <phoneticPr fontId="134" type="noConversion"/>
  <printOptions horizontalCentered="1"/>
  <pageMargins left="0.70866141732283505" right="0.70866141732283505" top="0.74803149606299202" bottom="0.74803149606299202" header="0.31496062992126" footer="0.31496062992126"/>
  <pageSetup paperSize="9" fitToHeight="50"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35"/>
  <sheetViews>
    <sheetView view="pageBreakPreview" zoomScaleNormal="100" workbookViewId="0">
      <pane xSplit="1" ySplit="6" topLeftCell="B7" activePane="bottomRight" state="frozen"/>
      <selection pane="topRight"/>
      <selection pane="bottomLeft"/>
      <selection pane="bottomRight" sqref="A1:J1"/>
    </sheetView>
  </sheetViews>
  <sheetFormatPr defaultColWidth="9" defaultRowHeight="23.25" customHeight="1"/>
  <cols>
    <col min="1" max="1" width="28.5546875" style="54" customWidth="1"/>
    <col min="2" max="2" width="14.21875" style="54" customWidth="1"/>
    <col min="3" max="3" width="12.44140625" style="54" customWidth="1"/>
    <col min="4" max="4" width="14.33203125" style="54" customWidth="1"/>
    <col min="5" max="5" width="13" style="54" customWidth="1"/>
    <col min="6" max="6" width="10.21875" style="54" customWidth="1"/>
    <col min="7" max="7" width="14.33203125" style="54" customWidth="1"/>
    <col min="8" max="8" width="12" style="54" customWidth="1"/>
    <col min="9" max="9" width="11.5546875" style="54" customWidth="1"/>
    <col min="10" max="11" width="13.44140625" style="54" customWidth="1"/>
    <col min="12" max="16384" width="9" style="54"/>
  </cols>
  <sheetData>
    <row r="1" spans="1:10" s="77" customFormat="1" ht="19.95" customHeight="1">
      <c r="A1" s="248" t="s">
        <v>20</v>
      </c>
      <c r="B1" s="248"/>
      <c r="C1" s="248"/>
      <c r="D1" s="248"/>
      <c r="E1" s="248"/>
      <c r="F1" s="248"/>
      <c r="G1" s="248"/>
      <c r="H1" s="248"/>
      <c r="I1" s="248"/>
      <c r="J1" s="248"/>
    </row>
    <row r="2" spans="1:10" s="78" customFormat="1" ht="19.95" customHeight="1">
      <c r="A2" s="249" t="s">
        <v>129</v>
      </c>
      <c r="B2" s="249"/>
      <c r="C2" s="249"/>
      <c r="D2" s="249"/>
      <c r="E2" s="249"/>
      <c r="F2" s="249"/>
      <c r="G2" s="249"/>
      <c r="H2" s="249"/>
      <c r="I2" s="249"/>
      <c r="J2" s="249"/>
    </row>
    <row r="3" spans="1:10" s="27" customFormat="1" ht="19.95" customHeight="1">
      <c r="A3" s="27" t="str">
        <f>底稿目录!A2</f>
        <v>被审计单位：</v>
      </c>
      <c r="D3" s="5" t="str">
        <f>底稿目录!A4</f>
        <v>编制人：</v>
      </c>
      <c r="G3" s="5" t="str">
        <f>底稿目录!A5</f>
        <v>编制日期：</v>
      </c>
      <c r="I3" s="5" t="s">
        <v>21</v>
      </c>
      <c r="J3" s="194" t="str">
        <f>底稿目录!F5</f>
        <v>G13-1</v>
      </c>
    </row>
    <row r="4" spans="1:10" s="27" customFormat="1" ht="19.95" customHeight="1">
      <c r="A4" s="27" t="str">
        <f>底稿目录!A3</f>
        <v>会计期间：202X年度</v>
      </c>
      <c r="B4" s="29"/>
      <c r="D4" s="5" t="str">
        <f>底稿目录!A6</f>
        <v>复核人：</v>
      </c>
      <c r="G4" s="5" t="str">
        <f>底稿目录!A7</f>
        <v>复核日期：</v>
      </c>
      <c r="I4" s="5" t="s">
        <v>130</v>
      </c>
    </row>
    <row r="5" spans="1:10" ht="19.95" customHeight="1">
      <c r="A5" s="255" t="s">
        <v>131</v>
      </c>
      <c r="B5" s="250" t="s">
        <v>132</v>
      </c>
      <c r="C5" s="251"/>
      <c r="D5" s="252"/>
      <c r="E5" s="250" t="s">
        <v>133</v>
      </c>
      <c r="F5" s="251"/>
      <c r="G5" s="252"/>
      <c r="H5" s="253" t="s">
        <v>134</v>
      </c>
      <c r="I5" s="254"/>
      <c r="J5" s="257" t="s">
        <v>135</v>
      </c>
    </row>
    <row r="6" spans="1:10" ht="19.95" customHeight="1">
      <c r="A6" s="256"/>
      <c r="B6" s="37" t="s">
        <v>136</v>
      </c>
      <c r="C6" s="8" t="s">
        <v>137</v>
      </c>
      <c r="D6" s="37" t="s">
        <v>138</v>
      </c>
      <c r="E6" s="37" t="s">
        <v>136</v>
      </c>
      <c r="F6" s="8" t="s">
        <v>137</v>
      </c>
      <c r="G6" s="37" t="s">
        <v>138</v>
      </c>
      <c r="H6" s="82" t="s">
        <v>139</v>
      </c>
      <c r="I6" s="92" t="s">
        <v>140</v>
      </c>
      <c r="J6" s="258"/>
    </row>
    <row r="7" spans="1:10" s="79" customFormat="1" ht="19.95" customHeight="1">
      <c r="A7" s="40" t="s">
        <v>141</v>
      </c>
      <c r="B7" s="41">
        <f>B8+B9</f>
        <v>0</v>
      </c>
      <c r="C7" s="41">
        <f>C8+C9</f>
        <v>0</v>
      </c>
      <c r="D7" s="41">
        <f>B7+C7</f>
        <v>0</v>
      </c>
      <c r="E7" s="44"/>
      <c r="F7" s="44"/>
      <c r="G7" s="41">
        <f>E7+F7</f>
        <v>0</v>
      </c>
      <c r="H7" s="83">
        <f t="shared" ref="H7:H16" si="0">D7-G7</f>
        <v>0</v>
      </c>
      <c r="I7" s="93" t="str">
        <f>IF(AND(G9=0,D7=0),"",IF(AND(G9=0,D7&gt;0),1,H7/G9))</f>
        <v/>
      </c>
      <c r="J7" s="94"/>
    </row>
    <row r="8" spans="1:10" s="79" customFormat="1" ht="24">
      <c r="A8" s="43" t="s">
        <v>142</v>
      </c>
      <c r="B8" s="41">
        <f>'明细表G13-2'!B12</f>
        <v>0</v>
      </c>
      <c r="C8" s="41">
        <f>'明细表G13-2'!C12</f>
        <v>0</v>
      </c>
      <c r="D8" s="41">
        <f t="shared" ref="D8:D16" si="1">B8+C8</f>
        <v>0</v>
      </c>
      <c r="E8" s="44"/>
      <c r="F8" s="44"/>
      <c r="G8" s="41">
        <f t="shared" ref="G8:G16" si="2">E8+F8</f>
        <v>0</v>
      </c>
      <c r="H8" s="83">
        <f t="shared" si="0"/>
        <v>0</v>
      </c>
      <c r="I8" s="93" t="str">
        <f t="shared" ref="I8:I16" si="3">IF(AND(G8=0,D8=0),"",IF(AND(G8=0,D8&gt;0),1,H8/G8))</f>
        <v/>
      </c>
      <c r="J8" s="94"/>
    </row>
    <row r="9" spans="1:10" s="79" customFormat="1" ht="19.95" customHeight="1">
      <c r="A9" s="84" t="s">
        <v>143</v>
      </c>
      <c r="B9" s="41">
        <f>'明细表G13-2'!B13</f>
        <v>0</v>
      </c>
      <c r="C9" s="41">
        <f>'明细表G13-2'!C13</f>
        <v>0</v>
      </c>
      <c r="D9" s="41">
        <f t="shared" si="1"/>
        <v>0</v>
      </c>
      <c r="E9" s="44"/>
      <c r="F9" s="44"/>
      <c r="G9" s="41">
        <f t="shared" si="2"/>
        <v>0</v>
      </c>
      <c r="H9" s="83">
        <f t="shared" si="0"/>
        <v>0</v>
      </c>
      <c r="I9" s="93" t="str">
        <f t="shared" si="3"/>
        <v/>
      </c>
      <c r="J9" s="94"/>
    </row>
    <row r="10" spans="1:10" s="79" customFormat="1" ht="19.95" customHeight="1">
      <c r="A10" s="40" t="s">
        <v>144</v>
      </c>
      <c r="B10" s="41">
        <f>B11+B12</f>
        <v>0</v>
      </c>
      <c r="C10" s="41">
        <f>C11+C12</f>
        <v>0</v>
      </c>
      <c r="D10" s="41">
        <f t="shared" si="1"/>
        <v>0</v>
      </c>
      <c r="E10" s="44"/>
      <c r="F10" s="44"/>
      <c r="G10" s="41">
        <f t="shared" si="2"/>
        <v>0</v>
      </c>
      <c r="H10" s="83">
        <f t="shared" si="0"/>
        <v>0</v>
      </c>
      <c r="I10" s="93" t="str">
        <f t="shared" si="3"/>
        <v/>
      </c>
      <c r="J10" s="94"/>
    </row>
    <row r="11" spans="1:10" s="79" customFormat="1" ht="24">
      <c r="A11" s="43" t="s">
        <v>145</v>
      </c>
      <c r="B11" s="41">
        <f>'明细表G13-2'!B15</f>
        <v>0</v>
      </c>
      <c r="C11" s="41">
        <f>'明细表G13-2'!C15</f>
        <v>0</v>
      </c>
      <c r="D11" s="41">
        <f t="shared" si="1"/>
        <v>0</v>
      </c>
      <c r="E11" s="44"/>
      <c r="F11" s="44"/>
      <c r="G11" s="41">
        <f t="shared" si="2"/>
        <v>0</v>
      </c>
      <c r="H11" s="83">
        <f t="shared" si="0"/>
        <v>0</v>
      </c>
      <c r="I11" s="93" t="str">
        <f t="shared" si="3"/>
        <v/>
      </c>
      <c r="J11" s="94"/>
    </row>
    <row r="12" spans="1:10" s="79" customFormat="1" ht="19.95" customHeight="1">
      <c r="A12" s="84" t="s">
        <v>146</v>
      </c>
      <c r="B12" s="41">
        <f>'明细表G13-2'!B16</f>
        <v>0</v>
      </c>
      <c r="C12" s="41">
        <f>'明细表G13-2'!C16</f>
        <v>0</v>
      </c>
      <c r="D12" s="41">
        <f t="shared" si="1"/>
        <v>0</v>
      </c>
      <c r="E12" s="44"/>
      <c r="F12" s="44"/>
      <c r="G12" s="41">
        <f t="shared" si="2"/>
        <v>0</v>
      </c>
      <c r="H12" s="83">
        <f t="shared" si="0"/>
        <v>0</v>
      </c>
      <c r="I12" s="93" t="str">
        <f t="shared" si="3"/>
        <v/>
      </c>
      <c r="J12" s="94"/>
    </row>
    <row r="13" spans="1:10" s="79" customFormat="1" ht="19.95" customHeight="1">
      <c r="A13" s="40" t="s">
        <v>147</v>
      </c>
      <c r="B13" s="41">
        <f>B14</f>
        <v>0</v>
      </c>
      <c r="C13" s="41">
        <f>C14</f>
        <v>0</v>
      </c>
      <c r="D13" s="41">
        <f t="shared" si="1"/>
        <v>0</v>
      </c>
      <c r="E13" s="44"/>
      <c r="F13" s="44"/>
      <c r="G13" s="41">
        <f t="shared" si="2"/>
        <v>0</v>
      </c>
      <c r="H13" s="83">
        <f t="shared" si="0"/>
        <v>0</v>
      </c>
      <c r="I13" s="93" t="str">
        <f t="shared" si="3"/>
        <v/>
      </c>
      <c r="J13" s="94"/>
    </row>
    <row r="14" spans="1:10" s="79" customFormat="1" ht="24">
      <c r="A14" s="43" t="s">
        <v>142</v>
      </c>
      <c r="B14" s="41">
        <f>'明细表G13-2'!B18</f>
        <v>0</v>
      </c>
      <c r="C14" s="41">
        <f>'明细表G13-2'!C18</f>
        <v>0</v>
      </c>
      <c r="D14" s="41">
        <f t="shared" si="1"/>
        <v>0</v>
      </c>
      <c r="E14" s="44"/>
      <c r="F14" s="44"/>
      <c r="G14" s="41">
        <f t="shared" si="2"/>
        <v>0</v>
      </c>
      <c r="H14" s="83">
        <f t="shared" si="0"/>
        <v>0</v>
      </c>
      <c r="I14" s="93" t="str">
        <f t="shared" si="3"/>
        <v/>
      </c>
      <c r="J14" s="94"/>
    </row>
    <row r="15" spans="1:10" s="79" customFormat="1" ht="19.95" customHeight="1">
      <c r="A15" s="40" t="s">
        <v>148</v>
      </c>
      <c r="B15" s="41">
        <f>'明细表G13-2'!B19</f>
        <v>0</v>
      </c>
      <c r="C15" s="41">
        <f>'明细表G13-2'!C19</f>
        <v>0</v>
      </c>
      <c r="D15" s="41">
        <f t="shared" si="1"/>
        <v>0</v>
      </c>
      <c r="E15" s="44"/>
      <c r="F15" s="44"/>
      <c r="G15" s="41">
        <f t="shared" si="2"/>
        <v>0</v>
      </c>
      <c r="H15" s="83">
        <f t="shared" si="0"/>
        <v>0</v>
      </c>
      <c r="I15" s="93" t="str">
        <f t="shared" si="3"/>
        <v/>
      </c>
      <c r="J15" s="94"/>
    </row>
    <row r="16" spans="1:10" s="79" customFormat="1" ht="19.95" customHeight="1">
      <c r="A16" s="40" t="s">
        <v>149</v>
      </c>
      <c r="B16" s="41">
        <f>'明细表G13-2'!B20</f>
        <v>0</v>
      </c>
      <c r="C16" s="41">
        <f>'明细表G13-2'!C20</f>
        <v>0</v>
      </c>
      <c r="D16" s="41">
        <f t="shared" si="1"/>
        <v>0</v>
      </c>
      <c r="E16" s="44"/>
      <c r="F16" s="44"/>
      <c r="G16" s="41">
        <f t="shared" si="2"/>
        <v>0</v>
      </c>
      <c r="H16" s="83">
        <f t="shared" si="0"/>
        <v>0</v>
      </c>
      <c r="I16" s="93" t="str">
        <f t="shared" si="3"/>
        <v/>
      </c>
      <c r="J16" s="94"/>
    </row>
    <row r="17" spans="1:11" s="79" customFormat="1" ht="19.95" customHeight="1">
      <c r="A17" s="45" t="s">
        <v>150</v>
      </c>
      <c r="B17" s="46">
        <f>SUM(B7,B10,B13,B15:B16)</f>
        <v>0</v>
      </c>
      <c r="C17" s="46">
        <f t="shared" ref="C17:I17" si="4">SUM(C7,C10,C13,C15:C16)</f>
        <v>0</v>
      </c>
      <c r="D17" s="46">
        <f t="shared" si="4"/>
        <v>0</v>
      </c>
      <c r="E17" s="46">
        <f t="shared" si="4"/>
        <v>0</v>
      </c>
      <c r="F17" s="46">
        <f t="shared" si="4"/>
        <v>0</v>
      </c>
      <c r="G17" s="46">
        <f>SUM(G9,G10,G13,G15:G16)</f>
        <v>0</v>
      </c>
      <c r="H17" s="46">
        <f t="shared" si="4"/>
        <v>0</v>
      </c>
      <c r="I17" s="46">
        <f t="shared" si="4"/>
        <v>0</v>
      </c>
      <c r="J17" s="93"/>
    </row>
    <row r="18" spans="1:11" s="79" customFormat="1" ht="19.95" customHeight="1">
      <c r="A18" s="85" t="s">
        <v>151</v>
      </c>
      <c r="B18" s="80"/>
      <c r="C18" s="86"/>
      <c r="D18" s="86"/>
      <c r="E18" s="86"/>
      <c r="F18" s="86"/>
      <c r="G18" s="86"/>
      <c r="H18" s="86"/>
      <c r="I18" s="86"/>
      <c r="J18" s="88"/>
    </row>
    <row r="19" spans="1:11" s="79" customFormat="1" ht="19.95" customHeight="1">
      <c r="A19" s="85" t="s">
        <v>152</v>
      </c>
      <c r="B19" s="80"/>
      <c r="C19" s="80"/>
      <c r="D19" s="87">
        <f>D17-D18</f>
        <v>0</v>
      </c>
      <c r="E19" s="80"/>
      <c r="F19" s="80"/>
      <c r="G19" s="87">
        <f>G17-G18</f>
        <v>0</v>
      </c>
      <c r="H19" s="192"/>
      <c r="I19" s="192"/>
      <c r="J19" s="54"/>
    </row>
    <row r="20" spans="1:11" s="80" customFormat="1" ht="19.95" customHeight="1">
      <c r="A20" s="190" t="s">
        <v>153</v>
      </c>
      <c r="B20" s="36"/>
      <c r="C20" s="36"/>
      <c r="D20" s="36"/>
      <c r="E20" s="191"/>
      <c r="F20" s="191"/>
      <c r="G20" s="21"/>
      <c r="H20" s="54"/>
      <c r="I20" s="54"/>
      <c r="J20" s="54"/>
      <c r="K20" s="54"/>
    </row>
    <row r="21" spans="1:11" s="81" customFormat="1" ht="19.95" customHeight="1">
      <c r="A21" s="17" t="s">
        <v>154</v>
      </c>
      <c r="B21" s="17"/>
      <c r="C21" s="17"/>
      <c r="D21" s="89">
        <f>IF(AND(G17=0,D17=0),0,IF(AND(G17=0,D17&gt;0),1,(D17-G17)/G17))</f>
        <v>0</v>
      </c>
      <c r="E21" s="90"/>
      <c r="F21" s="90"/>
      <c r="G21" s="90"/>
      <c r="H21" s="90"/>
      <c r="I21" s="90"/>
      <c r="J21" s="54"/>
      <c r="K21" s="54"/>
    </row>
    <row r="22" spans="1:11" s="80" customFormat="1" ht="19.95" customHeight="1">
      <c r="A22" s="17" t="s">
        <v>155</v>
      </c>
      <c r="B22" s="17"/>
      <c r="C22" s="17"/>
      <c r="D22" s="17"/>
      <c r="E22" s="17"/>
      <c r="F22" s="17"/>
      <c r="G22" s="17"/>
      <c r="H22" s="17"/>
      <c r="I22" s="17"/>
      <c r="J22" s="54"/>
      <c r="K22" s="54"/>
    </row>
    <row r="23" spans="1:11" s="81" customFormat="1" ht="19.95" customHeight="1">
      <c r="A23" s="17"/>
      <c r="B23" s="17"/>
      <c r="C23" s="17"/>
      <c r="D23" s="17"/>
      <c r="E23" s="17"/>
      <c r="F23" s="17"/>
      <c r="G23" s="17"/>
      <c r="H23" s="17"/>
      <c r="I23" s="17"/>
      <c r="J23" s="54"/>
      <c r="K23" s="54"/>
    </row>
    <row r="24" spans="1:11" s="81" customFormat="1" ht="19.95" customHeight="1">
      <c r="A24" s="19" t="s">
        <v>156</v>
      </c>
      <c r="B24" s="17"/>
      <c r="C24" s="17"/>
      <c r="D24" s="17"/>
      <c r="E24" s="17"/>
      <c r="F24" s="17"/>
      <c r="G24" s="17"/>
      <c r="H24" s="17"/>
      <c r="I24" s="17"/>
      <c r="J24" s="54"/>
      <c r="K24" s="54"/>
    </row>
    <row r="25" spans="1:11" s="81" customFormat="1" ht="19.95" customHeight="1">
      <c r="A25" s="21" t="s">
        <v>157</v>
      </c>
      <c r="B25" s="19"/>
      <c r="C25" s="19"/>
      <c r="D25" s="19"/>
      <c r="E25" s="19"/>
      <c r="F25" s="19"/>
      <c r="G25" s="19"/>
      <c r="H25" s="19"/>
      <c r="I25" s="19"/>
      <c r="J25" s="54"/>
      <c r="K25" s="54"/>
    </row>
    <row r="26" spans="1:11" ht="19.95" customHeight="1">
      <c r="A26" s="21"/>
      <c r="B26" s="17"/>
      <c r="C26" s="17"/>
      <c r="D26" s="17"/>
      <c r="E26" s="17"/>
      <c r="F26" s="17"/>
      <c r="G26" s="17"/>
      <c r="H26" s="17"/>
      <c r="I26" s="17"/>
    </row>
    <row r="28" spans="1:11" ht="23.25" customHeight="1">
      <c r="A28" s="199" t="s">
        <v>158</v>
      </c>
    </row>
    <row r="29" spans="1:11" ht="23.25" customHeight="1">
      <c r="A29" s="52" t="s">
        <v>159</v>
      </c>
    </row>
    <row r="30" spans="1:11" ht="23.25" customHeight="1">
      <c r="A30" s="52" t="s">
        <v>160</v>
      </c>
    </row>
    <row r="31" spans="1:11" ht="23.25" customHeight="1">
      <c r="A31" s="52" t="s">
        <v>235</v>
      </c>
    </row>
    <row r="35" spans="1:1" ht="23.25" customHeight="1">
      <c r="A35" s="91"/>
    </row>
  </sheetData>
  <mergeCells count="7">
    <mergeCell ref="A1:J1"/>
    <mergeCell ref="A2:J2"/>
    <mergeCell ref="B5:D5"/>
    <mergeCell ref="E5:G5"/>
    <mergeCell ref="H5:I5"/>
    <mergeCell ref="A5:A6"/>
    <mergeCell ref="J5:J6"/>
  </mergeCells>
  <phoneticPr fontId="134" type="noConversion"/>
  <hyperlinks>
    <hyperlink ref="J3" location="底稿目录!F5" display="=底稿目录!F5"/>
  </hyperlinks>
  <printOptions horizontalCentered="1"/>
  <pageMargins left="0.70866141732283505" right="0.70866141732283505" top="0.74803149606299202" bottom="0.74803149606299202" header="0.31496062992126" footer="0.31496062992126"/>
  <pageSetup paperSize="9" scale="92" fitToHeight="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8"/>
  <sheetViews>
    <sheetView view="pageBreakPreview" zoomScaleNormal="100" workbookViewId="0">
      <selection sqref="A1:D1"/>
    </sheetView>
  </sheetViews>
  <sheetFormatPr defaultColWidth="9" defaultRowHeight="13.8"/>
  <cols>
    <col min="1" max="1" width="45.5546875" style="62" customWidth="1"/>
    <col min="2" max="2" width="11.88671875" style="62" customWidth="1"/>
    <col min="3" max="3" width="12.33203125" style="62" customWidth="1"/>
    <col min="4" max="4" width="12.88671875" style="62" customWidth="1"/>
    <col min="5" max="16384" width="9" style="62"/>
  </cols>
  <sheetData>
    <row r="1" spans="1:5" s="59" customFormat="1" ht="20.25" customHeight="1">
      <c r="A1" s="259" t="s">
        <v>20</v>
      </c>
      <c r="B1" s="259"/>
      <c r="C1" s="259"/>
      <c r="D1" s="259"/>
    </row>
    <row r="2" spans="1:5" s="60" customFormat="1" ht="25.05" customHeight="1">
      <c r="A2" s="260" t="s">
        <v>12</v>
      </c>
      <c r="B2" s="260"/>
      <c r="C2" s="260"/>
      <c r="D2" s="260"/>
    </row>
    <row r="3" spans="1:5" s="24" customFormat="1" ht="20.25" customHeight="1">
      <c r="A3" s="24" t="str">
        <f>底稿目录!A2</f>
        <v>被审计单位：</v>
      </c>
      <c r="B3" s="63" t="str">
        <f>底稿目录!A4</f>
        <v>编制人：</v>
      </c>
      <c r="C3" s="64" t="str">
        <f>底稿目录!A5</f>
        <v>编制日期：</v>
      </c>
      <c r="D3" s="63" t="s">
        <v>21</v>
      </c>
      <c r="E3" s="24">
        <f>底稿目录!F6</f>
        <v>0</v>
      </c>
    </row>
    <row r="4" spans="1:5" s="24" customFormat="1" ht="20.25" customHeight="1">
      <c r="A4" s="65" t="str">
        <f>底稿目录!A3</f>
        <v>会计期间：202X年度</v>
      </c>
      <c r="B4" s="63" t="str">
        <f>底稿目录!A6</f>
        <v>复核人：</v>
      </c>
      <c r="C4" s="64" t="str">
        <f>底稿目录!A7</f>
        <v>复核日期：</v>
      </c>
      <c r="D4" s="63" t="s">
        <v>161</v>
      </c>
    </row>
    <row r="5" spans="1:5" s="61" customFormat="1" ht="20.25" customHeight="1">
      <c r="A5" s="66" t="s">
        <v>162</v>
      </c>
    </row>
    <row r="6" spans="1:5" s="61" customFormat="1" ht="20.25" customHeight="1">
      <c r="A6" s="67" t="s">
        <v>163</v>
      </c>
      <c r="B6" s="68"/>
      <c r="C6" s="68"/>
      <c r="D6" s="68"/>
    </row>
    <row r="7" spans="1:5" s="61" customFormat="1" ht="20.25" customHeight="1">
      <c r="A7" s="69" t="s">
        <v>164</v>
      </c>
      <c r="B7" s="76" t="s">
        <v>165</v>
      </c>
      <c r="C7" s="76" t="s">
        <v>166</v>
      </c>
    </row>
    <row r="8" spans="1:5" s="61" customFormat="1" ht="20.25" customHeight="1">
      <c r="A8" s="71" t="s">
        <v>141</v>
      </c>
      <c r="B8" s="72">
        <f>B9+B10</f>
        <v>0</v>
      </c>
      <c r="C8" s="72">
        <f>C9+C10</f>
        <v>0</v>
      </c>
    </row>
    <row r="9" spans="1:5" s="61" customFormat="1" ht="28.5" customHeight="1">
      <c r="A9" s="71" t="s">
        <v>167</v>
      </c>
      <c r="B9" s="72">
        <f>'审定表G13-1'!D8</f>
        <v>0</v>
      </c>
      <c r="C9" s="72">
        <f>'审定表G13-1'!G8</f>
        <v>0</v>
      </c>
    </row>
    <row r="10" spans="1:5" s="61" customFormat="1" ht="20.25" customHeight="1">
      <c r="A10" s="71" t="s">
        <v>168</v>
      </c>
      <c r="B10" s="72">
        <f>'审定表G13-1'!D9+'审定表G13-1'!D12</f>
        <v>0</v>
      </c>
      <c r="C10" s="72">
        <f>'审定表G13-1'!G9+'审定表G13-1'!G12</f>
        <v>0</v>
      </c>
    </row>
    <row r="11" spans="1:5" s="61" customFormat="1" ht="20.25" customHeight="1">
      <c r="A11" s="71" t="s">
        <v>144</v>
      </c>
      <c r="B11" s="72">
        <f>SUM(B12:B13)</f>
        <v>0</v>
      </c>
      <c r="C11" s="72">
        <f>SUM(C12:C13)</f>
        <v>0</v>
      </c>
    </row>
    <row r="12" spans="1:5" s="61" customFormat="1" ht="30" customHeight="1">
      <c r="A12" s="71" t="s">
        <v>169</v>
      </c>
      <c r="B12" s="72">
        <f>'审定表G13-1'!D11</f>
        <v>0</v>
      </c>
      <c r="C12" s="72">
        <f>'审定表G13-1'!G11</f>
        <v>0</v>
      </c>
    </row>
    <row r="13" spans="1:5" s="61" customFormat="1" ht="20.25" customHeight="1">
      <c r="A13" s="71" t="s">
        <v>147</v>
      </c>
      <c r="B13" s="72">
        <f>'审定表G13-1'!D13</f>
        <v>0</v>
      </c>
      <c r="C13" s="72">
        <f>'审定表G13-1'!G13</f>
        <v>0</v>
      </c>
    </row>
    <row r="14" spans="1:5" s="61" customFormat="1" ht="30" customHeight="1">
      <c r="A14" s="71" t="s">
        <v>167</v>
      </c>
      <c r="B14" s="72">
        <f>'审定表G13-1'!D14</f>
        <v>0</v>
      </c>
      <c r="C14" s="72">
        <f>'审定表G13-1'!G14</f>
        <v>0</v>
      </c>
    </row>
    <row r="15" spans="1:5" s="61" customFormat="1" ht="20.25" customHeight="1">
      <c r="A15" s="71" t="s">
        <v>170</v>
      </c>
      <c r="B15" s="72">
        <f>'审定表G13-1'!D15</f>
        <v>0</v>
      </c>
      <c r="C15" s="72">
        <f>'审定表G13-1'!G15</f>
        <v>0</v>
      </c>
    </row>
    <row r="16" spans="1:5" s="61" customFormat="1" ht="20.25" customHeight="1">
      <c r="A16" s="71" t="s">
        <v>149</v>
      </c>
      <c r="B16" s="72">
        <f>'审定表G13-1'!D16</f>
        <v>0</v>
      </c>
      <c r="C16" s="72">
        <f>'审定表G13-1'!G16</f>
        <v>0</v>
      </c>
    </row>
    <row r="17" spans="1:4" s="61" customFormat="1" ht="20.25" customHeight="1">
      <c r="A17" s="69" t="s">
        <v>171</v>
      </c>
      <c r="B17" s="73">
        <f>B8+B10+B11+B13+B15+B16</f>
        <v>0</v>
      </c>
      <c r="C17" s="73">
        <f>C8+C10+C11+C13+C15+C16</f>
        <v>0</v>
      </c>
    </row>
    <row r="18" spans="1:4" s="61" customFormat="1" ht="20.25" customHeight="1">
      <c r="A18" s="75"/>
      <c r="B18" s="75"/>
      <c r="C18" s="75"/>
      <c r="D18" s="75"/>
    </row>
  </sheetData>
  <mergeCells count="2">
    <mergeCell ref="A1:D1"/>
    <mergeCell ref="A2:D2"/>
  </mergeCells>
  <phoneticPr fontId="134" type="noConversion"/>
  <printOptions horizontalCentered="1"/>
  <pageMargins left="0.70866141732283505" right="0.70866141732283505" top="0.74803149606299202" bottom="0.74803149606299202" header="0.31496062992126" footer="0.31496062992126"/>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7"/>
  <sheetViews>
    <sheetView view="pageBreakPreview" zoomScaleNormal="100" workbookViewId="0">
      <selection activeCell="A2" sqref="A2:D2"/>
    </sheetView>
  </sheetViews>
  <sheetFormatPr defaultColWidth="9" defaultRowHeight="13.8"/>
  <cols>
    <col min="1" max="1" width="30.44140625" style="62" customWidth="1"/>
    <col min="2" max="2" width="15.109375" style="62" customWidth="1"/>
    <col min="3" max="3" width="13.77734375" style="62" customWidth="1"/>
    <col min="4" max="4" width="14.109375" style="62" customWidth="1"/>
    <col min="5" max="16384" width="9" style="62"/>
  </cols>
  <sheetData>
    <row r="1" spans="1:5" s="59" customFormat="1" ht="20.25" customHeight="1">
      <c r="A1" s="259" t="s">
        <v>20</v>
      </c>
      <c r="B1" s="259"/>
      <c r="C1" s="259"/>
      <c r="D1" s="259"/>
    </row>
    <row r="2" spans="1:5" s="60" customFormat="1" ht="25.05" customHeight="1">
      <c r="A2" s="260" t="s">
        <v>15</v>
      </c>
      <c r="B2" s="260"/>
      <c r="C2" s="260"/>
      <c r="D2" s="260"/>
    </row>
    <row r="3" spans="1:5" s="24" customFormat="1" ht="20.25" customHeight="1">
      <c r="A3" s="24" t="str">
        <f>底稿目录!A2</f>
        <v>被审计单位：</v>
      </c>
      <c r="B3" s="63" t="str">
        <f>底稿目录!A4</f>
        <v>编制人：</v>
      </c>
      <c r="C3" s="64" t="str">
        <f>底稿目录!A5</f>
        <v>编制日期：</v>
      </c>
      <c r="D3" s="63" t="s">
        <v>21</v>
      </c>
      <c r="E3" s="24">
        <f>底稿目录!F7</f>
        <v>0</v>
      </c>
    </row>
    <row r="4" spans="1:5" s="24" customFormat="1" ht="20.25" customHeight="1">
      <c r="A4" s="65" t="str">
        <f>底稿目录!A3</f>
        <v>会计期间：202X年度</v>
      </c>
      <c r="B4" s="63" t="str">
        <f>底稿目录!A6</f>
        <v>复核人：</v>
      </c>
      <c r="C4" s="64" t="str">
        <f>底稿目录!A7</f>
        <v>复核日期：</v>
      </c>
      <c r="D4" s="63" t="s">
        <v>161</v>
      </c>
    </row>
    <row r="5" spans="1:5" s="61" customFormat="1" ht="20.25" customHeight="1">
      <c r="A5" s="66" t="s">
        <v>162</v>
      </c>
    </row>
    <row r="6" spans="1:5" s="61" customFormat="1" ht="20.25" customHeight="1">
      <c r="A6" s="67" t="s">
        <v>163</v>
      </c>
      <c r="B6" s="68"/>
      <c r="C6" s="68"/>
      <c r="D6" s="68"/>
    </row>
    <row r="7" spans="1:5" s="61" customFormat="1" ht="20.25" customHeight="1">
      <c r="A7" s="69" t="s">
        <v>164</v>
      </c>
      <c r="B7" s="70" t="s">
        <v>165</v>
      </c>
      <c r="C7" s="70" t="s">
        <v>166</v>
      </c>
    </row>
    <row r="8" spans="1:5" s="61" customFormat="1" ht="20.25" customHeight="1">
      <c r="A8" s="71" t="s">
        <v>141</v>
      </c>
      <c r="B8" s="72">
        <f>'审定表G13-1'!D7-'审定表G13-1'!D9</f>
        <v>0</v>
      </c>
      <c r="C8" s="72">
        <f>'审定表G13-1'!G7-'审定表G13-1'!G9</f>
        <v>0</v>
      </c>
    </row>
    <row r="9" spans="1:5" s="61" customFormat="1" ht="20.25" customHeight="1">
      <c r="A9" s="71" t="s">
        <v>172</v>
      </c>
      <c r="B9" s="72">
        <f>'审定表G13-1'!D9</f>
        <v>0</v>
      </c>
      <c r="C9" s="72">
        <f>'审定表G13-1'!G9</f>
        <v>0</v>
      </c>
    </row>
    <row r="10" spans="1:5" s="61" customFormat="1" ht="20.25" customHeight="1">
      <c r="A10" s="71" t="s">
        <v>147</v>
      </c>
      <c r="B10" s="72">
        <f>'审定表G13-1'!D13</f>
        <v>0</v>
      </c>
      <c r="C10" s="72">
        <f>'审定表G13-1'!G13</f>
        <v>0</v>
      </c>
    </row>
    <row r="11" spans="1:5" s="61" customFormat="1" ht="20.25" customHeight="1">
      <c r="A11" s="71" t="s">
        <v>144</v>
      </c>
      <c r="B11" s="72">
        <f>'审定表G13-1'!D10-'审定表G13-1'!D12</f>
        <v>0</v>
      </c>
      <c r="C11" s="72">
        <f>'审定表G13-1'!G10-'审定表G13-1'!G12</f>
        <v>0</v>
      </c>
    </row>
    <row r="12" spans="1:5" s="61" customFormat="1" ht="20.25" customHeight="1">
      <c r="A12" s="71" t="s">
        <v>173</v>
      </c>
      <c r="B12" s="72">
        <f>'审定表G13-1'!D12</f>
        <v>0</v>
      </c>
      <c r="C12" s="72">
        <f>'审定表G13-1'!G12</f>
        <v>0</v>
      </c>
    </row>
    <row r="13" spans="1:5" s="61" customFormat="1" ht="28.8" customHeight="1">
      <c r="A13" s="71" t="s">
        <v>170</v>
      </c>
      <c r="B13" s="72">
        <f>'审定表G13-1'!D15</f>
        <v>0</v>
      </c>
      <c r="C13" s="72">
        <f>'审定表G13-1'!G15</f>
        <v>0</v>
      </c>
    </row>
    <row r="14" spans="1:5" s="61" customFormat="1" ht="20.25" customHeight="1">
      <c r="A14" s="71" t="s">
        <v>149</v>
      </c>
      <c r="B14" s="72">
        <f>'审定表G13-1'!D16</f>
        <v>0</v>
      </c>
      <c r="C14" s="72">
        <f>'审定表G13-1'!G16</f>
        <v>0</v>
      </c>
    </row>
    <row r="15" spans="1:5" s="61" customFormat="1" ht="20.25" customHeight="1">
      <c r="A15" s="69" t="s">
        <v>171</v>
      </c>
      <c r="B15" s="73">
        <f>SUM(B8:B14)</f>
        <v>0</v>
      </c>
      <c r="C15" s="73">
        <f>SUM(C8:C14)</f>
        <v>0</v>
      </c>
    </row>
    <row r="16" spans="1:5" s="61" customFormat="1" ht="20.25" customHeight="1">
      <c r="A16" s="74"/>
      <c r="B16" s="75"/>
      <c r="C16" s="75"/>
      <c r="D16" s="75"/>
    </row>
    <row r="17" spans="1:4" s="61" customFormat="1" ht="20.25" customHeight="1">
      <c r="A17" s="75"/>
      <c r="B17" s="75"/>
      <c r="C17" s="75"/>
      <c r="D17" s="75"/>
    </row>
  </sheetData>
  <mergeCells count="2">
    <mergeCell ref="A1:D1"/>
    <mergeCell ref="A2:D2"/>
  </mergeCells>
  <phoneticPr fontId="134" type="noConversion"/>
  <printOptions horizontalCentered="1"/>
  <pageMargins left="0.70866141732283505" right="0.70866141732283505" top="0.74803149606299202" bottom="0.74803149606299202" header="0.31496062992126" footer="0.31496062992126"/>
  <pageSetup paperSize="9" fitToHeight="100"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L34"/>
  <sheetViews>
    <sheetView showZeros="0" view="pageBreakPreview" zoomScaleNormal="115" workbookViewId="0">
      <selection sqref="A1:L1"/>
    </sheetView>
  </sheetViews>
  <sheetFormatPr defaultColWidth="9" defaultRowHeight="13.8"/>
  <cols>
    <col min="1" max="1" width="27.5546875" style="26" customWidth="1"/>
    <col min="2" max="2" width="11" style="26" customWidth="1"/>
    <col min="3" max="3" width="9.33203125" style="26" customWidth="1"/>
    <col min="4" max="4" width="13.21875" style="26" customWidth="1"/>
    <col min="5" max="5" width="27.109375" style="26" customWidth="1"/>
    <col min="6" max="7" width="8.77734375" style="26" customWidth="1"/>
    <col min="8" max="8" width="10.44140625" style="26" customWidth="1"/>
    <col min="9" max="9" width="9.5546875" style="26" customWidth="1"/>
    <col min="10" max="10" width="8.33203125" style="26" customWidth="1"/>
    <col min="11" max="11" width="8.44140625" style="26" customWidth="1"/>
    <col min="12" max="12" width="8" style="26" customWidth="1"/>
    <col min="13" max="16384" width="9" style="26"/>
  </cols>
  <sheetData>
    <row r="1" spans="1:12" s="22" customFormat="1" ht="19.95" customHeight="1">
      <c r="A1" s="261" t="s">
        <v>20</v>
      </c>
      <c r="B1" s="261"/>
      <c r="C1" s="261"/>
      <c r="D1" s="261"/>
      <c r="E1" s="261"/>
      <c r="F1" s="261"/>
      <c r="G1" s="261"/>
      <c r="H1" s="261"/>
      <c r="I1" s="261"/>
      <c r="J1" s="261"/>
      <c r="K1" s="261"/>
      <c r="L1" s="261"/>
    </row>
    <row r="2" spans="1:12" s="23" customFormat="1" ht="19.95" customHeight="1">
      <c r="A2" s="262" t="s">
        <v>174</v>
      </c>
      <c r="B2" s="262"/>
      <c r="C2" s="262"/>
      <c r="D2" s="262"/>
      <c r="E2" s="262"/>
      <c r="F2" s="262"/>
      <c r="G2" s="262"/>
      <c r="H2" s="262"/>
      <c r="I2" s="262"/>
      <c r="J2" s="262"/>
      <c r="K2" s="262"/>
      <c r="L2" s="262"/>
    </row>
    <row r="3" spans="1:12" s="24" customFormat="1" ht="19.95" customHeight="1">
      <c r="A3" s="27" t="str">
        <f>底稿目录!A2</f>
        <v>被审计单位：</v>
      </c>
      <c r="B3" s="27"/>
      <c r="D3" s="5" t="str">
        <f>底稿目录!A4</f>
        <v>编制人：</v>
      </c>
      <c r="F3" s="28"/>
      <c r="G3" s="28" t="str">
        <f>底稿目录!A5</f>
        <v>编制日期：</v>
      </c>
      <c r="H3" s="28"/>
      <c r="I3" s="28"/>
      <c r="J3" s="28"/>
      <c r="K3" s="5" t="s">
        <v>21</v>
      </c>
      <c r="L3" s="194" t="str">
        <f>底稿目录!F8</f>
        <v>G13-2</v>
      </c>
    </row>
    <row r="4" spans="1:12" s="24" customFormat="1" ht="19.95" customHeight="1">
      <c r="A4" s="27" t="str">
        <f>底稿目录!A3</f>
        <v>会计期间：202X年度</v>
      </c>
      <c r="B4" s="29"/>
      <c r="D4" s="5" t="str">
        <f>底稿目录!A6</f>
        <v>复核人：</v>
      </c>
      <c r="F4" s="28"/>
      <c r="G4" s="28" t="str">
        <f>底稿目录!A7</f>
        <v>复核日期：</v>
      </c>
      <c r="H4" s="28"/>
      <c r="I4" s="28"/>
      <c r="J4" s="28"/>
      <c r="K4" s="5" t="s">
        <v>175</v>
      </c>
    </row>
    <row r="5" spans="1:12" ht="19.95" customHeight="1">
      <c r="A5" s="30" t="s">
        <v>176</v>
      </c>
      <c r="B5" s="31"/>
      <c r="C5" s="31"/>
      <c r="D5" s="31"/>
      <c r="E5" s="31"/>
      <c r="F5" s="31"/>
      <c r="G5" s="31"/>
      <c r="H5" s="31"/>
      <c r="I5" s="31"/>
      <c r="J5" s="31"/>
      <c r="K5" s="31"/>
      <c r="L5" s="31"/>
    </row>
    <row r="6" spans="1:12" ht="19.95" customHeight="1">
      <c r="A6" s="32" t="s">
        <v>177</v>
      </c>
      <c r="B6" s="33"/>
      <c r="C6" s="33"/>
      <c r="D6" s="33"/>
      <c r="E6" s="33"/>
      <c r="F6" s="33"/>
      <c r="G6" s="33"/>
      <c r="H6" s="33"/>
      <c r="I6" s="33"/>
      <c r="J6" s="33"/>
      <c r="K6" s="33"/>
      <c r="L6" s="33"/>
    </row>
    <row r="7" spans="1:12" ht="19.95" customHeight="1">
      <c r="A7" s="32" t="s">
        <v>178</v>
      </c>
      <c r="B7" s="33"/>
      <c r="C7" s="33"/>
      <c r="D7" s="33"/>
      <c r="E7" s="33"/>
      <c r="F7" s="33"/>
      <c r="G7" s="33"/>
      <c r="H7" s="33"/>
      <c r="I7" s="33"/>
      <c r="J7" s="33"/>
      <c r="K7" s="33"/>
      <c r="L7" s="33"/>
    </row>
    <row r="8" spans="1:12" ht="19.95" customHeight="1">
      <c r="A8" s="34" t="s">
        <v>179</v>
      </c>
      <c r="B8" s="35"/>
      <c r="C8" s="36"/>
      <c r="D8" s="36"/>
      <c r="E8" s="36"/>
      <c r="F8" s="36"/>
      <c r="G8" s="36"/>
      <c r="H8" s="36"/>
      <c r="I8" s="36"/>
      <c r="J8" s="36"/>
      <c r="K8" s="54"/>
    </row>
    <row r="9" spans="1:12" s="25" customFormat="1" ht="19.95" customHeight="1">
      <c r="A9" s="266" t="s">
        <v>180</v>
      </c>
      <c r="B9" s="263" t="s">
        <v>132</v>
      </c>
      <c r="C9" s="264"/>
      <c r="D9" s="264"/>
      <c r="E9" s="267" t="s">
        <v>181</v>
      </c>
      <c r="F9" s="265" t="s">
        <v>182</v>
      </c>
      <c r="G9" s="265"/>
      <c r="H9" s="265"/>
      <c r="I9" s="265"/>
      <c r="J9" s="265"/>
      <c r="K9" s="267" t="s">
        <v>183</v>
      </c>
      <c r="L9" s="267" t="s">
        <v>184</v>
      </c>
    </row>
    <row r="10" spans="1:12" s="25" customFormat="1" ht="24">
      <c r="A10" s="266"/>
      <c r="B10" s="37" t="s">
        <v>136</v>
      </c>
      <c r="C10" s="8" t="s">
        <v>137</v>
      </c>
      <c r="D10" s="37" t="s">
        <v>138</v>
      </c>
      <c r="E10" s="267"/>
      <c r="F10" s="38" t="s">
        <v>185</v>
      </c>
      <c r="G10" s="38" t="s">
        <v>186</v>
      </c>
      <c r="H10" s="39" t="s">
        <v>187</v>
      </c>
      <c r="I10" s="38" t="s">
        <v>188</v>
      </c>
      <c r="J10" s="55" t="s">
        <v>189</v>
      </c>
      <c r="K10" s="267"/>
      <c r="L10" s="267"/>
    </row>
    <row r="11" spans="1:12" ht="19.95" customHeight="1">
      <c r="A11" s="40" t="s">
        <v>141</v>
      </c>
      <c r="B11" s="41">
        <f>B12+B13</f>
        <v>0</v>
      </c>
      <c r="C11" s="41">
        <f>C12+C13</f>
        <v>0</v>
      </c>
      <c r="D11" s="41">
        <f>B11+C11</f>
        <v>0</v>
      </c>
      <c r="E11" s="193" t="s">
        <v>141</v>
      </c>
      <c r="F11" s="42"/>
      <c r="G11" s="42"/>
      <c r="H11" s="42"/>
      <c r="I11" s="56">
        <f>F11+H11</f>
        <v>0</v>
      </c>
      <c r="J11" s="56">
        <f>G11</f>
        <v>0</v>
      </c>
      <c r="K11" s="57" t="b">
        <f>J11=D11</f>
        <v>1</v>
      </c>
      <c r="L11" s="42"/>
    </row>
    <row r="12" spans="1:12" ht="24">
      <c r="A12" s="43" t="s">
        <v>142</v>
      </c>
      <c r="B12" s="44"/>
      <c r="C12" s="44"/>
      <c r="D12" s="41">
        <f t="shared" ref="D12:D20" si="0">B12+C12</f>
        <v>0</v>
      </c>
      <c r="E12" s="193" t="s">
        <v>141</v>
      </c>
      <c r="F12" s="42"/>
      <c r="G12" s="42"/>
      <c r="H12" s="42"/>
      <c r="I12" s="56">
        <f t="shared" ref="I12:I20" si="1">F12+H12</f>
        <v>0</v>
      </c>
      <c r="J12" s="56">
        <f t="shared" ref="J12:J20" si="2">G12</f>
        <v>0</v>
      </c>
      <c r="K12" s="57" t="b">
        <f>J12=D12</f>
        <v>1</v>
      </c>
      <c r="L12" s="42"/>
    </row>
    <row r="13" spans="1:12" ht="19.95" customHeight="1">
      <c r="A13" s="43" t="s">
        <v>143</v>
      </c>
      <c r="B13" s="44"/>
      <c r="C13" s="44"/>
      <c r="D13" s="41">
        <f t="shared" si="0"/>
        <v>0</v>
      </c>
      <c r="E13" s="193" t="s">
        <v>222</v>
      </c>
      <c r="F13" s="42"/>
      <c r="G13" s="42"/>
      <c r="H13" s="42"/>
      <c r="I13" s="56">
        <f t="shared" si="1"/>
        <v>0</v>
      </c>
      <c r="J13" s="56">
        <f t="shared" si="2"/>
        <v>0</v>
      </c>
      <c r="K13" s="57" t="b">
        <f t="shared" ref="K13:K21" si="3">J13=D13</f>
        <v>1</v>
      </c>
      <c r="L13" s="42"/>
    </row>
    <row r="14" spans="1:12" ht="19.95" customHeight="1">
      <c r="A14" s="40" t="s">
        <v>144</v>
      </c>
      <c r="B14" s="41">
        <f>B15+B16</f>
        <v>0</v>
      </c>
      <c r="C14" s="41">
        <f>C15+C16</f>
        <v>0</v>
      </c>
      <c r="D14" s="41">
        <f t="shared" si="0"/>
        <v>0</v>
      </c>
      <c r="E14" s="193" t="s">
        <v>144</v>
      </c>
      <c r="F14" s="42"/>
      <c r="G14" s="42"/>
      <c r="H14" s="42"/>
      <c r="I14" s="56">
        <f t="shared" si="1"/>
        <v>0</v>
      </c>
      <c r="J14" s="56">
        <f t="shared" si="2"/>
        <v>0</v>
      </c>
      <c r="K14" s="57" t="b">
        <f t="shared" si="3"/>
        <v>1</v>
      </c>
      <c r="L14" s="42"/>
    </row>
    <row r="15" spans="1:12" ht="24">
      <c r="A15" s="43" t="s">
        <v>145</v>
      </c>
      <c r="B15" s="44"/>
      <c r="C15" s="44"/>
      <c r="D15" s="41">
        <f t="shared" si="0"/>
        <v>0</v>
      </c>
      <c r="E15" s="193" t="s">
        <v>144</v>
      </c>
      <c r="F15" s="42"/>
      <c r="G15" s="42"/>
      <c r="H15" s="42"/>
      <c r="I15" s="56">
        <f t="shared" si="1"/>
        <v>0</v>
      </c>
      <c r="J15" s="56">
        <f t="shared" si="2"/>
        <v>0</v>
      </c>
      <c r="K15" s="57" t="b">
        <f t="shared" si="3"/>
        <v>1</v>
      </c>
      <c r="L15" s="42"/>
    </row>
    <row r="16" spans="1:12" ht="19.95" customHeight="1">
      <c r="A16" s="43" t="s">
        <v>146</v>
      </c>
      <c r="B16" s="44"/>
      <c r="C16" s="44"/>
      <c r="D16" s="41">
        <f t="shared" si="0"/>
        <v>0</v>
      </c>
      <c r="E16" s="193" t="s">
        <v>223</v>
      </c>
      <c r="F16" s="42"/>
      <c r="G16" s="42"/>
      <c r="H16" s="42"/>
      <c r="I16" s="56">
        <f t="shared" si="1"/>
        <v>0</v>
      </c>
      <c r="J16" s="56">
        <f t="shared" si="2"/>
        <v>0</v>
      </c>
      <c r="K16" s="57" t="b">
        <f t="shared" si="3"/>
        <v>1</v>
      </c>
      <c r="L16" s="42"/>
    </row>
    <row r="17" spans="1:12" ht="19.95" customHeight="1">
      <c r="A17" s="40" t="s">
        <v>147</v>
      </c>
      <c r="B17" s="41">
        <f>B18</f>
        <v>0</v>
      </c>
      <c r="C17" s="41">
        <f>C18</f>
        <v>0</v>
      </c>
      <c r="D17" s="41">
        <f t="shared" si="0"/>
        <v>0</v>
      </c>
      <c r="E17" s="193" t="s">
        <v>147</v>
      </c>
      <c r="F17" s="42"/>
      <c r="G17" s="42"/>
      <c r="H17" s="42"/>
      <c r="I17" s="56">
        <f t="shared" si="1"/>
        <v>0</v>
      </c>
      <c r="J17" s="56">
        <f t="shared" si="2"/>
        <v>0</v>
      </c>
      <c r="K17" s="57" t="b">
        <f t="shared" si="3"/>
        <v>1</v>
      </c>
      <c r="L17" s="42"/>
    </row>
    <row r="18" spans="1:12" ht="24">
      <c r="A18" s="43" t="s">
        <v>142</v>
      </c>
      <c r="B18" s="44"/>
      <c r="C18" s="44"/>
      <c r="D18" s="41">
        <f t="shared" si="0"/>
        <v>0</v>
      </c>
      <c r="E18" s="193" t="s">
        <v>147</v>
      </c>
      <c r="F18" s="42"/>
      <c r="G18" s="42"/>
      <c r="H18" s="42"/>
      <c r="I18" s="56">
        <f t="shared" si="1"/>
        <v>0</v>
      </c>
      <c r="J18" s="56">
        <f t="shared" si="2"/>
        <v>0</v>
      </c>
      <c r="K18" s="57" t="b">
        <f t="shared" si="3"/>
        <v>1</v>
      </c>
      <c r="L18" s="42"/>
    </row>
    <row r="19" spans="1:12" ht="19.95" customHeight="1">
      <c r="A19" s="40" t="s">
        <v>148</v>
      </c>
      <c r="B19" s="44"/>
      <c r="C19" s="44"/>
      <c r="D19" s="41">
        <f t="shared" si="0"/>
        <v>0</v>
      </c>
      <c r="E19" s="193" t="s">
        <v>190</v>
      </c>
      <c r="F19" s="42"/>
      <c r="G19" s="42"/>
      <c r="H19" s="42"/>
      <c r="I19" s="56">
        <f t="shared" si="1"/>
        <v>0</v>
      </c>
      <c r="J19" s="56">
        <f t="shared" si="2"/>
        <v>0</v>
      </c>
      <c r="K19" s="57" t="b">
        <f t="shared" si="3"/>
        <v>1</v>
      </c>
      <c r="L19" s="42"/>
    </row>
    <row r="20" spans="1:12" ht="19.95" customHeight="1">
      <c r="A20" s="40" t="s">
        <v>149</v>
      </c>
      <c r="B20" s="44"/>
      <c r="C20" s="44"/>
      <c r="D20" s="41">
        <f t="shared" si="0"/>
        <v>0</v>
      </c>
      <c r="E20" s="42"/>
      <c r="F20" s="42"/>
      <c r="G20" s="42"/>
      <c r="H20" s="42"/>
      <c r="I20" s="56">
        <f t="shared" si="1"/>
        <v>0</v>
      </c>
      <c r="J20" s="56">
        <f t="shared" si="2"/>
        <v>0</v>
      </c>
      <c r="K20" s="57" t="b">
        <f t="shared" si="3"/>
        <v>1</v>
      </c>
      <c r="L20" s="42"/>
    </row>
    <row r="21" spans="1:12" ht="19.95" customHeight="1">
      <c r="A21" s="45" t="s">
        <v>191</v>
      </c>
      <c r="B21" s="46">
        <f>B11+B14+B17+B19+B20</f>
        <v>0</v>
      </c>
      <c r="C21" s="46">
        <f t="shared" ref="C21:D21" si="4">C11+C14+C17+C19+C20</f>
        <v>0</v>
      </c>
      <c r="D21" s="46">
        <f t="shared" si="4"/>
        <v>0</v>
      </c>
      <c r="E21" s="47"/>
      <c r="F21" s="47"/>
      <c r="G21" s="47"/>
      <c r="H21" s="47"/>
      <c r="I21" s="47">
        <f>SUM(I11:I20)</f>
        <v>0</v>
      </c>
      <c r="J21" s="47">
        <f>SUM(J11:J20)</f>
        <v>0</v>
      </c>
      <c r="K21" s="57" t="b">
        <f t="shared" si="3"/>
        <v>1</v>
      </c>
      <c r="L21" s="47"/>
    </row>
    <row r="22" spans="1:12" ht="19.95" customHeight="1">
      <c r="A22" s="48" t="s">
        <v>192</v>
      </c>
      <c r="K22" s="58"/>
    </row>
    <row r="23" spans="1:12" ht="19.95" customHeight="1"/>
    <row r="24" spans="1:12" ht="19.95" customHeight="1"/>
    <row r="25" spans="1:12" ht="19.95" customHeight="1"/>
    <row r="26" spans="1:12" ht="15" customHeight="1">
      <c r="A26" s="49" t="s">
        <v>193</v>
      </c>
    </row>
    <row r="27" spans="1:12" ht="18" customHeight="1">
      <c r="A27" s="50" t="s">
        <v>194</v>
      </c>
    </row>
    <row r="28" spans="1:12" ht="18" customHeight="1">
      <c r="A28" s="51" t="s">
        <v>195</v>
      </c>
    </row>
    <row r="29" spans="1:12" ht="18" customHeight="1">
      <c r="A29" s="52"/>
    </row>
    <row r="30" spans="1:12" ht="18" customHeight="1">
      <c r="A30" s="53"/>
    </row>
    <row r="31" spans="1:12" ht="18" customHeight="1">
      <c r="A31" s="52"/>
    </row>
    <row r="32" spans="1:12" ht="18" customHeight="1">
      <c r="A32" s="53"/>
    </row>
    <row r="33" spans="1:1" ht="18" customHeight="1">
      <c r="A33" s="53"/>
    </row>
    <row r="34" spans="1:1" ht="18" customHeight="1">
      <c r="A34" s="52"/>
    </row>
  </sheetData>
  <mergeCells count="8">
    <mergeCell ref="A1:L1"/>
    <mergeCell ref="A2:L2"/>
    <mergeCell ref="B9:D9"/>
    <mergeCell ref="F9:J9"/>
    <mergeCell ref="A9:A10"/>
    <mergeCell ref="E9:E10"/>
    <mergeCell ref="K9:K10"/>
    <mergeCell ref="L9:L10"/>
  </mergeCells>
  <phoneticPr fontId="134" type="noConversion"/>
  <hyperlinks>
    <hyperlink ref="L3" location="底稿目录!F8" display="=底稿目录!F8"/>
  </hyperlinks>
  <printOptions horizontalCentered="1"/>
  <pageMargins left="0.70866141732283505" right="0.70866141732283505" top="0.74803149606299202" bottom="0.74803149606299202" header="0.31496062992126" footer="0.31496062992126"/>
  <pageSetup paperSize="9" scale="88"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2"/>
  <sheetViews>
    <sheetView view="pageBreakPreview" zoomScaleNormal="100" workbookViewId="0">
      <selection sqref="A1:J1"/>
    </sheetView>
  </sheetViews>
  <sheetFormatPr defaultColWidth="8.88671875" defaultRowHeight="15.6"/>
  <cols>
    <col min="1" max="1" width="21" style="4" customWidth="1"/>
    <col min="2" max="2" width="17" style="4" customWidth="1"/>
    <col min="3" max="3" width="14.6640625" style="4" customWidth="1"/>
    <col min="4" max="4" width="13.88671875" style="4" customWidth="1"/>
    <col min="5" max="5" width="16.33203125" style="4" customWidth="1"/>
    <col min="6" max="6" width="8.88671875" style="4"/>
    <col min="7" max="7" width="11.44140625" style="4" customWidth="1"/>
    <col min="8" max="8" width="11.33203125" style="4" customWidth="1"/>
    <col min="9" max="9" width="10.5546875" style="4" customWidth="1"/>
    <col min="10" max="10" width="14.6640625" style="4" customWidth="1"/>
    <col min="11" max="16384" width="8.88671875" style="4"/>
  </cols>
  <sheetData>
    <row r="1" spans="1:10" s="1" customFormat="1" ht="19.95" customHeight="1">
      <c r="A1" s="248" t="s">
        <v>20</v>
      </c>
      <c r="B1" s="248"/>
      <c r="C1" s="248"/>
      <c r="D1" s="248"/>
      <c r="E1" s="248"/>
      <c r="F1" s="248"/>
      <c r="G1" s="248"/>
      <c r="H1" s="248"/>
      <c r="I1" s="248"/>
      <c r="J1" s="248"/>
    </row>
    <row r="2" spans="1:10" s="2" customFormat="1" ht="19.95" customHeight="1">
      <c r="A2" s="249" t="s">
        <v>196</v>
      </c>
      <c r="B2" s="249"/>
      <c r="C2" s="249"/>
      <c r="D2" s="249"/>
      <c r="E2" s="249"/>
      <c r="F2" s="249"/>
      <c r="G2" s="249"/>
      <c r="H2" s="249"/>
      <c r="I2" s="249"/>
      <c r="J2" s="249"/>
    </row>
    <row r="3" spans="1:10" s="3" customFormat="1" ht="19.95" customHeight="1">
      <c r="A3" s="5" t="str">
        <f>底稿目录!A2</f>
        <v>被审计单位：</v>
      </c>
      <c r="B3" s="5"/>
      <c r="C3" s="5"/>
      <c r="D3" s="5" t="str">
        <f>底稿目录!A4</f>
        <v>编制人：</v>
      </c>
      <c r="E3" s="5"/>
      <c r="F3" s="5"/>
      <c r="G3" s="5" t="str">
        <f>底稿目录!A5</f>
        <v>编制日期：</v>
      </c>
      <c r="H3" s="5"/>
      <c r="I3" s="5" t="s">
        <v>21</v>
      </c>
      <c r="J3" s="194" t="str">
        <f>底稿目录!F9</f>
        <v>G13-3</v>
      </c>
    </row>
    <row r="4" spans="1:10" s="3" customFormat="1" ht="19.95" customHeight="1">
      <c r="A4" s="5" t="str">
        <f>底稿目录!A3</f>
        <v>会计期间：202X年度</v>
      </c>
      <c r="B4" s="5"/>
      <c r="C4" s="5"/>
      <c r="D4" s="5" t="str">
        <f>底稿目录!A6</f>
        <v>复核人：</v>
      </c>
      <c r="E4" s="5"/>
      <c r="F4" s="5"/>
      <c r="G4" s="5" t="str">
        <f>底稿目录!A7</f>
        <v>复核日期：</v>
      </c>
      <c r="H4" s="5"/>
      <c r="I4" s="5" t="s">
        <v>197</v>
      </c>
    </row>
    <row r="5" spans="1:10" ht="24">
      <c r="A5" s="6" t="s">
        <v>198</v>
      </c>
      <c r="B5" s="7" t="s">
        <v>199</v>
      </c>
      <c r="C5" s="7" t="s">
        <v>200</v>
      </c>
      <c r="D5" s="8" t="s">
        <v>201</v>
      </c>
      <c r="E5" s="8" t="s">
        <v>202</v>
      </c>
      <c r="F5" s="9" t="s">
        <v>203</v>
      </c>
      <c r="G5" s="8" t="s">
        <v>204</v>
      </c>
      <c r="H5" s="8" t="s">
        <v>205</v>
      </c>
      <c r="I5" s="8" t="s">
        <v>206</v>
      </c>
      <c r="J5" s="8" t="s">
        <v>207</v>
      </c>
    </row>
    <row r="6" spans="1:10" ht="19.95" customHeight="1">
      <c r="A6" s="10"/>
      <c r="B6" s="10"/>
      <c r="C6" s="10"/>
      <c r="D6" s="10"/>
      <c r="E6" s="10"/>
      <c r="F6" s="10"/>
      <c r="G6" s="10"/>
      <c r="H6" s="10"/>
      <c r="I6" s="10"/>
      <c r="J6" s="10"/>
    </row>
    <row r="7" spans="1:10" ht="19.95" customHeight="1">
      <c r="A7" s="11"/>
      <c r="B7" s="10"/>
      <c r="C7" s="10"/>
      <c r="D7" s="10"/>
      <c r="E7" s="10"/>
      <c r="F7" s="10"/>
      <c r="G7" s="10"/>
      <c r="H7" s="10"/>
      <c r="I7" s="10"/>
      <c r="J7" s="10"/>
    </row>
    <row r="8" spans="1:10" ht="19.95" customHeight="1">
      <c r="A8" s="12"/>
      <c r="B8" s="10"/>
      <c r="C8" s="10"/>
      <c r="D8" s="10"/>
      <c r="E8" s="10"/>
      <c r="F8" s="10"/>
      <c r="G8" s="10"/>
      <c r="H8" s="10"/>
      <c r="I8" s="10"/>
      <c r="J8" s="10"/>
    </row>
    <row r="9" spans="1:10" ht="19.95" customHeight="1">
      <c r="A9" s="12"/>
      <c r="B9" s="10"/>
      <c r="C9" s="10"/>
      <c r="D9" s="10"/>
      <c r="E9" s="10"/>
      <c r="F9" s="10"/>
      <c r="G9" s="10"/>
      <c r="H9" s="10"/>
      <c r="I9" s="10"/>
      <c r="J9" s="10"/>
    </row>
    <row r="10" spans="1:10" ht="19.95" customHeight="1">
      <c r="A10" s="12"/>
      <c r="B10" s="10"/>
      <c r="C10" s="10"/>
      <c r="D10" s="10"/>
      <c r="E10" s="10"/>
      <c r="F10" s="10"/>
      <c r="G10" s="10"/>
      <c r="H10" s="10"/>
      <c r="I10" s="10"/>
      <c r="J10" s="10"/>
    </row>
    <row r="11" spans="1:10" ht="19.95" customHeight="1">
      <c r="A11" s="13"/>
      <c r="B11" s="10"/>
      <c r="C11" s="10"/>
      <c r="D11" s="10"/>
      <c r="E11" s="10"/>
      <c r="F11" s="10"/>
      <c r="G11" s="10"/>
      <c r="H11" s="10"/>
      <c r="I11" s="10"/>
      <c r="J11" s="10"/>
    </row>
    <row r="12" spans="1:10" ht="19.95" customHeight="1">
      <c r="A12" s="12"/>
      <c r="B12" s="10"/>
      <c r="C12" s="10"/>
      <c r="D12" s="10"/>
      <c r="E12" s="10"/>
      <c r="F12" s="10"/>
      <c r="G12" s="10"/>
      <c r="H12" s="10"/>
      <c r="I12" s="10"/>
      <c r="J12" s="10"/>
    </row>
    <row r="13" spans="1:10" ht="19.95" customHeight="1">
      <c r="A13" s="12"/>
      <c r="B13" s="10"/>
      <c r="C13" s="10"/>
      <c r="D13" s="10"/>
      <c r="E13" s="10"/>
      <c r="F13" s="10"/>
      <c r="G13" s="10"/>
      <c r="H13" s="10"/>
      <c r="I13" s="10"/>
      <c r="J13" s="10"/>
    </row>
    <row r="14" spans="1:10" ht="19.95" customHeight="1">
      <c r="A14" s="12"/>
      <c r="B14" s="10"/>
      <c r="C14" s="10"/>
      <c r="D14" s="10"/>
      <c r="E14" s="10"/>
      <c r="F14" s="10"/>
      <c r="G14" s="10"/>
      <c r="H14" s="10"/>
      <c r="I14" s="10"/>
      <c r="J14" s="10"/>
    </row>
    <row r="15" spans="1:10" ht="19.95" customHeight="1">
      <c r="A15" s="12"/>
      <c r="B15" s="10"/>
      <c r="C15" s="10"/>
      <c r="D15" s="10"/>
      <c r="E15" s="10"/>
      <c r="F15" s="10"/>
      <c r="G15" s="10"/>
      <c r="H15" s="10"/>
      <c r="I15" s="10"/>
      <c r="J15" s="10"/>
    </row>
    <row r="16" spans="1:10" ht="19.95" customHeight="1">
      <c r="A16" s="12"/>
      <c r="B16" s="10"/>
      <c r="C16" s="10"/>
      <c r="D16" s="10"/>
      <c r="E16" s="10"/>
      <c r="F16" s="10"/>
      <c r="G16" s="10"/>
      <c r="H16" s="10"/>
      <c r="I16" s="10"/>
      <c r="J16" s="10"/>
    </row>
    <row r="17" spans="1:10" ht="19.95" customHeight="1">
      <c r="A17" s="12"/>
      <c r="B17" s="10"/>
      <c r="C17" s="10"/>
      <c r="D17" s="10"/>
      <c r="E17" s="10"/>
      <c r="F17" s="10"/>
      <c r="G17" s="10"/>
      <c r="H17" s="10"/>
      <c r="I17" s="10"/>
      <c r="J17" s="10"/>
    </row>
    <row r="18" spans="1:10" ht="19.95" customHeight="1">
      <c r="A18" s="12"/>
      <c r="B18" s="10"/>
      <c r="C18" s="10"/>
      <c r="D18" s="10"/>
      <c r="E18" s="10"/>
      <c r="F18" s="10"/>
      <c r="G18" s="10"/>
      <c r="H18" s="10"/>
      <c r="I18" s="10"/>
      <c r="J18" s="10"/>
    </row>
    <row r="19" spans="1:10" ht="19.95" customHeight="1">
      <c r="A19" s="12"/>
      <c r="B19" s="10"/>
      <c r="C19" s="10"/>
      <c r="D19" s="10"/>
      <c r="E19" s="10"/>
      <c r="F19" s="10"/>
      <c r="G19" s="10"/>
      <c r="H19" s="10"/>
      <c r="I19" s="10"/>
      <c r="J19" s="10"/>
    </row>
    <row r="20" spans="1:10" ht="19.95" customHeight="1">
      <c r="A20" s="12"/>
      <c r="B20" s="10"/>
      <c r="C20" s="10"/>
      <c r="D20" s="10"/>
      <c r="E20" s="10"/>
      <c r="F20" s="10"/>
      <c r="G20" s="10"/>
      <c r="H20" s="10"/>
      <c r="I20" s="10"/>
      <c r="J20" s="10"/>
    </row>
    <row r="21" spans="1:10" ht="19.95" customHeight="1">
      <c r="A21" s="14"/>
      <c r="B21" s="14"/>
      <c r="C21" s="14"/>
      <c r="D21" s="15"/>
      <c r="E21" s="15"/>
      <c r="F21" s="15"/>
      <c r="G21" s="16"/>
      <c r="H21" s="16"/>
      <c r="I21" s="15"/>
      <c r="J21" s="21"/>
    </row>
    <row r="22" spans="1:10" ht="19.95" customHeight="1">
      <c r="A22" s="17"/>
      <c r="B22" s="17"/>
      <c r="C22" s="17"/>
      <c r="D22" s="17"/>
      <c r="E22" s="18"/>
      <c r="F22" s="19"/>
      <c r="G22" s="20"/>
      <c r="H22" s="20"/>
      <c r="I22" s="20"/>
      <c r="J22" s="20"/>
    </row>
  </sheetData>
  <mergeCells count="2">
    <mergeCell ref="A1:J1"/>
    <mergeCell ref="A2:J2"/>
  </mergeCells>
  <phoneticPr fontId="13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11</vt:i4>
      </vt:variant>
    </vt:vector>
  </HeadingPairs>
  <TitlesOfParts>
    <vt:vector size="19" baseType="lpstr">
      <vt:lpstr>底稿目录</vt:lpstr>
      <vt:lpstr>公允价值变动收益审计程序表G13A</vt:lpstr>
      <vt:lpstr>公允价值变动收益审计程序表G13A-修订前</vt:lpstr>
      <vt:lpstr>审定表G13-1</vt:lpstr>
      <vt:lpstr>附注披露信息（上市公司）</vt:lpstr>
      <vt:lpstr>附注披露信息（国企）</vt:lpstr>
      <vt:lpstr>明细表G13-2</vt:lpstr>
      <vt:lpstr>调整分录汇总G13-3</vt:lpstr>
      <vt:lpstr>'公允价值变动收益审计程序表G13A-修订前'!_FilterDatabase</vt:lpstr>
      <vt:lpstr>'调整分录汇总G13-3'!Print_Area</vt:lpstr>
      <vt:lpstr>'附注披露信息（国企）'!Print_Area</vt:lpstr>
      <vt:lpstr>'附注披露信息（上市公司）'!Print_Area</vt:lpstr>
      <vt:lpstr>公允价值变动收益审计程序表G13A!Print_Area</vt:lpstr>
      <vt:lpstr>'公允价值变动收益审计程序表G13A-修订前'!Print_Area</vt:lpstr>
      <vt:lpstr>'明细表G13-2'!Print_Area</vt:lpstr>
      <vt:lpstr>'审定表G13-1'!Print_Area</vt:lpstr>
      <vt:lpstr>公允价值变动收益审计程序表G13A!Print_Titles</vt:lpstr>
      <vt:lpstr>'公允价值变动收益审计程序表G13A-修订前'!Print_Titles</vt:lpstr>
      <vt:lpstr>'审定表G13-1'!Print_Titles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2025-10-27T05:46:14Z</cp:lastPrinted>
  <dcterms:created xsi:type="dcterms:W3CDTF">2014-10-22T07:44:00Z</dcterms:created>
  <dcterms:modified xsi:type="dcterms:W3CDTF">2025-11-04T08:59:12Z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E2F3F3C0FCD54800A32B383F8A325CB8</vt:lpwstr>
  </property>
  <property fmtid="{D5CDD505-2E9C-101B-9397-08002B2CF9AE}" pid="3" name="KSOProductBuildVer">
    <vt:lpwstr>2052-11.8.2.12055</vt:lpwstr>
  </property>
</Properties>
</file>