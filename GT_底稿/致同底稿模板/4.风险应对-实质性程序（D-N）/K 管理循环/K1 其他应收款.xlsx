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20" yWindow="-120" windowWidth="29040" windowHeight="15528" tabRatio="800"/>
  </bookViews>
  <sheets>
    <sheet name="底稿目录" sheetId="1" r:id="rId1"/>
    <sheet name="实质性程序表 K1A" sheetId="81" r:id="rId2"/>
    <sheet name="审定表K1-1" sheetId="62" r:id="rId3"/>
    <sheet name="附注披露信息(上市公司）" sheetId="41" r:id="rId4"/>
    <sheet name="附注披露信息（国企）" sheetId="40" r:id="rId5"/>
    <sheet name="明细表K1-2" sheetId="63" r:id="rId6"/>
    <sheet name="坏账准备明细表K1-3" sheetId="95" r:id="rId7"/>
    <sheet name="调整分录汇总K1-4" sheetId="80" r:id="rId8"/>
    <sheet name="大额其他应收款情况分析表K1-5" sheetId="64" r:id="rId9"/>
    <sheet name="信用减值损失会计政策检查K1-6" sheetId="73" r:id="rId10"/>
    <sheet name="三阶段划分检查表K1-7" sheetId="72" r:id="rId11"/>
    <sheet name="坏账准备测算K1-8" sheetId="71" r:id="rId12"/>
    <sheet name="坏账准备转回（收回）、核销检查表K1-9" sheetId="77" r:id="rId13"/>
    <sheet name="长期未收回款项检查表K1-10" sheetId="60" r:id="rId14"/>
    <sheet name="关联方及交易检查表K1-11" sheetId="94" r:id="rId15"/>
    <sheet name="其他应收款检查表K1-12" sheetId="92" r:id="rId16"/>
    <sheet name="GT_Custom" sheetId="43" state="hidden" r:id="rId17"/>
  </sheets>
  <definedNames>
    <definedName name="_xlnm.Print_Area" localSheetId="8">'大额其他应收款情况分析表K1-5'!$A$1:$M$27</definedName>
    <definedName name="_xlnm.Print_Area" localSheetId="7">'调整分录汇总K1-4'!$A$1:$J$20</definedName>
    <definedName name="_xlnm.Print_Area" localSheetId="4">'附注披露信息（国企）'!$A$1:$G$131</definedName>
    <definedName name="_xlnm.Print_Area" localSheetId="3">'附注披露信息(上市公司）'!$A$1:$G$160</definedName>
    <definedName name="_xlnm.Print_Area" localSheetId="14">'关联方及交易检查表K1-11'!$A$1:$M$15</definedName>
    <definedName name="_xlnm.Print_Area" localSheetId="11">'坏账准备测算K1-8'!$A$1:$H$53</definedName>
    <definedName name="_xlnm.Print_Area" localSheetId="6">'坏账准备明细表K1-3'!$A$1:$M$40</definedName>
    <definedName name="_xlnm.Print_Area" localSheetId="12">'坏账准备转回（收回）、核销检查表K1-9'!$A$1:$H$26</definedName>
    <definedName name="_xlnm.Print_Area" localSheetId="5">'明细表K1-2'!$A$1:$AJ$43</definedName>
    <definedName name="_xlnm.Print_Area" localSheetId="15">'其他应收款检查表K1-12'!$A$1:$Q$66</definedName>
    <definedName name="_xlnm.Print_Area" localSheetId="10">'三阶段划分检查表K1-7'!$A$1:$J$54</definedName>
    <definedName name="_xlnm.Print_Area" localSheetId="2">'审定表K1-1'!$A$1:$L$89</definedName>
    <definedName name="_xlnm.Print_Area" localSheetId="1">'实质性程序表 K1A'!$A$1:$I$29</definedName>
    <definedName name="_xlnm.Print_Area" localSheetId="9">'信用减值损失会计政策检查K1-6'!$A$1:$I$35</definedName>
    <definedName name="_xlnm.Print_Area" localSheetId="13">'长期未收回款项检查表K1-10'!$A$1:$O$18</definedName>
    <definedName name="_xlnm.Print_Titles" localSheetId="4">'附注披露信息（国企）'!$1:$4</definedName>
    <definedName name="_xlnm.Print_Titles" localSheetId="3">'附注披露信息(上市公司）'!$1:$4</definedName>
    <definedName name="_xlnm.Print_Titles" localSheetId="5">'明细表K1-2'!$2:$6</definedName>
    <definedName name="_xlnm.Print_Titles" localSheetId="2">'审定表K1-1'!$2:$6</definedName>
    <definedName name="_xlnm.Print_Titles" localSheetId="1">'实质性程序表 K1A'!$15:$16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41" l="1"/>
  <c r="C104" i="41"/>
  <c r="D104" i="41"/>
  <c r="B104" i="41"/>
  <c r="C75" i="40"/>
  <c r="D75" i="40"/>
  <c r="E75" i="40"/>
  <c r="B75" i="40"/>
  <c r="B37" i="95"/>
  <c r="C74" i="40"/>
  <c r="D74" i="40"/>
  <c r="B74" i="40"/>
  <c r="C73" i="40"/>
  <c r="D73" i="40"/>
  <c r="B73" i="40"/>
  <c r="B65" i="40"/>
  <c r="C65" i="40"/>
  <c r="D65" i="40"/>
  <c r="B66" i="40"/>
  <c r="C66" i="40"/>
  <c r="D66" i="40"/>
  <c r="B67" i="40"/>
  <c r="C67" i="40"/>
  <c r="D67" i="40"/>
  <c r="B68" i="40"/>
  <c r="C68" i="40"/>
  <c r="D68" i="40"/>
  <c r="B69" i="40"/>
  <c r="C69" i="40"/>
  <c r="D69" i="40"/>
  <c r="B70" i="40"/>
  <c r="C70" i="40"/>
  <c r="D70" i="40"/>
  <c r="B71" i="40"/>
  <c r="C71" i="40"/>
  <c r="D71" i="40"/>
  <c r="C64" i="40"/>
  <c r="D64" i="40"/>
  <c r="B64" i="40"/>
  <c r="E94" i="41"/>
  <c r="C103" i="41"/>
  <c r="D103" i="41"/>
  <c r="B103" i="41"/>
  <c r="C102" i="41"/>
  <c r="D102" i="41"/>
  <c r="B102" i="41"/>
  <c r="B95" i="41"/>
  <c r="C95" i="41"/>
  <c r="D95" i="41"/>
  <c r="B96" i="41"/>
  <c r="C96" i="41"/>
  <c r="D96" i="41"/>
  <c r="B97" i="41"/>
  <c r="C97" i="41"/>
  <c r="D97" i="41"/>
  <c r="B98" i="41"/>
  <c r="C98" i="41"/>
  <c r="D98" i="41"/>
  <c r="B99" i="41"/>
  <c r="C99" i="41"/>
  <c r="D99" i="41"/>
  <c r="B100" i="41"/>
  <c r="C100" i="41"/>
  <c r="D100" i="41"/>
  <c r="C94" i="41"/>
  <c r="D94" i="41"/>
  <c r="B94" i="41"/>
  <c r="C93" i="41"/>
  <c r="D93" i="41"/>
  <c r="B93" i="41"/>
  <c r="F63" i="92"/>
  <c r="F62" i="92"/>
  <c r="F61" i="92"/>
  <c r="E63" i="92"/>
  <c r="G63" i="92" s="1"/>
  <c r="E62" i="92"/>
  <c r="E61" i="92"/>
  <c r="G61" i="92" s="1"/>
  <c r="X12" i="63"/>
  <c r="U12" i="63"/>
  <c r="X33" i="63"/>
  <c r="X13" i="63"/>
  <c r="X14" i="63"/>
  <c r="X15" i="63"/>
  <c r="X16" i="63"/>
  <c r="X17" i="63"/>
  <c r="X18" i="63"/>
  <c r="X19" i="63"/>
  <c r="X20" i="63"/>
  <c r="X21" i="63"/>
  <c r="X22" i="63"/>
  <c r="X23" i="63"/>
  <c r="X24" i="63"/>
  <c r="X25" i="63"/>
  <c r="X26" i="63"/>
  <c r="X27" i="63"/>
  <c r="X28" i="63"/>
  <c r="X29" i="63"/>
  <c r="X30" i="63"/>
  <c r="X31" i="63"/>
  <c r="X32" i="63"/>
  <c r="T33" i="63"/>
  <c r="U33" i="63"/>
  <c r="S12" i="63"/>
  <c r="G62" i="92" l="1"/>
  <c r="G39" i="62"/>
  <c r="E31" i="62"/>
  <c r="Q3" i="92" l="1"/>
  <c r="M3" i="94"/>
  <c r="O3" i="60"/>
  <c r="H3" i="77"/>
  <c r="H3" i="71"/>
  <c r="J3" i="72"/>
  <c r="I3" i="73"/>
  <c r="G58" i="92" l="1"/>
  <c r="H37" i="92" l="1"/>
  <c r="C46" i="71" l="1"/>
  <c r="E45" i="71"/>
  <c r="B46" i="71"/>
  <c r="B45" i="71"/>
  <c r="F44" i="71"/>
  <c r="D44" i="71"/>
  <c r="F43" i="71"/>
  <c r="D43" i="71"/>
  <c r="F42" i="71"/>
  <c r="D42" i="71"/>
  <c r="F41" i="71"/>
  <c r="D41" i="71"/>
  <c r="F40" i="71"/>
  <c r="D40" i="71"/>
  <c r="F39" i="71"/>
  <c r="F45" i="71" s="1"/>
  <c r="D39" i="71"/>
  <c r="D45" i="71" s="1"/>
  <c r="E37" i="71"/>
  <c r="B37" i="71"/>
  <c r="D32" i="71"/>
  <c r="F32" i="71"/>
  <c r="D33" i="71"/>
  <c r="F33" i="71"/>
  <c r="D34" i="71"/>
  <c r="F34" i="71"/>
  <c r="D35" i="71"/>
  <c r="F35" i="71"/>
  <c r="D36" i="71"/>
  <c r="F36" i="71"/>
  <c r="F31" i="71"/>
  <c r="F37" i="71" s="1"/>
  <c r="D31" i="71"/>
  <c r="D37" i="71" s="1"/>
  <c r="E26" i="71"/>
  <c r="B26" i="71"/>
  <c r="B27" i="71" s="1"/>
  <c r="F25" i="71"/>
  <c r="D25" i="71"/>
  <c r="F24" i="71"/>
  <c r="D24" i="71"/>
  <c r="F23" i="71"/>
  <c r="D23" i="71"/>
  <c r="F22" i="71"/>
  <c r="D22" i="71"/>
  <c r="F21" i="71"/>
  <c r="D21" i="71"/>
  <c r="D12" i="71"/>
  <c r="D13" i="71"/>
  <c r="D14" i="71"/>
  <c r="D15" i="71"/>
  <c r="D11" i="71"/>
  <c r="E16" i="71"/>
  <c r="B16" i="71"/>
  <c r="B17" i="71" s="1"/>
  <c r="F15" i="71"/>
  <c r="F14" i="71"/>
  <c r="F13" i="71"/>
  <c r="F12" i="71"/>
  <c r="F11" i="71"/>
  <c r="E46" i="71" l="1"/>
  <c r="D26" i="71"/>
  <c r="D27" i="71" s="1"/>
  <c r="F26" i="71"/>
  <c r="D16" i="71"/>
  <c r="F16" i="71"/>
  <c r="F46" i="71" s="1"/>
  <c r="D17" i="71" l="1"/>
  <c r="D46" i="71"/>
  <c r="C37" i="95" l="1"/>
  <c r="D37" i="95"/>
  <c r="H16" i="95"/>
  <c r="H11" i="95"/>
  <c r="H22" i="95" l="1"/>
  <c r="E36" i="95"/>
  <c r="E35" i="95"/>
  <c r="E34" i="95"/>
  <c r="E33" i="95"/>
  <c r="E32" i="95"/>
  <c r="E31" i="95"/>
  <c r="E30" i="95"/>
  <c r="E29" i="95"/>
  <c r="E28" i="95"/>
  <c r="E26" i="95"/>
  <c r="F34" i="95" l="1"/>
  <c r="E37" i="95"/>
  <c r="D13" i="95" l="1"/>
  <c r="E16" i="95"/>
  <c r="F16" i="95"/>
  <c r="G16" i="95"/>
  <c r="I16" i="95"/>
  <c r="K16" i="95"/>
  <c r="C16" i="95"/>
  <c r="B16" i="95"/>
  <c r="D21" i="95"/>
  <c r="J21" i="95"/>
  <c r="L21" i="95" s="1"/>
  <c r="I4" i="95" l="1"/>
  <c r="I3" i="95"/>
  <c r="E4" i="95"/>
  <c r="E3" i="95"/>
  <c r="A4" i="95"/>
  <c r="A3" i="95"/>
  <c r="M3" i="95"/>
  <c r="M22" i="95" l="1"/>
  <c r="J20" i="95"/>
  <c r="L20" i="95" s="1"/>
  <c r="D20" i="95"/>
  <c r="J19" i="95"/>
  <c r="L19" i="95" s="1"/>
  <c r="D19" i="95"/>
  <c r="J18" i="95"/>
  <c r="L18" i="95" s="1"/>
  <c r="D18" i="95"/>
  <c r="J17" i="95"/>
  <c r="D17" i="95"/>
  <c r="J15" i="95"/>
  <c r="L15" i="95" s="1"/>
  <c r="D15" i="95"/>
  <c r="J14" i="95"/>
  <c r="L14" i="95" s="1"/>
  <c r="D14" i="95"/>
  <c r="J13" i="95"/>
  <c r="L13" i="95" s="1"/>
  <c r="J12" i="95"/>
  <c r="L12" i="95" s="1"/>
  <c r="D12" i="95"/>
  <c r="K11" i="95"/>
  <c r="I11" i="95"/>
  <c r="G11" i="95"/>
  <c r="G22" i="95" s="1"/>
  <c r="F33" i="95" s="1"/>
  <c r="F11" i="95"/>
  <c r="F22" i="95" s="1"/>
  <c r="E11" i="95"/>
  <c r="C11" i="95"/>
  <c r="B11" i="95"/>
  <c r="D16" i="95" l="1"/>
  <c r="L17" i="95"/>
  <c r="L16" i="95" s="1"/>
  <c r="J16" i="95"/>
  <c r="K22" i="95"/>
  <c r="I22" i="95"/>
  <c r="C22" i="95"/>
  <c r="D11" i="95"/>
  <c r="E22" i="95"/>
  <c r="F32" i="95" s="1"/>
  <c r="J11" i="95"/>
  <c r="B22" i="95"/>
  <c r="E9" i="60"/>
  <c r="B12" i="60"/>
  <c r="C12" i="60"/>
  <c r="D12" i="60"/>
  <c r="F16" i="64"/>
  <c r="H16" i="64" s="1"/>
  <c r="F17" i="64"/>
  <c r="H17" i="64" s="1"/>
  <c r="F18" i="64"/>
  <c r="H18" i="64" s="1"/>
  <c r="F19" i="64"/>
  <c r="H19" i="64" s="1"/>
  <c r="F20" i="64"/>
  <c r="H20" i="64" s="1"/>
  <c r="D22" i="95" l="1"/>
  <c r="F26" i="95" s="1"/>
  <c r="L11" i="95"/>
  <c r="L22" i="95" s="1"/>
  <c r="J22" i="95"/>
  <c r="F8" i="94"/>
  <c r="F9" i="94"/>
  <c r="F7" i="94"/>
  <c r="C10" i="94"/>
  <c r="D10" i="94"/>
  <c r="E10" i="94"/>
  <c r="G22" i="64" l="1"/>
  <c r="E22" i="64"/>
  <c r="D22" i="64"/>
  <c r="C22" i="64"/>
  <c r="F21" i="64"/>
  <c r="H21" i="64" s="1"/>
  <c r="F15" i="64"/>
  <c r="H15" i="64" s="1"/>
  <c r="F14" i="64"/>
  <c r="H14" i="64" s="1"/>
  <c r="F13" i="64"/>
  <c r="H13" i="64" s="1"/>
  <c r="F12" i="64"/>
  <c r="H12" i="64" s="1"/>
  <c r="H22" i="64" l="1"/>
  <c r="F22" i="64"/>
  <c r="H4" i="94" l="1"/>
  <c r="H3" i="94"/>
  <c r="D4" i="94"/>
  <c r="D3" i="94"/>
  <c r="A4" i="94"/>
  <c r="A3" i="94"/>
  <c r="G10" i="94"/>
  <c r="F10" i="94"/>
  <c r="H9" i="94"/>
  <c r="H8" i="94"/>
  <c r="H7" i="94"/>
  <c r="H10" i="94" l="1"/>
  <c r="L4" i="92" l="1"/>
  <c r="L3" i="92"/>
  <c r="G4" i="92"/>
  <c r="G3" i="92"/>
  <c r="A4" i="92"/>
  <c r="A3" i="92"/>
  <c r="G37" i="92"/>
  <c r="N12" i="60"/>
  <c r="E4" i="81" l="1"/>
  <c r="C4" i="81"/>
  <c r="A4" i="81"/>
  <c r="I3" i="81"/>
  <c r="E3" i="81"/>
  <c r="C3" i="81"/>
  <c r="A3" i="81"/>
  <c r="I13" i="63" l="1"/>
  <c r="I16" i="63"/>
  <c r="I15" i="63"/>
  <c r="Q33" i="63" l="1"/>
  <c r="P33" i="63"/>
  <c r="C57" i="62"/>
  <c r="D57" i="62"/>
  <c r="C58" i="62"/>
  <c r="D58" i="62"/>
  <c r="C59" i="62"/>
  <c r="D59" i="62"/>
  <c r="C60" i="62"/>
  <c r="D60" i="62"/>
  <c r="C61" i="62"/>
  <c r="D61" i="62"/>
  <c r="C62" i="62"/>
  <c r="D62" i="62"/>
  <c r="B62" i="62"/>
  <c r="B58" i="62"/>
  <c r="B59" i="62"/>
  <c r="B60" i="62"/>
  <c r="B61" i="62"/>
  <c r="B57" i="62"/>
  <c r="G58" i="62"/>
  <c r="H58" i="62"/>
  <c r="G59" i="62"/>
  <c r="H59" i="62"/>
  <c r="G60" i="62"/>
  <c r="H60" i="62"/>
  <c r="G61" i="62"/>
  <c r="H61" i="62"/>
  <c r="F62" i="62"/>
  <c r="G62" i="62"/>
  <c r="H62" i="62"/>
  <c r="G57" i="62"/>
  <c r="H57" i="62"/>
  <c r="M3" i="64" l="1"/>
  <c r="J3" i="80"/>
  <c r="AJ3" i="63"/>
  <c r="L3" i="62"/>
  <c r="D71" i="62" l="1"/>
  <c r="F71" i="62"/>
  <c r="H71" i="62"/>
  <c r="B71" i="62"/>
  <c r="A74" i="62"/>
  <c r="A75" i="62"/>
  <c r="A76" i="62"/>
  <c r="A77" i="62"/>
  <c r="A78" i="62"/>
  <c r="A66" i="62"/>
  <c r="A67" i="62"/>
  <c r="A68" i="62"/>
  <c r="A69" i="62"/>
  <c r="A70" i="62"/>
  <c r="E61" i="62"/>
  <c r="D77" i="62"/>
  <c r="H77" i="62"/>
  <c r="E70" i="62" l="1"/>
  <c r="C70" i="62" s="1"/>
  <c r="C78" i="62" s="1"/>
  <c r="I70" i="62"/>
  <c r="E69" i="62"/>
  <c r="C69" i="62" s="1"/>
  <c r="C77" i="62" s="1"/>
  <c r="I69" i="62"/>
  <c r="E68" i="62"/>
  <c r="C68" i="62" s="1"/>
  <c r="C76" i="62" s="1"/>
  <c r="I68" i="62"/>
  <c r="E67" i="62"/>
  <c r="C67" i="62" s="1"/>
  <c r="C75" i="62" s="1"/>
  <c r="I67" i="62"/>
  <c r="E66" i="62"/>
  <c r="C66" i="62" s="1"/>
  <c r="C74" i="62" s="1"/>
  <c r="I66" i="62"/>
  <c r="B77" i="62"/>
  <c r="B9" i="62"/>
  <c r="H74" i="62"/>
  <c r="H75" i="62"/>
  <c r="H76" i="62"/>
  <c r="H78" i="62"/>
  <c r="D74" i="62"/>
  <c r="D75" i="62"/>
  <c r="D76" i="62"/>
  <c r="D78" i="62"/>
  <c r="A73" i="62"/>
  <c r="A65" i="62"/>
  <c r="E65" i="62" s="1"/>
  <c r="K68" i="62" l="1"/>
  <c r="C65" i="62"/>
  <c r="C71" i="62" s="1"/>
  <c r="E71" i="62"/>
  <c r="G68" i="62"/>
  <c r="G76" i="62" s="1"/>
  <c r="J68" i="62"/>
  <c r="G69" i="62"/>
  <c r="G77" i="62" s="1"/>
  <c r="J69" i="62"/>
  <c r="G66" i="62"/>
  <c r="G74" i="62" s="1"/>
  <c r="J66" i="62"/>
  <c r="G70" i="62"/>
  <c r="G78" i="62" s="1"/>
  <c r="J70" i="62"/>
  <c r="G67" i="62"/>
  <c r="G75" i="62" s="1"/>
  <c r="J67" i="62"/>
  <c r="E77" i="62"/>
  <c r="E58" i="62"/>
  <c r="E74" i="62" s="1"/>
  <c r="B74" i="62"/>
  <c r="I62" i="62"/>
  <c r="I78" i="62" s="1"/>
  <c r="F78" i="62"/>
  <c r="B76" i="62"/>
  <c r="E60" i="62"/>
  <c r="E76" i="62" s="1"/>
  <c r="E62" i="62"/>
  <c r="E78" i="62" s="1"/>
  <c r="B78" i="62"/>
  <c r="B75" i="62"/>
  <c r="E59" i="62"/>
  <c r="E75" i="62" s="1"/>
  <c r="C63" i="62"/>
  <c r="H63" i="62"/>
  <c r="D73" i="62"/>
  <c r="D79" i="62" s="1"/>
  <c r="D81" i="62" s="1"/>
  <c r="D63" i="62"/>
  <c r="G63" i="62"/>
  <c r="K67" i="62"/>
  <c r="H73" i="62"/>
  <c r="H79" i="62" s="1"/>
  <c r="H81" i="62" s="1"/>
  <c r="B63" i="62"/>
  <c r="E57" i="62"/>
  <c r="B73" i="62"/>
  <c r="K70" i="62"/>
  <c r="C73" i="62" l="1"/>
  <c r="C79" i="62" s="1"/>
  <c r="C81" i="62" s="1"/>
  <c r="J78" i="62"/>
  <c r="B79" i="62"/>
  <c r="B81" i="62" s="1"/>
  <c r="K78" i="62"/>
  <c r="E73" i="62"/>
  <c r="E79" i="62" s="1"/>
  <c r="E81" i="62" s="1"/>
  <c r="E63" i="62"/>
  <c r="K66" i="62"/>
  <c r="C77" i="41" l="1"/>
  <c r="F25" i="41"/>
  <c r="D78" i="41" s="1"/>
  <c r="F24" i="41"/>
  <c r="D68" i="41" s="1"/>
  <c r="E25" i="41"/>
  <c r="B78" i="41" s="1"/>
  <c r="C25" i="41"/>
  <c r="D47" i="41" s="1"/>
  <c r="B25" i="41"/>
  <c r="B47" i="41" s="1"/>
  <c r="AD33" i="63" l="1"/>
  <c r="F36" i="62" s="1"/>
  <c r="B12" i="41" l="1"/>
  <c r="S30" i="63"/>
  <c r="U30" i="63" s="1"/>
  <c r="S31" i="63"/>
  <c r="U31" i="63" s="1"/>
  <c r="S32" i="63"/>
  <c r="U32" i="63" s="1"/>
  <c r="I30" i="63"/>
  <c r="E128" i="40" l="1"/>
  <c r="E129" i="40"/>
  <c r="E127" i="40"/>
  <c r="D128" i="40"/>
  <c r="D129" i="40"/>
  <c r="D127" i="40"/>
  <c r="C128" i="40"/>
  <c r="C129" i="40"/>
  <c r="C127" i="40"/>
  <c r="B128" i="40"/>
  <c r="B129" i="40"/>
  <c r="B127" i="40"/>
  <c r="A128" i="40"/>
  <c r="A129" i="40"/>
  <c r="A127" i="40"/>
  <c r="E139" i="41"/>
  <c r="E140" i="41"/>
  <c r="E138" i="41"/>
  <c r="D139" i="41"/>
  <c r="D140" i="41"/>
  <c r="D138" i="41"/>
  <c r="C139" i="41"/>
  <c r="C140" i="41"/>
  <c r="C138" i="41"/>
  <c r="B139" i="41"/>
  <c r="B140" i="41"/>
  <c r="B138" i="41"/>
  <c r="A139" i="41"/>
  <c r="A140" i="41"/>
  <c r="A138" i="41"/>
  <c r="A105" i="40"/>
  <c r="C105" i="40"/>
  <c r="D105" i="40"/>
  <c r="F105" i="40"/>
  <c r="A106" i="40"/>
  <c r="C106" i="40"/>
  <c r="D106" i="40"/>
  <c r="F106" i="40"/>
  <c r="A107" i="40"/>
  <c r="C107" i="40"/>
  <c r="D107" i="40"/>
  <c r="F107" i="40"/>
  <c r="A108" i="40"/>
  <c r="C108" i="40"/>
  <c r="D108" i="40"/>
  <c r="F108" i="40"/>
  <c r="F104" i="40"/>
  <c r="D104" i="40"/>
  <c r="C104" i="40"/>
  <c r="A104" i="40"/>
  <c r="C130" i="40" l="1"/>
  <c r="F109" i="40"/>
  <c r="C141" i="41"/>
  <c r="C109" i="40"/>
  <c r="E98" i="41"/>
  <c r="B87" i="40"/>
  <c r="F127" i="41" l="1"/>
  <c r="F128" i="41"/>
  <c r="F129" i="41"/>
  <c r="F126" i="41"/>
  <c r="F125" i="41"/>
  <c r="D127" i="41"/>
  <c r="D128" i="41"/>
  <c r="D129" i="41"/>
  <c r="D126" i="41"/>
  <c r="D125" i="41"/>
  <c r="C128" i="41"/>
  <c r="C129" i="41"/>
  <c r="C127" i="41"/>
  <c r="C126" i="41"/>
  <c r="C125" i="41"/>
  <c r="A128" i="41"/>
  <c r="A129" i="41"/>
  <c r="A127" i="41"/>
  <c r="A126" i="41"/>
  <c r="A125" i="41"/>
  <c r="B123" i="40"/>
  <c r="B120" i="40"/>
  <c r="B115" i="40"/>
  <c r="C101" i="40"/>
  <c r="C95" i="40"/>
  <c r="B95" i="40"/>
  <c r="D87" i="40"/>
  <c r="C87" i="40"/>
  <c r="E86" i="40"/>
  <c r="E85" i="40"/>
  <c r="E84" i="40"/>
  <c r="E83" i="40"/>
  <c r="E82" i="40"/>
  <c r="E81" i="40"/>
  <c r="E80" i="40"/>
  <c r="E79" i="40"/>
  <c r="E78" i="40"/>
  <c r="E74" i="40"/>
  <c r="E73" i="40"/>
  <c r="E72" i="40"/>
  <c r="E71" i="40"/>
  <c r="E70" i="40"/>
  <c r="E69" i="40"/>
  <c r="E68" i="40"/>
  <c r="E67" i="40"/>
  <c r="E66" i="40"/>
  <c r="E65" i="40"/>
  <c r="E64" i="40"/>
  <c r="F61" i="40"/>
  <c r="B61" i="40"/>
  <c r="C61" i="40" s="1"/>
  <c r="F60" i="40"/>
  <c r="C60" i="40"/>
  <c r="F59" i="40"/>
  <c r="C59" i="40"/>
  <c r="G55" i="40"/>
  <c r="E55" i="40"/>
  <c r="D55" i="40"/>
  <c r="B55" i="40"/>
  <c r="F54" i="40"/>
  <c r="C54" i="40"/>
  <c r="F53" i="40"/>
  <c r="C53" i="40"/>
  <c r="F52" i="40"/>
  <c r="C52" i="40"/>
  <c r="F51" i="40"/>
  <c r="C51" i="40"/>
  <c r="F50" i="40"/>
  <c r="C50" i="40"/>
  <c r="F49" i="40"/>
  <c r="C49" i="40"/>
  <c r="D42" i="40"/>
  <c r="B42" i="40"/>
  <c r="D41" i="40"/>
  <c r="D40" i="40"/>
  <c r="D35" i="40"/>
  <c r="E35" i="40" s="1"/>
  <c r="B35" i="40"/>
  <c r="F32" i="40"/>
  <c r="E32" i="40"/>
  <c r="C32" i="40"/>
  <c r="F31" i="40"/>
  <c r="E31" i="40"/>
  <c r="C31" i="40"/>
  <c r="E26" i="40"/>
  <c r="B26" i="40"/>
  <c r="F26" i="40" s="1"/>
  <c r="F25" i="40"/>
  <c r="F24" i="40"/>
  <c r="F23" i="40"/>
  <c r="E23" i="40"/>
  <c r="C23" i="40"/>
  <c r="F22" i="40"/>
  <c r="E22" i="40"/>
  <c r="C22" i="40"/>
  <c r="B159" i="41"/>
  <c r="B156" i="41"/>
  <c r="D150" i="41"/>
  <c r="C150" i="41"/>
  <c r="C120" i="41"/>
  <c r="E110" i="41"/>
  <c r="E103" i="41"/>
  <c r="E102" i="41"/>
  <c r="E101" i="41"/>
  <c r="E100" i="41"/>
  <c r="E99" i="41"/>
  <c r="E97" i="41"/>
  <c r="E96" i="41"/>
  <c r="E95" i="41"/>
  <c r="E93" i="41"/>
  <c r="E88" i="41"/>
  <c r="C88" i="41"/>
  <c r="E87" i="41"/>
  <c r="C87" i="41"/>
  <c r="D86" i="41"/>
  <c r="B86" i="41"/>
  <c r="C86" i="41" s="1"/>
  <c r="E85" i="41"/>
  <c r="C85" i="41"/>
  <c r="E84" i="41"/>
  <c r="C84" i="41"/>
  <c r="D83" i="41"/>
  <c r="B83" i="41"/>
  <c r="E78" i="41"/>
  <c r="C78" i="41"/>
  <c r="E77" i="41"/>
  <c r="D76" i="41"/>
  <c r="B76" i="41"/>
  <c r="E75" i="41"/>
  <c r="C75" i="41"/>
  <c r="E74" i="41"/>
  <c r="C74" i="41"/>
  <c r="D73" i="41"/>
  <c r="B73" i="41"/>
  <c r="E69" i="41"/>
  <c r="C69" i="41"/>
  <c r="D67" i="41"/>
  <c r="E66" i="41"/>
  <c r="C66" i="41"/>
  <c r="E65" i="41"/>
  <c r="C65" i="41"/>
  <c r="D64" i="41"/>
  <c r="B64" i="41"/>
  <c r="E64" i="41" s="1"/>
  <c r="E57" i="41"/>
  <c r="C57" i="41"/>
  <c r="E56" i="41"/>
  <c r="C56" i="41"/>
  <c r="D55" i="41"/>
  <c r="B55" i="41"/>
  <c r="E54" i="41"/>
  <c r="C54" i="41"/>
  <c r="E53" i="41"/>
  <c r="C53" i="41"/>
  <c r="D52" i="41"/>
  <c r="B52" i="41"/>
  <c r="E47" i="41"/>
  <c r="C47" i="41"/>
  <c r="E46" i="41"/>
  <c r="C46" i="41"/>
  <c r="D45" i="41"/>
  <c r="B45" i="41"/>
  <c r="E44" i="41"/>
  <c r="C44" i="41"/>
  <c r="E43" i="41"/>
  <c r="C43" i="41"/>
  <c r="D42" i="41"/>
  <c r="B42" i="41"/>
  <c r="E38" i="41"/>
  <c r="C38" i="41"/>
  <c r="E35" i="41"/>
  <c r="C35" i="41"/>
  <c r="E34" i="41"/>
  <c r="C34" i="41"/>
  <c r="D33" i="41"/>
  <c r="B33" i="41"/>
  <c r="E33" i="41" s="1"/>
  <c r="F28" i="41"/>
  <c r="G27" i="41"/>
  <c r="D27" i="41"/>
  <c r="G26" i="41"/>
  <c r="D26" i="41"/>
  <c r="G25" i="41"/>
  <c r="D25" i="41"/>
  <c r="C12" i="41"/>
  <c r="D89" i="41" l="1"/>
  <c r="E42" i="41"/>
  <c r="E55" i="41"/>
  <c r="C83" i="41"/>
  <c r="F35" i="40"/>
  <c r="C52" i="41"/>
  <c r="C73" i="41"/>
  <c r="E52" i="41"/>
  <c r="E73" i="41"/>
  <c r="D58" i="41"/>
  <c r="D79" i="41"/>
  <c r="B48" i="41"/>
  <c r="C42" i="41"/>
  <c r="C64" i="41"/>
  <c r="C33" i="41"/>
  <c r="E76" i="41"/>
  <c r="C45" i="41"/>
  <c r="E87" i="40"/>
  <c r="F130" i="41"/>
  <c r="C130" i="41"/>
  <c r="D70" i="41"/>
  <c r="E45" i="41"/>
  <c r="E48" i="41" s="1"/>
  <c r="E83" i="41"/>
  <c r="E86" i="41"/>
  <c r="D48" i="41"/>
  <c r="B58" i="41"/>
  <c r="B79" i="41"/>
  <c r="C55" i="41"/>
  <c r="C76" i="41"/>
  <c r="B89" i="41"/>
  <c r="C89" i="41" s="1"/>
  <c r="E58" i="41" l="1"/>
  <c r="C79" i="41"/>
  <c r="C58" i="41"/>
  <c r="E79" i="41"/>
  <c r="C48" i="41"/>
  <c r="E89" i="41"/>
  <c r="C47" i="62" l="1"/>
  <c r="C48" i="62"/>
  <c r="C49" i="62"/>
  <c r="C50" i="62"/>
  <c r="C51" i="62"/>
  <c r="C52" i="62"/>
  <c r="D47" i="62"/>
  <c r="D48" i="62"/>
  <c r="D49" i="62"/>
  <c r="D50" i="62"/>
  <c r="D51" i="62"/>
  <c r="D52" i="62"/>
  <c r="E39" i="62"/>
  <c r="E32" i="62"/>
  <c r="E40" i="62"/>
  <c r="E33" i="62"/>
  <c r="E41" i="62"/>
  <c r="E34" i="62"/>
  <c r="E42" i="62"/>
  <c r="E35" i="62"/>
  <c r="E43" i="62"/>
  <c r="E36" i="62"/>
  <c r="E44" i="62"/>
  <c r="F52" i="62"/>
  <c r="H47" i="62"/>
  <c r="H48" i="62"/>
  <c r="H49" i="62"/>
  <c r="H50" i="62"/>
  <c r="H51" i="62"/>
  <c r="H52" i="62"/>
  <c r="I36" i="62"/>
  <c r="B47" i="62"/>
  <c r="B48" i="62"/>
  <c r="B49" i="62"/>
  <c r="B50" i="62"/>
  <c r="B51" i="62"/>
  <c r="B52" i="62"/>
  <c r="F4" i="80"/>
  <c r="F3" i="80"/>
  <c r="D4" i="80"/>
  <c r="D3" i="80"/>
  <c r="A4" i="80"/>
  <c r="A3" i="80"/>
  <c r="H13" i="62"/>
  <c r="H27" i="62" s="1"/>
  <c r="G13" i="62"/>
  <c r="G27" i="62" s="1"/>
  <c r="D13" i="62"/>
  <c r="D27" i="62" s="1"/>
  <c r="C13" i="62"/>
  <c r="C27" i="62" s="1"/>
  <c r="B13" i="62"/>
  <c r="B27" i="62" s="1"/>
  <c r="D12" i="62"/>
  <c r="D26" i="62" s="1"/>
  <c r="C12" i="62"/>
  <c r="C26" i="62" s="1"/>
  <c r="B12" i="62"/>
  <c r="B26" i="62" s="1"/>
  <c r="B11" i="62"/>
  <c r="B25" i="62" s="1"/>
  <c r="D11" i="62"/>
  <c r="D25" i="62" s="1"/>
  <c r="C11" i="62"/>
  <c r="C25" i="62" s="1"/>
  <c r="B23" i="62"/>
  <c r="D9" i="62"/>
  <c r="D23" i="62" s="1"/>
  <c r="C9" i="62"/>
  <c r="C23" i="62" s="1"/>
  <c r="G9" i="62"/>
  <c r="G23" i="62" s="1"/>
  <c r="G33" i="63"/>
  <c r="H33" i="63"/>
  <c r="J33" i="63"/>
  <c r="L33" i="63"/>
  <c r="I14" i="63"/>
  <c r="M33" i="63" s="1"/>
  <c r="N33" i="63"/>
  <c r="O33" i="63"/>
  <c r="I17" i="63"/>
  <c r="I18" i="63"/>
  <c r="I19" i="63"/>
  <c r="I20" i="63"/>
  <c r="I21" i="63"/>
  <c r="I22" i="63"/>
  <c r="I23" i="63"/>
  <c r="I24" i="63"/>
  <c r="I25" i="63"/>
  <c r="I26" i="63"/>
  <c r="I27" i="63"/>
  <c r="I28" i="63"/>
  <c r="I29" i="63"/>
  <c r="I31" i="63"/>
  <c r="I32" i="63"/>
  <c r="I12" i="63"/>
  <c r="R33" i="63"/>
  <c r="V33" i="63"/>
  <c r="W33" i="63"/>
  <c r="F33" i="63"/>
  <c r="J4" i="60"/>
  <c r="E4" i="77"/>
  <c r="E4" i="71"/>
  <c r="G4" i="72"/>
  <c r="F4" i="73"/>
  <c r="J4" i="64"/>
  <c r="X4" i="63"/>
  <c r="E4" i="40"/>
  <c r="E4" i="41"/>
  <c r="H4" i="62"/>
  <c r="E4" i="60"/>
  <c r="C4" i="77"/>
  <c r="C4" i="71"/>
  <c r="E4" i="72"/>
  <c r="D4" i="73"/>
  <c r="G4" i="64"/>
  <c r="I4" i="63"/>
  <c r="B4" i="40"/>
  <c r="C4" i="41"/>
  <c r="E4" i="62"/>
  <c r="E3" i="77"/>
  <c r="C3" i="77"/>
  <c r="A4" i="77"/>
  <c r="A3" i="77"/>
  <c r="C21" i="77"/>
  <c r="E15" i="77"/>
  <c r="F3" i="73"/>
  <c r="D3" i="73"/>
  <c r="A4" i="73"/>
  <c r="A3" i="73"/>
  <c r="G3" i="72"/>
  <c r="E3" i="72"/>
  <c r="A4" i="72"/>
  <c r="A3" i="72"/>
  <c r="E3" i="71"/>
  <c r="C3" i="71"/>
  <c r="A4" i="71"/>
  <c r="A3" i="71"/>
  <c r="J3" i="64"/>
  <c r="G3" i="64"/>
  <c r="A4" i="64"/>
  <c r="A3" i="64"/>
  <c r="H12" i="62"/>
  <c r="H26" i="62" s="1"/>
  <c r="H11" i="62"/>
  <c r="H25" i="62" s="1"/>
  <c r="G12" i="62"/>
  <c r="G26" i="62" s="1"/>
  <c r="G11" i="62"/>
  <c r="H9" i="62"/>
  <c r="H23" i="62" s="1"/>
  <c r="X3" i="63"/>
  <c r="I3" i="63"/>
  <c r="A4" i="63"/>
  <c r="A3" i="63"/>
  <c r="S29" i="63"/>
  <c r="S28" i="63"/>
  <c r="S27" i="63"/>
  <c r="S26" i="63"/>
  <c r="S25" i="63"/>
  <c r="S24" i="63"/>
  <c r="S23" i="63"/>
  <c r="S22" i="63"/>
  <c r="S21" i="63"/>
  <c r="S20" i="63"/>
  <c r="S19" i="63"/>
  <c r="S18" i="63"/>
  <c r="U18" i="63" s="1"/>
  <c r="S17" i="63"/>
  <c r="U17" i="63" s="1"/>
  <c r="S16" i="63"/>
  <c r="U16" i="63" s="1"/>
  <c r="S15" i="63"/>
  <c r="U15" i="63" s="1"/>
  <c r="S14" i="63"/>
  <c r="U14" i="63" s="1"/>
  <c r="S13" i="63"/>
  <c r="H3" i="62"/>
  <c r="E3" i="62"/>
  <c r="A4" i="62"/>
  <c r="A3" i="62"/>
  <c r="A52" i="62"/>
  <c r="A51" i="62"/>
  <c r="A50" i="62"/>
  <c r="A49" i="62"/>
  <c r="A48" i="62"/>
  <c r="A47" i="62"/>
  <c r="H45" i="62"/>
  <c r="D45" i="62"/>
  <c r="C45" i="62"/>
  <c r="B45" i="62"/>
  <c r="A44" i="62"/>
  <c r="A43" i="62"/>
  <c r="A42" i="62"/>
  <c r="A41" i="62"/>
  <c r="A40" i="62"/>
  <c r="A39" i="62"/>
  <c r="H37" i="62"/>
  <c r="G37" i="62"/>
  <c r="D37" i="62"/>
  <c r="C37" i="62"/>
  <c r="B37" i="62"/>
  <c r="A27" i="62"/>
  <c r="A26" i="62"/>
  <c r="A25" i="62"/>
  <c r="A24" i="62"/>
  <c r="A23" i="62"/>
  <c r="I20" i="62"/>
  <c r="E20" i="62"/>
  <c r="A20" i="62"/>
  <c r="I19" i="62"/>
  <c r="E19" i="62"/>
  <c r="J19" i="62" s="1"/>
  <c r="A19" i="62"/>
  <c r="E18" i="62"/>
  <c r="A18" i="62"/>
  <c r="H17" i="62"/>
  <c r="H21" i="62" s="1"/>
  <c r="D17" i="62"/>
  <c r="D21" i="62" s="1"/>
  <c r="C17" i="62"/>
  <c r="C21" i="62" s="1"/>
  <c r="B17" i="62"/>
  <c r="B21" i="62" s="1"/>
  <c r="A17" i="62"/>
  <c r="I16" i="62"/>
  <c r="E16" i="62"/>
  <c r="A16" i="62"/>
  <c r="F9" i="62"/>
  <c r="A4" i="40"/>
  <c r="E3" i="40"/>
  <c r="B3" i="40"/>
  <c r="A3" i="40"/>
  <c r="J3" i="60"/>
  <c r="E3" i="60"/>
  <c r="A4" i="60"/>
  <c r="A3" i="60"/>
  <c r="M12" i="60"/>
  <c r="F12" i="60"/>
  <c r="E12" i="60"/>
  <c r="A4" i="41"/>
  <c r="E3" i="41"/>
  <c r="C3" i="41"/>
  <c r="A3" i="41"/>
  <c r="U24" i="63" l="1"/>
  <c r="U25" i="63"/>
  <c r="U26" i="63"/>
  <c r="U19" i="63"/>
  <c r="U27" i="63"/>
  <c r="U20" i="63"/>
  <c r="U28" i="63"/>
  <c r="U23" i="63"/>
  <c r="F58" i="62"/>
  <c r="U13" i="63"/>
  <c r="U21" i="63"/>
  <c r="U29" i="63"/>
  <c r="U22" i="63"/>
  <c r="AD35" i="63"/>
  <c r="F61" i="62"/>
  <c r="AC33" i="63"/>
  <c r="F35" i="62" s="1"/>
  <c r="F60" i="62"/>
  <c r="F12" i="62"/>
  <c r="F26" i="62" s="1"/>
  <c r="F57" i="62"/>
  <c r="AB33" i="63"/>
  <c r="F34" i="62" s="1"/>
  <c r="F59" i="62"/>
  <c r="E51" i="62"/>
  <c r="F11" i="62"/>
  <c r="I11" i="62" s="1"/>
  <c r="B24" i="41"/>
  <c r="B37" i="41" s="1"/>
  <c r="B36" i="41" s="1"/>
  <c r="AA33" i="63"/>
  <c r="F33" i="62" s="1"/>
  <c r="F13" i="62"/>
  <c r="F27" i="62" s="1"/>
  <c r="E24" i="41"/>
  <c r="K33" i="63"/>
  <c r="E49" i="62"/>
  <c r="C53" i="62"/>
  <c r="K16" i="62"/>
  <c r="J20" i="62"/>
  <c r="E17" i="62"/>
  <c r="E21" i="62" s="1"/>
  <c r="E50" i="62"/>
  <c r="B53" i="62"/>
  <c r="C9" i="40"/>
  <c r="C14" i="41"/>
  <c r="K20" i="62"/>
  <c r="E48" i="62"/>
  <c r="C8" i="40"/>
  <c r="C13" i="41"/>
  <c r="K19" i="62"/>
  <c r="B12" i="40"/>
  <c r="B17" i="41"/>
  <c r="D53" i="62"/>
  <c r="J36" i="62"/>
  <c r="C12" i="40"/>
  <c r="C17" i="41"/>
  <c r="C11" i="40"/>
  <c r="C16" i="41"/>
  <c r="H53" i="62"/>
  <c r="C10" i="40"/>
  <c r="C15" i="41"/>
  <c r="Y33" i="63"/>
  <c r="F31" i="62" s="1"/>
  <c r="E12" i="62"/>
  <c r="E26" i="62" s="1"/>
  <c r="C8" i="41"/>
  <c r="C7" i="40"/>
  <c r="S33" i="63"/>
  <c r="B10" i="62"/>
  <c r="B14" i="62" s="1"/>
  <c r="I33" i="63"/>
  <c r="N34" i="63" s="1"/>
  <c r="E13" i="62"/>
  <c r="D24" i="62"/>
  <c r="D28" i="62" s="1"/>
  <c r="I9" i="62"/>
  <c r="C24" i="62"/>
  <c r="C28" i="62" s="1"/>
  <c r="D10" i="62"/>
  <c r="D14" i="62" s="1"/>
  <c r="B24" i="62"/>
  <c r="B28" i="62" s="1"/>
  <c r="E11" i="62"/>
  <c r="H24" i="62"/>
  <c r="H28" i="62" s="1"/>
  <c r="F23" i="62"/>
  <c r="E9" i="62"/>
  <c r="E47" i="62"/>
  <c r="H10" i="62"/>
  <c r="H14" i="62" s="1"/>
  <c r="G10" i="62"/>
  <c r="G14" i="62" s="1"/>
  <c r="J16" i="62"/>
  <c r="C10" i="62"/>
  <c r="C14" i="62" s="1"/>
  <c r="E52" i="62"/>
  <c r="E45" i="62"/>
  <c r="E37" i="62"/>
  <c r="K36" i="62"/>
  <c r="F51" i="62" l="1"/>
  <c r="I35" i="62"/>
  <c r="F49" i="62"/>
  <c r="I33" i="62"/>
  <c r="I31" i="62"/>
  <c r="F50" i="62"/>
  <c r="I34" i="62"/>
  <c r="AC35" i="63"/>
  <c r="AA35" i="63"/>
  <c r="AB35" i="63"/>
  <c r="I12" i="62"/>
  <c r="I26" i="62" s="1"/>
  <c r="J26" i="62" s="1"/>
  <c r="F10" i="62"/>
  <c r="F14" i="62" s="1"/>
  <c r="I13" i="62"/>
  <c r="J13" i="62" s="1"/>
  <c r="K13" i="62" s="1"/>
  <c r="I34" i="63"/>
  <c r="F63" i="62"/>
  <c r="F73" i="62"/>
  <c r="M34" i="63"/>
  <c r="I58" i="62"/>
  <c r="I74" i="62" s="1"/>
  <c r="F74" i="62"/>
  <c r="F76" i="62"/>
  <c r="I60" i="62"/>
  <c r="I76" i="62" s="1"/>
  <c r="J76" i="62" s="1"/>
  <c r="K76" i="62" s="1"/>
  <c r="F75" i="62"/>
  <c r="I59" i="62"/>
  <c r="I75" i="62" s="1"/>
  <c r="I61" i="62"/>
  <c r="F77" i="62"/>
  <c r="O34" i="63"/>
  <c r="L34" i="63"/>
  <c r="B47" i="71"/>
  <c r="B39" i="41"/>
  <c r="B68" i="41"/>
  <c r="E28" i="41"/>
  <c r="G24" i="41"/>
  <c r="G28" i="41" s="1"/>
  <c r="I57" i="62"/>
  <c r="K34" i="63"/>
  <c r="C18" i="41"/>
  <c r="C13" i="40"/>
  <c r="J34" i="63"/>
  <c r="B28" i="41"/>
  <c r="C14" i="40"/>
  <c r="C19" i="41"/>
  <c r="I23" i="62"/>
  <c r="E10" i="62"/>
  <c r="E14" i="62" s="1"/>
  <c r="E25" i="62"/>
  <c r="E27" i="62"/>
  <c r="E23" i="62"/>
  <c r="J9" i="62"/>
  <c r="K9" i="62" s="1"/>
  <c r="J11" i="62"/>
  <c r="K11" i="62" s="1"/>
  <c r="E53" i="62"/>
  <c r="K34" i="62" l="1"/>
  <c r="J34" i="62"/>
  <c r="B10" i="40"/>
  <c r="B15" i="41"/>
  <c r="J31" i="62"/>
  <c r="K31" i="62" s="1"/>
  <c r="B7" i="40"/>
  <c r="B8" i="41"/>
  <c r="B9" i="40"/>
  <c r="J33" i="62"/>
  <c r="K33" i="62" s="1"/>
  <c r="B14" i="41"/>
  <c r="B11" i="40"/>
  <c r="B16" i="41"/>
  <c r="J35" i="62"/>
  <c r="K35" i="62" s="1"/>
  <c r="J12" i="62"/>
  <c r="K12" i="62" s="1"/>
  <c r="I41" i="62"/>
  <c r="AD34" i="63"/>
  <c r="I27" i="62"/>
  <c r="J27" i="62" s="1"/>
  <c r="I10" i="62"/>
  <c r="J10" i="62" s="1"/>
  <c r="K10" i="62" s="1"/>
  <c r="AB34" i="63"/>
  <c r="AC34" i="63"/>
  <c r="J74" i="62"/>
  <c r="K74" i="62" s="1"/>
  <c r="I77" i="62"/>
  <c r="J61" i="62"/>
  <c r="K61" i="62" s="1"/>
  <c r="F79" i="62"/>
  <c r="F81" i="62" s="1"/>
  <c r="J75" i="62"/>
  <c r="K75" i="62" s="1"/>
  <c r="Y34" i="63"/>
  <c r="AA34" i="63"/>
  <c r="Z33" i="63"/>
  <c r="F32" i="62" s="1"/>
  <c r="E68" i="41"/>
  <c r="B67" i="41"/>
  <c r="C68" i="41"/>
  <c r="J57" i="62"/>
  <c r="K57" i="62" s="1"/>
  <c r="J60" i="62"/>
  <c r="K60" i="62" s="1"/>
  <c r="J62" i="62"/>
  <c r="K62" i="62" s="1"/>
  <c r="J59" i="62"/>
  <c r="K59" i="62" s="1"/>
  <c r="I63" i="62"/>
  <c r="J63" i="62" s="1"/>
  <c r="C20" i="41"/>
  <c r="C15" i="40"/>
  <c r="K26" i="62"/>
  <c r="E24" i="62"/>
  <c r="E28" i="62" s="1"/>
  <c r="J23" i="62"/>
  <c r="K23" i="62" s="1"/>
  <c r="I32" i="62" l="1"/>
  <c r="F48" i="62"/>
  <c r="F37" i="62"/>
  <c r="Z35" i="63"/>
  <c r="I42" i="62"/>
  <c r="I43" i="62"/>
  <c r="I44" i="62"/>
  <c r="G41" i="62"/>
  <c r="G49" i="62" s="1"/>
  <c r="I49" i="62"/>
  <c r="K41" i="62"/>
  <c r="J41" i="62"/>
  <c r="X34" i="63"/>
  <c r="K27" i="62"/>
  <c r="I14" i="62"/>
  <c r="J14" i="62" s="1"/>
  <c r="J77" i="62"/>
  <c r="K77" i="62"/>
  <c r="Z34" i="63"/>
  <c r="C67" i="41"/>
  <c r="E67" i="41"/>
  <c r="E70" i="41" s="1"/>
  <c r="B70" i="41"/>
  <c r="C70" i="41" s="1"/>
  <c r="J58" i="62"/>
  <c r="K58" i="62" s="1"/>
  <c r="I65" i="62"/>
  <c r="G65" i="62" s="1"/>
  <c r="I39" i="62"/>
  <c r="G47" i="62" s="1"/>
  <c r="G17" i="62"/>
  <c r="G21" i="62" s="1"/>
  <c r="G25" i="62"/>
  <c r="G24" i="62" s="1"/>
  <c r="G28" i="62" s="1"/>
  <c r="J86" i="62"/>
  <c r="J87" i="62" s="1"/>
  <c r="J89" i="62" s="1"/>
  <c r="B8" i="40" l="1"/>
  <c r="B13" i="40" s="1"/>
  <c r="J32" i="62"/>
  <c r="K32" i="62" s="1"/>
  <c r="B13" i="41"/>
  <c r="B18" i="41" s="1"/>
  <c r="I37" i="62"/>
  <c r="J37" i="62" s="1"/>
  <c r="K37" i="62" s="1"/>
  <c r="J49" i="62"/>
  <c r="K49" i="62"/>
  <c r="G44" i="62"/>
  <c r="G52" i="62" s="1"/>
  <c r="J44" i="62"/>
  <c r="I52" i="62"/>
  <c r="J52" i="62" s="1"/>
  <c r="K52" i="62" s="1"/>
  <c r="K44" i="62"/>
  <c r="G43" i="62"/>
  <c r="G51" i="62" s="1"/>
  <c r="K43" i="62"/>
  <c r="J43" i="62"/>
  <c r="I51" i="62"/>
  <c r="J51" i="62" s="1"/>
  <c r="K51" i="62" s="1"/>
  <c r="I40" i="62"/>
  <c r="G42" i="62"/>
  <c r="G50" i="62" s="1"/>
  <c r="J42" i="62"/>
  <c r="I50" i="62"/>
  <c r="K42" i="62"/>
  <c r="K14" i="62"/>
  <c r="C24" i="41"/>
  <c r="C28" i="41" s="1"/>
  <c r="K63" i="62"/>
  <c r="F17" i="62"/>
  <c r="F21" i="62" s="1"/>
  <c r="I18" i="62"/>
  <c r="F25" i="62"/>
  <c r="F24" i="62" s="1"/>
  <c r="F28" i="62" s="1"/>
  <c r="E125" i="41" l="1"/>
  <c r="E127" i="41"/>
  <c r="E130" i="41"/>
  <c r="E126" i="41"/>
  <c r="E128" i="41"/>
  <c r="E129" i="41"/>
  <c r="E106" i="40"/>
  <c r="E105" i="40"/>
  <c r="E107" i="40"/>
  <c r="E108" i="40"/>
  <c r="E109" i="40"/>
  <c r="E104" i="40"/>
  <c r="G40" i="62"/>
  <c r="I48" i="62"/>
  <c r="J48" i="62" s="1"/>
  <c r="K48" i="62" s="1"/>
  <c r="J40" i="62"/>
  <c r="K40" i="62"/>
  <c r="J50" i="62"/>
  <c r="K50" i="62"/>
  <c r="AE33" i="63"/>
  <c r="D47" i="71" s="1"/>
  <c r="D24" i="41"/>
  <c r="D28" i="41" s="1"/>
  <c r="D37" i="41"/>
  <c r="D36" i="41" s="1"/>
  <c r="I17" i="62"/>
  <c r="J18" i="62"/>
  <c r="K18" i="62" s="1"/>
  <c r="I25" i="62"/>
  <c r="F47" i="62"/>
  <c r="F53" i="62" s="1"/>
  <c r="F45" i="62"/>
  <c r="G48" i="62" l="1"/>
  <c r="G53" i="62" s="1"/>
  <c r="G45" i="62"/>
  <c r="C37" i="41"/>
  <c r="E37" i="41"/>
  <c r="D39" i="41"/>
  <c r="C39" i="41" s="1"/>
  <c r="C36" i="41"/>
  <c r="E36" i="41"/>
  <c r="E39" i="41" s="1"/>
  <c r="I21" i="62"/>
  <c r="J21" i="62" s="1"/>
  <c r="K21" i="62" s="1"/>
  <c r="J17" i="62"/>
  <c r="K17" i="62" s="1"/>
  <c r="J39" i="62"/>
  <c r="K39" i="62" s="1"/>
  <c r="I47" i="62"/>
  <c r="I45" i="62"/>
  <c r="J25" i="62"/>
  <c r="K25" i="62" s="1"/>
  <c r="I24" i="62"/>
  <c r="J24" i="62" l="1"/>
  <c r="K24" i="62" s="1"/>
  <c r="I28" i="62"/>
  <c r="B19" i="41"/>
  <c r="B20" i="41" s="1"/>
  <c r="J45" i="62"/>
  <c r="K45" i="62" s="1"/>
  <c r="B14" i="40"/>
  <c r="B15" i="40" s="1"/>
  <c r="I53" i="62"/>
  <c r="J47" i="62"/>
  <c r="K47" i="62" s="1"/>
  <c r="J53" i="62" l="1"/>
  <c r="K53" i="62" s="1"/>
  <c r="I86" i="62"/>
  <c r="C83" i="62"/>
  <c r="J28" i="62"/>
  <c r="K28" i="62" s="1"/>
  <c r="G71" i="62"/>
  <c r="G73" i="62"/>
  <c r="G79" i="62" s="1"/>
  <c r="G81" i="62" s="1"/>
  <c r="J65" i="62"/>
  <c r="J71" i="62" s="1"/>
  <c r="I87" i="62" l="1"/>
  <c r="I89" i="62" s="1"/>
  <c r="I71" i="62"/>
  <c r="K71" i="62" s="1"/>
  <c r="K65" i="62"/>
  <c r="I73" i="62"/>
  <c r="I79" i="62" l="1"/>
  <c r="J73" i="62"/>
  <c r="J79" i="62" s="1"/>
  <c r="K73" i="62" l="1"/>
  <c r="I81" i="62"/>
  <c r="K79" i="62"/>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Windows 用户</author>
    <author>Zhang Na 章娜</author>
  </authors>
  <commentList>
    <comment ref="C10" authorId="0" shapeId="0">
      <text>
        <r>
          <rPr>
            <b/>
            <sz val="9"/>
            <color indexed="81"/>
            <rFont val="宋体"/>
            <family val="3"/>
            <charset val="134"/>
          </rPr>
          <t>Windows 用户:</t>
        </r>
        <r>
          <rPr>
            <sz val="9"/>
            <color indexed="81"/>
            <rFont val="宋体"/>
            <family val="3"/>
            <charset val="134"/>
          </rPr>
          <t xml:space="preserve">
可填写债权人的唯一识别编码，如被审计单位财务或业务系统中的公司编码</t>
        </r>
      </text>
    </comment>
    <comment ref="D10" authorId="1" shapeId="0">
      <text>
        <r>
          <rPr>
            <sz val="9"/>
            <color indexed="81"/>
            <rFont val="宋体"/>
            <family val="3"/>
            <charset val="134"/>
          </rPr>
          <t xml:space="preserve">期末关联方类型
</t>
        </r>
      </text>
    </comment>
    <comment ref="E10" authorId="1" shapeId="0">
      <text>
        <r>
          <rPr>
            <sz val="9"/>
            <color indexed="81"/>
            <rFont val="宋体"/>
            <family val="3"/>
            <charset val="134"/>
          </rPr>
          <t xml:space="preserve">期末款项性质
</t>
        </r>
      </text>
    </comment>
  </commentList>
</comments>
</file>

<file path=xl/comments3.xml><?xml version="1.0" encoding="utf-8"?>
<comments xmlns="http://schemas.openxmlformats.org/spreadsheetml/2006/main">
  <authors>
    <author>Windows 用户</author>
  </authors>
  <commentList>
    <comment ref="C9" authorId="0" shapeId="0">
      <text>
        <r>
          <rPr>
            <b/>
            <sz val="9"/>
            <color indexed="81"/>
            <rFont val="宋体"/>
            <family val="3"/>
            <charset val="134"/>
          </rPr>
          <t>Windows 用户:</t>
        </r>
        <r>
          <rPr>
            <sz val="9"/>
            <color indexed="81"/>
            <rFont val="宋体"/>
            <family val="3"/>
            <charset val="134"/>
          </rPr>
          <t xml:space="preserve">
预期信用损失率的计量参考 D2应收账款-预期信用损失计提参考示例</t>
        </r>
      </text>
    </comment>
    <comment ref="C19" authorId="0" shapeId="0">
      <text>
        <r>
          <rPr>
            <b/>
            <sz val="9"/>
            <color indexed="81"/>
            <rFont val="宋体"/>
            <family val="3"/>
            <charset val="134"/>
          </rPr>
          <t>Windows 用户:</t>
        </r>
        <r>
          <rPr>
            <sz val="9"/>
            <color indexed="81"/>
            <rFont val="宋体"/>
            <family val="3"/>
            <charset val="134"/>
          </rPr>
          <t xml:space="preserve">
预期信用损失率的计量参考 D2应收账款-预期信用损失计提参考示例</t>
        </r>
      </text>
    </comment>
    <comment ref="C29" authorId="0" shapeId="0">
      <text>
        <r>
          <rPr>
            <b/>
            <sz val="9"/>
            <color indexed="81"/>
            <rFont val="宋体"/>
            <family val="3"/>
            <charset val="134"/>
          </rPr>
          <t>Windows 用户:</t>
        </r>
        <r>
          <rPr>
            <sz val="9"/>
            <color indexed="81"/>
            <rFont val="宋体"/>
            <family val="3"/>
            <charset val="134"/>
          </rPr>
          <t xml:space="preserve">
预期信用损失率的计量参考 D2应收账款-预期信用损失计提参考示例</t>
        </r>
      </text>
    </comment>
  </commentList>
</comments>
</file>

<file path=xl/sharedStrings.xml><?xml version="1.0" encoding="utf-8"?>
<sst xmlns="http://schemas.openxmlformats.org/spreadsheetml/2006/main" count="1227" uniqueCount="877">
  <si>
    <t>单位名称</t>
  </si>
  <si>
    <t>附注披露信息（上市公司）</t>
    <phoneticPr fontId="16" type="noConversion"/>
  </si>
  <si>
    <t>转回原因</t>
  </si>
  <si>
    <t>……</t>
  </si>
  <si>
    <t>--</t>
  </si>
  <si>
    <t>核销金额</t>
  </si>
  <si>
    <t>核销原因</t>
  </si>
  <si>
    <t>C1</t>
  </si>
  <si>
    <t>Custom 1</t>
  </si>
  <si>
    <t>C2</t>
  </si>
  <si>
    <t>Custom 2</t>
  </si>
  <si>
    <t>C3</t>
  </si>
  <si>
    <t>Custom 3</t>
  </si>
  <si>
    <t>C4</t>
  </si>
  <si>
    <t>Custom 4</t>
  </si>
  <si>
    <t>C5</t>
  </si>
  <si>
    <t>Custom 5</t>
  </si>
  <si>
    <t>C6</t>
  </si>
  <si>
    <t>Custom 6</t>
  </si>
  <si>
    <t>C7</t>
  </si>
  <si>
    <t>Custom 7</t>
  </si>
  <si>
    <t>C8</t>
  </si>
  <si>
    <t>Custom 8</t>
  </si>
  <si>
    <t>致同会计师事务所</t>
  </si>
  <si>
    <t>页次：</t>
  </si>
  <si>
    <r>
      <rPr>
        <sz val="10"/>
        <rFont val="宋体"/>
        <family val="3"/>
        <charset val="134"/>
      </rPr>
      <t>页次：</t>
    </r>
  </si>
  <si>
    <t>收回方式</t>
  </si>
  <si>
    <t>原确定坏账准备的依据</t>
  </si>
  <si>
    <t>履行的核销程序</t>
  </si>
  <si>
    <r>
      <rPr>
        <b/>
        <sz val="10"/>
        <color indexed="8"/>
        <rFont val="宋体"/>
        <family val="3"/>
        <charset val="134"/>
      </rPr>
      <t>合计</t>
    </r>
    <phoneticPr fontId="16" type="noConversion"/>
  </si>
  <si>
    <t>按组合计提坏账准备</t>
    <phoneticPr fontId="16"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</si>
  <si>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</si>
  <si>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</si>
  <si>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</si>
  <si>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r>
      <rPr>
        <b/>
        <sz val="10"/>
        <rFont val="宋体"/>
        <family val="3"/>
        <charset val="134"/>
      </rPr>
      <t>二、审计过程</t>
    </r>
    <phoneticPr fontId="16" type="noConversion"/>
  </si>
  <si>
    <t>合  计</t>
  </si>
  <si>
    <t>凭证编号</t>
  </si>
  <si>
    <r>
      <rPr>
        <b/>
        <sz val="10"/>
        <rFont val="宋体"/>
        <family val="3"/>
        <charset val="134"/>
      </rPr>
      <t>债务人名称</t>
    </r>
  </si>
  <si>
    <r>
      <rPr>
        <b/>
        <sz val="10"/>
        <rFont val="宋体"/>
        <family val="3"/>
        <charset val="134"/>
      </rPr>
      <t>一、审计目标</t>
    </r>
    <phoneticPr fontId="16" type="noConversion"/>
  </si>
  <si>
    <r>
      <rPr>
        <b/>
        <sz val="10"/>
        <rFont val="宋体"/>
        <family val="3"/>
        <charset val="134"/>
      </rPr>
      <t>期末余额</t>
    </r>
    <phoneticPr fontId="16" type="noConversion"/>
  </si>
  <si>
    <r>
      <rPr>
        <b/>
        <sz val="10"/>
        <rFont val="宋体"/>
        <family val="3"/>
        <charset val="134"/>
      </rPr>
      <t>账龄</t>
    </r>
    <phoneticPr fontId="16" type="noConversion"/>
  </si>
  <si>
    <r>
      <rPr>
        <b/>
        <sz val="10"/>
        <rFont val="宋体"/>
        <family val="3"/>
        <charset val="134"/>
      </rPr>
      <t>经济业务说明</t>
    </r>
    <phoneticPr fontId="16" type="noConversion"/>
  </si>
  <si>
    <r>
      <rPr>
        <b/>
        <sz val="10"/>
        <rFont val="宋体"/>
        <family val="3"/>
        <charset val="134"/>
      </rPr>
      <t>审定余额</t>
    </r>
    <phoneticPr fontId="16" type="noConversion"/>
  </si>
  <si>
    <r>
      <rPr>
        <b/>
        <sz val="10"/>
        <rFont val="宋体"/>
        <family val="3"/>
        <charset val="134"/>
      </rPr>
      <t>备注</t>
    </r>
    <phoneticPr fontId="16" type="noConversion"/>
  </si>
  <si>
    <r>
      <rPr>
        <b/>
        <sz val="10"/>
        <rFont val="宋体"/>
        <family val="3"/>
        <charset val="134"/>
      </rPr>
      <t>三、审计说明</t>
    </r>
    <phoneticPr fontId="16" type="noConversion"/>
  </si>
  <si>
    <r>
      <rPr>
        <b/>
        <sz val="10"/>
        <rFont val="宋体"/>
        <family val="3"/>
        <charset val="134"/>
      </rPr>
      <t>四、审计结论</t>
    </r>
    <phoneticPr fontId="16" type="noConversion"/>
  </si>
  <si>
    <t>债务人名称</t>
    <phoneticPr fontId="16" type="noConversion"/>
  </si>
  <si>
    <t>未收回或未结转的原因</t>
    <phoneticPr fontId="16" type="noConversion"/>
  </si>
  <si>
    <t>是否无法收回</t>
    <phoneticPr fontId="16" type="noConversion"/>
  </si>
  <si>
    <r>
      <rPr>
        <b/>
        <sz val="10"/>
        <rFont val="宋体"/>
        <family val="3"/>
        <charset val="134"/>
      </rPr>
      <t>期初数</t>
    </r>
    <phoneticPr fontId="16" type="noConversion"/>
  </si>
  <si>
    <r>
      <rPr>
        <b/>
        <sz val="10"/>
        <rFont val="宋体"/>
        <family val="3"/>
        <charset val="134"/>
      </rPr>
      <t>期末数</t>
    </r>
    <phoneticPr fontId="16" type="noConversion"/>
  </si>
  <si>
    <r>
      <rPr>
        <b/>
        <sz val="10"/>
        <color indexed="8"/>
        <rFont val="宋体"/>
        <family val="3"/>
        <charset val="134"/>
      </rPr>
      <t>原因分析</t>
    </r>
    <phoneticPr fontId="16" type="noConversion"/>
  </si>
  <si>
    <r>
      <rPr>
        <b/>
        <sz val="10"/>
        <rFont val="宋体"/>
        <family val="3"/>
        <charset val="134"/>
      </rPr>
      <t>未审数</t>
    </r>
    <phoneticPr fontId="16" type="noConversion"/>
  </si>
  <si>
    <r>
      <rPr>
        <b/>
        <sz val="10"/>
        <rFont val="宋体"/>
        <family val="3"/>
        <charset val="134"/>
      </rPr>
      <t>账项调整</t>
    </r>
    <phoneticPr fontId="16" type="noConversion"/>
  </si>
  <si>
    <r>
      <rPr>
        <b/>
        <sz val="10"/>
        <rFont val="宋体"/>
        <family val="3"/>
        <charset val="134"/>
      </rPr>
      <t>重分类调整</t>
    </r>
    <phoneticPr fontId="16" type="noConversion"/>
  </si>
  <si>
    <r>
      <rPr>
        <b/>
        <sz val="10"/>
        <rFont val="宋体"/>
        <family val="3"/>
        <charset val="134"/>
      </rPr>
      <t>审定数</t>
    </r>
    <phoneticPr fontId="16" type="noConversion"/>
  </si>
  <si>
    <r>
      <rPr>
        <b/>
        <sz val="10"/>
        <rFont val="宋体"/>
        <family val="3"/>
        <charset val="134"/>
      </rPr>
      <t>变动额</t>
    </r>
    <phoneticPr fontId="16" type="noConversion"/>
  </si>
  <si>
    <r>
      <rPr>
        <b/>
        <sz val="10"/>
        <color indexed="8"/>
        <rFont val="宋体"/>
        <family val="3"/>
        <charset val="134"/>
      </rPr>
      <t>变动率</t>
    </r>
    <phoneticPr fontId="16" type="noConversion"/>
  </si>
  <si>
    <r>
      <rPr>
        <b/>
        <sz val="10"/>
        <color indexed="8"/>
        <rFont val="宋体"/>
        <family val="3"/>
        <charset val="134"/>
      </rPr>
      <t>小计</t>
    </r>
    <phoneticPr fontId="16" type="noConversion"/>
  </si>
  <si>
    <t>账龄组合</t>
    <phoneticPr fontId="16" type="noConversion"/>
  </si>
  <si>
    <r>
      <rPr>
        <sz val="10"/>
        <rFont val="宋体"/>
        <family val="3"/>
        <charset val="134"/>
      </rPr>
      <t>（</t>
    </r>
    <r>
      <rPr>
        <sz val="10"/>
        <rFont val="Arial Narrow"/>
        <family val="2"/>
      </rPr>
      <t>3</t>
    </r>
    <r>
      <rPr>
        <sz val="10"/>
        <rFont val="宋体"/>
        <family val="3"/>
        <charset val="134"/>
      </rPr>
      <t>）与经审计的财务报表核对</t>
    </r>
    <phoneticPr fontId="20" type="noConversion"/>
  </si>
  <si>
    <t>本期与上期审定数比较</t>
    <phoneticPr fontId="16" type="noConversion"/>
  </si>
  <si>
    <t>单项计提坏账准备</t>
    <phoneticPr fontId="16" type="noConversion"/>
  </si>
  <si>
    <t>客户类型组合</t>
    <phoneticPr fontId="16" type="noConversion"/>
  </si>
  <si>
    <t>一年以内</t>
    <phoneticPr fontId="16" type="noConversion"/>
  </si>
  <si>
    <t>一到二年</t>
    <phoneticPr fontId="16" type="noConversion"/>
  </si>
  <si>
    <t>二到三年</t>
    <phoneticPr fontId="16" type="noConversion"/>
  </si>
  <si>
    <t>三到四年</t>
    <phoneticPr fontId="16" type="noConversion"/>
  </si>
  <si>
    <t>四到五年</t>
    <phoneticPr fontId="16" type="noConversion"/>
  </si>
  <si>
    <t>五年以上</t>
    <phoneticPr fontId="16" type="noConversion"/>
  </si>
  <si>
    <r>
      <rPr>
        <b/>
        <sz val="10"/>
        <color indexed="8"/>
        <rFont val="宋体"/>
        <family val="3"/>
        <charset val="134"/>
      </rPr>
      <t>小计</t>
    </r>
    <phoneticPr fontId="16" type="noConversion"/>
  </si>
  <si>
    <t>合计</t>
    <phoneticPr fontId="16"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</si>
  <si>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6" type="noConversion"/>
  </si>
  <si>
    <r>
      <rPr>
        <sz val="10"/>
        <rFont val="宋体"/>
        <family val="3"/>
        <charset val="134"/>
      </rPr>
      <t>（</t>
    </r>
    <r>
      <rPr>
        <sz val="10"/>
        <rFont val="Arial Narrow"/>
        <family val="2"/>
      </rPr>
      <t>2</t>
    </r>
    <r>
      <rPr>
        <sz val="10"/>
        <rFont val="宋体"/>
        <family val="3"/>
        <charset val="134"/>
      </rPr>
      <t>）情况说明</t>
    </r>
    <phoneticPr fontId="16" type="noConversion"/>
  </si>
  <si>
    <t>其他应收款审定表</t>
    <phoneticPr fontId="16" type="noConversion"/>
  </si>
  <si>
    <t>项目【不含应收利息、应收股利】</t>
    <phoneticPr fontId="16" type="noConversion"/>
  </si>
  <si>
    <r>
      <rPr>
        <sz val="10"/>
        <rFont val="宋体"/>
        <family val="3"/>
        <charset val="134"/>
      </rPr>
      <t>（</t>
    </r>
    <r>
      <rPr>
        <sz val="10"/>
        <rFont val="Arial Narrow"/>
        <family val="2"/>
      </rPr>
      <t>1</t>
    </r>
    <r>
      <rPr>
        <sz val="10"/>
        <rFont val="宋体"/>
        <family val="3"/>
        <charset val="134"/>
      </rPr>
      <t>）其他应收款本期较上期增加（负数为减少）：</t>
    </r>
    <phoneticPr fontId="16" type="noConversion"/>
  </si>
  <si>
    <r>
      <rPr>
        <b/>
        <sz val="10"/>
        <color indexed="8"/>
        <rFont val="宋体"/>
        <family val="3"/>
        <charset val="134"/>
      </rPr>
      <t>一、审计目标</t>
    </r>
    <r>
      <rPr>
        <b/>
        <sz val="10"/>
        <color indexed="8"/>
        <rFont val="Arial Narrow"/>
        <family val="2"/>
      </rPr>
      <t>:</t>
    </r>
    <phoneticPr fontId="20" type="noConversion"/>
  </si>
  <si>
    <r>
      <rPr>
        <b/>
        <sz val="10"/>
        <rFont val="宋体"/>
        <family val="3"/>
        <charset val="134"/>
      </rPr>
      <t>二、审计过程：</t>
    </r>
    <phoneticPr fontId="16" type="noConversion"/>
  </si>
  <si>
    <t>序号</t>
    <phoneticPr fontId="20" type="noConversion"/>
  </si>
  <si>
    <t>借方发生</t>
    <phoneticPr fontId="20" type="noConversion"/>
  </si>
  <si>
    <t>贷方发生</t>
    <phoneticPr fontId="20" type="noConversion"/>
  </si>
  <si>
    <t>账项调整</t>
    <phoneticPr fontId="16" type="noConversion"/>
  </si>
  <si>
    <t>重分类调整</t>
    <phoneticPr fontId="20" type="noConversion"/>
  </si>
  <si>
    <t>信用风险组合方式</t>
    <phoneticPr fontId="20" type="noConversion"/>
  </si>
  <si>
    <t>组合名称</t>
    <phoneticPr fontId="20" type="noConversion"/>
  </si>
  <si>
    <r>
      <t>1</t>
    </r>
    <r>
      <rPr>
        <b/>
        <sz val="10"/>
        <rFont val="宋体"/>
        <family val="3"/>
        <charset val="134"/>
      </rPr>
      <t>年以内</t>
    </r>
    <phoneticPr fontId="20" type="noConversion"/>
  </si>
  <si>
    <r>
      <t>1-2</t>
    </r>
    <r>
      <rPr>
        <b/>
        <sz val="10"/>
        <rFont val="宋体"/>
        <family val="3"/>
        <charset val="134"/>
      </rPr>
      <t>年</t>
    </r>
    <phoneticPr fontId="20" type="noConversion"/>
  </si>
  <si>
    <r>
      <t>2-3</t>
    </r>
    <r>
      <rPr>
        <b/>
        <sz val="10"/>
        <rFont val="宋体"/>
        <family val="3"/>
        <charset val="134"/>
      </rPr>
      <t>年</t>
    </r>
    <phoneticPr fontId="20" type="noConversion"/>
  </si>
  <si>
    <r>
      <t>3-4</t>
    </r>
    <r>
      <rPr>
        <b/>
        <sz val="10"/>
        <rFont val="宋体"/>
        <family val="3"/>
        <charset val="134"/>
      </rPr>
      <t>年</t>
    </r>
    <phoneticPr fontId="20" type="noConversion"/>
  </si>
  <si>
    <r>
      <t>4-5</t>
    </r>
    <r>
      <rPr>
        <b/>
        <sz val="10"/>
        <rFont val="宋体"/>
        <family val="3"/>
        <charset val="134"/>
      </rPr>
      <t>年</t>
    </r>
    <phoneticPr fontId="20" type="noConversion"/>
  </si>
  <si>
    <r>
      <t>5</t>
    </r>
    <r>
      <rPr>
        <b/>
        <sz val="10"/>
        <rFont val="宋体"/>
        <family val="3"/>
        <charset val="134"/>
      </rPr>
      <t>年以上</t>
    </r>
    <phoneticPr fontId="20" type="noConversion"/>
  </si>
  <si>
    <r>
      <rPr>
        <b/>
        <sz val="10"/>
        <rFont val="宋体"/>
        <family val="3"/>
        <charset val="134"/>
      </rPr>
      <t>三、审计说明：</t>
    </r>
    <r>
      <rPr>
        <sz val="10"/>
        <color indexed="12"/>
        <rFont val="宋体"/>
        <family val="3"/>
        <charset val="134"/>
      </rPr>
      <t/>
    </r>
    <phoneticPr fontId="16" type="noConversion"/>
  </si>
  <si>
    <r>
      <rPr>
        <b/>
        <sz val="10"/>
        <rFont val="宋体"/>
        <family val="3"/>
        <charset val="134"/>
      </rPr>
      <t>四、审计结论：</t>
    </r>
    <phoneticPr fontId="16" type="noConversion"/>
  </si>
  <si>
    <t>其他应收款明细表</t>
    <phoneticPr fontId="20" type="noConversion"/>
  </si>
  <si>
    <r>
      <rPr>
        <sz val="10"/>
        <rFont val="宋体"/>
        <family val="3"/>
        <charset val="134"/>
      </rPr>
      <t>索引号：</t>
    </r>
  </si>
  <si>
    <t>页 次：</t>
    <phoneticPr fontId="16" type="noConversion"/>
  </si>
  <si>
    <r>
      <rPr>
        <b/>
        <sz val="10"/>
        <rFont val="宋体"/>
        <family val="3"/>
        <charset val="134"/>
      </rPr>
      <t>一、审计目标</t>
    </r>
    <phoneticPr fontId="23" type="noConversion"/>
  </si>
  <si>
    <r>
      <rPr>
        <b/>
        <sz val="10"/>
        <rFont val="宋体"/>
        <family val="3"/>
        <charset val="134"/>
      </rPr>
      <t>二、审计过程</t>
    </r>
    <phoneticPr fontId="16" type="noConversion"/>
  </si>
  <si>
    <t>备注</t>
    <phoneticPr fontId="16" type="noConversion"/>
  </si>
  <si>
    <t>三、审计说明：</t>
    <phoneticPr fontId="16" type="noConversion"/>
  </si>
  <si>
    <t>四、审计结论：</t>
    <phoneticPr fontId="16" type="noConversion"/>
  </si>
  <si>
    <r>
      <rPr>
        <b/>
        <sz val="10"/>
        <rFont val="宋体"/>
        <family val="3"/>
        <charset val="134"/>
      </rPr>
      <t>二、审计过程：</t>
    </r>
    <phoneticPr fontId="16" type="noConversion"/>
  </si>
  <si>
    <t>索引号：</t>
    <phoneticPr fontId="16" type="noConversion"/>
  </si>
  <si>
    <r>
      <rPr>
        <b/>
        <sz val="10"/>
        <rFont val="宋体"/>
        <family val="3"/>
        <charset val="134"/>
      </rPr>
      <t>三、审计说明：</t>
    </r>
    <phoneticPr fontId="16" type="noConversion"/>
  </si>
  <si>
    <r>
      <rPr>
        <b/>
        <sz val="10"/>
        <rFont val="宋体"/>
        <family val="3"/>
        <charset val="134"/>
      </rPr>
      <t>四、审计结论：</t>
    </r>
    <phoneticPr fontId="16" type="noConversion"/>
  </si>
  <si>
    <t>三、审计说明</t>
    <phoneticPr fontId="16" type="noConversion"/>
  </si>
  <si>
    <t>四、审计结论</t>
    <phoneticPr fontId="16" type="noConversion"/>
  </si>
  <si>
    <t>一、审计目标</t>
    <phoneticPr fontId="16" type="noConversion"/>
  </si>
  <si>
    <t>二、审计过程</t>
    <phoneticPr fontId="16" type="noConversion"/>
  </si>
  <si>
    <t>（一）单项计提坏账准备</t>
    <phoneticPr fontId="16" type="noConversion"/>
  </si>
  <si>
    <t>小计</t>
    <phoneticPr fontId="16" type="noConversion"/>
  </si>
  <si>
    <t>核对差异</t>
    <phoneticPr fontId="16" type="noConversion"/>
  </si>
  <si>
    <t>【不适用的行项目请删除】</t>
    <phoneticPr fontId="16" type="noConversion"/>
  </si>
  <si>
    <t>小计</t>
    <phoneticPr fontId="16" type="noConversion"/>
  </si>
  <si>
    <t>【不适用的行项目请删除】</t>
    <phoneticPr fontId="16" type="noConversion"/>
  </si>
  <si>
    <t>总 计</t>
    <phoneticPr fontId="16" type="noConversion"/>
  </si>
  <si>
    <t>对于资产负债表日已发生信用减值但并非购买或源生已发生信用减值的金融资产，信用损失为该金融资产账面余额与按原实际利率折现的估计未来现金流量的现值之间的差额。</t>
    <phoneticPr fontId="16" type="noConversion"/>
  </si>
  <si>
    <t>可采用的共同信用风险特征包括：金融工具类型、信用风险评级、担保物类型、初始确认日期、剩余合同期限、债务人所处行业、债务人所处地理位置、担保品相对于金融资产的价值等。</t>
    <phoneticPr fontId="16" type="noConversion"/>
  </si>
  <si>
    <t>计量金融工具预期信用损失的方法反映的因素包括：</t>
    <phoneticPr fontId="16" type="noConversion"/>
  </si>
  <si>
    <t>通过评价一系列可能的结果而确定的无偏概率加权平均金额；</t>
    <phoneticPr fontId="16" type="noConversion"/>
  </si>
  <si>
    <t>货币时间价值；</t>
    <phoneticPr fontId="16" type="noConversion"/>
  </si>
  <si>
    <t>在资产负债表日无须付出不必要的额外成本或努力即可获得的有关过去事项、当前状况以及未来经济状况预测的合理且有依据的信息。</t>
    <phoneticPr fontId="16" type="noConversion"/>
  </si>
  <si>
    <t>其他应收款坏账准备测算表</t>
    <phoneticPr fontId="16" type="noConversion"/>
  </si>
  <si>
    <r>
      <rPr>
        <b/>
        <sz val="10"/>
        <rFont val="宋体"/>
        <family val="3"/>
        <charset val="134"/>
      </rPr>
      <t>一、审计目标：</t>
    </r>
    <phoneticPr fontId="16" type="noConversion"/>
  </si>
  <si>
    <t>其他应收款不适用简化方法，应按预期信用损失模型的一般方法按三阶段计提预期信用损失，即必须追踪信用风险的变化。</t>
  </si>
  <si>
    <r>
      <t>1.</t>
    </r>
    <r>
      <rPr>
        <sz val="10"/>
        <rFont val="宋体"/>
        <family val="3"/>
        <charset val="134"/>
      </rPr>
      <t>对信用风险显著增加的评估</t>
    </r>
    <phoneticPr fontId="16" type="noConversion"/>
  </si>
  <si>
    <t>无论企业采用何种方式评估信用风险是否显著增加，通常情况下，如果逾期超过30日，则表明金融工具的信用风险已经显著增加</t>
    <phoneticPr fontId="16" type="noConversion"/>
  </si>
  <si>
    <r>
      <t xml:space="preserve">1.1 </t>
    </r>
    <r>
      <rPr>
        <sz val="10"/>
        <rFont val="宋体"/>
        <family val="3"/>
        <charset val="134"/>
      </rPr>
      <t>通过比较金融工具在初始确认时所确定的预计存续期内的违约概率和该工具在资产负债表日所确定的预计存续期内的违约概率，来判定金融工具信用风险是否显著增加。</t>
    </r>
    <phoneticPr fontId="16" type="noConversion"/>
  </si>
  <si>
    <r>
      <t xml:space="preserve">1.2 </t>
    </r>
    <r>
      <rPr>
        <sz val="10"/>
        <rFont val="宋体"/>
        <family val="3"/>
        <charset val="134"/>
      </rPr>
      <t>如果合同付款逾期超过（含）</t>
    </r>
    <r>
      <rPr>
        <sz val="10"/>
        <rFont val="Arial Narrow"/>
        <family val="2"/>
      </rPr>
      <t>30</t>
    </r>
    <r>
      <rPr>
        <sz val="10"/>
        <rFont val="宋体"/>
        <family val="3"/>
        <charset val="134"/>
      </rPr>
      <t>日，则通常可以推定金融资产的信用风险显著增加，除非企业以合理成本即可获得合理且有依据的信息，证明即使逾期超过</t>
    </r>
    <r>
      <rPr>
        <sz val="10"/>
        <rFont val="Arial Narrow"/>
        <family val="2"/>
      </rPr>
      <t>30</t>
    </r>
    <r>
      <rPr>
        <sz val="10"/>
        <rFont val="宋体"/>
        <family val="3"/>
        <charset val="134"/>
      </rPr>
      <t>日，信用风险仍未显著增加。</t>
    </r>
    <phoneticPr fontId="16" type="noConversion"/>
  </si>
  <si>
    <t>企业确定信用风险显著增加的时点应当早于实际发生减值的时点，这是“预期信用损失法”的应有之义。</t>
    <phoneticPr fontId="16" type="noConversion"/>
  </si>
  <si>
    <r>
      <t>2.</t>
    </r>
    <r>
      <rPr>
        <sz val="10"/>
        <rFont val="宋体"/>
        <family val="3"/>
        <charset val="134"/>
      </rPr>
      <t>已发生信用减值的评估</t>
    </r>
    <phoneticPr fontId="16" type="noConversion"/>
  </si>
  <si>
    <r>
      <t xml:space="preserve">2.1 </t>
    </r>
    <r>
      <rPr>
        <sz val="10"/>
        <rFont val="宋体"/>
        <family val="3"/>
        <charset val="134"/>
      </rPr>
      <t>分析是否存在已发生信用减值的证据。</t>
    </r>
    <phoneticPr fontId="16" type="noConversion"/>
  </si>
  <si>
    <r>
      <t xml:space="preserve">2.2 </t>
    </r>
    <r>
      <rPr>
        <sz val="10"/>
        <rFont val="宋体"/>
        <family val="3"/>
        <charset val="134"/>
      </rPr>
      <t>如果一项金融工具逾期超过（含）</t>
    </r>
    <r>
      <rPr>
        <sz val="10"/>
        <rFont val="Arial Narrow"/>
        <family val="2"/>
      </rPr>
      <t>90</t>
    </r>
    <r>
      <rPr>
        <sz val="10"/>
        <rFont val="宋体"/>
        <family val="3"/>
        <charset val="134"/>
      </rPr>
      <t>日，则企业应当推定该金融工具已发生违约，除非企业有合理且有依据的信息，表明以更长的逾期时间作为违约标准更为恰当。</t>
    </r>
    <phoneticPr fontId="16" type="noConversion"/>
  </si>
  <si>
    <t>（一）信用风险是否显著增加</t>
    <phoneticPr fontId="16" type="noConversion"/>
  </si>
  <si>
    <t>需要考虑的信息</t>
    <phoneticPr fontId="16" type="noConversion"/>
  </si>
  <si>
    <t>说明</t>
    <phoneticPr fontId="16" type="noConversion"/>
  </si>
  <si>
    <t>信用风险变化所导致的内部价格指标的显著变化</t>
    <phoneticPr fontId="16" type="noConversion"/>
  </si>
  <si>
    <t>例如，同一金融工具或具有相同条款及相同交易对于的类似金融工具，在最近期间发行时的信用利差相对于过去发行时的变化。</t>
    <phoneticPr fontId="16" type="noConversion"/>
  </si>
  <si>
    <t>金融工具的利率或其他条款将发生的显著变化</t>
    <phoneticPr fontId="16" type="noConversion"/>
  </si>
  <si>
    <t>若现有金融工具在报告日作为新金融工具源生或发行，该金融工具的利率或其他条款将发生的显著变化（如更严格的合同条款、增加抵押品或担保物或者更高的收益率等）。</t>
    <phoneticPr fontId="16" type="noConversion"/>
  </si>
  <si>
    <t>类似金融工具的信用风险的外部市场指标的显著变化</t>
    <phoneticPr fontId="16" type="noConversion"/>
  </si>
  <si>
    <t>外部信用评级、内部信用评级下调</t>
    <phoneticPr fontId="16" type="noConversion"/>
  </si>
  <si>
    <t>金融工具外部信用评级实际或预期的显著变化。
对借款人实际或预期的内部信用评级下调。
如果内部信用评级可与外部评级相对应或可通过违约调查予以证实，则更为可靠。</t>
    <phoneticPr fontId="16" type="noConversion"/>
  </si>
  <si>
    <t>借款人业务、财务或外部经济状况的不利变化</t>
    <phoneticPr fontId="16" type="noConversion"/>
  </si>
  <si>
    <t>预期将导致借款人履行其偿债义务的能力发生显著变化的业务、财务或外部经济状况的不利变化。例如，实际或预期的利率上升，实际或预期的失业率显著上升。</t>
    <phoneticPr fontId="16" type="noConversion"/>
  </si>
  <si>
    <t>借款人经营成果实际或预期的显著变化</t>
    <phoneticPr fontId="16" type="noConversion"/>
  </si>
  <si>
    <t>例如，借款人收入或毛利率下降、经营风险增加、营运资金短缺、资产质量下降、杠杆率上升、流动比率下降、管理出现问题、业务范围或组织结构变更（例如某些业务分部终止经营）。</t>
    <phoneticPr fontId="16" type="noConversion"/>
  </si>
  <si>
    <t>借款人所处的监管、经济或技术环境的显著不利变化</t>
    <phoneticPr fontId="16" type="noConversion"/>
  </si>
  <si>
    <t>例如，技术变革导致对借款人产品的需求下降。</t>
    <phoneticPr fontId="16" type="noConversion"/>
  </si>
  <si>
    <t>其他金融工具的信用风险的不利变化</t>
    <phoneticPr fontId="16" type="noConversion"/>
  </si>
  <si>
    <t>同一借款人发行的其他金融工具的信用风险显著增加。</t>
    <phoneticPr fontId="16" type="noConversion"/>
  </si>
  <si>
    <t>担保或信用增级质量的显著变化</t>
    <phoneticPr fontId="16" type="noConversion"/>
  </si>
  <si>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phoneticPr fontId="16" type="noConversion"/>
  </si>
  <si>
    <t>借款人还款的经济动机的显著变化</t>
    <phoneticPr fontId="16" type="noConversion"/>
  </si>
  <si>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phoneticPr fontId="16" type="noConversion"/>
  </si>
  <si>
    <t>借款合同的预期变更</t>
    <phoneticPr fontId="16" type="noConversion"/>
  </si>
  <si>
    <t>包括预计违反合同的行为可能导致的合同义务的免除或修订、给予免息期、利率跳升、要求追加抵押品或担保或者对金融工具的合同框架做出其他变更。</t>
    <phoneticPr fontId="16" type="noConversion"/>
  </si>
  <si>
    <t>借款人预期表现和还款行为的显著变化</t>
    <phoneticPr fontId="16" type="noConversion"/>
  </si>
  <si>
    <t>例如，一组贷款资产中延期还款的数量或金额增加、接近授信额度或每月最低还款额的信用卡持有人的预期数量增加。</t>
    <phoneticPr fontId="16" type="noConversion"/>
  </si>
  <si>
    <t>企业对金融工具信用管理方法的变化</t>
    <phoneticPr fontId="16" type="noConversion"/>
  </si>
  <si>
    <t>例如，企业信用风险管理实务预计将变得更为积极或者对该金融工具更加侧重，包括更密切地监控或更紧密地控制有关金融工具、对借款人实施特别干预。</t>
    <phoneticPr fontId="16" type="noConversion"/>
  </si>
  <si>
    <t>逾期信息</t>
    <phoneticPr fontId="16" type="noConversion"/>
  </si>
  <si>
    <t>根据金融工具的性质，企业可以单项金融工具或金融工具组合为基础评估信用风险是否显著增加。以金融工具组合为基础进行评估时，可基于共同信用风险特征对金融工具进行分类，例如逾期信息和信用风险评级。</t>
    <phoneticPr fontId="16" type="noConversion"/>
  </si>
  <si>
    <t>分析结论</t>
    <phoneticPr fontId="16" type="noConversion"/>
  </si>
  <si>
    <t>（二）是否具有较低信用风险</t>
    <phoneticPr fontId="16" type="noConversion"/>
  </si>
  <si>
    <t>对于在资产负债表日具有较低信用风险的金融工具，企业可以不用与其初始确认时的信用风险进行比较，而直接做出该工具的信用风险自初始确认后未显著增加的假定。</t>
    <phoneticPr fontId="16" type="noConversion"/>
  </si>
  <si>
    <t>组合：</t>
    <phoneticPr fontId="16" type="noConversion"/>
  </si>
  <si>
    <t>序号</t>
    <phoneticPr fontId="16" type="noConversion"/>
  </si>
  <si>
    <t>条件（同时满足）</t>
    <phoneticPr fontId="16" type="noConversion"/>
  </si>
  <si>
    <t>金融工具的违约风险较低</t>
    <phoneticPr fontId="16" type="noConversion"/>
  </si>
  <si>
    <t>借款人在短期内履行其支付合同现金流量义务的能力很强</t>
    <phoneticPr fontId="16" type="noConversion"/>
  </si>
  <si>
    <t>即使较长时期内经济形势和经营环境存在不利变化，也不一定会降低借款人履行其支付合同现金流量义务的能力</t>
    <phoneticPr fontId="16" type="noConversion"/>
  </si>
  <si>
    <t>如果一项金融工具具有“投资级”以上的外部信用评级，则该工具可能被视为具有较低信用风险。</t>
    <phoneticPr fontId="16" type="noConversion"/>
  </si>
  <si>
    <t>（三）已发生信用减值的评估</t>
    <phoneticPr fontId="16" type="noConversion"/>
  </si>
  <si>
    <t>当对金融资产预期未来现金流量具有不利影响的一项或多项事件发生时，该金融资产成为已发生信用减值的金融资产。</t>
    <phoneticPr fontId="16" type="noConversion"/>
  </si>
  <si>
    <t>当对金融资产预期未来现金流量具有不利影响的一项或多项事件发生时，该金融资产成为已发生信用减值的金融资产。</t>
    <phoneticPr fontId="16" type="noConversion"/>
  </si>
  <si>
    <t>可观察信息</t>
    <phoneticPr fontId="16" type="noConversion"/>
  </si>
  <si>
    <t>金融资产发生信用减值，有可能是多个事件的共同作用所致，未必是可单独识别的事件所致。</t>
    <phoneticPr fontId="16" type="noConversion"/>
  </si>
  <si>
    <t>发行方或债务人发生重大财务困难；</t>
    <phoneticPr fontId="16" type="noConversion"/>
  </si>
  <si>
    <t>债务人违反合同，如偿付利息或本金违约或逾期等；</t>
    <phoneticPr fontId="16" type="noConversion"/>
  </si>
  <si>
    <t>债权人出于与债务人财务困难有关的经济或合同考虑，给予债务人在任何其他情况下都不会做出的让步；</t>
    <phoneticPr fontId="16" type="noConversion"/>
  </si>
  <si>
    <t>债务人很可能破产或进行其他财务重组；</t>
    <phoneticPr fontId="16" type="noConversion"/>
  </si>
  <si>
    <t>发行方或债务人财务困难导致该金融资产的活跃市场消失；</t>
    <phoneticPr fontId="16" type="noConversion"/>
  </si>
  <si>
    <t>以大幅折扣购买或源生一项金融资产，该折扣反映了发生信用损失的事实。</t>
    <phoneticPr fontId="16" type="noConversion"/>
  </si>
  <si>
    <t>编制说明【非打印内容】：</t>
  </si>
  <si>
    <t>可能采用的共同信用风险特征包括：金融工具类型、信用风险评级、担保物类型、初始确认日期、剩余合同期限、债务人所处行业、债务人所处地理位置等。</t>
    <phoneticPr fontId="16" type="noConversion"/>
  </si>
  <si>
    <t>实务中，常见的确定组合的依据包括：债务人类型（政府机关、关联方）、款项性质（如押金和保证金、员工备用金）等。</t>
    <phoneticPr fontId="16" type="noConversion"/>
  </si>
  <si>
    <t>信用减值损失会计政策检查</t>
    <phoneticPr fontId="16" type="noConversion"/>
  </si>
  <si>
    <t>页  次：</t>
    <phoneticPr fontId="16" type="noConversion"/>
  </si>
  <si>
    <r>
      <rPr>
        <b/>
        <sz val="10"/>
        <rFont val="宋体"/>
        <family val="3"/>
        <charset val="134"/>
      </rPr>
      <t>一、审计目标：</t>
    </r>
    <phoneticPr fontId="16" type="noConversion"/>
  </si>
  <si>
    <r>
      <rPr>
        <b/>
        <sz val="10"/>
        <rFont val="宋体"/>
        <family val="3"/>
        <charset val="134"/>
      </rPr>
      <t>二、审计过程：</t>
    </r>
    <phoneticPr fontId="16" type="noConversion"/>
  </si>
  <si>
    <t>初始确认日期、剩余合同期限、债务人所处行业、债务人所处地理位置、</t>
    <phoneticPr fontId="16" type="noConversion"/>
  </si>
  <si>
    <t>担保品相对于金融资产的价值等。</t>
    <phoneticPr fontId="16" type="noConversion"/>
  </si>
  <si>
    <t>中国中铁</t>
    <phoneticPr fontId="16" type="noConversion"/>
  </si>
  <si>
    <r>
      <rPr>
        <b/>
        <sz val="10"/>
        <rFont val="宋体"/>
        <family val="3"/>
        <charset val="134"/>
      </rPr>
      <t>三、审计说明：</t>
    </r>
    <phoneticPr fontId="16" type="noConversion"/>
  </si>
  <si>
    <r>
      <rPr>
        <b/>
        <sz val="10"/>
        <rFont val="宋体"/>
        <family val="3"/>
        <charset val="134"/>
      </rPr>
      <t>四、审计结论：</t>
    </r>
    <phoneticPr fontId="16" type="noConversion"/>
  </si>
  <si>
    <t>被审计单位坏账准备的计提相关的会计政策和会计估计与企业会计准则的规定一致，反映了被审计单位经济业务的实际情况，与同行业公司相比不存在显著差异，且坏账准备政策得到一贯性地执行。</t>
    <phoneticPr fontId="16" type="noConversion"/>
  </si>
  <si>
    <t>当单项其他应收款、长期应收款无法以合理成本评估预期信用损失的信息时，本公司依据信用风险特征将其他应收款、长期应收款划分为若干组合，在组合基础上计算预期信用损失：</t>
    <phoneticPr fontId="16" type="noConversion"/>
  </si>
  <si>
    <t>确定组合的依据如下：</t>
    <phoneticPr fontId="16" type="noConversion"/>
  </si>
  <si>
    <t>海螺水泥</t>
    <phoneticPr fontId="16" type="noConversion"/>
  </si>
  <si>
    <t>对于单项测试未发生减值的其他应收款，本集团会将其包括在具有类似信用风险特征的其他应收款组合中再进行减值测试。
确认组合的依据：
组合1  除政府代垫款及银行委托理财产品以外的其他应收款 
组合2  政府代垫款 
组合3  银行委托理财产品</t>
    <phoneticPr fontId="16" type="noConversion"/>
  </si>
  <si>
    <t>北辰实业</t>
    <phoneticPr fontId="16" type="noConversion"/>
  </si>
  <si>
    <t>当单项金融资产无法以合理成本评估预期信用损失的信息时，本集团依据信用风险特征将应收款项划分为若干组合，在组合基础上计算预期信用损失，确定组合的依据如下：
其他应收款组合1  应收押金、保证金及备用金
其他应收款组合2  应收关联公司款项
其他应收款组合3  应收少数股东款项
其他应收款组合4  应收代垫款项
其他应收款组合5  应收其他款项
对于划分为组合的其他应收款、长期应收款，本集团参考历史信用损失经验，结合当前状况以及对未来经济状况的预测，通过违约风险敞口和未来12个月内或整个存续期预期信用损失率，计算预期信用损失。</t>
    <phoneticPr fontId="16" type="noConversion"/>
  </si>
  <si>
    <t>拉夏贝尔</t>
    <phoneticPr fontId="16" type="noConversion"/>
  </si>
  <si>
    <t>对于在资产负债表日具有较低信用风险的金融工具，本集团假设其信用风险自初始确认后并未显著增加，按照未来12个月内的预期信用损失计量损失准备。
当单项资产无法以合理成本评估预期信用损失的信息时，本集团依据信用风险特征将应收款项划分为若干组合，确定组合的依据如下：
其他应收款组合 — 押金和保证金
其他应收款组合 — 员工备用金及其他
其他应收款组合 — 应收子公司款项
其他应收款组合 — 应收股利款
其他应收款组合 — 应收定期存款利息
对于划分为组合的其他应收款，本集团参考历史信用损失经验，结合当前状况以及对未来经济状况的预测，通过违约风险敞口和未来12个月内或整个存续期预期信用损失率，计算预期信用损失。</t>
    <phoneticPr fontId="16" type="noConversion"/>
  </si>
  <si>
    <t>上海医药</t>
    <phoneticPr fontId="16" type="noConversion"/>
  </si>
  <si>
    <t>上海电气</t>
    <phoneticPr fontId="16" type="noConversion"/>
  </si>
  <si>
    <t>账龄</t>
  </si>
  <si>
    <t>1年以内</t>
  </si>
  <si>
    <t>5年以上</t>
  </si>
  <si>
    <t>预期信用损失率</t>
    <phoneticPr fontId="16" type="noConversion"/>
  </si>
  <si>
    <r>
      <rPr>
        <b/>
        <sz val="10"/>
        <rFont val="宋体"/>
        <family val="3"/>
        <charset val="134"/>
      </rPr>
      <t>一、审计目标</t>
    </r>
    <phoneticPr fontId="16" type="noConversion"/>
  </si>
  <si>
    <r>
      <rPr>
        <b/>
        <sz val="10"/>
        <rFont val="宋体"/>
        <family val="3"/>
        <charset val="134"/>
      </rPr>
      <t>二、审计过程</t>
    </r>
    <phoneticPr fontId="16" type="noConversion"/>
  </si>
  <si>
    <t>合理性分析</t>
    <phoneticPr fontId="16" type="noConversion"/>
  </si>
  <si>
    <t>索引号</t>
    <phoneticPr fontId="16" type="noConversion"/>
  </si>
  <si>
    <t>合理性分析</t>
    <phoneticPr fontId="16" type="noConversion"/>
  </si>
  <si>
    <t>索引号</t>
    <phoneticPr fontId="16" type="noConversion"/>
  </si>
  <si>
    <t>三、审计说明</t>
    <phoneticPr fontId="16" type="noConversion"/>
  </si>
  <si>
    <t>四、审计结论</t>
    <phoneticPr fontId="16" type="noConversion"/>
  </si>
  <si>
    <t>确定其他应收款坏账准备计提是否充分，应收账款转回、收回、转销是否恰当。</t>
    <phoneticPr fontId="16" type="noConversion"/>
  </si>
  <si>
    <t>其他应收款的性质</t>
    <phoneticPr fontId="16" type="noConversion"/>
  </si>
  <si>
    <t>是否关联方往来</t>
    <phoneticPr fontId="16" type="noConversion"/>
  </si>
  <si>
    <r>
      <rPr>
        <b/>
        <sz val="10"/>
        <rFont val="宋体"/>
        <family val="3"/>
        <charset val="134"/>
      </rPr>
      <t>期初余额</t>
    </r>
    <phoneticPr fontId="16" type="noConversion"/>
  </si>
  <si>
    <r>
      <rPr>
        <b/>
        <sz val="10"/>
        <rFont val="宋体"/>
        <family val="3"/>
        <charset val="134"/>
      </rPr>
      <t>本期借方</t>
    </r>
    <phoneticPr fontId="16" type="noConversion"/>
  </si>
  <si>
    <r>
      <rPr>
        <b/>
        <sz val="10"/>
        <rFont val="宋体"/>
        <family val="3"/>
        <charset val="134"/>
      </rPr>
      <t>本期贷方</t>
    </r>
    <phoneticPr fontId="16" type="noConversion"/>
  </si>
  <si>
    <t>期末未审余额</t>
    <phoneticPr fontId="16" type="noConversion"/>
  </si>
  <si>
    <r>
      <rPr>
        <b/>
        <sz val="10"/>
        <rFont val="宋体"/>
        <family val="3"/>
        <charset val="134"/>
      </rPr>
      <t>经济业务说明</t>
    </r>
    <phoneticPr fontId="16" type="noConversion"/>
  </si>
  <si>
    <r>
      <rPr>
        <b/>
        <sz val="10"/>
        <rFont val="宋体"/>
        <family val="3"/>
        <charset val="134"/>
      </rPr>
      <t>关联方（√）</t>
    </r>
    <phoneticPr fontId="16" type="noConversion"/>
  </si>
  <si>
    <r>
      <rPr>
        <b/>
        <sz val="10"/>
        <rFont val="宋体"/>
        <family val="3"/>
        <charset val="134"/>
      </rPr>
      <t>协议或合同索引</t>
    </r>
    <phoneticPr fontId="16" type="noConversion"/>
  </si>
  <si>
    <t>无需打印</t>
    <phoneticPr fontId="16" type="noConversion"/>
  </si>
  <si>
    <r>
      <rPr>
        <sz val="10"/>
        <rFont val="宋体"/>
        <family val="3"/>
        <charset val="134"/>
      </rPr>
      <t>期初余额</t>
    </r>
    <phoneticPr fontId="16" type="noConversion"/>
  </si>
  <si>
    <r>
      <rPr>
        <sz val="10"/>
        <rFont val="宋体"/>
        <family val="3"/>
        <charset val="134"/>
      </rPr>
      <t>期初余额在本期</t>
    </r>
    <phoneticPr fontId="16" type="noConversion"/>
  </si>
  <si>
    <r>
      <t>--</t>
    </r>
    <r>
      <rPr>
        <sz val="10"/>
        <rFont val="宋体"/>
        <family val="3"/>
        <charset val="134"/>
      </rPr>
      <t>转入第二阶段</t>
    </r>
  </si>
  <si>
    <r>
      <t>--</t>
    </r>
    <r>
      <rPr>
        <sz val="10"/>
        <rFont val="宋体"/>
        <family val="3"/>
        <charset val="134"/>
      </rPr>
      <t>转入第三阶段</t>
    </r>
  </si>
  <si>
    <r>
      <t>--</t>
    </r>
    <r>
      <rPr>
        <sz val="10"/>
        <rFont val="宋体"/>
        <family val="3"/>
        <charset val="134"/>
      </rPr>
      <t>转回第二阶段</t>
    </r>
  </si>
  <si>
    <r>
      <t>--</t>
    </r>
    <r>
      <rPr>
        <sz val="10"/>
        <rFont val="宋体"/>
        <family val="3"/>
        <charset val="134"/>
      </rPr>
      <t>转回第一阶段</t>
    </r>
  </si>
  <si>
    <r>
      <rPr>
        <sz val="10"/>
        <rFont val="宋体"/>
        <family val="3"/>
        <charset val="134"/>
      </rPr>
      <t>本期计提</t>
    </r>
  </si>
  <si>
    <r>
      <rPr>
        <sz val="10"/>
        <rFont val="宋体"/>
        <family val="3"/>
        <charset val="134"/>
      </rPr>
      <t>本期转回</t>
    </r>
  </si>
  <si>
    <r>
      <rPr>
        <sz val="10"/>
        <rFont val="宋体"/>
        <family val="3"/>
        <charset val="134"/>
      </rPr>
      <t>本期核销</t>
    </r>
  </si>
  <si>
    <r>
      <rPr>
        <sz val="10"/>
        <rFont val="宋体"/>
        <family val="3"/>
        <charset val="134"/>
      </rPr>
      <t>合并范围变化</t>
    </r>
    <phoneticPr fontId="16" type="noConversion"/>
  </si>
  <si>
    <r>
      <rPr>
        <sz val="10"/>
        <rFont val="宋体"/>
        <family val="3"/>
        <charset val="134"/>
      </rPr>
      <t>其他变动</t>
    </r>
  </si>
  <si>
    <r>
      <rPr>
        <b/>
        <sz val="10"/>
        <rFont val="宋体"/>
        <family val="3"/>
        <charset val="134"/>
      </rPr>
      <t>第一阶段</t>
    </r>
  </si>
  <si>
    <r>
      <rPr>
        <b/>
        <sz val="10"/>
        <rFont val="宋体"/>
        <family val="3"/>
        <charset val="134"/>
      </rPr>
      <t>第二阶段</t>
    </r>
  </si>
  <si>
    <r>
      <rPr>
        <b/>
        <sz val="10"/>
        <rFont val="宋体"/>
        <family val="3"/>
        <charset val="134"/>
      </rPr>
      <t>第三阶段</t>
    </r>
  </si>
  <si>
    <r>
      <rPr>
        <b/>
        <sz val="10"/>
        <rFont val="宋体"/>
        <family val="3"/>
        <charset val="134"/>
      </rPr>
      <t>未来</t>
    </r>
    <r>
      <rPr>
        <b/>
        <sz val="10"/>
        <rFont val="Arial Narrow"/>
        <family val="2"/>
      </rPr>
      <t>12</t>
    </r>
    <r>
      <rPr>
        <b/>
        <sz val="10"/>
        <rFont val="宋体"/>
        <family val="3"/>
        <charset val="134"/>
      </rPr>
      <t>个月预期信用损失</t>
    </r>
  </si>
  <si>
    <r>
      <rPr>
        <b/>
        <sz val="10"/>
        <rFont val="宋体"/>
        <family val="3"/>
        <charset val="134"/>
      </rPr>
      <t>整个存续期预期信用损失</t>
    </r>
    <r>
      <rPr>
        <b/>
        <sz val="10"/>
        <rFont val="Arial Narrow"/>
        <family val="2"/>
      </rPr>
      <t>(</t>
    </r>
    <r>
      <rPr>
        <b/>
        <sz val="10"/>
        <rFont val="宋体"/>
        <family val="3"/>
        <charset val="134"/>
      </rPr>
      <t>未发生信用减值</t>
    </r>
    <r>
      <rPr>
        <b/>
        <sz val="10"/>
        <rFont val="Arial Narrow"/>
        <family val="2"/>
      </rPr>
      <t>)</t>
    </r>
  </si>
  <si>
    <r>
      <rPr>
        <b/>
        <sz val="10"/>
        <rFont val="宋体"/>
        <family val="3"/>
        <charset val="134"/>
      </rPr>
      <t>整个存续期预期信用损失</t>
    </r>
    <r>
      <rPr>
        <b/>
        <sz val="10"/>
        <rFont val="Arial Narrow"/>
        <family val="2"/>
      </rPr>
      <t>(</t>
    </r>
    <r>
      <rPr>
        <b/>
        <sz val="10"/>
        <rFont val="宋体"/>
        <family val="3"/>
        <charset val="134"/>
      </rPr>
      <t>已发生信用减值</t>
    </r>
    <r>
      <rPr>
        <b/>
        <sz val="10"/>
        <rFont val="Arial Narrow"/>
        <family val="2"/>
      </rPr>
      <t>)</t>
    </r>
  </si>
  <si>
    <t>--</t>
    <phoneticPr fontId="16" type="noConversion"/>
  </si>
  <si>
    <r>
      <rPr>
        <b/>
        <sz val="10"/>
        <rFont val="宋体"/>
        <family val="3"/>
        <charset val="134"/>
      </rPr>
      <t>期末余额</t>
    </r>
    <phoneticPr fontId="16" type="noConversion"/>
  </si>
  <si>
    <t>勾稽检查</t>
    <phoneticPr fontId="16" type="noConversion"/>
  </si>
  <si>
    <r>
      <rPr>
        <b/>
        <sz val="10"/>
        <rFont val="宋体"/>
        <family val="3"/>
        <charset val="134"/>
      </rPr>
      <t>合计</t>
    </r>
    <phoneticPr fontId="16" type="noConversion"/>
  </si>
  <si>
    <r>
      <rPr>
        <b/>
        <sz val="10"/>
        <rFont val="宋体"/>
        <family val="3"/>
        <charset val="134"/>
      </rPr>
      <t>坏账准备</t>
    </r>
    <phoneticPr fontId="16" type="noConversion"/>
  </si>
  <si>
    <t>其他应收款－坏账准备转回、收回、核销检查表</t>
    <phoneticPr fontId="16" type="noConversion"/>
  </si>
  <si>
    <t>（一）其他应收款原值</t>
    <phoneticPr fontId="16" type="noConversion"/>
  </si>
  <si>
    <t>（二）其他应收款坏账准备</t>
    <phoneticPr fontId="16" type="noConversion"/>
  </si>
  <si>
    <t>（三）其他应收款净值</t>
    <phoneticPr fontId="16" type="noConversion"/>
  </si>
  <si>
    <t>账面余额</t>
  </si>
  <si>
    <t>致同会计师事务所</t>
    <phoneticPr fontId="16" type="noConversion"/>
  </si>
  <si>
    <t>其他应收款实质性程序</t>
    <phoneticPr fontId="16" type="noConversion"/>
  </si>
  <si>
    <t>存在</t>
    <phoneticPr fontId="16" type="noConversion"/>
  </si>
  <si>
    <t>√</t>
    <phoneticPr fontId="16" type="noConversion"/>
  </si>
  <si>
    <t>三、计划实施的实质性程序</t>
    <phoneticPr fontId="16" type="noConversion"/>
  </si>
  <si>
    <r>
      <rPr>
        <b/>
        <sz val="10"/>
        <rFont val="宋体"/>
        <family val="3"/>
        <charset val="134"/>
      </rPr>
      <t>程序分类</t>
    </r>
    <phoneticPr fontId="16" type="noConversion"/>
  </si>
  <si>
    <t>常规★</t>
    <phoneticPr fontId="16" type="noConversion"/>
  </si>
  <si>
    <t>1</t>
    <phoneticPr fontId="16" type="noConversion"/>
  </si>
  <si>
    <t>坏账准备</t>
  </si>
  <si>
    <t>一、其他应收款</t>
    <phoneticPr fontId="16" type="noConversion"/>
  </si>
  <si>
    <t>关联方类别设置（以下内容请根据实际情况修改）：</t>
    <phoneticPr fontId="16" type="noConversion"/>
  </si>
  <si>
    <t>关联方（合并范围内）</t>
    <phoneticPr fontId="16" type="noConversion"/>
  </si>
  <si>
    <t>关联方（合并范围外）</t>
    <phoneticPr fontId="16" type="noConversion"/>
  </si>
  <si>
    <t>非关联方</t>
    <phoneticPr fontId="16" type="noConversion"/>
  </si>
  <si>
    <t>……</t>
    <phoneticPr fontId="16" type="noConversion"/>
  </si>
  <si>
    <t>期初审定</t>
  </si>
  <si>
    <t>期初账项调整</t>
    <phoneticPr fontId="16" type="noConversion"/>
  </si>
  <si>
    <t>期初重分类调整</t>
    <phoneticPr fontId="16" type="noConversion"/>
  </si>
  <si>
    <t>期初未审数</t>
    <phoneticPr fontId="20" type="noConversion"/>
  </si>
  <si>
    <t>其他应收款余额期末审定数</t>
    <phoneticPr fontId="20" type="noConversion"/>
  </si>
  <si>
    <t>期初审定账龄</t>
    <phoneticPr fontId="16" type="noConversion"/>
  </si>
  <si>
    <t>期末审定账龄</t>
    <phoneticPr fontId="20" type="noConversion"/>
  </si>
  <si>
    <t>其他组合</t>
    <phoneticPr fontId="16" type="noConversion"/>
  </si>
  <si>
    <t>调整事项说明</t>
    <phoneticPr fontId="16" type="noConversion"/>
  </si>
  <si>
    <t>类别（报表调整/账项调整/其他）</t>
    <phoneticPr fontId="16" type="noConversion"/>
  </si>
  <si>
    <t>科目名称</t>
    <phoneticPr fontId="16" type="noConversion"/>
  </si>
  <si>
    <t>附注项目</t>
    <phoneticPr fontId="16" type="noConversion"/>
  </si>
  <si>
    <t>借方调整金额</t>
    <phoneticPr fontId="16" type="noConversion"/>
  </si>
  <si>
    <t>贷方调整金额</t>
    <phoneticPr fontId="16" type="noConversion"/>
  </si>
  <si>
    <t>索引</t>
    <phoneticPr fontId="16" type="noConversion"/>
  </si>
  <si>
    <t>其他应收款调整分录汇总表</t>
    <phoneticPr fontId="16" type="noConversion"/>
  </si>
  <si>
    <t>差异：</t>
    <phoneticPr fontId="16" type="noConversion"/>
  </si>
  <si>
    <t>其他应收款</t>
  </si>
  <si>
    <t>其他应收款</t>
    <phoneticPr fontId="16" type="noConversion"/>
  </si>
  <si>
    <t>账 龄</t>
  </si>
  <si>
    <t>期末数</t>
  </si>
  <si>
    <t>上年年末数</t>
  </si>
  <si>
    <t>其中：0-X个月</t>
  </si>
  <si>
    <t xml:space="preserve">      X-Y个月</t>
  </si>
  <si>
    <t>1年以内小计：</t>
  </si>
  <si>
    <t>1至2年</t>
  </si>
  <si>
    <t>2至3年</t>
  </si>
  <si>
    <t>3至4年</t>
  </si>
  <si>
    <t>4至5年</t>
  </si>
  <si>
    <t>小  计</t>
  </si>
  <si>
    <t>减：坏账准备</t>
  </si>
  <si>
    <t>② 按款项性质披露</t>
  </si>
  <si>
    <t>项  目</t>
  </si>
  <si>
    <t>账面价值</t>
  </si>
  <si>
    <t>保证金、押金</t>
  </si>
  <si>
    <t>可无限量添加行</t>
  </si>
  <si>
    <t>③ 坏账准备计提情况</t>
  </si>
  <si>
    <t>期末，处于第一阶段的坏账准备：</t>
  </si>
  <si>
    <t>类 别</t>
  </si>
  <si>
    <t>未来12个月内的预期信用损失率(%)</t>
  </si>
  <si>
    <t>理由</t>
  </si>
  <si>
    <t>按单项计提坏账准备</t>
  </si>
  <si>
    <t>　其他应收款单位1</t>
  </si>
  <si>
    <t>　其他应收款单位2</t>
  </si>
  <si>
    <t>按组合计提坏账准备【注意：与会计政策中披露的组合保持一致】</t>
  </si>
  <si>
    <t>　备用金</t>
  </si>
  <si>
    <t>　保证金、押金</t>
  </si>
  <si>
    <t>期末，处于第二阶段的坏账准备：</t>
  </si>
  <si>
    <t>整个存续期预期信用损失率（%）</t>
  </si>
  <si>
    <t>【或】期末，本公司不存在处于第二阶段的应收利息、应收股利和其他应收款【请根据实际情况修改】。</t>
  </si>
  <si>
    <t>期末，处于第三阶段的坏账准备：</t>
  </si>
  <si>
    <t>说明：本期发生损失准备的其他应收款账面余额显著变动的情况。</t>
  </si>
  <si>
    <t>说明：本期坏账准备计提金额以及评估金融工具的信用风险是否显著增加的采用依据</t>
  </si>
  <si>
    <t>上年年末，坏账准备计提情况：</t>
  </si>
  <si>
    <t>处于第一阶段的坏账准备：</t>
  </si>
  <si>
    <t>处于第二阶段的坏账准备：</t>
  </si>
  <si>
    <t>【或】截至上年年末，本公司不存在处于第二阶段的应收利息、应收股利和其他应收款【请根据实际情况修改】。</t>
  </si>
  <si>
    <t>处于第三阶段的坏账准备：</t>
  </si>
  <si>
    <t>④ 本期计提、收回或转回的坏账准备情况</t>
  </si>
  <si>
    <t>第一阶段</t>
  </si>
  <si>
    <t>第二阶段</t>
  </si>
  <si>
    <t>第三阶段</t>
  </si>
  <si>
    <t>合计</t>
  </si>
  <si>
    <t>未来12个月预期信用损失</t>
  </si>
  <si>
    <t>整个存续期预期信用损失(未发生信用减值)</t>
  </si>
  <si>
    <t>整个存续期预期信用损失(已发生信用减值)</t>
  </si>
  <si>
    <t>上年年末余额</t>
  </si>
  <si>
    <t>上年年末余额在本期</t>
  </si>
  <si>
    <t>--转入第二阶段</t>
  </si>
  <si>
    <t>--转入第三阶段</t>
  </si>
  <si>
    <t>--转回第二阶段</t>
  </si>
  <si>
    <t>--转回第一阶段</t>
  </si>
  <si>
    <t>本期计提</t>
  </si>
  <si>
    <t>本期转回</t>
  </si>
  <si>
    <t>本期转销</t>
  </si>
  <si>
    <t>本期核销</t>
  </si>
  <si>
    <t>其他变动</t>
  </si>
  <si>
    <t>期末余额</t>
  </si>
  <si>
    <t>其中：本期转回或收回金额重要的坏账准备如下：</t>
  </si>
  <si>
    <t>转回或收回金额</t>
  </si>
  <si>
    <t>（注：本表列报本报告期前已全额计提坏账准备，或计提减值准备的比例较大，但在本期又全额收回或转回，或在本期收回或转回比例较大的其他应收款。对本期通过重组等方式收回的金额重大的其他应收款，则应逐笔列报，金额不重大的，可汇总列报。）</t>
  </si>
  <si>
    <t>⑤ 本期实际核销的其他应收款情况</t>
  </si>
  <si>
    <t>实际核销的其他应收款</t>
  </si>
  <si>
    <t>其中，重要的应收账款核销情况如下（逐项披露）：</t>
  </si>
  <si>
    <t>应收账款性质</t>
  </si>
  <si>
    <t>款项是否由关联交易产生</t>
  </si>
  <si>
    <t>【15号文第十九条（五）3，对于其中重要的应收款项，应逐项披露款项性质、核销原因、履行的核销程序及核销金额。实际核销的款项由关联交易产生的，应单独披露；】</t>
  </si>
  <si>
    <t>说明：</t>
  </si>
  <si>
    <t>⑥ 按欠款方归集的其他应收款期末余额前五名单位情况</t>
  </si>
  <si>
    <t>款项性质</t>
  </si>
  <si>
    <t>其他应收款期末余额</t>
  </si>
  <si>
    <t>占其他应收款期末余额合计数的比例(%)</t>
  </si>
  <si>
    <t>坏账准备期末余额</t>
  </si>
  <si>
    <t>【按欠款方归集的期末余额前五名的其他应收款，应分别披露欠款方名称、期末余额及占其他应收款期末余额合计数的比例、款项的性质、对应的账龄、坏账准备期末余额；】</t>
  </si>
  <si>
    <t>单位名称（注：政府补助的发文单位）</t>
  </si>
  <si>
    <t>政府补助项目名称</t>
  </si>
  <si>
    <t>预计收取的时间、金额及依据</t>
  </si>
  <si>
    <t>说明：（信息披露解释性公告2号要求：对于报告期末按应收金额确认的政府补助，公司应按补助单位和补助项目逐项披露应收款项的期末余额、账龄以及预计收取的时间、金额及依据。如公司未能在预计时点收到预计金额的政府补助，公司应披露原因。）</t>
  </si>
  <si>
    <t>【确认应收款项时，应履行重大业务咨询程序。】</t>
  </si>
  <si>
    <t>【因金融资产转移而终止确认的应收款项，应列示金融资产转移的方式、终止确认的应收款项金额，及与终止确认相关的利得或损失；】</t>
  </si>
  <si>
    <t>转移方式</t>
  </si>
  <si>
    <t>终止确认金额</t>
  </si>
  <si>
    <t>与终止确认相关的利得或损失</t>
  </si>
  <si>
    <t>【转移应收款项且继续涉入的，应披露资产转移方式、分项列示继续涉入形成的资产、负债的金额。】</t>
  </si>
  <si>
    <t>资产：</t>
  </si>
  <si>
    <t>资产小计</t>
  </si>
  <si>
    <t>负债：</t>
  </si>
  <si>
    <t>负债小计</t>
  </si>
  <si>
    <t>说明：（资产转移方式；未全部终止确认的被转移金融资产与相关负债之间的关系，已终止确认的金融资产继续涉入的性质及相关风险的信息。）</t>
  </si>
  <si>
    <t>① 按账龄披露</t>
  </si>
  <si>
    <t>账  龄</t>
  </si>
  <si>
    <t>期初数</t>
  </si>
  <si>
    <t>1年以内（含1年）</t>
  </si>
  <si>
    <t>按坏账准备计提方法分类披露其他应收款项</t>
  </si>
  <si>
    <t>类  别</t>
  </si>
  <si>
    <t>金额</t>
  </si>
  <si>
    <t>比例(%)</t>
  </si>
  <si>
    <t>预期信用损失率(%)</t>
  </si>
  <si>
    <t>单项计提坏账准备的其他应收款项</t>
  </si>
  <si>
    <t>按信用风险特征组合计提坏账准备的其他应收款项</t>
  </si>
  <si>
    <t>——</t>
  </si>
  <si>
    <t>续：</t>
  </si>
  <si>
    <t>期初余额</t>
  </si>
  <si>
    <t xml:space="preserve">  ……</t>
  </si>
  <si>
    <t>①  单项计提坏账准备的其他应收款情况</t>
  </si>
  <si>
    <t>债务人名称</t>
  </si>
  <si>
    <t>计提理由</t>
  </si>
  <si>
    <t xml:space="preserve"> </t>
  </si>
  <si>
    <t>②  按信用风险特征组合计提坏账准备的其他应收款</t>
  </si>
  <si>
    <t>账龄组合</t>
  </si>
  <si>
    <t>其他组合</t>
  </si>
  <si>
    <t>组合名称</t>
  </si>
  <si>
    <t>计提比例(%)</t>
  </si>
  <si>
    <t>其他应收款坏账准备计提情况</t>
  </si>
  <si>
    <t>第一阶段未来12个月预期信用损失</t>
  </si>
  <si>
    <t>第二阶段整个存续期预期信用损失（未发生信用减值）</t>
  </si>
  <si>
    <t>第三阶段整个存续期预期信用损失（已发生信用减值）</t>
  </si>
  <si>
    <t>期初余额在本期</t>
  </si>
  <si>
    <t>—转入第二阶段</t>
  </si>
  <si>
    <t>—转入第三阶段</t>
  </si>
  <si>
    <t>—转回第二阶段</t>
  </si>
  <si>
    <t>—转回第一阶段</t>
  </si>
  <si>
    <t>其他应收款项账面余额变动如下：</t>
  </si>
  <si>
    <t>第二阶段整个存续期预期信用损失(未发生信用减值)</t>
  </si>
  <si>
    <t>第三阶段整个存续期预期信用损失(已发生信用减值)</t>
  </si>
  <si>
    <t>本期新增</t>
  </si>
  <si>
    <t>本期终止确认</t>
  </si>
  <si>
    <t>说明：对本期发生损失准备变动的账面余额显著变动的情况说明</t>
  </si>
  <si>
    <t>本期坏账准备计提金额以及评估金融工具的信用风险是否显著增加的采用依据</t>
  </si>
  <si>
    <t>③  收回或转回的坏账准备情况</t>
  </si>
  <si>
    <t>转回或收回前累计已计提坏账准备金额</t>
  </si>
  <si>
    <t>转回或收回原因、方式</t>
  </si>
  <si>
    <t>（注：本表列报本报告期前已全额计提坏账准备，或计提减值准备的比例较大，但在本期又全额收回或转回，或在本期收回或转回比例较大的其他应收款项。对本期通过重组等方式收回的金额重大的其他应收款项，则应逐笔列报，金额不重大的，可汇总列报。）</t>
  </si>
  <si>
    <t>④  本期实际核销的其他应收款项情况</t>
  </si>
  <si>
    <t>其他应收款项性质</t>
  </si>
  <si>
    <t>是否因关联交易产生</t>
  </si>
  <si>
    <t>⑤  按欠款方归集的期末余额前五名的其他应收款项情况</t>
  </si>
  <si>
    <t>占其他应收款项合计的比例（%）</t>
  </si>
  <si>
    <t>⑥  由金融资产转移而终止确认的其他应收款项</t>
  </si>
  <si>
    <t>与终止确认相关的利得或损失（损失以“-”填列）</t>
  </si>
  <si>
    <t>⑦  其他应收款项转移继续涉入形成的资产、负债的金额【如证券化、保理等】</t>
  </si>
  <si>
    <t>期末金额</t>
  </si>
  <si>
    <t>⑧  涉及政府补助的应收款项</t>
  </si>
  <si>
    <t>单位名称
（注：政府补助的发文单位）</t>
  </si>
  <si>
    <t>期末账龄</t>
  </si>
  <si>
    <t>--</t>
    <phoneticPr fontId="16" type="noConversion"/>
  </si>
  <si>
    <t>备用金</t>
    <phoneticPr fontId="16" type="noConversion"/>
  </si>
  <si>
    <r>
      <t>1</t>
    </r>
    <r>
      <rPr>
        <b/>
        <sz val="10"/>
        <rFont val="宋体"/>
        <family val="3"/>
        <charset val="134"/>
      </rPr>
      <t>年以内</t>
    </r>
    <phoneticPr fontId="20" type="noConversion"/>
  </si>
  <si>
    <t>期末坏账准备金额</t>
    <phoneticPr fontId="20" type="noConversion"/>
  </si>
  <si>
    <t>期初坏账准备金额</t>
    <phoneticPr fontId="20" type="noConversion"/>
  </si>
  <si>
    <r>
      <rPr>
        <sz val="10"/>
        <color rgb="FF0000FF"/>
        <rFont val="宋体"/>
        <family val="3"/>
        <charset val="134"/>
      </rPr>
      <t>【负数】</t>
    </r>
  </si>
  <si>
    <r>
      <rPr>
        <sz val="10"/>
        <color rgb="FF0000FF"/>
        <rFont val="宋体"/>
        <family val="3"/>
        <charset val="134"/>
      </rPr>
      <t>【正数】</t>
    </r>
  </si>
  <si>
    <t>（15号文第十九条（四）5.采用一般预期信用损失模型计提坏账准备的应收款项，应分三阶段披露坏账准备计提情况，以及各阶段划分依据和坏账准备计提比例。）</t>
    <phoneticPr fontId="16" type="noConversion"/>
  </si>
  <si>
    <t>⑦ 资金集中管理</t>
    <phoneticPr fontId="16" type="noConversion"/>
  </si>
  <si>
    <t>【提示：考虑对“非经营性资金占有和其他关联资金往来的专项说明”的影响。】</t>
  </si>
  <si>
    <t>披露因资金集中管理而列报于其他应收款的金额及相关情况。（15号文第十九条（五）8.）</t>
  </si>
  <si>
    <t>【提示：根据《企业会计准则解释第15号》，通过内部结算中心、财务公司等对母公司及成员单位资金实行集中统一管理的，对于成员单位归集至集团母公司账户的资金，成员单位应当在资产负债表“其他应收款”项目中列示，或者根据重要性原则并结合本企业的实际情况，在“其他应收款”项目之上增设“应收资金集中管理款”项目单独列示。】</t>
  </si>
  <si>
    <t>⑧ 应收政府补助情况（逐项披露）</t>
    <phoneticPr fontId="16" type="noConversion"/>
  </si>
  <si>
    <t>⑨ 因金融资产转移而终止确认的其他应收款情况</t>
    <phoneticPr fontId="16" type="noConversion"/>
  </si>
  <si>
    <t>⑩ 转移其他应收款且继续涉入形成的资产、负债的金额</t>
    <phoneticPr fontId="16" type="noConversion"/>
  </si>
  <si>
    <t>K1A</t>
  </si>
  <si>
    <t>K1-2</t>
  </si>
  <si>
    <t>K1-7</t>
  </si>
  <si>
    <t>K1-10</t>
  </si>
  <si>
    <t>K1-11</t>
  </si>
  <si>
    <t>K1-12</t>
  </si>
  <si>
    <t>三、其他应收款款项性质分布</t>
    <phoneticPr fontId="16" type="noConversion"/>
  </si>
  <si>
    <t>保证金</t>
    <phoneticPr fontId="16" type="noConversion"/>
  </si>
  <si>
    <t>押金</t>
    <phoneticPr fontId="16" type="noConversion"/>
  </si>
  <si>
    <t>备用金</t>
    <phoneticPr fontId="16" type="noConversion"/>
  </si>
  <si>
    <t>往来款</t>
    <phoneticPr fontId="16" type="noConversion"/>
  </si>
  <si>
    <t>其他</t>
  </si>
  <si>
    <t>索引：</t>
    <phoneticPr fontId="16" type="noConversion"/>
  </si>
  <si>
    <t>索引号：</t>
    <phoneticPr fontId="20" type="noConversion"/>
  </si>
  <si>
    <r>
      <rPr>
        <sz val="10"/>
        <color indexed="8"/>
        <rFont val="宋体"/>
        <family val="3"/>
        <charset val="134"/>
      </rPr>
      <t>索引号：</t>
    </r>
    <phoneticPr fontId="16" type="noConversion"/>
  </si>
  <si>
    <t>索引号：</t>
    <phoneticPr fontId="16" type="noConversion"/>
  </si>
  <si>
    <r>
      <rPr>
        <sz val="10"/>
        <rFont val="宋体"/>
        <family val="3"/>
        <charset val="134"/>
      </rPr>
      <t>页</t>
    </r>
    <r>
      <rPr>
        <sz val="10"/>
        <rFont val="Arial Narrow"/>
        <family val="2"/>
      </rPr>
      <t xml:space="preserve">  </t>
    </r>
    <r>
      <rPr>
        <sz val="10"/>
        <rFont val="宋体"/>
        <family val="3"/>
        <charset val="134"/>
      </rPr>
      <t>次：</t>
    </r>
    <phoneticPr fontId="16" type="noConversion"/>
  </si>
  <si>
    <t>合计</t>
    <phoneticPr fontId="16" type="noConversion"/>
  </si>
  <si>
    <t>从此处开始下方表格为新插入</t>
    <phoneticPr fontId="16" type="noConversion"/>
  </si>
  <si>
    <t>存在</t>
  </si>
  <si>
    <t>完整性</t>
  </si>
  <si>
    <t>权利和义务</t>
  </si>
  <si>
    <t>二、审计目标与认定的对应关系</t>
  </si>
  <si>
    <t>审计目标</t>
    <phoneticPr fontId="16" type="noConversion"/>
  </si>
  <si>
    <t>财务报表的认定</t>
    <phoneticPr fontId="16" type="noConversion"/>
  </si>
  <si>
    <t>完整性</t>
    <phoneticPr fontId="16" type="noConversion"/>
  </si>
  <si>
    <t>权利和
义务</t>
    <phoneticPr fontId="16" type="noConversion"/>
  </si>
  <si>
    <t>底稿索引号</t>
    <phoneticPr fontId="16" type="noConversion"/>
  </si>
  <si>
    <t>√</t>
  </si>
  <si>
    <t>2</t>
    <phoneticPr fontId="16" type="noConversion"/>
  </si>
  <si>
    <t>√</t>
    <phoneticPr fontId="16" type="noConversion"/>
  </si>
  <si>
    <r>
      <rPr>
        <sz val="10"/>
        <color theme="1"/>
        <rFont val="宋体"/>
        <family val="3"/>
        <charset val="134"/>
      </rPr>
      <t>常规★</t>
    </r>
    <phoneticPr fontId="16" type="noConversion"/>
  </si>
  <si>
    <t>3</t>
    <phoneticPr fontId="16" type="noConversion"/>
  </si>
  <si>
    <r>
      <rPr>
        <sz val="10"/>
        <rFont val="宋体"/>
        <family val="3"/>
        <charset val="134"/>
      </rPr>
      <t>备选</t>
    </r>
    <phoneticPr fontId="16" type="noConversion"/>
  </si>
  <si>
    <t>常规★</t>
    <phoneticPr fontId="16" type="noConversion"/>
  </si>
  <si>
    <t>常规★</t>
    <phoneticPr fontId="16" type="noConversion"/>
  </si>
  <si>
    <t>常规★</t>
    <phoneticPr fontId="16" type="noConversion"/>
  </si>
  <si>
    <t>报表项目</t>
    <phoneticPr fontId="16" type="noConversion"/>
  </si>
  <si>
    <t>一、本账户涉及的科目</t>
  </si>
  <si>
    <t>准确性、计价和分摊</t>
  </si>
  <si>
    <t>常规★</t>
    <phoneticPr fontId="48" type="noConversion"/>
  </si>
  <si>
    <t>差异</t>
    <phoneticPr fontId="16" type="noConversion"/>
  </si>
  <si>
    <t>记账凭证</t>
    <phoneticPr fontId="16" type="noConversion"/>
  </si>
  <si>
    <t>日期</t>
  </si>
  <si>
    <t>致同会计师事务所</t>
    <phoneticPr fontId="16" type="noConversion"/>
  </si>
  <si>
    <t>K1-9</t>
  </si>
  <si>
    <t>其他应收款、坏账准备</t>
    <phoneticPr fontId="16" type="noConversion"/>
  </si>
  <si>
    <r>
      <t xml:space="preserve">1. </t>
    </r>
    <r>
      <rPr>
        <sz val="10"/>
        <color indexed="8"/>
        <rFont val="宋体"/>
        <family val="3"/>
        <charset val="134"/>
      </rPr>
      <t>列示科目明细表，关注其他应收款贷方非收款减少和借方其他调整的情况。</t>
    </r>
    <phoneticPr fontId="20" type="noConversion"/>
  </si>
  <si>
    <r>
      <t xml:space="preserve">2. </t>
    </r>
    <r>
      <rPr>
        <sz val="10"/>
        <color indexed="8"/>
        <rFont val="宋体"/>
        <family val="3"/>
        <charset val="134"/>
      </rPr>
      <t>与客户讨论并记录各主要明细项目的性质，并对波动较大的内容进行分析。根据相关审计情况，确定调整事项。</t>
    </r>
    <phoneticPr fontId="16" type="noConversion"/>
  </si>
  <si>
    <t>√</t>
    <phoneticPr fontId="16" type="noConversion"/>
  </si>
  <si>
    <t>√</t>
    <phoneticPr fontId="16"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</si>
  <si>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</si>
  <si>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t>√</t>
    <phoneticPr fontId="16" type="noConversion"/>
  </si>
  <si>
    <t>√</t>
    <phoneticPr fontId="16" type="noConversion"/>
  </si>
  <si>
    <r>
      <rPr>
        <sz val="10"/>
        <rFont val="宋体"/>
        <family val="3"/>
        <charset val="134"/>
      </rPr>
      <t>实施函证程序：
（</t>
    </r>
    <r>
      <rPr>
        <sz val="10"/>
        <rFont val="Arial Narrow"/>
        <family val="2"/>
      </rPr>
      <t>1</t>
    </r>
    <r>
      <rPr>
        <sz val="10"/>
        <rFont val="宋体"/>
        <family val="3"/>
        <charset val="134"/>
      </rPr>
      <t>）以积极方式对其他应收款进行函证，设计询证函、发函前核实被函证单位信息；
（</t>
    </r>
    <r>
      <rPr>
        <sz val="10"/>
        <rFont val="Arial Narrow"/>
        <family val="2"/>
      </rPr>
      <t>2</t>
    </r>
    <r>
      <rPr>
        <sz val="10"/>
        <rFont val="宋体"/>
        <family val="3"/>
        <charset val="134"/>
      </rPr>
      <t>）注册会计师独立收发询证函；
（</t>
    </r>
    <r>
      <rPr>
        <sz val="10"/>
        <rFont val="Arial Narrow"/>
        <family val="2"/>
      </rPr>
      <t>3</t>
    </r>
    <r>
      <rPr>
        <sz val="10"/>
        <rFont val="宋体"/>
        <family val="3"/>
        <charset val="134"/>
      </rPr>
      <t>）编制函证结果汇总表，检查发函、回函物流信息和轨迹、比对回函印章和签字等以核实回函的真实性，检查回函是否相符，对不符事项查明原因确定是否存在错报；
（</t>
    </r>
    <r>
      <rPr>
        <sz val="10"/>
        <rFont val="Arial Narrow"/>
        <family val="2"/>
      </rPr>
      <t>4</t>
    </r>
    <r>
      <rPr>
        <sz val="10"/>
        <rFont val="宋体"/>
        <family val="3"/>
        <charset val="134"/>
      </rPr>
      <t>）如果未收到回函，应当考虑与被询证者联系，要求对方作出回应或再次寄发询证函，无法收到的回函实施替代程序；
（</t>
    </r>
    <r>
      <rPr>
        <sz val="10"/>
        <rFont val="Arial Narrow"/>
        <family val="2"/>
      </rPr>
      <t>5</t>
    </r>
    <r>
      <rPr>
        <sz val="10"/>
        <rFont val="宋体"/>
        <family val="3"/>
        <charset val="134"/>
      </rPr>
      <t>）如果管理层不允许寄发询证函的，询问管理层不允许寄发的原因，并就其原因的正当、合理性收集证据；考虑实施替代审计程序以获取相关、可靠的审计证据；
（</t>
    </r>
    <r>
      <rPr>
        <sz val="10"/>
        <rFont val="Arial Narrow"/>
        <family val="2"/>
      </rPr>
      <t>6</t>
    </r>
    <r>
      <rPr>
        <sz val="10"/>
        <rFont val="宋体"/>
        <family val="3"/>
        <charset val="134"/>
      </rPr>
      <t>）如果管理层不允许寄发询证函的原因不合理、或者认为回函不可靠，评价对评估的重大错报风险以及其他审计程序的性质、时间安排和范围的影响，并确定其对审计工作和审计意见的影响。</t>
    </r>
    <phoneticPr fontId="16" type="noConversion"/>
  </si>
  <si>
    <t>期后收款金额</t>
    <phoneticPr fontId="16" type="noConversion"/>
  </si>
  <si>
    <t>期后收款金额</t>
  </si>
  <si>
    <t>9</t>
  </si>
  <si>
    <t>10</t>
  </si>
  <si>
    <t>二、样本选取标准与规模：</t>
    <phoneticPr fontId="23" type="noConversion"/>
  </si>
  <si>
    <t>三、测试：</t>
    <phoneticPr fontId="23" type="noConversion"/>
  </si>
  <si>
    <t>业务内容</t>
    <phoneticPr fontId="16" type="noConversion"/>
  </si>
  <si>
    <t>对方科目</t>
    <phoneticPr fontId="16" type="noConversion"/>
  </si>
  <si>
    <t>借方金额</t>
    <phoneticPr fontId="16" type="noConversion"/>
  </si>
  <si>
    <t>合计</t>
    <phoneticPr fontId="16" type="noConversion"/>
  </si>
  <si>
    <t>四、审计说明：</t>
    <phoneticPr fontId="23" type="noConversion"/>
  </si>
  <si>
    <t>五、审计结论：</t>
    <phoneticPr fontId="16" type="noConversion"/>
  </si>
  <si>
    <t>索引号：</t>
    <phoneticPr fontId="20" type="noConversion"/>
  </si>
  <si>
    <t>一、审计目标：</t>
    <phoneticPr fontId="23" type="noConversion"/>
  </si>
  <si>
    <r>
      <t>3.</t>
    </r>
    <r>
      <rPr>
        <sz val="10"/>
        <rFont val="宋体"/>
        <family val="3"/>
        <charset val="134"/>
      </rPr>
      <t>其他应收款以恰当的金额包括在财务报表中，与之相关的计价或分摊调整已恰当记录，相关披露已得到恰当计量和描述。</t>
    </r>
    <phoneticPr fontId="16" type="noConversion"/>
  </si>
  <si>
    <t>11</t>
  </si>
  <si>
    <t>常规★</t>
    <phoneticPr fontId="48" type="noConversion"/>
  </si>
  <si>
    <t>√</t>
    <phoneticPr fontId="16" type="noConversion"/>
  </si>
  <si>
    <r>
      <t xml:space="preserve">1. </t>
    </r>
    <r>
      <rPr>
        <sz val="10"/>
        <color indexed="8"/>
        <rFont val="宋体"/>
        <family val="3"/>
        <charset val="134"/>
      </rPr>
      <t>资产负债表中记录的其他应收款、坏账准备是存在的，且已记录于恰当的账户；</t>
    </r>
    <r>
      <rPr>
        <sz val="10"/>
        <color indexed="8"/>
        <rFont val="Arial Narrow"/>
        <family val="2"/>
      </rPr>
      <t/>
    </r>
    <phoneticPr fontId="20" type="noConversion"/>
  </si>
  <si>
    <r>
      <t>2.</t>
    </r>
    <r>
      <rPr>
        <sz val="10"/>
        <color indexed="8"/>
        <rFont val="宋体"/>
        <family val="3"/>
        <charset val="134"/>
      </rPr>
      <t>所有应记录的其他应收款、坏账准备均已记录，所有应当包括在财务报表中的相关披露均已包括；</t>
    </r>
  </si>
  <si>
    <r>
      <t>1</t>
    </r>
    <r>
      <rPr>
        <sz val="10"/>
        <rFont val="宋体"/>
        <family val="3"/>
        <charset val="134"/>
      </rPr>
      <t>年</t>
    </r>
    <r>
      <rPr>
        <sz val="10"/>
        <rFont val="Arial Narrow"/>
        <family val="2"/>
      </rPr>
      <t>-2</t>
    </r>
    <r>
      <rPr>
        <sz val="1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30</t>
    </r>
    <r>
      <rPr>
        <sz val="10"/>
        <color rgb="FFFF0000"/>
        <rFont val="宋体"/>
        <family val="3"/>
        <charset val="134"/>
      </rPr>
      <t>天以内</t>
    </r>
    <phoneticPr fontId="16" type="noConversion"/>
  </si>
  <si>
    <r>
      <t>2</t>
    </r>
    <r>
      <rPr>
        <sz val="10"/>
        <rFont val="宋体"/>
        <family val="3"/>
        <charset val="134"/>
      </rPr>
      <t>年</t>
    </r>
    <r>
      <rPr>
        <sz val="10"/>
        <rFont val="Arial Narrow"/>
        <family val="2"/>
      </rPr>
      <t>-3</t>
    </r>
    <r>
      <rPr>
        <sz val="1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30-90</t>
    </r>
    <r>
      <rPr>
        <sz val="10"/>
        <color rgb="FFFF0000"/>
        <rFont val="宋体"/>
        <family val="3"/>
        <charset val="134"/>
      </rPr>
      <t>天</t>
    </r>
    <phoneticPr fontId="16" type="noConversion"/>
  </si>
  <si>
    <r>
      <t>3</t>
    </r>
    <r>
      <rPr>
        <sz val="10"/>
        <color rgb="FFFF0000"/>
        <rFont val="宋体"/>
        <family val="3"/>
        <charset val="134"/>
      </rPr>
      <t>年</t>
    </r>
    <r>
      <rPr>
        <sz val="10"/>
        <color rgb="FFFF0000"/>
        <rFont val="Arial Narrow"/>
        <family val="2"/>
      </rPr>
      <t>-4</t>
    </r>
    <r>
      <rPr>
        <sz val="10"/>
        <color rgb="FFFF000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90</t>
    </r>
    <r>
      <rPr>
        <sz val="10"/>
        <color rgb="FFFF0000"/>
        <rFont val="宋体"/>
        <family val="3"/>
        <charset val="134"/>
      </rPr>
      <t>天</t>
    </r>
    <r>
      <rPr>
        <sz val="10"/>
        <color rgb="FFFF0000"/>
        <rFont val="Arial Narrow"/>
        <family val="2"/>
      </rPr>
      <t>-1</t>
    </r>
    <r>
      <rPr>
        <sz val="10"/>
        <color rgb="FFFF0000"/>
        <rFont val="宋体"/>
        <family val="3"/>
        <charset val="134"/>
      </rPr>
      <t>年</t>
    </r>
    <phoneticPr fontId="16" type="noConversion"/>
  </si>
  <si>
    <r>
      <t>5</t>
    </r>
    <r>
      <rPr>
        <sz val="10"/>
        <color rgb="FFFF0000"/>
        <rFont val="宋体"/>
        <family val="3"/>
        <charset val="134"/>
      </rPr>
      <t>年以上</t>
    </r>
    <r>
      <rPr>
        <sz val="10"/>
        <color rgb="FFFF0000"/>
        <rFont val="Arial Narrow"/>
        <family val="2"/>
      </rPr>
      <t>/</t>
    </r>
    <r>
      <rPr>
        <sz val="10"/>
        <color rgb="FFFF0000"/>
        <rFont val="宋体"/>
        <family val="3"/>
        <charset val="134"/>
      </rPr>
      <t>逾期</t>
    </r>
    <r>
      <rPr>
        <sz val="10"/>
        <color rgb="FFFF0000"/>
        <rFont val="Arial Narrow"/>
        <family val="2"/>
      </rPr>
      <t>2</t>
    </r>
    <r>
      <rPr>
        <sz val="10"/>
        <color rgb="FFFF0000"/>
        <rFont val="宋体"/>
        <family val="3"/>
        <charset val="134"/>
      </rPr>
      <t>年以上</t>
    </r>
    <phoneticPr fontId="16" type="noConversion"/>
  </si>
  <si>
    <r>
      <t>1</t>
    </r>
    <r>
      <rPr>
        <sz val="10"/>
        <rFont val="宋体"/>
        <family val="3"/>
        <charset val="134"/>
      </rPr>
      <t>年以内</t>
    </r>
    <r>
      <rPr>
        <sz val="10"/>
        <color rgb="FFFF0000"/>
        <rFont val="Arial Narrow"/>
        <family val="2"/>
      </rPr>
      <t>/</t>
    </r>
    <r>
      <rPr>
        <sz val="10"/>
        <color rgb="FFFF0000"/>
        <rFont val="宋体"/>
        <family val="3"/>
        <charset val="134"/>
      </rPr>
      <t>未逾期</t>
    </r>
    <phoneticPr fontId="16" type="noConversion"/>
  </si>
  <si>
    <r>
      <t>4</t>
    </r>
    <r>
      <rPr>
        <sz val="10"/>
        <color rgb="FFFF0000"/>
        <rFont val="宋体"/>
        <family val="3"/>
        <charset val="134"/>
      </rPr>
      <t>年</t>
    </r>
    <r>
      <rPr>
        <sz val="10"/>
        <color rgb="FFFF0000"/>
        <rFont val="Arial Narrow"/>
        <family val="2"/>
      </rPr>
      <t>-5</t>
    </r>
    <r>
      <rPr>
        <sz val="10"/>
        <color rgb="FFFF000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1</t>
    </r>
    <r>
      <rPr>
        <sz val="10"/>
        <color rgb="FFFF0000"/>
        <rFont val="宋体"/>
        <family val="3"/>
        <charset val="134"/>
      </rPr>
      <t>年</t>
    </r>
    <r>
      <rPr>
        <sz val="10"/>
        <color rgb="FFFF0000"/>
        <rFont val="Arial Narrow"/>
        <family val="2"/>
      </rPr>
      <t>-2</t>
    </r>
    <r>
      <rPr>
        <sz val="10"/>
        <color rgb="FFFF0000"/>
        <rFont val="宋体"/>
        <family val="3"/>
        <charset val="134"/>
      </rPr>
      <t>年</t>
    </r>
    <phoneticPr fontId="16" type="noConversion"/>
  </si>
  <si>
    <r>
      <rPr>
        <b/>
        <sz val="10"/>
        <color theme="1"/>
        <rFont val="宋体"/>
        <family val="3"/>
        <charset val="134"/>
      </rPr>
      <t>组合</t>
    </r>
    <r>
      <rPr>
        <b/>
        <sz val="10"/>
        <color theme="1"/>
        <rFont val="Arial Narrow"/>
        <family val="2"/>
      </rPr>
      <t>1</t>
    </r>
    <r>
      <rPr>
        <b/>
        <sz val="10"/>
        <color theme="1"/>
        <rFont val="宋体"/>
        <family val="3"/>
        <charset val="134"/>
      </rPr>
      <t>：</t>
    </r>
    <phoneticPr fontId="16" type="noConversion"/>
  </si>
  <si>
    <r>
      <t>1</t>
    </r>
    <r>
      <rPr>
        <sz val="10"/>
        <rFont val="宋体"/>
        <family val="3"/>
        <charset val="134"/>
      </rPr>
      <t>年</t>
    </r>
    <r>
      <rPr>
        <sz val="10"/>
        <rFont val="Arial Narrow"/>
        <family val="2"/>
      </rPr>
      <t>-2</t>
    </r>
    <r>
      <rPr>
        <sz val="10"/>
        <rFont val="宋体"/>
        <family val="3"/>
        <charset val="134"/>
      </rPr>
      <t>年</t>
    </r>
    <r>
      <rPr>
        <sz val="10"/>
        <color rgb="FFFF0000"/>
        <rFont val="Arial Narrow"/>
        <family val="2"/>
      </rPr>
      <t>/</t>
    </r>
    <r>
      <rPr>
        <sz val="10"/>
        <color rgb="FFFF0000"/>
        <rFont val="宋体"/>
        <family val="3"/>
        <charset val="134"/>
      </rPr>
      <t>逾期</t>
    </r>
    <r>
      <rPr>
        <sz val="10"/>
        <color rgb="FFFF0000"/>
        <rFont val="Arial Narrow"/>
        <family val="2"/>
      </rPr>
      <t>30</t>
    </r>
    <r>
      <rPr>
        <sz val="10"/>
        <color rgb="FFFF0000"/>
        <rFont val="宋体"/>
        <family val="3"/>
        <charset val="134"/>
      </rPr>
      <t>天以内</t>
    </r>
    <phoneticPr fontId="16" type="noConversion"/>
  </si>
  <si>
    <r>
      <t>5</t>
    </r>
    <r>
      <rPr>
        <sz val="10"/>
        <color rgb="FFFF0000"/>
        <rFont val="宋体"/>
        <family val="3"/>
        <charset val="134"/>
      </rPr>
      <t>年以上</t>
    </r>
    <r>
      <rPr>
        <sz val="10"/>
        <color rgb="FFFF0000"/>
        <rFont val="Arial Narrow"/>
        <family val="2"/>
      </rPr>
      <t>/</t>
    </r>
    <r>
      <rPr>
        <sz val="10"/>
        <color rgb="FFFF0000"/>
        <rFont val="宋体"/>
        <family val="3"/>
        <charset val="134"/>
      </rPr>
      <t>逾期</t>
    </r>
    <r>
      <rPr>
        <sz val="10"/>
        <color rgb="FFFF0000"/>
        <rFont val="Arial Narrow"/>
        <family val="2"/>
      </rPr>
      <t>2</t>
    </r>
    <r>
      <rPr>
        <sz val="10"/>
        <color rgb="FFFF0000"/>
        <rFont val="宋体"/>
        <family val="3"/>
        <charset val="134"/>
      </rPr>
      <t>年以上</t>
    </r>
    <phoneticPr fontId="16" type="noConversion"/>
  </si>
  <si>
    <r>
      <rPr>
        <b/>
        <sz val="10"/>
        <color theme="1"/>
        <rFont val="宋体"/>
        <family val="3"/>
        <charset val="134"/>
      </rPr>
      <t>组合</t>
    </r>
    <r>
      <rPr>
        <b/>
        <sz val="10"/>
        <color theme="1"/>
        <rFont val="Arial Narrow"/>
        <family val="2"/>
      </rPr>
      <t>2</t>
    </r>
    <r>
      <rPr>
        <b/>
        <sz val="10"/>
        <color theme="1"/>
        <rFont val="宋体"/>
        <family val="3"/>
        <charset val="134"/>
      </rPr>
      <t>：</t>
    </r>
    <phoneticPr fontId="16" type="noConversion"/>
  </si>
  <si>
    <r>
      <rPr>
        <sz val="10"/>
        <rFont val="宋体"/>
        <family val="3"/>
        <charset val="134"/>
      </rPr>
      <t>索引号：</t>
    </r>
    <phoneticPr fontId="16" type="noConversion"/>
  </si>
  <si>
    <r>
      <rPr>
        <sz val="10"/>
        <rFont val="宋体"/>
        <family val="3"/>
        <charset val="134"/>
      </rPr>
      <t>页</t>
    </r>
    <r>
      <rPr>
        <sz val="10"/>
        <rFont val="Arial Narrow"/>
        <family val="2"/>
      </rPr>
      <t xml:space="preserve">  </t>
    </r>
    <r>
      <rPr>
        <sz val="10"/>
        <rFont val="宋体"/>
        <family val="3"/>
        <charset val="134"/>
      </rPr>
      <t>次：</t>
    </r>
    <phoneticPr fontId="16" type="noConversion"/>
  </si>
  <si>
    <t>关联方名称</t>
    <phoneticPr fontId="16" type="noConversion"/>
  </si>
  <si>
    <r>
      <rPr>
        <b/>
        <sz val="10"/>
        <rFont val="宋体"/>
        <family val="3"/>
        <charset val="134"/>
      </rPr>
      <t>减：坏账准备</t>
    </r>
    <phoneticPr fontId="16" type="noConversion"/>
  </si>
  <si>
    <r>
      <rPr>
        <b/>
        <sz val="10"/>
        <rFont val="宋体"/>
        <family val="3"/>
        <charset val="134"/>
      </rPr>
      <t>账面价值</t>
    </r>
  </si>
  <si>
    <r>
      <rPr>
        <b/>
        <sz val="10"/>
        <rFont val="宋体"/>
        <family val="3"/>
        <charset val="134"/>
      </rPr>
      <t>发生时间及账龄</t>
    </r>
    <phoneticPr fontId="16" type="noConversion"/>
  </si>
  <si>
    <t>关联关系</t>
    <phoneticPr fontId="16" type="noConversion"/>
  </si>
  <si>
    <r>
      <rPr>
        <b/>
        <sz val="10"/>
        <rFont val="宋体"/>
        <family val="3"/>
        <charset val="134"/>
      </rPr>
      <t>索引号</t>
    </r>
    <phoneticPr fontId="16" type="noConversion"/>
  </si>
  <si>
    <r>
      <rPr>
        <b/>
        <sz val="10"/>
        <rFont val="宋体"/>
        <family val="3"/>
        <charset val="134"/>
      </rPr>
      <t>备注</t>
    </r>
    <phoneticPr fontId="16" type="noConversion"/>
  </si>
  <si>
    <r>
      <rPr>
        <sz val="10"/>
        <rFont val="宋体"/>
        <family val="3"/>
        <charset val="134"/>
      </rPr>
      <t>债务人（股东）</t>
    </r>
    <r>
      <rPr>
        <sz val="10"/>
        <rFont val="Arial Narrow"/>
        <family val="2"/>
      </rPr>
      <t>1</t>
    </r>
    <phoneticPr fontId="16" type="noConversion"/>
  </si>
  <si>
    <r>
      <rPr>
        <sz val="10"/>
        <rFont val="宋体"/>
        <family val="3"/>
        <charset val="134"/>
      </rPr>
      <t>债务人（股东）</t>
    </r>
    <r>
      <rPr>
        <sz val="10"/>
        <rFont val="Arial Narrow"/>
        <family val="2"/>
      </rPr>
      <t>2</t>
    </r>
  </si>
  <si>
    <t>控股股东</t>
    <phoneticPr fontId="16" type="noConversion"/>
  </si>
  <si>
    <t>……</t>
    <phoneticPr fontId="16" type="noConversion"/>
  </si>
  <si>
    <t>控股股东、实际控制人的附属企业</t>
    <phoneticPr fontId="16" type="noConversion"/>
  </si>
  <si>
    <r>
      <rPr>
        <b/>
        <sz val="10"/>
        <rFont val="宋体"/>
        <family val="3"/>
        <charset val="134"/>
      </rPr>
      <t>小计</t>
    </r>
    <phoneticPr fontId="16" type="noConversion"/>
  </si>
  <si>
    <t>合营企业</t>
    <phoneticPr fontId="16" type="noConversion"/>
  </si>
  <si>
    <t>关注对关联方的其他应收款的真实性、合理性、合法性、会计处理是否正确，考虑是否存在未识别的关联方，检查关联交易和余额披露是否正确。</t>
    <phoneticPr fontId="16" type="noConversion"/>
  </si>
  <si>
    <t>检查与其他应收款有关的的记账凭证和相应的支持性证据以确定交易的真实性，是否按规定进行相应的会计处理和披露。</t>
    <phoneticPr fontId="16" type="noConversion"/>
  </si>
  <si>
    <r>
      <rPr>
        <sz val="10"/>
        <rFont val="宋体"/>
        <family val="3"/>
        <charset val="134"/>
      </rPr>
      <t>页次：</t>
    </r>
    <phoneticPr fontId="16" type="noConversion"/>
  </si>
  <si>
    <t>12</t>
  </si>
  <si>
    <t>常规★</t>
    <phoneticPr fontId="48" type="noConversion"/>
  </si>
  <si>
    <t>√</t>
    <phoneticPr fontId="16" type="noConversion"/>
  </si>
  <si>
    <r>
      <t>1.</t>
    </r>
    <r>
      <rPr>
        <sz val="10"/>
        <rFont val="宋体"/>
        <family val="3"/>
        <charset val="134"/>
      </rPr>
      <t>资产负债表中记录的其他应收款是存在的，且已经记录在恰当的账户中；</t>
    </r>
    <r>
      <rPr>
        <sz val="10"/>
        <rFont val="Arial Narrow"/>
        <family val="2"/>
      </rPr>
      <t/>
    </r>
    <phoneticPr fontId="16" type="noConversion"/>
  </si>
  <si>
    <r>
      <t>2.</t>
    </r>
    <r>
      <rPr>
        <sz val="10"/>
        <rFont val="宋体"/>
        <family val="3"/>
        <charset val="134"/>
      </rPr>
      <t>记录的其他应收款由被审计单位拥有或控制；</t>
    </r>
    <phoneticPr fontId="16" type="noConversion"/>
  </si>
  <si>
    <t>列报</t>
    <phoneticPr fontId="16" type="noConversion"/>
  </si>
  <si>
    <t>列报</t>
    <phoneticPr fontId="16" type="noConversion"/>
  </si>
  <si>
    <r>
      <t>1.</t>
    </r>
    <r>
      <rPr>
        <sz val="10"/>
        <rFont val="宋体"/>
        <family val="3"/>
        <charset val="134"/>
      </rPr>
      <t>资产负债表中记录的其他应收款、坏账准备是存在的，且已记录于恰当的账户。</t>
    </r>
    <phoneticPr fontId="16" type="noConversion"/>
  </si>
  <si>
    <r>
      <t>2.</t>
    </r>
    <r>
      <rPr>
        <sz val="10"/>
        <rFont val="宋体"/>
        <family val="3"/>
        <charset val="134"/>
      </rPr>
      <t>其他应收款、坏账准备以恰当的金额包括在财务报表中，与之相关的计价或分摊调整已恰当记录，相关披露已得到恰当计量和描述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6" type="noConversion"/>
  </si>
  <si>
    <r>
      <rPr>
        <b/>
        <sz val="10"/>
        <rFont val="宋体"/>
        <family val="3"/>
        <charset val="134"/>
      </rPr>
      <t>期初余额</t>
    </r>
    <phoneticPr fontId="16" type="noConversion"/>
  </si>
  <si>
    <r>
      <rPr>
        <b/>
        <sz val="10"/>
        <rFont val="宋体"/>
        <family val="3"/>
        <charset val="134"/>
      </rPr>
      <t>期末余额</t>
    </r>
    <phoneticPr fontId="16" type="noConversion"/>
  </si>
  <si>
    <t>期初余额</t>
    <phoneticPr fontId="16" type="noConversion"/>
  </si>
  <si>
    <t>本期借方发生额</t>
    <phoneticPr fontId="16" type="noConversion"/>
  </si>
  <si>
    <t>本期贷方发生额</t>
    <phoneticPr fontId="16" type="noConversion"/>
  </si>
  <si>
    <t>是否函证</t>
    <phoneticPr fontId="20" type="noConversion"/>
  </si>
  <si>
    <t>处理计划</t>
    <phoneticPr fontId="16" type="noConversion"/>
  </si>
  <si>
    <t>发生原因（款项性质）</t>
    <phoneticPr fontId="16" type="noConversion"/>
  </si>
  <si>
    <t>备选</t>
    <phoneticPr fontId="16" type="noConversion"/>
  </si>
  <si>
    <t>13</t>
  </si>
  <si>
    <r>
      <t>1.</t>
    </r>
    <r>
      <rPr>
        <b/>
        <sz val="10"/>
        <rFont val="宋体"/>
        <family val="3"/>
        <charset val="134"/>
      </rPr>
      <t>审计说明</t>
    </r>
    <r>
      <rPr>
        <sz val="10"/>
        <color indexed="12"/>
        <rFont val="宋体"/>
        <family val="3"/>
        <charset val="134"/>
      </rPr>
      <t/>
    </r>
    <phoneticPr fontId="16" type="noConversion"/>
  </si>
  <si>
    <r>
      <t>2.</t>
    </r>
    <r>
      <rPr>
        <b/>
        <sz val="10"/>
        <rFont val="宋体"/>
        <family val="3"/>
        <charset val="134"/>
      </rPr>
      <t>审计结论</t>
    </r>
    <phoneticPr fontId="16" type="noConversion"/>
  </si>
  <si>
    <r>
      <rPr>
        <b/>
        <sz val="10"/>
        <color indexed="8"/>
        <rFont val="宋体"/>
        <family val="3"/>
        <charset val="134"/>
      </rPr>
      <t>一、审计目标</t>
    </r>
    <r>
      <rPr>
        <b/>
        <sz val="10"/>
        <color indexed="8"/>
        <rFont val="Arial Narrow"/>
        <family val="2"/>
      </rPr>
      <t>:</t>
    </r>
    <phoneticPr fontId="20" type="noConversion"/>
  </si>
  <si>
    <t>项目</t>
    <phoneticPr fontId="16" type="noConversion"/>
  </si>
  <si>
    <t>期初数</t>
    <phoneticPr fontId="16" type="noConversion"/>
  </si>
  <si>
    <t>本期增加</t>
    <phoneticPr fontId="16" type="noConversion"/>
  </si>
  <si>
    <t>本期减少</t>
    <phoneticPr fontId="16" type="noConversion"/>
  </si>
  <si>
    <t>期末数</t>
    <phoneticPr fontId="16" type="noConversion"/>
  </si>
  <si>
    <t>单独计提减值、转回或转销原因</t>
    <phoneticPr fontId="16" type="noConversion"/>
  </si>
  <si>
    <t>期初未审数</t>
    <phoneticPr fontId="171" type="noConversion"/>
  </si>
  <si>
    <t>期初账项调整</t>
    <phoneticPr fontId="171" type="noConversion"/>
  </si>
  <si>
    <t>期初审定数</t>
    <phoneticPr fontId="171" type="noConversion"/>
  </si>
  <si>
    <t>计提</t>
    <phoneticPr fontId="171" type="noConversion"/>
  </si>
  <si>
    <t>其他增加</t>
    <phoneticPr fontId="171" type="noConversion"/>
  </si>
  <si>
    <t>转回</t>
    <phoneticPr fontId="16" type="noConversion"/>
  </si>
  <si>
    <t>其他减少</t>
    <phoneticPr fontId="171" type="noConversion"/>
  </si>
  <si>
    <t>期末未审数</t>
    <phoneticPr fontId="171" type="noConversion"/>
  </si>
  <si>
    <t>期末账项调整</t>
    <phoneticPr fontId="171" type="noConversion"/>
  </si>
  <si>
    <t>期末审定数额</t>
    <phoneticPr fontId="171" type="noConversion"/>
  </si>
  <si>
    <t>按单项评估计提</t>
    <phoneticPr fontId="16" type="noConversion"/>
  </si>
  <si>
    <t>其中：</t>
    <phoneticPr fontId="16" type="noConversion"/>
  </si>
  <si>
    <t>其中：</t>
    <phoneticPr fontId="171" type="noConversion"/>
  </si>
  <si>
    <t xml:space="preserve">合计 </t>
    <phoneticPr fontId="16" type="noConversion"/>
  </si>
  <si>
    <r>
      <rPr>
        <b/>
        <sz val="10"/>
        <rFont val="宋体"/>
        <family val="3"/>
        <charset val="134"/>
      </rPr>
      <t>三、审计说明：</t>
    </r>
    <r>
      <rPr>
        <sz val="10"/>
        <color indexed="12"/>
        <rFont val="宋体"/>
        <family val="3"/>
        <charset val="134"/>
      </rPr>
      <t/>
    </r>
    <phoneticPr fontId="16" type="noConversion"/>
  </si>
  <si>
    <r>
      <rPr>
        <b/>
        <sz val="10"/>
        <rFont val="宋体"/>
        <family val="3"/>
        <charset val="134"/>
      </rPr>
      <t>四、审计结论：</t>
    </r>
    <phoneticPr fontId="16" type="noConversion"/>
  </si>
  <si>
    <t>K1-3</t>
    <phoneticPr fontId="16" type="noConversion"/>
  </si>
  <si>
    <r>
      <t xml:space="preserve"> 3. </t>
    </r>
    <r>
      <rPr>
        <sz val="10"/>
        <rFont val="宋体"/>
        <family val="3"/>
        <charset val="134"/>
      </rPr>
      <t>其他应收款坏账准备以恰当的金额包括在财务报表中，与之相关的计价调整已恰当记录。</t>
    </r>
    <phoneticPr fontId="20" type="noConversion"/>
  </si>
  <si>
    <t>按组合计提坏账准备</t>
  </si>
  <si>
    <t>期后收款</t>
    <phoneticPr fontId="20" type="noConversion"/>
  </si>
  <si>
    <r>
      <rPr>
        <sz val="10"/>
        <rFont val="宋体"/>
        <family val="3"/>
        <charset val="134"/>
      </rPr>
      <t>这些指标包括：</t>
    </r>
    <r>
      <rPr>
        <sz val="10"/>
        <rFont val="Arial Narrow"/>
        <family val="2"/>
      </rPr>
      <t>1</t>
    </r>
    <r>
      <rPr>
        <sz val="10"/>
        <rFont val="宋体"/>
        <family val="3"/>
        <charset val="134"/>
      </rPr>
      <t>）信用利差；</t>
    </r>
    <r>
      <rPr>
        <sz val="10"/>
        <rFont val="Arial Narrow"/>
        <family val="2"/>
      </rPr>
      <t>2</t>
    </r>
    <r>
      <rPr>
        <sz val="10"/>
        <rFont val="宋体"/>
        <family val="3"/>
        <charset val="134"/>
      </rPr>
      <t>）针对借款人的信用违约互换价格；</t>
    </r>
    <r>
      <rPr>
        <sz val="10"/>
        <rFont val="Arial Narrow"/>
        <family val="2"/>
      </rPr>
      <t>3</t>
    </r>
    <r>
      <rPr>
        <sz val="10"/>
        <rFont val="宋体"/>
        <family val="3"/>
        <charset val="134"/>
      </rPr>
      <t>）金融资产的公允价值小于其摊余成本的时间长短和程度；</t>
    </r>
    <r>
      <rPr>
        <sz val="10"/>
        <rFont val="Arial Narrow"/>
        <family val="2"/>
      </rPr>
      <t>4</t>
    </r>
    <r>
      <rPr>
        <sz val="10"/>
        <rFont val="宋体"/>
        <family val="3"/>
        <charset val="134"/>
      </rPr>
      <t>）与借款人相关的其他市场信息（如借款人的债务工具或权益工具的价格变动）。</t>
    </r>
    <phoneticPr fontId="16" type="noConversion"/>
  </si>
  <si>
    <r>
      <rPr>
        <sz val="10"/>
        <rFont val="宋体"/>
        <family val="3"/>
        <charset val="134"/>
      </rPr>
      <t>无论企业采用何种方式评估信用风险是否显著增加，如果合同付款逾期超过（含）</t>
    </r>
    <r>
      <rPr>
        <sz val="10"/>
        <rFont val="Arial Narrow"/>
        <family val="2"/>
      </rPr>
      <t>30</t>
    </r>
    <r>
      <rPr>
        <sz val="10"/>
        <rFont val="宋体"/>
        <family val="3"/>
        <charset val="134"/>
      </rPr>
      <t>日，则通常可以推定金融资产的信用风险显著增加；
除非企业以合理成本即可获得合理且有依据的信息，证明即使逾期超过</t>
    </r>
    <r>
      <rPr>
        <sz val="10"/>
        <rFont val="Arial Narrow"/>
        <family val="2"/>
      </rPr>
      <t>30</t>
    </r>
    <r>
      <rPr>
        <sz val="10"/>
        <rFont val="宋体"/>
        <family val="3"/>
        <charset val="134"/>
      </rPr>
      <t>日，信用风险仍未显著增加。例如，如果未能及时付款是由于管理上的疏忽而并非借款人本身的财务困难所致。再如，企业能够获得的历史统计数据表明，发生违约的风险显著增加与逾期超过</t>
    </r>
    <r>
      <rPr>
        <sz val="10"/>
        <rFont val="Arial Narrow"/>
        <family val="2"/>
      </rPr>
      <t>30</t>
    </r>
    <r>
      <rPr>
        <sz val="10"/>
        <rFont val="宋体"/>
        <family val="3"/>
        <charset val="134"/>
      </rPr>
      <t>日之间不存在相关性。</t>
    </r>
    <phoneticPr fontId="16" type="noConversion"/>
  </si>
  <si>
    <t>对方明细科目</t>
    <phoneticPr fontId="16" type="noConversion"/>
  </si>
  <si>
    <t>K1-1</t>
    <phoneticPr fontId="16" type="noConversion"/>
  </si>
  <si>
    <t>K1-4</t>
    <phoneticPr fontId="16" type="noConversion"/>
  </si>
  <si>
    <t>无需打印</t>
    <phoneticPr fontId="16" type="noConversion"/>
  </si>
  <si>
    <r>
      <rPr>
        <b/>
        <sz val="10"/>
        <color indexed="8"/>
        <rFont val="宋体"/>
        <family val="3"/>
        <charset val="134"/>
      </rPr>
      <t>内容</t>
    </r>
  </si>
  <si>
    <r>
      <rPr>
        <sz val="10"/>
        <rFont val="宋体"/>
        <family val="3"/>
        <charset val="134"/>
      </rPr>
      <t>应收股利审定数</t>
    </r>
    <phoneticPr fontId="48" type="noConversion"/>
  </si>
  <si>
    <r>
      <rPr>
        <sz val="10"/>
        <rFont val="宋体"/>
        <family val="3"/>
        <charset val="134"/>
      </rPr>
      <t>其他应收款审定数</t>
    </r>
    <phoneticPr fontId="20" type="noConversion"/>
  </si>
  <si>
    <r>
      <rPr>
        <sz val="10"/>
        <rFont val="宋体"/>
        <family val="3"/>
        <charset val="134"/>
      </rPr>
      <t>其他应收款合计</t>
    </r>
    <phoneticPr fontId="20" type="noConversion"/>
  </si>
  <si>
    <r>
      <rPr>
        <sz val="10"/>
        <rFont val="宋体"/>
        <family val="3"/>
        <charset val="134"/>
      </rPr>
      <t>报表数</t>
    </r>
    <phoneticPr fontId="20" type="noConversion"/>
  </si>
  <si>
    <r>
      <rPr>
        <sz val="10"/>
        <rFont val="宋体"/>
        <family val="3"/>
        <charset val="134"/>
      </rPr>
      <t>应收利息审定数</t>
    </r>
    <phoneticPr fontId="20" type="noConversion"/>
  </si>
  <si>
    <r>
      <rPr>
        <sz val="10"/>
        <rFont val="宋体"/>
        <family val="3"/>
        <charset val="134"/>
      </rPr>
      <t>差异</t>
    </r>
    <phoneticPr fontId="20" type="noConversion"/>
  </si>
  <si>
    <r>
      <rPr>
        <sz val="10"/>
        <rFont val="宋体"/>
        <family val="3"/>
        <charset val="134"/>
      </rPr>
      <t>期末数</t>
    </r>
    <phoneticPr fontId="20" type="noConversion"/>
  </si>
  <si>
    <r>
      <rPr>
        <sz val="10"/>
        <rFont val="宋体"/>
        <family val="3"/>
        <charset val="134"/>
      </rPr>
      <t>期初数</t>
    </r>
    <phoneticPr fontId="20" type="noConversion"/>
  </si>
  <si>
    <t>（二）三阶段的转入转出</t>
    <phoneticPr fontId="16" type="noConversion"/>
  </si>
  <si>
    <t>核销</t>
    <phoneticPr fontId="16" type="noConversion"/>
  </si>
  <si>
    <t>（一）坏账准备明细表</t>
    <phoneticPr fontId="16" type="noConversion"/>
  </si>
  <si>
    <t>7</t>
    <phoneticPr fontId="16" type="noConversion"/>
  </si>
  <si>
    <t>8</t>
    <phoneticPr fontId="16" type="noConversion"/>
  </si>
  <si>
    <r>
      <t>A1-1/</t>
    </r>
    <r>
      <rPr>
        <sz val="10"/>
        <color rgb="FFFF0000"/>
        <rFont val="Arial Narrow"/>
        <family val="2"/>
      </rPr>
      <t>A1-15 /A1-16</t>
    </r>
    <phoneticPr fontId="16" type="noConversion"/>
  </si>
  <si>
    <t>附注披露信息（国企）</t>
    <phoneticPr fontId="16" type="noConversion"/>
  </si>
  <si>
    <t>致同会计师事务所</t>
    <phoneticPr fontId="16" type="noConversion"/>
  </si>
  <si>
    <t>长期未收回款项检查表</t>
    <phoneticPr fontId="16" type="noConversion"/>
  </si>
  <si>
    <t>收回或转回金额</t>
    <phoneticPr fontId="16" type="noConversion"/>
  </si>
  <si>
    <t>收回或转回前累计已计提坏账准备金额</t>
    <phoneticPr fontId="16" type="noConversion"/>
  </si>
  <si>
    <t>（一）本期重要的坏账准备转回检查</t>
    <phoneticPr fontId="16" type="noConversion"/>
  </si>
  <si>
    <t>备注</t>
    <phoneticPr fontId="20" type="noConversion"/>
  </si>
  <si>
    <t>账龄占比</t>
    <phoneticPr fontId="20" type="noConversion"/>
  </si>
  <si>
    <t>合 计</t>
    <phoneticPr fontId="20" type="noConversion"/>
  </si>
  <si>
    <r>
      <t xml:space="preserve">3. </t>
    </r>
    <r>
      <rPr>
        <sz val="10"/>
        <color indexed="8"/>
        <rFont val="宋体"/>
        <family val="3"/>
        <charset val="134"/>
      </rPr>
      <t>对挂账时间超过三年以上本期又没有发生额或发生额很小的其他应收款，要求企业说明原因提供对方单位情况，根据情况进行调整。</t>
    </r>
    <phoneticPr fontId="20" type="noConversion"/>
  </si>
  <si>
    <r>
      <t xml:space="preserve">4. </t>
    </r>
    <r>
      <rPr>
        <sz val="10"/>
        <color indexed="8"/>
        <rFont val="宋体"/>
        <family val="3"/>
        <charset val="134"/>
      </rPr>
      <t>关注关联方款项的变动情况，对异常情况要查明原因。</t>
    </r>
    <phoneticPr fontId="16" type="noConversion"/>
  </si>
  <si>
    <r>
      <t>3.</t>
    </r>
    <r>
      <rPr>
        <sz val="10"/>
        <rFont val="宋体"/>
        <family val="3"/>
        <charset val="134"/>
      </rPr>
      <t>对于实际发生坏账损失的，检查核销依据是否符合有关规定，会计处理是否正确；</t>
    </r>
    <phoneticPr fontId="16" type="noConversion"/>
  </si>
  <si>
    <r>
      <t>4.</t>
    </r>
    <r>
      <rPr>
        <sz val="10"/>
        <rFont val="宋体"/>
        <family val="3"/>
        <charset val="134"/>
      </rPr>
      <t>已经确认并核销的坏账重新收回的，检查其会计处理是否正确。</t>
    </r>
    <phoneticPr fontId="16" type="noConversion"/>
  </si>
  <si>
    <r>
      <t>1.</t>
    </r>
    <r>
      <rPr>
        <sz val="10"/>
        <rFont val="宋体"/>
        <family val="3"/>
        <charset val="134"/>
      </rPr>
      <t>取得被审计单位大额坏账准备及其他应收款核销清单；</t>
    </r>
    <r>
      <rPr>
        <sz val="10"/>
        <rFont val="Arial Narrow"/>
        <family val="2"/>
      </rPr>
      <t/>
    </r>
    <phoneticPr fontId="16" type="noConversion"/>
  </si>
  <si>
    <r>
      <t>2.</t>
    </r>
    <r>
      <rPr>
        <sz val="10"/>
        <rFont val="宋体"/>
        <family val="3"/>
        <charset val="134"/>
      </rPr>
      <t>了解大额坏账准备转回（收回）的原因、方式，判断其合理性；</t>
    </r>
  </si>
  <si>
    <r>
      <rPr>
        <b/>
        <sz val="12"/>
        <rFont val="宋体"/>
        <family val="3"/>
        <charset val="134"/>
      </rPr>
      <t>致同会计师事务所</t>
    </r>
  </si>
  <si>
    <r>
      <rPr>
        <sz val="10"/>
        <rFont val="宋体"/>
        <family val="3"/>
        <charset val="134"/>
      </rPr>
      <t>索引号：</t>
    </r>
    <phoneticPr fontId="16" type="noConversion"/>
  </si>
  <si>
    <r>
      <rPr>
        <b/>
        <sz val="10"/>
        <rFont val="宋体"/>
        <family val="3"/>
        <charset val="134"/>
      </rPr>
      <t>底稿开列时，可先在以下单元格填写有关内容，以便其他底稿引用有关数据：</t>
    </r>
    <phoneticPr fontId="16" type="noConversion"/>
  </si>
  <si>
    <t>账龄逻辑校验</t>
    <phoneticPr fontId="20" type="noConversion"/>
  </si>
  <si>
    <r>
      <rPr>
        <sz val="10"/>
        <rFont val="宋体"/>
        <family val="3"/>
        <charset val="134"/>
      </rPr>
      <t>特定样本：</t>
    </r>
    <phoneticPr fontId="16"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</si>
  <si>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6"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</si>
  <si>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6" type="noConversion"/>
  </si>
  <si>
    <r>
      <rPr>
        <sz val="10"/>
        <rFont val="宋体"/>
        <family val="3"/>
        <charset val="134"/>
      </rPr>
      <t>抽样方法：</t>
    </r>
    <phoneticPr fontId="16" type="noConversion"/>
  </si>
  <si>
    <r>
      <rPr>
        <sz val="10"/>
        <rFont val="宋体"/>
        <family val="3"/>
        <charset val="134"/>
      </rPr>
      <t>抽样过程：</t>
    </r>
    <phoneticPr fontId="16" type="noConversion"/>
  </si>
  <si>
    <r>
      <rPr>
        <sz val="10"/>
        <rFont val="宋体"/>
        <family val="3"/>
        <charset val="134"/>
      </rPr>
      <t>测试总体：</t>
    </r>
    <phoneticPr fontId="16"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</si>
  <si>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6" type="noConversion"/>
  </si>
  <si>
    <r>
      <rPr>
        <sz val="10"/>
        <rFont val="宋体"/>
        <family val="3"/>
        <charset val="134"/>
      </rPr>
      <t>抽样总体：</t>
    </r>
    <phoneticPr fontId="16" type="noConversion"/>
  </si>
  <si>
    <r>
      <rPr>
        <sz val="10"/>
        <rFont val="宋体"/>
        <family val="3"/>
        <charset val="134"/>
      </rPr>
      <t>确定的抽样样本量：</t>
    </r>
    <phoneticPr fontId="16"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</si>
  <si>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6" type="noConversion"/>
  </si>
  <si>
    <r>
      <rPr>
        <sz val="10"/>
        <rFont val="宋体"/>
        <family val="3"/>
        <charset val="134"/>
      </rPr>
      <t>逾期</t>
    </r>
    <r>
      <rPr>
        <sz val="10"/>
        <rFont val="Arial Narrow"/>
        <family val="2"/>
      </rPr>
      <t>30-90</t>
    </r>
    <r>
      <rPr>
        <sz val="10"/>
        <rFont val="宋体"/>
        <family val="3"/>
        <charset val="134"/>
      </rPr>
      <t>天</t>
    </r>
    <phoneticPr fontId="16" type="noConversion"/>
  </si>
  <si>
    <r>
      <rPr>
        <sz val="10"/>
        <rFont val="宋体"/>
        <family val="3"/>
        <charset val="134"/>
      </rPr>
      <t>逾期</t>
    </r>
    <r>
      <rPr>
        <sz val="10"/>
        <rFont val="Arial Narrow"/>
        <family val="2"/>
      </rPr>
      <t>30</t>
    </r>
    <r>
      <rPr>
        <sz val="10"/>
        <rFont val="宋体"/>
        <family val="3"/>
        <charset val="134"/>
      </rPr>
      <t>天以内</t>
    </r>
    <phoneticPr fontId="16" type="noConversion"/>
  </si>
  <si>
    <r>
      <rPr>
        <sz val="10"/>
        <rFont val="宋体"/>
        <family val="3"/>
        <charset val="134"/>
      </rPr>
      <t>合同期内</t>
    </r>
    <phoneticPr fontId="16" type="noConversion"/>
  </si>
  <si>
    <r>
      <rPr>
        <sz val="10"/>
        <rFont val="宋体"/>
        <family val="3"/>
        <charset val="134"/>
      </rPr>
      <t>逾期</t>
    </r>
    <r>
      <rPr>
        <sz val="10"/>
        <rFont val="Arial Narrow"/>
        <family val="2"/>
      </rPr>
      <t>90</t>
    </r>
    <r>
      <rPr>
        <sz val="10"/>
        <rFont val="宋体"/>
        <family val="3"/>
        <charset val="134"/>
      </rPr>
      <t>天以上</t>
    </r>
    <phoneticPr fontId="16" type="noConversion"/>
  </si>
  <si>
    <t>核对差异</t>
    <phoneticPr fontId="16" type="noConversion"/>
  </si>
  <si>
    <r>
      <t>1.</t>
    </r>
    <r>
      <rPr>
        <sz val="10"/>
        <rFont val="宋体"/>
        <family val="3"/>
        <charset val="134"/>
      </rPr>
      <t>检查坏账准备计提的会计政策的合理性，并与前期进行对比，分析其是否前后一致。与同行业其他公司的会计政策进行对比，关注其是否利用会计政策和会计估计变更操纵利润。</t>
    </r>
    <phoneticPr fontId="16" type="noConversion"/>
  </si>
  <si>
    <t>其他应收款、坏账准备以恰当的金额包括在财务报表中，与之相关的计价或分摊调整已恰当记录，相关披露已得到恰当计量和描述。</t>
    <phoneticPr fontId="16" type="noConversion"/>
  </si>
  <si>
    <r>
      <t>2.</t>
    </r>
    <r>
      <rPr>
        <sz val="10"/>
        <rFont val="宋体"/>
        <family val="3"/>
        <charset val="134"/>
      </rPr>
      <t>根据执行程序的结果，包括回顾上期估计值与当期结果，考虑管理层在作出会计估计时的判断和决策时，是否表明存在管理层偏向的迹象。</t>
    </r>
    <phoneticPr fontId="16" type="noConversion"/>
  </si>
  <si>
    <r>
      <rPr>
        <sz val="10"/>
        <color rgb="FFFF0000"/>
        <rFont val="宋体"/>
        <family val="3"/>
        <charset val="134"/>
      </rPr>
      <t>其他应收款组合</t>
    </r>
    <r>
      <rPr>
        <sz val="10"/>
        <color rgb="FFFF0000"/>
        <rFont val="Arial Narrow"/>
        <family val="2"/>
      </rPr>
      <t>2</t>
    </r>
    <r>
      <rPr>
        <sz val="10"/>
        <color rgb="FFFF0000"/>
        <rFont val="宋体"/>
        <family val="3"/>
        <charset val="134"/>
      </rPr>
      <t>：</t>
    </r>
  </si>
  <si>
    <r>
      <rPr>
        <sz val="10"/>
        <color rgb="FFFF0000"/>
        <rFont val="宋体"/>
        <family val="3"/>
        <charset val="134"/>
      </rPr>
      <t>其他应收款组合</t>
    </r>
    <r>
      <rPr>
        <sz val="10"/>
        <color rgb="FFFF0000"/>
        <rFont val="Arial Narrow"/>
        <family val="2"/>
      </rPr>
      <t>3</t>
    </r>
    <r>
      <rPr>
        <sz val="10"/>
        <color rgb="FFFF0000"/>
        <rFont val="宋体"/>
        <family val="3"/>
        <charset val="134"/>
      </rPr>
      <t>：</t>
    </r>
  </si>
  <si>
    <r>
      <rPr>
        <sz val="10"/>
        <color rgb="FFFF0000"/>
        <rFont val="宋体"/>
        <family val="3"/>
        <charset val="134"/>
      </rPr>
      <t>其他应收款组合</t>
    </r>
    <r>
      <rPr>
        <sz val="10"/>
        <color rgb="FFFF0000"/>
        <rFont val="Arial Narrow"/>
        <family val="2"/>
      </rPr>
      <t>4</t>
    </r>
    <r>
      <rPr>
        <sz val="10"/>
        <color rgb="FFFF0000"/>
        <rFont val="宋体"/>
        <family val="3"/>
        <charset val="134"/>
      </rPr>
      <t>：</t>
    </r>
  </si>
  <si>
    <r>
      <rPr>
        <sz val="10"/>
        <color rgb="FFFF0000"/>
        <rFont val="宋体"/>
        <family val="3"/>
        <charset val="134"/>
      </rPr>
      <t>其他应收款组合</t>
    </r>
    <r>
      <rPr>
        <sz val="10"/>
        <color rgb="FFFF0000"/>
        <rFont val="Arial Narrow"/>
        <family val="2"/>
      </rPr>
      <t>1</t>
    </r>
    <r>
      <rPr>
        <sz val="10"/>
        <color rgb="FFFF0000"/>
        <rFont val="宋体"/>
        <family val="3"/>
        <charset val="134"/>
      </rPr>
      <t>：</t>
    </r>
    <phoneticPr fontId="16" type="noConversion"/>
  </si>
  <si>
    <r>
      <rPr>
        <sz val="10"/>
        <color rgb="FFFF0000"/>
        <rFont val="宋体"/>
        <family val="3"/>
        <charset val="134"/>
      </rPr>
      <t>员工备用金</t>
    </r>
    <phoneticPr fontId="16" type="noConversion"/>
  </si>
  <si>
    <r>
      <rPr>
        <sz val="10"/>
        <color rgb="FFFF0000"/>
        <rFont val="宋体"/>
        <family val="3"/>
        <charset val="134"/>
      </rPr>
      <t>应收代垫款项</t>
    </r>
    <phoneticPr fontId="16" type="noConversion"/>
  </si>
  <si>
    <r>
      <rPr>
        <sz val="10"/>
        <color rgb="FFFF0000"/>
        <rFont val="宋体"/>
        <family val="3"/>
        <charset val="134"/>
      </rPr>
      <t>押金和保证金</t>
    </r>
    <phoneticPr fontId="16" type="noConversion"/>
  </si>
  <si>
    <r>
      <rPr>
        <sz val="10"/>
        <color rgb="FFFF0000"/>
        <rFont val="宋体"/>
        <family val="3"/>
        <charset val="134"/>
      </rPr>
      <t>应收关联公司款项</t>
    </r>
    <phoneticPr fontId="16" type="noConversion"/>
  </si>
  <si>
    <t>（三）前瞻性信息的来源及其影响</t>
    <phoneticPr fontId="16" type="noConversion"/>
  </si>
  <si>
    <t>（二）被审计单位历史坏账损失情况</t>
    <phoneticPr fontId="16" type="noConversion"/>
  </si>
  <si>
    <t>（一）具体减值政策说明</t>
    <phoneticPr fontId="16" type="noConversion"/>
  </si>
  <si>
    <t>（四）同行业公司的会计政策</t>
    <phoneticPr fontId="16" type="noConversion"/>
  </si>
  <si>
    <t>XX</t>
    <phoneticPr fontId="16" type="noConversion"/>
  </si>
  <si>
    <t>……</t>
    <phoneticPr fontId="16" type="noConversion"/>
  </si>
  <si>
    <t>债务人名称</t>
    <phoneticPr fontId="16" type="noConversion"/>
  </si>
  <si>
    <t>审定账面余额</t>
    <phoneticPr fontId="16" type="noConversion"/>
  </si>
  <si>
    <t>期末应计提坏账准备</t>
    <phoneticPr fontId="16" type="noConversion"/>
  </si>
  <si>
    <t>期末坏账准备账面余额</t>
    <phoneticPr fontId="16" type="noConversion"/>
  </si>
  <si>
    <t>计提依据及文件</t>
    <phoneticPr fontId="16" type="noConversion"/>
  </si>
  <si>
    <t>①</t>
    <phoneticPr fontId="16" type="noConversion"/>
  </si>
  <si>
    <t>②</t>
    <phoneticPr fontId="16" type="noConversion"/>
  </si>
  <si>
    <t>③=①×②</t>
    <phoneticPr fontId="16" type="noConversion"/>
  </si>
  <si>
    <t>④</t>
    <phoneticPr fontId="16" type="noConversion"/>
  </si>
  <si>
    <t>⑤=③-④</t>
    <phoneticPr fontId="16" type="noConversion"/>
  </si>
  <si>
    <t>信用期</t>
    <phoneticPr fontId="16" type="noConversion"/>
  </si>
  <si>
    <t>（二）本期重要的核销检查</t>
    <phoneticPr fontId="16" type="noConversion"/>
  </si>
  <si>
    <t>账龄【账龄以记账凭证日期起计算，逾期则考虑信用期】</t>
    <phoneticPr fontId="16" type="noConversion"/>
  </si>
  <si>
    <t>（三）其他组合计提坏账准备</t>
    <phoneticPr fontId="16" type="noConversion"/>
  </si>
  <si>
    <t>提示：</t>
    <phoneticPr fontId="16" type="noConversion"/>
  </si>
  <si>
    <t>坏账准备明细表</t>
    <phoneticPr fontId="16" type="noConversion"/>
  </si>
  <si>
    <r>
      <rPr>
        <sz val="10"/>
        <color rgb="FFFF0000"/>
        <rFont val="Arial Narrow"/>
        <family val="2"/>
      </rPr>
      <t>1.</t>
    </r>
    <r>
      <rPr>
        <sz val="10"/>
        <color rgb="FFFF0000"/>
        <rFont val="宋体"/>
        <family val="3"/>
        <charset val="134"/>
      </rPr>
      <t>选取金额大于（</t>
    </r>
    <r>
      <rPr>
        <sz val="10"/>
        <color rgb="FFFF0000"/>
        <rFont val="Arial Narrow"/>
        <family val="2"/>
      </rPr>
      <t xml:space="preserve">       </t>
    </r>
    <r>
      <rPr>
        <sz val="10"/>
        <color rgb="FFFF0000"/>
        <rFont val="宋体"/>
        <family val="3"/>
        <charset val="134"/>
      </rPr>
      <t>）且逾期超过（</t>
    </r>
    <r>
      <rPr>
        <sz val="10"/>
        <color rgb="FFFF0000"/>
        <rFont val="Arial Narrow"/>
        <family val="2"/>
      </rPr>
      <t xml:space="preserve">   </t>
    </r>
    <r>
      <rPr>
        <sz val="10"/>
        <color rgb="FFFF0000"/>
        <rFont val="宋体"/>
        <family val="3"/>
        <charset val="134"/>
      </rPr>
      <t>）天账户，以及其他认为必要的账户，与授信部门经理或其他负责人员了解</t>
    </r>
    <r>
      <rPr>
        <sz val="10"/>
        <color rgb="FFFF0000"/>
        <rFont val="Arial Narrow"/>
        <family val="2"/>
      </rPr>
      <t>…...</t>
    </r>
    <r>
      <rPr>
        <sz val="10"/>
        <color rgb="FFFF0000"/>
        <rFont val="宋体"/>
        <family val="3"/>
        <charset val="134"/>
      </rPr>
      <t>，并复核往来函件或其他相关信息确定</t>
    </r>
    <r>
      <rPr>
        <sz val="10"/>
        <color rgb="FFFF0000"/>
        <rFont val="Arial Narrow"/>
        <family val="2"/>
      </rPr>
      <t>……</t>
    </r>
    <phoneticPr fontId="16" type="noConversion"/>
  </si>
  <si>
    <r>
      <t>1.</t>
    </r>
    <r>
      <rPr>
        <sz val="10"/>
        <color rgb="FFFF0000"/>
        <rFont val="宋体"/>
        <family val="3"/>
        <charset val="134"/>
      </rPr>
      <t>明细账、总账、报表数核对一致。</t>
    </r>
    <phoneticPr fontId="16" type="noConversion"/>
  </si>
  <si>
    <r>
      <t>2.</t>
    </r>
    <r>
      <rPr>
        <sz val="10"/>
        <color rgb="FFFF0000"/>
        <rFont val="宋体"/>
        <family val="3"/>
        <charset val="134"/>
      </rPr>
      <t>针对大额异常的款项进行了期后收款的凭证检查，详见凭证检查表</t>
    </r>
    <r>
      <rPr>
        <sz val="10"/>
        <color rgb="FFFF0000"/>
        <rFont val="Arial Narrow"/>
        <family val="2"/>
      </rPr>
      <t>K1-</t>
    </r>
    <phoneticPr fontId="16" type="noConversion"/>
  </si>
  <si>
    <r>
      <t>1.</t>
    </r>
    <r>
      <rPr>
        <sz val="10"/>
        <color rgb="FFFF0000"/>
        <rFont val="宋体"/>
        <family val="3"/>
        <charset val="134"/>
      </rPr>
      <t>针对期后收款的凭证检查，详见凭证检查表</t>
    </r>
    <r>
      <rPr>
        <sz val="10"/>
        <color rgb="FFFF0000"/>
        <rFont val="Arial Narrow"/>
        <family val="2"/>
      </rPr>
      <t>K1-</t>
    </r>
    <phoneticPr fontId="16" type="noConversion"/>
  </si>
  <si>
    <t>减：坏账准备</t>
    <phoneticPr fontId="16" type="noConversion"/>
  </si>
  <si>
    <t>发生时间及账龄</t>
    <phoneticPr fontId="16" type="noConversion"/>
  </si>
  <si>
    <t>致同会计师事务所</t>
    <phoneticPr fontId="16" type="noConversion"/>
  </si>
  <si>
    <r>
      <t>TB</t>
    </r>
    <r>
      <rPr>
        <b/>
        <sz val="10"/>
        <color indexed="8"/>
        <rFont val="宋体"/>
        <family val="3"/>
        <charset val="134"/>
      </rPr>
      <t>数据：</t>
    </r>
    <phoneticPr fontId="16" type="noConversion"/>
  </si>
  <si>
    <r>
      <rPr>
        <sz val="10"/>
        <rFont val="宋体"/>
        <family val="3"/>
        <charset val="134"/>
      </rPr>
      <t>页</t>
    </r>
    <r>
      <rPr>
        <sz val="10"/>
        <rFont val="Arial Narrow"/>
        <family val="2"/>
      </rPr>
      <t xml:space="preserve"> </t>
    </r>
    <r>
      <rPr>
        <sz val="10"/>
        <rFont val="宋体"/>
        <family val="3"/>
        <charset val="134"/>
      </rPr>
      <t>次：</t>
    </r>
    <phoneticPr fontId="16" type="noConversion"/>
  </si>
  <si>
    <r>
      <rPr>
        <b/>
        <sz val="10"/>
        <rFont val="宋体"/>
        <family val="3"/>
        <charset val="134"/>
      </rPr>
      <t>组合</t>
    </r>
    <r>
      <rPr>
        <b/>
        <sz val="10"/>
        <rFont val="Arial Narrow"/>
        <family val="2"/>
      </rPr>
      <t>1</t>
    </r>
    <r>
      <rPr>
        <b/>
        <sz val="10"/>
        <rFont val="宋体"/>
        <family val="3"/>
        <charset val="134"/>
      </rPr>
      <t>：</t>
    </r>
    <phoneticPr fontId="16" type="noConversion"/>
  </si>
  <si>
    <r>
      <rPr>
        <b/>
        <sz val="10"/>
        <rFont val="宋体"/>
        <family val="3"/>
        <charset val="134"/>
      </rPr>
      <t>组合</t>
    </r>
    <r>
      <rPr>
        <b/>
        <sz val="10"/>
        <rFont val="Arial Narrow"/>
        <family val="2"/>
      </rPr>
      <t>2</t>
    </r>
    <r>
      <rPr>
        <b/>
        <sz val="10"/>
        <rFont val="宋体"/>
        <family val="3"/>
        <charset val="134"/>
      </rPr>
      <t>：</t>
    </r>
  </si>
  <si>
    <r>
      <rPr>
        <b/>
        <sz val="10"/>
        <rFont val="宋体"/>
        <family val="3"/>
        <charset val="134"/>
      </rPr>
      <t>组合</t>
    </r>
    <r>
      <rPr>
        <b/>
        <sz val="10"/>
        <rFont val="Arial Narrow"/>
        <family val="2"/>
      </rPr>
      <t>3</t>
    </r>
    <r>
      <rPr>
        <b/>
        <sz val="10"/>
        <rFont val="宋体"/>
        <family val="3"/>
        <charset val="134"/>
      </rPr>
      <t>：</t>
    </r>
  </si>
  <si>
    <r>
      <rPr>
        <b/>
        <sz val="10"/>
        <rFont val="宋体"/>
        <family val="3"/>
        <charset val="134"/>
      </rPr>
      <t>组合</t>
    </r>
    <r>
      <rPr>
        <b/>
        <sz val="10"/>
        <rFont val="Arial Narrow"/>
        <family val="2"/>
      </rPr>
      <t>X</t>
    </r>
    <r>
      <rPr>
        <b/>
        <sz val="10"/>
        <rFont val="宋体"/>
        <family val="3"/>
        <charset val="134"/>
      </rPr>
      <t>：</t>
    </r>
    <phoneticPr fontId="16" type="noConversion"/>
  </si>
  <si>
    <r>
      <rPr>
        <b/>
        <sz val="10"/>
        <rFont val="宋体"/>
        <family val="3"/>
        <charset val="134"/>
      </rPr>
      <t>组合</t>
    </r>
    <r>
      <rPr>
        <b/>
        <sz val="10"/>
        <rFont val="Arial Narrow"/>
        <family val="2"/>
      </rPr>
      <t>X</t>
    </r>
    <r>
      <rPr>
        <b/>
        <sz val="10"/>
        <rFont val="宋体"/>
        <family val="3"/>
        <charset val="134"/>
      </rPr>
      <t>：</t>
    </r>
    <phoneticPr fontId="16" type="noConversion"/>
  </si>
  <si>
    <r>
      <rPr>
        <b/>
        <sz val="10"/>
        <rFont val="宋体"/>
        <family val="3"/>
        <charset val="134"/>
      </rPr>
      <t>②</t>
    </r>
    <phoneticPr fontId="16" type="noConversion"/>
  </si>
  <si>
    <r>
      <rPr>
        <b/>
        <sz val="10"/>
        <rFont val="宋体"/>
        <family val="3"/>
        <charset val="134"/>
      </rPr>
      <t>③</t>
    </r>
    <r>
      <rPr>
        <b/>
        <sz val="10"/>
        <rFont val="Arial Narrow"/>
        <family val="2"/>
      </rPr>
      <t>=</t>
    </r>
    <r>
      <rPr>
        <b/>
        <sz val="10"/>
        <rFont val="宋体"/>
        <family val="3"/>
        <charset val="134"/>
      </rPr>
      <t>①</t>
    </r>
    <r>
      <rPr>
        <b/>
        <sz val="10"/>
        <rFont val="Arial Narrow"/>
        <family val="2"/>
      </rPr>
      <t>×</t>
    </r>
    <r>
      <rPr>
        <b/>
        <sz val="10"/>
        <rFont val="宋体"/>
        <family val="3"/>
        <charset val="134"/>
      </rPr>
      <t>②</t>
    </r>
    <phoneticPr fontId="16" type="noConversion"/>
  </si>
  <si>
    <r>
      <rPr>
        <b/>
        <sz val="10"/>
        <rFont val="宋体"/>
        <family val="3"/>
        <charset val="134"/>
      </rPr>
      <t>④</t>
    </r>
    <phoneticPr fontId="16" type="noConversion"/>
  </si>
  <si>
    <r>
      <rPr>
        <b/>
        <sz val="10"/>
        <rFont val="宋体"/>
        <family val="3"/>
        <charset val="134"/>
      </rPr>
      <t>①</t>
    </r>
    <phoneticPr fontId="16" type="noConversion"/>
  </si>
  <si>
    <r>
      <rPr>
        <b/>
        <sz val="10"/>
        <rFont val="宋体"/>
        <family val="3"/>
        <charset val="134"/>
      </rPr>
      <t>⑤</t>
    </r>
    <r>
      <rPr>
        <b/>
        <sz val="10"/>
        <rFont val="Arial Narrow"/>
        <family val="2"/>
      </rPr>
      <t>=</t>
    </r>
    <r>
      <rPr>
        <b/>
        <sz val="10"/>
        <rFont val="宋体"/>
        <family val="3"/>
        <charset val="134"/>
      </rPr>
      <t>③</t>
    </r>
    <r>
      <rPr>
        <b/>
        <sz val="10"/>
        <rFont val="Arial Narrow"/>
        <family val="2"/>
      </rPr>
      <t>-</t>
    </r>
    <r>
      <rPr>
        <b/>
        <sz val="10"/>
        <rFont val="宋体"/>
        <family val="3"/>
        <charset val="134"/>
      </rPr>
      <t>④</t>
    </r>
    <phoneticPr fontId="16" type="noConversion"/>
  </si>
  <si>
    <t>（二）押金/保证金组合计提坏账准备</t>
    <phoneticPr fontId="16" type="noConversion"/>
  </si>
  <si>
    <r>
      <rPr>
        <b/>
        <sz val="10"/>
        <rFont val="宋体"/>
        <family val="3"/>
        <charset val="134"/>
      </rPr>
      <t>期后收款金额</t>
    </r>
    <phoneticPr fontId="16" type="noConversion"/>
  </si>
  <si>
    <r>
      <rPr>
        <b/>
        <sz val="10"/>
        <rFont val="宋体"/>
        <family val="3"/>
        <charset val="134"/>
      </rPr>
      <t>（二）其他应收款前</t>
    </r>
    <r>
      <rPr>
        <b/>
        <sz val="10"/>
        <rFont val="Arial Narrow"/>
        <family val="2"/>
      </rPr>
      <t>10</t>
    </r>
    <r>
      <rPr>
        <b/>
        <sz val="10"/>
        <rFont val="宋体"/>
        <family val="3"/>
        <charset val="134"/>
      </rPr>
      <t>名查验汇总表（不包含合并范围内关联方）</t>
    </r>
    <phoneticPr fontId="16" type="noConversion"/>
  </si>
  <si>
    <t>【提示：本底稿适用于调整分录较多、较复杂的项目，且仅列示与本报表项目相关的审计调整。项目组可根据项目实际情况选择是否使用该底稿。】</t>
    <phoneticPr fontId="16" type="noConversion"/>
  </si>
  <si>
    <r>
      <t>1.</t>
    </r>
    <r>
      <rPr>
        <sz val="10"/>
        <color rgb="FFFF0000"/>
        <rFont val="宋体"/>
        <family val="3"/>
        <charset val="134"/>
      </rPr>
      <t>针对期后收款的凭证检查，详见凭证检查表</t>
    </r>
    <r>
      <rPr>
        <sz val="10"/>
        <color rgb="FFFF0000"/>
        <rFont val="Arial Narrow"/>
        <family val="2"/>
      </rPr>
      <t>K1-</t>
    </r>
    <phoneticPr fontId="16" type="noConversion"/>
  </si>
  <si>
    <r>
      <rPr>
        <sz val="10"/>
        <color rgb="FF0000FF"/>
        <rFont val="宋体"/>
        <family val="3"/>
        <charset val="134"/>
      </rPr>
      <t>当单项其他应收款、长期应收款无法以合理成本评估预期信用损失的信息时，本集团依据信用风险特征将其他应收款、长期应收款划分为若干组合，在组合基础上计算预期信用损失，确定组合的依据如下：
其他应收款组合</t>
    </r>
    <r>
      <rPr>
        <sz val="10"/>
        <color rgb="FF0000FF"/>
        <rFont val="Arial Narrow"/>
        <family val="2"/>
      </rPr>
      <t xml:space="preserve">1   </t>
    </r>
    <r>
      <rPr>
        <sz val="10"/>
        <color rgb="FF0000FF"/>
        <rFont val="宋体"/>
        <family val="3"/>
        <charset val="134"/>
      </rPr>
      <t>应收押金和保证金
其他应收款组合</t>
    </r>
    <r>
      <rPr>
        <sz val="10"/>
        <color rgb="FF0000FF"/>
        <rFont val="Arial Narrow"/>
        <family val="2"/>
      </rPr>
      <t xml:space="preserve">2   </t>
    </r>
    <r>
      <rPr>
        <sz val="10"/>
        <color rgb="FF0000FF"/>
        <rFont val="宋体"/>
        <family val="3"/>
        <charset val="134"/>
      </rPr>
      <t>应收代垫款
其他应收款组合</t>
    </r>
    <r>
      <rPr>
        <sz val="10"/>
        <color rgb="FF0000FF"/>
        <rFont val="Arial Narrow"/>
        <family val="2"/>
      </rPr>
      <t xml:space="preserve">3   </t>
    </r>
    <r>
      <rPr>
        <sz val="10"/>
        <color rgb="FF0000FF"/>
        <rFont val="宋体"/>
        <family val="3"/>
        <charset val="134"/>
      </rPr>
      <t>应收其他款项
长期应收款组合</t>
    </r>
    <r>
      <rPr>
        <sz val="10"/>
        <color rgb="FF0000FF"/>
        <rFont val="Arial Narrow"/>
        <family val="2"/>
      </rPr>
      <t xml:space="preserve">1   </t>
    </r>
    <r>
      <rPr>
        <sz val="10"/>
        <color rgb="FF0000FF"/>
        <rFont val="宋体"/>
        <family val="3"/>
        <charset val="134"/>
      </rPr>
      <t>应收工程款、应收租赁款
长期应收款组合</t>
    </r>
    <r>
      <rPr>
        <sz val="10"/>
        <color rgb="FF0000FF"/>
        <rFont val="Arial Narrow"/>
        <family val="2"/>
      </rPr>
      <t xml:space="preserve">2   </t>
    </r>
    <r>
      <rPr>
        <sz val="10"/>
        <color rgb="FF0000FF"/>
        <rFont val="宋体"/>
        <family val="3"/>
        <charset val="134"/>
      </rPr>
      <t>应收其他款项
对于长期应收工程款、应收租赁款，本集团参考历史信用损失经验，结合当前状况以及对未来经济状况的预测，通过违约风险敞口和整个存续期预期信用损失率，计算预期信用损失。除长期应收工程款、应收租赁款之外的划分为组合的其他应收款和长期应收款，通过违约风险敞口和未来</t>
    </r>
    <r>
      <rPr>
        <sz val="10"/>
        <color rgb="FF0000FF"/>
        <rFont val="Arial Narrow"/>
        <family val="2"/>
      </rPr>
      <t>12</t>
    </r>
    <r>
      <rPr>
        <sz val="10"/>
        <color rgb="FF0000FF"/>
        <rFont val="宋体"/>
        <family val="3"/>
        <charset val="134"/>
      </rPr>
      <t>个月内或整个存续期预期信用损失率，计算预期信用损失。</t>
    </r>
    <phoneticPr fontId="16" type="noConversion"/>
  </si>
  <si>
    <r>
      <rPr>
        <sz val="10"/>
        <color rgb="FF0000FF"/>
        <rFont val="宋体"/>
        <family val="3"/>
        <charset val="134"/>
      </rPr>
      <t>当单项金融资产无法以合理成本评估预期信用损失的信息时，本集团依据信用风险特征将应收款项分为若干组合，在组合基础上计算预期信用损失，确定组合的依据如下：
组合一</t>
    </r>
    <r>
      <rPr>
        <sz val="10"/>
        <color rgb="FF0000FF"/>
        <rFont val="Arial Narrow"/>
        <family val="2"/>
      </rPr>
      <t xml:space="preserve">  </t>
    </r>
    <r>
      <rPr>
        <sz val="10"/>
        <color rgb="FF0000FF"/>
        <rFont val="宋体"/>
        <family val="3"/>
        <charset val="134"/>
      </rPr>
      <t>账龄
组合二</t>
    </r>
    <r>
      <rPr>
        <sz val="10"/>
        <color rgb="FF0000FF"/>
        <rFont val="Arial Narrow"/>
        <family val="2"/>
      </rPr>
      <t xml:space="preserve">  </t>
    </r>
    <r>
      <rPr>
        <sz val="10"/>
        <color rgb="FF0000FF"/>
        <rFont val="宋体"/>
        <family val="3"/>
        <charset val="134"/>
      </rPr>
      <t>关联方股利
组合三</t>
    </r>
    <r>
      <rPr>
        <sz val="10"/>
        <color rgb="FF0000FF"/>
        <rFont val="Arial Narrow"/>
        <family val="2"/>
      </rPr>
      <t xml:space="preserve">  </t>
    </r>
    <r>
      <rPr>
        <sz val="10"/>
        <color rgb="FF0000FF"/>
        <rFont val="宋体"/>
        <family val="3"/>
        <charset val="134"/>
      </rPr>
      <t>利息及银行承兑汇票
组合四</t>
    </r>
    <r>
      <rPr>
        <sz val="10"/>
        <color rgb="FF0000FF"/>
        <rFont val="Arial Narrow"/>
        <family val="2"/>
      </rPr>
      <t xml:space="preserve">  </t>
    </r>
    <r>
      <rPr>
        <sz val="10"/>
        <color rgb="FF0000FF"/>
        <rFont val="宋体"/>
        <family val="3"/>
        <charset val="134"/>
      </rPr>
      <t>保证金</t>
    </r>
    <r>
      <rPr>
        <sz val="10"/>
        <color rgb="FF0000FF"/>
        <rFont val="Arial Narrow"/>
        <family val="2"/>
      </rPr>
      <t>(</t>
    </r>
    <r>
      <rPr>
        <sz val="10"/>
        <color rgb="FF0000FF"/>
        <rFont val="宋体"/>
        <family val="3"/>
        <charset val="134"/>
      </rPr>
      <t>含押金</t>
    </r>
    <r>
      <rPr>
        <sz val="10"/>
        <color rgb="FF0000FF"/>
        <rFont val="Arial Narrow"/>
        <family val="2"/>
      </rPr>
      <t>)</t>
    </r>
    <r>
      <rPr>
        <sz val="10"/>
        <color rgb="FF0000FF"/>
        <rFont val="宋体"/>
        <family val="3"/>
        <charset val="134"/>
      </rPr>
      <t>组合及其他应收供应商款项
组合五</t>
    </r>
    <r>
      <rPr>
        <sz val="10"/>
        <color rgb="FF0000FF"/>
        <rFont val="Arial Narrow"/>
        <family val="2"/>
      </rPr>
      <t xml:space="preserve">  </t>
    </r>
    <r>
      <rPr>
        <sz val="10"/>
        <color rgb="FF0000FF"/>
        <rFont val="宋体"/>
        <family val="3"/>
        <charset val="134"/>
      </rPr>
      <t>应收合并范围内公司款项
对于划分为组合的其他应收款与长期应收款，本集团参考历史信用损失经验，结合当前状况以及对未来经济状况的预测，通过违约风险敞口和未来</t>
    </r>
    <r>
      <rPr>
        <sz val="10"/>
        <color rgb="FF0000FF"/>
        <rFont val="Arial Narrow"/>
        <family val="2"/>
      </rPr>
      <t>12</t>
    </r>
    <r>
      <rPr>
        <sz val="10"/>
        <color rgb="FF0000FF"/>
        <rFont val="宋体"/>
        <family val="3"/>
        <charset val="134"/>
      </rPr>
      <t>个月内或整个存续期预期信用损失率，计算预期信用损失。</t>
    </r>
    <phoneticPr fontId="16" type="noConversion"/>
  </si>
  <si>
    <r>
      <rPr>
        <sz val="10"/>
        <color rgb="FF0000FF"/>
        <rFont val="宋体"/>
        <family val="3"/>
        <charset val="134"/>
      </rPr>
      <t>对于存在客观证据表明存在减值，以及其他适用于单项评估的应收账款，单独进行减值测试，确认预期信用损失，计提单项减值准备。对于不存在减值客观证据的应收账款或当单项金融资产无法以合理成本评估预期信用损失的信息时，本集团依据信用风险特征将应收款项划分为若干组合，在组合基础上计算预期信用损失，确定组合的依据如下：
组合</t>
    </r>
    <r>
      <rPr>
        <sz val="10"/>
        <color rgb="FF0000FF"/>
        <rFont val="Arial Narrow"/>
        <family val="2"/>
      </rPr>
      <t xml:space="preserve">1 </t>
    </r>
    <r>
      <rPr>
        <sz val="10"/>
        <color rgb="FF0000FF"/>
        <rFont val="宋体"/>
        <family val="3"/>
        <charset val="134"/>
      </rPr>
      <t>押金和保证金
组合</t>
    </r>
    <r>
      <rPr>
        <sz val="10"/>
        <color rgb="FF0000FF"/>
        <rFont val="Arial Narrow"/>
        <family val="2"/>
      </rPr>
      <t xml:space="preserve">2 </t>
    </r>
    <r>
      <rPr>
        <sz val="10"/>
        <color rgb="FF0000FF"/>
        <rFont val="宋体"/>
        <family val="3"/>
        <charset val="134"/>
      </rPr>
      <t>员工备用金
组合</t>
    </r>
    <r>
      <rPr>
        <sz val="10"/>
        <color rgb="FF0000FF"/>
        <rFont val="Arial Narrow"/>
        <family val="2"/>
      </rPr>
      <t xml:space="preserve">3 </t>
    </r>
    <r>
      <rPr>
        <sz val="10"/>
        <color rgb="FF0000FF"/>
        <rFont val="宋体"/>
        <family val="3"/>
        <charset val="134"/>
      </rPr>
      <t>其他
对于划分为组合的其他应收款、贷款及贴现、长期应收款、其他债权投资和买入返售金融资产，本集团参考历史信用损失经验，结合当前状况以及对未来经济状况的预测，通过违约风险敞口和未来</t>
    </r>
    <r>
      <rPr>
        <sz val="10"/>
        <color rgb="FF0000FF"/>
        <rFont val="Arial Narrow"/>
        <family val="2"/>
      </rPr>
      <t>12</t>
    </r>
    <r>
      <rPr>
        <sz val="10"/>
        <color rgb="FF0000FF"/>
        <rFont val="宋体"/>
        <family val="3"/>
        <charset val="134"/>
      </rPr>
      <t>个月内或整个存续期预期信用损失率，计算预期信用损失。</t>
    </r>
    <phoneticPr fontId="16" type="noConversion"/>
  </si>
  <si>
    <r>
      <rPr>
        <sz val="10"/>
        <color rgb="FF0000FF"/>
        <rFont val="宋体"/>
        <family val="3"/>
        <charset val="134"/>
      </rPr>
      <t>提示</t>
    </r>
    <r>
      <rPr>
        <sz val="10"/>
        <color rgb="FF0000FF"/>
        <rFont val="Arial Narrow"/>
        <family val="2"/>
      </rPr>
      <t>1</t>
    </r>
    <r>
      <rPr>
        <sz val="10"/>
        <color rgb="FF0000FF"/>
        <rFont val="宋体"/>
        <family val="3"/>
        <charset val="134"/>
      </rPr>
      <t>：共同信用风险特征包括：金融工具类型、信用风险评级、担保物类型、</t>
    </r>
    <phoneticPr fontId="16" type="noConversion"/>
  </si>
  <si>
    <r>
      <t xml:space="preserve">1.3 </t>
    </r>
    <r>
      <rPr>
        <sz val="10"/>
        <rFont val="宋体"/>
        <family val="3"/>
        <charset val="134"/>
      </rPr>
      <t>对于在资产负债表日具有较低信用风险的金融工具，企业可以不用与其初始确认时的信用风险进行比较，而直接做出该工具的信用风险自初始确认后未显著增加的假定（企业对这种简化处理有选择权）。</t>
    </r>
    <phoneticPr fontId="16" type="noConversion"/>
  </si>
  <si>
    <t>金融工具不能仅因其担保物的价值较高而被视为具有较低的信用风险，也不能仅因为其与其他金融工具相比违约风险较低，</t>
    <phoneticPr fontId="16" type="noConversion"/>
  </si>
  <si>
    <t>或者相对于企业所处的地区的信用风险水平而言风险相对较低而被视为具有较低的信用风险。</t>
  </si>
  <si>
    <t>发生违约（即进入第三阶段）的时间不应迟于金融资产逾期90日这一期限，除非企业具有合理及可支持的信息表明涵盖更长期间的违约标准更为恰当。</t>
    <phoneticPr fontId="16" type="noConversion"/>
  </si>
  <si>
    <t>如果交易对手方未按合同规定时间支付约定的款项，则表明该金融资产发生逾期。</t>
  </si>
  <si>
    <r>
      <rPr>
        <sz val="10"/>
        <color rgb="FF0000FF"/>
        <rFont val="宋体"/>
        <family val="3"/>
        <charset val="134"/>
      </rPr>
      <t>对于其他应收款应用预期信用损失模型的一般方法时三阶段的划分，实务中可以考虑账龄（如</t>
    </r>
    <r>
      <rPr>
        <sz val="10"/>
        <color rgb="FF0000FF"/>
        <rFont val="Arial Narrow"/>
        <family val="2"/>
      </rPr>
      <t>1</t>
    </r>
    <r>
      <rPr>
        <sz val="10"/>
        <color rgb="FF0000FF"/>
        <rFont val="宋体"/>
        <family val="3"/>
        <charset val="134"/>
      </rPr>
      <t>年以内、超过</t>
    </r>
    <r>
      <rPr>
        <sz val="10"/>
        <color rgb="FF0000FF"/>
        <rFont val="Arial Narrow"/>
        <family val="2"/>
      </rPr>
      <t>1</t>
    </r>
    <r>
      <rPr>
        <sz val="10"/>
        <color rgb="FF0000FF"/>
        <rFont val="宋体"/>
        <family val="3"/>
        <charset val="134"/>
      </rPr>
      <t>年）、是否存在客观证据表明存在减值（如债务人已破产或很可能破产、债务人发生重大财务困难等）以及具有较低的信用风险的其他应收款（如债务人信用评级极好）。</t>
    </r>
    <phoneticPr fontId="16" type="noConversion"/>
  </si>
  <si>
    <r>
      <t>1.</t>
    </r>
    <r>
      <rPr>
        <sz val="10"/>
        <color rgb="FFFF0000"/>
        <rFont val="宋体"/>
        <family val="3"/>
        <charset val="134"/>
      </rPr>
      <t>针对期后收款的凭证检查，详见凭证检查表</t>
    </r>
    <r>
      <rPr>
        <sz val="10"/>
        <color rgb="FFFF0000"/>
        <rFont val="Arial Narrow"/>
        <family val="2"/>
      </rPr>
      <t>K1-</t>
    </r>
    <phoneticPr fontId="16" type="noConversion"/>
  </si>
  <si>
    <t>公司代码</t>
    <phoneticPr fontId="16" type="noConversion"/>
  </si>
  <si>
    <t>关联方类型</t>
    <phoneticPr fontId="16" type="noConversion"/>
  </si>
  <si>
    <t>关联方类型</t>
    <phoneticPr fontId="20" type="noConversion"/>
  </si>
  <si>
    <r>
      <rPr>
        <b/>
        <sz val="10"/>
        <rFont val="宋体"/>
        <family val="3"/>
        <charset val="134"/>
      </rPr>
      <t>款项性质</t>
    </r>
    <phoneticPr fontId="16" type="noConversion"/>
  </si>
  <si>
    <r>
      <rPr>
        <b/>
        <sz val="10"/>
        <rFont val="宋体"/>
        <family val="3"/>
        <charset val="134"/>
      </rPr>
      <t>款项性质</t>
    </r>
    <phoneticPr fontId="2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</si>
  <si>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6" type="noConversion"/>
  </si>
  <si>
    <t>财务报表的认定　</t>
    <phoneticPr fontId="16" type="noConversion"/>
  </si>
  <si>
    <t>K1-1
/K1-2
/K1-3</t>
    <phoneticPr fontId="16" type="noConversion"/>
  </si>
  <si>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phoneticPr fontId="48" type="noConversion"/>
  </si>
  <si>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phoneticPr fontId="48" type="noConversion"/>
  </si>
  <si>
    <t>√</t>
    <phoneticPr fontId="16" type="noConversion"/>
  </si>
  <si>
    <t>√</t>
    <phoneticPr fontId="16" type="noConversion"/>
  </si>
  <si>
    <t>了解并评价计提坏账准备计提政策、假设及计提方法，检查被审计单位制定的坏账准备政策的合理性。关注会计政策、会计估计合理性、一贯性，是否存在会计估计变更，关注其是否利用会计政策和会计估计及其变更操纵利润。</t>
    <phoneticPr fontId="16" type="noConversion"/>
  </si>
  <si>
    <r>
      <rPr>
        <sz val="10"/>
        <rFont val="宋体"/>
        <family val="3"/>
        <charset val="134"/>
      </rPr>
      <t>获取或编制明细表、执行下列程序，并编制审定表：
（</t>
    </r>
    <r>
      <rPr>
        <sz val="10"/>
        <rFont val="Arial Narrow"/>
        <family val="2"/>
      </rPr>
      <t>1</t>
    </r>
    <r>
      <rPr>
        <sz val="10"/>
        <rFont val="宋体"/>
        <family val="3"/>
        <charset val="134"/>
      </rPr>
      <t>）复核加计正确，并与总账数和明细账合计数核对是否相符，期初余额与上期审定期末余额是否相符；
（</t>
    </r>
    <r>
      <rPr>
        <sz val="10"/>
        <rFont val="Arial Narrow"/>
        <family val="2"/>
      </rPr>
      <t>2</t>
    </r>
    <r>
      <rPr>
        <sz val="10"/>
        <rFont val="宋体"/>
        <family val="3"/>
        <charset val="134"/>
      </rPr>
      <t>）获取管理层编制的预付账款账龄分析表，检查账龄划分是否正确；
（</t>
    </r>
    <r>
      <rPr>
        <sz val="10"/>
        <rFont val="Arial Narrow"/>
        <family val="2"/>
      </rPr>
      <t>3</t>
    </r>
    <r>
      <rPr>
        <sz val="10"/>
        <rFont val="宋体"/>
        <family val="3"/>
        <charset val="134"/>
      </rPr>
      <t>）了解重大明细项目的其他应收款内容及性质，进行类别分析，重点关注是否存在资金被关联企业</t>
    </r>
    <r>
      <rPr>
        <sz val="10"/>
        <rFont val="Arial Narrow"/>
        <family val="2"/>
      </rPr>
      <t>(</t>
    </r>
    <r>
      <rPr>
        <sz val="10"/>
        <rFont val="宋体"/>
        <family val="3"/>
        <charset val="134"/>
      </rPr>
      <t>或实际控制人</t>
    </r>
    <r>
      <rPr>
        <sz val="10"/>
        <rFont val="Arial Narrow"/>
        <family val="2"/>
      </rPr>
      <t>)</t>
    </r>
    <r>
      <rPr>
        <sz val="10"/>
        <rFont val="宋体"/>
        <family val="3"/>
        <charset val="134"/>
      </rPr>
      <t>大量占用、变相拆借资金、隐形投资、误用会计科目、或有损失等重大异常交易；
（</t>
    </r>
    <r>
      <rPr>
        <sz val="10"/>
        <rFont val="Arial Narrow"/>
        <family val="2"/>
      </rPr>
      <t>4</t>
    </r>
    <r>
      <rPr>
        <sz val="10"/>
        <rFont val="宋体"/>
        <family val="3"/>
        <charset val="134"/>
      </rPr>
      <t>）考虑结合应收账款、其他应付款等明细余额，检查是否有同时挂账的项目，核算内容是否重复，分析有贷方余额的项目，查明原因，必要时作出适当调整；
（</t>
    </r>
    <r>
      <rPr>
        <sz val="10"/>
        <rFont val="Arial Narrow"/>
        <family val="2"/>
      </rPr>
      <t>5</t>
    </r>
    <r>
      <rPr>
        <sz val="10"/>
        <rFont val="宋体"/>
        <family val="3"/>
        <charset val="134"/>
      </rPr>
      <t>）检查非记账本位币其他应收款的折算汇率及折算是否正确；</t>
    </r>
    <r>
      <rPr>
        <sz val="10"/>
        <color rgb="FFFF0000"/>
        <rFont val="宋体"/>
        <family val="3"/>
        <charset val="134"/>
      </rPr>
      <t>（如适用）</t>
    </r>
    <r>
      <rPr>
        <sz val="10"/>
        <color rgb="FFFF0000"/>
        <rFont val="Arial Narrow"/>
        <family val="2"/>
      </rPr>
      <t xml:space="preserve">   </t>
    </r>
    <r>
      <rPr>
        <sz val="10"/>
        <rFont val="宋体"/>
        <family val="3"/>
        <charset val="134"/>
      </rPr>
      <t xml:space="preserve">
（</t>
    </r>
    <r>
      <rPr>
        <sz val="10"/>
        <rFont val="Arial Narrow"/>
        <family val="2"/>
      </rPr>
      <t>6</t>
    </r>
    <r>
      <rPr>
        <sz val="10"/>
        <rFont val="宋体"/>
        <family val="3"/>
        <charset val="134"/>
      </rPr>
      <t>）分析期末余期与期初余额各款项性质占比变动是否合理、账龄的结构是否合理；</t>
    </r>
    <phoneticPr fontId="16" type="noConversion"/>
  </si>
  <si>
    <t>检查其他应收款及坏账准备是否已按企业会计准则或其他适用的规定在财务报表中做出恰当列报和披露。</t>
    <phoneticPr fontId="16" type="noConversion"/>
  </si>
  <si>
    <r>
      <rPr>
        <sz val="10"/>
        <rFont val="宋体"/>
        <family val="3"/>
        <charset val="134"/>
      </rPr>
      <t>检查其他应收款坏账准备计提是否正确：
（</t>
    </r>
    <r>
      <rPr>
        <sz val="10"/>
        <rFont val="Arial Narrow"/>
        <family val="2"/>
      </rPr>
      <t>1</t>
    </r>
    <r>
      <rPr>
        <sz val="10"/>
        <rFont val="宋体"/>
        <family val="3"/>
        <charset val="134"/>
      </rPr>
      <t>）了解其他应收款坏账准备计提会计政策，确定应收票据坏账准备是否以预期信用损失为基础计提，计提政策是否恰当，是否一贯执行，三阶段划分是否恰当；必要时，与同行业其他公司的会计政策进行对比，关注其是否利用会计政策和会计估计变更操纵利润；
（</t>
    </r>
    <r>
      <rPr>
        <sz val="10"/>
        <rFont val="Arial Narrow"/>
        <family val="2"/>
      </rPr>
      <t>2</t>
    </r>
    <r>
      <rPr>
        <sz val="10"/>
        <rFont val="宋体"/>
        <family val="3"/>
        <charset val="134"/>
      </rPr>
      <t>）重新计算应计提的坏账准备，与被审计单位已记录的坏账准备进行比较；
（</t>
    </r>
    <r>
      <rPr>
        <sz val="10"/>
        <rFont val="Arial Narrow"/>
        <family val="2"/>
      </rPr>
      <t>3</t>
    </r>
    <r>
      <rPr>
        <sz val="10"/>
        <rFont val="宋体"/>
        <family val="3"/>
        <charset val="134"/>
      </rPr>
      <t>）关注大额坏账准备转回是否合理。实际发生坏账损失的，检查转销依据是否符合有关规定，会计处理是否正确。已经确认并转销的坏账重新收回的，检查其会计处理是否正确。</t>
    </r>
    <phoneticPr fontId="16" type="noConversion"/>
  </si>
  <si>
    <r>
      <t>3.</t>
    </r>
    <r>
      <rPr>
        <sz val="10"/>
        <color indexed="8"/>
        <rFont val="宋体"/>
        <family val="3"/>
        <charset val="134"/>
      </rPr>
      <t>其他应收款、坏账准备以恰当的金额包括在财务报表中，与之相关的计价或分摊调整已恰当记录，相关披露已得到恰当计量和描述。</t>
    </r>
    <phoneticPr fontId="20" type="noConversion"/>
  </si>
  <si>
    <r>
      <t>1.</t>
    </r>
    <r>
      <rPr>
        <sz val="10"/>
        <rFont val="宋体"/>
        <family val="3"/>
        <charset val="134"/>
      </rPr>
      <t>资产负债表中记录的其他应收款坏账准备是存在的；</t>
    </r>
    <phoneticPr fontId="20" type="noConversion"/>
  </si>
  <si>
    <r>
      <t>2.</t>
    </r>
    <r>
      <rPr>
        <sz val="10"/>
        <rFont val="宋体"/>
        <family val="3"/>
        <charset val="134"/>
      </rPr>
      <t>所有应当记录的其他应收款坏账准备均已记录；</t>
    </r>
    <phoneticPr fontId="20" type="noConversion"/>
  </si>
  <si>
    <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6"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</si>
  <si>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6" type="noConversion"/>
  </si>
  <si>
    <t>提示</t>
    <phoneticPr fontId="16" type="noConversion"/>
  </si>
  <si>
    <r>
      <rPr>
        <sz val="10"/>
        <rFont val="宋体"/>
        <family val="3"/>
        <charset val="134"/>
      </rPr>
      <t>选择前</t>
    </r>
    <r>
      <rPr>
        <sz val="10"/>
        <rFont val="Arial Narrow"/>
        <family val="2"/>
      </rPr>
      <t>10</t>
    </r>
    <r>
      <rPr>
        <sz val="10"/>
        <rFont val="宋体"/>
        <family val="3"/>
        <charset val="134"/>
      </rPr>
      <t>名大额其他应收款余额，通过函证、与高管及相关人员控制、投资的其他公司核对，检查相关支持性证据，确定其他应收款是否存在，是否存在未识别的关联方。</t>
    </r>
    <phoneticPr fontId="16" type="noConversion"/>
  </si>
  <si>
    <t>K0</t>
    <phoneticPr fontId="16" type="noConversion"/>
  </si>
  <si>
    <t>其他应收款、坏账准备以恰当的金额包括在财务报表中，与之相关的计价或分摊调整已恰当记录，相关披露已得到恰当计量和描述</t>
    <phoneticPr fontId="16" type="noConversion"/>
  </si>
  <si>
    <t>【应说明被审计单位确定预期损失率的前瞻性信息来源（包括内部模型、第三方服务机构或利用外部专家工作等，以及项目组对前瞻性信息可靠性所执行的程序】</t>
    <phoneticPr fontId="16" type="noConversion"/>
  </si>
  <si>
    <t>【应说明被审计单位其他应收款历史损失率的数据来源，以及项目组核实该等数据所执行的程序。需考虑货币的时间价值】</t>
    <phoneticPr fontId="16" type="noConversion"/>
  </si>
  <si>
    <t>【以上组合划分方法仅为举例，实务中管理层应根据业务实际情况确定符合被审计单位经济业务特点的组合划分方式，或者均采用单项计提的方法；预期信用损失率的确定，可通过历史损失率和预期损失率确定，也可通过计算各年迁徙率并结合前瞻性信息等方式确定。】</t>
    <phoneticPr fontId="16" type="noConversion"/>
  </si>
  <si>
    <t>提示2：会计政策披露示例参考</t>
    <phoneticPr fontId="16" type="noConversion"/>
  </si>
  <si>
    <r>
      <t>2.</t>
    </r>
    <r>
      <rPr>
        <sz val="10"/>
        <color rgb="FFFF0000"/>
        <rFont val="宋体"/>
        <family val="3"/>
        <charset val="134"/>
      </rPr>
      <t>预期信用损失率的计量参考</t>
    </r>
    <r>
      <rPr>
        <sz val="10"/>
        <color rgb="FFFF0000"/>
        <rFont val="Arial Narrow"/>
        <family val="2"/>
      </rPr>
      <t xml:space="preserve"> D2</t>
    </r>
    <r>
      <rPr>
        <sz val="10"/>
        <color rgb="FFFF0000"/>
        <rFont val="宋体"/>
        <family val="3"/>
        <charset val="134"/>
      </rPr>
      <t>应收账款</t>
    </r>
    <r>
      <rPr>
        <sz val="10"/>
        <color rgb="FFFF0000"/>
        <rFont val="Arial Narrow"/>
        <family val="2"/>
      </rPr>
      <t>-</t>
    </r>
    <r>
      <rPr>
        <sz val="10"/>
        <color rgb="FFFF0000"/>
        <rFont val="宋体"/>
        <family val="3"/>
        <charset val="134"/>
      </rPr>
      <t>预期信用损失计提参考示例</t>
    </r>
    <phoneticPr fontId="16" type="noConversion"/>
  </si>
  <si>
    <t>是否诉讼</t>
    <phoneticPr fontId="16" type="noConversion"/>
  </si>
  <si>
    <t>计提坏账准备金额</t>
    <phoneticPr fontId="16" type="noConversion"/>
  </si>
  <si>
    <r>
      <t>1.</t>
    </r>
    <r>
      <rPr>
        <sz val="10"/>
        <rFont val="宋体"/>
        <family val="3"/>
        <charset val="134"/>
      </rPr>
      <t>资产负债表中记录的其他应收款、坏账准备是存在的，且已记录于恰当的账户；</t>
    </r>
    <phoneticPr fontId="16" type="noConversion"/>
  </si>
  <si>
    <t>提示：</t>
    <phoneticPr fontId="16" type="noConversion"/>
  </si>
  <si>
    <t>1.针对报告期内账龄较长的其他应收款，判断是否有长期挂账而推迟正常经营管理所需开支（如不合理的备用金）或无需支付（如不合理的往来款挂账）的情况，并检查其原始凭证，确认会计处理是否正确，必要时进行函证（CSRC551-9）。</t>
    <phoneticPr fontId="16" type="noConversion"/>
  </si>
  <si>
    <t>2.针对报告期内账龄较长的其他应收款，实施上条程序后未发现不合理的情况，应当进而分析账龄较长的原因，是否双方有纠纷或对方单位缺乏付款能力等，考虑坏账准备的计提是否充分。</t>
    <phoneticPr fontId="16" type="noConversion"/>
  </si>
  <si>
    <r>
      <t>1.</t>
    </r>
    <r>
      <rPr>
        <b/>
        <sz val="10"/>
        <rFont val="宋体"/>
        <family val="3"/>
        <charset val="134"/>
      </rPr>
      <t>本期发生额检查</t>
    </r>
    <phoneticPr fontId="16" type="noConversion"/>
  </si>
  <si>
    <r>
      <t>2.</t>
    </r>
    <r>
      <rPr>
        <b/>
        <sz val="10"/>
        <rFont val="宋体"/>
        <family val="3"/>
        <charset val="134"/>
      </rPr>
      <t>期后收款检查表</t>
    </r>
    <r>
      <rPr>
        <b/>
        <sz val="10"/>
        <rFont val="Arial Narrow"/>
        <family val="2"/>
      </rPr>
      <t/>
    </r>
    <phoneticPr fontId="16" type="noConversion"/>
  </si>
  <si>
    <t>贷方金额</t>
    <phoneticPr fontId="16" type="noConversion"/>
  </si>
  <si>
    <t>债务人名称</t>
    <phoneticPr fontId="20" type="noConversion"/>
  </si>
  <si>
    <t>债务人名称</t>
    <phoneticPr fontId="16" type="noConversion"/>
  </si>
  <si>
    <t>支持性文件</t>
    <phoneticPr fontId="16" type="noConversion"/>
  </si>
  <si>
    <r>
      <rPr>
        <b/>
        <sz val="10"/>
        <rFont val="宋体"/>
        <family val="3"/>
        <charset val="134"/>
      </rPr>
      <t>核对内容</t>
    </r>
  </si>
  <si>
    <t>索引号</t>
  </si>
  <si>
    <t>是否异常</t>
    <phoneticPr fontId="16" type="noConversion"/>
  </si>
  <si>
    <t>备注说明</t>
    <phoneticPr fontId="16" type="noConversion"/>
  </si>
  <si>
    <t>T1
/K0-2
/</t>
    <phoneticPr fontId="16" type="noConversion"/>
  </si>
  <si>
    <t>其他应收款关联方及交易检查表</t>
    <phoneticPr fontId="16" type="noConversion"/>
  </si>
  <si>
    <t>4</t>
    <phoneticPr fontId="16" type="noConversion"/>
  </si>
  <si>
    <t>K1-5</t>
  </si>
  <si>
    <t>K1-5</t>
    <phoneticPr fontId="16" type="noConversion"/>
  </si>
  <si>
    <t>K1-6</t>
  </si>
  <si>
    <t>K1-6</t>
    <phoneticPr fontId="16" type="noConversion"/>
  </si>
  <si>
    <t>5</t>
    <phoneticPr fontId="16" type="noConversion"/>
  </si>
  <si>
    <t>6</t>
    <phoneticPr fontId="16" type="noConversion"/>
  </si>
  <si>
    <t xml:space="preserve">K1-7
/K1-8
/K1-9
</t>
    <phoneticPr fontId="16" type="noConversion"/>
  </si>
  <si>
    <t>K1-10</t>
    <phoneticPr fontId="16" type="noConversion"/>
  </si>
  <si>
    <t>K1-12</t>
    <phoneticPr fontId="16" type="noConversion"/>
  </si>
  <si>
    <t>关联方及交易检查表</t>
    <phoneticPr fontId="16" type="noConversion"/>
  </si>
  <si>
    <t>其他应收款检查表</t>
    <phoneticPr fontId="16" type="noConversion"/>
  </si>
  <si>
    <t>其他应收款检查表</t>
    <phoneticPr fontId="16" type="noConversion"/>
  </si>
  <si>
    <t>K1-8</t>
  </si>
  <si>
    <t>索引号：</t>
    <phoneticPr fontId="16" type="noConversion"/>
  </si>
  <si>
    <t>页  次：</t>
    <phoneticPr fontId="16" type="noConversion"/>
  </si>
  <si>
    <t>信用减值损失会计政策检查</t>
    <phoneticPr fontId="16" type="noConversion"/>
  </si>
  <si>
    <t>其他应收款减值的三阶段划分检查表</t>
    <phoneticPr fontId="16" type="noConversion"/>
  </si>
  <si>
    <t>三阶段划分检查表</t>
    <phoneticPr fontId="16" type="noConversion"/>
  </si>
  <si>
    <t>坏账准备测算</t>
  </si>
  <si>
    <t>坏账准备转回（收回）、核销检查表</t>
  </si>
  <si>
    <t>附注披露信息(上市公司)</t>
  </si>
  <si>
    <t>附注披露信息(国企)</t>
  </si>
  <si>
    <t>实质性程序表</t>
  </si>
  <si>
    <t>明细表</t>
  </si>
  <si>
    <t>坏账准备明细表</t>
  </si>
  <si>
    <t>审定表</t>
    <phoneticPr fontId="16" type="noConversion"/>
  </si>
  <si>
    <t>调整分录汇总</t>
    <phoneticPr fontId="16" type="noConversion"/>
  </si>
  <si>
    <t>函证结果汇总表</t>
  </si>
  <si>
    <t>核实被函证单位信息</t>
  </si>
  <si>
    <t>跟函函证过程控制</t>
  </si>
  <si>
    <t>函证差异调节表</t>
  </si>
  <si>
    <t>邮件传真回函可靠性验证</t>
  </si>
  <si>
    <t>函证程序舞弊风险评价表</t>
  </si>
  <si>
    <t>其他应收款替代程序检查表</t>
    <phoneticPr fontId="16" type="noConversion"/>
  </si>
  <si>
    <t>K0-1</t>
    <phoneticPr fontId="16" type="noConversion"/>
  </si>
  <si>
    <t>K0-2</t>
  </si>
  <si>
    <t>K0-3</t>
  </si>
  <si>
    <t>K0-4</t>
  </si>
  <si>
    <t>K0-5</t>
  </si>
  <si>
    <t>K0-7</t>
  </si>
  <si>
    <t>K0-8</t>
    <phoneticPr fontId="16" type="noConversion"/>
  </si>
  <si>
    <r>
      <t xml:space="preserve">A. </t>
    </r>
    <r>
      <rPr>
        <sz val="10"/>
        <rFont val="宋体"/>
        <family val="3"/>
        <charset val="134"/>
      </rPr>
      <t>资产负债表中记录的其他应收款、坏账准备是存在的，且已记录于恰当的账户</t>
    </r>
    <phoneticPr fontId="16" type="noConversion"/>
  </si>
  <si>
    <t>针对账龄较长的其他应收款，分析账龄较长的原因，是否存在纠纷或者对方缺乏付款能力等，考虑坏账准备计提是否充分；判断是否有长期挂账而推迟正常经营管理所需开支情况，并检查其原始凭证，确认会计处理是否正确，必要时进行函证。</t>
    <phoneticPr fontId="16" type="noConversion"/>
  </si>
  <si>
    <t>检查关联方款项：
（1）了解交易的商业理由、交易事项的目的、价格和条件，考虑对关联方其他应收账款的合理性、合法性；结合费用审计考虑是否存在代关联方支付成本、费用；关注是否存在大股东或实际控制人及其关联方借款、资金占用；
（2）检查对关联方其他应收账款的真实性相关的支持性文件、检查会计处理是否正确；
（3）向关联方函证往来余额，必要时函证交易的条件和发生额（包括担保和其他重要信息）；
（4）必要时，向与交易相关的人员和机构（如银行、律师）函证或与其讨论有关信息；
（5）考虑是否存在未识别的关联方，关联交易和余额披露是否正确。</t>
    <phoneticPr fontId="16" type="noConversion"/>
  </si>
  <si>
    <t>IPO/上市/新三板/重组/舞弊应对</t>
    <phoneticPr fontId="48" type="noConversion"/>
  </si>
  <si>
    <t>大额其他应付款情况分析表</t>
    <phoneticPr fontId="16" type="noConversion"/>
  </si>
  <si>
    <t>实际控制人</t>
    <phoneticPr fontId="16" type="noConversion"/>
  </si>
  <si>
    <r>
      <rPr>
        <sz val="10"/>
        <rFont val="宋体"/>
        <family val="3"/>
        <charset val="134"/>
      </rPr>
      <t>持有</t>
    </r>
    <r>
      <rPr>
        <sz val="10"/>
        <rFont val="Arial Narrow"/>
        <family val="2"/>
      </rPr>
      <t>5%</t>
    </r>
    <r>
      <rPr>
        <sz val="10"/>
        <rFont val="宋体"/>
        <family val="3"/>
        <charset val="134"/>
      </rPr>
      <t>以上股份的法人或其他组织</t>
    </r>
    <phoneticPr fontId="16" type="noConversion"/>
  </si>
  <si>
    <t>联营企业</t>
    <phoneticPr fontId="16" type="noConversion"/>
  </si>
  <si>
    <t>董高监等关键管理人员</t>
    <phoneticPr fontId="16" type="noConversion"/>
  </si>
  <si>
    <t>其他关联方</t>
    <phoneticPr fontId="16" type="noConversion"/>
  </si>
  <si>
    <t>借方发生额</t>
    <phoneticPr fontId="16" type="noConversion"/>
  </si>
  <si>
    <t>贷方发生额</t>
    <phoneticPr fontId="16" type="noConversion"/>
  </si>
  <si>
    <r>
      <t>1</t>
    </r>
    <r>
      <rPr>
        <b/>
        <sz val="10"/>
        <rFont val="宋体"/>
        <family val="3"/>
        <charset val="134"/>
      </rPr>
      <t>、审计说明：</t>
    </r>
    <r>
      <rPr>
        <b/>
        <sz val="10"/>
        <color indexed="12"/>
        <rFont val="Arial Narrow"/>
        <family val="2"/>
      </rPr>
      <t/>
    </r>
    <phoneticPr fontId="16" type="noConversion"/>
  </si>
  <si>
    <r>
      <t>2</t>
    </r>
    <r>
      <rPr>
        <b/>
        <sz val="10"/>
        <rFont val="宋体"/>
        <family val="3"/>
        <charset val="134"/>
      </rPr>
      <t>、审计结论：</t>
    </r>
    <phoneticPr fontId="16" type="noConversion"/>
  </si>
  <si>
    <t>K1-11
/K1-12
/K0</t>
    <phoneticPr fontId="16" type="noConversion"/>
  </si>
  <si>
    <r>
      <rPr>
        <sz val="10"/>
        <color indexed="10"/>
        <rFont val="Arial Narrow"/>
        <family val="2"/>
      </rPr>
      <t>3.</t>
    </r>
    <r>
      <rPr>
        <sz val="10"/>
        <color indexed="10"/>
        <rFont val="宋体"/>
        <family val="3"/>
        <charset val="134"/>
      </rPr>
      <t>检查其他应收款、其他应付款各明细项目的性质，对于大额的代收、代付性质款项，检查相关合同、银行单据等支持性文件，必要时与客户取得沟通，向客户函证等，判断是否具有合理的交易目的。</t>
    </r>
    <phoneticPr fontId="20" type="noConversion"/>
  </si>
  <si>
    <t>分析主要债务人其他应收款期末余额，关注期末大额其他应收款商业合理性、真实性、期后收款情况；关注大额代收、代付性质款项，是否具有合理的交易目的等。</t>
    <phoneticPr fontId="16" type="noConversion"/>
  </si>
  <si>
    <r>
      <t>获取上期期末的其他应收款、坏账准备明细，复核加计正确，总账与明细账核对一致；识别重大的明细项目、查找异常项目并了解该明细项目的核算目的和用途；检查上期其他应收款在本期支付情况；函证期初余额以及其他必要追加的审计程序。</t>
    </r>
    <r>
      <rPr>
        <sz val="10"/>
        <color rgb="FFFF0000"/>
        <rFont val="宋体"/>
        <family val="3"/>
        <charset val="134"/>
      </rPr>
      <t>（适用于首次承接）</t>
    </r>
    <phoneticPr fontId="16" type="noConversion"/>
  </si>
  <si>
    <t>考虑是否存在超出被审计单位正常经营活动的重大、异常交易等，根据评估的舞弊风险等因素增加的审计程序。</t>
    <phoneticPr fontId="16" type="noConversion"/>
  </si>
  <si>
    <t>结合其他收益等科目，对于在资产负债表日按照应收金额确认的政府补助，执行以下程序：查验正式发布的财政资金管理办法中的（定额）测算公式，或检查政府补助批文是否标明确切金额，分析政府补助金额是否存在重大不确定性；检查补助款批文中承诺的拨付期限，以及款项拨付对应的财政预算，分析政府补助在规定期限内的可收回性。</t>
    <phoneticPr fontId="16" type="noConversion"/>
  </si>
  <si>
    <t>K10-5</t>
    <phoneticPr fontId="16" type="noConversion"/>
  </si>
  <si>
    <t>勿改、勿删</t>
    <phoneticPr fontId="16" type="noConversion"/>
  </si>
  <si>
    <r>
      <rPr>
        <sz val="10"/>
        <rFont val="宋体"/>
        <family val="3"/>
        <charset val="134"/>
      </rPr>
      <t>被审计单位：</t>
    </r>
    <r>
      <rPr>
        <sz val="10"/>
        <rFont val="Arial Narrow"/>
        <family val="2"/>
      </rPr>
      <t/>
    </r>
    <phoneticPr fontId="16" type="noConversion"/>
  </si>
  <si>
    <t>编制人：</t>
    <phoneticPr fontId="16" type="noConversion"/>
  </si>
  <si>
    <t>编制日期：</t>
    <phoneticPr fontId="16" type="noConversion"/>
  </si>
  <si>
    <t>复核人：</t>
    <phoneticPr fontId="16" type="noConversion"/>
  </si>
  <si>
    <t>复核日期：</t>
    <phoneticPr fontId="16" type="noConversion"/>
  </si>
  <si>
    <t>序号</t>
    <phoneticPr fontId="16" type="noConversion"/>
  </si>
  <si>
    <r>
      <t xml:space="preserve">B. </t>
    </r>
    <r>
      <rPr>
        <sz val="10"/>
        <rFont val="宋体"/>
        <family val="3"/>
        <charset val="134"/>
      </rPr>
      <t>所有应记录的其他应收款、坏账准备均已记录，所有应当包括在财务报表中的相关披露均已包括</t>
    </r>
    <phoneticPr fontId="16" type="noConversion"/>
  </si>
  <si>
    <r>
      <t xml:space="preserve">C. </t>
    </r>
    <r>
      <rPr>
        <sz val="10"/>
        <rFont val="宋体"/>
        <family val="3"/>
        <charset val="134"/>
      </rPr>
      <t>记录的其他应收款、坏账准备由被审计单位拥有或控制</t>
    </r>
    <phoneticPr fontId="16" type="noConversion"/>
  </si>
  <si>
    <r>
      <t xml:space="preserve">D. </t>
    </r>
    <r>
      <rPr>
        <sz val="10"/>
        <rFont val="宋体"/>
        <family val="3"/>
        <charset val="134"/>
      </rPr>
      <t>其他应收款、坏账准备以恰当的金额包括在财务报表中，与之相关的计价或分摊调整已恰当记录，相关披露已得到恰当计量和描述</t>
    </r>
    <phoneticPr fontId="16" type="noConversion"/>
  </si>
  <si>
    <r>
      <t xml:space="preserve">E. </t>
    </r>
    <r>
      <rPr>
        <sz val="10"/>
        <rFont val="宋体"/>
        <family val="3"/>
        <charset val="134"/>
      </rPr>
      <t>其他应收款、坏账准备已被恰当地汇总或分解且表述清楚，相关披露在按照企业会计准则的编制基础下是相关的、可理解的</t>
    </r>
    <phoneticPr fontId="16" type="noConversion"/>
  </si>
  <si>
    <t>大额其他应收款情况分析表</t>
    <phoneticPr fontId="16" type="noConversion"/>
  </si>
  <si>
    <t>（一）账龄原值</t>
    <phoneticPr fontId="16" type="noConversion"/>
  </si>
  <si>
    <t>（二）账龄坏账准备</t>
    <phoneticPr fontId="16" type="noConversion"/>
  </si>
  <si>
    <t>（三）账龄净值</t>
    <phoneticPr fontId="16" type="noConversion"/>
  </si>
  <si>
    <t>二、其他应收款账龄分布</t>
    <phoneticPr fontId="16" type="noConversion"/>
  </si>
  <si>
    <t>关于工作底稿与审计程序索引号对应的说明</t>
    <phoneticPr fontId="16"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</si>
  <si>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</si>
  <si>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6"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</si>
  <si>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6"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</si>
  <si>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 type="noConversion"/>
  </si>
  <si>
    <t>期末余额</t>
    <phoneticPr fontId="16" type="noConversion"/>
  </si>
  <si>
    <t>被审计单位重分类调整</t>
    <phoneticPr fontId="16" type="noConversion"/>
  </si>
  <si>
    <r>
      <rPr>
        <b/>
        <sz val="10"/>
        <rFont val="宋体"/>
        <family val="3"/>
        <charset val="134"/>
      </rPr>
      <t>期末余额</t>
    </r>
    <phoneticPr fontId="20" type="noConversion"/>
  </si>
  <si>
    <t>随机选样/系统选样/货币单元抽样/随意选样（非统计抽样适用）</t>
    <phoneticPr fontId="16" type="noConversion"/>
  </si>
  <si>
    <r>
      <rPr>
        <sz val="10"/>
        <color rgb="FF0000FF"/>
        <rFont val="宋体"/>
        <family val="3"/>
        <charset val="134"/>
      </rPr>
      <t>抽取</t>
    </r>
    <r>
      <rPr>
        <sz val="10"/>
        <color rgb="FF0000FF"/>
        <rFont val="Arial Narrow"/>
        <family val="2"/>
      </rPr>
      <t>XX</t>
    </r>
    <r>
      <rPr>
        <sz val="10"/>
        <color rgb="FF0000FF"/>
        <rFont val="宋体"/>
        <family val="3"/>
        <charset val="134"/>
      </rPr>
      <t>笔（如果使用了样本计算器计算样本量，样本量计算过程见</t>
    </r>
    <r>
      <rPr>
        <sz val="10"/>
        <color rgb="FF0000FF"/>
        <rFont val="Arial Narrow"/>
        <family val="2"/>
      </rPr>
      <t>&lt;XX&gt;</t>
    </r>
    <r>
      <rPr>
        <sz val="10"/>
        <color rgb="FF0000FF"/>
        <rFont val="宋体"/>
        <family val="3"/>
        <charset val="134"/>
      </rPr>
      <t>底稿）</t>
    </r>
    <phoneticPr fontId="16" type="noConversion"/>
  </si>
  <si>
    <r>
      <t>1.</t>
    </r>
    <r>
      <rPr>
        <sz val="10"/>
        <rFont val="宋体"/>
        <family val="3"/>
        <charset val="134"/>
      </rPr>
      <t>本期发生额、期末余额检查比例：</t>
    </r>
    <phoneticPr fontId="16" type="noConversion"/>
  </si>
  <si>
    <t>方向</t>
    <phoneticPr fontId="16" type="noConversion"/>
  </si>
  <si>
    <t>账面金额</t>
    <phoneticPr fontId="16" type="noConversion"/>
  </si>
  <si>
    <t>检查金额</t>
    <phoneticPr fontId="16" type="noConversion"/>
  </si>
  <si>
    <t>检查比例</t>
    <phoneticPr fontId="16" type="noConversion"/>
  </si>
  <si>
    <t>如果检查比例较低应扩大检查样本量或说明原因</t>
    <phoneticPr fontId="16" type="noConversion"/>
  </si>
  <si>
    <t>本期借方</t>
    <phoneticPr fontId="16" type="noConversion"/>
  </si>
  <si>
    <t>本期贷方</t>
    <phoneticPr fontId="16" type="noConversion"/>
  </si>
  <si>
    <t>期末余额</t>
    <phoneticPr fontId="16" type="noConversion"/>
  </si>
  <si>
    <t>2.……</t>
    <phoneticPr fontId="16" type="noConversion"/>
  </si>
  <si>
    <t>根据被审计单位实际情况和风险评估情况裁剪、修改或增加审计程序</t>
    <phoneticPr fontId="16" type="noConversion"/>
  </si>
  <si>
    <t>审计程序</t>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</si>
</sst>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3" formatCode="_ * #,##0.00_ ;_ * \-#,##0.00_ ;_ * &quot;-&quot;??_ ;_ @_ "/>
    <numFmt numFmtId="176" formatCode="_(* #,##0_);_(* \(#,##0\);_(* &quot;-&quot;_);_(@_)"/>
    <numFmt numFmtId="177" formatCode="_(* #,##0.00_);_(* \(#,##0.00\);_(* &quot;-&quot;??_);_(@_)"/>
    <numFmt numFmtId="178" formatCode="&quot;$&quot;#,##0_);\(&quot;$&quot;#,##0\)"/>
    <numFmt numFmtId="179" formatCode="&quot;\&quot;#,##0;&quot;\&quot;&quot;\&quot;\-#,##0"/>
    <numFmt numFmtId="180" formatCode="&quot;\&quot;#,##0;[Red]&quot;\&quot;&quot;\&quot;\-#,##0"/>
    <numFmt numFmtId="181" formatCode="_-#,##0.00_-;\(#,##0.00\);_-\ \ &quot;-&quot;_-;_-@_-"/>
    <numFmt numFmtId="182" formatCode="mmm/yyyy;_-\ &quot;N/A&quot;_-;_-\ &quot;-&quot;_-"/>
    <numFmt numFmtId="183" formatCode="mmm/dd/yyyy;_-\ &quot;N/A&quot;_-;_-\ &quot;-&quot;_-"/>
    <numFmt numFmtId="184" formatCode="_-#,##0_-;\(#,##0\);_-\ \ &quot;-&quot;_-;_-@_-"/>
    <numFmt numFmtId="185" formatCode="_-#,##0%_-;\(#,##0%\);_-\ &quot;-&quot;_-"/>
    <numFmt numFmtId="186" formatCode="_-#,###,_-;\(#,###,\);_-\ \ &quot;-&quot;_-;_-@_-"/>
    <numFmt numFmtId="187" formatCode="_-#,###.00,_-;\(#,###.00,\);_-\ \ &quot;-&quot;_-;_-@_-"/>
    <numFmt numFmtId="188" formatCode="_([$€-2]* #,##0.00_);_([$€-2]* \(#,##0.00\);_([$€-2]* &quot;-&quot;??_)"/>
    <numFmt numFmtId="189" formatCode="_-#0&quot;.&quot;0000_-;\(#0&quot;.&quot;0000\);_-\ \ &quot;-&quot;_-;_-@_-"/>
    <numFmt numFmtId="190" formatCode="_-#0&quot;.&quot;0,_-;\(#0&quot;.&quot;0,\);_-\ \ &quot;-&quot;_-;_-@_-"/>
    <numFmt numFmtId="191" formatCode="#,##0.00_ "/>
    <numFmt numFmtId="192" formatCode="0%;\(0%\)"/>
    <numFmt numFmtId="193" formatCode="0.0%"/>
    <numFmt numFmtId="194" formatCode="#,##0;\-#,##0;&quot;-&quot;"/>
    <numFmt numFmtId="195" formatCode="&quot;$&quot;#,##0;[Red]&quot;$&quot;&quot;$&quot;&quot;$&quot;&quot;$&quot;&quot;$&quot;&quot;$&quot;&quot;$&quot;\-#,##0"/>
    <numFmt numFmtId="196" formatCode="#,##0.0_);\(#,##0.0\)"/>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5" formatCode="yyyy\-mm\-dd;@"/>
    <numFmt numFmtId="206" formatCode="&quot;¥&quot;#,##0;\-&quot;¥&quot;#,##0"/>
    <numFmt numFmtId="207" formatCode="#.\ \ "/>
    <numFmt numFmtId="208" formatCode="##.\ \ "/>
    <numFmt numFmtId="209" formatCode="\(#,##0\)\ "/>
    <numFmt numFmtId="210" formatCode="[Blue]0.0%;[Blue]\(0.0%\)"/>
    <numFmt numFmtId="211" formatCode="0.0%;\(0.0%\)"/>
    <numFmt numFmtId="212" formatCode="[Red]0.0%;[Red]\(0.0%\)"/>
    <numFmt numFmtId="213" formatCode="[Blue]#,##0_);[Blue]\(#,##0\)"/>
    <numFmt numFmtId="214" formatCode="#,##0_);[Blue]\(#,##0\)"/>
    <numFmt numFmtId="215" formatCode="#,##0;\(#,##0\)"/>
    <numFmt numFmtId="216" formatCode="\$#,##0.00;\(\$#,##0.00\)"/>
    <numFmt numFmtId="217" formatCode="#,##0.000000"/>
    <numFmt numFmtId="218" formatCode="\$#,##0;\(\$#,##0\)"/>
    <numFmt numFmtId="219" formatCode="&quot;?#,##0;\-&quot;?#,##0"/>
    <numFmt numFmtId="220" formatCode="_-* #,##0&quot;¥&quot;_-;\-* #,##0&quot;¥&quot;_-;_-* &quot;-&quot;&quot;¥&quot;_-;_-@_-"/>
    <numFmt numFmtId="221" formatCode="&quot;$&quot;#,##0;\-&quot;$&quot;#,##0"/>
    <numFmt numFmtId="222" formatCode="#,##0&quot; $&quot;;[Red]\-#,##0&quot; $&quot;"/>
    <numFmt numFmtId="223" formatCode="\ \ @"/>
    <numFmt numFmtId="224" formatCode="#,##0_);\(#,##0_)"/>
    <numFmt numFmtId="225" formatCode="_-* #,##0\ _k_r_-;\-* #,##0\ _k_r_-;_-* &quot;-&quot;\ _k_r_-;_-@_-"/>
    <numFmt numFmtId="226" formatCode="_-* #,##0.00\ _k_r_-;\-* #,##0.00\ _k_r_-;_-* &quot;-&quot;??\ _k_r_-;_-@_-"/>
    <numFmt numFmtId="227" formatCode="#,##0.00_);#,##0.00\)"/>
    <numFmt numFmtId="228" formatCode="0.00000&quot;  &quot;"/>
    <numFmt numFmtId="229" formatCode="_-* #,##0_-;\-* #,##0_-;_-* &quot;-&quot;_-;_-@_-"/>
    <numFmt numFmtId="230" formatCode="_-* #,##0.00_-;\-* #,##0.00_-;_-* &quot;-&quot;??_-;_-@_-"/>
    <numFmt numFmtId="231" formatCode="_-&quot;$&quot;* #,##0_-;\-&quot;$&quot;* #,##0_-;_-&quot;$&quot;* &quot;-&quot;_-;_-@_-"/>
    <numFmt numFmtId="232" formatCode="_-&quot;$&quot;* #,##0.00_-;\-&quot;$&quot;* #,##0.00_-;_-&quot;$&quot;* &quot;-&quot;??_-;_-@_-"/>
    <numFmt numFmtId="233" formatCode="&quot;\&quot;#,##0.00;[Red]&quot;\&quot;&quot;\&quot;&quot;\&quot;&quot;\&quot;&quot;\&quot;&quot;\&quot;\-#,##0.00"/>
    <numFmt numFmtId="234" formatCode="&quot;\&quot;#,##0.00;[Red]&quot;\&quot;\-#,##0.00"/>
    <numFmt numFmtId="235" formatCode="&quot;\&quot;#,##0;[Red]&quot;\&quot;\-#,##0"/>
    <numFmt numFmtId="236" formatCode="0_);[Red]\(0\)"/>
  </numFmts>
  <fonts count="180">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sz val="10"/>
      <color indexed="12"/>
      <name val="宋体"/>
      <family val="3"/>
      <charset val="134"/>
    </font>
    <font>
      <sz val="12"/>
      <name val="Times New Roman"/>
      <family val="1"/>
    </font>
    <font>
      <sz val="18"/>
      <color indexed="48"/>
      <name val="魏碑"/>
      <family val="3"/>
      <charset val="134"/>
    </font>
    <font>
      <sz val="10"/>
      <name val="Arial Narrow"/>
      <family val="2"/>
    </font>
    <font>
      <b/>
      <sz val="10"/>
      <name val="Arial Narrow"/>
      <family val="2"/>
    </font>
    <font>
      <sz val="12"/>
      <name val="Arial"/>
      <family val="2"/>
    </font>
    <font>
      <sz val="10.5"/>
      <name val="Arial"/>
      <family val="2"/>
    </font>
    <font>
      <b/>
      <sz val="10"/>
      <color indexed="10"/>
      <name val="Arial"/>
      <family val="2"/>
    </font>
    <font>
      <b/>
      <sz val="12"/>
      <name val="Arial"/>
      <family val="2"/>
    </font>
    <font>
      <u val="singleAccounting"/>
      <vertAlign val="subscript"/>
      <sz val="10"/>
      <name val="Times New Roman"/>
      <family val="1"/>
    </font>
    <font>
      <i/>
      <sz val="9"/>
      <name val="Times New Roman"/>
      <family val="1"/>
    </font>
    <font>
      <u/>
      <sz val="10"/>
      <name val="Arial Narrow"/>
      <family val="2"/>
    </font>
    <font>
      <sz val="10"/>
      <color indexed="10"/>
      <name val="Arial Narrow"/>
      <family val="2"/>
    </font>
    <font>
      <sz val="10"/>
      <color indexed="12"/>
      <name val="Arial Narrow"/>
      <family val="2"/>
    </font>
    <font>
      <b/>
      <sz val="12"/>
      <name val="Arial Narrow"/>
      <family val="2"/>
    </font>
    <font>
      <sz val="12"/>
      <name val="Arial Narrow"/>
      <family val="2"/>
    </font>
    <font>
      <b/>
      <sz val="10"/>
      <color indexed="8"/>
      <name val="Arial Narrow"/>
      <family val="2"/>
    </font>
    <font>
      <b/>
      <sz val="10"/>
      <name val="宋体"/>
      <family val="3"/>
      <charset val="134"/>
    </font>
    <font>
      <b/>
      <sz val="10"/>
      <color indexed="12"/>
      <name val="宋体"/>
      <family val="3"/>
      <charset val="134"/>
    </font>
    <font>
      <sz val="10"/>
      <color indexed="10"/>
      <name val="宋体"/>
      <family val="3"/>
      <charset val="134"/>
    </font>
    <font>
      <b/>
      <sz val="10"/>
      <color indexed="8"/>
      <name val="宋体"/>
      <family val="3"/>
      <charset val="134"/>
    </font>
    <font>
      <sz val="10"/>
      <color rgb="FFFF0000"/>
      <name val="Arial Narrow"/>
      <family val="2"/>
    </font>
    <font>
      <sz val="10"/>
      <color rgb="FFFF0000"/>
      <name val="宋体"/>
      <family val="3"/>
      <charset val="134"/>
    </font>
    <font>
      <i/>
      <sz val="10"/>
      <color indexed="12"/>
      <name val="Arial Narrow"/>
      <family val="2"/>
    </font>
    <font>
      <sz val="11"/>
      <color theme="1"/>
      <name val="宋体"/>
      <family val="2"/>
      <scheme val="minor"/>
    </font>
    <font>
      <sz val="10"/>
      <color indexed="8"/>
      <name val="Arial"/>
      <family val="2"/>
    </font>
    <font>
      <sz val="10"/>
      <color rgb="FF0000FF"/>
      <name val="宋体"/>
      <family val="3"/>
      <charset val="134"/>
    </font>
    <font>
      <sz val="9"/>
      <name val="宋体"/>
      <family val="2"/>
      <charset val="134"/>
      <scheme val="minor"/>
    </font>
    <font>
      <sz val="10"/>
      <color rgb="FF0000FF"/>
      <name val="Arial Narrow"/>
      <family val="2"/>
    </font>
    <font>
      <b/>
      <u/>
      <sz val="10"/>
      <color indexed="10"/>
      <name val="Arial Narrow"/>
      <family val="2"/>
    </font>
    <font>
      <sz val="9"/>
      <color indexed="8"/>
      <name val="宋体"/>
      <family val="3"/>
      <charset val="134"/>
    </font>
    <font>
      <b/>
      <sz val="10"/>
      <name val="宋体"/>
      <family val="3"/>
      <charset val="134"/>
      <scheme val="minor"/>
    </font>
    <font>
      <sz val="10"/>
      <name val="宋体"/>
      <family val="3"/>
      <charset val="134"/>
      <scheme val="minor"/>
    </font>
    <font>
      <sz val="9"/>
      <name val="Arial Narrow"/>
      <family val="2"/>
    </font>
    <font>
      <b/>
      <sz val="10"/>
      <color rgb="FFFF0000"/>
      <name val="宋体"/>
      <family val="3"/>
      <charset val="134"/>
    </font>
    <font>
      <b/>
      <sz val="10"/>
      <color indexed="10"/>
      <name val="Arial Narrow"/>
      <family val="2"/>
    </font>
    <font>
      <b/>
      <sz val="10"/>
      <color theme="1"/>
      <name val="Arial Narrow"/>
      <family val="2"/>
    </font>
    <font>
      <b/>
      <sz val="10"/>
      <color theme="1"/>
      <name val="宋体"/>
      <family val="3"/>
      <charset val="134"/>
    </font>
    <font>
      <b/>
      <sz val="10"/>
      <color rgb="FF0000FF"/>
      <name val="宋体"/>
      <family val="3"/>
      <charset val="134"/>
    </font>
    <font>
      <u/>
      <sz val="10"/>
      <color indexed="12"/>
      <name val="宋体"/>
      <family val="3"/>
      <charset val="134"/>
    </font>
    <font>
      <sz val="10"/>
      <color theme="1"/>
      <name val="Arial Narrow"/>
      <family val="2"/>
    </font>
    <font>
      <sz val="10"/>
      <color indexed="8"/>
      <name val="Arial Narrow"/>
      <family val="2"/>
    </font>
    <font>
      <b/>
      <sz val="10"/>
      <color rgb="FFFF0000"/>
      <name val="Arial Narrow"/>
      <family val="2"/>
    </font>
    <font>
      <sz val="11"/>
      <color theme="1"/>
      <name val="宋体"/>
      <family val="2"/>
      <charset val="134"/>
      <scheme val="minor"/>
    </font>
    <font>
      <i/>
      <u/>
      <sz val="10"/>
      <color indexed="12"/>
      <name val="Arial Narrow"/>
      <family val="2"/>
    </font>
    <font>
      <sz val="12"/>
      <color indexed="12"/>
      <name val="仿宋_GB2312"/>
      <family val="3"/>
      <charset val="134"/>
    </font>
    <font>
      <sz val="10"/>
      <color indexed="8"/>
      <name val="宋体"/>
      <family val="3"/>
      <charset val="134"/>
    </font>
    <font>
      <sz val="13"/>
      <name val="Tms Rm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sz val="11"/>
      <name val="ＭＳ Ｐゴシック"/>
      <family val="2"/>
    </font>
    <font>
      <sz val="12"/>
      <name val="바탕체"/>
      <family val="3"/>
    </font>
    <font>
      <b/>
      <sz val="10"/>
      <color indexed="12"/>
      <name val="Arial Narrow"/>
      <family val="2"/>
    </font>
    <font>
      <sz val="10"/>
      <color rgb="FFC00000"/>
      <name val="宋体"/>
      <family val="3"/>
      <charset val="134"/>
    </font>
    <font>
      <sz val="12"/>
      <name val="???"/>
      <family val="1"/>
    </font>
    <font>
      <sz val="10"/>
      <name val="Helv"/>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b/>
      <sz val="10"/>
      <name val="Helv"/>
      <family val="2"/>
    </font>
    <font>
      <sz val="10"/>
      <name val="MS Serif"/>
      <family val="1"/>
    </font>
    <font>
      <sz val="12"/>
      <name val="Tms Rmn"/>
      <family val="1"/>
    </font>
    <font>
      <sz val="10"/>
      <color indexed="16"/>
      <name val="MS Serif"/>
      <family val="1"/>
    </font>
    <font>
      <b/>
      <sz val="12"/>
      <name val="Helv"/>
      <family val="2"/>
    </font>
    <font>
      <sz val="12"/>
      <name val="Helv"/>
      <family val="2"/>
    </font>
    <font>
      <sz val="12"/>
      <color indexed="9"/>
      <name val="Helv"/>
      <family val="2"/>
    </font>
    <font>
      <b/>
      <sz val="11"/>
      <name val="Helv"/>
      <family val="2"/>
    </font>
    <font>
      <sz val="10"/>
      <name val="Tms Rmn"/>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8"/>
      <color indexed="8"/>
      <name val="Helv"/>
      <family val="2"/>
    </font>
    <font>
      <sz val="14"/>
      <name val="柧挬"/>
      <family val="2"/>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9"/>
      <color indexed="81"/>
      <name val="宋体"/>
      <family val="3"/>
      <charset val="134"/>
    </font>
    <font>
      <b/>
      <sz val="9"/>
      <color indexed="81"/>
      <name val="宋体"/>
      <family val="3"/>
      <charset val="134"/>
    </font>
    <font>
      <b/>
      <sz val="14"/>
      <name val="宋体"/>
      <family val="3"/>
      <charset val="134"/>
    </font>
    <font>
      <sz val="10"/>
      <color theme="1"/>
      <name val="宋体"/>
      <family val="3"/>
      <charset val="134"/>
    </font>
    <font>
      <sz val="10"/>
      <name val="Arial Narrow"/>
      <family val="3"/>
      <charset val="134"/>
    </font>
    <font>
      <b/>
      <sz val="10"/>
      <color rgb="FF000000"/>
      <name val="宋体"/>
      <family val="3"/>
      <charset val="134"/>
    </font>
    <font>
      <sz val="10"/>
      <color rgb="FF000000"/>
      <name val="宋体"/>
      <family val="2"/>
      <charset val="134"/>
    </font>
    <font>
      <b/>
      <sz val="10"/>
      <color rgb="FFE92841"/>
      <name val="Arial Narrow"/>
      <family val="2"/>
    </font>
    <font>
      <b/>
      <sz val="10"/>
      <color rgb="FF000000"/>
      <name val="宋体"/>
      <family val="3"/>
      <charset val="134"/>
      <scheme val="minor"/>
    </font>
    <font>
      <sz val="10"/>
      <color rgb="FFFF0000"/>
      <name val="宋体"/>
      <family val="3"/>
      <charset val="134"/>
      <scheme val="minor"/>
    </font>
    <font>
      <sz val="10"/>
      <color theme="1"/>
      <name val="宋体"/>
      <family val="3"/>
      <charset val="134"/>
      <scheme val="minor"/>
    </font>
    <font>
      <sz val="10"/>
      <color rgb="FF000000"/>
      <name val="宋体"/>
      <family val="3"/>
      <charset val="134"/>
      <scheme val="minor"/>
    </font>
    <font>
      <sz val="10"/>
      <color rgb="FF0000FF"/>
      <name val="宋体"/>
      <family val="3"/>
      <charset val="134"/>
      <scheme val="minor"/>
    </font>
    <font>
      <b/>
      <u/>
      <sz val="10"/>
      <color rgb="FF0000FF"/>
      <name val="宋体"/>
      <family val="3"/>
      <charset val="134"/>
      <scheme val="minor"/>
    </font>
    <font>
      <b/>
      <sz val="10"/>
      <color rgb="FF0000FF"/>
      <name val="宋体"/>
      <family val="3"/>
      <charset val="134"/>
      <scheme val="minor"/>
    </font>
    <font>
      <sz val="10"/>
      <color rgb="FF000000"/>
      <name val="Arial Narrow"/>
      <family val="2"/>
    </font>
    <font>
      <b/>
      <sz val="10"/>
      <color rgb="FF000000"/>
      <name val="Arial Narrow"/>
      <family val="2"/>
    </font>
    <font>
      <b/>
      <sz val="14"/>
      <name val="Arial Narrow"/>
      <family val="2"/>
    </font>
    <font>
      <sz val="12"/>
      <color rgb="FF0000FF"/>
      <name val="宋体"/>
      <family val="3"/>
      <charset val="134"/>
    </font>
    <font>
      <sz val="9"/>
      <color rgb="FF0000FF"/>
      <name val="Arial Narrow"/>
      <family val="2"/>
    </font>
    <font>
      <sz val="9"/>
      <color rgb="FF0000FF"/>
      <name val="宋体"/>
      <family val="3"/>
      <charset val="134"/>
    </font>
    <font>
      <sz val="9"/>
      <name val="Arial"/>
      <family val="2"/>
      <charset val="134"/>
    </font>
    <font>
      <b/>
      <sz val="14"/>
      <name val="宋体"/>
      <family val="3"/>
      <charset val="134"/>
      <scheme val="minor"/>
    </font>
    <font>
      <b/>
      <sz val="12"/>
      <name val="宋体"/>
      <family val="3"/>
      <charset val="134"/>
      <scheme val="minor"/>
    </font>
    <font>
      <sz val="10"/>
      <color indexed="8"/>
      <name val="宋体"/>
      <family val="3"/>
      <charset val="134"/>
      <scheme val="minor"/>
    </font>
    <font>
      <b/>
      <sz val="10"/>
      <color theme="1"/>
      <name val="宋体"/>
      <family val="3"/>
      <charset val="134"/>
      <scheme val="minor"/>
    </font>
    <font>
      <b/>
      <sz val="10"/>
      <color indexed="8"/>
      <name val="宋体"/>
      <family val="3"/>
      <charset val="134"/>
      <scheme val="minor"/>
    </font>
    <font>
      <sz val="12"/>
      <color rgb="FFFF0000"/>
      <name val="宋体"/>
      <family val="3"/>
      <charset val="134"/>
    </font>
    <font>
      <b/>
      <sz val="12"/>
      <color rgb="FF0000FF"/>
      <name val="宋体"/>
      <family val="3"/>
      <charset val="134"/>
      <scheme val="minor"/>
    </font>
    <font>
      <b/>
      <sz val="10"/>
      <color indexed="12"/>
      <name val="宋体"/>
      <family val="3"/>
      <charset val="134"/>
      <scheme val="minor"/>
    </font>
  </fonts>
  <fills count="7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DCD5E5"/>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indexed="65"/>
        <bgColor indexed="64"/>
      </patternFill>
    </fill>
    <fill>
      <patternFill patternType="gray0625">
        <fgColor indexed="10"/>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15"/>
      </patternFill>
    </fill>
    <fill>
      <patternFill patternType="solid">
        <fgColor indexed="12"/>
      </patternFill>
    </fill>
    <fill>
      <patternFill patternType="solid">
        <fgColor indexed="9"/>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14999847407452621"/>
        <bgColor indexed="64"/>
      </patternFill>
    </fill>
    <fill>
      <patternFill patternType="solid">
        <fgColor rgb="FFE4DFEC"/>
        <bgColor indexed="64"/>
      </patternFill>
    </fill>
    <fill>
      <patternFill patternType="solid">
        <fgColor rgb="FF92D050"/>
        <bgColor indexed="64"/>
      </patternFill>
    </fill>
    <fill>
      <patternFill patternType="solid">
        <fgColor theme="0" tint="-0.499984740745262"/>
        <bgColor indexed="64"/>
      </patternFill>
    </fill>
    <fill>
      <patternFill patternType="solid">
        <fgColor theme="6" tint="0.79998168889431442"/>
        <bgColor indexed="64"/>
      </patternFill>
    </fill>
    <fill>
      <patternFill patternType="solid">
        <fgColor rgb="FFE4DFEC"/>
        <bgColor rgb="FFB7DEE8"/>
      </patternFill>
    </fill>
    <fill>
      <patternFill patternType="solid">
        <fgColor theme="0"/>
        <bgColor indexed="64"/>
      </patternFill>
    </fill>
  </fills>
  <borders count="3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right/>
      <top style="medium">
        <color auto="1"/>
      </top>
      <bottom/>
      <diagonal/>
    </border>
    <border>
      <left/>
      <right/>
      <top/>
      <bottom style="medium">
        <color rgb="FF000000"/>
      </bottom>
      <diagonal/>
    </border>
    <border>
      <left/>
      <right/>
      <top style="medium">
        <color rgb="FF000000"/>
      </top>
      <bottom/>
      <diagonal/>
    </border>
  </borders>
  <cellStyleXfs count="606">
    <xf numFmtId="188" fontId="0" fillId="0" borderId="0">
      <protection locked="0"/>
    </xf>
    <xf numFmtId="49" fontId="20" fillId="0" borderId="0" applyProtection="0">
      <alignment horizontal="left"/>
    </xf>
    <xf numFmtId="184" fontId="20" fillId="0" borderId="0" applyFill="0" applyBorder="0" applyProtection="0">
      <alignment horizontal="right"/>
    </xf>
    <xf numFmtId="181" fontId="20" fillId="0" borderId="0" applyFill="0" applyBorder="0" applyProtection="0">
      <alignment horizontal="right"/>
    </xf>
    <xf numFmtId="183" fontId="30" fillId="0" borderId="0" applyFill="0" applyBorder="0" applyProtection="0">
      <alignment horizontal="center"/>
    </xf>
    <xf numFmtId="182" fontId="30" fillId="0" borderId="0" applyFill="0" applyBorder="0" applyProtection="0">
      <alignment horizontal="center"/>
    </xf>
    <xf numFmtId="185" fontId="31" fillId="0" borderId="0" applyFill="0" applyBorder="0" applyProtection="0">
      <alignment horizontal="right"/>
    </xf>
    <xf numFmtId="186" fontId="20" fillId="0" borderId="0" applyFill="0" applyBorder="0" applyProtection="0">
      <alignment horizontal="right"/>
    </xf>
    <xf numFmtId="187" fontId="20" fillId="0" borderId="0" applyFill="0" applyBorder="0" applyProtection="0">
      <alignment horizontal="right"/>
    </xf>
    <xf numFmtId="190" fontId="20" fillId="0" borderId="0" applyFill="0" applyBorder="0" applyProtection="0">
      <alignment horizontal="right"/>
    </xf>
    <xf numFmtId="189" fontId="20" fillId="0" borderId="0" applyFill="0" applyBorder="0" applyProtection="0">
      <alignment horizontal="right"/>
    </xf>
    <xf numFmtId="3" fontId="6" fillId="0" borderId="0"/>
    <xf numFmtId="178" fontId="7" fillId="0" borderId="1" applyAlignment="0" applyProtection="0"/>
    <xf numFmtId="176" fontId="8" fillId="0" borderId="0" applyFont="0" applyFill="0" applyBorder="0" applyAlignment="0" applyProtection="0"/>
    <xf numFmtId="177" fontId="8" fillId="0" borderId="0" applyFont="0" applyFill="0" applyBorder="0" applyAlignment="0" applyProtection="0"/>
    <xf numFmtId="188" fontId="20" fillId="0" borderId="0" applyFont="0" applyFill="0" applyBorder="0" applyAlignment="0" applyProtection="0"/>
    <xf numFmtId="188" fontId="9" fillId="0" borderId="0" applyNumberFormat="0" applyFill="0" applyBorder="0" applyAlignment="0" applyProtection="0">
      <alignment vertical="top"/>
      <protection locked="0"/>
    </xf>
    <xf numFmtId="38" fontId="10" fillId="2" borderId="0" applyNumberFormat="0" applyBorder="0" applyAlignment="0" applyProtection="0"/>
    <xf numFmtId="188" fontId="11" fillId="0" borderId="0" applyNumberFormat="0" applyFill="0" applyBorder="0" applyAlignment="0" applyProtection="0">
      <alignment vertical="top"/>
      <protection locked="0"/>
    </xf>
    <xf numFmtId="10" fontId="10" fillId="3" borderId="2" applyNumberFormat="0" applyBorder="0" applyAlignment="0" applyProtection="0"/>
    <xf numFmtId="188" fontId="13" fillId="0" borderId="0"/>
    <xf numFmtId="179" fontId="12" fillId="0" borderId="0"/>
    <xf numFmtId="10" fontId="8" fillId="0" borderId="0" applyFont="0" applyFill="0" applyBorder="0" applyAlignment="0" applyProtection="0"/>
    <xf numFmtId="3" fontId="14" fillId="0" borderId="0"/>
    <xf numFmtId="9" fontId="12" fillId="0" borderId="0" applyFont="0" applyFill="0" applyBorder="0" applyAlignment="0" applyProtection="0"/>
    <xf numFmtId="188" fontId="12" fillId="0" borderId="0">
      <alignment vertical="center"/>
    </xf>
    <xf numFmtId="188" fontId="12" fillId="0" borderId="0">
      <alignment vertical="center"/>
    </xf>
    <xf numFmtId="188" fontId="22" fillId="0" borderId="0"/>
    <xf numFmtId="188" fontId="20" fillId="0" borderId="0">
      <protection locked="0"/>
    </xf>
    <xf numFmtId="188" fontId="12" fillId="0" borderId="0"/>
    <xf numFmtId="188" fontId="12" fillId="0" borderId="0" applyFill="0" applyBorder="0"/>
    <xf numFmtId="188" fontId="15" fillId="0" borderId="0" applyNumberFormat="0" applyFill="0" applyBorder="0" applyAlignment="0" applyProtection="0">
      <alignment vertical="top"/>
      <protection locked="0"/>
    </xf>
    <xf numFmtId="177" fontId="12" fillId="0" borderId="0" applyFont="0" applyFill="0" applyBorder="0" applyAlignment="0" applyProtection="0"/>
    <xf numFmtId="188" fontId="45" fillId="0" borderId="0"/>
    <xf numFmtId="188" fontId="12" fillId="0" borderId="0">
      <protection locked="0"/>
    </xf>
    <xf numFmtId="188" fontId="8" fillId="0" borderId="0"/>
    <xf numFmtId="177" fontId="12" fillId="0" borderId="0" applyFont="0" applyFill="0" applyBorder="0" applyAlignment="0" applyProtection="0">
      <alignment vertical="center"/>
    </xf>
    <xf numFmtId="188" fontId="12" fillId="0" borderId="0">
      <alignment vertical="center"/>
    </xf>
    <xf numFmtId="188" fontId="17" fillId="0" borderId="0"/>
    <xf numFmtId="188" fontId="12" fillId="0" borderId="0"/>
    <xf numFmtId="188" fontId="12" fillId="0" borderId="0">
      <protection locked="0"/>
    </xf>
    <xf numFmtId="188" fontId="64" fillId="0" borderId="0">
      <alignment vertical="center"/>
    </xf>
    <xf numFmtId="188" fontId="12" fillId="0" borderId="0">
      <alignment vertical="center"/>
      <protection locked="0"/>
    </xf>
    <xf numFmtId="188" fontId="8" fillId="0" borderId="0"/>
    <xf numFmtId="188" fontId="8" fillId="0" borderId="0"/>
    <xf numFmtId="188" fontId="8" fillId="0" borderId="0"/>
    <xf numFmtId="188" fontId="8" fillId="0" borderId="0"/>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xf>
    <xf numFmtId="188" fontId="46" fillId="0" borderId="0">
      <alignment vertical="top"/>
      <protection locked="0"/>
    </xf>
    <xf numFmtId="188" fontId="46" fillId="0" borderId="0">
      <alignment vertical="top"/>
    </xf>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protection locked="0"/>
    </xf>
    <xf numFmtId="192" fontId="68" fillId="0" borderId="0" applyFont="0" applyFill="0" applyBorder="0" applyAlignment="0" applyProtection="0"/>
    <xf numFmtId="193" fontId="68" fillId="0" borderId="0" applyFont="0" applyFill="0" applyBorder="0" applyAlignment="0" applyProtection="0"/>
    <xf numFmtId="10" fontId="68" fillId="0" borderId="0" applyFont="0" applyFill="0" applyBorder="0" applyAlignment="0" applyProtection="0"/>
    <xf numFmtId="188" fontId="69" fillId="7" borderId="0" applyNumberFormat="0" applyBorder="0" applyAlignment="0" applyProtection="0"/>
    <xf numFmtId="188" fontId="69" fillId="8" borderId="0" applyNumberFormat="0" applyBorder="0" applyAlignment="0" applyProtection="0"/>
    <xf numFmtId="188" fontId="69" fillId="9" borderId="0" applyNumberFormat="0" applyBorder="0" applyAlignment="0" applyProtection="0"/>
    <xf numFmtId="188" fontId="69" fillId="10" borderId="0" applyNumberFormat="0" applyBorder="0" applyAlignment="0" applyProtection="0"/>
    <xf numFmtId="188" fontId="69" fillId="11" borderId="0" applyNumberFormat="0" applyBorder="0" applyAlignment="0" applyProtection="0"/>
    <xf numFmtId="188" fontId="69" fillId="12" borderId="0" applyNumberFormat="0" applyBorder="0" applyAlignment="0" applyProtection="0"/>
    <xf numFmtId="188" fontId="69" fillId="13" borderId="0" applyNumberFormat="0" applyBorder="0" applyAlignment="0" applyProtection="0"/>
    <xf numFmtId="188" fontId="69" fillId="14" borderId="0" applyNumberFormat="0" applyBorder="0" applyAlignment="0" applyProtection="0"/>
    <xf numFmtId="188" fontId="69" fillId="15" borderId="0" applyNumberFormat="0" applyBorder="0" applyAlignment="0" applyProtection="0"/>
    <xf numFmtId="188" fontId="69" fillId="10" borderId="0" applyNumberFormat="0" applyBorder="0" applyAlignment="0" applyProtection="0"/>
    <xf numFmtId="188" fontId="69" fillId="13" borderId="0" applyNumberFormat="0" applyBorder="0" applyAlignment="0" applyProtection="0"/>
    <xf numFmtId="188" fontId="69" fillId="16" borderId="0" applyNumberFormat="0" applyBorder="0" applyAlignment="0" applyProtection="0"/>
    <xf numFmtId="188" fontId="70" fillId="17" borderId="0" applyNumberFormat="0" applyBorder="0" applyAlignment="0" applyProtection="0"/>
    <xf numFmtId="188" fontId="70" fillId="14" borderId="0" applyNumberFormat="0" applyBorder="0" applyAlignment="0" applyProtection="0"/>
    <xf numFmtId="188" fontId="70" fillId="15" borderId="0" applyNumberFormat="0" applyBorder="0" applyAlignment="0" applyProtection="0"/>
    <xf numFmtId="188" fontId="70" fillId="18" borderId="0" applyNumberFormat="0" applyBorder="0" applyAlignment="0" applyProtection="0"/>
    <xf numFmtId="188" fontId="70" fillId="19" borderId="0" applyNumberFormat="0" applyBorder="0" applyAlignment="0" applyProtection="0"/>
    <xf numFmtId="188" fontId="70" fillId="20" borderId="0" applyNumberFormat="0" applyBorder="0" applyAlignment="0" applyProtection="0"/>
    <xf numFmtId="188" fontId="70" fillId="21" borderId="0" applyNumberFormat="0" applyBorder="0" applyAlignment="0" applyProtection="0"/>
    <xf numFmtId="188" fontId="70" fillId="22" borderId="0" applyNumberFormat="0" applyBorder="0" applyAlignment="0" applyProtection="0"/>
    <xf numFmtId="188" fontId="70" fillId="23" borderId="0" applyNumberFormat="0" applyBorder="0" applyAlignment="0" applyProtection="0"/>
    <xf numFmtId="188" fontId="70" fillId="18" borderId="0" applyNumberFormat="0" applyBorder="0" applyAlignment="0" applyProtection="0"/>
    <xf numFmtId="188" fontId="70" fillId="19" borderId="0" applyNumberFormat="0" applyBorder="0" applyAlignment="0" applyProtection="0"/>
    <xf numFmtId="188" fontId="70" fillId="24" borderId="0" applyNumberFormat="0" applyBorder="0" applyAlignment="0" applyProtection="0"/>
    <xf numFmtId="188" fontId="71" fillId="8" borderId="0" applyNumberFormat="0" applyBorder="0" applyAlignment="0" applyProtection="0"/>
    <xf numFmtId="194" fontId="46" fillId="0" borderId="0" applyFill="0" applyBorder="0" applyAlignment="0"/>
    <xf numFmtId="188" fontId="72" fillId="25" borderId="17" applyNumberFormat="0" applyAlignment="0" applyProtection="0"/>
    <xf numFmtId="188" fontId="73" fillId="26" borderId="18" applyNumberFormat="0" applyAlignment="0" applyProtection="0"/>
    <xf numFmtId="188" fontId="74" fillId="0" borderId="12" applyNumberFormat="0" applyFill="0" applyProtection="0">
      <alignment horizontal="center"/>
    </xf>
    <xf numFmtId="188" fontId="75" fillId="0" borderId="19">
      <alignment horizontal="center"/>
    </xf>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195" fontId="8" fillId="0" borderId="0"/>
    <xf numFmtId="37" fontId="68" fillId="0" borderId="0" applyFont="0" applyFill="0" applyBorder="0" applyAlignment="0" applyProtection="0"/>
    <xf numFmtId="196" fontId="68" fillId="0" borderId="0" applyFont="0" applyFill="0" applyBorder="0" applyAlignment="0" applyProtection="0"/>
    <xf numFmtId="39" fontId="68" fillId="0" borderId="0" applyFont="0" applyFill="0" applyBorder="0" applyAlignment="0" applyProtection="0"/>
    <xf numFmtId="40" fontId="76" fillId="0" borderId="0" applyFont="0" applyFill="0" applyBorder="0" applyAlignment="0" applyProtection="0"/>
    <xf numFmtId="178" fontId="68" fillId="0" borderId="0" applyFont="0" applyFill="0" applyBorder="0" applyAlignment="0" applyProtection="0"/>
    <xf numFmtId="197" fontId="68" fillId="0" borderId="0" applyFont="0" applyFill="0" applyBorder="0" applyAlignment="0" applyProtection="0"/>
    <xf numFmtId="198" fontId="12" fillId="0" borderId="0" applyFont="0" applyFill="0" applyBorder="0" applyAlignment="0" applyProtection="0"/>
    <xf numFmtId="188" fontId="77" fillId="0" borderId="0">
      <alignment horizontal="left"/>
    </xf>
    <xf numFmtId="188" fontId="10" fillId="27" borderId="2"/>
    <xf numFmtId="188" fontId="78" fillId="0" borderId="0" applyNumberFormat="0" applyFill="0" applyBorder="0" applyAlignment="0" applyProtection="0"/>
    <xf numFmtId="188" fontId="79" fillId="9" borderId="0" applyNumberFormat="0" applyBorder="0" applyAlignment="0" applyProtection="0"/>
    <xf numFmtId="188" fontId="29" fillId="0" borderId="14" applyNumberFormat="0" applyAlignment="0" applyProtection="0">
      <alignment horizontal="left" vertical="center"/>
    </xf>
    <xf numFmtId="188" fontId="29" fillId="0" borderId="20">
      <alignment horizontal="left" vertical="center"/>
    </xf>
    <xf numFmtId="14" fontId="80" fillId="28" borderId="13">
      <alignment horizontal="center" vertical="center" wrapText="1"/>
    </xf>
    <xf numFmtId="188" fontId="81" fillId="0" borderId="21" applyNumberFormat="0" applyFill="0" applyAlignment="0" applyProtection="0"/>
    <xf numFmtId="188" fontId="82" fillId="0" borderId="22" applyNumberFormat="0" applyFill="0" applyAlignment="0" applyProtection="0"/>
    <xf numFmtId="188" fontId="83" fillId="0" borderId="23" applyNumberFormat="0" applyFill="0" applyAlignment="0" applyProtection="0"/>
    <xf numFmtId="188" fontId="83" fillId="0" borderId="0" applyNumberFormat="0" applyFill="0" applyBorder="0" applyAlignment="0" applyProtection="0"/>
    <xf numFmtId="188" fontId="84" fillId="12" borderId="17" applyNumberFormat="0" applyAlignment="0" applyProtection="0"/>
    <xf numFmtId="188" fontId="20" fillId="0" borderId="0" applyNumberFormat="0" applyFont="0" applyFill="0" applyBorder="0" applyProtection="0">
      <alignment horizontal="left" vertical="center"/>
    </xf>
    <xf numFmtId="188" fontId="85" fillId="0" borderId="24" applyNumberFormat="0" applyFill="0" applyAlignment="0" applyProtection="0"/>
    <xf numFmtId="176" fontId="8" fillId="0" borderId="0" applyFont="0" applyFill="0" applyBorder="0" applyAlignment="0" applyProtection="0"/>
    <xf numFmtId="177" fontId="8" fillId="0" borderId="0" applyFont="0" applyFill="0" applyBorder="0" applyAlignment="0" applyProtection="0"/>
    <xf numFmtId="199" fontId="8" fillId="0" borderId="0" applyFont="0" applyFill="0" applyBorder="0" applyAlignment="0" applyProtection="0"/>
    <xf numFmtId="200" fontId="8" fillId="0" borderId="0" applyFont="0" applyFill="0" applyBorder="0" applyAlignment="0" applyProtection="0"/>
    <xf numFmtId="201" fontId="8" fillId="0" borderId="0" applyFont="0" applyFill="0" applyBorder="0" applyAlignment="0" applyProtection="0"/>
    <xf numFmtId="202" fontId="12" fillId="0" borderId="0" applyFont="0" applyFill="0" applyBorder="0" applyAlignment="0" applyProtection="0"/>
    <xf numFmtId="188" fontId="86" fillId="29" borderId="0" applyNumberFormat="0" applyBorder="0" applyAlignment="0" applyProtection="0"/>
    <xf numFmtId="37" fontId="87" fillId="0" borderId="0"/>
    <xf numFmtId="188" fontId="8" fillId="0" borderId="0"/>
    <xf numFmtId="188" fontId="12" fillId="0" borderId="0">
      <alignment vertical="center"/>
    </xf>
    <xf numFmtId="188" fontId="76" fillId="0" borderId="0"/>
    <xf numFmtId="188" fontId="88" fillId="0" borderId="0"/>
    <xf numFmtId="188" fontId="8" fillId="30" borderId="25" applyNumberFormat="0" applyFont="0" applyAlignment="0" applyProtection="0"/>
    <xf numFmtId="188" fontId="89" fillId="25" borderId="26" applyNumberFormat="0" applyAlignment="0" applyProtection="0"/>
    <xf numFmtId="203" fontId="8" fillId="0" borderId="0" applyFont="0" applyFill="0" applyBorder="0" applyAlignment="0" applyProtection="0"/>
    <xf numFmtId="188" fontId="10" fillId="2" borderId="2"/>
    <xf numFmtId="4" fontId="77" fillId="0" borderId="0">
      <alignment horizontal="right"/>
    </xf>
    <xf numFmtId="4" fontId="90" fillId="0" borderId="0">
      <alignment horizontal="right"/>
    </xf>
    <xf numFmtId="188" fontId="91" fillId="0" borderId="0">
      <alignment horizontal="left"/>
    </xf>
    <xf numFmtId="188" fontId="92" fillId="0" borderId="2">
      <alignment horizontal="center"/>
    </xf>
    <xf numFmtId="188" fontId="92" fillId="0" borderId="0">
      <alignment horizontal="center" vertical="center"/>
    </xf>
    <xf numFmtId="188" fontId="93" fillId="31" borderId="0" applyNumberFormat="0" applyFill="0">
      <alignment horizontal="left" vertical="center"/>
    </xf>
    <xf numFmtId="188" fontId="28" fillId="0" borderId="0" applyFill="0" applyBorder="0" applyProtection="0">
      <alignment horizontal="left" vertical="top"/>
    </xf>
    <xf numFmtId="188" fontId="94" fillId="0" borderId="0">
      <alignment horizontal="center"/>
    </xf>
    <xf numFmtId="188" fontId="95" fillId="0" borderId="27" applyNumberFormat="0" applyFill="0" applyAlignment="0" applyProtection="0"/>
    <xf numFmtId="188" fontId="96" fillId="0" borderId="0" applyNumberFormat="0" applyFill="0" applyBorder="0" applyAlignment="0" applyProtection="0"/>
    <xf numFmtId="188" fontId="97" fillId="0" borderId="0" applyNumberFormat="0" applyFont="0" applyFill="0" applyBorder="0" applyProtection="0">
      <alignment horizontal="center" vertical="center" wrapText="1"/>
    </xf>
    <xf numFmtId="9" fontId="98" fillId="0" borderId="0" applyFont="0" applyFill="0" applyBorder="0" applyAlignment="0" applyProtection="0"/>
    <xf numFmtId="9" fontId="8" fillId="0" borderId="0" applyFont="0" applyFill="0" applyBorder="0" applyAlignment="0" applyProtection="0"/>
    <xf numFmtId="9" fontId="12" fillId="0" borderId="0" applyFont="0" applyFill="0" applyBorder="0" applyAlignment="0" applyProtection="0"/>
    <xf numFmtId="4" fontId="99" fillId="0" borderId="0">
      <alignment horizontal="right"/>
    </xf>
    <xf numFmtId="188" fontId="8" fillId="0" borderId="0"/>
    <xf numFmtId="188" fontId="45" fillId="0" borderId="0"/>
    <xf numFmtId="188" fontId="12" fillId="0" borderId="0">
      <protection locked="0"/>
    </xf>
    <xf numFmtId="188" fontId="12" fillId="0" borderId="0">
      <alignment vertical="center"/>
      <protection locked="0"/>
    </xf>
    <xf numFmtId="188" fontId="100" fillId="0" borderId="0">
      <alignment vertical="center"/>
    </xf>
    <xf numFmtId="188" fontId="15" fillId="0" borderId="0" applyNumberFormat="0" applyFill="0" applyBorder="0" applyAlignment="0" applyProtection="0">
      <alignment vertical="top"/>
      <protection locked="0"/>
    </xf>
    <xf numFmtId="188" fontId="15" fillId="0" borderId="0" applyNumberFormat="0" applyFill="0" applyBorder="0" applyAlignment="0" applyProtection="0">
      <alignment vertical="top"/>
      <protection locked="0"/>
    </xf>
    <xf numFmtId="188" fontId="7" fillId="0" borderId="0" applyNumberFormat="0" applyFill="0" applyBorder="0" applyAlignment="0" applyProtection="0"/>
    <xf numFmtId="4" fontId="97" fillId="0" borderId="0" applyFont="0" applyFill="0" applyBorder="0" applyAlignment="0" applyProtection="0"/>
    <xf numFmtId="176" fontId="8" fillId="0" borderId="0" applyFont="0" applyFill="0" applyBorder="0" applyAlignment="0" applyProtection="0"/>
    <xf numFmtId="188" fontId="20" fillId="0" borderId="0"/>
    <xf numFmtId="176" fontId="20" fillId="0" borderId="0" applyFont="0" applyFill="0" applyBorder="0" applyAlignment="0" applyProtection="0"/>
    <xf numFmtId="177" fontId="20" fillId="0" borderId="0" applyFont="0" applyFill="0" applyBorder="0" applyAlignment="0" applyProtection="0"/>
    <xf numFmtId="188" fontId="8" fillId="0" borderId="0" applyFont="0" applyFill="0" applyBorder="0" applyAlignment="0" applyProtection="0"/>
    <xf numFmtId="200" fontId="8" fillId="0" borderId="0" applyFont="0" applyFill="0" applyBorder="0" applyAlignment="0" applyProtection="0"/>
    <xf numFmtId="204" fontId="97" fillId="0" borderId="0" applyFont="0" applyFill="0" applyBorder="0" applyAlignment="0" applyProtection="0"/>
    <xf numFmtId="188" fontId="46" fillId="0" borderId="0">
      <alignment vertical="top"/>
    </xf>
    <xf numFmtId="38" fontId="101" fillId="0" borderId="0" applyFont="0" applyFill="0" applyBorder="0" applyAlignment="0" applyProtection="0"/>
    <xf numFmtId="40" fontId="101" fillId="0" borderId="0" applyFont="0" applyFill="0" applyBorder="0" applyAlignment="0" applyProtection="0"/>
    <xf numFmtId="188" fontId="101" fillId="0" borderId="0" applyFont="0" applyFill="0" applyBorder="0" applyAlignment="0" applyProtection="0"/>
    <xf numFmtId="188" fontId="101" fillId="0" borderId="0" applyFont="0" applyFill="0" applyBorder="0" applyAlignment="0" applyProtection="0"/>
    <xf numFmtId="188" fontId="102" fillId="0" borderId="0"/>
    <xf numFmtId="188" fontId="5" fillId="0" borderId="0">
      <alignment vertical="center"/>
    </xf>
    <xf numFmtId="188" fontId="4" fillId="0" borderId="0">
      <alignment vertical="center"/>
    </xf>
    <xf numFmtId="188" fontId="3" fillId="0" borderId="0">
      <alignment vertical="center"/>
    </xf>
    <xf numFmtId="188" fontId="3" fillId="0" borderId="0">
      <alignment vertical="center"/>
    </xf>
    <xf numFmtId="188" fontId="3" fillId="0" borderId="0">
      <alignment vertical="center"/>
    </xf>
    <xf numFmtId="188" fontId="3" fillId="0" borderId="0">
      <alignment vertical="center"/>
    </xf>
    <xf numFmtId="188" fontId="3" fillId="0" borderId="0">
      <alignment vertical="center"/>
    </xf>
    <xf numFmtId="188" fontId="8" fillId="0" borderId="0"/>
    <xf numFmtId="188" fontId="8" fillId="0" borderId="0"/>
    <xf numFmtId="188" fontId="12" fillId="0" borderId="0" applyNumberFormat="0" applyFill="0" applyBorder="0" applyAlignment="0" applyProtection="0"/>
    <xf numFmtId="188" fontId="101" fillId="0" borderId="0" applyFont="0" applyFill="0" applyBorder="0" applyAlignment="0" applyProtection="0"/>
    <xf numFmtId="188" fontId="101" fillId="0" borderId="0" applyFont="0" applyFill="0" applyBorder="0" applyAlignment="0" applyProtection="0"/>
    <xf numFmtId="188" fontId="105" fillId="0" borderId="0"/>
    <xf numFmtId="49" fontId="20" fillId="0" borderId="0" applyProtection="0">
      <alignment horizontal="left"/>
    </xf>
    <xf numFmtId="188" fontId="46" fillId="0" borderId="0">
      <alignment vertical="top"/>
      <protection locked="0"/>
    </xf>
    <xf numFmtId="188" fontId="46" fillId="0" borderId="0">
      <alignment vertical="top"/>
    </xf>
    <xf numFmtId="188" fontId="8" fillId="0" borderId="0" applyNumberFormat="0" applyFill="0" applyBorder="0" applyAlignment="0">
      <protection locked="0"/>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8" fillId="0" borderId="0" applyNumberFormat="0" applyFill="0" applyBorder="0" applyAlignment="0">
      <protection locked="0"/>
    </xf>
    <xf numFmtId="188" fontId="106" fillId="0" borderId="0"/>
    <xf numFmtId="188" fontId="106" fillId="0" borderId="0"/>
    <xf numFmtId="188" fontId="106" fillId="0" borderId="0"/>
    <xf numFmtId="188" fontId="106" fillId="0" borderId="0"/>
    <xf numFmtId="188" fontId="106" fillId="0" borderId="0"/>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106" fillId="0" borderId="0"/>
    <xf numFmtId="188" fontId="106" fillId="0" borderId="0"/>
    <xf numFmtId="188" fontId="106" fillId="0" borderId="0"/>
    <xf numFmtId="188" fontId="106" fillId="0" borderId="0"/>
    <xf numFmtId="188" fontId="106" fillId="0" borderId="0"/>
    <xf numFmtId="188" fontId="46" fillId="0" borderId="0">
      <alignment vertical="top"/>
    </xf>
    <xf numFmtId="188" fontId="106" fillId="0" borderId="0"/>
    <xf numFmtId="188" fontId="106" fillId="0" borderId="0"/>
    <xf numFmtId="188" fontId="106" fillId="0" borderId="0"/>
    <xf numFmtId="188" fontId="106" fillId="0" borderId="0"/>
    <xf numFmtId="188" fontId="106" fillId="0" borderId="0"/>
    <xf numFmtId="188" fontId="46" fillId="0" borderId="0">
      <alignment vertical="top"/>
    </xf>
    <xf numFmtId="188" fontId="8" fillId="0" borderId="0" applyNumberFormat="0" applyFill="0" applyBorder="0" applyAlignment="0" applyProtection="0"/>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xf>
    <xf numFmtId="188" fontId="22" fillId="0" borderId="0"/>
    <xf numFmtId="188" fontId="46" fillId="0" borderId="0">
      <alignment vertical="top"/>
    </xf>
    <xf numFmtId="188" fontId="46" fillId="0" borderId="0">
      <alignment vertical="top"/>
      <protection locked="0"/>
    </xf>
    <xf numFmtId="188" fontId="106" fillId="0" borderId="0"/>
    <xf numFmtId="188" fontId="106" fillId="0" borderId="0"/>
    <xf numFmtId="188" fontId="106" fillId="0" borderId="0"/>
    <xf numFmtId="188" fontId="106" fillId="0" borderId="0"/>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106" fillId="0" borderId="0"/>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xf>
    <xf numFmtId="188" fontId="46" fillId="0" borderId="0">
      <alignment vertical="top"/>
    </xf>
    <xf numFmtId="188" fontId="46" fillId="0" borderId="0">
      <alignment vertical="top"/>
    </xf>
    <xf numFmtId="188" fontId="46" fillId="0" borderId="0">
      <alignment vertical="top"/>
      <protection locked="0"/>
    </xf>
    <xf numFmtId="188" fontId="106" fillId="0" borderId="0"/>
    <xf numFmtId="188" fontId="46" fillId="0" borderId="0">
      <alignment vertical="top"/>
      <protection locked="0"/>
    </xf>
    <xf numFmtId="188" fontId="46" fillId="0" borderId="0">
      <alignment vertical="top"/>
      <protection locked="0"/>
    </xf>
    <xf numFmtId="188" fontId="46" fillId="0" borderId="0">
      <alignment vertical="top"/>
      <protection locked="0"/>
    </xf>
    <xf numFmtId="188" fontId="46" fillId="0" borderId="0">
      <alignment vertical="top"/>
    </xf>
    <xf numFmtId="188" fontId="46" fillId="0" borderId="0">
      <alignment vertical="top"/>
      <protection locked="0"/>
    </xf>
    <xf numFmtId="188" fontId="46" fillId="0" borderId="0">
      <alignment vertical="top"/>
    </xf>
    <xf numFmtId="188" fontId="46" fillId="0" borderId="0">
      <alignment vertical="top"/>
      <protection locked="0"/>
    </xf>
    <xf numFmtId="188" fontId="106" fillId="0" borderId="0"/>
    <xf numFmtId="188" fontId="46" fillId="0" borderId="0">
      <alignment vertical="top"/>
      <protection locked="0"/>
    </xf>
    <xf numFmtId="188" fontId="106" fillId="0" borderId="0"/>
    <xf numFmtId="188" fontId="22" fillId="0" borderId="0"/>
    <xf numFmtId="206" fontId="12" fillId="0" borderId="0" applyFont="0" applyFill="0" applyBorder="0" applyAlignment="0" applyProtection="0"/>
    <xf numFmtId="188" fontId="107" fillId="0" borderId="2">
      <alignment horizontal="center"/>
    </xf>
    <xf numFmtId="188" fontId="108" fillId="0" borderId="0"/>
    <xf numFmtId="188" fontId="108" fillId="0" borderId="13" applyFill="0">
      <alignment horizontal="center"/>
      <protection locked="0"/>
    </xf>
    <xf numFmtId="188" fontId="107" fillId="0" borderId="0" applyFill="0">
      <alignment horizontal="center"/>
      <protection locked="0"/>
    </xf>
    <xf numFmtId="188" fontId="107" fillId="36" borderId="0"/>
    <xf numFmtId="188" fontId="107" fillId="0" borderId="0">
      <protection locked="0"/>
    </xf>
    <xf numFmtId="188" fontId="107" fillId="0" borderId="0"/>
    <xf numFmtId="207" fontId="107" fillId="0" borderId="0"/>
    <xf numFmtId="208" fontId="107" fillId="0" borderId="0"/>
    <xf numFmtId="188" fontId="108" fillId="37" borderId="0">
      <alignment horizontal="right"/>
    </xf>
    <xf numFmtId="188" fontId="107" fillId="0" borderId="0"/>
    <xf numFmtId="188" fontId="109" fillId="38" borderId="0" applyNumberFormat="0" applyBorder="0" applyAlignment="0" applyProtection="0"/>
    <xf numFmtId="188" fontId="109" fillId="38" borderId="0" applyNumberFormat="0" applyBorder="0" applyAlignment="0" applyProtection="0"/>
    <xf numFmtId="188" fontId="110" fillId="39" borderId="0" applyNumberFormat="0" applyBorder="0" applyAlignment="0" applyProtection="0"/>
    <xf numFmtId="188" fontId="109" fillId="40" borderId="0" applyNumberFormat="0" applyBorder="0" applyAlignment="0" applyProtection="0"/>
    <xf numFmtId="188" fontId="109" fillId="41" borderId="0" applyNumberFormat="0" applyBorder="0" applyAlignment="0" applyProtection="0"/>
    <xf numFmtId="188" fontId="110" fillId="42" borderId="0" applyNumberFormat="0" applyBorder="0" applyAlignment="0" applyProtection="0"/>
    <xf numFmtId="188" fontId="109" fillId="40" borderId="0" applyNumberFormat="0" applyBorder="0" applyAlignment="0" applyProtection="0"/>
    <xf numFmtId="188" fontId="109" fillId="43" borderId="0" applyNumberFormat="0" applyBorder="0" applyAlignment="0" applyProtection="0"/>
    <xf numFmtId="188" fontId="110" fillId="41" borderId="0" applyNumberFormat="0" applyBorder="0" applyAlignment="0" applyProtection="0"/>
    <xf numFmtId="188" fontId="109" fillId="38" borderId="0" applyNumberFormat="0" applyBorder="0" applyAlignment="0" applyProtection="0"/>
    <xf numFmtId="188" fontId="109" fillId="41" borderId="0" applyNumberFormat="0" applyBorder="0" applyAlignment="0" applyProtection="0"/>
    <xf numFmtId="188" fontId="110" fillId="41" borderId="0" applyNumberFormat="0" applyBorder="0" applyAlignment="0" applyProtection="0"/>
    <xf numFmtId="188" fontId="109" fillId="44" borderId="0" applyNumberFormat="0" applyBorder="0" applyAlignment="0" applyProtection="0"/>
    <xf numFmtId="188" fontId="109" fillId="38" borderId="0" applyNumberFormat="0" applyBorder="0" applyAlignment="0" applyProtection="0"/>
    <xf numFmtId="188" fontId="110" fillId="39" borderId="0" applyNumberFormat="0" applyBorder="0" applyAlignment="0" applyProtection="0"/>
    <xf numFmtId="188" fontId="109" fillId="40" borderId="0" applyNumberFormat="0" applyBorder="0" applyAlignment="0" applyProtection="0"/>
    <xf numFmtId="188" fontId="109" fillId="45" borderId="0" applyNumberFormat="0" applyBorder="0" applyAlignment="0" applyProtection="0"/>
    <xf numFmtId="188" fontId="110" fillId="45" borderId="0" applyNumberFormat="0" applyBorder="0" applyAlignment="0" applyProtection="0"/>
    <xf numFmtId="188" fontId="111" fillId="0" borderId="0">
      <alignment horizontal="center" wrapText="1"/>
      <protection locked="0"/>
    </xf>
    <xf numFmtId="209" fontId="8" fillId="0" borderId="0" applyFill="0" applyBorder="0" applyAlignment="0"/>
    <xf numFmtId="210" fontId="8" fillId="0" borderId="0" applyFill="0" applyBorder="0" applyAlignment="0"/>
    <xf numFmtId="211" fontId="8" fillId="0" borderId="0" applyFill="0" applyBorder="0" applyAlignment="0"/>
    <xf numFmtId="212" fontId="8" fillId="0" borderId="0" applyFill="0" applyBorder="0" applyAlignment="0"/>
    <xf numFmtId="213" fontId="8" fillId="0" borderId="0" applyFill="0" applyBorder="0" applyAlignment="0"/>
    <xf numFmtId="214" fontId="8" fillId="0" borderId="0" applyFill="0" applyBorder="0" applyAlignment="0"/>
    <xf numFmtId="209" fontId="8" fillId="0" borderId="0" applyFill="0" applyBorder="0" applyAlignment="0"/>
    <xf numFmtId="188" fontId="112" fillId="0" borderId="0"/>
    <xf numFmtId="199" fontId="12" fillId="0" borderId="0" applyFont="0" applyFill="0" applyBorder="0" applyAlignment="0" applyProtection="0"/>
    <xf numFmtId="213" fontId="8" fillId="0" borderId="0" applyFont="0" applyFill="0" applyBorder="0" applyAlignment="0" applyProtection="0"/>
    <xf numFmtId="177" fontId="12" fillId="0" borderId="0" applyFont="0" applyFill="0" applyBorder="0" applyAlignment="0" applyProtection="0"/>
    <xf numFmtId="215" fontId="20" fillId="0" borderId="0"/>
    <xf numFmtId="188" fontId="113" fillId="0" borderId="0" applyNumberFormat="0" applyAlignment="0">
      <alignment horizontal="left"/>
    </xf>
    <xf numFmtId="188" fontId="13" fillId="0" borderId="0" applyNumberFormat="0" applyAlignment="0"/>
    <xf numFmtId="199" fontId="26" fillId="0" borderId="0" applyFont="0" applyFill="0" applyBorder="0" applyAlignment="0" applyProtection="0"/>
    <xf numFmtId="209" fontId="8" fillId="0" borderId="0" applyFont="0" applyFill="0" applyBorder="0" applyAlignment="0" applyProtection="0"/>
    <xf numFmtId="216" fontId="20" fillId="0" borderId="0"/>
    <xf numFmtId="217" fontId="8" fillId="0" borderId="0">
      <protection locked="0"/>
    </xf>
    <xf numFmtId="14" fontId="46" fillId="0" borderId="0" applyFill="0" applyBorder="0" applyAlignment="0"/>
    <xf numFmtId="217" fontId="8" fillId="0" borderId="0">
      <protection locked="0"/>
    </xf>
    <xf numFmtId="218" fontId="20" fillId="0" borderId="0"/>
    <xf numFmtId="188" fontId="114" fillId="0" borderId="0" applyNumberFormat="0" applyFill="0" applyBorder="0" applyAlignment="0" applyProtection="0"/>
    <xf numFmtId="213" fontId="8" fillId="0" borderId="0" applyFill="0" applyBorder="0" applyAlignment="0"/>
    <xf numFmtId="209" fontId="8" fillId="0" borderId="0" applyFill="0" applyBorder="0" applyAlignment="0"/>
    <xf numFmtId="213" fontId="8" fillId="0" borderId="0" applyFill="0" applyBorder="0" applyAlignment="0"/>
    <xf numFmtId="214" fontId="8" fillId="0" borderId="0" applyFill="0" applyBorder="0" applyAlignment="0"/>
    <xf numFmtId="209" fontId="8" fillId="0" borderId="0" applyFill="0" applyBorder="0" applyAlignment="0"/>
    <xf numFmtId="188" fontId="115" fillId="0" borderId="0" applyNumberFormat="0" applyAlignment="0">
      <alignment horizontal="left"/>
    </xf>
    <xf numFmtId="217" fontId="8" fillId="0" borderId="0">
      <protection locked="0"/>
    </xf>
    <xf numFmtId="217" fontId="8" fillId="0" borderId="0">
      <protection locked="0"/>
    </xf>
    <xf numFmtId="217" fontId="8" fillId="0" borderId="0">
      <protection locked="0"/>
    </xf>
    <xf numFmtId="217" fontId="8" fillId="0" borderId="0">
      <protection locked="0"/>
    </xf>
    <xf numFmtId="217" fontId="8" fillId="0" borderId="0">
      <protection locked="0"/>
    </xf>
    <xf numFmtId="217" fontId="8" fillId="0" borderId="0">
      <protection locked="0"/>
    </xf>
    <xf numFmtId="217" fontId="8" fillId="0" borderId="0">
      <protection locked="0"/>
    </xf>
    <xf numFmtId="217" fontId="8" fillId="0" borderId="0">
      <protection locked="0"/>
    </xf>
    <xf numFmtId="188" fontId="116" fillId="0" borderId="0">
      <alignment horizontal="left"/>
    </xf>
    <xf numFmtId="217" fontId="8" fillId="0" borderId="0">
      <protection locked="0"/>
    </xf>
    <xf numFmtId="217" fontId="8" fillId="0" borderId="0">
      <protection locked="0"/>
    </xf>
    <xf numFmtId="196" fontId="117" fillId="46" borderId="0"/>
    <xf numFmtId="213" fontId="8" fillId="0" borderId="0" applyFill="0" applyBorder="0" applyAlignment="0"/>
    <xf numFmtId="209" fontId="8" fillId="0" borderId="0" applyFill="0" applyBorder="0" applyAlignment="0"/>
    <xf numFmtId="213" fontId="8" fillId="0" borderId="0" applyFill="0" applyBorder="0" applyAlignment="0"/>
    <xf numFmtId="214" fontId="8" fillId="0" borderId="0" applyFill="0" applyBorder="0" applyAlignment="0"/>
    <xf numFmtId="209" fontId="8" fillId="0" borderId="0" applyFill="0" applyBorder="0" applyAlignment="0"/>
    <xf numFmtId="196" fontId="118" fillId="47" borderId="0"/>
    <xf numFmtId="188" fontId="8" fillId="0" borderId="0" applyFont="0" applyFill="0" applyBorder="0" applyAlignment="0" applyProtection="0"/>
    <xf numFmtId="188" fontId="8" fillId="0" borderId="0" applyFont="0" applyFill="0" applyBorder="0" applyAlignment="0" applyProtection="0"/>
    <xf numFmtId="188" fontId="119" fillId="0" borderId="13"/>
    <xf numFmtId="188" fontId="8" fillId="0" borderId="0" applyFont="0" applyFill="0" applyBorder="0" applyAlignment="0" applyProtection="0"/>
    <xf numFmtId="188" fontId="8" fillId="0" borderId="0" applyFont="0" applyFill="0" applyBorder="0" applyAlignment="0" applyProtection="0"/>
    <xf numFmtId="188" fontId="20" fillId="0" borderId="0"/>
    <xf numFmtId="188" fontId="12" fillId="0" borderId="0"/>
    <xf numFmtId="219" fontId="12" fillId="0" borderId="0" applyFont="0" applyFill="0" applyBorder="0" applyAlignment="0" applyProtection="0"/>
    <xf numFmtId="220" fontId="12" fillId="0" borderId="0" applyFont="0" applyFill="0" applyBorder="0" applyAlignment="0" applyProtection="0"/>
    <xf numFmtId="14" fontId="111" fillId="0" borderId="0">
      <alignment horizontal="center" wrapText="1"/>
      <protection locked="0"/>
    </xf>
    <xf numFmtId="212" fontId="8" fillId="0" borderId="0" applyFont="0" applyFill="0" applyBorder="0" applyAlignment="0" applyProtection="0"/>
    <xf numFmtId="192" fontId="8" fillId="0" borderId="0" applyFont="0" applyFill="0" applyBorder="0" applyAlignment="0" applyProtection="0"/>
    <xf numFmtId="9" fontId="106" fillId="0" borderId="0" applyFont="0" applyFill="0" applyBorder="0" applyAlignment="0" applyProtection="0"/>
    <xf numFmtId="13" fontId="8" fillId="0" borderId="0" applyFont="0" applyFill="0" applyProtection="0"/>
    <xf numFmtId="213" fontId="8" fillId="0" borderId="0" applyFill="0" applyBorder="0" applyAlignment="0"/>
    <xf numFmtId="209" fontId="8" fillId="0" borderId="0" applyFill="0" applyBorder="0" applyAlignment="0"/>
    <xf numFmtId="213" fontId="8" fillId="0" borderId="0" applyFill="0" applyBorder="0" applyAlignment="0"/>
    <xf numFmtId="214" fontId="8" fillId="0" borderId="0" applyFill="0" applyBorder="0" applyAlignment="0"/>
    <xf numFmtId="209" fontId="8" fillId="0" borderId="0" applyFill="0" applyBorder="0" applyAlignment="0"/>
    <xf numFmtId="221" fontId="120" fillId="0" borderId="0"/>
    <xf numFmtId="188" fontId="76" fillId="0" borderId="0" applyNumberFormat="0" applyFont="0" applyFill="0" applyBorder="0" applyAlignment="0" applyProtection="0">
      <alignment horizontal="left"/>
    </xf>
    <xf numFmtId="188" fontId="7" fillId="0" borderId="13">
      <alignment horizontal="center"/>
    </xf>
    <xf numFmtId="222" fontId="22" fillId="0" borderId="0" applyNumberFormat="0" applyFill="0" applyBorder="0" applyAlignment="0" applyProtection="0">
      <alignment horizontal="left"/>
    </xf>
    <xf numFmtId="176" fontId="20" fillId="0" borderId="0" applyFont="0" applyFill="0" applyBorder="0" applyAlignment="0" applyProtection="0"/>
    <xf numFmtId="188" fontId="51" fillId="48" borderId="0">
      <alignment horizontal="left" vertical="center"/>
    </xf>
    <xf numFmtId="188" fontId="51" fillId="48" borderId="0">
      <alignment horizontal="right" vertical="center"/>
    </xf>
    <xf numFmtId="4" fontId="121" fillId="29" borderId="29" applyNumberFormat="0" applyProtection="0">
      <alignment vertical="center"/>
    </xf>
    <xf numFmtId="4" fontId="122" fillId="49" borderId="29" applyNumberFormat="0" applyProtection="0">
      <alignment vertical="center"/>
    </xf>
    <xf numFmtId="4" fontId="121" fillId="49" borderId="29" applyNumberFormat="0" applyProtection="0">
      <alignment horizontal="left" vertical="center" indent="1"/>
    </xf>
    <xf numFmtId="188" fontId="121" fillId="49" borderId="29" applyNumberFormat="0" applyProtection="0">
      <alignment horizontal="left" vertical="top" indent="1"/>
    </xf>
    <xf numFmtId="4" fontId="121" fillId="50" borderId="0" applyNumberFormat="0" applyProtection="0">
      <alignment horizontal="left" vertical="center" indent="1"/>
    </xf>
    <xf numFmtId="4" fontId="46" fillId="8" borderId="29" applyNumberFormat="0" applyProtection="0">
      <alignment horizontal="right" vertical="center"/>
    </xf>
    <xf numFmtId="4" fontId="46" fillId="14" borderId="29" applyNumberFormat="0" applyProtection="0">
      <alignment horizontal="right" vertical="center"/>
    </xf>
    <xf numFmtId="4" fontId="46" fillId="22" borderId="29" applyNumberFormat="0" applyProtection="0">
      <alignment horizontal="right" vertical="center"/>
    </xf>
    <xf numFmtId="4" fontId="46" fillId="16" borderId="29" applyNumberFormat="0" applyProtection="0">
      <alignment horizontal="right" vertical="center"/>
    </xf>
    <xf numFmtId="4" fontId="46" fillId="20" borderId="29" applyNumberFormat="0" applyProtection="0">
      <alignment horizontal="right" vertical="center"/>
    </xf>
    <xf numFmtId="4" fontId="46" fillId="24" borderId="29" applyNumberFormat="0" applyProtection="0">
      <alignment horizontal="right" vertical="center"/>
    </xf>
    <xf numFmtId="4" fontId="46" fillId="23" borderId="29" applyNumberFormat="0" applyProtection="0">
      <alignment horizontal="right" vertical="center"/>
    </xf>
    <xf numFmtId="4" fontId="46" fillId="51" borderId="29" applyNumberFormat="0" applyProtection="0">
      <alignment horizontal="right" vertical="center"/>
    </xf>
    <xf numFmtId="4" fontId="46" fillId="15" borderId="29" applyNumberFormat="0" applyProtection="0">
      <alignment horizontal="right" vertical="center"/>
    </xf>
    <xf numFmtId="4" fontId="121" fillId="52" borderId="30" applyNumberFormat="0" applyProtection="0">
      <alignment horizontal="left" vertical="center" indent="1"/>
    </xf>
    <xf numFmtId="4" fontId="46" fillId="53" borderId="0" applyNumberFormat="0" applyProtection="0">
      <alignment horizontal="left" vertical="center" indent="1"/>
    </xf>
    <xf numFmtId="4" fontId="123" fillId="54" borderId="0" applyNumberFormat="0" applyProtection="0">
      <alignment horizontal="left" vertical="center" indent="1"/>
    </xf>
    <xf numFmtId="4" fontId="46" fillId="55" borderId="29" applyNumberFormat="0" applyProtection="0">
      <alignment horizontal="right" vertical="center"/>
    </xf>
    <xf numFmtId="4" fontId="46" fillId="53" borderId="0" applyNumberFormat="0" applyProtection="0">
      <alignment horizontal="left" vertical="center" indent="1"/>
    </xf>
    <xf numFmtId="4" fontId="46" fillId="50" borderId="0" applyNumberFormat="0" applyProtection="0">
      <alignment horizontal="left" vertical="center" indent="1"/>
    </xf>
    <xf numFmtId="188" fontId="8" fillId="54" borderId="29" applyNumberFormat="0" applyProtection="0">
      <alignment horizontal="left" vertical="center" indent="1"/>
    </xf>
    <xf numFmtId="188" fontId="8" fillId="54" borderId="29" applyNumberFormat="0" applyProtection="0">
      <alignment horizontal="left" vertical="top" indent="1"/>
    </xf>
    <xf numFmtId="188" fontId="8" fillId="50" borderId="29" applyNumberFormat="0" applyProtection="0">
      <alignment horizontal="left" vertical="center" indent="1"/>
    </xf>
    <xf numFmtId="188" fontId="8" fillId="50" borderId="29" applyNumberFormat="0" applyProtection="0">
      <alignment horizontal="left" vertical="top" indent="1"/>
    </xf>
    <xf numFmtId="188" fontId="8" fillId="56" borderId="29" applyNumberFormat="0" applyProtection="0">
      <alignment horizontal="left" vertical="center" indent="1"/>
    </xf>
    <xf numFmtId="188" fontId="8" fillId="56" borderId="29" applyNumberFormat="0" applyProtection="0">
      <alignment horizontal="left" vertical="top" indent="1"/>
    </xf>
    <xf numFmtId="188" fontId="8" fillId="57" borderId="29" applyNumberFormat="0" applyProtection="0">
      <alignment horizontal="left" vertical="center" indent="1"/>
    </xf>
    <xf numFmtId="188" fontId="8" fillId="57" borderId="29" applyNumberFormat="0" applyProtection="0">
      <alignment horizontal="left" vertical="top" indent="1"/>
    </xf>
    <xf numFmtId="4" fontId="46" fillId="3" borderId="29" applyNumberFormat="0" applyProtection="0">
      <alignment vertical="center"/>
    </xf>
    <xf numFmtId="4" fontId="124" fillId="3" borderId="29" applyNumberFormat="0" applyProtection="0">
      <alignment vertical="center"/>
    </xf>
    <xf numFmtId="4" fontId="46" fillId="3" borderId="29" applyNumberFormat="0" applyProtection="0">
      <alignment horizontal="left" vertical="center" indent="1"/>
    </xf>
    <xf numFmtId="188" fontId="46" fillId="3" borderId="29" applyNumberFormat="0" applyProtection="0">
      <alignment horizontal="left" vertical="top" indent="1"/>
    </xf>
    <xf numFmtId="4" fontId="46" fillId="53" borderId="29" applyNumberFormat="0" applyProtection="0">
      <alignment horizontal="right" vertical="center"/>
    </xf>
    <xf numFmtId="4" fontId="124" fillId="53" borderId="29" applyNumberFormat="0" applyProtection="0">
      <alignment horizontal="right" vertical="center"/>
    </xf>
    <xf numFmtId="4" fontId="46" fillId="55" borderId="29" applyNumberFormat="0" applyProtection="0">
      <alignment horizontal="left" vertical="center" indent="1"/>
    </xf>
    <xf numFmtId="188" fontId="46" fillId="50" borderId="29" applyNumberFormat="0" applyProtection="0">
      <alignment horizontal="left" vertical="top" indent="1"/>
    </xf>
    <xf numFmtId="4" fontId="125" fillId="46" borderId="0" applyNumberFormat="0" applyProtection="0">
      <alignment horizontal="left" vertical="center" indent="1"/>
    </xf>
    <xf numFmtId="4" fontId="126" fillId="53" borderId="29" applyNumberFormat="0" applyProtection="0">
      <alignment horizontal="right" vertical="center"/>
    </xf>
    <xf numFmtId="177" fontId="10" fillId="0" borderId="3"/>
    <xf numFmtId="188" fontId="88" fillId="0" borderId="0"/>
    <xf numFmtId="188" fontId="119" fillId="0" borderId="0"/>
    <xf numFmtId="40" fontId="127" fillId="0" borderId="0" applyBorder="0">
      <alignment horizontal="right"/>
    </xf>
    <xf numFmtId="49" fontId="46" fillId="0" borderId="0" applyFill="0" applyBorder="0" applyAlignment="0"/>
    <xf numFmtId="223" fontId="46" fillId="0" borderId="0" applyFill="0" applyBorder="0" applyAlignment="0"/>
    <xf numFmtId="224" fontId="8" fillId="0" borderId="0" applyFill="0" applyBorder="0" applyAlignment="0"/>
    <xf numFmtId="225" fontId="8" fillId="0" borderId="0" applyFont="0" applyFill="0" applyBorder="0" applyAlignment="0" applyProtection="0"/>
    <xf numFmtId="226" fontId="8" fillId="0" borderId="0" applyFont="0" applyFill="0" applyBorder="0" applyAlignment="0" applyProtection="0"/>
    <xf numFmtId="227" fontId="12" fillId="0" borderId="0" applyFont="0" applyFill="0" applyBorder="0" applyAlignment="0" applyProtection="0"/>
    <xf numFmtId="228" fontId="12" fillId="0" borderId="0" applyFont="0" applyFill="0" applyBorder="0" applyAlignment="0" applyProtection="0"/>
    <xf numFmtId="188" fontId="22" fillId="0" borderId="0"/>
    <xf numFmtId="188" fontId="24" fillId="0" borderId="0"/>
    <xf numFmtId="229" fontId="22" fillId="0" borderId="0" applyFont="0" applyFill="0" applyBorder="0" applyAlignment="0" applyProtection="0"/>
    <xf numFmtId="230" fontId="22" fillId="0" borderId="0" applyFont="0" applyFill="0" applyBorder="0" applyAlignment="0" applyProtection="0"/>
    <xf numFmtId="176" fontId="8" fillId="0" borderId="0" applyFont="0" applyFill="0" applyBorder="0" applyAlignment="0" applyProtection="0"/>
    <xf numFmtId="9" fontId="22" fillId="0" borderId="0" applyFont="0" applyFill="0" applyBorder="0" applyAlignment="0" applyProtection="0"/>
    <xf numFmtId="188" fontId="128" fillId="0" borderId="0" applyFont="0" applyFill="0" applyBorder="0" applyAlignment="0" applyProtection="0"/>
    <xf numFmtId="188" fontId="128" fillId="0" borderId="0" applyFont="0" applyFill="0" applyBorder="0" applyAlignment="0" applyProtection="0"/>
    <xf numFmtId="188" fontId="129" fillId="0" borderId="0" applyNumberFormat="0" applyFill="0" applyBorder="0" applyAlignment="0" applyProtection="0"/>
    <xf numFmtId="188" fontId="130" fillId="16"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0" fillId="16" borderId="0" applyNumberFormat="0" applyBorder="0" applyAlignment="0" applyProtection="0">
      <alignment vertical="center"/>
    </xf>
    <xf numFmtId="188" fontId="132" fillId="58" borderId="0" applyNumberFormat="0" applyBorder="0" applyAlignment="0" applyProtection="0"/>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1" fillId="8"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3" fillId="59" borderId="0" applyNumberFormat="0" applyBorder="0" applyAlignment="0" applyProtection="0">
      <alignment vertical="center"/>
    </xf>
    <xf numFmtId="188" fontId="131" fillId="8" borderId="0" applyNumberFormat="0" applyBorder="0" applyAlignment="0" applyProtection="0">
      <alignment vertical="center"/>
    </xf>
    <xf numFmtId="188" fontId="134" fillId="35" borderId="0" applyNumberFormat="0" applyBorder="0" applyAlignment="0" applyProtection="0">
      <alignment vertical="center"/>
    </xf>
    <xf numFmtId="188" fontId="135" fillId="8" borderId="0" applyNumberFormat="0" applyBorder="0" applyAlignment="0" applyProtection="0">
      <alignment vertical="center"/>
    </xf>
    <xf numFmtId="188" fontId="135" fillId="8"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3" fillId="59"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1" fillId="8" borderId="0" applyNumberFormat="0" applyBorder="0" applyAlignment="0" applyProtection="0">
      <alignment vertical="center"/>
    </xf>
    <xf numFmtId="188" fontId="130" fillId="16" borderId="0" applyNumberFormat="0" applyBorder="0" applyAlignment="0" applyProtection="0">
      <alignment vertical="center"/>
    </xf>
    <xf numFmtId="188" fontId="131" fillId="8"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0" fillId="24" borderId="0" applyNumberFormat="0" applyBorder="0" applyAlignment="0" applyProtection="0">
      <alignment vertical="center"/>
    </xf>
    <xf numFmtId="188" fontId="130" fillId="16" borderId="0" applyNumberFormat="0" applyBorder="0" applyAlignment="0" applyProtection="0">
      <alignment vertical="center"/>
    </xf>
    <xf numFmtId="188" fontId="130" fillId="16" borderId="0" applyNumberFormat="0" applyBorder="0" applyAlignment="0" applyProtection="0">
      <alignment vertical="center"/>
    </xf>
    <xf numFmtId="188" fontId="136" fillId="10" borderId="0" applyNumberFormat="0" applyBorder="0" applyAlignment="0" applyProtection="0">
      <alignment vertical="center"/>
    </xf>
    <xf numFmtId="188" fontId="12" fillId="0" borderId="0">
      <alignment vertical="center"/>
      <protection locked="0"/>
    </xf>
    <xf numFmtId="188" fontId="45" fillId="0" borderId="0"/>
    <xf numFmtId="188" fontId="12" fillId="0" borderId="0"/>
    <xf numFmtId="188" fontId="12" fillId="0" borderId="0">
      <protection locked="0"/>
    </xf>
    <xf numFmtId="188" fontId="17" fillId="0" borderId="0"/>
    <xf numFmtId="188" fontId="12" fillId="0" borderId="0"/>
    <xf numFmtId="188" fontId="100" fillId="0" borderId="0">
      <alignment vertical="center"/>
    </xf>
    <xf numFmtId="188" fontId="137" fillId="0" borderId="0" applyNumberFormat="0" applyFill="0" applyBorder="0" applyAlignment="0" applyProtection="0">
      <alignment vertical="top"/>
      <protection locked="0"/>
    </xf>
    <xf numFmtId="188" fontId="138" fillId="0" borderId="0" applyNumberFormat="0" applyFill="0" applyBorder="0" applyAlignment="0" applyProtection="0">
      <alignment vertical="top"/>
      <protection locked="0"/>
    </xf>
    <xf numFmtId="188" fontId="139" fillId="60" borderId="0" applyNumberFormat="0" applyBorder="0" applyAlignment="0" applyProtection="0">
      <alignment vertical="center"/>
    </xf>
    <xf numFmtId="188" fontId="140" fillId="9" borderId="0" applyNumberFormat="0" applyBorder="0" applyAlignment="0" applyProtection="0">
      <alignment vertical="center"/>
    </xf>
    <xf numFmtId="188" fontId="140" fillId="60" borderId="0" applyNumberFormat="0" applyBorder="0" applyAlignment="0" applyProtection="0">
      <alignment vertical="center"/>
    </xf>
    <xf numFmtId="188" fontId="140" fillId="60" borderId="0" applyNumberFormat="0" applyBorder="0" applyAlignment="0" applyProtection="0">
      <alignment vertical="center"/>
    </xf>
    <xf numFmtId="188" fontId="140" fillId="60" borderId="0" applyNumberFormat="0" applyBorder="0" applyAlignment="0" applyProtection="0">
      <alignment vertical="center"/>
    </xf>
    <xf numFmtId="188" fontId="140" fillId="9" borderId="0" applyNumberFormat="0" applyBorder="0" applyAlignment="0" applyProtection="0">
      <alignment vertical="center"/>
    </xf>
    <xf numFmtId="188" fontId="139" fillId="60" borderId="0" applyNumberFormat="0" applyBorder="0" applyAlignment="0" applyProtection="0">
      <alignment vertical="center"/>
    </xf>
    <xf numFmtId="188" fontId="141" fillId="43" borderId="0" applyNumberFormat="0" applyBorder="0" applyAlignment="0" applyProtection="0"/>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9"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9" borderId="0" applyNumberFormat="0" applyBorder="0" applyAlignment="0" applyProtection="0">
      <alignment vertical="center"/>
    </xf>
    <xf numFmtId="188" fontId="142" fillId="34" borderId="0" applyNumberFormat="0" applyBorder="0" applyAlignment="0" applyProtection="0">
      <alignment vertical="center"/>
    </xf>
    <xf numFmtId="188" fontId="143" fillId="9" borderId="0" applyNumberFormat="0" applyBorder="0" applyAlignment="0" applyProtection="0">
      <alignment vertical="center"/>
    </xf>
    <xf numFmtId="188" fontId="141" fillId="9" borderId="0" applyNumberFormat="0" applyBorder="0" applyAlignment="0" applyProtection="0">
      <alignment vertical="center"/>
    </xf>
    <xf numFmtId="188" fontId="139" fillId="60"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44" fillId="61" borderId="0" applyNumberFormat="0" applyBorder="0" applyAlignment="0" applyProtection="0">
      <alignment vertical="center"/>
    </xf>
    <xf numFmtId="188" fontId="139" fillId="60" borderId="0" applyNumberFormat="0" applyBorder="0" applyAlignment="0" applyProtection="0">
      <alignment vertical="center"/>
    </xf>
    <xf numFmtId="188" fontId="144" fillId="61"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9" borderId="0" applyNumberFormat="0" applyBorder="0" applyAlignment="0" applyProtection="0">
      <alignment vertical="center"/>
    </xf>
    <xf numFmtId="188" fontId="139" fillId="60" borderId="0" applyNumberFormat="0" applyBorder="0" applyAlignment="0" applyProtection="0">
      <alignment vertical="center"/>
    </xf>
    <xf numFmtId="188" fontId="140" fillId="9" borderId="0" applyNumberFormat="0" applyBorder="0" applyAlignment="0" applyProtection="0">
      <alignment vertical="center"/>
    </xf>
    <xf numFmtId="188" fontId="139" fillId="60"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60" borderId="0" applyNumberFormat="0" applyBorder="0" applyAlignment="0" applyProtection="0">
      <alignment vertical="center"/>
    </xf>
    <xf numFmtId="188" fontId="139" fillId="60" borderId="0" applyNumberFormat="0" applyBorder="0" applyAlignment="0" applyProtection="0">
      <alignment vertical="center"/>
    </xf>
    <xf numFmtId="188" fontId="140" fillId="62" borderId="0" applyNumberFormat="0" applyBorder="0" applyAlignment="0" applyProtection="0">
      <alignment vertical="center"/>
    </xf>
    <xf numFmtId="188" fontId="139" fillId="60" borderId="0" applyNumberFormat="0" applyBorder="0" applyAlignment="0" applyProtection="0">
      <alignment vertical="center"/>
    </xf>
    <xf numFmtId="188" fontId="144" fillId="61" borderId="0" applyNumberFormat="0" applyBorder="0" applyAlignment="0" applyProtection="0">
      <alignment vertical="center"/>
    </xf>
    <xf numFmtId="188" fontId="139" fillId="60" borderId="0" applyNumberFormat="0" applyBorder="0" applyAlignment="0" applyProtection="0">
      <alignment vertical="center"/>
    </xf>
    <xf numFmtId="188" fontId="144" fillId="61" borderId="0" applyNumberFormat="0" applyBorder="0" applyAlignment="0" applyProtection="0">
      <alignment vertical="center"/>
    </xf>
    <xf numFmtId="188" fontId="140" fillId="60" borderId="0" applyNumberFormat="0" applyBorder="0" applyAlignment="0" applyProtection="0">
      <alignment vertical="center"/>
    </xf>
    <xf numFmtId="188" fontId="143" fillId="11" borderId="0" applyNumberFormat="0" applyBorder="0" applyAlignment="0" applyProtection="0">
      <alignment vertical="center"/>
    </xf>
    <xf numFmtId="231" fontId="145" fillId="0" borderId="0" applyFont="0" applyFill="0" applyBorder="0" applyAlignment="0" applyProtection="0"/>
    <xf numFmtId="232" fontId="145" fillId="0" borderId="0" applyFont="0" applyFill="0" applyBorder="0" applyAlignment="0" applyProtection="0"/>
    <xf numFmtId="180" fontId="8" fillId="0" borderId="0" applyFont="0" applyFill="0" applyBorder="0" applyAlignment="0" applyProtection="0"/>
    <xf numFmtId="233" fontId="8" fillId="0" borderId="0" applyFont="0" applyFill="0" applyBorder="0" applyAlignment="0" applyProtection="0"/>
    <xf numFmtId="188" fontId="22" fillId="0" borderId="0"/>
    <xf numFmtId="1" fontId="22" fillId="0" borderId="0"/>
    <xf numFmtId="234" fontId="146" fillId="0" borderId="0" applyFont="0" applyFill="0" applyBorder="0" applyAlignment="0" applyProtection="0"/>
    <xf numFmtId="235" fontId="146" fillId="0" borderId="0" applyFont="0" applyFill="0" applyBorder="0" applyAlignment="0" applyProtection="0"/>
    <xf numFmtId="231" fontId="22" fillId="0" borderId="0" applyFont="0" applyFill="0" applyBorder="0" applyAlignment="0" applyProtection="0"/>
    <xf numFmtId="232" fontId="22" fillId="0" borderId="0" applyFont="0" applyFill="0" applyBorder="0" applyAlignment="0" applyProtection="0"/>
    <xf numFmtId="176" fontId="22" fillId="0" borderId="0" applyFont="0" applyFill="0" applyBorder="0" applyAlignment="0" applyProtection="0"/>
    <xf numFmtId="177" fontId="2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alignment vertical="center"/>
    </xf>
    <xf numFmtId="177" fontId="17"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77" fontId="100" fillId="0" borderId="0" applyFont="0" applyFill="0" applyBorder="0" applyAlignment="0" applyProtection="0">
      <alignment vertical="center"/>
    </xf>
    <xf numFmtId="176" fontId="12" fillId="0" borderId="0" applyFont="0" applyFill="0" applyBorder="0" applyAlignment="0" applyProtection="0"/>
    <xf numFmtId="188" fontId="147" fillId="0" borderId="0"/>
    <xf numFmtId="188" fontId="148" fillId="63" borderId="0" applyNumberFormat="0" applyBorder="0" applyAlignment="0" applyProtection="0"/>
    <xf numFmtId="188" fontId="148" fillId="64" borderId="0" applyNumberFormat="0" applyBorder="0" applyAlignment="0" applyProtection="0"/>
    <xf numFmtId="188" fontId="148" fillId="65" borderId="0" applyNumberFormat="0" applyBorder="0" applyAlignment="0" applyProtection="0"/>
    <xf numFmtId="188" fontId="145" fillId="0" borderId="0"/>
    <xf numFmtId="188" fontId="149" fillId="0" borderId="0"/>
    <xf numFmtId="40" fontId="128" fillId="0" borderId="0" applyFont="0" applyFill="0" applyBorder="0" applyAlignment="0" applyProtection="0"/>
    <xf numFmtId="38" fontId="128" fillId="0" borderId="0" applyFont="0" applyFill="0" applyBorder="0" applyAlignment="0" applyProtection="0"/>
    <xf numFmtId="230" fontId="8" fillId="0" borderId="2" applyNumberFormat="0"/>
    <xf numFmtId="188" fontId="100" fillId="0" borderId="0">
      <alignment vertical="center"/>
    </xf>
    <xf numFmtId="188" fontId="100" fillId="0" borderId="0">
      <alignment vertical="center"/>
    </xf>
    <xf numFmtId="188" fontId="15" fillId="0" borderId="0" applyNumberFormat="0" applyFill="0" applyBorder="0" applyAlignment="0" applyProtection="0">
      <alignment vertical="top"/>
      <protection locked="0"/>
    </xf>
    <xf numFmtId="9" fontId="12" fillId="0" borderId="0" applyFont="0" applyFill="0" applyBorder="0" applyAlignment="0" applyProtection="0"/>
    <xf numFmtId="188" fontId="2" fillId="0" borderId="0">
      <alignment vertical="center"/>
    </xf>
    <xf numFmtId="43" fontId="12" fillId="0" borderId="0" applyFont="0" applyFill="0" applyBorder="0" applyAlignment="0" applyProtection="0">
      <alignment vertical="center"/>
    </xf>
    <xf numFmtId="188" fontId="2" fillId="0" borderId="0">
      <alignment vertical="center"/>
    </xf>
    <xf numFmtId="188" fontId="45" fillId="0" borderId="0"/>
    <xf numFmtId="188" fontId="2" fillId="0" borderId="0">
      <alignment vertical="center"/>
    </xf>
    <xf numFmtId="9" fontId="12" fillId="0" borderId="0" applyFont="0" applyFill="0" applyBorder="0" applyAlignment="0" applyProtection="0">
      <alignment vertical="center"/>
    </xf>
    <xf numFmtId="188" fontId="12" fillId="0" borderId="0">
      <alignment vertical="center"/>
    </xf>
    <xf numFmtId="43" fontId="12" fillId="0" borderId="0" applyFont="0" applyFill="0" applyBorder="0" applyAlignment="0" applyProtection="0"/>
    <xf numFmtId="188" fontId="12" fillId="0" borderId="0" applyFill="0" applyBorder="0"/>
    <xf numFmtId="188" fontId="45" fillId="0" borderId="0"/>
    <xf numFmtId="188" fontId="12" fillId="0" borderId="0">
      <protection locked="0"/>
    </xf>
    <xf numFmtId="188" fontId="8" fillId="0" borderId="0"/>
    <xf numFmtId="9" fontId="17" fillId="0" borderId="0" applyFont="0" applyFill="0" applyBorder="0" applyAlignment="0" applyProtection="0">
      <alignment vertical="center"/>
    </xf>
    <xf numFmtId="188" fontId="12" fillId="0" borderId="0">
      <protection locked="0"/>
    </xf>
    <xf numFmtId="188" fontId="12" fillId="0" borderId="0">
      <protection locked="0"/>
    </xf>
    <xf numFmtId="188" fontId="1" fillId="0" borderId="0">
      <alignment vertical="center"/>
    </xf>
  </cellStyleXfs>
  <cellXfs count="752">
    <xf numFmtId="188" fontId="0" fillId="0" borderId="0" xfId="0">
      <protection locked="0"/>
    </xf>
    <xf numFmtId="188" fontId="19" fillId="0" borderId="0" xfId="0" applyFont="1" applyAlignment="1">
      <alignment horizontal="justify" wrapText="1"/>
      <protection locked="0"/>
    </xf>
    <xf numFmtId="188" fontId="19" fillId="0" borderId="0" xfId="0" applyFont="1" applyAlignment="1">
      <alignment horizontal="justify" vertical="top" wrapText="1"/>
      <protection locked="0"/>
    </xf>
    <xf numFmtId="188" fontId="0" fillId="0" borderId="0" xfId="0" applyAlignment="1">
      <alignment vertical="center"/>
      <protection locked="0"/>
    </xf>
    <xf numFmtId="188" fontId="26" fillId="0" borderId="0" xfId="0" applyFont="1" applyAlignment="1">
      <alignment vertical="center"/>
      <protection locked="0"/>
    </xf>
    <xf numFmtId="188" fontId="27" fillId="0" borderId="0" xfId="0" applyFont="1" applyAlignment="1">
      <alignment horizontal="justify" wrapText="1"/>
      <protection locked="0"/>
    </xf>
    <xf numFmtId="188" fontId="26" fillId="0" borderId="0" xfId="0" applyFont="1">
      <protection locked="0"/>
    </xf>
    <xf numFmtId="188" fontId="12" fillId="0" borderId="0" xfId="0" applyFont="1">
      <protection locked="0"/>
    </xf>
    <xf numFmtId="188" fontId="8" fillId="0" borderId="0" xfId="0" applyFont="1">
      <protection locked="0"/>
    </xf>
    <xf numFmtId="177" fontId="24" fillId="0" borderId="0" xfId="30" applyNumberFormat="1" applyFont="1" applyBorder="1" applyAlignment="1">
      <alignment vertical="center"/>
    </xf>
    <xf numFmtId="49" fontId="24" fillId="0" borderId="0" xfId="30" applyNumberFormat="1" applyFont="1" applyBorder="1" applyAlignment="1">
      <alignment vertical="center"/>
    </xf>
    <xf numFmtId="188" fontId="24" fillId="0" borderId="0" xfId="27" applyFont="1" applyAlignment="1">
      <alignment vertical="center"/>
    </xf>
    <xf numFmtId="188" fontId="36" fillId="0" borderId="0" xfId="26" applyFont="1" applyAlignment="1">
      <alignment vertical="center" wrapText="1"/>
    </xf>
    <xf numFmtId="188" fontId="24" fillId="0" borderId="0" xfId="0" applyFont="1" applyAlignment="1">
      <alignment vertical="center"/>
      <protection locked="0"/>
    </xf>
    <xf numFmtId="188" fontId="24" fillId="0" borderId="0" xfId="28" applyFont="1">
      <protection locked="0"/>
    </xf>
    <xf numFmtId="188" fontId="24" fillId="0" borderId="0" xfId="29" applyFont="1" applyAlignment="1" applyProtection="1">
      <alignment vertical="center"/>
      <protection locked="0"/>
    </xf>
    <xf numFmtId="188" fontId="12" fillId="0" borderId="0" xfId="0" applyFont="1" applyAlignment="1">
      <alignment horizontal="center" vertical="center"/>
      <protection locked="0"/>
    </xf>
    <xf numFmtId="188" fontId="12" fillId="0" borderId="12" xfId="0" applyFont="1" applyBorder="1" applyAlignment="1">
      <alignment horizontal="center" vertical="center"/>
      <protection locked="0"/>
    </xf>
    <xf numFmtId="188" fontId="25" fillId="0" borderId="0" xfId="26" applyFont="1">
      <alignment vertical="center"/>
    </xf>
    <xf numFmtId="177" fontId="17" fillId="0" borderId="0" xfId="30" applyNumberFormat="1" applyFont="1" applyBorder="1" applyAlignment="1">
      <alignment vertical="center"/>
    </xf>
    <xf numFmtId="188" fontId="17" fillId="0" borderId="0" xfId="0" applyFont="1">
      <protection locked="0"/>
    </xf>
    <xf numFmtId="188" fontId="17" fillId="0" borderId="0" xfId="0" applyFont="1" applyAlignment="1">
      <alignment vertical="center"/>
      <protection locked="0"/>
    </xf>
    <xf numFmtId="188" fontId="36" fillId="0" borderId="0" xfId="0" applyFont="1" applyAlignment="1">
      <alignment vertical="center"/>
      <protection locked="0"/>
    </xf>
    <xf numFmtId="188" fontId="24" fillId="0" borderId="0" xfId="33" applyFont="1" applyAlignment="1" applyProtection="1">
      <alignment vertical="center"/>
      <protection locked="0"/>
    </xf>
    <xf numFmtId="188" fontId="17" fillId="0" borderId="0" xfId="33" applyFont="1" applyAlignment="1" applyProtection="1">
      <alignment vertical="center"/>
      <protection locked="0"/>
    </xf>
    <xf numFmtId="188" fontId="35" fillId="0" borderId="0" xfId="34" applyFont="1" applyAlignment="1">
      <alignment vertical="center"/>
      <protection locked="0"/>
    </xf>
    <xf numFmtId="188" fontId="24" fillId="0" borderId="0" xfId="34" applyFont="1" applyAlignment="1">
      <alignment vertical="center"/>
      <protection locked="0"/>
    </xf>
    <xf numFmtId="188" fontId="24" fillId="0" borderId="0" xfId="34" applyFont="1" applyAlignment="1">
      <alignment horizontal="justify" vertical="center" wrapText="1"/>
      <protection locked="0"/>
    </xf>
    <xf numFmtId="188" fontId="24" fillId="0" borderId="0" xfId="29" applyFont="1" applyAlignment="1">
      <alignment vertical="center"/>
    </xf>
    <xf numFmtId="188" fontId="25" fillId="0" borderId="0" xfId="29" applyFont="1" applyAlignment="1" applyProtection="1">
      <alignment vertical="center"/>
      <protection locked="0"/>
    </xf>
    <xf numFmtId="188" fontId="25" fillId="0" borderId="0" xfId="34" applyFont="1" applyAlignment="1">
      <alignment vertical="center"/>
      <protection locked="0"/>
    </xf>
    <xf numFmtId="188" fontId="24" fillId="0" borderId="0" xfId="34" applyFont="1" applyAlignment="1">
      <alignment vertical="center" wrapText="1"/>
      <protection locked="0"/>
    </xf>
    <xf numFmtId="188" fontId="17" fillId="0" borderId="0" xfId="34" applyFont="1" applyAlignment="1">
      <alignment horizontal="right" vertical="center"/>
      <protection locked="0"/>
    </xf>
    <xf numFmtId="188" fontId="38" fillId="0" borderId="0" xfId="34" applyFont="1" applyAlignment="1">
      <alignment vertical="center"/>
      <protection locked="0"/>
    </xf>
    <xf numFmtId="188" fontId="24" fillId="0" borderId="0" xfId="33" applyFont="1" applyAlignment="1" applyProtection="1">
      <alignment vertical="center" wrapText="1"/>
      <protection locked="0"/>
    </xf>
    <xf numFmtId="188" fontId="37" fillId="0" borderId="0" xfId="33" applyFont="1" applyAlignment="1">
      <alignment vertical="center"/>
    </xf>
    <xf numFmtId="188" fontId="50" fillId="0" borderId="0" xfId="33" applyFont="1" applyAlignment="1">
      <alignment horizontal="center"/>
    </xf>
    <xf numFmtId="188" fontId="25" fillId="0" borderId="0" xfId="33" applyFont="1" applyAlignment="1">
      <alignment horizontal="left" vertical="center"/>
    </xf>
    <xf numFmtId="188" fontId="24" fillId="0" borderId="0" xfId="37" applyFont="1">
      <alignment vertical="center"/>
    </xf>
    <xf numFmtId="188" fontId="33" fillId="0" borderId="0" xfId="33" applyFont="1" applyAlignment="1" applyProtection="1">
      <alignment horizontal="right" vertical="center"/>
      <protection locked="0"/>
    </xf>
    <xf numFmtId="188" fontId="25" fillId="0" borderId="0" xfId="33" applyFont="1" applyAlignment="1" applyProtection="1">
      <alignment vertical="center"/>
      <protection locked="0"/>
    </xf>
    <xf numFmtId="177" fontId="36" fillId="0" borderId="0" xfId="30" applyNumberFormat="1" applyFont="1" applyBorder="1" applyAlignment="1">
      <alignment vertical="center"/>
    </xf>
    <xf numFmtId="177" fontId="24" fillId="0" borderId="0" xfId="30" applyNumberFormat="1" applyFont="1" applyBorder="1" applyAlignment="1">
      <alignment horizontal="left" vertical="center"/>
    </xf>
    <xf numFmtId="177" fontId="25" fillId="0" borderId="0" xfId="30" applyNumberFormat="1" applyFont="1" applyBorder="1" applyAlignment="1">
      <alignment vertical="center"/>
    </xf>
    <xf numFmtId="177" fontId="25" fillId="0" borderId="0" xfId="30" applyNumberFormat="1" applyFont="1" applyFill="1" applyBorder="1" applyAlignment="1">
      <alignment vertical="center"/>
    </xf>
    <xf numFmtId="177" fontId="24" fillId="0" borderId="0" xfId="30" applyNumberFormat="1" applyFont="1" applyFill="1" applyBorder="1" applyAlignment="1">
      <alignment vertical="center"/>
    </xf>
    <xf numFmtId="188" fontId="25" fillId="0" borderId="0" xfId="29" applyFont="1" applyAlignment="1">
      <alignment vertical="center"/>
    </xf>
    <xf numFmtId="177" fontId="24" fillId="0" borderId="7" xfId="30" applyNumberFormat="1" applyFont="1" applyBorder="1" applyAlignment="1">
      <alignment horizontal="left" vertical="center"/>
    </xf>
    <xf numFmtId="9" fontId="32" fillId="0" borderId="0" xfId="24" applyFont="1" applyBorder="1" applyAlignment="1">
      <alignment horizontal="left" vertical="center"/>
    </xf>
    <xf numFmtId="188" fontId="24" fillId="0" borderId="0" xfId="27" applyFont="1" applyAlignment="1">
      <alignment horizontal="left" vertical="center"/>
    </xf>
    <xf numFmtId="188" fontId="24" fillId="5" borderId="0" xfId="28" applyFont="1" applyFill="1">
      <protection locked="0"/>
    </xf>
    <xf numFmtId="188" fontId="25" fillId="5" borderId="0" xfId="28" applyFont="1" applyFill="1">
      <protection locked="0"/>
    </xf>
    <xf numFmtId="188" fontId="17" fillId="0" borderId="0" xfId="34" applyFont="1" applyAlignment="1">
      <alignment vertical="center"/>
      <protection locked="0"/>
    </xf>
    <xf numFmtId="188" fontId="37" fillId="0" borderId="2" xfId="0" applyFont="1" applyBorder="1" applyAlignment="1" applyProtection="1">
      <alignment horizontal="center" vertical="center"/>
    </xf>
    <xf numFmtId="188" fontId="37" fillId="0" borderId="2" xfId="0" applyFont="1" applyBorder="1" applyAlignment="1" applyProtection="1">
      <alignment vertical="center"/>
    </xf>
    <xf numFmtId="188" fontId="62" fillId="0" borderId="2" xfId="0" applyFont="1" applyBorder="1" applyAlignment="1" applyProtection="1">
      <alignment vertical="center"/>
    </xf>
    <xf numFmtId="188" fontId="25" fillId="0" borderId="0" xfId="0" applyFont="1" applyAlignment="1">
      <alignment vertical="center"/>
      <protection locked="0"/>
    </xf>
    <xf numFmtId="188" fontId="24" fillId="0" borderId="0" xfId="40" applyFont="1" applyAlignment="1">
      <alignment vertical="center"/>
      <protection locked="0"/>
    </xf>
    <xf numFmtId="188" fontId="25" fillId="0" borderId="0" xfId="40" applyFont="1" applyAlignment="1">
      <alignment vertical="center"/>
      <protection locked="0"/>
    </xf>
    <xf numFmtId="188" fontId="17" fillId="0" borderId="0" xfId="40" applyFont="1" applyAlignment="1">
      <alignment vertical="center"/>
      <protection locked="0"/>
    </xf>
    <xf numFmtId="188" fontId="24" fillId="0" borderId="0" xfId="34" applyFont="1" applyAlignment="1">
      <alignment horizontal="right" vertical="center"/>
      <protection locked="0"/>
    </xf>
    <xf numFmtId="177" fontId="24" fillId="0" borderId="3" xfId="36" applyFont="1" applyFill="1" applyBorder="1" applyAlignment="1">
      <alignment horizontal="center" vertical="center"/>
    </xf>
    <xf numFmtId="191" fontId="24" fillId="6" borderId="3" xfId="34" applyNumberFormat="1" applyFont="1" applyFill="1" applyBorder="1" applyAlignment="1" applyProtection="1">
      <alignment horizontal="right" vertical="center"/>
    </xf>
    <xf numFmtId="188" fontId="24" fillId="6" borderId="3" xfId="34" applyFont="1" applyFill="1" applyBorder="1" applyAlignment="1" applyProtection="1">
      <alignment horizontal="center" vertical="center" wrapText="1"/>
    </xf>
    <xf numFmtId="188" fontId="24" fillId="0" borderId="3" xfId="34" applyFont="1" applyBorder="1" applyAlignment="1" applyProtection="1">
      <alignment vertical="center"/>
    </xf>
    <xf numFmtId="191" fontId="24" fillId="0" borderId="3" xfId="34" applyNumberFormat="1" applyFont="1" applyBorder="1" applyAlignment="1" applyProtection="1">
      <alignment vertical="center"/>
    </xf>
    <xf numFmtId="177" fontId="62" fillId="5" borderId="3" xfId="32" applyFont="1" applyFill="1" applyBorder="1" applyAlignment="1">
      <alignment horizontal="right" vertical="center"/>
    </xf>
    <xf numFmtId="177" fontId="24" fillId="5" borderId="3" xfId="32" applyFont="1" applyFill="1" applyBorder="1" applyAlignment="1">
      <alignment horizontal="right" vertical="center" wrapText="1"/>
    </xf>
    <xf numFmtId="10" fontId="24" fillId="5" borderId="3" xfId="24" applyNumberFormat="1" applyFont="1" applyFill="1" applyBorder="1" applyAlignment="1">
      <alignment horizontal="right" vertical="center" wrapText="1"/>
    </xf>
    <xf numFmtId="177" fontId="62" fillId="0" borderId="3" xfId="32" applyFont="1" applyFill="1" applyBorder="1" applyAlignment="1">
      <alignment horizontal="right" vertical="center"/>
    </xf>
    <xf numFmtId="177" fontId="24" fillId="0" borderId="3" xfId="32" applyFont="1" applyFill="1" applyBorder="1" applyAlignment="1">
      <alignment horizontal="right" vertical="center" wrapText="1"/>
    </xf>
    <xf numFmtId="188" fontId="25" fillId="5" borderId="3" xfId="39" applyFont="1" applyFill="1" applyBorder="1" applyAlignment="1" applyProtection="1">
      <alignment horizontal="center" vertical="center" wrapText="1"/>
      <protection locked="0"/>
    </xf>
    <xf numFmtId="188" fontId="25" fillId="5" borderId="3" xfId="34" applyNumberFormat="1" applyFont="1" applyFill="1" applyBorder="1" applyAlignment="1">
      <alignment horizontal="center" vertical="center"/>
      <protection locked="0"/>
    </xf>
    <xf numFmtId="177" fontId="65" fillId="0" borderId="7" xfId="31" applyNumberFormat="1" applyFont="1" applyBorder="1" applyAlignment="1" applyProtection="1">
      <alignment horizontal="center" vertical="center"/>
    </xf>
    <xf numFmtId="188" fontId="25" fillId="0" borderId="0" xfId="27" applyFont="1" applyAlignment="1">
      <alignment vertical="center"/>
    </xf>
    <xf numFmtId="188" fontId="35" fillId="0" borderId="0" xfId="27" applyFont="1" applyAlignment="1">
      <alignment vertical="center"/>
    </xf>
    <xf numFmtId="177" fontId="36" fillId="0" borderId="0" xfId="30" applyNumberFormat="1" applyFont="1" applyFill="1" applyBorder="1" applyAlignment="1">
      <alignment vertical="center"/>
    </xf>
    <xf numFmtId="177" fontId="35" fillId="0" borderId="0" xfId="30" applyNumberFormat="1" applyFont="1" applyFill="1" applyBorder="1" applyAlignment="1">
      <alignment vertical="center"/>
    </xf>
    <xf numFmtId="177" fontId="17" fillId="0" borderId="0" xfId="30" applyNumberFormat="1" applyFont="1" applyFill="1" applyBorder="1" applyAlignment="1">
      <alignment vertical="center"/>
    </xf>
    <xf numFmtId="49" fontId="24" fillId="0" borderId="0" xfId="30" applyNumberFormat="1" applyFont="1" applyFill="1" applyBorder="1" applyAlignment="1">
      <alignment vertical="center"/>
    </xf>
    <xf numFmtId="188" fontId="36" fillId="0" borderId="0" xfId="0" applyFont="1">
      <protection locked="0"/>
    </xf>
    <xf numFmtId="188" fontId="24" fillId="0" borderId="0" xfId="0" applyFont="1">
      <protection locked="0"/>
    </xf>
    <xf numFmtId="188" fontId="24" fillId="0" borderId="0" xfId="27" applyFont="1" applyAlignment="1">
      <alignment horizontal="center" vertical="center"/>
    </xf>
    <xf numFmtId="10" fontId="32" fillId="0" borderId="0" xfId="24" applyNumberFormat="1" applyFont="1" applyBorder="1" applyAlignment="1">
      <alignment horizontal="left" vertical="center"/>
    </xf>
    <xf numFmtId="188" fontId="37" fillId="5" borderId="3" xfId="34" applyNumberFormat="1" applyFont="1" applyFill="1" applyBorder="1" applyAlignment="1">
      <alignment horizontal="center" vertical="center" wrapText="1"/>
      <protection locked="0"/>
    </xf>
    <xf numFmtId="188" fontId="67" fillId="0" borderId="3" xfId="40" applyFont="1" applyBorder="1" applyAlignment="1" applyProtection="1">
      <alignment vertical="center"/>
    </xf>
    <xf numFmtId="188" fontId="17" fillId="0" borderId="3" xfId="40" applyFont="1" applyBorder="1" applyAlignment="1" applyProtection="1">
      <alignment vertical="center"/>
    </xf>
    <xf numFmtId="188" fontId="43" fillId="0" borderId="3" xfId="40" applyFont="1" applyBorder="1" applyAlignment="1" applyProtection="1">
      <alignment horizontal="left" vertical="center" indent="1"/>
    </xf>
    <xf numFmtId="188" fontId="37" fillId="0" borderId="3" xfId="40" applyFont="1" applyBorder="1" applyAlignment="1" applyProtection="1">
      <alignment horizontal="center" vertical="center"/>
    </xf>
    <xf numFmtId="188" fontId="62" fillId="0" borderId="3" xfId="40" applyFont="1" applyBorder="1" applyAlignment="1" applyProtection="1">
      <alignment vertical="center"/>
    </xf>
    <xf numFmtId="188" fontId="24" fillId="0" borderId="3" xfId="40" applyFont="1" applyBorder="1" applyAlignment="1" applyProtection="1">
      <alignment vertical="center"/>
    </xf>
    <xf numFmtId="188" fontId="42" fillId="0" borderId="3" xfId="40" applyFont="1" applyBorder="1" applyAlignment="1" applyProtection="1">
      <alignment horizontal="left" vertical="center" indent="1"/>
    </xf>
    <xf numFmtId="188" fontId="41" fillId="5" borderId="3" xfId="40" applyFont="1" applyFill="1" applyBorder="1" applyAlignment="1" applyProtection="1">
      <alignment vertical="center"/>
    </xf>
    <xf numFmtId="188" fontId="51" fillId="0" borderId="0" xfId="40" applyFont="1" applyAlignment="1" applyProtection="1">
      <alignment horizontal="left" vertical="center"/>
    </xf>
    <xf numFmtId="188" fontId="25" fillId="5" borderId="3" xfId="40" applyFont="1" applyFill="1" applyBorder="1" applyAlignment="1">
      <alignment horizontal="center" vertical="center" wrapText="1"/>
      <protection locked="0"/>
    </xf>
    <xf numFmtId="177" fontId="54" fillId="0" borderId="3" xfId="40" quotePrefix="1" applyNumberFormat="1" applyFont="1" applyBorder="1" applyAlignment="1" applyProtection="1">
      <alignment horizontal="right" vertical="center" shrinkToFit="1"/>
    </xf>
    <xf numFmtId="177" fontId="54" fillId="0" borderId="3" xfId="40" applyNumberFormat="1" applyFont="1" applyBorder="1" applyAlignment="1" applyProtection="1">
      <alignment horizontal="right" vertical="center" shrinkToFit="1"/>
    </xf>
    <xf numFmtId="177" fontId="54" fillId="0" borderId="3" xfId="40" applyNumberFormat="1" applyFont="1" applyBorder="1" applyAlignment="1">
      <alignment horizontal="right" vertical="center" shrinkToFit="1"/>
      <protection locked="0"/>
    </xf>
    <xf numFmtId="177" fontId="16" fillId="0" borderId="3" xfId="40" applyNumberFormat="1" applyFont="1" applyBorder="1" applyAlignment="1" applyProtection="1">
      <alignment horizontal="center" vertical="center" shrinkToFit="1"/>
    </xf>
    <xf numFmtId="188" fontId="38" fillId="0" borderId="0" xfId="29" applyFont="1" applyAlignment="1">
      <alignment vertical="center"/>
    </xf>
    <xf numFmtId="188" fontId="44" fillId="0" borderId="0" xfId="34" applyFont="1" applyAlignment="1">
      <alignment vertical="center"/>
      <protection locked="0"/>
    </xf>
    <xf numFmtId="188" fontId="34" fillId="0" borderId="0" xfId="34" applyFont="1" applyAlignment="1">
      <alignment vertical="center"/>
      <protection locked="0"/>
    </xf>
    <xf numFmtId="188" fontId="24" fillId="0" borderId="0" xfId="40" applyFont="1" applyAlignment="1">
      <alignment horizontal="center" vertical="center"/>
      <protection locked="0"/>
    </xf>
    <xf numFmtId="188" fontId="36" fillId="0" borderId="0" xfId="40" applyFont="1" applyAlignment="1">
      <alignment vertical="center"/>
      <protection locked="0"/>
    </xf>
    <xf numFmtId="188" fontId="12" fillId="0" borderId="0" xfId="40">
      <protection locked="0"/>
    </xf>
    <xf numFmtId="188" fontId="38" fillId="32" borderId="3" xfId="172" applyFont="1" applyFill="1" applyBorder="1" applyAlignment="1">
      <alignment horizontal="center" vertical="center" wrapText="1"/>
      <protection locked="0"/>
    </xf>
    <xf numFmtId="188" fontId="43" fillId="0" borderId="3" xfId="172" applyFont="1" applyBorder="1" applyAlignment="1">
      <alignment horizontal="left" vertical="center" wrapText="1"/>
      <protection locked="0"/>
    </xf>
    <xf numFmtId="10" fontId="62" fillId="0" borderId="3" xfId="24" applyNumberFormat="1" applyFont="1" applyFill="1" applyBorder="1" applyAlignment="1">
      <alignment horizontal="center" vertical="center"/>
    </xf>
    <xf numFmtId="10" fontId="24" fillId="0" borderId="3" xfId="24" applyNumberFormat="1" applyFont="1" applyFill="1" applyBorder="1" applyAlignment="1">
      <alignment horizontal="center" vertical="center"/>
    </xf>
    <xf numFmtId="188" fontId="55" fillId="0" borderId="0" xfId="34" applyFont="1" applyAlignment="1">
      <alignment horizontal="center" vertical="center"/>
      <protection locked="0"/>
    </xf>
    <xf numFmtId="177" fontId="63" fillId="0" borderId="0" xfId="34" applyNumberFormat="1" applyFont="1" applyAlignment="1">
      <alignment horizontal="center" vertical="center"/>
      <protection locked="0"/>
    </xf>
    <xf numFmtId="188" fontId="59" fillId="0" borderId="0" xfId="34" applyFont="1" applyAlignment="1">
      <alignment horizontal="right" vertical="center"/>
      <protection locked="0"/>
    </xf>
    <xf numFmtId="188" fontId="17" fillId="0" borderId="3" xfId="172" applyFont="1" applyBorder="1" applyAlignment="1">
      <alignment horizontal="left" vertical="center" wrapText="1"/>
      <protection locked="0"/>
    </xf>
    <xf numFmtId="188" fontId="24" fillId="0" borderId="0" xfId="172" applyFont="1" applyAlignment="1">
      <alignment vertical="center"/>
      <protection locked="0"/>
    </xf>
    <xf numFmtId="188" fontId="24" fillId="0" borderId="0" xfId="172" applyFont="1" applyAlignment="1">
      <alignment vertical="center" wrapText="1"/>
      <protection locked="0"/>
    </xf>
    <xf numFmtId="188" fontId="17" fillId="0" borderId="0" xfId="172" applyFont="1" applyAlignment="1">
      <alignment vertical="center"/>
      <protection locked="0"/>
    </xf>
    <xf numFmtId="188" fontId="104" fillId="0" borderId="0" xfId="172" applyFont="1" applyAlignment="1">
      <alignment vertical="center" wrapText="1"/>
      <protection locked="0"/>
    </xf>
    <xf numFmtId="188" fontId="38" fillId="0" borderId="0" xfId="172" applyFont="1" applyAlignment="1">
      <alignment vertical="center"/>
      <protection locked="0"/>
    </xf>
    <xf numFmtId="188" fontId="24" fillId="0" borderId="0" xfId="172" applyFont="1" applyAlignment="1">
      <alignment horizontal="center" vertical="center" wrapText="1"/>
      <protection locked="0"/>
    </xf>
    <xf numFmtId="188" fontId="24" fillId="0" borderId="0" xfId="172" applyFont="1" applyAlignment="1">
      <alignment horizontal="left" vertical="center" wrapText="1"/>
      <protection locked="0"/>
    </xf>
    <xf numFmtId="188" fontId="17" fillId="0" borderId="0" xfId="172" applyFont="1" applyAlignment="1">
      <alignment horizontal="left" vertical="center" wrapText="1"/>
      <protection locked="0"/>
    </xf>
    <xf numFmtId="188" fontId="12" fillId="0" borderId="3" xfId="40" applyBorder="1" applyAlignment="1">
      <alignment horizontal="left" vertical="center" wrapText="1"/>
      <protection locked="0"/>
    </xf>
    <xf numFmtId="188" fontId="12" fillId="0" borderId="0" xfId="40" applyAlignment="1">
      <alignment horizontal="left" vertical="center" wrapText="1"/>
      <protection locked="0"/>
    </xf>
    <xf numFmtId="188" fontId="0" fillId="0" borderId="6" xfId="0" applyBorder="1" applyAlignment="1">
      <alignment horizontal="left" vertical="center" wrapText="1"/>
      <protection locked="0"/>
    </xf>
    <xf numFmtId="188" fontId="104" fillId="0" borderId="28" xfId="172" applyFont="1" applyBorder="1" applyAlignment="1">
      <alignment vertical="center" wrapText="1"/>
      <protection locked="0"/>
    </xf>
    <xf numFmtId="188" fontId="12" fillId="0" borderId="28" xfId="40" applyBorder="1" applyAlignment="1">
      <alignment vertical="center" wrapText="1"/>
      <protection locked="0"/>
    </xf>
    <xf numFmtId="188" fontId="24" fillId="0" borderId="0" xfId="172" applyFont="1" applyAlignment="1">
      <alignment horizontal="right" vertical="center"/>
      <protection locked="0"/>
    </xf>
    <xf numFmtId="188" fontId="17" fillId="0" borderId="0" xfId="172" applyFont="1" applyAlignment="1">
      <alignment horizontal="right" vertical="center"/>
      <protection locked="0"/>
    </xf>
    <xf numFmtId="188" fontId="42" fillId="0" borderId="0" xfId="172" applyFont="1" applyAlignment="1">
      <alignment horizontal="left" vertical="center" wrapText="1"/>
      <protection locked="0"/>
    </xf>
    <xf numFmtId="188" fontId="43" fillId="0" borderId="0" xfId="172" applyFont="1" applyAlignment="1">
      <alignment horizontal="left" vertical="center"/>
      <protection locked="0"/>
    </xf>
    <xf numFmtId="188" fontId="42" fillId="0" borderId="0" xfId="172" applyFont="1" applyAlignment="1">
      <alignment horizontal="left" vertical="center"/>
      <protection locked="0"/>
    </xf>
    <xf numFmtId="188" fontId="47" fillId="0" borderId="0" xfId="172" applyFont="1" applyAlignment="1">
      <alignment vertical="center"/>
      <protection locked="0"/>
    </xf>
    <xf numFmtId="188" fontId="25" fillId="0" borderId="0" xfId="172" applyFont="1" applyAlignment="1">
      <alignment vertical="center"/>
      <protection locked="0"/>
    </xf>
    <xf numFmtId="188" fontId="25" fillId="32" borderId="3" xfId="172" applyFont="1" applyFill="1" applyBorder="1" applyAlignment="1">
      <alignment horizontal="center" vertical="center" wrapText="1"/>
      <protection locked="0"/>
    </xf>
    <xf numFmtId="188" fontId="12" fillId="0" borderId="0" xfId="40" applyAlignment="1">
      <alignment vertical="center"/>
      <protection locked="0"/>
    </xf>
    <xf numFmtId="177" fontId="24" fillId="0" borderId="3" xfId="32" applyFont="1" applyFill="1" applyBorder="1" applyAlignment="1" applyProtection="1">
      <alignment horizontal="center" vertical="center" wrapText="1"/>
      <protection locked="0"/>
    </xf>
    <xf numFmtId="188" fontId="24" fillId="0" borderId="3" xfId="172" applyFont="1" applyBorder="1" applyAlignment="1">
      <alignment horizontal="left" vertical="center" wrapText="1"/>
      <protection locked="0"/>
    </xf>
    <xf numFmtId="188" fontId="38" fillId="0" borderId="0" xfId="40" applyFont="1" applyAlignment="1">
      <alignment vertical="center"/>
      <protection locked="0"/>
    </xf>
    <xf numFmtId="188" fontId="24" fillId="0" borderId="3" xfId="40" applyFont="1" applyBorder="1" applyAlignment="1">
      <alignment vertical="center"/>
      <protection locked="0"/>
    </xf>
    <xf numFmtId="188" fontId="24" fillId="0" borderId="0" xfId="34" applyFont="1" applyAlignment="1">
      <alignment horizontal="left" vertical="center"/>
      <protection locked="0"/>
    </xf>
    <xf numFmtId="177" fontId="24" fillId="0" borderId="3" xfId="32" applyFont="1" applyFill="1" applyBorder="1" applyAlignment="1" applyProtection="1">
      <alignment horizontal="left" vertical="center"/>
    </xf>
    <xf numFmtId="188" fontId="20" fillId="0" borderId="0" xfId="0" applyFont="1" applyAlignment="1">
      <alignment horizontal="justify" wrapText="1"/>
      <protection locked="0"/>
    </xf>
    <xf numFmtId="188" fontId="24" fillId="0" borderId="0" xfId="0" applyFont="1" applyAlignment="1">
      <alignment horizontal="right" vertical="center"/>
      <protection locked="0"/>
    </xf>
    <xf numFmtId="188" fontId="24" fillId="0" borderId="3" xfId="0" applyFont="1" applyBorder="1" applyAlignment="1">
      <alignment horizontal="left" vertical="center"/>
      <protection locked="0"/>
    </xf>
    <xf numFmtId="188" fontId="24" fillId="0" borderId="3" xfId="0" quotePrefix="1" applyFont="1" applyBorder="1" applyAlignment="1">
      <alignment horizontal="center" vertical="center"/>
      <protection locked="0"/>
    </xf>
    <xf numFmtId="188" fontId="25" fillId="5" borderId="3" xfId="0" applyFont="1" applyFill="1" applyBorder="1" applyAlignment="1">
      <alignment horizontal="center" vertical="center" wrapText="1"/>
      <protection locked="0"/>
    </xf>
    <xf numFmtId="188" fontId="36" fillId="0" borderId="0" xfId="26" applyFont="1">
      <alignment vertical="center"/>
    </xf>
    <xf numFmtId="49" fontId="24" fillId="0" borderId="0" xfId="37" applyNumberFormat="1" applyFont="1" applyAlignment="1">
      <alignment horizontal="left" vertical="center"/>
    </xf>
    <xf numFmtId="49" fontId="38" fillId="0" borderId="0" xfId="40" applyNumberFormat="1" applyFont="1" applyAlignment="1">
      <alignment horizontal="left" vertical="center"/>
      <protection locked="0"/>
    </xf>
    <xf numFmtId="188" fontId="25" fillId="0" borderId="0" xfId="40" applyFont="1" applyAlignment="1">
      <alignment horizontal="justify" vertical="center"/>
      <protection locked="0"/>
    </xf>
    <xf numFmtId="188" fontId="17" fillId="0" borderId="3" xfId="40" applyFont="1" applyBorder="1" applyAlignment="1">
      <alignment horizontal="center" vertical="center" wrapText="1"/>
      <protection locked="0"/>
    </xf>
    <xf numFmtId="188" fontId="25" fillId="66" borderId="0" xfId="40" applyFont="1" applyFill="1" applyAlignment="1">
      <alignment vertical="center"/>
      <protection locked="0"/>
    </xf>
    <xf numFmtId="188" fontId="24" fillId="66" borderId="0" xfId="40" applyFont="1" applyFill="1" applyAlignment="1">
      <alignment vertical="center"/>
      <protection locked="0"/>
    </xf>
    <xf numFmtId="49" fontId="24" fillId="0" borderId="3" xfId="40" applyNumberFormat="1" applyFont="1" applyBorder="1" applyAlignment="1">
      <alignment horizontal="center" vertical="center"/>
      <protection locked="0"/>
    </xf>
    <xf numFmtId="188" fontId="25" fillId="67" borderId="3" xfId="40" applyFont="1" applyFill="1" applyBorder="1" applyAlignment="1">
      <alignment horizontal="left" vertical="center" wrapText="1"/>
      <protection locked="0"/>
    </xf>
    <xf numFmtId="188" fontId="17" fillId="0" borderId="3" xfId="40" applyFont="1" applyBorder="1" applyAlignment="1">
      <alignment horizontal="center" vertical="center" wrapText="1" shrinkToFit="1"/>
      <protection locked="0"/>
    </xf>
    <xf numFmtId="188" fontId="17" fillId="0" borderId="3" xfId="40" applyFont="1" applyBorder="1" applyAlignment="1">
      <alignment horizontal="left" vertical="center" wrapText="1"/>
      <protection locked="0"/>
    </xf>
    <xf numFmtId="188" fontId="25" fillId="68" borderId="0" xfId="37" applyFont="1" applyFill="1">
      <alignment vertical="center"/>
    </xf>
    <xf numFmtId="188" fontId="154" fillId="0" borderId="0" xfId="40" applyFont="1" applyAlignment="1">
      <alignment vertical="center"/>
      <protection locked="0"/>
    </xf>
    <xf numFmtId="188" fontId="0" fillId="0" borderId="2" xfId="0" applyBorder="1">
      <protection locked="0"/>
    </xf>
    <xf numFmtId="188" fontId="155" fillId="69" borderId="0" xfId="0" applyFont="1" applyFill="1" applyAlignment="1" applyProtection="1">
      <alignment vertical="center"/>
    </xf>
    <xf numFmtId="188" fontId="156" fillId="70" borderId="0" xfId="0" applyFont="1" applyFill="1" applyAlignment="1" applyProtection="1">
      <alignment vertical="center"/>
    </xf>
    <xf numFmtId="188" fontId="62" fillId="0" borderId="0" xfId="586" applyFont="1">
      <alignment vertical="center"/>
    </xf>
    <xf numFmtId="188" fontId="56" fillId="0" borderId="0" xfId="587" applyFont="1">
      <alignment vertical="center"/>
    </xf>
    <xf numFmtId="188" fontId="38" fillId="5" borderId="3" xfId="495" applyFont="1" applyFill="1" applyBorder="1" applyAlignment="1" applyProtection="1">
      <alignment horizontal="center" vertical="center" wrapText="1"/>
      <protection locked="0"/>
    </xf>
    <xf numFmtId="188" fontId="157" fillId="5" borderId="3" xfId="495" applyFont="1" applyFill="1" applyBorder="1" applyAlignment="1" applyProtection="1">
      <alignment horizontal="center" vertical="center" wrapText="1"/>
      <protection locked="0"/>
    </xf>
    <xf numFmtId="188" fontId="156" fillId="0" borderId="2" xfId="0" applyFont="1" applyBorder="1" applyAlignment="1" applyProtection="1">
      <alignment vertical="center"/>
    </xf>
    <xf numFmtId="188" fontId="41" fillId="5" borderId="3" xfId="0" applyFont="1" applyFill="1" applyBorder="1" applyAlignment="1" applyProtection="1">
      <alignment horizontal="center" vertical="center"/>
    </xf>
    <xf numFmtId="177" fontId="54" fillId="0" borderId="3" xfId="40" applyNumberFormat="1" applyFont="1" applyBorder="1" applyAlignment="1" applyProtection="1">
      <alignment horizontal="left" vertical="center" shrinkToFit="1"/>
    </xf>
    <xf numFmtId="177" fontId="16" fillId="0" borderId="3" xfId="40" applyNumberFormat="1" applyFont="1" applyBorder="1" applyAlignment="1" applyProtection="1">
      <alignment horizontal="left" vertical="center" shrinkToFit="1"/>
    </xf>
    <xf numFmtId="49" fontId="53" fillId="0" borderId="0" xfId="30" applyNumberFormat="1" applyFont="1" applyFill="1" applyBorder="1" applyAlignment="1">
      <alignment vertical="center"/>
    </xf>
    <xf numFmtId="177" fontId="53" fillId="0" borderId="0" xfId="30" applyNumberFormat="1" applyFont="1" applyFill="1" applyBorder="1" applyAlignment="1">
      <alignment vertical="center"/>
    </xf>
    <xf numFmtId="188" fontId="52" fillId="0" borderId="0" xfId="0" applyFont="1" applyAlignment="1">
      <alignment vertical="center"/>
      <protection locked="0"/>
    </xf>
    <xf numFmtId="188" fontId="53" fillId="0" borderId="0" xfId="0" applyFont="1" applyAlignment="1" applyProtection="1">
      <alignment horizontal="left" vertical="center"/>
    </xf>
    <xf numFmtId="188" fontId="52" fillId="0" borderId="31" xfId="0" applyFont="1" applyBorder="1" applyAlignment="1" applyProtection="1">
      <alignment horizontal="left" vertical="center" wrapText="1"/>
    </xf>
    <xf numFmtId="188" fontId="52" fillId="0" borderId="31" xfId="0" applyFont="1" applyBorder="1" applyAlignment="1" applyProtection="1">
      <alignment horizontal="right" vertical="center" wrapText="1"/>
    </xf>
    <xf numFmtId="188" fontId="53" fillId="0" borderId="0" xfId="0" applyFont="1" applyAlignment="1" applyProtection="1">
      <alignment vertical="center"/>
    </xf>
    <xf numFmtId="188" fontId="53" fillId="0" borderId="0" xfId="0" applyFont="1" applyAlignment="1" applyProtection="1">
      <alignment horizontal="center" vertical="center"/>
    </xf>
    <xf numFmtId="188" fontId="53" fillId="0" borderId="0" xfId="0" applyFont="1" applyAlignment="1" applyProtection="1">
      <alignment horizontal="left" vertical="center" wrapText="1"/>
    </xf>
    <xf numFmtId="177" fontId="53" fillId="0" borderId="0" xfId="0" applyNumberFormat="1" applyFont="1" applyAlignment="1" applyProtection="1">
      <alignment horizontal="right" vertical="center" wrapText="1"/>
    </xf>
    <xf numFmtId="188" fontId="53" fillId="0" borderId="0" xfId="0" applyFont="1" applyAlignment="1" applyProtection="1">
      <alignment horizontal="right" vertical="center" wrapText="1"/>
    </xf>
    <xf numFmtId="188" fontId="53" fillId="0" borderId="0" xfId="0" applyFont="1">
      <protection locked="0"/>
    </xf>
    <xf numFmtId="188" fontId="53" fillId="0" borderId="0" xfId="0" applyFont="1" applyAlignment="1">
      <alignment horizontal="center" vertical="center"/>
      <protection locked="0"/>
    </xf>
    <xf numFmtId="188" fontId="53" fillId="0" borderId="0" xfId="0" applyFont="1" applyAlignment="1">
      <alignment vertical="center"/>
      <protection locked="0"/>
    </xf>
    <xf numFmtId="188" fontId="52" fillId="0" borderId="0" xfId="0" applyFont="1" applyAlignment="1" applyProtection="1">
      <alignment horizontal="left" vertical="center" wrapText="1"/>
    </xf>
    <xf numFmtId="188" fontId="53" fillId="0" borderId="13" xfId="0" applyFont="1" applyBorder="1" applyAlignment="1" applyProtection="1">
      <alignment horizontal="left" vertical="center" wrapText="1"/>
    </xf>
    <xf numFmtId="177" fontId="53" fillId="0" borderId="13" xfId="0" applyNumberFormat="1" applyFont="1" applyBorder="1" applyAlignment="1" applyProtection="1">
      <alignment horizontal="right" vertical="center" wrapText="1"/>
    </xf>
    <xf numFmtId="188" fontId="52" fillId="0" borderId="13" xfId="0" applyFont="1" applyBorder="1" applyAlignment="1" applyProtection="1">
      <alignment horizontal="left" vertical="center" wrapText="1"/>
    </xf>
    <xf numFmtId="188" fontId="158" fillId="0" borderId="13" xfId="0" applyFont="1" applyBorder="1" applyAlignment="1" applyProtection="1">
      <alignment horizontal="right" vertical="center" wrapText="1"/>
    </xf>
    <xf numFmtId="188" fontId="159" fillId="0" borderId="0" xfId="0" applyFont="1" applyAlignment="1" applyProtection="1">
      <alignment horizontal="left" vertical="center" wrapText="1"/>
    </xf>
    <xf numFmtId="177" fontId="53" fillId="0" borderId="0" xfId="32" applyFont="1" applyAlignment="1">
      <alignment horizontal="right" vertical="center" wrapText="1"/>
    </xf>
    <xf numFmtId="177" fontId="53" fillId="0" borderId="0" xfId="32" applyFont="1" applyAlignment="1">
      <alignment vertical="center"/>
    </xf>
    <xf numFmtId="177" fontId="159" fillId="0" borderId="0" xfId="32" applyFont="1" applyAlignment="1">
      <alignment vertical="center"/>
    </xf>
    <xf numFmtId="188" fontId="161" fillId="0" borderId="0" xfId="0" applyFont="1" applyAlignment="1" applyProtection="1">
      <alignment horizontal="left" vertical="center" wrapText="1"/>
    </xf>
    <xf numFmtId="188" fontId="162" fillId="0" borderId="13" xfId="0" applyFont="1" applyBorder="1" applyAlignment="1" applyProtection="1">
      <alignment horizontal="left" vertical="center" wrapText="1"/>
    </xf>
    <xf numFmtId="188" fontId="158" fillId="0" borderId="13" xfId="0" applyFont="1" applyBorder="1" applyAlignment="1" applyProtection="1">
      <alignment horizontal="left" vertical="center" wrapText="1"/>
    </xf>
    <xf numFmtId="177" fontId="52" fillId="0" borderId="13" xfId="32" applyFont="1" applyBorder="1" applyAlignment="1">
      <alignment horizontal="right" vertical="center" wrapText="1"/>
    </xf>
    <xf numFmtId="188" fontId="159" fillId="0" borderId="0" xfId="0" applyFont="1" applyAlignment="1" applyProtection="1">
      <alignment vertical="center"/>
    </xf>
    <xf numFmtId="188" fontId="53" fillId="0" borderId="13" xfId="0" applyFont="1" applyBorder="1" applyAlignment="1" applyProtection="1">
      <alignment horizontal="right" vertical="center" wrapText="1"/>
    </xf>
    <xf numFmtId="188" fontId="52" fillId="0" borderId="13" xfId="0" applyFont="1" applyBorder="1" applyAlignment="1" applyProtection="1">
      <alignment horizontal="right" vertical="center" wrapText="1"/>
    </xf>
    <xf numFmtId="188" fontId="162" fillId="0" borderId="0" xfId="0" applyFont="1" applyAlignment="1" applyProtection="1">
      <alignment horizontal="left" vertical="center"/>
    </xf>
    <xf numFmtId="177" fontId="53" fillId="0" borderId="0" xfId="32" applyFont="1" applyAlignment="1">
      <alignment horizontal="center" vertical="center"/>
    </xf>
    <xf numFmtId="188" fontId="159" fillId="0" borderId="0" xfId="0" applyFont="1" applyAlignment="1" applyProtection="1">
      <alignment horizontal="center" vertical="center"/>
    </xf>
    <xf numFmtId="177" fontId="52" fillId="0" borderId="0" xfId="32" applyFont="1" applyAlignment="1">
      <alignment horizontal="center" vertical="center"/>
    </xf>
    <xf numFmtId="188" fontId="52" fillId="0" borderId="32" xfId="0" applyFont="1" applyBorder="1" applyAlignment="1" applyProtection="1">
      <alignment horizontal="right" vertical="center"/>
    </xf>
    <xf numFmtId="188" fontId="52" fillId="0" borderId="32" xfId="0" applyFont="1" applyBorder="1" applyAlignment="1" applyProtection="1">
      <alignment horizontal="left" vertical="center" wrapText="1"/>
    </xf>
    <xf numFmtId="188" fontId="52" fillId="0" borderId="32" xfId="0" applyFont="1" applyBorder="1" applyAlignment="1" applyProtection="1">
      <alignment horizontal="justify" vertical="center" wrapText="1"/>
    </xf>
    <xf numFmtId="188" fontId="52" fillId="0" borderId="32" xfId="0" applyFont="1" applyBorder="1" applyAlignment="1" applyProtection="1">
      <alignment horizontal="right" vertical="center" wrapText="1"/>
    </xf>
    <xf numFmtId="188" fontId="162" fillId="0" borderId="32" xfId="0" applyFont="1" applyBorder="1" applyAlignment="1" applyProtection="1">
      <alignment horizontal="left" vertical="center" wrapText="1"/>
    </xf>
    <xf numFmtId="188" fontId="53" fillId="0" borderId="32" xfId="0" applyFont="1" applyBorder="1" applyAlignment="1" applyProtection="1">
      <alignment horizontal="justify" vertical="center" wrapText="1"/>
    </xf>
    <xf numFmtId="188" fontId="162" fillId="0" borderId="0" xfId="0" applyFont="1" applyAlignment="1" applyProtection="1">
      <alignment horizontal="left" vertical="center" wrapText="1"/>
    </xf>
    <xf numFmtId="188" fontId="53" fillId="0" borderId="0" xfId="0" applyFont="1" applyAlignment="1" applyProtection="1">
      <alignment horizontal="justify" vertical="center" wrapText="1"/>
    </xf>
    <xf numFmtId="188" fontId="53" fillId="0" borderId="13" xfId="0" applyFont="1" applyBorder="1" applyAlignment="1" applyProtection="1">
      <alignment horizontal="justify" vertical="center" wrapText="1"/>
    </xf>
    <xf numFmtId="177" fontId="53" fillId="0" borderId="13" xfId="32" applyFont="1" applyBorder="1" applyAlignment="1">
      <alignment horizontal="right" vertical="center" wrapText="1"/>
    </xf>
    <xf numFmtId="188" fontId="52" fillId="0" borderId="13" xfId="0" applyFont="1" applyBorder="1" applyAlignment="1" applyProtection="1">
      <alignment horizontal="justify" vertical="center" wrapText="1"/>
    </xf>
    <xf numFmtId="188" fontId="52" fillId="0" borderId="31" xfId="0" applyFont="1" applyBorder="1" applyAlignment="1" applyProtection="1">
      <alignment horizontal="justify" vertical="center" wrapText="1"/>
    </xf>
    <xf numFmtId="188" fontId="161" fillId="0" borderId="0" xfId="0" applyFont="1" applyAlignment="1" applyProtection="1">
      <alignment horizontal="left" vertical="center"/>
    </xf>
    <xf numFmtId="177" fontId="53" fillId="0" borderId="32" xfId="0" applyNumberFormat="1" applyFont="1" applyBorder="1" applyAlignment="1" applyProtection="1">
      <alignment horizontal="left" vertical="center" wrapText="1"/>
    </xf>
    <xf numFmtId="177" fontId="53" fillId="0" borderId="0" xfId="0" applyNumberFormat="1" applyFont="1" applyAlignment="1" applyProtection="1">
      <alignment horizontal="left" vertical="center" wrapText="1"/>
    </xf>
    <xf numFmtId="177" fontId="53" fillId="0" borderId="13" xfId="0" applyNumberFormat="1" applyFont="1" applyBorder="1" applyAlignment="1" applyProtection="1">
      <alignment horizontal="left" vertical="center" wrapText="1"/>
    </xf>
    <xf numFmtId="177" fontId="53" fillId="0" borderId="0" xfId="0" applyNumberFormat="1" applyFont="1" applyAlignment="1" applyProtection="1">
      <alignment horizontal="justify" vertical="center" wrapText="1"/>
    </xf>
    <xf numFmtId="177" fontId="53" fillId="0" borderId="13" xfId="0" applyNumberFormat="1" applyFont="1" applyBorder="1" applyAlignment="1" applyProtection="1">
      <alignment horizontal="justify" vertical="center" wrapText="1"/>
    </xf>
    <xf numFmtId="188" fontId="163" fillId="0" borderId="0" xfId="0" applyFont="1" applyAlignment="1" applyProtection="1">
      <alignment horizontal="left" vertical="center"/>
    </xf>
    <xf numFmtId="177" fontId="24" fillId="0" borderId="0" xfId="0" applyNumberFormat="1" applyFont="1" applyAlignment="1" applyProtection="1">
      <alignment horizontal="right" vertical="center" wrapText="1"/>
    </xf>
    <xf numFmtId="188" fontId="24" fillId="0" borderId="0" xfId="0" applyFont="1" applyAlignment="1" applyProtection="1">
      <alignment horizontal="right" vertical="center" wrapText="1"/>
    </xf>
    <xf numFmtId="177" fontId="24" fillId="0" borderId="0" xfId="32" applyFont="1" applyFill="1" applyAlignment="1" applyProtection="1">
      <alignment horizontal="right" vertical="center" wrapText="1"/>
    </xf>
    <xf numFmtId="177" fontId="24" fillId="0" borderId="0" xfId="32" applyFont="1" applyFill="1" applyAlignment="1">
      <alignment horizontal="right" vertical="center" wrapText="1"/>
    </xf>
    <xf numFmtId="177" fontId="25" fillId="0" borderId="0" xfId="0" applyNumberFormat="1" applyFont="1" applyAlignment="1" applyProtection="1">
      <alignment horizontal="right" vertical="center" wrapText="1"/>
    </xf>
    <xf numFmtId="177" fontId="24" fillId="0" borderId="13" xfId="0" applyNumberFormat="1" applyFont="1" applyBorder="1" applyAlignment="1" applyProtection="1">
      <alignment horizontal="right" vertical="center" wrapText="1"/>
    </xf>
    <xf numFmtId="177" fontId="25" fillId="0" borderId="13" xfId="0" applyNumberFormat="1" applyFont="1" applyBorder="1" applyAlignment="1" applyProtection="1">
      <alignment horizontal="right" vertical="center" wrapText="1"/>
    </xf>
    <xf numFmtId="177" fontId="61" fillId="0" borderId="0" xfId="32" applyFont="1" applyAlignment="1" applyProtection="1">
      <alignment horizontal="right" vertical="center" wrapText="1"/>
    </xf>
    <xf numFmtId="177" fontId="24" fillId="0" borderId="0" xfId="32" applyFont="1" applyAlignment="1">
      <alignment horizontal="right" vertical="center" wrapText="1"/>
    </xf>
    <xf numFmtId="177" fontId="24" fillId="0" borderId="0" xfId="32" applyFont="1" applyAlignment="1" applyProtection="1">
      <alignment horizontal="right" vertical="center" wrapText="1"/>
    </xf>
    <xf numFmtId="177" fontId="24" fillId="0" borderId="13" xfId="32" applyFont="1" applyBorder="1" applyAlignment="1" applyProtection="1">
      <alignment horizontal="right" vertical="center" wrapText="1"/>
    </xf>
    <xf numFmtId="177" fontId="25" fillId="0" borderId="13" xfId="32" applyFont="1" applyBorder="1" applyAlignment="1">
      <alignment horizontal="right" vertical="center" wrapText="1"/>
    </xf>
    <xf numFmtId="177" fontId="25" fillId="0" borderId="31" xfId="32" applyFont="1" applyBorder="1" applyAlignment="1">
      <alignment horizontal="right" vertical="center" wrapText="1"/>
    </xf>
    <xf numFmtId="177" fontId="24" fillId="0" borderId="0" xfId="32" applyFont="1" applyAlignment="1">
      <alignment vertical="center"/>
    </xf>
    <xf numFmtId="10" fontId="24" fillId="0" borderId="0" xfId="24" applyNumberFormat="1" applyFont="1" applyAlignment="1">
      <alignment horizontal="right" vertical="center" wrapText="1"/>
    </xf>
    <xf numFmtId="188" fontId="24" fillId="0" borderId="13" xfId="0" applyFont="1" applyBorder="1" applyAlignment="1" applyProtection="1">
      <alignment horizontal="right" vertical="center" wrapText="1"/>
    </xf>
    <xf numFmtId="10" fontId="24" fillId="0" borderId="13" xfId="24" applyNumberFormat="1" applyFont="1" applyBorder="1" applyAlignment="1">
      <alignment horizontal="right" vertical="center" wrapText="1"/>
    </xf>
    <xf numFmtId="10" fontId="25" fillId="0" borderId="31" xfId="24" applyNumberFormat="1" applyFont="1" applyBorder="1" applyAlignment="1">
      <alignment horizontal="right" vertical="center" wrapText="1"/>
    </xf>
    <xf numFmtId="188" fontId="25" fillId="0" borderId="13" xfId="0" applyFont="1" applyBorder="1" applyAlignment="1" applyProtection="1">
      <alignment horizontal="right" vertical="center" wrapText="1"/>
    </xf>
    <xf numFmtId="10" fontId="24" fillId="0" borderId="0" xfId="24" applyNumberFormat="1" applyFont="1" applyBorder="1" applyAlignment="1">
      <alignment horizontal="right" vertical="center" wrapText="1"/>
    </xf>
    <xf numFmtId="177" fontId="24" fillId="0" borderId="0" xfId="32" applyFont="1" applyAlignment="1" applyProtection="1">
      <alignment horizontal="right" vertical="center"/>
    </xf>
    <xf numFmtId="177" fontId="24" fillId="0" borderId="0" xfId="32" applyFont="1" applyFill="1" applyAlignment="1">
      <alignment horizontal="right" vertical="center"/>
    </xf>
    <xf numFmtId="177" fontId="24" fillId="0" borderId="32" xfId="32" applyFont="1" applyBorder="1" applyAlignment="1">
      <alignment horizontal="right" vertical="center" wrapText="1"/>
    </xf>
    <xf numFmtId="177" fontId="24" fillId="0" borderId="13" xfId="32" applyFont="1" applyBorder="1" applyAlignment="1">
      <alignment horizontal="right" vertical="center" wrapText="1"/>
    </xf>
    <xf numFmtId="177" fontId="24" fillId="0" borderId="32" xfId="32" applyFont="1" applyFill="1" applyBorder="1" applyAlignment="1">
      <alignment horizontal="right" vertical="center" wrapText="1"/>
    </xf>
    <xf numFmtId="177" fontId="24" fillId="0" borderId="32" xfId="0" applyNumberFormat="1" applyFont="1" applyBorder="1" applyAlignment="1" applyProtection="1">
      <alignment horizontal="right" vertical="center" wrapText="1"/>
    </xf>
    <xf numFmtId="9" fontId="24" fillId="0" borderId="32" xfId="24" applyFont="1" applyFill="1" applyBorder="1" applyAlignment="1">
      <alignment horizontal="right" vertical="center" wrapText="1"/>
    </xf>
    <xf numFmtId="9" fontId="24" fillId="0" borderId="0" xfId="24" applyFont="1" applyFill="1" applyBorder="1" applyAlignment="1">
      <alignment horizontal="right" vertical="center" wrapText="1"/>
    </xf>
    <xf numFmtId="9" fontId="24" fillId="0" borderId="13" xfId="24" applyFont="1" applyFill="1" applyBorder="1" applyAlignment="1">
      <alignment horizontal="right" vertical="center" wrapText="1"/>
    </xf>
    <xf numFmtId="177" fontId="25" fillId="0" borderId="13" xfId="32" applyFont="1" applyFill="1" applyBorder="1" applyAlignment="1">
      <alignment horizontal="right" vertical="center" wrapText="1"/>
    </xf>
    <xf numFmtId="177" fontId="24" fillId="0" borderId="13" xfId="32" applyFont="1" applyFill="1" applyBorder="1" applyAlignment="1">
      <alignment horizontal="right" vertical="center" wrapText="1"/>
    </xf>
    <xf numFmtId="188" fontId="53" fillId="0" borderId="0" xfId="0" applyFont="1" applyAlignment="1">
      <alignment horizontal="left" vertical="center"/>
      <protection locked="0"/>
    </xf>
    <xf numFmtId="177" fontId="52" fillId="0" borderId="31" xfId="0" applyNumberFormat="1" applyFont="1" applyBorder="1" applyAlignment="1" applyProtection="1">
      <alignment horizontal="justify" vertical="center" wrapText="1"/>
    </xf>
    <xf numFmtId="177" fontId="52" fillId="0" borderId="31" xfId="0" applyNumberFormat="1" applyFont="1" applyBorder="1" applyAlignment="1" applyProtection="1">
      <alignment horizontal="right" vertical="center" wrapText="1"/>
    </xf>
    <xf numFmtId="177" fontId="53" fillId="0" borderId="0" xfId="0" applyNumberFormat="1" applyFont="1" applyAlignment="1" applyProtection="1">
      <alignment vertical="center"/>
    </xf>
    <xf numFmtId="191" fontId="160" fillId="0" borderId="0" xfId="0" applyNumberFormat="1" applyFont="1" applyAlignment="1" applyProtection="1">
      <alignment horizontal="justify" vertical="center" wrapText="1"/>
    </xf>
    <xf numFmtId="191" fontId="160" fillId="0" borderId="33" xfId="0" applyNumberFormat="1" applyFont="1" applyBorder="1" applyAlignment="1" applyProtection="1">
      <alignment horizontal="justify" vertical="center" wrapText="1"/>
    </xf>
    <xf numFmtId="177" fontId="161" fillId="0" borderId="0" xfId="0" applyNumberFormat="1" applyFont="1" applyAlignment="1" applyProtection="1">
      <alignment horizontal="left" vertical="center"/>
    </xf>
    <xf numFmtId="177" fontId="161" fillId="0" borderId="0" xfId="0" applyNumberFormat="1" applyFont="1" applyAlignment="1" applyProtection="1">
      <alignment vertical="center"/>
    </xf>
    <xf numFmtId="177" fontId="52" fillId="0" borderId="31" xfId="0" applyNumberFormat="1" applyFont="1" applyBorder="1" applyAlignment="1" applyProtection="1">
      <alignment horizontal="center" vertical="center" wrapText="1"/>
    </xf>
    <xf numFmtId="177" fontId="52" fillId="0" borderId="13" xfId="0" applyNumberFormat="1" applyFont="1" applyBorder="1" applyAlignment="1" applyProtection="1">
      <alignment horizontal="center" vertical="center" wrapText="1"/>
    </xf>
    <xf numFmtId="177" fontId="53" fillId="0" borderId="13" xfId="0" applyNumberFormat="1" applyFont="1" applyBorder="1" applyAlignment="1" applyProtection="1">
      <alignment horizontal="center" vertical="center" wrapText="1"/>
    </xf>
    <xf numFmtId="177" fontId="158" fillId="0" borderId="0" xfId="0" applyNumberFormat="1" applyFont="1" applyAlignment="1" applyProtection="1">
      <alignment vertical="center"/>
    </xf>
    <xf numFmtId="177" fontId="53" fillId="0" borderId="0" xfId="0" applyNumberFormat="1" applyFont="1" applyAlignment="1" applyProtection="1">
      <alignment horizontal="left" vertical="center"/>
    </xf>
    <xf numFmtId="177" fontId="53" fillId="0" borderId="0" xfId="0" applyNumberFormat="1" applyFont="1" applyAlignment="1" applyProtection="1">
      <alignment horizontal="justify" vertical="center"/>
    </xf>
    <xf numFmtId="177" fontId="52" fillId="0" borderId="13" xfId="0" applyNumberFormat="1" applyFont="1" applyBorder="1" applyAlignment="1" applyProtection="1">
      <alignment horizontal="justify" vertical="center" wrapText="1"/>
    </xf>
    <xf numFmtId="177" fontId="52" fillId="0" borderId="31" xfId="0" applyNumberFormat="1" applyFont="1" applyBorder="1" applyAlignment="1" applyProtection="1">
      <alignment horizontal="left" vertical="center" wrapText="1"/>
    </xf>
    <xf numFmtId="177" fontId="53" fillId="0" borderId="33" xfId="0" applyNumberFormat="1" applyFont="1" applyBorder="1" applyAlignment="1" applyProtection="1">
      <alignment horizontal="left" vertical="center" wrapText="1"/>
    </xf>
    <xf numFmtId="177" fontId="53" fillId="0" borderId="33" xfId="0" applyNumberFormat="1" applyFont="1" applyBorder="1" applyAlignment="1" applyProtection="1">
      <alignment horizontal="right" vertical="center" wrapText="1"/>
    </xf>
    <xf numFmtId="177" fontId="158" fillId="0" borderId="33" xfId="0" applyNumberFormat="1" applyFont="1" applyBorder="1" applyAlignment="1" applyProtection="1">
      <alignment horizontal="left" vertical="center" wrapText="1"/>
    </xf>
    <xf numFmtId="177" fontId="158" fillId="0" borderId="32" xfId="0" applyNumberFormat="1" applyFont="1" applyBorder="1" applyAlignment="1" applyProtection="1">
      <alignment horizontal="center" vertical="center" wrapText="1"/>
    </xf>
    <xf numFmtId="177" fontId="161" fillId="0" borderId="32" xfId="0" applyNumberFormat="1" applyFont="1" applyBorder="1" applyAlignment="1" applyProtection="1">
      <alignment horizontal="left" vertical="center" wrapText="1"/>
    </xf>
    <xf numFmtId="177" fontId="161" fillId="0" borderId="0" xfId="0" applyNumberFormat="1" applyFont="1" applyAlignment="1" applyProtection="1">
      <alignment horizontal="left" vertical="center" wrapText="1"/>
    </xf>
    <xf numFmtId="177" fontId="161" fillId="0" borderId="13" xfId="0" applyNumberFormat="1" applyFont="1" applyBorder="1" applyAlignment="1" applyProtection="1">
      <alignment horizontal="left" vertical="center" wrapText="1"/>
    </xf>
    <xf numFmtId="177" fontId="158" fillId="0" borderId="13" xfId="0" applyNumberFormat="1" applyFont="1" applyBorder="1" applyAlignment="1" applyProtection="1">
      <alignment horizontal="left" vertical="center" wrapText="1"/>
    </xf>
    <xf numFmtId="177" fontId="162" fillId="0" borderId="0" xfId="0" applyNumberFormat="1" applyFont="1" applyAlignment="1" applyProtection="1">
      <alignment horizontal="left" vertical="center"/>
    </xf>
    <xf numFmtId="177" fontId="52" fillId="0" borderId="32" xfId="0" applyNumberFormat="1" applyFont="1" applyBorder="1" applyAlignment="1" applyProtection="1">
      <alignment horizontal="left" vertical="center" wrapText="1"/>
    </xf>
    <xf numFmtId="177" fontId="52" fillId="0" borderId="32" xfId="0" applyNumberFormat="1" applyFont="1" applyBorder="1" applyAlignment="1" applyProtection="1">
      <alignment horizontal="right" vertical="center" wrapText="1"/>
    </xf>
    <xf numFmtId="177" fontId="162" fillId="0" borderId="34" xfId="0" applyNumberFormat="1" applyFont="1" applyBorder="1" applyAlignment="1" applyProtection="1">
      <alignment horizontal="left" vertical="center" wrapText="1"/>
    </xf>
    <xf numFmtId="177" fontId="53" fillId="0" borderId="34" xfId="0" applyNumberFormat="1" applyFont="1" applyBorder="1" applyAlignment="1" applyProtection="1">
      <alignment horizontal="right" vertical="center" wrapText="1"/>
    </xf>
    <xf numFmtId="177" fontId="52" fillId="0" borderId="33" xfId="0" applyNumberFormat="1" applyFont="1" applyBorder="1" applyAlignment="1" applyProtection="1">
      <alignment horizontal="left" vertical="center" wrapText="1"/>
    </xf>
    <xf numFmtId="177" fontId="52" fillId="0" borderId="33" xfId="0" applyNumberFormat="1" applyFont="1" applyBorder="1" applyAlignment="1" applyProtection="1">
      <alignment horizontal="right" vertical="center" wrapText="1"/>
    </xf>
    <xf numFmtId="177" fontId="53" fillId="0" borderId="34" xfId="0" applyNumberFormat="1" applyFont="1" applyBorder="1" applyAlignment="1" applyProtection="1">
      <alignment horizontal="left" vertical="center" wrapText="1"/>
    </xf>
    <xf numFmtId="177" fontId="52" fillId="0" borderId="14" xfId="0" applyNumberFormat="1" applyFont="1" applyBorder="1" applyAlignment="1" applyProtection="1">
      <alignment horizontal="justify" vertical="center" wrapText="1"/>
    </xf>
    <xf numFmtId="177" fontId="52" fillId="0" borderId="14" xfId="0" applyNumberFormat="1" applyFont="1" applyBorder="1" applyAlignment="1" applyProtection="1">
      <alignment horizontal="right" vertical="center" wrapText="1"/>
    </xf>
    <xf numFmtId="177" fontId="52" fillId="0" borderId="33" xfId="0" applyNumberFormat="1" applyFont="1" applyBorder="1" applyAlignment="1" applyProtection="1">
      <alignment horizontal="justify" vertical="center" wrapText="1"/>
    </xf>
    <xf numFmtId="177" fontId="162" fillId="0" borderId="33" xfId="0" quotePrefix="1" applyNumberFormat="1" applyFont="1" applyBorder="1" applyAlignment="1" applyProtection="1">
      <alignment horizontal="right" vertical="center" wrapText="1"/>
    </xf>
    <xf numFmtId="177" fontId="162" fillId="0" borderId="33" xfId="0" applyNumberFormat="1" applyFont="1" applyBorder="1" applyAlignment="1" applyProtection="1">
      <alignment horizontal="right" vertical="center" wrapText="1"/>
    </xf>
    <xf numFmtId="177" fontId="162" fillId="0" borderId="0" xfId="0" applyNumberFormat="1" applyFont="1" applyAlignment="1" applyProtection="1">
      <alignment horizontal="right" vertical="center" wrapText="1"/>
    </xf>
    <xf numFmtId="177" fontId="162" fillId="0" borderId="33" xfId="0" applyNumberFormat="1" applyFont="1" applyBorder="1" applyAlignment="1" applyProtection="1">
      <alignment horizontal="justify" vertical="center" wrapText="1"/>
    </xf>
    <xf numFmtId="177" fontId="52" fillId="0" borderId="0" xfId="0" applyNumberFormat="1" applyFont="1" applyAlignment="1" applyProtection="1">
      <alignment horizontal="justify" vertical="center" wrapText="1"/>
    </xf>
    <xf numFmtId="177" fontId="162" fillId="0" borderId="0" xfId="0" applyNumberFormat="1" applyFont="1" applyAlignment="1" applyProtection="1">
      <alignment horizontal="justify" vertical="center" wrapText="1"/>
    </xf>
    <xf numFmtId="177" fontId="164" fillId="0" borderId="32" xfId="0" applyNumberFormat="1" applyFont="1" applyBorder="1" applyAlignment="1" applyProtection="1">
      <alignment horizontal="left" vertical="center" wrapText="1"/>
    </xf>
    <xf numFmtId="177" fontId="24" fillId="0" borderId="13" xfId="0" applyNumberFormat="1" applyFont="1" applyBorder="1" applyAlignment="1" applyProtection="1">
      <alignment horizontal="center" vertical="center" wrapText="1"/>
    </xf>
    <xf numFmtId="177" fontId="24" fillId="0" borderId="0" xfId="0" applyNumberFormat="1" applyFont="1" applyAlignment="1" applyProtection="1">
      <alignment horizontal="center" vertical="center" wrapText="1"/>
    </xf>
    <xf numFmtId="177" fontId="24" fillId="0" borderId="0" xfId="0" applyNumberFormat="1" applyFont="1" applyAlignment="1" applyProtection="1">
      <alignment horizontal="justify" vertical="center" wrapText="1"/>
    </xf>
    <xf numFmtId="177" fontId="24" fillId="0" borderId="13" xfId="0" applyNumberFormat="1" applyFont="1" applyBorder="1" applyAlignment="1" applyProtection="1">
      <alignment horizontal="justify" vertical="center" wrapText="1"/>
    </xf>
    <xf numFmtId="177" fontId="25" fillId="0" borderId="13" xfId="0" applyNumberFormat="1" applyFont="1" applyBorder="1" applyAlignment="1" applyProtection="1">
      <alignment horizontal="justify" vertical="center" wrapText="1"/>
    </xf>
    <xf numFmtId="177" fontId="24" fillId="0" borderId="33" xfId="0" applyNumberFormat="1" applyFont="1" applyBorder="1" applyAlignment="1" applyProtection="1">
      <alignment horizontal="right" vertical="center" wrapText="1"/>
    </xf>
    <xf numFmtId="177" fontId="24" fillId="0" borderId="33" xfId="32" applyFont="1" applyFill="1" applyBorder="1" applyAlignment="1">
      <alignment vertical="center"/>
    </xf>
    <xf numFmtId="177" fontId="165" fillId="0" borderId="32" xfId="0" applyNumberFormat="1" applyFont="1" applyBorder="1" applyAlignment="1" applyProtection="1">
      <alignment horizontal="left" vertical="center" wrapText="1"/>
    </xf>
    <xf numFmtId="177" fontId="165" fillId="0" borderId="0" xfId="0" applyNumberFormat="1" applyFont="1" applyAlignment="1" applyProtection="1">
      <alignment horizontal="left" vertical="center" wrapText="1"/>
    </xf>
    <xf numFmtId="188" fontId="49" fillId="0" borderId="0" xfId="0" applyFont="1" applyAlignment="1" applyProtection="1">
      <alignment horizontal="right" vertical="center" wrapText="1"/>
    </xf>
    <xf numFmtId="177" fontId="165" fillId="0" borderId="13" xfId="0" applyNumberFormat="1" applyFont="1" applyBorder="1" applyAlignment="1" applyProtection="1">
      <alignment horizontal="left" vertical="center" wrapText="1"/>
    </xf>
    <xf numFmtId="177" fontId="166" fillId="0" borderId="13" xfId="0" applyNumberFormat="1" applyFont="1" applyBorder="1" applyAlignment="1" applyProtection="1">
      <alignment horizontal="left" vertical="center" wrapText="1"/>
    </xf>
    <xf numFmtId="177" fontId="24" fillId="0" borderId="34" xfId="0" applyNumberFormat="1" applyFont="1" applyBorder="1" applyAlignment="1" applyProtection="1">
      <alignment horizontal="right" vertical="center" wrapText="1"/>
    </xf>
    <xf numFmtId="177" fontId="25" fillId="0" borderId="33" xfId="0" applyNumberFormat="1" applyFont="1" applyBorder="1" applyAlignment="1" applyProtection="1">
      <alignment horizontal="right" vertical="center" wrapText="1"/>
    </xf>
    <xf numFmtId="177" fontId="24" fillId="0" borderId="0" xfId="32" applyFont="1" applyFill="1" applyBorder="1" applyAlignment="1">
      <alignment horizontal="right" vertical="center" wrapText="1"/>
    </xf>
    <xf numFmtId="10" fontId="24" fillId="0" borderId="0" xfId="24" applyNumberFormat="1" applyFont="1" applyFill="1" applyBorder="1" applyAlignment="1">
      <alignment horizontal="right" vertical="center" wrapText="1"/>
    </xf>
    <xf numFmtId="10" fontId="24" fillId="0" borderId="13" xfId="24" applyNumberFormat="1" applyFont="1" applyFill="1" applyBorder="1" applyAlignment="1">
      <alignment horizontal="right" vertical="center" wrapText="1"/>
    </xf>
    <xf numFmtId="177" fontId="49" fillId="0" borderId="33" xfId="0" applyNumberFormat="1" applyFont="1" applyBorder="1" applyAlignment="1" applyProtection="1">
      <alignment horizontal="right" vertical="center" wrapText="1"/>
    </xf>
    <xf numFmtId="177" fontId="49" fillId="0" borderId="33" xfId="0" quotePrefix="1" applyNumberFormat="1" applyFont="1" applyBorder="1" applyAlignment="1" applyProtection="1">
      <alignment horizontal="right" vertical="center" wrapText="1"/>
    </xf>
    <xf numFmtId="177" fontId="49" fillId="0" borderId="0" xfId="0" applyNumberFormat="1" applyFont="1" applyAlignment="1" applyProtection="1">
      <alignment horizontal="right" vertical="center" wrapText="1"/>
    </xf>
    <xf numFmtId="188" fontId="162" fillId="68" borderId="0" xfId="0" applyFont="1" applyFill="1" applyAlignment="1" applyProtection="1">
      <alignment horizontal="left" vertical="center"/>
    </xf>
    <xf numFmtId="177" fontId="25" fillId="5" borderId="3" xfId="32" applyFont="1" applyFill="1" applyBorder="1" applyAlignment="1" applyProtection="1">
      <alignment horizontal="center" vertical="center" wrapText="1"/>
      <protection locked="0"/>
    </xf>
    <xf numFmtId="177" fontId="24" fillId="5" borderId="3" xfId="32" applyFont="1" applyFill="1" applyBorder="1" applyAlignment="1" applyProtection="1">
      <alignment horizontal="center" vertical="center" wrapText="1"/>
      <protection locked="0"/>
    </xf>
    <xf numFmtId="10" fontId="24" fillId="5" borderId="3" xfId="24" applyNumberFormat="1" applyFont="1" applyFill="1" applyBorder="1" applyAlignment="1" applyProtection="1">
      <alignment horizontal="right" vertical="center" wrapText="1"/>
      <protection locked="0"/>
    </xf>
    <xf numFmtId="188" fontId="24" fillId="0" borderId="0" xfId="28" applyFont="1" applyAlignment="1">
      <alignment vertical="center"/>
      <protection locked="0"/>
    </xf>
    <xf numFmtId="188" fontId="42" fillId="0" borderId="3" xfId="40" applyFont="1" applyBorder="1" applyAlignment="1" applyProtection="1">
      <alignment vertical="center"/>
    </xf>
    <xf numFmtId="188" fontId="43" fillId="0" borderId="3" xfId="40" applyFont="1" applyBorder="1" applyAlignment="1" applyProtection="1">
      <alignment vertical="center"/>
    </xf>
    <xf numFmtId="10" fontId="25" fillId="5" borderId="3" xfId="24" applyNumberFormat="1" applyFont="1" applyFill="1" applyBorder="1" applyAlignment="1" applyProtection="1">
      <alignment horizontal="right" vertical="center" wrapText="1"/>
      <protection locked="0"/>
    </xf>
    <xf numFmtId="177" fontId="24" fillId="0" borderId="0" xfId="30" applyNumberFormat="1" applyFont="1" applyFill="1" applyBorder="1" applyAlignment="1">
      <alignment horizontal="right" vertical="center"/>
    </xf>
    <xf numFmtId="177" fontId="25" fillId="5" borderId="3" xfId="32" applyFont="1" applyFill="1" applyBorder="1" applyAlignment="1" applyProtection="1">
      <alignment horizontal="left" vertical="center" wrapText="1"/>
      <protection locked="0"/>
    </xf>
    <xf numFmtId="188" fontId="17" fillId="0" borderId="0" xfId="0" applyFont="1" applyAlignment="1">
      <alignment horizontal="right" vertical="center"/>
      <protection locked="0"/>
    </xf>
    <xf numFmtId="177" fontId="63" fillId="5" borderId="3" xfId="32" applyFont="1" applyFill="1" applyBorder="1" applyAlignment="1" applyProtection="1">
      <alignment horizontal="center" vertical="center" wrapText="1"/>
      <protection locked="0"/>
    </xf>
    <xf numFmtId="177" fontId="62" fillId="67" borderId="3" xfId="32" applyFont="1" applyFill="1" applyBorder="1" applyAlignment="1">
      <alignment horizontal="right" vertical="center"/>
    </xf>
    <xf numFmtId="177" fontId="37" fillId="67" borderId="3" xfId="32" applyFont="1" applyFill="1" applyBorder="1" applyAlignment="1">
      <alignment horizontal="right" vertical="center"/>
    </xf>
    <xf numFmtId="188" fontId="58" fillId="67" borderId="3" xfId="172" applyFont="1" applyFill="1" applyBorder="1" applyAlignment="1">
      <alignment horizontal="center" vertical="center" wrapText="1"/>
      <protection locked="0"/>
    </xf>
    <xf numFmtId="188" fontId="41" fillId="5" borderId="3" xfId="40" applyFont="1" applyFill="1" applyBorder="1" applyAlignment="1" applyProtection="1">
      <alignment vertical="center" wrapText="1"/>
    </xf>
    <xf numFmtId="188" fontId="24" fillId="4" borderId="0" xfId="0" applyFont="1" applyFill="1" applyAlignment="1">
      <alignment horizontal="justify" vertical="center" wrapText="1"/>
      <protection locked="0"/>
    </xf>
    <xf numFmtId="188" fontId="24" fillId="0" borderId="0" xfId="40" applyFont="1" applyAlignment="1">
      <alignment horizontal="left" vertical="center"/>
      <protection locked="0"/>
    </xf>
    <xf numFmtId="188" fontId="24" fillId="0" borderId="3" xfId="40" applyFont="1" applyBorder="1" applyAlignment="1">
      <alignment horizontal="center" vertical="center" wrapText="1"/>
      <protection locked="0"/>
    </xf>
    <xf numFmtId="188" fontId="17" fillId="0" borderId="8" xfId="40" applyFont="1" applyBorder="1" applyAlignment="1">
      <alignment horizontal="center" vertical="center" wrapText="1" shrinkToFit="1"/>
      <protection locked="0"/>
    </xf>
    <xf numFmtId="188" fontId="38" fillId="5" borderId="3" xfId="198" applyFont="1" applyFill="1" applyBorder="1" applyAlignment="1" applyProtection="1">
      <alignment horizontal="center" vertical="center"/>
      <protection locked="0"/>
    </xf>
    <xf numFmtId="188" fontId="38" fillId="5" borderId="3" xfId="198" applyFont="1" applyFill="1" applyBorder="1" applyAlignment="1" applyProtection="1">
      <alignment horizontal="center" vertical="center" wrapText="1"/>
      <protection locked="0"/>
    </xf>
    <xf numFmtId="188" fontId="17" fillId="0" borderId="8" xfId="40" applyFont="1" applyFill="1" applyBorder="1" applyAlignment="1">
      <alignment horizontal="center" vertical="center" wrapText="1" shrinkToFit="1"/>
      <protection locked="0"/>
    </xf>
    <xf numFmtId="188" fontId="24" fillId="0" borderId="3" xfId="40" applyFont="1" applyFill="1" applyBorder="1" applyAlignment="1">
      <alignment horizontal="left" vertical="center" wrapText="1"/>
      <protection locked="0"/>
    </xf>
    <xf numFmtId="188" fontId="17" fillId="0" borderId="3" xfId="198" applyFont="1" applyFill="1" applyBorder="1" applyAlignment="1" applyProtection="1">
      <alignment horizontal="center" vertical="center"/>
      <protection locked="0"/>
    </xf>
    <xf numFmtId="188" fontId="17" fillId="0" borderId="3" xfId="40" applyFont="1" applyFill="1" applyBorder="1" applyAlignment="1">
      <alignment horizontal="left" vertical="center" wrapText="1"/>
      <protection locked="0"/>
    </xf>
    <xf numFmtId="49" fontId="24" fillId="0" borderId="3" xfId="37" applyNumberFormat="1" applyFont="1" applyFill="1" applyBorder="1" applyAlignment="1">
      <alignment horizontal="center" vertical="center"/>
    </xf>
    <xf numFmtId="188" fontId="17" fillId="0" borderId="3" xfId="198" applyFont="1" applyFill="1" applyBorder="1" applyAlignment="1" applyProtection="1">
      <alignment horizontal="center" vertical="center" wrapText="1"/>
      <protection locked="0"/>
    </xf>
    <xf numFmtId="188" fontId="25" fillId="0" borderId="0" xfId="40" applyFont="1" applyAlignment="1">
      <alignment horizontal="left" vertical="center"/>
      <protection locked="0"/>
    </xf>
    <xf numFmtId="188" fontId="15" fillId="0" borderId="0" xfId="31" applyNumberFormat="1" applyFill="1" applyAlignment="1" applyProtection="1">
      <alignment vertical="center"/>
    </xf>
    <xf numFmtId="43" fontId="24" fillId="0" borderId="0" xfId="30" applyNumberFormat="1" applyFont="1" applyBorder="1" applyAlignment="1">
      <alignment vertical="center"/>
    </xf>
    <xf numFmtId="188" fontId="17" fillId="0" borderId="0" xfId="40" applyFont="1" applyBorder="1" applyAlignment="1">
      <alignment vertical="center"/>
      <protection locked="0"/>
    </xf>
    <xf numFmtId="188" fontId="24" fillId="0" borderId="0" xfId="40" applyFont="1" applyBorder="1" applyAlignment="1">
      <alignment vertical="center"/>
      <protection locked="0"/>
    </xf>
    <xf numFmtId="188" fontId="17" fillId="0" borderId="0" xfId="29" applyFont="1" applyAlignment="1">
      <alignment horizontal="left" vertical="center"/>
    </xf>
    <xf numFmtId="188" fontId="47" fillId="0" borderId="0" xfId="29" applyFont="1" applyAlignment="1">
      <alignment horizontal="left" vertical="center"/>
    </xf>
    <xf numFmtId="188" fontId="25" fillId="0" borderId="0" xfId="40" applyFont="1" applyBorder="1" applyAlignment="1">
      <alignment vertical="center"/>
      <protection locked="0"/>
    </xf>
    <xf numFmtId="188" fontId="34" fillId="0" borderId="0" xfId="40" applyFont="1" applyBorder="1" applyAlignment="1">
      <alignment vertical="center"/>
      <protection locked="0"/>
    </xf>
    <xf numFmtId="43" fontId="24" fillId="0" borderId="3" xfId="591" applyFont="1" applyBorder="1" applyAlignment="1" applyProtection="1">
      <alignment vertical="center"/>
      <protection locked="0"/>
    </xf>
    <xf numFmtId="188" fontId="38" fillId="0" borderId="0" xfId="40" applyFont="1" applyBorder="1" applyAlignment="1">
      <alignment vertical="center"/>
      <protection locked="0"/>
    </xf>
    <xf numFmtId="43" fontId="24" fillId="0" borderId="0" xfId="30" applyNumberFormat="1" applyFont="1" applyBorder="1" applyAlignment="1">
      <alignment horizontal="right" vertical="center"/>
    </xf>
    <xf numFmtId="188" fontId="24" fillId="0" borderId="0" xfId="40" applyFont="1" applyBorder="1" applyAlignment="1">
      <alignment vertical="center" wrapText="1"/>
      <protection locked="0"/>
    </xf>
    <xf numFmtId="188" fontId="24" fillId="0" borderId="3" xfId="40" applyFont="1" applyFill="1" applyBorder="1" applyAlignment="1">
      <alignment horizontal="left" vertical="center" wrapText="1"/>
      <protection locked="0"/>
    </xf>
    <xf numFmtId="188" fontId="62" fillId="0" borderId="0" xfId="40" applyFont="1" applyAlignment="1" applyProtection="1">
      <alignment horizontal="left" vertical="center"/>
    </xf>
    <xf numFmtId="188" fontId="153" fillId="0" borderId="3" xfId="198" applyFont="1" applyFill="1" applyBorder="1" applyAlignment="1">
      <alignment horizontal="center" vertical="center" wrapText="1"/>
    </xf>
    <xf numFmtId="188" fontId="61" fillId="0" borderId="3" xfId="198" applyFont="1" applyFill="1" applyBorder="1" applyAlignment="1">
      <alignment horizontal="center" vertical="center" wrapText="1"/>
    </xf>
    <xf numFmtId="188" fontId="58" fillId="0" borderId="3" xfId="198" applyFont="1" applyFill="1" applyBorder="1" applyAlignment="1">
      <alignment horizontal="center" vertical="center" wrapText="1"/>
    </xf>
    <xf numFmtId="188" fontId="38" fillId="0" borderId="3" xfId="198" applyFont="1" applyFill="1" applyBorder="1" applyAlignment="1" applyProtection="1">
      <alignment horizontal="center" vertical="center"/>
      <protection locked="0"/>
    </xf>
    <xf numFmtId="188" fontId="38" fillId="0" borderId="3" xfId="40" applyFont="1" applyBorder="1" applyAlignment="1">
      <alignment horizontal="center" vertical="center" wrapText="1"/>
      <protection locked="0"/>
    </xf>
    <xf numFmtId="177" fontId="24" fillId="0" borderId="3" xfId="32" applyFont="1" applyBorder="1" applyAlignment="1" applyProtection="1">
      <alignment vertical="center"/>
    </xf>
    <xf numFmtId="188" fontId="38" fillId="0" borderId="0" xfId="29" applyFont="1" applyAlignment="1">
      <alignment horizontal="left" vertical="center"/>
    </xf>
    <xf numFmtId="188" fontId="38" fillId="0" borderId="0" xfId="29" applyFont="1" applyBorder="1" applyAlignment="1">
      <alignment vertical="center"/>
    </xf>
    <xf numFmtId="188" fontId="17" fillId="0" borderId="0" xfId="40" applyFont="1">
      <protection locked="0"/>
    </xf>
    <xf numFmtId="188" fontId="17" fillId="0" borderId="0" xfId="40" applyFont="1" applyAlignment="1">
      <alignment horizontal="center"/>
      <protection locked="0"/>
    </xf>
    <xf numFmtId="188" fontId="38" fillId="0" borderId="0" xfId="29" applyFont="1" applyAlignment="1">
      <alignment horizontal="left" vertical="center" wrapText="1"/>
    </xf>
    <xf numFmtId="188" fontId="24" fillId="0" borderId="0" xfId="29" applyFont="1" applyAlignment="1">
      <alignment horizontal="left" vertical="center"/>
    </xf>
    <xf numFmtId="188" fontId="25" fillId="0" borderId="4" xfId="29" applyFont="1" applyBorder="1" applyAlignment="1">
      <alignment vertical="center"/>
    </xf>
    <xf numFmtId="188" fontId="24" fillId="0" borderId="3" xfId="40" applyFont="1" applyBorder="1" applyAlignment="1">
      <alignment horizontal="left" vertical="center" wrapText="1"/>
      <protection locked="0"/>
    </xf>
    <xf numFmtId="188" fontId="49" fillId="0" borderId="0" xfId="40" applyFont="1" applyAlignment="1">
      <alignment horizontal="left"/>
      <protection locked="0"/>
    </xf>
    <xf numFmtId="188" fontId="42" fillId="0" borderId="3" xfId="172" applyFont="1" applyBorder="1" applyAlignment="1">
      <alignment horizontal="left" vertical="center" wrapText="1"/>
      <protection locked="0"/>
    </xf>
    <xf numFmtId="188" fontId="57" fillId="33" borderId="3" xfId="172" applyFont="1" applyFill="1" applyBorder="1" applyAlignment="1">
      <alignment horizontal="left" vertical="center"/>
      <protection locked="0"/>
    </xf>
    <xf numFmtId="188" fontId="49" fillId="0" borderId="0" xfId="29" applyFont="1" applyAlignment="1">
      <alignment horizontal="left" vertical="center"/>
    </xf>
    <xf numFmtId="188" fontId="24" fillId="0" borderId="0" xfId="26" applyFont="1" applyBorder="1" applyAlignment="1">
      <alignment vertical="center" wrapText="1"/>
    </xf>
    <xf numFmtId="188" fontId="36" fillId="0" borderId="0" xfId="26" applyFont="1" applyBorder="1" applyAlignment="1">
      <alignment vertical="center" wrapText="1"/>
    </xf>
    <xf numFmtId="14" fontId="24" fillId="0" borderId="0" xfId="40" applyNumberFormat="1" applyFont="1" applyBorder="1" applyAlignment="1">
      <alignment vertical="center"/>
      <protection locked="0"/>
    </xf>
    <xf numFmtId="188" fontId="162" fillId="0" borderId="0" xfId="40" applyFont="1" applyBorder="1" applyAlignment="1">
      <alignment vertical="center"/>
      <protection locked="0"/>
    </xf>
    <xf numFmtId="188" fontId="25" fillId="0" borderId="0" xfId="40" applyFont="1" applyBorder="1" applyAlignment="1">
      <alignment vertical="center" wrapText="1"/>
      <protection locked="0"/>
    </xf>
    <xf numFmtId="188" fontId="17" fillId="0" borderId="0" xfId="40" applyFont="1" applyBorder="1" applyAlignment="1">
      <alignment vertical="center" wrapText="1"/>
      <protection locked="0"/>
    </xf>
    <xf numFmtId="43" fontId="24" fillId="0" borderId="3" xfId="40" applyNumberFormat="1" applyFont="1" applyBorder="1" applyAlignment="1">
      <alignment horizontal="left" vertical="center" wrapText="1"/>
      <protection locked="0"/>
    </xf>
    <xf numFmtId="43" fontId="24" fillId="5" borderId="3" xfId="597" applyFont="1" applyFill="1" applyBorder="1" applyAlignment="1" applyProtection="1">
      <alignment vertical="center"/>
    </xf>
    <xf numFmtId="188" fontId="103" fillId="0" borderId="0" xfId="40" applyFont="1" applyBorder="1" applyAlignment="1">
      <alignment horizontal="right" vertical="center"/>
      <protection locked="0"/>
    </xf>
    <xf numFmtId="188" fontId="34" fillId="0" borderId="0" xfId="40" applyFont="1" applyBorder="1" applyAlignment="1">
      <alignment horizontal="right" vertical="center"/>
      <protection locked="0"/>
    </xf>
    <xf numFmtId="188" fontId="169" fillId="66" borderId="0" xfId="198" applyFont="1" applyFill="1" applyAlignment="1" applyProtection="1">
      <alignment horizontal="left" vertical="center" wrapText="1"/>
      <protection locked="0"/>
    </xf>
    <xf numFmtId="188" fontId="169" fillId="66" borderId="0" xfId="198" applyFont="1" applyFill="1" applyAlignment="1" applyProtection="1">
      <alignment horizontal="left" vertical="top" wrapText="1"/>
      <protection locked="0"/>
    </xf>
    <xf numFmtId="188" fontId="38" fillId="0" borderId="0" xfId="29" applyFont="1" applyAlignment="1">
      <alignment vertical="center" wrapText="1"/>
    </xf>
    <xf numFmtId="188" fontId="24" fillId="0" borderId="3" xfId="40" applyFont="1" applyBorder="1" applyAlignment="1">
      <alignment horizontal="center" vertical="center" wrapText="1"/>
      <protection locked="0"/>
    </xf>
    <xf numFmtId="236" fontId="54" fillId="0" borderId="3" xfId="40" applyNumberFormat="1" applyFont="1" applyBorder="1" applyAlignment="1" applyProtection="1">
      <alignment horizontal="center" vertical="center" wrapText="1"/>
    </xf>
    <xf numFmtId="188" fontId="35" fillId="0" borderId="0" xfId="0" applyFont="1" applyAlignment="1">
      <alignment horizontal="center" vertical="center"/>
      <protection locked="0"/>
    </xf>
    <xf numFmtId="188" fontId="59" fillId="0" borderId="0" xfId="34" applyFont="1" applyAlignment="1">
      <alignment vertical="center"/>
      <protection locked="0"/>
    </xf>
    <xf numFmtId="188" fontId="47" fillId="0" borderId="0" xfId="34" applyFont="1" applyAlignment="1">
      <alignment vertical="center"/>
      <protection locked="0"/>
    </xf>
    <xf numFmtId="188" fontId="153" fillId="0" borderId="8" xfId="198" applyFont="1" applyFill="1" applyBorder="1" applyAlignment="1">
      <alignment horizontal="center" vertical="center" wrapText="1"/>
    </xf>
    <xf numFmtId="49" fontId="24" fillId="0" borderId="3" xfId="172" applyNumberFormat="1" applyFont="1" applyBorder="1" applyAlignment="1">
      <alignment horizontal="center" vertical="center" wrapText="1"/>
      <protection locked="0"/>
    </xf>
    <xf numFmtId="43" fontId="36" fillId="0" borderId="0" xfId="598" applyNumberFormat="1" applyFont="1" applyBorder="1" applyAlignment="1">
      <alignment vertical="center"/>
    </xf>
    <xf numFmtId="43" fontId="24" fillId="0" borderId="0" xfId="598" applyNumberFormat="1" applyFont="1" applyBorder="1" applyAlignment="1">
      <alignment vertical="center"/>
    </xf>
    <xf numFmtId="43" fontId="24" fillId="0" borderId="0" xfId="598" applyNumberFormat="1" applyFont="1" applyBorder="1" applyAlignment="1">
      <alignment horizontal="left" vertical="center"/>
    </xf>
    <xf numFmtId="49" fontId="24" fillId="0" borderId="0" xfId="598" applyNumberFormat="1" applyFont="1" applyBorder="1" applyAlignment="1">
      <alignment vertical="center"/>
    </xf>
    <xf numFmtId="188" fontId="37" fillId="0" borderId="0" xfId="599" applyFont="1" applyAlignment="1">
      <alignment vertical="center"/>
    </xf>
    <xf numFmtId="188" fontId="12" fillId="0" borderId="0" xfId="600">
      <protection locked="0"/>
    </xf>
    <xf numFmtId="188" fontId="24" fillId="0" borderId="0" xfId="599" applyFont="1" applyAlignment="1">
      <alignment horizontal="left" vertical="center"/>
    </xf>
    <xf numFmtId="188" fontId="25" fillId="0" borderId="0" xfId="599" applyFont="1" applyAlignment="1">
      <alignment horizontal="left" vertical="center"/>
    </xf>
    <xf numFmtId="188" fontId="38" fillId="67" borderId="3" xfId="601" applyFont="1" applyFill="1" applyBorder="1" applyAlignment="1" applyProtection="1">
      <alignment horizontal="center" vertical="center"/>
    </xf>
    <xf numFmtId="188" fontId="17" fillId="67" borderId="3" xfId="601" applyFont="1" applyFill="1" applyBorder="1" applyAlignment="1" applyProtection="1">
      <alignment vertical="center" shrinkToFit="1"/>
    </xf>
    <xf numFmtId="10" fontId="17" fillId="67" borderId="3" xfId="602" applyNumberFormat="1" applyFont="1" applyFill="1" applyBorder="1" applyAlignment="1" applyProtection="1">
      <alignment vertical="center" shrinkToFit="1"/>
    </xf>
    <xf numFmtId="188" fontId="17" fillId="67" borderId="3" xfId="601" applyFont="1" applyFill="1" applyBorder="1" applyAlignment="1" applyProtection="1">
      <alignment vertical="center" shrinkToFit="1"/>
      <protection locked="0"/>
    </xf>
    <xf numFmtId="43" fontId="17" fillId="0" borderId="3" xfId="597" applyFont="1" applyFill="1" applyBorder="1" applyAlignment="1" applyProtection="1">
      <alignment vertical="center" shrinkToFit="1"/>
      <protection locked="0"/>
    </xf>
    <xf numFmtId="43" fontId="17" fillId="67" borderId="3" xfId="597" applyFont="1" applyFill="1" applyBorder="1" applyAlignment="1" applyProtection="1">
      <alignment vertical="center" shrinkToFit="1"/>
    </xf>
    <xf numFmtId="188" fontId="17" fillId="67" borderId="3" xfId="601" applyFont="1" applyFill="1" applyBorder="1" applyAlignment="1" applyProtection="1">
      <alignment horizontal="left" vertical="center" shrinkToFit="1"/>
      <protection locked="0"/>
    </xf>
    <xf numFmtId="188" fontId="38" fillId="67" borderId="3" xfId="601" applyFont="1" applyFill="1" applyBorder="1" applyAlignment="1" applyProtection="1">
      <alignment horizontal="center" vertical="center" shrinkToFit="1"/>
    </xf>
    <xf numFmtId="43" fontId="38" fillId="67" borderId="3" xfId="597" applyFont="1" applyFill="1" applyBorder="1" applyAlignment="1" applyProtection="1">
      <alignment vertical="center" shrinkToFit="1"/>
    </xf>
    <xf numFmtId="188" fontId="25" fillId="0" borderId="7" xfId="599" applyFont="1" applyBorder="1" applyAlignment="1" applyProtection="1">
      <alignment vertical="center"/>
      <protection locked="0"/>
    </xf>
    <xf numFmtId="188" fontId="12" fillId="0" borderId="0" xfId="600" applyFont="1">
      <protection locked="0"/>
    </xf>
    <xf numFmtId="188" fontId="25" fillId="0" borderId="0" xfId="599" applyFont="1" applyAlignment="1" applyProtection="1">
      <alignment vertical="center"/>
      <protection locked="0"/>
    </xf>
    <xf numFmtId="43" fontId="17" fillId="0" borderId="0" xfId="598" applyNumberFormat="1" applyFont="1" applyBorder="1" applyAlignment="1">
      <alignment horizontal="right" vertical="center"/>
    </xf>
    <xf numFmtId="188" fontId="62" fillId="0" borderId="0" xfId="600" applyFont="1" applyAlignment="1" applyProtection="1">
      <alignment horizontal="left" vertical="center"/>
    </xf>
    <xf numFmtId="43" fontId="24" fillId="67" borderId="3" xfId="597" applyFont="1" applyFill="1" applyBorder="1" applyAlignment="1" applyProtection="1">
      <alignment vertical="center" shrinkToFit="1"/>
    </xf>
    <xf numFmtId="43" fontId="24" fillId="0" borderId="3" xfId="597" applyFont="1" applyFill="1" applyBorder="1" applyAlignment="1" applyProtection="1">
      <alignment vertical="center" shrinkToFit="1"/>
      <protection locked="0"/>
    </xf>
    <xf numFmtId="43" fontId="24" fillId="67" borderId="3" xfId="597" applyFont="1" applyFill="1" applyBorder="1" applyAlignment="1" applyProtection="1">
      <alignment vertical="center" shrinkToFit="1"/>
      <protection locked="0"/>
    </xf>
    <xf numFmtId="43" fontId="25" fillId="67" borderId="3" xfId="597" applyFont="1" applyFill="1" applyBorder="1" applyAlignment="1" applyProtection="1">
      <alignment vertical="center" shrinkToFit="1"/>
    </xf>
    <xf numFmtId="177" fontId="25" fillId="5" borderId="7" xfId="32" applyFont="1" applyFill="1" applyBorder="1" applyAlignment="1" applyProtection="1">
      <alignment horizontal="center" vertical="center" wrapText="1"/>
      <protection locked="0"/>
    </xf>
    <xf numFmtId="177" fontId="25" fillId="5" borderId="0" xfId="32" applyFont="1" applyFill="1" applyBorder="1" applyAlignment="1" applyProtection="1">
      <alignment horizontal="center" vertical="center" wrapText="1"/>
      <protection locked="0"/>
    </xf>
    <xf numFmtId="177" fontId="63" fillId="5" borderId="0" xfId="32" applyFont="1" applyFill="1" applyBorder="1" applyAlignment="1" applyProtection="1">
      <alignment horizontal="center" vertical="center" wrapText="1"/>
      <protection locked="0"/>
    </xf>
    <xf numFmtId="10" fontId="25" fillId="5" borderId="0" xfId="24" applyNumberFormat="1" applyFont="1" applyFill="1" applyBorder="1" applyAlignment="1" applyProtection="1">
      <alignment horizontal="right" vertical="center" wrapText="1"/>
      <protection locked="0"/>
    </xf>
    <xf numFmtId="10" fontId="63" fillId="5" borderId="0" xfId="24" applyNumberFormat="1" applyFont="1" applyFill="1" applyBorder="1" applyAlignment="1" applyProtection="1">
      <alignment horizontal="right" vertical="center" wrapText="1"/>
      <protection locked="0"/>
    </xf>
    <xf numFmtId="177" fontId="24" fillId="0" borderId="3" xfId="32" applyFont="1" applyBorder="1" applyAlignment="1" applyProtection="1">
      <alignment vertical="center"/>
      <protection locked="0"/>
    </xf>
    <xf numFmtId="188" fontId="24" fillId="0" borderId="3" xfId="40" applyFont="1" applyBorder="1" applyAlignment="1">
      <alignment horizontal="center" vertical="center" wrapText="1"/>
      <protection locked="0"/>
    </xf>
    <xf numFmtId="188" fontId="24" fillId="0" borderId="3" xfId="40" applyFont="1" applyBorder="1" applyAlignment="1">
      <alignment horizontal="left" vertical="center" wrapText="1"/>
      <protection locked="0"/>
    </xf>
    <xf numFmtId="188" fontId="38" fillId="5" borderId="3" xfId="40" applyFont="1" applyFill="1" applyBorder="1" applyAlignment="1">
      <alignment horizontal="center" vertical="center"/>
      <protection locked="0"/>
    </xf>
    <xf numFmtId="177" fontId="24" fillId="0" borderId="3" xfId="32" applyFont="1" applyBorder="1" applyAlignment="1" applyProtection="1">
      <alignment horizontal="right" vertical="center"/>
      <protection locked="0"/>
    </xf>
    <xf numFmtId="191" fontId="25" fillId="67" borderId="3" xfId="34" applyNumberFormat="1" applyFont="1" applyFill="1" applyBorder="1" applyAlignment="1" applyProtection="1">
      <alignment horizontal="center" vertical="center"/>
    </xf>
    <xf numFmtId="177" fontId="25" fillId="67" borderId="3" xfId="32" applyFont="1" applyFill="1" applyBorder="1" applyAlignment="1" applyProtection="1">
      <alignment vertical="center"/>
    </xf>
    <xf numFmtId="177" fontId="24" fillId="0" borderId="3" xfId="32" applyFont="1" applyBorder="1" applyAlignment="1" applyProtection="1">
      <alignment horizontal="left" vertical="center"/>
    </xf>
    <xf numFmtId="177" fontId="24" fillId="0" borderId="3" xfId="32" applyFont="1" applyBorder="1" applyAlignment="1" applyProtection="1">
      <alignment horizontal="left" vertical="center" wrapText="1"/>
      <protection locked="0"/>
    </xf>
    <xf numFmtId="14" fontId="24" fillId="0" borderId="3" xfId="40" applyNumberFormat="1" applyFont="1" applyBorder="1" applyAlignment="1">
      <alignment horizontal="center" vertical="center"/>
      <protection locked="0"/>
    </xf>
    <xf numFmtId="49" fontId="24" fillId="0" borderId="3" xfId="40" applyNumberFormat="1" applyFont="1" applyBorder="1" applyAlignment="1">
      <alignment vertical="center"/>
      <protection locked="0"/>
    </xf>
    <xf numFmtId="188" fontId="17" fillId="5" borderId="3" xfId="40" applyFont="1" applyFill="1" applyBorder="1" applyAlignment="1">
      <alignment vertical="center"/>
      <protection locked="0"/>
    </xf>
    <xf numFmtId="43" fontId="25" fillId="5" borderId="3" xfId="591" applyFont="1" applyFill="1" applyBorder="1" applyAlignment="1" applyProtection="1">
      <alignment vertical="center"/>
      <protection locked="0"/>
    </xf>
    <xf numFmtId="188" fontId="38" fillId="5" borderId="3" xfId="40" applyFont="1" applyFill="1" applyBorder="1" applyAlignment="1">
      <alignment vertical="center"/>
      <protection locked="0"/>
    </xf>
    <xf numFmtId="188" fontId="62" fillId="0" borderId="3" xfId="42" applyFont="1" applyFill="1" applyBorder="1" applyAlignment="1" applyProtection="1">
      <alignment vertical="center"/>
    </xf>
    <xf numFmtId="43" fontId="62" fillId="0" borderId="3" xfId="597" applyFont="1" applyFill="1" applyBorder="1" applyAlignment="1" applyProtection="1">
      <alignment vertical="center"/>
    </xf>
    <xf numFmtId="188" fontId="62" fillId="0" borderId="3" xfId="42" applyFont="1" applyFill="1" applyBorder="1" applyAlignment="1" applyProtection="1">
      <alignment horizontal="center" vertical="center"/>
    </xf>
    <xf numFmtId="10" fontId="24" fillId="5" borderId="3" xfId="24" applyNumberFormat="1" applyFont="1" applyFill="1" applyBorder="1" applyAlignment="1" applyProtection="1">
      <alignment horizontal="center" vertical="center" wrapText="1"/>
      <protection locked="0"/>
    </xf>
    <xf numFmtId="10" fontId="25" fillId="5" borderId="3" xfId="24" applyNumberFormat="1" applyFont="1" applyFill="1" applyBorder="1" applyAlignment="1" applyProtection="1">
      <alignment horizontal="center" vertical="center" wrapText="1"/>
      <protection locked="0"/>
    </xf>
    <xf numFmtId="236" fontId="62" fillId="0" borderId="2" xfId="0" applyNumberFormat="1" applyFont="1" applyBorder="1" applyAlignment="1" applyProtection="1">
      <alignment horizontal="center" vertical="center"/>
    </xf>
    <xf numFmtId="188" fontId="38" fillId="67" borderId="3" xfId="601" applyFont="1" applyFill="1" applyBorder="1" applyAlignment="1" applyProtection="1">
      <alignment horizontal="center" vertical="center"/>
    </xf>
    <xf numFmtId="177" fontId="63" fillId="0" borderId="3" xfId="32" applyFont="1" applyBorder="1" applyAlignment="1" applyProtection="1">
      <alignment horizontal="center" vertical="center"/>
      <protection locked="0"/>
    </xf>
    <xf numFmtId="188" fontId="55" fillId="0" borderId="0" xfId="40" applyFont="1" applyAlignment="1">
      <alignment vertical="center"/>
      <protection locked="0"/>
    </xf>
    <xf numFmtId="188" fontId="52" fillId="5" borderId="3" xfId="40" applyFont="1" applyFill="1" applyBorder="1" applyAlignment="1">
      <alignment horizontal="center" vertical="center"/>
      <protection locked="0"/>
    </xf>
    <xf numFmtId="188" fontId="52" fillId="5" borderId="3" xfId="40" applyFont="1" applyFill="1" applyBorder="1" applyAlignment="1">
      <alignment horizontal="center" vertical="center" wrapText="1"/>
      <protection locked="0"/>
    </xf>
    <xf numFmtId="177" fontId="52" fillId="5" borderId="3" xfId="32" applyFont="1" applyFill="1" applyBorder="1" applyAlignment="1" applyProtection="1">
      <alignment horizontal="left" vertical="center" wrapText="1"/>
      <protection locked="0"/>
    </xf>
    <xf numFmtId="177" fontId="52" fillId="5" borderId="3" xfId="32" applyFont="1" applyFill="1" applyBorder="1" applyAlignment="1" applyProtection="1">
      <alignment horizontal="center" vertical="center" wrapText="1"/>
      <protection locked="0"/>
    </xf>
    <xf numFmtId="177" fontId="53" fillId="0" borderId="3" xfId="32" applyFont="1" applyBorder="1" applyAlignment="1" applyProtection="1">
      <alignment vertical="center"/>
      <protection locked="0"/>
    </xf>
    <xf numFmtId="177" fontId="52" fillId="5" borderId="3" xfId="32" applyFont="1" applyFill="1" applyBorder="1" applyAlignment="1" applyProtection="1">
      <alignment horizontal="left" vertical="center"/>
      <protection locked="0"/>
    </xf>
    <xf numFmtId="188" fontId="42" fillId="0" borderId="0" xfId="34" applyFont="1" applyAlignment="1">
      <alignment vertical="center"/>
      <protection locked="0"/>
    </xf>
    <xf numFmtId="188" fontId="17" fillId="0" borderId="0" xfId="172" applyFont="1" applyAlignment="1">
      <alignment vertical="center" wrapText="1"/>
      <protection locked="0"/>
    </xf>
    <xf numFmtId="188" fontId="42" fillId="0" borderId="0" xfId="172" applyFont="1" applyAlignment="1">
      <alignment horizontal="left" vertical="center" wrapText="1"/>
      <protection locked="0"/>
    </xf>
    <xf numFmtId="188" fontId="12" fillId="0" borderId="0" xfId="40" applyAlignment="1">
      <alignment vertical="center" wrapText="1"/>
      <protection locked="0"/>
    </xf>
    <xf numFmtId="188" fontId="43" fillId="0" borderId="0" xfId="172" applyFont="1" applyAlignment="1">
      <alignment vertical="center" wrapText="1"/>
      <protection locked="0"/>
    </xf>
    <xf numFmtId="188" fontId="42" fillId="0" borderId="0" xfId="172" applyFont="1" applyAlignment="1">
      <alignment vertical="center" wrapText="1"/>
      <protection locked="0"/>
    </xf>
    <xf numFmtId="188" fontId="49" fillId="0" borderId="0" xfId="172" applyFont="1" applyAlignment="1">
      <alignment horizontal="center" vertical="center" wrapText="1"/>
      <protection locked="0"/>
    </xf>
    <xf numFmtId="188" fontId="49" fillId="0" borderId="0" xfId="172" applyFont="1" applyAlignment="1">
      <alignment vertical="center" wrapText="1"/>
      <protection locked="0"/>
    </xf>
    <xf numFmtId="188" fontId="59" fillId="0" borderId="0" xfId="172" applyFont="1" applyAlignment="1">
      <alignment vertical="center"/>
      <protection locked="0"/>
    </xf>
    <xf numFmtId="188" fontId="63" fillId="0" borderId="0" xfId="172" applyFont="1" applyAlignment="1">
      <alignment vertical="center"/>
      <protection locked="0"/>
    </xf>
    <xf numFmtId="0" fontId="52" fillId="67" borderId="3" xfId="603" applyNumberFormat="1" applyFont="1" applyFill="1" applyBorder="1" applyAlignment="1">
      <alignment horizontal="center" vertical="center" wrapText="1"/>
      <protection locked="0"/>
    </xf>
    <xf numFmtId="43" fontId="62" fillId="0" borderId="3" xfId="597" applyNumberFormat="1" applyFont="1" applyFill="1" applyBorder="1" applyAlignment="1">
      <alignment horizontal="right" vertical="center"/>
    </xf>
    <xf numFmtId="43" fontId="24" fillId="67" borderId="3" xfId="172" applyNumberFormat="1" applyFont="1" applyFill="1" applyBorder="1" applyAlignment="1">
      <alignment horizontal="left" vertical="center" wrapText="1"/>
      <protection locked="0"/>
    </xf>
    <xf numFmtId="43" fontId="24" fillId="0" borderId="3" xfId="172" applyNumberFormat="1" applyFont="1" applyBorder="1" applyAlignment="1">
      <alignment horizontal="left" vertical="center" wrapText="1"/>
      <protection locked="0"/>
    </xf>
    <xf numFmtId="43" fontId="62" fillId="67" borderId="3" xfId="597" applyNumberFormat="1" applyFont="1" applyFill="1" applyBorder="1" applyAlignment="1">
      <alignment horizontal="right" vertical="center"/>
    </xf>
    <xf numFmtId="0" fontId="174" fillId="0" borderId="3" xfId="597" applyNumberFormat="1" applyFont="1" applyFill="1" applyBorder="1" applyAlignment="1">
      <alignment horizontal="right" vertical="center"/>
    </xf>
    <xf numFmtId="0" fontId="24" fillId="0" borderId="3" xfId="0" applyNumberFormat="1" applyFont="1" applyBorder="1">
      <protection locked="0"/>
    </xf>
    <xf numFmtId="0" fontId="175" fillId="67" borderId="3" xfId="172" applyNumberFormat="1" applyFont="1" applyFill="1" applyBorder="1" applyAlignment="1">
      <alignment horizontal="center" vertical="center" wrapText="1"/>
      <protection locked="0"/>
    </xf>
    <xf numFmtId="43" fontId="37" fillId="67" borderId="3" xfId="597" applyNumberFormat="1" applyFont="1" applyFill="1" applyBorder="1" applyAlignment="1">
      <alignment horizontal="right" vertical="center"/>
    </xf>
    <xf numFmtId="0" fontId="176" fillId="67" borderId="3" xfId="597" applyNumberFormat="1" applyFont="1" applyFill="1" applyBorder="1" applyAlignment="1">
      <alignment horizontal="right" vertical="center"/>
    </xf>
    <xf numFmtId="0" fontId="24" fillId="67" borderId="3" xfId="0" applyNumberFormat="1" applyFont="1" applyFill="1" applyBorder="1">
      <protection locked="0"/>
    </xf>
    <xf numFmtId="10" fontId="62" fillId="0" borderId="3" xfId="24" applyNumberFormat="1" applyFont="1" applyFill="1" applyBorder="1" applyAlignment="1">
      <alignment horizontal="right" vertical="center"/>
    </xf>
    <xf numFmtId="188" fontId="49" fillId="0" borderId="0" xfId="34" applyFont="1" applyAlignment="1">
      <alignment vertical="center"/>
      <protection locked="0"/>
    </xf>
    <xf numFmtId="188" fontId="47" fillId="0" borderId="0" xfId="34" applyFont="1" applyAlignment="1">
      <alignment horizontal="left" vertical="center" indent="1"/>
      <protection locked="0"/>
    </xf>
    <xf numFmtId="188" fontId="18" fillId="0" borderId="0" xfId="34" applyFont="1" applyAlignment="1">
      <alignment vertical="center"/>
      <protection locked="0"/>
    </xf>
    <xf numFmtId="188" fontId="152" fillId="0" borderId="0" xfId="34" applyFont="1" applyAlignment="1">
      <alignment vertical="center"/>
      <protection locked="0"/>
    </xf>
    <xf numFmtId="188" fontId="43" fillId="0" borderId="0" xfId="34" applyFont="1" applyAlignment="1">
      <alignment vertical="center"/>
      <protection locked="0"/>
    </xf>
    <xf numFmtId="188" fontId="52" fillId="5" borderId="3" xfId="39" applyFont="1" applyFill="1" applyBorder="1" applyAlignment="1" applyProtection="1">
      <alignment horizontal="center" vertical="center" wrapText="1"/>
      <protection locked="0"/>
    </xf>
    <xf numFmtId="177" fontId="42" fillId="0" borderId="3" xfId="32" applyFont="1" applyBorder="1" applyAlignment="1" applyProtection="1">
      <alignment vertical="center"/>
    </xf>
    <xf numFmtId="188" fontId="42" fillId="0" borderId="0" xfId="33" applyFont="1" applyAlignment="1" applyProtection="1">
      <alignment horizontal="left" vertical="center"/>
      <protection locked="0"/>
    </xf>
    <xf numFmtId="188" fontId="42" fillId="0" borderId="0" xfId="33" applyFont="1" applyAlignment="1" applyProtection="1">
      <alignment vertical="center"/>
      <protection locked="0"/>
    </xf>
    <xf numFmtId="188" fontId="42" fillId="0" borderId="0" xfId="40" applyFont="1" applyBorder="1" applyAlignment="1">
      <alignment vertical="center"/>
      <protection locked="0"/>
    </xf>
    <xf numFmtId="188" fontId="159" fillId="0" borderId="0" xfId="40" applyFont="1" applyAlignment="1">
      <alignment vertical="center"/>
      <protection locked="0"/>
    </xf>
    <xf numFmtId="188" fontId="177" fillId="0" borderId="0" xfId="40" applyFont="1" applyAlignment="1">
      <alignment vertical="center"/>
      <protection locked="0"/>
    </xf>
    <xf numFmtId="188" fontId="177" fillId="0" borderId="0" xfId="40" applyFont="1">
      <protection locked="0"/>
    </xf>
    <xf numFmtId="0" fontId="24" fillId="0" borderId="3" xfId="0" applyNumberFormat="1" applyFont="1" applyBorder="1" applyAlignment="1">
      <alignment horizontal="center" vertical="center" wrapText="1"/>
      <protection locked="0"/>
    </xf>
    <xf numFmtId="188" fontId="38" fillId="71" borderId="3" xfId="40" applyNumberFormat="1" applyFont="1" applyFill="1" applyBorder="1" applyAlignment="1" applyProtection="1">
      <alignment horizontal="center" vertical="center"/>
    </xf>
    <xf numFmtId="188" fontId="47" fillId="0" borderId="0" xfId="172" applyFont="1" applyAlignment="1">
      <alignment vertical="center" wrapText="1"/>
      <protection locked="0"/>
    </xf>
    <xf numFmtId="188" fontId="37" fillId="5" borderId="3" xfId="0" applyFont="1" applyFill="1" applyBorder="1" applyAlignment="1" applyProtection="1">
      <alignment horizontal="center" vertical="center"/>
    </xf>
    <xf numFmtId="0" fontId="25" fillId="67" borderId="3" xfId="603" applyNumberFormat="1" applyFont="1" applyFill="1" applyBorder="1" applyAlignment="1">
      <alignment horizontal="center" vertical="center" wrapText="1"/>
      <protection locked="0"/>
    </xf>
    <xf numFmtId="0" fontId="24" fillId="0" borderId="3" xfId="172" applyNumberFormat="1" applyFont="1" applyBorder="1" applyAlignment="1">
      <alignment horizontal="left" vertical="center" wrapText="1"/>
      <protection locked="0"/>
    </xf>
    <xf numFmtId="188" fontId="49" fillId="0" borderId="0" xfId="172" applyFont="1" applyAlignment="1">
      <alignment vertical="center"/>
      <protection locked="0"/>
    </xf>
    <xf numFmtId="188" fontId="47" fillId="0" borderId="28" xfId="172" applyFont="1" applyBorder="1" applyAlignment="1">
      <alignment vertical="center" wrapText="1"/>
      <protection locked="0"/>
    </xf>
    <xf numFmtId="188" fontId="47" fillId="0" borderId="28" xfId="172" applyFont="1" applyBorder="1" applyAlignment="1">
      <alignment vertical="center"/>
      <protection locked="0"/>
    </xf>
    <xf numFmtId="188" fontId="179" fillId="0" borderId="0" xfId="40" applyFont="1" applyBorder="1" applyAlignment="1">
      <alignment horizontal="left" vertical="center"/>
      <protection locked="0"/>
    </xf>
    <xf numFmtId="188" fontId="24" fillId="0" borderId="3" xfId="40" applyFont="1" applyBorder="1" applyAlignment="1">
      <alignment horizontal="center" vertical="center" wrapText="1"/>
      <protection locked="0"/>
    </xf>
    <xf numFmtId="188" fontId="24" fillId="0" borderId="0" xfId="33" applyFont="1" applyBorder="1" applyAlignment="1" applyProtection="1">
      <alignment vertical="center"/>
      <protection locked="0"/>
    </xf>
    <xf numFmtId="49" fontId="54" fillId="0" borderId="3" xfId="40" quotePrefix="1" applyNumberFormat="1" applyFont="1" applyBorder="1" applyAlignment="1" applyProtection="1">
      <alignment horizontal="center" vertical="center" shrinkToFit="1"/>
    </xf>
    <xf numFmtId="177" fontId="61" fillId="0" borderId="3" xfId="40" quotePrefix="1" applyNumberFormat="1" applyFont="1" applyBorder="1" applyAlignment="1" applyProtection="1">
      <alignment horizontal="right" vertical="center" shrinkToFit="1"/>
    </xf>
    <xf numFmtId="188" fontId="42" fillId="0" borderId="0" xfId="0" applyFont="1" applyFill="1" applyBorder="1" applyAlignment="1">
      <alignment horizontal="left" vertical="center"/>
      <protection locked="0"/>
    </xf>
    <xf numFmtId="188" fontId="24" fillId="0" borderId="0" xfId="37" applyFont="1" applyAlignment="1">
      <alignment horizontal="center" vertical="center"/>
    </xf>
    <xf numFmtId="188" fontId="24" fillId="0" borderId="0" xfId="40" applyFont="1" applyBorder="1" applyAlignment="1">
      <alignment horizontal="center" vertical="center" wrapText="1"/>
      <protection locked="0"/>
    </xf>
    <xf numFmtId="188" fontId="24" fillId="0" borderId="3" xfId="40" applyFont="1" applyFill="1" applyBorder="1" applyAlignment="1">
      <alignment horizontal="center" vertical="center" wrapText="1"/>
      <protection locked="0"/>
    </xf>
    <xf numFmtId="188" fontId="24" fillId="0" borderId="3" xfId="40" applyFont="1" applyFill="1" applyBorder="1" applyAlignment="1">
      <alignment horizontal="left" vertical="center" wrapText="1"/>
      <protection locked="0"/>
    </xf>
    <xf numFmtId="177" fontId="54" fillId="0" borderId="3" xfId="40" applyNumberFormat="1" applyFont="1" applyBorder="1" applyAlignment="1" applyProtection="1">
      <alignment horizontal="center" vertical="center" shrinkToFit="1"/>
    </xf>
    <xf numFmtId="188" fontId="24" fillId="0" borderId="0" xfId="28" applyFont="1" applyAlignment="1">
      <protection locked="0"/>
    </xf>
    <xf numFmtId="188" fontId="25" fillId="0" borderId="0" xfId="28" applyFont="1" applyAlignment="1">
      <protection locked="0"/>
    </xf>
    <xf numFmtId="177" fontId="54" fillId="0" borderId="3" xfId="40" quotePrefix="1" applyNumberFormat="1" applyFont="1" applyBorder="1" applyAlignment="1" applyProtection="1">
      <alignment horizontal="left" vertical="center" wrapText="1"/>
    </xf>
    <xf numFmtId="177" fontId="54" fillId="0" borderId="3" xfId="40" applyNumberFormat="1" applyFont="1" applyBorder="1" applyAlignment="1" applyProtection="1">
      <alignment horizontal="left" vertical="center" wrapText="1"/>
    </xf>
    <xf numFmtId="177" fontId="16" fillId="0" borderId="3" xfId="40" applyNumberFormat="1" applyFont="1" applyBorder="1" applyAlignment="1" applyProtection="1">
      <alignment horizontal="left" vertical="center" wrapText="1"/>
    </xf>
    <xf numFmtId="188" fontId="25" fillId="0" borderId="0" xfId="33" applyFont="1" applyBorder="1" applyAlignment="1" applyProtection="1">
      <alignment vertical="center"/>
      <protection locked="0"/>
    </xf>
    <xf numFmtId="177" fontId="52" fillId="5" borderId="9" xfId="32" applyFont="1" applyFill="1" applyBorder="1" applyAlignment="1" applyProtection="1">
      <alignment horizontal="left" vertical="center"/>
      <protection locked="0"/>
    </xf>
    <xf numFmtId="188" fontId="24" fillId="0" borderId="0" xfId="28" applyFont="1" applyBorder="1">
      <protection locked="0"/>
    </xf>
    <xf numFmtId="188" fontId="34" fillId="0" borderId="0" xfId="0" applyFont="1" applyAlignment="1">
      <alignment vertical="center"/>
      <protection locked="0"/>
    </xf>
    <xf numFmtId="188" fontId="39" fillId="0" borderId="0" xfId="40" applyFont="1" applyBorder="1" applyAlignment="1">
      <alignment vertical="center"/>
      <protection locked="0"/>
    </xf>
    <xf numFmtId="188" fontId="17" fillId="0" borderId="3" xfId="601" applyFont="1" applyFill="1" applyBorder="1" applyAlignment="1" applyProtection="1">
      <alignment horizontal="left" vertical="center" shrinkToFit="1"/>
      <protection locked="0"/>
    </xf>
    <xf numFmtId="188" fontId="17" fillId="0" borderId="3" xfId="601" applyFont="1" applyFill="1" applyBorder="1" applyAlignment="1" applyProtection="1">
      <alignment horizontal="left" vertical="center" indent="4" shrinkToFit="1"/>
      <protection locked="0"/>
    </xf>
    <xf numFmtId="188" fontId="17" fillId="0" borderId="3" xfId="601" applyFont="1" applyFill="1" applyBorder="1" applyAlignment="1" applyProtection="1">
      <alignment vertical="center" shrinkToFit="1"/>
      <protection locked="0"/>
    </xf>
    <xf numFmtId="188" fontId="47" fillId="72" borderId="0" xfId="172" applyFont="1" applyFill="1" applyAlignment="1">
      <alignment horizontal="left" vertical="center"/>
      <protection locked="0"/>
    </xf>
    <xf numFmtId="188" fontId="47" fillId="0" borderId="0" xfId="0" applyFont="1" applyAlignment="1">
      <alignment vertical="center"/>
      <protection locked="0"/>
    </xf>
    <xf numFmtId="188" fontId="59" fillId="0" borderId="0" xfId="0" applyFont="1" applyAlignment="1">
      <alignment vertical="center"/>
      <protection locked="0"/>
    </xf>
    <xf numFmtId="188" fontId="24" fillId="0" borderId="3" xfId="0" applyFont="1" applyBorder="1" applyAlignment="1">
      <alignment horizontal="center" vertical="center"/>
      <protection locked="0"/>
    </xf>
    <xf numFmtId="188" fontId="0" fillId="0" borderId="0" xfId="0" applyAlignment="1">
      <alignment horizontal="center" vertical="center"/>
      <protection locked="0"/>
    </xf>
    <xf numFmtId="188" fontId="8" fillId="0" borderId="0" xfId="0" applyFont="1" applyAlignment="1">
      <alignment horizontal="center"/>
      <protection locked="0"/>
    </xf>
    <xf numFmtId="188" fontId="62" fillId="0" borderId="2" xfId="0" applyFont="1" applyBorder="1" applyAlignment="1" applyProtection="1">
      <alignment horizontal="center" vertical="center"/>
    </xf>
    <xf numFmtId="188" fontId="60" fillId="0" borderId="2" xfId="31" applyFont="1" applyBorder="1" applyAlignment="1" applyProtection="1">
      <alignment vertical="center"/>
    </xf>
    <xf numFmtId="188" fontId="60" fillId="0" borderId="2" xfId="31" quotePrefix="1" applyFont="1" applyBorder="1" applyAlignment="1" applyProtection="1">
      <alignment vertical="center"/>
    </xf>
    <xf numFmtId="188" fontId="34" fillId="0" borderId="0" xfId="31" applyFont="1" applyAlignment="1">
      <alignment horizontal="left" vertical="center"/>
      <protection locked="0"/>
    </xf>
    <xf numFmtId="188" fontId="60" fillId="0" borderId="0" xfId="31" applyFont="1" applyFill="1" applyAlignment="1">
      <alignment vertical="center"/>
      <protection locked="0"/>
    </xf>
    <xf numFmtId="188" fontId="17" fillId="0" borderId="0" xfId="0" applyFont="1" applyBorder="1" applyAlignment="1">
      <alignment vertical="center" wrapText="1"/>
      <protection locked="0"/>
    </xf>
    <xf numFmtId="188" fontId="24" fillId="5" borderId="0" xfId="0" applyFont="1" applyFill="1" applyBorder="1" applyAlignment="1">
      <alignment vertical="center" wrapText="1"/>
      <protection locked="0"/>
    </xf>
    <xf numFmtId="188" fontId="17" fillId="0" borderId="0" xfId="0" applyFont="1" applyBorder="1" applyAlignment="1">
      <alignment vertical="center"/>
      <protection locked="0"/>
    </xf>
    <xf numFmtId="188" fontId="25" fillId="0" borderId="0" xfId="0" applyFont="1" applyBorder="1" applyAlignment="1">
      <alignment vertical="center"/>
      <protection locked="0"/>
    </xf>
    <xf numFmtId="188" fontId="25" fillId="0" borderId="0" xfId="0" applyFont="1" applyBorder="1" applyAlignment="1">
      <alignment vertical="center" wrapText="1"/>
      <protection locked="0"/>
    </xf>
    <xf numFmtId="188" fontId="40" fillId="0" borderId="0" xfId="33" applyFont="1" applyAlignment="1" applyProtection="1">
      <alignment horizontal="left" vertical="center"/>
      <protection locked="0"/>
    </xf>
    <xf numFmtId="188" fontId="17" fillId="0" borderId="3" xfId="604" applyFont="1" applyBorder="1" applyAlignment="1">
      <alignment horizontal="left" vertical="center" wrapText="1"/>
      <protection locked="0"/>
    </xf>
    <xf numFmtId="188" fontId="47" fillId="0" borderId="0" xfId="40" applyFont="1" applyBorder="1" applyAlignment="1">
      <alignment vertical="center" wrapText="1"/>
      <protection locked="0"/>
    </xf>
    <xf numFmtId="188" fontId="24" fillId="0" borderId="3" xfId="40" applyFont="1" applyFill="1" applyBorder="1" applyAlignment="1">
      <alignment horizontal="left" vertical="center" wrapText="1"/>
      <protection locked="0"/>
    </xf>
    <xf numFmtId="188" fontId="17" fillId="4" borderId="0" xfId="0" applyFont="1" applyFill="1" applyAlignment="1">
      <alignment horizontal="justify" vertical="center" wrapText="1"/>
      <protection locked="0"/>
    </xf>
    <xf numFmtId="188" fontId="17" fillId="0" borderId="2" xfId="31" applyFont="1" applyBorder="1" applyAlignment="1" applyProtection="1">
      <alignment vertical="center"/>
    </xf>
    <xf numFmtId="188" fontId="17" fillId="0" borderId="2" xfId="31" quotePrefix="1" applyFont="1" applyBorder="1" applyAlignment="1" applyProtection="1">
      <alignment vertical="center"/>
    </xf>
    <xf numFmtId="188" fontId="42" fillId="0" borderId="3" xfId="40" applyFont="1" applyFill="1" applyBorder="1" applyAlignment="1">
      <alignment horizontal="center" vertical="center" wrapText="1"/>
      <protection locked="0"/>
    </xf>
    <xf numFmtId="188" fontId="52" fillId="67" borderId="3" xfId="39" applyFont="1" applyFill="1" applyBorder="1" applyAlignment="1" applyProtection="1">
      <alignment horizontal="center" vertical="center" wrapText="1"/>
      <protection locked="0"/>
    </xf>
    <xf numFmtId="188" fontId="25" fillId="67" borderId="3" xfId="39" applyFont="1" applyFill="1" applyBorder="1" applyAlignment="1" applyProtection="1">
      <alignment horizontal="left" vertical="center"/>
      <protection locked="0"/>
    </xf>
    <xf numFmtId="188" fontId="25" fillId="67" borderId="3" xfId="39" applyFont="1" applyFill="1" applyBorder="1" applyAlignment="1" applyProtection="1">
      <alignment horizontal="center" vertical="center" wrapText="1"/>
      <protection locked="0"/>
    </xf>
    <xf numFmtId="10" fontId="25" fillId="67" borderId="3" xfId="24" applyNumberFormat="1" applyFont="1" applyFill="1" applyBorder="1" applyAlignment="1" applyProtection="1">
      <alignment horizontal="center" vertical="center" wrapText="1"/>
      <protection locked="0"/>
    </xf>
    <xf numFmtId="188" fontId="41" fillId="67" borderId="3" xfId="40" applyFont="1" applyFill="1" applyBorder="1" applyAlignment="1" applyProtection="1">
      <alignment vertical="center"/>
    </xf>
    <xf numFmtId="177" fontId="24" fillId="67" borderId="3" xfId="32" applyFont="1" applyFill="1" applyBorder="1" applyAlignment="1">
      <alignment horizontal="right" vertical="center" wrapText="1"/>
    </xf>
    <xf numFmtId="10" fontId="24" fillId="67" borderId="3" xfId="24" applyNumberFormat="1" applyFont="1" applyFill="1" applyBorder="1" applyAlignment="1">
      <alignment horizontal="right" vertical="center" wrapText="1"/>
    </xf>
    <xf numFmtId="188" fontId="37" fillId="67" borderId="3" xfId="40" applyFont="1" applyFill="1" applyBorder="1" applyAlignment="1" applyProtection="1">
      <alignment horizontal="center" vertical="center"/>
    </xf>
    <xf numFmtId="188" fontId="38" fillId="0" borderId="0" xfId="40" applyFont="1" applyFill="1" applyAlignment="1">
      <alignment vertical="center"/>
      <protection locked="0"/>
    </xf>
    <xf numFmtId="188" fontId="24" fillId="0" borderId="0" xfId="40" applyFont="1" applyFill="1" applyAlignment="1">
      <alignment vertical="center"/>
      <protection locked="0"/>
    </xf>
    <xf numFmtId="188" fontId="38" fillId="67" borderId="3" xfId="495" applyFont="1" applyFill="1" applyBorder="1" applyAlignment="1" applyProtection="1">
      <alignment horizontal="center" vertical="center" wrapText="1"/>
      <protection locked="0"/>
    </xf>
    <xf numFmtId="188" fontId="38" fillId="67" borderId="3" xfId="40" applyFont="1" applyFill="1" applyBorder="1" applyAlignment="1">
      <alignment horizontal="center" vertical="center" wrapText="1"/>
      <protection locked="0"/>
    </xf>
    <xf numFmtId="236" fontId="61" fillId="0" borderId="3" xfId="40" applyNumberFormat="1" applyFont="1" applyFill="1" applyBorder="1" applyAlignment="1">
      <alignment horizontal="center" vertical="center"/>
      <protection locked="0"/>
    </xf>
    <xf numFmtId="177" fontId="61" fillId="0" borderId="3" xfId="34" applyNumberFormat="1" applyFont="1" applyFill="1" applyBorder="1" applyAlignment="1" applyProtection="1">
      <alignment horizontal="left" vertical="center"/>
    </xf>
    <xf numFmtId="177" fontId="25" fillId="67" borderId="3" xfId="32" applyFont="1" applyFill="1" applyBorder="1" applyAlignment="1" applyProtection="1">
      <alignment horizontal="center" vertical="center" wrapText="1"/>
    </xf>
    <xf numFmtId="188" fontId="25" fillId="67" borderId="3" xfId="34" applyFont="1" applyFill="1" applyBorder="1" applyAlignment="1" applyProtection="1">
      <alignment horizontal="center" vertical="center" wrapText="1"/>
    </xf>
    <xf numFmtId="188" fontId="38" fillId="67" borderId="3" xfId="34" applyFont="1" applyFill="1" applyBorder="1" applyAlignment="1" applyProtection="1">
      <alignment horizontal="center" vertical="center" wrapText="1"/>
    </xf>
    <xf numFmtId="188" fontId="38" fillId="67" borderId="3" xfId="0" applyFont="1" applyFill="1" applyBorder="1" applyAlignment="1">
      <alignment horizontal="center" vertical="center" wrapText="1"/>
      <protection locked="0"/>
    </xf>
    <xf numFmtId="188" fontId="24" fillId="67" borderId="0" xfId="34" applyFont="1" applyFill="1" applyAlignment="1">
      <alignment vertical="center" wrapText="1"/>
      <protection locked="0"/>
    </xf>
    <xf numFmtId="191" fontId="24" fillId="0" borderId="3" xfId="34" applyNumberFormat="1" applyFont="1" applyFill="1" applyBorder="1" applyAlignment="1" applyProtection="1">
      <alignment horizontal="center" vertical="center"/>
    </xf>
    <xf numFmtId="177" fontId="24" fillId="0" borderId="3" xfId="32" applyFont="1" applyFill="1" applyBorder="1" applyAlignment="1" applyProtection="1">
      <alignment horizontal="center" vertical="center" wrapText="1"/>
    </xf>
    <xf numFmtId="188" fontId="38" fillId="0" borderId="0" xfId="34" applyFont="1" applyFill="1" applyAlignment="1">
      <alignment vertical="center"/>
      <protection locked="0"/>
    </xf>
    <xf numFmtId="188" fontId="55" fillId="0" borderId="0" xfId="34" applyFont="1" applyFill="1" applyAlignment="1">
      <alignment horizontal="center" vertical="center"/>
      <protection locked="0"/>
    </xf>
    <xf numFmtId="188" fontId="43" fillId="0" borderId="3" xfId="172" applyFont="1" applyFill="1" applyBorder="1" applyAlignment="1">
      <alignment horizontal="left" vertical="center" wrapText="1"/>
      <protection locked="0"/>
    </xf>
    <xf numFmtId="191" fontId="38" fillId="67" borderId="3" xfId="34" applyNumberFormat="1" applyFont="1" applyFill="1" applyBorder="1" applyAlignment="1" applyProtection="1">
      <alignment horizontal="center" vertical="center"/>
    </xf>
    <xf numFmtId="191" fontId="38" fillId="67" borderId="3" xfId="34" applyNumberFormat="1" applyFont="1" applyFill="1" applyBorder="1" applyAlignment="1" applyProtection="1">
      <alignment horizontal="center" vertical="center" wrapText="1"/>
    </xf>
    <xf numFmtId="191" fontId="25" fillId="67" borderId="3" xfId="34" applyNumberFormat="1" applyFont="1" applyFill="1" applyBorder="1" applyAlignment="1" applyProtection="1">
      <alignment horizontal="centerContinuous" vertical="center"/>
    </xf>
    <xf numFmtId="177" fontId="25" fillId="67" borderId="3" xfId="32" applyFont="1" applyFill="1" applyBorder="1" applyAlignment="1" applyProtection="1">
      <alignment horizontal="center" vertical="center"/>
    </xf>
    <xf numFmtId="188" fontId="36" fillId="67" borderId="0" xfId="0" applyFont="1" applyFill="1" applyAlignment="1">
      <alignment vertical="center"/>
      <protection locked="0"/>
    </xf>
    <xf numFmtId="177" fontId="24" fillId="0" borderId="3" xfId="32" applyFont="1" applyFill="1" applyBorder="1" applyAlignment="1" applyProtection="1">
      <alignment vertical="center"/>
    </xf>
    <xf numFmtId="188" fontId="25" fillId="67" borderId="3" xfId="40" applyFont="1" applyFill="1" applyBorder="1" applyAlignment="1">
      <alignment horizontal="center" vertical="center" wrapText="1"/>
      <protection locked="0"/>
    </xf>
    <xf numFmtId="188" fontId="17" fillId="67" borderId="0" xfId="40" applyFont="1" applyFill="1" applyBorder="1" applyAlignment="1">
      <alignment vertical="center" wrapText="1"/>
      <protection locked="0"/>
    </xf>
    <xf numFmtId="188" fontId="55" fillId="67" borderId="0" xfId="40" applyFont="1" applyFill="1" applyBorder="1" applyAlignment="1">
      <alignment vertical="center" wrapText="1"/>
      <protection locked="0"/>
    </xf>
    <xf numFmtId="188" fontId="25" fillId="67" borderId="0" xfId="40" applyFont="1" applyFill="1" applyBorder="1" applyAlignment="1">
      <alignment vertical="center" wrapText="1"/>
      <protection locked="0"/>
    </xf>
    <xf numFmtId="43" fontId="25" fillId="67" borderId="3" xfId="597" applyFont="1" applyFill="1" applyBorder="1" applyAlignment="1" applyProtection="1">
      <alignment vertical="center"/>
    </xf>
    <xf numFmtId="188" fontId="24" fillId="67" borderId="0" xfId="40" applyFont="1" applyFill="1" applyBorder="1" applyAlignment="1">
      <alignment vertical="center" wrapText="1"/>
      <protection locked="0"/>
    </xf>
    <xf numFmtId="188" fontId="38" fillId="67" borderId="3" xfId="40" applyFont="1" applyFill="1" applyBorder="1" applyAlignment="1">
      <alignment horizontal="center" vertical="center"/>
      <protection locked="0"/>
    </xf>
    <xf numFmtId="0" fontId="25" fillId="67" borderId="3" xfId="0" applyNumberFormat="1" applyFont="1" applyFill="1" applyBorder="1" applyAlignment="1">
      <alignment horizontal="center" vertical="center"/>
      <protection locked="0"/>
    </xf>
    <xf numFmtId="205" fontId="25" fillId="67" borderId="3" xfId="40" applyNumberFormat="1" applyFont="1" applyFill="1" applyBorder="1" applyAlignment="1">
      <alignment horizontal="center" vertical="center" wrapText="1"/>
      <protection locked="0"/>
    </xf>
    <xf numFmtId="49" fontId="25" fillId="67" borderId="3" xfId="40" applyNumberFormat="1" applyFont="1" applyFill="1" applyBorder="1" applyAlignment="1">
      <alignment horizontal="center" vertical="center"/>
      <protection locked="0"/>
    </xf>
    <xf numFmtId="188" fontId="25" fillId="67" borderId="3" xfId="40" applyFont="1" applyFill="1" applyBorder="1" applyAlignment="1">
      <alignment vertical="center"/>
      <protection locked="0"/>
    </xf>
    <xf numFmtId="177" fontId="25" fillId="67" borderId="3" xfId="40" applyNumberFormat="1" applyFont="1" applyFill="1" applyBorder="1" applyAlignment="1">
      <alignment horizontal="right" vertical="center" shrinkToFit="1"/>
      <protection locked="0"/>
    </xf>
    <xf numFmtId="188" fontId="24" fillId="0" borderId="3" xfId="40" applyFont="1" applyFill="1" applyBorder="1" applyAlignment="1">
      <alignment vertical="center"/>
      <protection locked="0"/>
    </xf>
    <xf numFmtId="205" fontId="24" fillId="0" borderId="3" xfId="40" applyNumberFormat="1" applyFont="1" applyFill="1" applyBorder="1" applyAlignment="1">
      <alignment horizontal="center" vertical="center" wrapText="1"/>
      <protection locked="0"/>
    </xf>
    <xf numFmtId="49" fontId="24" fillId="0" borderId="3" xfId="40" applyNumberFormat="1" applyFont="1" applyFill="1" applyBorder="1" applyAlignment="1">
      <alignment horizontal="center" vertical="center"/>
      <protection locked="0"/>
    </xf>
    <xf numFmtId="188" fontId="24" fillId="0" borderId="3" xfId="40" applyFont="1" applyFill="1" applyBorder="1" applyAlignment="1">
      <alignment horizontal="center" vertical="center"/>
      <protection locked="0"/>
    </xf>
    <xf numFmtId="177" fontId="24" fillId="0" borderId="3" xfId="40" applyNumberFormat="1" applyFont="1" applyFill="1" applyBorder="1" applyAlignment="1">
      <alignment horizontal="right" vertical="center" shrinkToFit="1"/>
      <protection locked="0"/>
    </xf>
    <xf numFmtId="188" fontId="37" fillId="5" borderId="3" xfId="40" applyFont="1" applyFill="1" applyBorder="1" applyAlignment="1" applyProtection="1">
      <alignment horizontal="center" vertical="center"/>
    </xf>
    <xf numFmtId="177" fontId="24" fillId="0" borderId="8" xfId="40" applyNumberFormat="1" applyFont="1" applyFill="1" applyBorder="1" applyAlignment="1">
      <alignment horizontal="center" vertical="center" shrinkToFit="1"/>
      <protection locked="0"/>
    </xf>
    <xf numFmtId="177" fontId="24" fillId="0" borderId="6" xfId="40" applyNumberFormat="1" applyFont="1" applyFill="1" applyBorder="1" applyAlignment="1">
      <alignment horizontal="center" vertical="center" shrinkToFit="1"/>
      <protection locked="0"/>
    </xf>
    <xf numFmtId="188" fontId="24" fillId="0" borderId="3" xfId="27" applyFont="1" applyBorder="1" applyAlignment="1">
      <alignment vertical="center"/>
    </xf>
    <xf numFmtId="188" fontId="24" fillId="0" borderId="3" xfId="27" applyFont="1" applyBorder="1" applyAlignment="1">
      <alignment horizontal="center" vertical="center"/>
    </xf>
    <xf numFmtId="177" fontId="24" fillId="0" borderId="3" xfId="27" applyNumberFormat="1" applyFont="1" applyBorder="1" applyAlignment="1">
      <alignment vertical="center"/>
    </xf>
    <xf numFmtId="177" fontId="25" fillId="0" borderId="3" xfId="27" applyNumberFormat="1" applyFont="1" applyBorder="1" applyAlignment="1">
      <alignment vertical="center"/>
    </xf>
    <xf numFmtId="177" fontId="25" fillId="5" borderId="0" xfId="30" applyNumberFormat="1" applyFont="1" applyFill="1" applyBorder="1" applyAlignment="1">
      <alignment vertical="center"/>
    </xf>
    <xf numFmtId="188" fontId="41" fillId="5" borderId="3" xfId="40" applyFont="1" applyFill="1" applyBorder="1" applyAlignment="1" applyProtection="1">
      <alignment horizontal="center" vertical="center"/>
    </xf>
    <xf numFmtId="188" fontId="152" fillId="0" borderId="0" xfId="0" applyFont="1" applyAlignment="1">
      <alignment horizontal="center" vertical="center"/>
      <protection locked="0"/>
    </xf>
    <xf numFmtId="177" fontId="24" fillId="5" borderId="3" xfId="32" applyFont="1" applyFill="1" applyBorder="1" applyAlignment="1" applyProtection="1">
      <alignment horizontal="center" vertical="center" wrapText="1"/>
    </xf>
    <xf numFmtId="188" fontId="17" fillId="0" borderId="3" xfId="0" applyFont="1" applyBorder="1" applyAlignment="1">
      <alignment horizontal="center" vertical="center"/>
      <protection locked="0"/>
    </xf>
    <xf numFmtId="188" fontId="43" fillId="0" borderId="0" xfId="33" applyFont="1" applyAlignment="1" applyProtection="1">
      <alignment vertical="center"/>
      <protection locked="0"/>
    </xf>
    <xf numFmtId="43" fontId="24" fillId="0" borderId="3" xfId="591" applyFont="1" applyBorder="1" applyAlignment="1" applyProtection="1">
      <alignment horizontal="center" vertical="center"/>
      <protection locked="0"/>
    </xf>
    <xf numFmtId="10" fontId="24" fillId="0" borderId="3" xfId="595" applyNumberFormat="1" applyFont="1" applyBorder="1" applyAlignment="1" applyProtection="1">
      <alignment horizontal="center" vertical="center"/>
      <protection locked="0"/>
    </xf>
    <xf numFmtId="188" fontId="17" fillId="0" borderId="0" xfId="0" applyFont="1" applyBorder="1" applyAlignment="1">
      <alignment horizontal="center" vertical="center"/>
      <protection locked="0"/>
    </xf>
    <xf numFmtId="43" fontId="24" fillId="0" borderId="0" xfId="591" applyFont="1" applyBorder="1" applyAlignment="1" applyProtection="1">
      <alignment horizontal="center" vertical="center"/>
      <protection locked="0"/>
    </xf>
    <xf numFmtId="10" fontId="24" fillId="0" borderId="0" xfId="595" applyNumberFormat="1" applyFont="1" applyBorder="1" applyAlignment="1" applyProtection="1">
      <alignment horizontal="center" vertical="center"/>
      <protection locked="0"/>
    </xf>
    <xf numFmtId="188" fontId="25" fillId="0" borderId="5" xfId="29" applyFont="1" applyFill="1" applyBorder="1" applyAlignment="1">
      <alignment vertical="center"/>
    </xf>
    <xf numFmtId="188" fontId="12" fillId="0" borderId="5" xfId="40" applyBorder="1">
      <protection locked="0"/>
    </xf>
    <xf numFmtId="188" fontId="53" fillId="0" borderId="31" xfId="0" applyFont="1" applyBorder="1" applyAlignment="1" applyProtection="1">
      <alignment horizontal="left" vertical="center"/>
    </xf>
    <xf numFmtId="188" fontId="53" fillId="0" borderId="31" xfId="0" applyFont="1" applyBorder="1" applyAlignment="1" applyProtection="1">
      <alignment vertical="center"/>
    </xf>
    <xf numFmtId="177" fontId="24" fillId="0" borderId="31" xfId="32" applyFont="1" applyBorder="1" applyAlignment="1" applyProtection="1">
      <alignment horizontal="right" vertical="center"/>
    </xf>
    <xf numFmtId="188" fontId="35" fillId="0" borderId="0" xfId="0" applyFont="1" applyAlignment="1">
      <alignment horizontal="left" vertical="center" wrapText="1"/>
      <protection locked="0"/>
    </xf>
    <xf numFmtId="188" fontId="36" fillId="0" borderId="0" xfId="0" applyFont="1" applyAlignment="1">
      <alignment horizontal="left" vertical="center" wrapText="1"/>
      <protection locked="0"/>
    </xf>
    <xf numFmtId="188" fontId="17" fillId="0" borderId="3" xfId="40" applyFont="1" applyBorder="1" applyAlignment="1">
      <alignment horizontal="center" vertical="center" wrapText="1"/>
      <protection locked="0"/>
    </xf>
    <xf numFmtId="49" fontId="173" fillId="0" borderId="0" xfId="26" applyNumberFormat="1" applyFont="1" applyAlignment="1">
      <alignment horizontal="center" vertical="center"/>
    </xf>
    <xf numFmtId="49" fontId="172" fillId="0" borderId="0" xfId="26" applyNumberFormat="1" applyFont="1" applyAlignment="1">
      <alignment horizontal="center" vertical="center"/>
    </xf>
    <xf numFmtId="188" fontId="38" fillId="0" borderId="0" xfId="40" applyFont="1" applyAlignment="1">
      <alignment horizontal="left" vertical="center"/>
      <protection locked="0"/>
    </xf>
    <xf numFmtId="188" fontId="25" fillId="5" borderId="15" xfId="40" applyFont="1" applyFill="1" applyBorder="1" applyAlignment="1">
      <alignment horizontal="center" vertical="center" wrapText="1"/>
      <protection locked="0"/>
    </xf>
    <xf numFmtId="188" fontId="25" fillId="5" borderId="10" xfId="40" applyFont="1" applyFill="1" applyBorder="1" applyAlignment="1">
      <alignment horizontal="center" vertical="center" wrapText="1"/>
      <protection locked="0"/>
    </xf>
    <xf numFmtId="188" fontId="38" fillId="5" borderId="3" xfId="40" applyFont="1" applyFill="1" applyBorder="1" applyAlignment="1">
      <alignment horizontal="center" vertical="center" wrapText="1"/>
      <protection locked="0"/>
    </xf>
    <xf numFmtId="188" fontId="25" fillId="0" borderId="0" xfId="40" applyFont="1" applyAlignment="1">
      <alignment horizontal="left" vertical="center"/>
      <protection locked="0"/>
    </xf>
    <xf numFmtId="188" fontId="38" fillId="5" borderId="3" xfId="198" applyFont="1" applyFill="1" applyBorder="1" applyAlignment="1" applyProtection="1">
      <alignment horizontal="center" vertical="center"/>
      <protection locked="0"/>
    </xf>
    <xf numFmtId="188" fontId="25" fillId="5" borderId="3" xfId="198" applyFont="1" applyFill="1" applyBorder="1" applyAlignment="1" applyProtection="1">
      <alignment horizontal="center" vertical="center"/>
      <protection locked="0"/>
    </xf>
    <xf numFmtId="49" fontId="38" fillId="5" borderId="15" xfId="40" applyNumberFormat="1" applyFont="1" applyFill="1" applyBorder="1" applyAlignment="1">
      <alignment horizontal="center" vertical="center"/>
      <protection locked="0"/>
    </xf>
    <xf numFmtId="49" fontId="38" fillId="5" borderId="10" xfId="40" applyNumberFormat="1" applyFont="1" applyFill="1" applyBorder="1" applyAlignment="1">
      <alignment horizontal="center" vertical="center"/>
      <protection locked="0"/>
    </xf>
    <xf numFmtId="188" fontId="24" fillId="0" borderId="3" xfId="40" applyFont="1" applyFill="1" applyBorder="1" applyAlignment="1">
      <alignment horizontal="left" vertical="center" wrapText="1"/>
      <protection locked="0"/>
    </xf>
    <xf numFmtId="177" fontId="173" fillId="0" borderId="0" xfId="30" applyNumberFormat="1" applyFont="1" applyBorder="1" applyAlignment="1">
      <alignment horizontal="center" vertical="center"/>
    </xf>
    <xf numFmtId="177" fontId="152" fillId="0" borderId="0" xfId="30" applyNumberFormat="1" applyFont="1" applyBorder="1" applyAlignment="1">
      <alignment horizontal="center" vertical="center"/>
    </xf>
    <xf numFmtId="177" fontId="167" fillId="0" borderId="0" xfId="30" applyNumberFormat="1" applyFont="1" applyBorder="1" applyAlignment="1">
      <alignment horizontal="center" vertical="center"/>
    </xf>
    <xf numFmtId="188" fontId="41" fillId="5" borderId="15" xfId="40" applyFont="1" applyFill="1" applyBorder="1" applyAlignment="1" applyProtection="1">
      <alignment horizontal="center" vertical="center" wrapText="1"/>
    </xf>
    <xf numFmtId="188" fontId="37" fillId="5" borderId="10" xfId="40" applyFont="1" applyFill="1" applyBorder="1" applyAlignment="1" applyProtection="1">
      <alignment vertical="center" wrapText="1"/>
    </xf>
    <xf numFmtId="188" fontId="25" fillId="5" borderId="8" xfId="39" applyFont="1" applyFill="1" applyBorder="1" applyAlignment="1" applyProtection="1">
      <alignment horizontal="center" vertical="center" wrapText="1"/>
      <protection locked="0"/>
    </xf>
    <xf numFmtId="188" fontId="25" fillId="5" borderId="5" xfId="39" applyFont="1" applyFill="1" applyBorder="1" applyAlignment="1" applyProtection="1">
      <alignment horizontal="center" vertical="center" wrapText="1"/>
      <protection locked="0"/>
    </xf>
    <xf numFmtId="188" fontId="25" fillId="5" borderId="6" xfId="39" applyFont="1" applyFill="1" applyBorder="1" applyAlignment="1" applyProtection="1">
      <alignment horizontal="center" vertical="center" wrapText="1"/>
      <protection locked="0"/>
    </xf>
    <xf numFmtId="188" fontId="41" fillId="5" borderId="3" xfId="34" applyNumberFormat="1" applyFont="1" applyFill="1" applyBorder="1" applyAlignment="1">
      <alignment horizontal="center" vertical="center" wrapText="1"/>
      <protection locked="0"/>
    </xf>
    <xf numFmtId="188" fontId="25" fillId="5" borderId="3" xfId="34" applyFont="1" applyFill="1" applyBorder="1" applyAlignment="1">
      <alignment horizontal="center" vertical="center" wrapText="1"/>
      <protection locked="0"/>
    </xf>
    <xf numFmtId="188" fontId="37" fillId="5" borderId="3" xfId="40" applyFont="1" applyFill="1" applyBorder="1" applyAlignment="1" applyProtection="1">
      <alignment horizontal="center" vertical="center"/>
    </xf>
    <xf numFmtId="188" fontId="62" fillId="5" borderId="3" xfId="40" applyFont="1" applyFill="1" applyBorder="1" applyAlignment="1" applyProtection="1">
      <alignment vertical="center"/>
    </xf>
    <xf numFmtId="188" fontId="52" fillId="0" borderId="31" xfId="0" applyFont="1" applyBorder="1" applyAlignment="1" applyProtection="1">
      <alignment horizontal="left" vertical="center"/>
    </xf>
    <xf numFmtId="188" fontId="53" fillId="0" borderId="13" xfId="0" applyFont="1" applyBorder="1" applyProtection="1"/>
    <xf numFmtId="188" fontId="52" fillId="0" borderId="31" xfId="0" applyFont="1" applyBorder="1" applyAlignment="1" applyProtection="1">
      <alignment horizontal="right" vertical="center"/>
    </xf>
    <xf numFmtId="188" fontId="18" fillId="0" borderId="0" xfId="27" applyFont="1" applyAlignment="1">
      <alignment horizontal="center" vertical="center"/>
    </xf>
    <xf numFmtId="177" fontId="152" fillId="0" borderId="0" xfId="30" applyNumberFormat="1" applyFont="1" applyFill="1" applyBorder="1" applyAlignment="1">
      <alignment horizontal="center" vertical="center"/>
    </xf>
    <xf numFmtId="188" fontId="52" fillId="0" borderId="31" xfId="0" applyFont="1" applyBorder="1" applyAlignment="1" applyProtection="1">
      <alignment horizontal="left" vertical="center" wrapText="1"/>
    </xf>
    <xf numFmtId="188" fontId="158" fillId="0" borderId="32" xfId="0" applyFont="1" applyBorder="1" applyAlignment="1" applyProtection="1">
      <alignment horizontal="center" vertical="center" wrapText="1"/>
    </xf>
    <xf numFmtId="188" fontId="53" fillId="0" borderId="32" xfId="0" applyFont="1" applyBorder="1" applyProtection="1"/>
    <xf numFmtId="188" fontId="173" fillId="0" borderId="0" xfId="27" applyFont="1" applyAlignment="1">
      <alignment horizontal="center" vertical="center"/>
    </xf>
    <xf numFmtId="177" fontId="52" fillId="0" borderId="31" xfId="0" applyNumberFormat="1" applyFont="1" applyBorder="1" applyAlignment="1" applyProtection="1">
      <alignment horizontal="center" vertical="center" wrapText="1"/>
    </xf>
    <xf numFmtId="177" fontId="52" fillId="0" borderId="32" xfId="0" applyNumberFormat="1" applyFont="1" applyBorder="1" applyAlignment="1" applyProtection="1">
      <alignment horizontal="center" vertical="center" wrapText="1"/>
    </xf>
    <xf numFmtId="177" fontId="53" fillId="0" borderId="0" xfId="0" applyNumberFormat="1" applyFont="1" applyAlignment="1" applyProtection="1">
      <alignment vertical="center"/>
    </xf>
    <xf numFmtId="177" fontId="52" fillId="0" borderId="0" xfId="0" applyNumberFormat="1" applyFont="1" applyAlignment="1" applyProtection="1">
      <alignment horizontal="center" vertical="center" wrapText="1"/>
    </xf>
    <xf numFmtId="177" fontId="52" fillId="0" borderId="13" xfId="0" applyNumberFormat="1" applyFont="1" applyBorder="1" applyAlignment="1" applyProtection="1">
      <alignment horizontal="center" vertical="center" wrapText="1"/>
    </xf>
    <xf numFmtId="177" fontId="158" fillId="0" borderId="31" xfId="0" applyNumberFormat="1" applyFont="1" applyBorder="1" applyAlignment="1" applyProtection="1">
      <alignment horizontal="center" vertical="center" wrapText="1"/>
    </xf>
    <xf numFmtId="188" fontId="38" fillId="67" borderId="15" xfId="40" applyFont="1" applyFill="1" applyBorder="1" applyAlignment="1">
      <alignment horizontal="center" vertical="center" wrapText="1"/>
      <protection locked="0"/>
    </xf>
    <xf numFmtId="188" fontId="38" fillId="67" borderId="10" xfId="40" applyFont="1" applyFill="1" applyBorder="1" applyAlignment="1">
      <alignment horizontal="center" vertical="center" wrapText="1"/>
      <protection locked="0"/>
    </xf>
    <xf numFmtId="188" fontId="18" fillId="0" borderId="0" xfId="26" applyFont="1" applyAlignment="1">
      <alignment horizontal="center" vertical="center" wrapText="1"/>
    </xf>
    <xf numFmtId="188" fontId="152" fillId="0" borderId="0" xfId="26" applyFont="1" applyAlignment="1">
      <alignment horizontal="center" vertical="center" wrapText="1"/>
    </xf>
    <xf numFmtId="188" fontId="38" fillId="5" borderId="15" xfId="40" applyFont="1" applyFill="1" applyBorder="1" applyAlignment="1">
      <alignment horizontal="center" vertical="center" wrapText="1"/>
      <protection locked="0"/>
    </xf>
    <xf numFmtId="188" fontId="38" fillId="5" borderId="10" xfId="40" applyFont="1" applyFill="1" applyBorder="1" applyAlignment="1">
      <alignment horizontal="center" vertical="center" wrapText="1"/>
      <protection locked="0"/>
    </xf>
    <xf numFmtId="188" fontId="52" fillId="5" borderId="3" xfId="0" applyFont="1" applyFill="1" applyBorder="1" applyAlignment="1">
      <alignment horizontal="center" vertical="center" wrapText="1"/>
      <protection locked="0"/>
    </xf>
    <xf numFmtId="188" fontId="38" fillId="5" borderId="11" xfId="40" applyFont="1" applyFill="1" applyBorder="1" applyAlignment="1">
      <alignment horizontal="center" vertical="center" wrapText="1"/>
      <protection locked="0"/>
    </xf>
    <xf numFmtId="188" fontId="38" fillId="5" borderId="7" xfId="40" applyFont="1" applyFill="1" applyBorder="1" applyAlignment="1">
      <alignment horizontal="center" vertical="center" wrapText="1"/>
      <protection locked="0"/>
    </xf>
    <xf numFmtId="188" fontId="38" fillId="5" borderId="9" xfId="40" applyFont="1" applyFill="1" applyBorder="1" applyAlignment="1">
      <alignment horizontal="center" vertical="center" wrapText="1"/>
      <protection locked="0"/>
    </xf>
    <xf numFmtId="188" fontId="25" fillId="5" borderId="3" xfId="0" applyFont="1" applyFill="1" applyBorder="1" applyAlignment="1">
      <alignment horizontal="center" vertical="center" wrapText="1"/>
      <protection locked="0"/>
    </xf>
    <xf numFmtId="188" fontId="25" fillId="5" borderId="3" xfId="40" applyFont="1" applyFill="1" applyBorder="1" applyAlignment="1">
      <alignment horizontal="center" vertical="center" wrapText="1"/>
      <protection locked="0"/>
    </xf>
    <xf numFmtId="188" fontId="38" fillId="5" borderId="3" xfId="0" applyFont="1" applyFill="1" applyBorder="1" applyAlignment="1">
      <alignment horizontal="center" vertical="center" wrapText="1"/>
      <protection locked="0"/>
    </xf>
    <xf numFmtId="188" fontId="38" fillId="5" borderId="8" xfId="40" applyFont="1" applyFill="1" applyBorder="1" applyAlignment="1">
      <alignment horizontal="center" vertical="center" wrapText="1"/>
      <protection locked="0"/>
    </xf>
    <xf numFmtId="188" fontId="38" fillId="5" borderId="5" xfId="40" applyFont="1" applyFill="1" applyBorder="1" applyAlignment="1">
      <alignment horizontal="center" vertical="center" wrapText="1"/>
      <protection locked="0"/>
    </xf>
    <xf numFmtId="188" fontId="38" fillId="5" borderId="6" xfId="40" applyFont="1" applyFill="1" applyBorder="1" applyAlignment="1">
      <alignment horizontal="center" vertical="center" wrapText="1"/>
      <protection locked="0"/>
    </xf>
    <xf numFmtId="188" fontId="52" fillId="5" borderId="15" xfId="0" applyFont="1" applyFill="1" applyBorder="1" applyAlignment="1">
      <alignment horizontal="center" vertical="center" wrapText="1"/>
      <protection locked="0"/>
    </xf>
    <xf numFmtId="188" fontId="52" fillId="5" borderId="10" xfId="0" applyFont="1" applyFill="1" applyBorder="1" applyAlignment="1">
      <alignment horizontal="center" vertical="center" wrapText="1"/>
      <protection locked="0"/>
    </xf>
    <xf numFmtId="188" fontId="38" fillId="5" borderId="15" xfId="0" applyFont="1" applyFill="1" applyBorder="1" applyAlignment="1">
      <alignment horizontal="center" vertical="center" wrapText="1"/>
      <protection locked="0"/>
    </xf>
    <xf numFmtId="188" fontId="0" fillId="5" borderId="10" xfId="0" applyFill="1" applyBorder="1" applyAlignment="1">
      <alignment horizontal="center" vertical="center" wrapText="1"/>
      <protection locked="0"/>
    </xf>
    <xf numFmtId="43" fontId="173" fillId="0" borderId="0" xfId="598" applyNumberFormat="1" applyFont="1" applyBorder="1" applyAlignment="1">
      <alignment horizontal="center" vertical="center"/>
    </xf>
    <xf numFmtId="43" fontId="152" fillId="0" borderId="0" xfId="598" applyNumberFormat="1" applyFont="1" applyBorder="1" applyAlignment="1">
      <alignment horizontal="center" vertical="center"/>
    </xf>
    <xf numFmtId="188" fontId="38" fillId="67" borderId="3" xfId="601" applyFont="1" applyFill="1" applyBorder="1" applyAlignment="1" applyProtection="1">
      <alignment horizontal="center" vertical="center"/>
    </xf>
    <xf numFmtId="188" fontId="38" fillId="67" borderId="3" xfId="601" applyFont="1" applyFill="1" applyBorder="1" applyAlignment="1" applyProtection="1">
      <alignment horizontal="center" vertical="center" wrapText="1"/>
    </xf>
    <xf numFmtId="177" fontId="172" fillId="0" borderId="0" xfId="30" applyNumberFormat="1" applyFont="1" applyBorder="1" applyAlignment="1">
      <alignment horizontal="center" vertical="center"/>
    </xf>
    <xf numFmtId="188" fontId="66" fillId="0" borderId="0" xfId="40" applyFont="1" applyAlignment="1">
      <alignment horizontal="left" vertical="center" wrapText="1"/>
      <protection locked="0"/>
    </xf>
    <xf numFmtId="188" fontId="36" fillId="0" borderId="0" xfId="40" applyFont="1" applyAlignment="1">
      <alignment horizontal="left" vertical="center" wrapText="1"/>
      <protection locked="0"/>
    </xf>
    <xf numFmtId="188" fontId="173" fillId="0" borderId="0" xfId="25" applyFont="1" applyAlignment="1">
      <alignment horizontal="center" vertical="center" wrapText="1"/>
    </xf>
    <xf numFmtId="188" fontId="152" fillId="0" borderId="0" xfId="25" applyFont="1" applyAlignment="1">
      <alignment horizontal="center" vertical="center" wrapText="1"/>
    </xf>
    <xf numFmtId="188" fontId="49" fillId="0" borderId="0" xfId="172" applyFont="1" applyAlignment="1">
      <alignment horizontal="left" vertical="center" wrapText="1"/>
      <protection locked="0"/>
    </xf>
    <xf numFmtId="188" fontId="49" fillId="0" borderId="0" xfId="40" applyFont="1" applyAlignment="1">
      <alignment horizontal="left" vertical="center" wrapText="1"/>
      <protection locked="0"/>
    </xf>
    <xf numFmtId="188" fontId="24" fillId="0" borderId="0" xfId="172" applyFont="1" applyAlignment="1">
      <alignment horizontal="left" vertical="center" wrapText="1"/>
      <protection locked="0"/>
    </xf>
    <xf numFmtId="188" fontId="47" fillId="0" borderId="0" xfId="172" applyFont="1" applyAlignment="1">
      <alignment horizontal="left" vertical="center" wrapText="1"/>
      <protection locked="0"/>
    </xf>
    <xf numFmtId="188" fontId="168" fillId="0" borderId="0" xfId="40" applyFont="1" applyAlignment="1">
      <alignment horizontal="left" vertical="center" wrapText="1"/>
      <protection locked="0"/>
    </xf>
    <xf numFmtId="188" fontId="43" fillId="0" borderId="0" xfId="172" applyFont="1" applyAlignment="1">
      <alignment horizontal="left" vertical="center" wrapText="1"/>
      <protection locked="0"/>
    </xf>
    <xf numFmtId="188" fontId="42" fillId="0" borderId="0" xfId="172" applyFont="1" applyAlignment="1">
      <alignment horizontal="left" vertical="center" wrapText="1"/>
      <protection locked="0"/>
    </xf>
    <xf numFmtId="188" fontId="17" fillId="0" borderId="0" xfId="172" applyFont="1" applyAlignment="1">
      <alignment horizontal="left" vertical="center" wrapText="1"/>
      <protection locked="0"/>
    </xf>
    <xf numFmtId="188" fontId="47" fillId="0" borderId="0" xfId="172" applyFont="1" applyAlignment="1">
      <alignment vertical="top" wrapText="1"/>
      <protection locked="0"/>
    </xf>
    <xf numFmtId="188" fontId="167" fillId="0" borderId="0" xfId="25" applyFont="1" applyAlignment="1">
      <alignment horizontal="center" vertical="center" wrapText="1"/>
    </xf>
    <xf numFmtId="188" fontId="25" fillId="0" borderId="0" xfId="29" applyFont="1" applyAlignment="1">
      <alignment horizontal="left" vertical="center"/>
    </xf>
    <xf numFmtId="188" fontId="38" fillId="32" borderId="8" xfId="172" applyFont="1" applyFill="1" applyBorder="1" applyAlignment="1">
      <alignment horizontal="center" vertical="center" wrapText="1"/>
      <protection locked="0"/>
    </xf>
    <xf numFmtId="188" fontId="38" fillId="32" borderId="5" xfId="172" applyFont="1" applyFill="1" applyBorder="1" applyAlignment="1">
      <alignment horizontal="center" vertical="center" wrapText="1"/>
      <protection locked="0"/>
    </xf>
    <xf numFmtId="188" fontId="38" fillId="32" borderId="6" xfId="172" applyFont="1" applyFill="1" applyBorder="1" applyAlignment="1">
      <alignment horizontal="center" vertical="center" wrapText="1"/>
      <protection locked="0"/>
    </xf>
    <xf numFmtId="188" fontId="0" fillId="0" borderId="5" xfId="0" applyBorder="1" applyAlignment="1">
      <alignment horizontal="center" vertical="center" wrapText="1"/>
      <protection locked="0"/>
    </xf>
    <xf numFmtId="188" fontId="0" fillId="0" borderId="6" xfId="0" applyBorder="1" applyAlignment="1">
      <alignment horizontal="center" vertical="center" wrapText="1"/>
      <protection locked="0"/>
    </xf>
    <xf numFmtId="188" fontId="17" fillId="0" borderId="8" xfId="172" applyFont="1" applyBorder="1" applyAlignment="1">
      <alignment horizontal="left" vertical="center" wrapText="1"/>
      <protection locked="0"/>
    </xf>
    <xf numFmtId="188" fontId="12" fillId="0" borderId="5" xfId="40" applyBorder="1" applyAlignment="1">
      <alignment horizontal="left" vertical="center" wrapText="1"/>
      <protection locked="0"/>
    </xf>
    <xf numFmtId="188" fontId="0" fillId="0" borderId="5" xfId="0" applyBorder="1" applyAlignment="1">
      <alignment horizontal="left" vertical="center" wrapText="1"/>
      <protection locked="0"/>
    </xf>
    <xf numFmtId="188" fontId="0" fillId="0" borderId="6" xfId="0" applyBorder="1" applyAlignment="1">
      <alignment horizontal="left" vertical="center" wrapText="1"/>
      <protection locked="0"/>
    </xf>
    <xf numFmtId="188" fontId="164" fillId="0" borderId="0" xfId="172" applyFont="1" applyAlignment="1">
      <alignment horizontal="left" vertical="center" wrapText="1"/>
      <protection locked="0"/>
    </xf>
    <xf numFmtId="188" fontId="178" fillId="0" borderId="0" xfId="0" applyFont="1" applyAlignment="1">
      <alignment vertical="center" wrapText="1"/>
      <protection locked="0"/>
    </xf>
    <xf numFmtId="188" fontId="168" fillId="0" borderId="0" xfId="0" applyFont="1" applyAlignment="1">
      <alignment vertical="center" wrapText="1"/>
      <protection locked="0"/>
    </xf>
    <xf numFmtId="188" fontId="24" fillId="0" borderId="8" xfId="172" applyFont="1" applyBorder="1" applyAlignment="1">
      <alignment horizontal="left" vertical="center" wrapText="1"/>
      <protection locked="0"/>
    </xf>
    <xf numFmtId="188" fontId="24" fillId="0" borderId="5" xfId="40" applyFont="1" applyBorder="1" applyAlignment="1">
      <alignment horizontal="left" vertical="center" wrapText="1"/>
      <protection locked="0"/>
    </xf>
    <xf numFmtId="188" fontId="24" fillId="0" borderId="5" xfId="0" applyFont="1" applyBorder="1" applyAlignment="1">
      <alignment horizontal="left" vertical="center" wrapText="1"/>
      <protection locked="0"/>
    </xf>
    <xf numFmtId="188" fontId="24" fillId="0" borderId="6" xfId="0" applyFont="1" applyBorder="1" applyAlignment="1">
      <alignment horizontal="left" vertical="center" wrapText="1"/>
      <protection locked="0"/>
    </xf>
    <xf numFmtId="188" fontId="38" fillId="67" borderId="15" xfId="172" applyFont="1" applyFill="1" applyBorder="1" applyAlignment="1">
      <alignment horizontal="center" vertical="center" wrapText="1"/>
      <protection locked="0"/>
    </xf>
    <xf numFmtId="188" fontId="38" fillId="67" borderId="16" xfId="172" applyFont="1" applyFill="1" applyBorder="1" applyAlignment="1">
      <alignment horizontal="center" vertical="center" wrapText="1"/>
      <protection locked="0"/>
    </xf>
    <xf numFmtId="0" fontId="52" fillId="67" borderId="3" xfId="603" applyNumberFormat="1" applyFont="1" applyFill="1" applyBorder="1" applyAlignment="1">
      <alignment horizontal="center" vertical="center" wrapText="1"/>
      <protection locked="0"/>
    </xf>
    <xf numFmtId="0" fontId="52" fillId="67" borderId="15" xfId="172" applyNumberFormat="1" applyFont="1" applyFill="1" applyBorder="1" applyAlignment="1">
      <alignment horizontal="center" vertical="center" wrapText="1"/>
      <protection locked="0"/>
    </xf>
    <xf numFmtId="0" fontId="52" fillId="67" borderId="10" xfId="172" applyNumberFormat="1" applyFont="1" applyFill="1" applyBorder="1" applyAlignment="1">
      <alignment horizontal="center" vertical="center" wrapText="1"/>
      <protection locked="0"/>
    </xf>
    <xf numFmtId="188" fontId="18" fillId="0" borderId="0" xfId="34" applyFont="1" applyAlignment="1">
      <alignment horizontal="center" vertical="center"/>
      <protection locked="0"/>
    </xf>
    <xf numFmtId="188" fontId="152" fillId="0" borderId="0" xfId="34" applyFont="1" applyAlignment="1">
      <alignment horizontal="center" vertical="center"/>
      <protection locked="0"/>
    </xf>
    <xf numFmtId="188" fontId="35" fillId="0" borderId="0" xfId="34" applyFont="1" applyAlignment="1">
      <alignment horizontal="center" vertical="center"/>
      <protection locked="0"/>
    </xf>
    <xf numFmtId="188" fontId="167" fillId="0" borderId="0" xfId="34" applyFont="1" applyAlignment="1">
      <alignment horizontal="center" vertical="center"/>
      <protection locked="0"/>
    </xf>
    <xf numFmtId="188" fontId="173" fillId="0" borderId="0" xfId="0" applyFont="1" applyAlignment="1">
      <alignment horizontal="center" vertical="center"/>
      <protection locked="0"/>
    </xf>
    <xf numFmtId="188" fontId="172" fillId="0" borderId="0" xfId="0" applyFont="1" applyAlignment="1">
      <alignment horizontal="center" vertical="center"/>
      <protection locked="0"/>
    </xf>
    <xf numFmtId="188" fontId="18" fillId="0" borderId="0" xfId="25" applyFont="1" applyBorder="1" applyAlignment="1">
      <alignment horizontal="center" vertical="center" wrapText="1"/>
    </xf>
    <xf numFmtId="188" fontId="35" fillId="0" borderId="0" xfId="25" applyFont="1" applyBorder="1" applyAlignment="1">
      <alignment horizontal="center" vertical="center" wrapText="1"/>
    </xf>
    <xf numFmtId="188" fontId="152" fillId="0" borderId="0" xfId="25" applyFont="1" applyFill="1" applyBorder="1" applyAlignment="1">
      <alignment horizontal="center" vertical="center" wrapText="1"/>
    </xf>
    <xf numFmtId="188" fontId="167" fillId="0" borderId="0" xfId="25" applyFont="1" applyFill="1" applyBorder="1" applyAlignment="1">
      <alignment horizontal="center" vertical="center" wrapText="1"/>
    </xf>
    <xf numFmtId="188" fontId="38" fillId="67" borderId="3" xfId="42" applyFont="1" applyFill="1" applyBorder="1" applyAlignment="1">
      <alignment horizontal="center" vertical="center"/>
      <protection locked="0"/>
    </xf>
    <xf numFmtId="188" fontId="25" fillId="67" borderId="3" xfId="42" applyFont="1" applyFill="1" applyBorder="1" applyAlignment="1">
      <alignment horizontal="center" vertical="center"/>
      <protection locked="0"/>
    </xf>
    <xf numFmtId="188" fontId="25" fillId="67" borderId="8" xfId="0" applyFont="1" applyFill="1" applyBorder="1" applyAlignment="1">
      <alignment horizontal="center" vertical="center"/>
      <protection locked="0"/>
    </xf>
    <xf numFmtId="188" fontId="25" fillId="67" borderId="5" xfId="0" applyFont="1" applyFill="1" applyBorder="1" applyAlignment="1">
      <alignment horizontal="center" vertical="center"/>
      <protection locked="0"/>
    </xf>
    <xf numFmtId="188" fontId="38" fillId="71" borderId="3" xfId="33" applyFont="1" applyFill="1" applyBorder="1" applyAlignment="1" applyProtection="1">
      <alignment horizontal="center" vertical="center" wrapText="1"/>
    </xf>
    <xf numFmtId="188" fontId="38" fillId="71" borderId="15" xfId="33" applyFont="1" applyFill="1" applyBorder="1" applyAlignment="1" applyProtection="1">
      <alignment horizontal="center" vertical="center" wrapText="1"/>
    </xf>
    <xf numFmtId="188" fontId="38" fillId="71" borderId="10" xfId="33" applyFont="1" applyFill="1" applyBorder="1" applyAlignment="1" applyProtection="1">
      <alignment horizontal="center" vertical="center" wrapText="1"/>
    </xf>
    <xf numFmtId="188" fontId="173" fillId="0" borderId="0" xfId="26" applyFont="1" applyAlignment="1">
      <alignment horizontal="center" vertical="center" wrapText="1"/>
    </xf>
    <xf numFmtId="188" fontId="38" fillId="67" borderId="8" xfId="40" applyFont="1" applyFill="1" applyBorder="1" applyAlignment="1">
      <alignment horizontal="center" vertical="center"/>
      <protection locked="0"/>
    </xf>
    <xf numFmtId="188" fontId="38" fillId="67" borderId="5" xfId="40" applyFont="1" applyFill="1" applyBorder="1" applyAlignment="1">
      <alignment horizontal="center" vertical="center"/>
      <protection locked="0"/>
    </xf>
    <xf numFmtId="188" fontId="38" fillId="67" borderId="6" xfId="40" applyFont="1" applyFill="1" applyBorder="1" applyAlignment="1">
      <alignment horizontal="center" vertical="center"/>
      <protection locked="0"/>
    </xf>
    <xf numFmtId="188" fontId="38" fillId="67" borderId="3" xfId="42" applyFont="1" applyFill="1" applyBorder="1" applyAlignment="1">
      <alignment horizontal="center" vertical="center" wrapText="1"/>
      <protection locked="0"/>
    </xf>
    <xf numFmtId="188" fontId="25" fillId="67" borderId="3" xfId="42" applyFont="1" applyFill="1" applyBorder="1" applyAlignment="1">
      <alignment horizontal="center" vertical="center" wrapText="1"/>
      <protection locked="0"/>
    </xf>
    <xf numFmtId="177" fontId="24" fillId="0" borderId="8" xfId="40" applyNumberFormat="1" applyFont="1" applyFill="1" applyBorder="1" applyAlignment="1">
      <alignment horizontal="center" vertical="center" shrinkToFit="1"/>
      <protection locked="0"/>
    </xf>
    <xf numFmtId="177" fontId="24" fillId="0" borderId="6" xfId="40" applyNumberFormat="1" applyFont="1" applyFill="1" applyBorder="1" applyAlignment="1">
      <alignment horizontal="center" vertical="center" shrinkToFit="1"/>
      <protection locked="0"/>
    </xf>
    <xf numFmtId="177" fontId="25" fillId="67" borderId="8" xfId="40" applyNumberFormat="1" applyFont="1" applyFill="1" applyBorder="1" applyAlignment="1">
      <alignment horizontal="center" vertical="center" shrinkToFit="1"/>
      <protection locked="0"/>
    </xf>
    <xf numFmtId="177" fontId="25" fillId="67" borderId="6" xfId="40" applyNumberFormat="1" applyFont="1" applyFill="1" applyBorder="1" applyAlignment="1">
      <alignment horizontal="center" vertical="center" shrinkToFit="1"/>
      <protection locked="0"/>
    </xf>
    <xf numFmtId="188" fontId="38" fillId="67" borderId="3" xfId="40" applyFont="1" applyFill="1" applyBorder="1" applyAlignment="1">
      <alignment horizontal="center" vertical="center"/>
      <protection locked="0"/>
    </xf>
    <xf numFmtId="188" fontId="47" fillId="0" borderId="0" xfId="605" applyFont="1" applyFill="1" applyAlignment="1">
      <alignment horizontal="left" vertical="center"/>
    </xf>
    <xf numFmtId="188" fontId="38" fillId="5" borderId="3" xfId="198" applyFont="1" applyFill="1" applyBorder="1" applyAlignment="1" applyProtection="1">
      <alignment horizontal="center" vertical="center" wrapText="1"/>
      <protection locked="0"/>
    </xf>
  </cellXfs>
  <cellStyles count="606">
    <cellStyle name="_x000a_mouse.drv=lm" xfId="199"/>
    <cellStyle name="%" xfId="200"/>
    <cellStyle name="% 2" xfId="201"/>
    <cellStyle name="?" xfId="43"/>
    <cellStyle name="??" xfId="202"/>
    <cellStyle name="?? [0]" xfId="203"/>
    <cellStyle name="??_0N-HANDLING " xfId="204"/>
    <cellStyle name="?餡_x000c_k" xfId="44"/>
    <cellStyle name="?餡_x000c_k?_x000d_^" xfId="45"/>
    <cellStyle name="?餡_x000c_k?_x000d_^黇_x0001_??_x0007__x0001__x0001_" xfId="46"/>
    <cellStyle name="@_text" xfId="1"/>
    <cellStyle name="@_text_子公司附注汇总(房开公司)" xfId="205"/>
    <cellStyle name="_(本部)2006年年报审计PBC表" xfId="206"/>
    <cellStyle name="_07930建造合同" xfId="207"/>
    <cellStyle name="_12月项目部访问及审计-德勤" xfId="208"/>
    <cellStyle name="_2005-08-31审计底稿－李" xfId="209"/>
    <cellStyle name="_2005年工作底稿" xfId="210"/>
    <cellStyle name="_2005年工作底稿_3-2-A1B-银行存款" xfId="211"/>
    <cellStyle name="_2005年工作底稿_3-2-Z17A-固定资产" xfId="212"/>
    <cellStyle name="_2005年工作底稿_Sheet1" xfId="213"/>
    <cellStyle name="_2005审计报表及附注-中国建材股份模板（房屋）" xfId="47"/>
    <cellStyle name="_2006年年报审计PBC表（合并）" xfId="214"/>
    <cellStyle name="_2006年年报审计PBC表-XX" xfId="215"/>
    <cellStyle name="_2006年年报审计PBC表-XXX" xfId="48"/>
    <cellStyle name="_2006年年报审计PBC表-福州分公司" xfId="216"/>
    <cellStyle name="_2006年年报审计PBC表-云南分公司" xfId="217"/>
    <cellStyle name="_2006年年报审计填报资料" xfId="49"/>
    <cellStyle name="_2007调整分录-鲁佳" xfId="218"/>
    <cellStyle name="_3-2-A22-无形资产" xfId="219"/>
    <cellStyle name="_3-2-A4-应收账款" xfId="220"/>
    <cellStyle name="_A17固定资产" xfId="221"/>
    <cellStyle name="_A23无形资产" xfId="222"/>
    <cellStyle name="_A3应收票据" xfId="223"/>
    <cellStyle name="_A6应收账款" xfId="224"/>
    <cellStyle name="_A6应收账款_3-2-A1B-银行存款" xfId="225"/>
    <cellStyle name="_A6应收账款_3-2-Z17A-固定资产" xfId="226"/>
    <cellStyle name="_A6应收账款_Sheet1" xfId="227"/>
    <cellStyle name="_B10其他未交款" xfId="228"/>
    <cellStyle name="_B13预收账款2005" xfId="229"/>
    <cellStyle name="_B6应付工资" xfId="230"/>
    <cellStyle name="_B7应付福利费" xfId="231"/>
    <cellStyle name="_B9应交税金2005" xfId="232"/>
    <cellStyle name="_Book1" xfId="50"/>
    <cellStyle name="_CREC(Huo" xfId="233"/>
    <cellStyle name="_D11营业外支出" xfId="234"/>
    <cellStyle name="_D12所得税2005" xfId="235"/>
    <cellStyle name="_D1主营业务收入" xfId="236"/>
    <cellStyle name="_D3主营业务税金及附加" xfId="237"/>
    <cellStyle name="_D4其他业务利润" xfId="238"/>
    <cellStyle name="_ET_STYLE_NoName_00_" xfId="239"/>
    <cellStyle name="_ET_STYLE_NoName_00__2007调整分录-鲁佳" xfId="240"/>
    <cellStyle name="_ET_STYLE_NoName_00__股份本部" xfId="241"/>
    <cellStyle name="_ET_STYLE_NoName_00__股份本部_1" xfId="242"/>
    <cellStyle name="_ET_STYLE_NoName_00__股份本部_3" xfId="243"/>
    <cellStyle name="_ET_STYLE_NoName_00__股份本部_6_股份本部_2" xfId="244"/>
    <cellStyle name="_ET_STYLE_NoName_00__股份本部_7_股份本部_3" xfId="245"/>
    <cellStyle name="_J1000-存货-ZHHG" xfId="246"/>
    <cellStyle name="_PBC审核提示" xfId="51"/>
    <cellStyle name="_Sheet1" xfId="247"/>
    <cellStyle name="_宝丽华房地产20051231" xfId="52"/>
    <cellStyle name="_保证金-企业填写部分" xfId="53"/>
    <cellStyle name="_北新房屋2004年审-刘" xfId="54"/>
    <cellStyle name="_北新股份2005年审工作底稿" xfId="55"/>
    <cellStyle name="_北新建材关连交易基础表051230（10－12月版）更新稿" xfId="56"/>
    <cellStyle name="_北新建材-会计报表附注模版" xfId="57"/>
    <cellStyle name="_北新龙之星2004年审工作底稿" xfId="58"/>
    <cellStyle name="_北新物流2005底稿-刘" xfId="59"/>
    <cellStyle name="_北新置换memo" xfId="60"/>
    <cellStyle name="_本部其他应收应付年审底稿--鲁佳pb" xfId="248"/>
    <cellStyle name="_存货结转测试" xfId="61"/>
    <cellStyle name="_存货数量与明细05.12" xfId="62"/>
    <cellStyle name="_动力厂2004年审工作底稿-刘" xfId="63"/>
    <cellStyle name="_分工" xfId="64"/>
    <cellStyle name="_封面" xfId="249"/>
    <cellStyle name="_工程施工项目现场审计提示" xfId="65"/>
    <cellStyle name="_公司填表" xfId="250"/>
    <cellStyle name="_公司填表-2005蔡" xfId="251"/>
    <cellStyle name="_公司填表-2005李志刚" xfId="252"/>
    <cellStyle name="_公司填表2005-吴" xfId="253"/>
    <cellStyle name="_公司填表2005-吴_3-2-A1B-银行存款" xfId="254"/>
    <cellStyle name="_公司填表2005-吴_3-2-Z17A-固定资产" xfId="255"/>
    <cellStyle name="_公司填表2005-吴_Sheet1" xfId="256"/>
    <cellStyle name="_公司填表2005-修改" xfId="257"/>
    <cellStyle name="_公司填表2005-修改_3-2-A1B-银行存款" xfId="258"/>
    <cellStyle name="_公司填表2005-修改_3-2-Z17A-固定资产" xfId="259"/>
    <cellStyle name="_公司填表2005-修改_Sheet1" xfId="260"/>
    <cellStyle name="_公司填表2005-修改后" xfId="261"/>
    <cellStyle name="_公司填表2005-修改后_3-2-A1B-银行存款" xfId="262"/>
    <cellStyle name="_公司填表2005-修改后_3-2-Z17A-固定资产" xfId="263"/>
    <cellStyle name="_公司填表2005-修改后_Sheet1" xfId="264"/>
    <cellStyle name="_公司填表-2005杨" xfId="265"/>
    <cellStyle name="_关联交易" xfId="66"/>
    <cellStyle name="_关联交易、往来统计表" xfId="67"/>
    <cellStyle name="_合并报表审计调整模板(CREC)" xfId="266"/>
    <cellStyle name="_合并公司2006年度科目明细表(定稿)" xfId="267"/>
    <cellStyle name="_建造合同-宜万指（正式版）" xfId="68"/>
    <cellStyle name="_科目核对表" xfId="69"/>
    <cellStyle name="_刘青分工填列信息统计" xfId="268"/>
    <cellStyle name="_刘青分工－子公司审计模板-电务" xfId="269"/>
    <cellStyle name="_刘青分工－子公司审计模板－铁达本部" xfId="270"/>
    <cellStyle name="_母PL" xfId="70"/>
    <cellStyle name="_母公司底稿-鲁佳" xfId="271"/>
    <cellStyle name="_年审筹资循环资料清单" xfId="272"/>
    <cellStyle name="_凭证抽查-05年" xfId="273"/>
    <cellStyle name="_人员分工备忘录" xfId="71"/>
    <cellStyle name="_审计底稿-轩" xfId="274"/>
    <cellStyle name="_审计所需资料清单－子公司" xfId="72"/>
    <cellStyle name="_审计提示模版" xfId="275"/>
    <cellStyle name="_审计提示模版-母公司部分" xfId="276"/>
    <cellStyle name="_铁鸿源－刘青分工－子公司审计模板" xfId="277"/>
    <cellStyle name="_兴华审计成本" xfId="278"/>
    <cellStyle name="_岩土长投--急0121报王占学" xfId="279"/>
    <cellStyle name="_一公司建造合同前5名" xfId="73"/>
    <cellStyle name="_一公司－刘丰收" xfId="74"/>
    <cellStyle name="_银行询证函统计－大表" xfId="280"/>
    <cellStyle name="_应收账款账龄--04、05" xfId="281"/>
    <cellStyle name="_长期借款－江阴" xfId="75"/>
    <cellStyle name="_子公司筹资循环－刘青" xfId="282"/>
    <cellStyle name="_子公司审计提示模版-Liufs" xfId="76"/>
    <cellStyle name="_子公司填表" xfId="283"/>
    <cellStyle name="{Comma [0]}" xfId="2"/>
    <cellStyle name="{Comma}" xfId="3"/>
    <cellStyle name="{Date}" xfId="4"/>
    <cellStyle name="{Month}" xfId="5"/>
    <cellStyle name="{Percent}" xfId="6"/>
    <cellStyle name="{Thousand [0]}" xfId="7"/>
    <cellStyle name="{Thousand}" xfId="8"/>
    <cellStyle name="{Z'0000(1 dec)}" xfId="9"/>
    <cellStyle name="{Z'0000(4 dec)}" xfId="10"/>
    <cellStyle name="0%" xfId="77"/>
    <cellStyle name="0,0_x000d__x000a_NA_x000d__x000a_" xfId="284"/>
    <cellStyle name="0.0%" xfId="78"/>
    <cellStyle name="0.00%" xfId="79"/>
    <cellStyle name="00" xfId="285"/>
    <cellStyle name="20% - Accent1" xfId="80"/>
    <cellStyle name="20% - Accent2" xfId="81"/>
    <cellStyle name="20% - Accent3" xfId="82"/>
    <cellStyle name="20% - Accent4" xfId="83"/>
    <cellStyle name="20% - Accent5" xfId="84"/>
    <cellStyle name="20% - Accent6" xfId="85"/>
    <cellStyle name="40% - Accent1" xfId="86"/>
    <cellStyle name="40% - Accent2" xfId="87"/>
    <cellStyle name="40% - Accent3" xfId="88"/>
    <cellStyle name="40% - Accent4" xfId="89"/>
    <cellStyle name="40% - Accent5" xfId="90"/>
    <cellStyle name="40% - Accent6" xfId="91"/>
    <cellStyle name="60% - Accent1" xfId="92"/>
    <cellStyle name="60% - Accent2" xfId="93"/>
    <cellStyle name="60% - Accent3" xfId="94"/>
    <cellStyle name="60% - Accent4" xfId="95"/>
    <cellStyle name="60% - Accent5" xfId="96"/>
    <cellStyle name="60% - Accent6" xfId="97"/>
    <cellStyle name="AA FRAME" xfId="286"/>
    <cellStyle name="AA HEADING" xfId="287"/>
    <cellStyle name="AA INITIALS" xfId="288"/>
    <cellStyle name="AA INPUT" xfId="289"/>
    <cellStyle name="AA LOCK" xfId="290"/>
    <cellStyle name="AA MGR NAME" xfId="291"/>
    <cellStyle name="AA NORMAL" xfId="292"/>
    <cellStyle name="AA NUMBER" xfId="293"/>
    <cellStyle name="AA NUMBER2" xfId="294"/>
    <cellStyle name="AA QUESTION" xfId="295"/>
    <cellStyle name="AA SHADE" xfId="296"/>
    <cellStyle name="Accent1" xfId="98"/>
    <cellStyle name="Accent1 - 20%" xfId="297"/>
    <cellStyle name="Accent1 - 40%" xfId="298"/>
    <cellStyle name="Accent1 - 60%" xfId="299"/>
    <cellStyle name="Accent2" xfId="99"/>
    <cellStyle name="Accent2 - 20%" xfId="300"/>
    <cellStyle name="Accent2 - 40%" xfId="301"/>
    <cellStyle name="Accent2 - 60%" xfId="302"/>
    <cellStyle name="Accent3" xfId="100"/>
    <cellStyle name="Accent3 - 20%" xfId="303"/>
    <cellStyle name="Accent3 - 40%" xfId="304"/>
    <cellStyle name="Accent3 - 60%" xfId="305"/>
    <cellStyle name="Accent4" xfId="101"/>
    <cellStyle name="Accent4 - 20%" xfId="306"/>
    <cellStyle name="Accent4 - 40%" xfId="307"/>
    <cellStyle name="Accent4 - 60%" xfId="308"/>
    <cellStyle name="Accent5" xfId="102"/>
    <cellStyle name="Accent5 - 20%" xfId="309"/>
    <cellStyle name="Accent5 - 40%" xfId="310"/>
    <cellStyle name="Accent5 - 60%" xfId="311"/>
    <cellStyle name="Accent6" xfId="103"/>
    <cellStyle name="Accent6 - 20%" xfId="312"/>
    <cellStyle name="Accent6 - 40%" xfId="313"/>
    <cellStyle name="Accent6 - 60%" xfId="314"/>
    <cellStyle name="args.style" xfId="315"/>
    <cellStyle name="Bad" xfId="104"/>
    <cellStyle name="Black" xfId="11"/>
    <cellStyle name="Border" xfId="12"/>
    <cellStyle name="Calc Currency (0)" xfId="105"/>
    <cellStyle name="Calc Currency (2)" xfId="316"/>
    <cellStyle name="Calc Percent (0)" xfId="317"/>
    <cellStyle name="Calc Percent (1)" xfId="318"/>
    <cellStyle name="Calc Percent (2)" xfId="319"/>
    <cellStyle name="Calc Units (0)" xfId="320"/>
    <cellStyle name="Calc Units (1)" xfId="321"/>
    <cellStyle name="Calc Units (2)" xfId="322"/>
    <cellStyle name="Calculation" xfId="106"/>
    <cellStyle name="category" xfId="323"/>
    <cellStyle name="Check Cell" xfId="107"/>
    <cellStyle name="Col Heads" xfId="108"/>
    <cellStyle name="Column_Title" xfId="109"/>
    <cellStyle name="Comma  - Style1" xfId="110"/>
    <cellStyle name="Comma  - Style2" xfId="111"/>
    <cellStyle name="Comma  - Style3" xfId="112"/>
    <cellStyle name="Comma  - Style4" xfId="113"/>
    <cellStyle name="Comma  - Style5" xfId="114"/>
    <cellStyle name="Comma  - Style6" xfId="115"/>
    <cellStyle name="Comma  - Style7" xfId="116"/>
    <cellStyle name="Comma  - Style8" xfId="117"/>
    <cellStyle name="Comma [0]" xfId="324"/>
    <cellStyle name="Comma [00]" xfId="325"/>
    <cellStyle name="Comma 28" xfId="326"/>
    <cellStyle name="comma zerodec" xfId="327"/>
    <cellStyle name="Comma,0" xfId="118"/>
    <cellStyle name="Comma,1" xfId="119"/>
    <cellStyle name="Comma,2" xfId="120"/>
    <cellStyle name="Comma_ rislugp" xfId="121"/>
    <cellStyle name="Copied" xfId="328"/>
    <cellStyle name="COST1" xfId="329"/>
    <cellStyle name="Currency [0]" xfId="330"/>
    <cellStyle name="Currency [00]" xfId="331"/>
    <cellStyle name="Currency,0" xfId="122"/>
    <cellStyle name="Currency,2" xfId="123"/>
    <cellStyle name="Currency_ rislugp" xfId="124"/>
    <cellStyle name="Currency1" xfId="332"/>
    <cellStyle name="Date" xfId="333"/>
    <cellStyle name="Date Short" xfId="334"/>
    <cellStyle name="Date_ A1-货币资金审定表" xfId="335"/>
    <cellStyle name="Dezimal [0]_laroux" xfId="13"/>
    <cellStyle name="Dezimal_laroux" xfId="14"/>
    <cellStyle name="Dollar (zero dec)" xfId="336"/>
    <cellStyle name="E&amp;Y House" xfId="337"/>
    <cellStyle name="Enter Currency (0)" xfId="338"/>
    <cellStyle name="Enter Currency (2)" xfId="339"/>
    <cellStyle name="Enter Units (0)" xfId="340"/>
    <cellStyle name="Enter Units (1)" xfId="341"/>
    <cellStyle name="Enter Units (2)" xfId="342"/>
    <cellStyle name="Entered" xfId="343"/>
    <cellStyle name="entry" xfId="125"/>
    <cellStyle name="entry box" xfId="126"/>
    <cellStyle name="Euro" xfId="15"/>
    <cellStyle name="Explanatory Text" xfId="127"/>
    <cellStyle name="F2" xfId="344"/>
    <cellStyle name="F3" xfId="345"/>
    <cellStyle name="F4" xfId="346"/>
    <cellStyle name="F5" xfId="347"/>
    <cellStyle name="F6" xfId="348"/>
    <cellStyle name="F7" xfId="349"/>
    <cellStyle name="F8" xfId="350"/>
    <cellStyle name="Fixed" xfId="351"/>
    <cellStyle name="Followed Hyperlink_AheadBehind.xls Chart 23" xfId="16"/>
    <cellStyle name="Good" xfId="128"/>
    <cellStyle name="Grey" xfId="17"/>
    <cellStyle name="HEADER" xfId="352"/>
    <cellStyle name="Header1" xfId="129"/>
    <cellStyle name="Header2" xfId="130"/>
    <cellStyle name="Heading" xfId="131"/>
    <cellStyle name="Heading 1" xfId="132"/>
    <cellStyle name="Heading 2" xfId="133"/>
    <cellStyle name="Heading 3" xfId="134"/>
    <cellStyle name="Heading 4" xfId="135"/>
    <cellStyle name="Heading1" xfId="353"/>
    <cellStyle name="Heading2" xfId="354"/>
    <cellStyle name="Hyperlink_AheadBehind.xls Chart 23" xfId="18"/>
    <cellStyle name="Input" xfId="136"/>
    <cellStyle name="Input [yellow]" xfId="19"/>
    <cellStyle name="Input Cells" xfId="355"/>
    <cellStyle name="left" xfId="137"/>
    <cellStyle name="Link Currency (0)" xfId="356"/>
    <cellStyle name="Link Currency (2)" xfId="357"/>
    <cellStyle name="Link Units (0)" xfId="358"/>
    <cellStyle name="Link Units (1)" xfId="359"/>
    <cellStyle name="Link Units (2)" xfId="360"/>
    <cellStyle name="Linked Cell" xfId="138"/>
    <cellStyle name="Linked Cells" xfId="361"/>
    <cellStyle name="Millares [0]_laroux" xfId="139"/>
    <cellStyle name="Millares_laroux" xfId="140"/>
    <cellStyle name="Milliers [0]_!!!GO" xfId="362"/>
    <cellStyle name="Milliers_!!!GO" xfId="363"/>
    <cellStyle name="Model" xfId="364"/>
    <cellStyle name="Moneda [0]_laroux" xfId="141"/>
    <cellStyle name="Moneda_laroux" xfId="142"/>
    <cellStyle name="Monétaire [0]_!!!GO" xfId="365"/>
    <cellStyle name="Monétaire_!!!GO" xfId="366"/>
    <cellStyle name="Mon閠aire [0]_laroux" xfId="143"/>
    <cellStyle name="Mon閠aire_laroux" xfId="144"/>
    <cellStyle name="Neutral" xfId="145"/>
    <cellStyle name="New Times Roman" xfId="367"/>
    <cellStyle name="no dec" xfId="146"/>
    <cellStyle name="Non défini" xfId="20"/>
    <cellStyle name="Normal - Style1" xfId="21"/>
    <cellStyle name="Normal 2" xfId="35"/>
    <cellStyle name="Normal 2 2" xfId="147"/>
    <cellStyle name="Normal 2 3" xfId="601"/>
    <cellStyle name="Normal 21" xfId="368"/>
    <cellStyle name="Normal 3 2" xfId="148"/>
    <cellStyle name="Normal_ rislugp" xfId="149"/>
    <cellStyle name="Normalny_Arkusz1" xfId="150"/>
    <cellStyle name="Note" xfId="151"/>
    <cellStyle name="Œ…‹æØ‚è [0.00]_Region Orders (2)" xfId="369"/>
    <cellStyle name="Œ…‹æØ‚è_Region Orders (2)" xfId="370"/>
    <cellStyle name="Output" xfId="152"/>
    <cellStyle name="per.style" xfId="371"/>
    <cellStyle name="Percent (0)" xfId="153"/>
    <cellStyle name="Percent [0]" xfId="372"/>
    <cellStyle name="Percent [00]" xfId="373"/>
    <cellStyle name="Percent [2]" xfId="22"/>
    <cellStyle name="Percent 2" xfId="602"/>
    <cellStyle name="Percent_!!!GO" xfId="374"/>
    <cellStyle name="Pourcentage_pldt" xfId="375"/>
    <cellStyle name="Prefilled" xfId="154"/>
    <cellStyle name="PrePop Currency (0)" xfId="376"/>
    <cellStyle name="PrePop Currency (2)" xfId="377"/>
    <cellStyle name="PrePop Units (0)" xfId="378"/>
    <cellStyle name="PrePop Units (1)" xfId="379"/>
    <cellStyle name="PrePop Units (2)" xfId="380"/>
    <cellStyle name="price" xfId="155"/>
    <cellStyle name="pricing" xfId="381"/>
    <cellStyle name="PSChar" xfId="382"/>
    <cellStyle name="PSHeading" xfId="383"/>
    <cellStyle name="Red" xfId="23"/>
    <cellStyle name="revised" xfId="156"/>
    <cellStyle name="RevList" xfId="384"/>
    <cellStyle name="row_def_array" xfId="385"/>
    <cellStyle name="S4" xfId="386"/>
    <cellStyle name="S5" xfId="387"/>
    <cellStyle name="SAPBEXaggData" xfId="388"/>
    <cellStyle name="SAPBEXaggDataEmph" xfId="389"/>
    <cellStyle name="SAPBEXaggItem" xfId="390"/>
    <cellStyle name="SAPBEXaggItemX" xfId="391"/>
    <cellStyle name="SAPBEXchaText" xfId="392"/>
    <cellStyle name="SAPBEXexcBad7" xfId="393"/>
    <cellStyle name="SAPBEXexcBad8" xfId="394"/>
    <cellStyle name="SAPBEXexcBad9" xfId="395"/>
    <cellStyle name="SAPBEXexcCritical4" xfId="396"/>
    <cellStyle name="SAPBEXexcCritical5" xfId="397"/>
    <cellStyle name="SAPBEXexcCritical6" xfId="398"/>
    <cellStyle name="SAPBEXexcGood1" xfId="399"/>
    <cellStyle name="SAPBEXexcGood2" xfId="400"/>
    <cellStyle name="SAPBEXexcGood3" xfId="401"/>
    <cellStyle name="SAPBEXfilterDrill" xfId="402"/>
    <cellStyle name="SAPBEXfilterItem" xfId="403"/>
    <cellStyle name="SAPBEXfilterText" xfId="404"/>
    <cellStyle name="SAPBEXformats" xfId="405"/>
    <cellStyle name="SAPBEXheaderItem" xfId="406"/>
    <cellStyle name="SAPBEXheaderText" xfId="407"/>
    <cellStyle name="SAPBEXHLevel0" xfId="408"/>
    <cellStyle name="SAPBEXHLevel0X" xfId="409"/>
    <cellStyle name="SAPBEXHLevel1" xfId="410"/>
    <cellStyle name="SAPBEXHLevel1X" xfId="411"/>
    <cellStyle name="SAPBEXHLevel2" xfId="412"/>
    <cellStyle name="SAPBEXHLevel2X" xfId="413"/>
    <cellStyle name="SAPBEXHLevel3" xfId="414"/>
    <cellStyle name="SAPBEXHLevel3X" xfId="415"/>
    <cellStyle name="SAPBEXresData" xfId="416"/>
    <cellStyle name="SAPBEXresDataEmph" xfId="417"/>
    <cellStyle name="SAPBEXresItem" xfId="418"/>
    <cellStyle name="SAPBEXresItemX" xfId="419"/>
    <cellStyle name="SAPBEXstdData" xfId="420"/>
    <cellStyle name="SAPBEXstdDataEmph" xfId="421"/>
    <cellStyle name="SAPBEXstdItem" xfId="422"/>
    <cellStyle name="SAPBEXstdItemX" xfId="423"/>
    <cellStyle name="SAPBEXtitle" xfId="424"/>
    <cellStyle name="SAPBEXundefined" xfId="425"/>
    <cellStyle name="section" xfId="157"/>
    <cellStyle name="SOR" xfId="426"/>
    <cellStyle name="Standard_AREAS" xfId="427"/>
    <cellStyle name="style" xfId="158"/>
    <cellStyle name="style1" xfId="159"/>
    <cellStyle name="style2" xfId="160"/>
    <cellStyle name="subhead" xfId="428"/>
    <cellStyle name="Subtotal" xfId="429"/>
    <cellStyle name="Text Indent A" xfId="430"/>
    <cellStyle name="Text Indent B" xfId="431"/>
    <cellStyle name="Text Indent C" xfId="432"/>
    <cellStyle name="Tickmark" xfId="161"/>
    <cellStyle name="title" xfId="162"/>
    <cellStyle name="Total" xfId="163"/>
    <cellStyle name="Tusental (0)_pldt" xfId="433"/>
    <cellStyle name="Tusental_pldt" xfId="434"/>
    <cellStyle name="Valuta (0)_pldt" xfId="435"/>
    <cellStyle name="Valuta_pldt" xfId="436"/>
    <cellStyle name="Warning Text" xfId="164"/>
    <cellStyle name="wrap" xfId="165"/>
    <cellStyle name="パーセント_laroux" xfId="166"/>
    <cellStyle name="_PLDT" xfId="437"/>
    <cellStyle name="_laroux" xfId="438"/>
    <cellStyle name="だ[0]_PLDT" xfId="439"/>
    <cellStyle name="だ_PLDT" xfId="440"/>
    <cellStyle name="だ[0]_Total (2)" xfId="441"/>
    <cellStyle name="だ_laroux" xfId="442"/>
    <cellStyle name="百分比" xfId="24" builtinId="5"/>
    <cellStyle name="百分比 2" xfId="167"/>
    <cellStyle name="百分比 2 2" xfId="589"/>
    <cellStyle name="百分比 3" xfId="168"/>
    <cellStyle name="百分比 4" xfId="595"/>
    <cellStyle name="捠壿 [0.00]_PRODUCT DETAIL Q1" xfId="443"/>
    <cellStyle name="捠壿_PRODUCT DETAIL Q1" xfId="444"/>
    <cellStyle name="標準_１１月価格表" xfId="169"/>
    <cellStyle name="表标题" xfId="445"/>
    <cellStyle name="差_10存货" xfId="446"/>
    <cellStyle name="差_19-无形资产（空白模板）" xfId="447"/>
    <cellStyle name="差_2-交易性金融资产（空白模板）" xfId="448"/>
    <cellStyle name="差_2应收账款" xfId="449"/>
    <cellStyle name="差_3-2 进一步审计程序-采购与付款循环" xfId="450"/>
    <cellStyle name="差_3-3 进一步审计程序-存货与生产循环" xfId="451"/>
    <cellStyle name="差_37-长期借款（空白模板）" xfId="452"/>
    <cellStyle name="差_49-营业收入（空白模板）" xfId="453"/>
    <cellStyle name="差_4-应收账款（空白模板）" xfId="454"/>
    <cellStyle name="差_50-营业成本（空白模板）" xfId="455"/>
    <cellStyle name="差_51-营业税金及附加（空白模板）" xfId="456"/>
    <cellStyle name="差_54-财务费用（空白模板）" xfId="457"/>
    <cellStyle name="差_55-资产减值损失（空白模板）" xfId="458"/>
    <cellStyle name="差_9管理费用" xfId="459"/>
    <cellStyle name="差_Book2" xfId="460"/>
    <cellStyle name="差_dxn底稿目录" xfId="461"/>
    <cellStyle name="差_Sheet1" xfId="462"/>
    <cellStyle name="差_StartUp" xfId="463"/>
    <cellStyle name="差_T1000-主营业务收入-LJCH" xfId="464"/>
    <cellStyle name="差_Z14-长期应收款（函证汇总表样本）" xfId="465"/>
    <cellStyle name="差_ZA0货币资金审定表 " xfId="466"/>
    <cellStyle name="差_财务费用" xfId="467"/>
    <cellStyle name="差_程序表模版" xfId="468"/>
    <cellStyle name="差_存货" xfId="469"/>
    <cellStyle name="差_大信底稿目录" xfId="470"/>
    <cellStyle name="差_底稿设置宏" xfId="471"/>
    <cellStyle name="差_管理费用" xfId="472"/>
    <cellStyle name="差_货币资金" xfId="473"/>
    <cellStyle name="差_货币资金 天职" xfId="474"/>
    <cellStyle name="差_货币资金 岳华" xfId="475"/>
    <cellStyle name="差_其他应付款" xfId="476"/>
    <cellStyle name="差_其他应付款—YH" xfId="477"/>
    <cellStyle name="差_未分配利润" xfId="478"/>
    <cellStyle name="差_无形资产" xfId="479"/>
    <cellStyle name="差_应付账款" xfId="481"/>
    <cellStyle name="差_应付职工薪酬" xfId="482"/>
    <cellStyle name="差_应收账款" xfId="483"/>
    <cellStyle name="差_盈余公积" xfId="480"/>
    <cellStyle name="差_长期应付款" xfId="484"/>
    <cellStyle name="差_账项明细表" xfId="485"/>
    <cellStyle name="差_资本公积" xfId="486"/>
    <cellStyle name="差_资产负债标准底稿" xfId="487"/>
    <cellStyle name="差_资产负债类底稿模版" xfId="488"/>
    <cellStyle name="差_子公司附注汇总(房开公司)" xfId="489"/>
    <cellStyle name="常规" xfId="0" builtinId="0"/>
    <cellStyle name="常规 10" xfId="600"/>
    <cellStyle name="常规 11 5" xfId="605"/>
    <cellStyle name="常规 2" xfId="33"/>
    <cellStyle name="常规 2 2" xfId="42"/>
    <cellStyle name="常规 2 2 2" xfId="170"/>
    <cellStyle name="常规 2 2 3" xfId="490"/>
    <cellStyle name="常规 2 2 4" xfId="593"/>
    <cellStyle name="常规 2 3" xfId="171"/>
    <cellStyle name="常规 2 3 2" xfId="596"/>
    <cellStyle name="常规 2 4" xfId="491"/>
    <cellStyle name="常规 2 5" xfId="599"/>
    <cellStyle name="常规 2 8" xfId="40"/>
    <cellStyle name="常规 2 8 2" xfId="604"/>
    <cellStyle name="常规 2_10存货" xfId="492"/>
    <cellStyle name="常规 3" xfId="34"/>
    <cellStyle name="常规 3 2" xfId="38"/>
    <cellStyle name="常规 3 2 2" xfId="172"/>
    <cellStyle name="常规 3 2 3" xfId="603"/>
    <cellStyle name="常规 3 3" xfId="493"/>
    <cellStyle name="常规 3_10存货" xfId="494"/>
    <cellStyle name="常规 4" xfId="39"/>
    <cellStyle name="常规 4 2" xfId="495"/>
    <cellStyle name="常规 4 3" xfId="587"/>
    <cellStyle name="常规 5" xfId="173"/>
    <cellStyle name="常规 5 2" xfId="174"/>
    <cellStyle name="常规 6" xfId="41"/>
    <cellStyle name="常规 6 2" xfId="192"/>
    <cellStyle name="常规 6 2 2" xfId="196"/>
    <cellStyle name="常规 6 3" xfId="193"/>
    <cellStyle name="常规 6 3 2" xfId="197"/>
    <cellStyle name="常规 6 4" xfId="195"/>
    <cellStyle name="常规 6 5" xfId="194"/>
    <cellStyle name="常规 6 6" xfId="594"/>
    <cellStyle name="常规 7" xfId="198"/>
    <cellStyle name="常规 7 2" xfId="586"/>
    <cellStyle name="常规 7 3" xfId="590"/>
    <cellStyle name="常规 8" xfId="496"/>
    <cellStyle name="常规 9" xfId="592"/>
    <cellStyle name="常规_2-1项目审定表－模板" xfId="25"/>
    <cellStyle name="常规_Book1" xfId="26"/>
    <cellStyle name="常规_c-资产类" xfId="27"/>
    <cellStyle name="常规_sheet" xfId="28"/>
    <cellStyle name="常规_进一步审计程序--销售与收款循环" xfId="29"/>
    <cellStyle name="常规_新审定表" xfId="30"/>
    <cellStyle name="常规_新审定表 2" xfId="598"/>
    <cellStyle name="常规_制造费用" xfId="37"/>
    <cellStyle name="超级链接_A4应收账款" xfId="497"/>
    <cellStyle name="超链接" xfId="31" builtinId="8"/>
    <cellStyle name="超链接 2" xfId="175"/>
    <cellStyle name="超链接 2 2" xfId="176"/>
    <cellStyle name="超链接 3" xfId="498"/>
    <cellStyle name="超链接 3 2" xfId="588"/>
    <cellStyle name="分级显示行_1_4附件二凯旋评估表" xfId="177"/>
    <cellStyle name="好_10存货" xfId="499"/>
    <cellStyle name="好_19-无形资产（空白模板）" xfId="500"/>
    <cellStyle name="好_1财务费用" xfId="501"/>
    <cellStyle name="好_1营业收入" xfId="502"/>
    <cellStyle name="好_1资产减值损失" xfId="503"/>
    <cellStyle name="好_2-交易性金融资产（空白模板）" xfId="504"/>
    <cellStyle name="好_2应收账款" xfId="505"/>
    <cellStyle name="好_3-2 进一步审计程序-采购与付款循环" xfId="506"/>
    <cellStyle name="好_3-3 进一步审计程序-存货与生产循环" xfId="507"/>
    <cellStyle name="好_37-长期借款（空白模板）" xfId="508"/>
    <cellStyle name="好_49-营业收入（空白模板）" xfId="509"/>
    <cellStyle name="好_4-应收账款（空白模板）" xfId="510"/>
    <cellStyle name="好_50-营业成本（空白模板）" xfId="511"/>
    <cellStyle name="好_51-营业税金及附加（空白模板）" xfId="512"/>
    <cellStyle name="好_54-财务费用（空白模板）" xfId="513"/>
    <cellStyle name="好_55-资产减值损失（空白模板）" xfId="514"/>
    <cellStyle name="好_9管理费用" xfId="515"/>
    <cellStyle name="好_Book2" xfId="516"/>
    <cellStyle name="好_Sheet1" xfId="517"/>
    <cellStyle name="好_StartUp" xfId="518"/>
    <cellStyle name="好_T1000-主营业务收入" xfId="519"/>
    <cellStyle name="好_Z14-长期应收款（函证汇总表样本）" xfId="520"/>
    <cellStyle name="好_ZA0货币资金审定表 " xfId="521"/>
    <cellStyle name="好_财务费用" xfId="522"/>
    <cellStyle name="好_程序表模版" xfId="523"/>
    <cellStyle name="好_存货" xfId="524"/>
    <cellStyle name="好_存货 - 复制" xfId="525"/>
    <cellStyle name="好_大信底稿目录" xfId="526"/>
    <cellStyle name="好_底稿设置宏" xfId="527"/>
    <cellStyle name="好_底稿设置宏_大信底稿目录" xfId="528"/>
    <cellStyle name="好_管理费用" xfId="529"/>
    <cellStyle name="好_货币资金" xfId="530"/>
    <cellStyle name="好_货币资金 天职" xfId="531"/>
    <cellStyle name="好_货币资金 岳华" xfId="532"/>
    <cellStyle name="好_其他应付款" xfId="533"/>
    <cellStyle name="好_其他应付款—YH" xfId="534"/>
    <cellStyle name="好_其他应收款" xfId="535"/>
    <cellStyle name="好_实收资本(股本)" xfId="536"/>
    <cellStyle name="好_未分配利润" xfId="537"/>
    <cellStyle name="好_无形资产" xfId="538"/>
    <cellStyle name="好_银行函证结果汇总表" xfId="539"/>
    <cellStyle name="好_应付债券" xfId="542"/>
    <cellStyle name="好_应付账款" xfId="543"/>
    <cellStyle name="好_应付职工薪酬" xfId="544"/>
    <cellStyle name="好_应收利息" xfId="545"/>
    <cellStyle name="好_应收账款" xfId="546"/>
    <cellStyle name="好_盈余公积" xfId="540"/>
    <cellStyle name="好_营业收入" xfId="541"/>
    <cellStyle name="好_预收款项" xfId="547"/>
    <cellStyle name="好_长期借款—TZ" xfId="548"/>
    <cellStyle name="好_长期应付款" xfId="549"/>
    <cellStyle name="好_账项明细表" xfId="550"/>
    <cellStyle name="好_资本公积" xfId="551"/>
    <cellStyle name="好_资产负债标准底稿" xfId="552"/>
    <cellStyle name="好_资产负债标准底稿_大信底稿目录" xfId="553"/>
    <cellStyle name="好_资产负债类底稿模版" xfId="554"/>
    <cellStyle name="好_资产负债类底稿模版_大信底稿目录" xfId="555"/>
    <cellStyle name="好_资产减值损失" xfId="556"/>
    <cellStyle name="好_子公司附注汇总(房开公司)" xfId="557"/>
    <cellStyle name="桁区切り [0.00]_１１月価格表" xfId="178"/>
    <cellStyle name="桁区切り_１１月価格表" xfId="179"/>
    <cellStyle name="貨幣 [0]_SGV" xfId="558"/>
    <cellStyle name="貨幣_SGV" xfId="559"/>
    <cellStyle name="霓付 [0]_1202" xfId="560"/>
    <cellStyle name="霓付_1202" xfId="561"/>
    <cellStyle name="妞" xfId="562"/>
    <cellStyle name="欧" xfId="563"/>
    <cellStyle name="烹拳 [0]_1202" xfId="564"/>
    <cellStyle name="烹拳_1202" xfId="565"/>
    <cellStyle name="砯刽 [0]_PLDT" xfId="566"/>
    <cellStyle name="砯刽_PLDT" xfId="567"/>
    <cellStyle name="普通_ 白土" xfId="180"/>
    <cellStyle name="千分位[0]_ 白土" xfId="181"/>
    <cellStyle name="千分位_ 白土" xfId="182"/>
    <cellStyle name="千位[0]_ 应交税金审定表" xfId="568"/>
    <cellStyle name="千位_ 应交税金审定表" xfId="569"/>
    <cellStyle name="千位分隔" xfId="32" builtinId="3"/>
    <cellStyle name="千位分隔 2" xfId="36"/>
    <cellStyle name="千位分隔 2 2" xfId="570"/>
    <cellStyle name="千位分隔 2 3" xfId="571"/>
    <cellStyle name="千位分隔 2 4" xfId="597"/>
    <cellStyle name="千位分隔 3" xfId="183"/>
    <cellStyle name="千位分隔 3 2" xfId="572"/>
    <cellStyle name="千位分隔 3 3" xfId="573"/>
    <cellStyle name="千位分隔 4" xfId="574"/>
    <cellStyle name="千位分隔 5" xfId="575"/>
    <cellStyle name="千位分隔 6" xfId="591"/>
    <cellStyle name="千位分隔[0] 2" xfId="576"/>
    <cellStyle name="钎霖_(沥焊何巩)岿喊牢盔拌裙" xfId="577"/>
    <cellStyle name="强调 1" xfId="578"/>
    <cellStyle name="强调 2" xfId="579"/>
    <cellStyle name="强调 3" xfId="580"/>
    <cellStyle name="通貨 [0.00]_１１月価格表" xfId="184"/>
    <cellStyle name="通貨_１１月価格表" xfId="185"/>
    <cellStyle name="样式 1" xfId="186"/>
    <cellStyle name="一般_SGV" xfId="581"/>
    <cellStyle name="昗弨_BOOKSHIP" xfId="582"/>
    <cellStyle name="寘嬫愗傝 [0.00]_PRODUCT DETAIL Q1" xfId="583"/>
    <cellStyle name="寘嬫愗傝_PRODUCT DETAIL Q1" xfId="584"/>
    <cellStyle name="资产" xfId="585"/>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colors>
    <mruColors>
      <color rgb="FFE4DFEC"/>
      <color rgb="FF0000FF"/>
      <color rgb="FFDCD5E5"/>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8"/>
  <sheetViews>
    <sheetView tabSelected="1" zoomScaleNormal="100" workbookViewId="0"/>
  </sheetViews>
  <sheetFormatPr defaultRowHeight="20.100000000000001" customHeight="1"/>
  <cols>
    <col min="1" max="1" width="77.59765625" style="6" customWidth="1"/>
    <col min="2" max="2" width="2" style="6" customWidth="1"/>
    <col min="3" max="3" width="2.09765625" style="6" customWidth="1"/>
    <col min="4" max="4" width="6.09765625" style="8" customWidth="1"/>
    <col min="5" max="5" width="33.69921875" style="8" customWidth="1"/>
    <col min="6" max="6" width="8.8984375" style="530" customWidth="1"/>
    <col min="7" max="7" width="10.796875" customWidth="1"/>
  </cols>
  <sheetData>
    <row r="1" spans="1:8" s="3" customFormat="1" ht="20.100000000000001" customHeight="1">
      <c r="A1" s="56" t="s">
        <v>643</v>
      </c>
      <c r="B1" s="4"/>
      <c r="C1" s="4"/>
      <c r="F1" s="529"/>
    </row>
    <row r="2" spans="1:8" ht="20.100000000000001" customHeight="1">
      <c r="A2" s="332" t="s">
        <v>840</v>
      </c>
      <c r="B2" s="5"/>
      <c r="C2" s="5"/>
      <c r="G2" s="1"/>
      <c r="H2" s="1"/>
    </row>
    <row r="3" spans="1:8" ht="20.100000000000001" customHeight="1">
      <c r="A3" s="332" t="s">
        <v>859</v>
      </c>
      <c r="B3" s="5"/>
      <c r="C3" s="5"/>
      <c r="D3" s="16"/>
      <c r="E3" s="17"/>
      <c r="F3" s="16"/>
      <c r="G3" s="1"/>
      <c r="H3" s="2"/>
    </row>
    <row r="4" spans="1:8" ht="20.100000000000001" customHeight="1">
      <c r="A4" s="545" t="s">
        <v>841</v>
      </c>
      <c r="D4" s="53" t="s">
        <v>31</v>
      </c>
      <c r="E4" s="53" t="s">
        <v>611</v>
      </c>
      <c r="F4" s="53" t="s">
        <v>32</v>
      </c>
      <c r="G4" s="53" t="s">
        <v>33</v>
      </c>
      <c r="H4" s="141"/>
    </row>
    <row r="5" spans="1:8" ht="20.100000000000001" customHeight="1">
      <c r="A5" s="545" t="s">
        <v>842</v>
      </c>
      <c r="D5" s="447">
        <v>1</v>
      </c>
      <c r="E5" s="535" t="s">
        <v>799</v>
      </c>
      <c r="F5" s="531" t="s">
        <v>453</v>
      </c>
      <c r="G5" s="159"/>
      <c r="H5" s="20"/>
    </row>
    <row r="6" spans="1:8" ht="18" customHeight="1">
      <c r="A6" s="545" t="s">
        <v>843</v>
      </c>
      <c r="D6" s="447">
        <v>2</v>
      </c>
      <c r="E6" s="532" t="s">
        <v>802</v>
      </c>
      <c r="F6" s="531" t="s">
        <v>608</v>
      </c>
      <c r="G6" s="54"/>
      <c r="H6" s="20"/>
    </row>
    <row r="7" spans="1:8" ht="18" customHeight="1">
      <c r="A7" s="545" t="s">
        <v>844</v>
      </c>
      <c r="D7" s="447">
        <v>3</v>
      </c>
      <c r="E7" s="532" t="s">
        <v>797</v>
      </c>
      <c r="F7" s="531"/>
      <c r="G7" s="55"/>
      <c r="H7" s="21" t="s">
        <v>610</v>
      </c>
    </row>
    <row r="8" spans="1:8" ht="18" customHeight="1">
      <c r="A8" s="160" t="s">
        <v>268</v>
      </c>
      <c r="D8" s="447">
        <v>4</v>
      </c>
      <c r="E8" s="532" t="s">
        <v>798</v>
      </c>
      <c r="F8" s="531"/>
      <c r="G8" s="55"/>
      <c r="H8" s="21" t="s">
        <v>230</v>
      </c>
    </row>
    <row r="9" spans="1:8" ht="18" customHeight="1">
      <c r="A9" s="161" t="s">
        <v>269</v>
      </c>
      <c r="D9" s="447">
        <v>5</v>
      </c>
      <c r="E9" s="532" t="s">
        <v>800</v>
      </c>
      <c r="F9" s="531" t="s">
        <v>454</v>
      </c>
      <c r="G9" s="55"/>
      <c r="H9" s="20"/>
    </row>
    <row r="10" spans="1:8" ht="18" customHeight="1">
      <c r="A10" s="161" t="s">
        <v>270</v>
      </c>
      <c r="D10" s="447">
        <v>6</v>
      </c>
      <c r="E10" s="533" t="s">
        <v>801</v>
      </c>
      <c r="F10" s="531" t="s">
        <v>601</v>
      </c>
      <c r="G10" s="55"/>
      <c r="H10" s="20"/>
    </row>
    <row r="11" spans="1:8" ht="18" customHeight="1">
      <c r="A11" s="161" t="s">
        <v>271</v>
      </c>
      <c r="D11" s="447">
        <v>7</v>
      </c>
      <c r="E11" s="532" t="s">
        <v>803</v>
      </c>
      <c r="F11" s="531" t="s">
        <v>609</v>
      </c>
      <c r="G11" s="166"/>
      <c r="H11" s="20"/>
    </row>
    <row r="12" spans="1:8" ht="18" customHeight="1">
      <c r="A12" s="161" t="s">
        <v>272</v>
      </c>
      <c r="D12" s="447">
        <v>8</v>
      </c>
      <c r="E12" s="532" t="s">
        <v>822</v>
      </c>
      <c r="F12" s="531" t="s">
        <v>777</v>
      </c>
      <c r="G12" s="55"/>
      <c r="H12" s="20"/>
    </row>
    <row r="13" spans="1:8" ht="18" customHeight="1">
      <c r="A13" s="161"/>
      <c r="D13" s="447">
        <v>9</v>
      </c>
      <c r="E13" s="546" t="s">
        <v>804</v>
      </c>
      <c r="F13" s="531" t="s">
        <v>811</v>
      </c>
      <c r="G13" s="55"/>
      <c r="H13" s="20"/>
    </row>
    <row r="14" spans="1:8" ht="18" customHeight="1">
      <c r="A14" s="161"/>
      <c r="D14" s="447">
        <v>10</v>
      </c>
      <c r="E14" s="546" t="s">
        <v>805</v>
      </c>
      <c r="F14" s="531" t="s">
        <v>812</v>
      </c>
      <c r="G14" s="55"/>
      <c r="H14" s="20"/>
    </row>
    <row r="15" spans="1:8" ht="18" customHeight="1">
      <c r="A15" s="161"/>
      <c r="D15" s="447">
        <v>11</v>
      </c>
      <c r="E15" s="546" t="s">
        <v>806</v>
      </c>
      <c r="F15" s="531" t="s">
        <v>813</v>
      </c>
      <c r="G15" s="55"/>
      <c r="H15" s="20"/>
    </row>
    <row r="16" spans="1:8" ht="18" customHeight="1">
      <c r="A16" s="161"/>
      <c r="D16" s="447">
        <v>12</v>
      </c>
      <c r="E16" s="546" t="s">
        <v>807</v>
      </c>
      <c r="F16" s="531" t="s">
        <v>814</v>
      </c>
      <c r="G16" s="55"/>
      <c r="H16" s="20"/>
    </row>
    <row r="17" spans="1:8" ht="18" customHeight="1">
      <c r="A17" s="7"/>
      <c r="D17" s="447">
        <v>13</v>
      </c>
      <c r="E17" s="546" t="s">
        <v>810</v>
      </c>
      <c r="F17" s="531" t="s">
        <v>815</v>
      </c>
      <c r="G17" s="55"/>
      <c r="H17" s="20"/>
    </row>
    <row r="18" spans="1:8" ht="18" customHeight="1">
      <c r="A18" s="605" t="s">
        <v>855</v>
      </c>
      <c r="D18" s="447">
        <v>14</v>
      </c>
      <c r="E18" s="547" t="s">
        <v>808</v>
      </c>
      <c r="F18" s="531" t="s">
        <v>816</v>
      </c>
      <c r="G18" s="55"/>
      <c r="H18" s="20"/>
    </row>
    <row r="19" spans="1:8" ht="18" customHeight="1">
      <c r="A19" s="619" t="s">
        <v>856</v>
      </c>
      <c r="D19" s="447">
        <v>15</v>
      </c>
      <c r="E19" s="547" t="s">
        <v>809</v>
      </c>
      <c r="F19" s="531" t="s">
        <v>817</v>
      </c>
      <c r="G19" s="55"/>
      <c r="H19" s="20"/>
    </row>
    <row r="20" spans="1:8" ht="18" customHeight="1">
      <c r="A20" s="619"/>
      <c r="D20" s="447">
        <v>16</v>
      </c>
      <c r="E20" s="532" t="s">
        <v>792</v>
      </c>
      <c r="F20" s="531" t="s">
        <v>779</v>
      </c>
      <c r="G20" s="55"/>
      <c r="H20" s="20"/>
    </row>
    <row r="21" spans="1:8" ht="18" customHeight="1">
      <c r="A21" s="619"/>
      <c r="D21" s="447">
        <v>17</v>
      </c>
      <c r="E21" s="532" t="s">
        <v>794</v>
      </c>
      <c r="F21" s="531" t="s">
        <v>455</v>
      </c>
      <c r="G21" s="55"/>
      <c r="H21" s="20"/>
    </row>
    <row r="22" spans="1:8" ht="18" customHeight="1">
      <c r="A22" s="619"/>
      <c r="D22" s="447">
        <v>18</v>
      </c>
      <c r="E22" s="532" t="s">
        <v>795</v>
      </c>
      <c r="F22" s="531" t="s">
        <v>789</v>
      </c>
      <c r="G22" s="55"/>
      <c r="H22" s="20"/>
    </row>
    <row r="23" spans="1:8" ht="18" customHeight="1">
      <c r="A23" s="619" t="s">
        <v>857</v>
      </c>
      <c r="D23" s="447">
        <v>19</v>
      </c>
      <c r="E23" s="532" t="s">
        <v>796</v>
      </c>
      <c r="F23" s="531" t="s">
        <v>498</v>
      </c>
      <c r="G23" s="55"/>
    </row>
    <row r="24" spans="1:8" ht="20.100000000000001" customHeight="1">
      <c r="A24" s="619"/>
      <c r="D24" s="447">
        <v>20</v>
      </c>
      <c r="E24" s="532" t="s">
        <v>628</v>
      </c>
      <c r="F24" s="531" t="s">
        <v>456</v>
      </c>
      <c r="G24" s="55"/>
    </row>
    <row r="25" spans="1:8" ht="20.100000000000001" customHeight="1">
      <c r="A25" s="619"/>
      <c r="D25" s="447">
        <v>21</v>
      </c>
      <c r="E25" s="533" t="s">
        <v>786</v>
      </c>
      <c r="F25" s="531" t="s">
        <v>457</v>
      </c>
      <c r="G25" s="55"/>
    </row>
    <row r="26" spans="1:8" ht="20.100000000000001" customHeight="1">
      <c r="A26" s="620" t="s">
        <v>858</v>
      </c>
      <c r="D26" s="447">
        <v>22</v>
      </c>
      <c r="E26" s="533" t="s">
        <v>788</v>
      </c>
      <c r="F26" s="531" t="s">
        <v>458</v>
      </c>
      <c r="G26" s="55"/>
    </row>
    <row r="27" spans="1:8" ht="20.100000000000001" customHeight="1">
      <c r="A27" s="620"/>
    </row>
    <row r="28" spans="1:8" ht="20.100000000000001" customHeight="1">
      <c r="A28" s="620"/>
    </row>
  </sheetData>
  <mergeCells count="3">
    <mergeCell ref="A19:A22"/>
    <mergeCell ref="A23:A25"/>
    <mergeCell ref="A26:A28"/>
  </mergeCells>
  <phoneticPr fontId="16" type="noConversion"/>
  <hyperlinks>
    <hyperlink ref="E6" location="'审定表K1-1'!Print_Area" display="审定表"/>
    <hyperlink ref="E7" location="'附注披露信息(上市公司）'!Print_Area" display="附注披露信息(上市公司)"/>
    <hyperlink ref="E9" location="'明细表K1-2'!Print_Area" display="明细表"/>
    <hyperlink ref="E8" location="'附注披露信息（国企）'!Print_Area" display="附注披露信息(国企)"/>
    <hyperlink ref="E12" location="'大额其他应付款情况分析表K1-5'!A1" display="大额其他应付款情况分析表"/>
    <hyperlink ref="E11" location="'调整分录汇总K1-4'!Print_Area" display="调整分录汇总"/>
    <hyperlink ref="E5" location="'实质性程序表 K1A'!Print_Area" display="实质性程序表"/>
    <hyperlink ref="E10" location="'坏账准备明细表K1-3'!Print_Area" display="坏账准备明细表"/>
    <hyperlink ref="E20" location="'信用减值损失会计政策检查K1-6'!A1" display="信用减值损失会计政策检查"/>
    <hyperlink ref="E21" location="'三阶段划分检查表K1-7'!A1" display="三阶段划分检查表"/>
    <hyperlink ref="E22" location="'坏账准备测算K1-8'!A1" display="坏账准备测算"/>
    <hyperlink ref="E23" location="'坏账准备转回（收回）、核销检查表K1-9'!A1" display="坏账准备转回（收回）、核销检查表"/>
    <hyperlink ref="E24" location="'长期未收回款项检查表K1-10'!A1" display="长期未收回款项检查表"/>
    <hyperlink ref="E26" location="'其他应收款检查表K1-12'!A1" display="其他应收款检查表"/>
    <hyperlink ref="E25" location="'关联方及交易检查表K1-11'!A1" display="关联方及交易检查表"/>
  </hyperlinks>
  <pageMargins left="0.74803149606299213" right="0.74803149606299213" top="0.98425196850393704" bottom="0.98425196850393704" header="0.51181102362204722" footer="0.51181102362204722"/>
  <pageSetup paperSize="9" scale="54"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J29"/>
  <sheetViews>
    <sheetView view="pageBreakPreview" zoomScaleNormal="115" zoomScaleSheetLayoutView="100" workbookViewId="0">
      <selection sqref="A1:I1"/>
    </sheetView>
  </sheetViews>
  <sheetFormatPr defaultRowHeight="13.8"/>
  <cols>
    <col min="1" max="1" width="4.796875" style="147" customWidth="1"/>
    <col min="2" max="2" width="61.59765625" style="38" customWidth="1"/>
    <col min="3" max="3" width="9.3984375" style="38" customWidth="1"/>
    <col min="4" max="4" width="5.796875" style="38" customWidth="1"/>
    <col min="5" max="5" width="6.796875" style="38" customWidth="1"/>
    <col min="6" max="6" width="7.3984375" style="38" customWidth="1"/>
    <col min="7" max="7" width="7.69921875" style="38" customWidth="1"/>
    <col min="8" max="8" width="5.59765625" style="38" customWidth="1"/>
    <col min="9" max="9" width="6.59765625" style="507" customWidth="1"/>
    <col min="10" max="10" width="62.09765625" style="38" customWidth="1"/>
    <col min="11" max="250" width="8.796875" style="38"/>
    <col min="251" max="251" width="8.5" style="38" customWidth="1"/>
    <col min="252" max="252" width="93.69921875" style="38" customWidth="1"/>
    <col min="253" max="253" width="0" style="38" hidden="1" customWidth="1"/>
    <col min="254" max="254" width="11.69921875" style="38" customWidth="1"/>
    <col min="255" max="255" width="13.5" style="38" customWidth="1"/>
    <col min="256" max="256" width="6" style="38" customWidth="1"/>
    <col min="257" max="257" width="5.59765625" style="38" customWidth="1"/>
    <col min="258" max="258" width="4.59765625" style="38" customWidth="1"/>
    <col min="259" max="259" width="5.5" style="38" customWidth="1"/>
    <col min="260" max="260" width="14" style="38" customWidth="1"/>
    <col min="261" max="261" width="10.59765625" style="38" customWidth="1"/>
    <col min="262" max="262" width="31.59765625" style="38" bestFit="1" customWidth="1"/>
    <col min="263" max="506" width="8.796875" style="38"/>
    <col min="507" max="507" width="8.5" style="38" customWidth="1"/>
    <col min="508" max="508" width="93.69921875" style="38" customWidth="1"/>
    <col min="509" max="509" width="0" style="38" hidden="1" customWidth="1"/>
    <col min="510" max="510" width="11.69921875" style="38" customWidth="1"/>
    <col min="511" max="511" width="13.5" style="38" customWidth="1"/>
    <col min="512" max="512" width="6" style="38" customWidth="1"/>
    <col min="513" max="513" width="5.59765625" style="38" customWidth="1"/>
    <col min="514" max="514" width="4.59765625" style="38" customWidth="1"/>
    <col min="515" max="515" width="5.5" style="38" customWidth="1"/>
    <col min="516" max="516" width="14" style="38" customWidth="1"/>
    <col min="517" max="517" width="10.59765625" style="38" customWidth="1"/>
    <col min="518" max="518" width="31.59765625" style="38" bestFit="1" customWidth="1"/>
    <col min="519" max="762" width="8.796875" style="38"/>
    <col min="763" max="763" width="8.5" style="38" customWidth="1"/>
    <col min="764" max="764" width="93.69921875" style="38" customWidth="1"/>
    <col min="765" max="765" width="0" style="38" hidden="1" customWidth="1"/>
    <col min="766" max="766" width="11.69921875" style="38" customWidth="1"/>
    <col min="767" max="767" width="13.5" style="38" customWidth="1"/>
    <col min="768" max="768" width="6" style="38" customWidth="1"/>
    <col min="769" max="769" width="5.59765625" style="38" customWidth="1"/>
    <col min="770" max="770" width="4.59765625" style="38" customWidth="1"/>
    <col min="771" max="771" width="5.5" style="38" customWidth="1"/>
    <col min="772" max="772" width="14" style="38" customWidth="1"/>
    <col min="773" max="773" width="10.59765625" style="38" customWidth="1"/>
    <col min="774" max="774" width="31.59765625" style="38" bestFit="1" customWidth="1"/>
    <col min="775" max="1018" width="8.796875" style="38"/>
    <col min="1019" max="1019" width="8.5" style="38" customWidth="1"/>
    <col min="1020" max="1020" width="93.69921875" style="38" customWidth="1"/>
    <col min="1021" max="1021" width="0" style="38" hidden="1" customWidth="1"/>
    <col min="1022" max="1022" width="11.69921875" style="38" customWidth="1"/>
    <col min="1023" max="1023" width="13.5" style="38" customWidth="1"/>
    <col min="1024" max="1024" width="6" style="38" customWidth="1"/>
    <col min="1025" max="1025" width="5.59765625" style="38" customWidth="1"/>
    <col min="1026" max="1026" width="4.59765625" style="38" customWidth="1"/>
    <col min="1027" max="1027" width="5.5" style="38" customWidth="1"/>
    <col min="1028" max="1028" width="14" style="38" customWidth="1"/>
    <col min="1029" max="1029" width="10.59765625" style="38" customWidth="1"/>
    <col min="1030" max="1030" width="31.59765625" style="38" bestFit="1" customWidth="1"/>
    <col min="1031" max="1274" width="8.796875" style="38"/>
    <col min="1275" max="1275" width="8.5" style="38" customWidth="1"/>
    <col min="1276" max="1276" width="93.69921875" style="38" customWidth="1"/>
    <col min="1277" max="1277" width="0" style="38" hidden="1" customWidth="1"/>
    <col min="1278" max="1278" width="11.69921875" style="38" customWidth="1"/>
    <col min="1279" max="1279" width="13.5" style="38" customWidth="1"/>
    <col min="1280" max="1280" width="6" style="38" customWidth="1"/>
    <col min="1281" max="1281" width="5.59765625" style="38" customWidth="1"/>
    <col min="1282" max="1282" width="4.59765625" style="38" customWidth="1"/>
    <col min="1283" max="1283" width="5.5" style="38" customWidth="1"/>
    <col min="1284" max="1284" width="14" style="38" customWidth="1"/>
    <col min="1285" max="1285" width="10.59765625" style="38" customWidth="1"/>
    <col min="1286" max="1286" width="31.59765625" style="38" bestFit="1" customWidth="1"/>
    <col min="1287" max="1530" width="8.796875" style="38"/>
    <col min="1531" max="1531" width="8.5" style="38" customWidth="1"/>
    <col min="1532" max="1532" width="93.69921875" style="38" customWidth="1"/>
    <col min="1533" max="1533" width="0" style="38" hidden="1" customWidth="1"/>
    <col min="1534" max="1534" width="11.69921875" style="38" customWidth="1"/>
    <col min="1535" max="1535" width="13.5" style="38" customWidth="1"/>
    <col min="1536" max="1536" width="6" style="38" customWidth="1"/>
    <col min="1537" max="1537" width="5.59765625" style="38" customWidth="1"/>
    <col min="1538" max="1538" width="4.59765625" style="38" customWidth="1"/>
    <col min="1539" max="1539" width="5.5" style="38" customWidth="1"/>
    <col min="1540" max="1540" width="14" style="38" customWidth="1"/>
    <col min="1541" max="1541" width="10.59765625" style="38" customWidth="1"/>
    <col min="1542" max="1542" width="31.59765625" style="38" bestFit="1" customWidth="1"/>
    <col min="1543" max="1786" width="8.796875" style="38"/>
    <col min="1787" max="1787" width="8.5" style="38" customWidth="1"/>
    <col min="1788" max="1788" width="93.69921875" style="38" customWidth="1"/>
    <col min="1789" max="1789" width="0" style="38" hidden="1" customWidth="1"/>
    <col min="1790" max="1790" width="11.69921875" style="38" customWidth="1"/>
    <col min="1791" max="1791" width="13.5" style="38" customWidth="1"/>
    <col min="1792" max="1792" width="6" style="38" customWidth="1"/>
    <col min="1793" max="1793" width="5.59765625" style="38" customWidth="1"/>
    <col min="1794" max="1794" width="4.59765625" style="38" customWidth="1"/>
    <col min="1795" max="1795" width="5.5" style="38" customWidth="1"/>
    <col min="1796" max="1796" width="14" style="38" customWidth="1"/>
    <col min="1797" max="1797" width="10.59765625" style="38" customWidth="1"/>
    <col min="1798" max="1798" width="31.59765625" style="38" bestFit="1" customWidth="1"/>
    <col min="1799" max="2042" width="8.796875" style="38"/>
    <col min="2043" max="2043" width="8.5" style="38" customWidth="1"/>
    <col min="2044" max="2044" width="93.69921875" style="38" customWidth="1"/>
    <col min="2045" max="2045" width="0" style="38" hidden="1" customWidth="1"/>
    <col min="2046" max="2046" width="11.69921875" style="38" customWidth="1"/>
    <col min="2047" max="2047" width="13.5" style="38" customWidth="1"/>
    <col min="2048" max="2048" width="6" style="38" customWidth="1"/>
    <col min="2049" max="2049" width="5.59765625" style="38" customWidth="1"/>
    <col min="2050" max="2050" width="4.59765625" style="38" customWidth="1"/>
    <col min="2051" max="2051" width="5.5" style="38" customWidth="1"/>
    <col min="2052" max="2052" width="14" style="38" customWidth="1"/>
    <col min="2053" max="2053" width="10.59765625" style="38" customWidth="1"/>
    <col min="2054" max="2054" width="31.59765625" style="38" bestFit="1" customWidth="1"/>
    <col min="2055" max="2298" width="8.796875" style="38"/>
    <col min="2299" max="2299" width="8.5" style="38" customWidth="1"/>
    <col min="2300" max="2300" width="93.69921875" style="38" customWidth="1"/>
    <col min="2301" max="2301" width="0" style="38" hidden="1" customWidth="1"/>
    <col min="2302" max="2302" width="11.69921875" style="38" customWidth="1"/>
    <col min="2303" max="2303" width="13.5" style="38" customWidth="1"/>
    <col min="2304" max="2304" width="6" style="38" customWidth="1"/>
    <col min="2305" max="2305" width="5.59765625" style="38" customWidth="1"/>
    <col min="2306" max="2306" width="4.59765625" style="38" customWidth="1"/>
    <col min="2307" max="2307" width="5.5" style="38" customWidth="1"/>
    <col min="2308" max="2308" width="14" style="38" customWidth="1"/>
    <col min="2309" max="2309" width="10.59765625" style="38" customWidth="1"/>
    <col min="2310" max="2310" width="31.59765625" style="38" bestFit="1" customWidth="1"/>
    <col min="2311" max="2554" width="8.796875" style="38"/>
    <col min="2555" max="2555" width="8.5" style="38" customWidth="1"/>
    <col min="2556" max="2556" width="93.69921875" style="38" customWidth="1"/>
    <col min="2557" max="2557" width="0" style="38" hidden="1" customWidth="1"/>
    <col min="2558" max="2558" width="11.69921875" style="38" customWidth="1"/>
    <col min="2559" max="2559" width="13.5" style="38" customWidth="1"/>
    <col min="2560" max="2560" width="6" style="38" customWidth="1"/>
    <col min="2561" max="2561" width="5.59765625" style="38" customWidth="1"/>
    <col min="2562" max="2562" width="4.59765625" style="38" customWidth="1"/>
    <col min="2563" max="2563" width="5.5" style="38" customWidth="1"/>
    <col min="2564" max="2564" width="14" style="38" customWidth="1"/>
    <col min="2565" max="2565" width="10.59765625" style="38" customWidth="1"/>
    <col min="2566" max="2566" width="31.59765625" style="38" bestFit="1" customWidth="1"/>
    <col min="2567" max="2810" width="8.796875" style="38"/>
    <col min="2811" max="2811" width="8.5" style="38" customWidth="1"/>
    <col min="2812" max="2812" width="93.69921875" style="38" customWidth="1"/>
    <col min="2813" max="2813" width="0" style="38" hidden="1" customWidth="1"/>
    <col min="2814" max="2814" width="11.69921875" style="38" customWidth="1"/>
    <col min="2815" max="2815" width="13.5" style="38" customWidth="1"/>
    <col min="2816" max="2816" width="6" style="38" customWidth="1"/>
    <col min="2817" max="2817" width="5.59765625" style="38" customWidth="1"/>
    <col min="2818" max="2818" width="4.59765625" style="38" customWidth="1"/>
    <col min="2819" max="2819" width="5.5" style="38" customWidth="1"/>
    <col min="2820" max="2820" width="14" style="38" customWidth="1"/>
    <col min="2821" max="2821" width="10.59765625" style="38" customWidth="1"/>
    <col min="2822" max="2822" width="31.59765625" style="38" bestFit="1" customWidth="1"/>
    <col min="2823" max="3066" width="8.796875" style="38"/>
    <col min="3067" max="3067" width="8.5" style="38" customWidth="1"/>
    <col min="3068" max="3068" width="93.69921875" style="38" customWidth="1"/>
    <col min="3069" max="3069" width="0" style="38" hidden="1" customWidth="1"/>
    <col min="3070" max="3070" width="11.69921875" style="38" customWidth="1"/>
    <col min="3071" max="3071" width="13.5" style="38" customWidth="1"/>
    <col min="3072" max="3072" width="6" style="38" customWidth="1"/>
    <col min="3073" max="3073" width="5.59765625" style="38" customWidth="1"/>
    <col min="3074" max="3074" width="4.59765625" style="38" customWidth="1"/>
    <col min="3075" max="3075" width="5.5" style="38" customWidth="1"/>
    <col min="3076" max="3076" width="14" style="38" customWidth="1"/>
    <col min="3077" max="3077" width="10.59765625" style="38" customWidth="1"/>
    <col min="3078" max="3078" width="31.59765625" style="38" bestFit="1" customWidth="1"/>
    <col min="3079" max="3322" width="8.796875" style="38"/>
    <col min="3323" max="3323" width="8.5" style="38" customWidth="1"/>
    <col min="3324" max="3324" width="93.69921875" style="38" customWidth="1"/>
    <col min="3325" max="3325" width="0" style="38" hidden="1" customWidth="1"/>
    <col min="3326" max="3326" width="11.69921875" style="38" customWidth="1"/>
    <col min="3327" max="3327" width="13.5" style="38" customWidth="1"/>
    <col min="3328" max="3328" width="6" style="38" customWidth="1"/>
    <col min="3329" max="3329" width="5.59765625" style="38" customWidth="1"/>
    <col min="3330" max="3330" width="4.59765625" style="38" customWidth="1"/>
    <col min="3331" max="3331" width="5.5" style="38" customWidth="1"/>
    <col min="3332" max="3332" width="14" style="38" customWidth="1"/>
    <col min="3333" max="3333" width="10.59765625" style="38" customWidth="1"/>
    <col min="3334" max="3334" width="31.59765625" style="38" bestFit="1" customWidth="1"/>
    <col min="3335" max="3578" width="8.796875" style="38"/>
    <col min="3579" max="3579" width="8.5" style="38" customWidth="1"/>
    <col min="3580" max="3580" width="93.69921875" style="38" customWidth="1"/>
    <col min="3581" max="3581" width="0" style="38" hidden="1" customWidth="1"/>
    <col min="3582" max="3582" width="11.69921875" style="38" customWidth="1"/>
    <col min="3583" max="3583" width="13.5" style="38" customWidth="1"/>
    <col min="3584" max="3584" width="6" style="38" customWidth="1"/>
    <col min="3585" max="3585" width="5.59765625" style="38" customWidth="1"/>
    <col min="3586" max="3586" width="4.59765625" style="38" customWidth="1"/>
    <col min="3587" max="3587" width="5.5" style="38" customWidth="1"/>
    <col min="3588" max="3588" width="14" style="38" customWidth="1"/>
    <col min="3589" max="3589" width="10.59765625" style="38" customWidth="1"/>
    <col min="3590" max="3590" width="31.59765625" style="38" bestFit="1" customWidth="1"/>
    <col min="3591" max="3834" width="8.796875" style="38"/>
    <col min="3835" max="3835" width="8.5" style="38" customWidth="1"/>
    <col min="3836" max="3836" width="93.69921875" style="38" customWidth="1"/>
    <col min="3837" max="3837" width="0" style="38" hidden="1" customWidth="1"/>
    <col min="3838" max="3838" width="11.69921875" style="38" customWidth="1"/>
    <col min="3839" max="3839" width="13.5" style="38" customWidth="1"/>
    <col min="3840" max="3840" width="6" style="38" customWidth="1"/>
    <col min="3841" max="3841" width="5.59765625" style="38" customWidth="1"/>
    <col min="3842" max="3842" width="4.59765625" style="38" customWidth="1"/>
    <col min="3843" max="3843" width="5.5" style="38" customWidth="1"/>
    <col min="3844" max="3844" width="14" style="38" customWidth="1"/>
    <col min="3845" max="3845" width="10.59765625" style="38" customWidth="1"/>
    <col min="3846" max="3846" width="31.59765625" style="38" bestFit="1" customWidth="1"/>
    <col min="3847" max="4090" width="8.796875" style="38"/>
    <col min="4091" max="4091" width="8.5" style="38" customWidth="1"/>
    <col min="4092" max="4092" width="93.69921875" style="38" customWidth="1"/>
    <col min="4093" max="4093" width="0" style="38" hidden="1" customWidth="1"/>
    <col min="4094" max="4094" width="11.69921875" style="38" customWidth="1"/>
    <col min="4095" max="4095" width="13.5" style="38" customWidth="1"/>
    <col min="4096" max="4096" width="6" style="38" customWidth="1"/>
    <col min="4097" max="4097" width="5.59765625" style="38" customWidth="1"/>
    <col min="4098" max="4098" width="4.59765625" style="38" customWidth="1"/>
    <col min="4099" max="4099" width="5.5" style="38" customWidth="1"/>
    <col min="4100" max="4100" width="14" style="38" customWidth="1"/>
    <col min="4101" max="4101" width="10.59765625" style="38" customWidth="1"/>
    <col min="4102" max="4102" width="31.59765625" style="38" bestFit="1" customWidth="1"/>
    <col min="4103" max="4346" width="8.796875" style="38"/>
    <col min="4347" max="4347" width="8.5" style="38" customWidth="1"/>
    <col min="4348" max="4348" width="93.69921875" style="38" customWidth="1"/>
    <col min="4349" max="4349" width="0" style="38" hidden="1" customWidth="1"/>
    <col min="4350" max="4350" width="11.69921875" style="38" customWidth="1"/>
    <col min="4351" max="4351" width="13.5" style="38" customWidth="1"/>
    <col min="4352" max="4352" width="6" style="38" customWidth="1"/>
    <col min="4353" max="4353" width="5.59765625" style="38" customWidth="1"/>
    <col min="4354" max="4354" width="4.59765625" style="38" customWidth="1"/>
    <col min="4355" max="4355" width="5.5" style="38" customWidth="1"/>
    <col min="4356" max="4356" width="14" style="38" customWidth="1"/>
    <col min="4357" max="4357" width="10.59765625" style="38" customWidth="1"/>
    <col min="4358" max="4358" width="31.59765625" style="38" bestFit="1" customWidth="1"/>
    <col min="4359" max="4602" width="8.796875" style="38"/>
    <col min="4603" max="4603" width="8.5" style="38" customWidth="1"/>
    <col min="4604" max="4604" width="93.69921875" style="38" customWidth="1"/>
    <col min="4605" max="4605" width="0" style="38" hidden="1" customWidth="1"/>
    <col min="4606" max="4606" width="11.69921875" style="38" customWidth="1"/>
    <col min="4607" max="4607" width="13.5" style="38" customWidth="1"/>
    <col min="4608" max="4608" width="6" style="38" customWidth="1"/>
    <col min="4609" max="4609" width="5.59765625" style="38" customWidth="1"/>
    <col min="4610" max="4610" width="4.59765625" style="38" customWidth="1"/>
    <col min="4611" max="4611" width="5.5" style="38" customWidth="1"/>
    <col min="4612" max="4612" width="14" style="38" customWidth="1"/>
    <col min="4613" max="4613" width="10.59765625" style="38" customWidth="1"/>
    <col min="4614" max="4614" width="31.59765625" style="38" bestFit="1" customWidth="1"/>
    <col min="4615" max="4858" width="8.796875" style="38"/>
    <col min="4859" max="4859" width="8.5" style="38" customWidth="1"/>
    <col min="4860" max="4860" width="93.69921875" style="38" customWidth="1"/>
    <col min="4861" max="4861" width="0" style="38" hidden="1" customWidth="1"/>
    <col min="4862" max="4862" width="11.69921875" style="38" customWidth="1"/>
    <col min="4863" max="4863" width="13.5" style="38" customWidth="1"/>
    <col min="4864" max="4864" width="6" style="38" customWidth="1"/>
    <col min="4865" max="4865" width="5.59765625" style="38" customWidth="1"/>
    <col min="4866" max="4866" width="4.59765625" style="38" customWidth="1"/>
    <col min="4867" max="4867" width="5.5" style="38" customWidth="1"/>
    <col min="4868" max="4868" width="14" style="38" customWidth="1"/>
    <col min="4869" max="4869" width="10.59765625" style="38" customWidth="1"/>
    <col min="4870" max="4870" width="31.59765625" style="38" bestFit="1" customWidth="1"/>
    <col min="4871" max="5114" width="8.796875" style="38"/>
    <col min="5115" max="5115" width="8.5" style="38" customWidth="1"/>
    <col min="5116" max="5116" width="93.69921875" style="38" customWidth="1"/>
    <col min="5117" max="5117" width="0" style="38" hidden="1" customWidth="1"/>
    <col min="5118" max="5118" width="11.69921875" style="38" customWidth="1"/>
    <col min="5119" max="5119" width="13.5" style="38" customWidth="1"/>
    <col min="5120" max="5120" width="6" style="38" customWidth="1"/>
    <col min="5121" max="5121" width="5.59765625" style="38" customWidth="1"/>
    <col min="5122" max="5122" width="4.59765625" style="38" customWidth="1"/>
    <col min="5123" max="5123" width="5.5" style="38" customWidth="1"/>
    <col min="5124" max="5124" width="14" style="38" customWidth="1"/>
    <col min="5125" max="5125" width="10.59765625" style="38" customWidth="1"/>
    <col min="5126" max="5126" width="31.59765625" style="38" bestFit="1" customWidth="1"/>
    <col min="5127" max="5370" width="8.796875" style="38"/>
    <col min="5371" max="5371" width="8.5" style="38" customWidth="1"/>
    <col min="5372" max="5372" width="93.69921875" style="38" customWidth="1"/>
    <col min="5373" max="5373" width="0" style="38" hidden="1" customWidth="1"/>
    <col min="5374" max="5374" width="11.69921875" style="38" customWidth="1"/>
    <col min="5375" max="5375" width="13.5" style="38" customWidth="1"/>
    <col min="5376" max="5376" width="6" style="38" customWidth="1"/>
    <col min="5377" max="5377" width="5.59765625" style="38" customWidth="1"/>
    <col min="5378" max="5378" width="4.59765625" style="38" customWidth="1"/>
    <col min="5379" max="5379" width="5.5" style="38" customWidth="1"/>
    <col min="5380" max="5380" width="14" style="38" customWidth="1"/>
    <col min="5381" max="5381" width="10.59765625" style="38" customWidth="1"/>
    <col min="5382" max="5382" width="31.59765625" style="38" bestFit="1" customWidth="1"/>
    <col min="5383" max="5626" width="8.796875" style="38"/>
    <col min="5627" max="5627" width="8.5" style="38" customWidth="1"/>
    <col min="5628" max="5628" width="93.69921875" style="38" customWidth="1"/>
    <col min="5629" max="5629" width="0" style="38" hidden="1" customWidth="1"/>
    <col min="5630" max="5630" width="11.69921875" style="38" customWidth="1"/>
    <col min="5631" max="5631" width="13.5" style="38" customWidth="1"/>
    <col min="5632" max="5632" width="6" style="38" customWidth="1"/>
    <col min="5633" max="5633" width="5.59765625" style="38" customWidth="1"/>
    <col min="5634" max="5634" width="4.59765625" style="38" customWidth="1"/>
    <col min="5635" max="5635" width="5.5" style="38" customWidth="1"/>
    <col min="5636" max="5636" width="14" style="38" customWidth="1"/>
    <col min="5637" max="5637" width="10.59765625" style="38" customWidth="1"/>
    <col min="5638" max="5638" width="31.59765625" style="38" bestFit="1" customWidth="1"/>
    <col min="5639" max="5882" width="8.796875" style="38"/>
    <col min="5883" max="5883" width="8.5" style="38" customWidth="1"/>
    <col min="5884" max="5884" width="93.69921875" style="38" customWidth="1"/>
    <col min="5885" max="5885" width="0" style="38" hidden="1" customWidth="1"/>
    <col min="5886" max="5886" width="11.69921875" style="38" customWidth="1"/>
    <col min="5887" max="5887" width="13.5" style="38" customWidth="1"/>
    <col min="5888" max="5888" width="6" style="38" customWidth="1"/>
    <col min="5889" max="5889" width="5.59765625" style="38" customWidth="1"/>
    <col min="5890" max="5890" width="4.59765625" style="38" customWidth="1"/>
    <col min="5891" max="5891" width="5.5" style="38" customWidth="1"/>
    <col min="5892" max="5892" width="14" style="38" customWidth="1"/>
    <col min="5893" max="5893" width="10.59765625" style="38" customWidth="1"/>
    <col min="5894" max="5894" width="31.59765625" style="38" bestFit="1" customWidth="1"/>
    <col min="5895" max="6138" width="8.796875" style="38"/>
    <col min="6139" max="6139" width="8.5" style="38" customWidth="1"/>
    <col min="6140" max="6140" width="93.69921875" style="38" customWidth="1"/>
    <col min="6141" max="6141" width="0" style="38" hidden="1" customWidth="1"/>
    <col min="6142" max="6142" width="11.69921875" style="38" customWidth="1"/>
    <col min="6143" max="6143" width="13.5" style="38" customWidth="1"/>
    <col min="6144" max="6144" width="6" style="38" customWidth="1"/>
    <col min="6145" max="6145" width="5.59765625" style="38" customWidth="1"/>
    <col min="6146" max="6146" width="4.59765625" style="38" customWidth="1"/>
    <col min="6147" max="6147" width="5.5" style="38" customWidth="1"/>
    <col min="6148" max="6148" width="14" style="38" customWidth="1"/>
    <col min="6149" max="6149" width="10.59765625" style="38" customWidth="1"/>
    <col min="6150" max="6150" width="31.59765625" style="38" bestFit="1" customWidth="1"/>
    <col min="6151" max="6394" width="8.796875" style="38"/>
    <col min="6395" max="6395" width="8.5" style="38" customWidth="1"/>
    <col min="6396" max="6396" width="93.69921875" style="38" customWidth="1"/>
    <col min="6397" max="6397" width="0" style="38" hidden="1" customWidth="1"/>
    <col min="6398" max="6398" width="11.69921875" style="38" customWidth="1"/>
    <col min="6399" max="6399" width="13.5" style="38" customWidth="1"/>
    <col min="6400" max="6400" width="6" style="38" customWidth="1"/>
    <col min="6401" max="6401" width="5.59765625" style="38" customWidth="1"/>
    <col min="6402" max="6402" width="4.59765625" style="38" customWidth="1"/>
    <col min="6403" max="6403" width="5.5" style="38" customWidth="1"/>
    <col min="6404" max="6404" width="14" style="38" customWidth="1"/>
    <col min="6405" max="6405" width="10.59765625" style="38" customWidth="1"/>
    <col min="6406" max="6406" width="31.59765625" style="38" bestFit="1" customWidth="1"/>
    <col min="6407" max="6650" width="8.796875" style="38"/>
    <col min="6651" max="6651" width="8.5" style="38" customWidth="1"/>
    <col min="6652" max="6652" width="93.69921875" style="38" customWidth="1"/>
    <col min="6653" max="6653" width="0" style="38" hidden="1" customWidth="1"/>
    <col min="6654" max="6654" width="11.69921875" style="38" customWidth="1"/>
    <col min="6655" max="6655" width="13.5" style="38" customWidth="1"/>
    <col min="6656" max="6656" width="6" style="38" customWidth="1"/>
    <col min="6657" max="6657" width="5.59765625" style="38" customWidth="1"/>
    <col min="6658" max="6658" width="4.59765625" style="38" customWidth="1"/>
    <col min="6659" max="6659" width="5.5" style="38" customWidth="1"/>
    <col min="6660" max="6660" width="14" style="38" customWidth="1"/>
    <col min="6661" max="6661" width="10.59765625" style="38" customWidth="1"/>
    <col min="6662" max="6662" width="31.59765625" style="38" bestFit="1" customWidth="1"/>
    <col min="6663" max="6906" width="8.796875" style="38"/>
    <col min="6907" max="6907" width="8.5" style="38" customWidth="1"/>
    <col min="6908" max="6908" width="93.69921875" style="38" customWidth="1"/>
    <col min="6909" max="6909" width="0" style="38" hidden="1" customWidth="1"/>
    <col min="6910" max="6910" width="11.69921875" style="38" customWidth="1"/>
    <col min="6911" max="6911" width="13.5" style="38" customWidth="1"/>
    <col min="6912" max="6912" width="6" style="38" customWidth="1"/>
    <col min="6913" max="6913" width="5.59765625" style="38" customWidth="1"/>
    <col min="6914" max="6914" width="4.59765625" style="38" customWidth="1"/>
    <col min="6915" max="6915" width="5.5" style="38" customWidth="1"/>
    <col min="6916" max="6916" width="14" style="38" customWidth="1"/>
    <col min="6917" max="6917" width="10.59765625" style="38" customWidth="1"/>
    <col min="6918" max="6918" width="31.59765625" style="38" bestFit="1" customWidth="1"/>
    <col min="6919" max="7162" width="8.796875" style="38"/>
    <col min="7163" max="7163" width="8.5" style="38" customWidth="1"/>
    <col min="7164" max="7164" width="93.69921875" style="38" customWidth="1"/>
    <col min="7165" max="7165" width="0" style="38" hidden="1" customWidth="1"/>
    <col min="7166" max="7166" width="11.69921875" style="38" customWidth="1"/>
    <col min="7167" max="7167" width="13.5" style="38" customWidth="1"/>
    <col min="7168" max="7168" width="6" style="38" customWidth="1"/>
    <col min="7169" max="7169" width="5.59765625" style="38" customWidth="1"/>
    <col min="7170" max="7170" width="4.59765625" style="38" customWidth="1"/>
    <col min="7171" max="7171" width="5.5" style="38" customWidth="1"/>
    <col min="7172" max="7172" width="14" style="38" customWidth="1"/>
    <col min="7173" max="7173" width="10.59765625" style="38" customWidth="1"/>
    <col min="7174" max="7174" width="31.59765625" style="38" bestFit="1" customWidth="1"/>
    <col min="7175" max="7418" width="8.796875" style="38"/>
    <col min="7419" max="7419" width="8.5" style="38" customWidth="1"/>
    <col min="7420" max="7420" width="93.69921875" style="38" customWidth="1"/>
    <col min="7421" max="7421" width="0" style="38" hidden="1" customWidth="1"/>
    <col min="7422" max="7422" width="11.69921875" style="38" customWidth="1"/>
    <col min="7423" max="7423" width="13.5" style="38" customWidth="1"/>
    <col min="7424" max="7424" width="6" style="38" customWidth="1"/>
    <col min="7425" max="7425" width="5.59765625" style="38" customWidth="1"/>
    <col min="7426" max="7426" width="4.59765625" style="38" customWidth="1"/>
    <col min="7427" max="7427" width="5.5" style="38" customWidth="1"/>
    <col min="7428" max="7428" width="14" style="38" customWidth="1"/>
    <col min="7429" max="7429" width="10.59765625" style="38" customWidth="1"/>
    <col min="7430" max="7430" width="31.59765625" style="38" bestFit="1" customWidth="1"/>
    <col min="7431" max="7674" width="8.796875" style="38"/>
    <col min="7675" max="7675" width="8.5" style="38" customWidth="1"/>
    <col min="7676" max="7676" width="93.69921875" style="38" customWidth="1"/>
    <col min="7677" max="7677" width="0" style="38" hidden="1" customWidth="1"/>
    <col min="7678" max="7678" width="11.69921875" style="38" customWidth="1"/>
    <col min="7679" max="7679" width="13.5" style="38" customWidth="1"/>
    <col min="7680" max="7680" width="6" style="38" customWidth="1"/>
    <col min="7681" max="7681" width="5.59765625" style="38" customWidth="1"/>
    <col min="7682" max="7682" width="4.59765625" style="38" customWidth="1"/>
    <col min="7683" max="7683" width="5.5" style="38" customWidth="1"/>
    <col min="7684" max="7684" width="14" style="38" customWidth="1"/>
    <col min="7685" max="7685" width="10.59765625" style="38" customWidth="1"/>
    <col min="7686" max="7686" width="31.59765625" style="38" bestFit="1" customWidth="1"/>
    <col min="7687" max="7930" width="8.796875" style="38"/>
    <col min="7931" max="7931" width="8.5" style="38" customWidth="1"/>
    <col min="7932" max="7932" width="93.69921875" style="38" customWidth="1"/>
    <col min="7933" max="7933" width="0" style="38" hidden="1" customWidth="1"/>
    <col min="7934" max="7934" width="11.69921875" style="38" customWidth="1"/>
    <col min="7935" max="7935" width="13.5" style="38" customWidth="1"/>
    <col min="7936" max="7936" width="6" style="38" customWidth="1"/>
    <col min="7937" max="7937" width="5.59765625" style="38" customWidth="1"/>
    <col min="7938" max="7938" width="4.59765625" style="38" customWidth="1"/>
    <col min="7939" max="7939" width="5.5" style="38" customWidth="1"/>
    <col min="7940" max="7940" width="14" style="38" customWidth="1"/>
    <col min="7941" max="7941" width="10.59765625" style="38" customWidth="1"/>
    <col min="7942" max="7942" width="31.59765625" style="38" bestFit="1" customWidth="1"/>
    <col min="7943" max="8186" width="8.796875" style="38"/>
    <col min="8187" max="8187" width="8.5" style="38" customWidth="1"/>
    <col min="8188" max="8188" width="93.69921875" style="38" customWidth="1"/>
    <col min="8189" max="8189" width="0" style="38" hidden="1" customWidth="1"/>
    <col min="8190" max="8190" width="11.69921875" style="38" customWidth="1"/>
    <col min="8191" max="8191" width="13.5" style="38" customWidth="1"/>
    <col min="8192" max="8192" width="6" style="38" customWidth="1"/>
    <col min="8193" max="8193" width="5.59765625" style="38" customWidth="1"/>
    <col min="8194" max="8194" width="4.59765625" style="38" customWidth="1"/>
    <col min="8195" max="8195" width="5.5" style="38" customWidth="1"/>
    <col min="8196" max="8196" width="14" style="38" customWidth="1"/>
    <col min="8197" max="8197" width="10.59765625" style="38" customWidth="1"/>
    <col min="8198" max="8198" width="31.59765625" style="38" bestFit="1" customWidth="1"/>
    <col min="8199" max="8442" width="8.796875" style="38"/>
    <col min="8443" max="8443" width="8.5" style="38" customWidth="1"/>
    <col min="8444" max="8444" width="93.69921875" style="38" customWidth="1"/>
    <col min="8445" max="8445" width="0" style="38" hidden="1" customWidth="1"/>
    <col min="8446" max="8446" width="11.69921875" style="38" customWidth="1"/>
    <col min="8447" max="8447" width="13.5" style="38" customWidth="1"/>
    <col min="8448" max="8448" width="6" style="38" customWidth="1"/>
    <col min="8449" max="8449" width="5.59765625" style="38" customWidth="1"/>
    <col min="8450" max="8450" width="4.59765625" style="38" customWidth="1"/>
    <col min="8451" max="8451" width="5.5" style="38" customWidth="1"/>
    <col min="8452" max="8452" width="14" style="38" customWidth="1"/>
    <col min="8453" max="8453" width="10.59765625" style="38" customWidth="1"/>
    <col min="8454" max="8454" width="31.59765625" style="38" bestFit="1" customWidth="1"/>
    <col min="8455" max="8698" width="8.796875" style="38"/>
    <col min="8699" max="8699" width="8.5" style="38" customWidth="1"/>
    <col min="8700" max="8700" width="93.69921875" style="38" customWidth="1"/>
    <col min="8701" max="8701" width="0" style="38" hidden="1" customWidth="1"/>
    <col min="8702" max="8702" width="11.69921875" style="38" customWidth="1"/>
    <col min="8703" max="8703" width="13.5" style="38" customWidth="1"/>
    <col min="8704" max="8704" width="6" style="38" customWidth="1"/>
    <col min="8705" max="8705" width="5.59765625" style="38" customWidth="1"/>
    <col min="8706" max="8706" width="4.59765625" style="38" customWidth="1"/>
    <col min="8707" max="8707" width="5.5" style="38" customWidth="1"/>
    <col min="8708" max="8708" width="14" style="38" customWidth="1"/>
    <col min="8709" max="8709" width="10.59765625" style="38" customWidth="1"/>
    <col min="8710" max="8710" width="31.59765625" style="38" bestFit="1" customWidth="1"/>
    <col min="8711" max="8954" width="8.796875" style="38"/>
    <col min="8955" max="8955" width="8.5" style="38" customWidth="1"/>
    <col min="8956" max="8956" width="93.69921875" style="38" customWidth="1"/>
    <col min="8957" max="8957" width="0" style="38" hidden="1" customWidth="1"/>
    <col min="8958" max="8958" width="11.69921875" style="38" customWidth="1"/>
    <col min="8959" max="8959" width="13.5" style="38" customWidth="1"/>
    <col min="8960" max="8960" width="6" style="38" customWidth="1"/>
    <col min="8961" max="8961" width="5.59765625" style="38" customWidth="1"/>
    <col min="8962" max="8962" width="4.59765625" style="38" customWidth="1"/>
    <col min="8963" max="8963" width="5.5" style="38" customWidth="1"/>
    <col min="8964" max="8964" width="14" style="38" customWidth="1"/>
    <col min="8965" max="8965" width="10.59765625" style="38" customWidth="1"/>
    <col min="8966" max="8966" width="31.59765625" style="38" bestFit="1" customWidth="1"/>
    <col min="8967" max="9210" width="8.796875" style="38"/>
    <col min="9211" max="9211" width="8.5" style="38" customWidth="1"/>
    <col min="9212" max="9212" width="93.69921875" style="38" customWidth="1"/>
    <col min="9213" max="9213" width="0" style="38" hidden="1" customWidth="1"/>
    <col min="9214" max="9214" width="11.69921875" style="38" customWidth="1"/>
    <col min="9215" max="9215" width="13.5" style="38" customWidth="1"/>
    <col min="9216" max="9216" width="6" style="38" customWidth="1"/>
    <col min="9217" max="9217" width="5.59765625" style="38" customWidth="1"/>
    <col min="9218" max="9218" width="4.59765625" style="38" customWidth="1"/>
    <col min="9219" max="9219" width="5.5" style="38" customWidth="1"/>
    <col min="9220" max="9220" width="14" style="38" customWidth="1"/>
    <col min="9221" max="9221" width="10.59765625" style="38" customWidth="1"/>
    <col min="9222" max="9222" width="31.59765625" style="38" bestFit="1" customWidth="1"/>
    <col min="9223" max="9466" width="8.796875" style="38"/>
    <col min="9467" max="9467" width="8.5" style="38" customWidth="1"/>
    <col min="9468" max="9468" width="93.69921875" style="38" customWidth="1"/>
    <col min="9469" max="9469" width="0" style="38" hidden="1" customWidth="1"/>
    <col min="9470" max="9470" width="11.69921875" style="38" customWidth="1"/>
    <col min="9471" max="9471" width="13.5" style="38" customWidth="1"/>
    <col min="9472" max="9472" width="6" style="38" customWidth="1"/>
    <col min="9473" max="9473" width="5.59765625" style="38" customWidth="1"/>
    <col min="9474" max="9474" width="4.59765625" style="38" customWidth="1"/>
    <col min="9475" max="9475" width="5.5" style="38" customWidth="1"/>
    <col min="9476" max="9476" width="14" style="38" customWidth="1"/>
    <col min="9477" max="9477" width="10.59765625" style="38" customWidth="1"/>
    <col min="9478" max="9478" width="31.59765625" style="38" bestFit="1" customWidth="1"/>
    <col min="9479" max="9722" width="8.796875" style="38"/>
    <col min="9723" max="9723" width="8.5" style="38" customWidth="1"/>
    <col min="9724" max="9724" width="93.69921875" style="38" customWidth="1"/>
    <col min="9725" max="9725" width="0" style="38" hidden="1" customWidth="1"/>
    <col min="9726" max="9726" width="11.69921875" style="38" customWidth="1"/>
    <col min="9727" max="9727" width="13.5" style="38" customWidth="1"/>
    <col min="9728" max="9728" width="6" style="38" customWidth="1"/>
    <col min="9729" max="9729" width="5.59765625" style="38" customWidth="1"/>
    <col min="9730" max="9730" width="4.59765625" style="38" customWidth="1"/>
    <col min="9731" max="9731" width="5.5" style="38" customWidth="1"/>
    <col min="9732" max="9732" width="14" style="38" customWidth="1"/>
    <col min="9733" max="9733" width="10.59765625" style="38" customWidth="1"/>
    <col min="9734" max="9734" width="31.59765625" style="38" bestFit="1" customWidth="1"/>
    <col min="9735" max="9978" width="8.796875" style="38"/>
    <col min="9979" max="9979" width="8.5" style="38" customWidth="1"/>
    <col min="9980" max="9980" width="93.69921875" style="38" customWidth="1"/>
    <col min="9981" max="9981" width="0" style="38" hidden="1" customWidth="1"/>
    <col min="9982" max="9982" width="11.69921875" style="38" customWidth="1"/>
    <col min="9983" max="9983" width="13.5" style="38" customWidth="1"/>
    <col min="9984" max="9984" width="6" style="38" customWidth="1"/>
    <col min="9985" max="9985" width="5.59765625" style="38" customWidth="1"/>
    <col min="9986" max="9986" width="4.59765625" style="38" customWidth="1"/>
    <col min="9987" max="9987" width="5.5" style="38" customWidth="1"/>
    <col min="9988" max="9988" width="14" style="38" customWidth="1"/>
    <col min="9989" max="9989" width="10.59765625" style="38" customWidth="1"/>
    <col min="9990" max="9990" width="31.59765625" style="38" bestFit="1" customWidth="1"/>
    <col min="9991" max="10234" width="8.796875" style="38"/>
    <col min="10235" max="10235" width="8.5" style="38" customWidth="1"/>
    <col min="10236" max="10236" width="93.69921875" style="38" customWidth="1"/>
    <col min="10237" max="10237" width="0" style="38" hidden="1" customWidth="1"/>
    <col min="10238" max="10238" width="11.69921875" style="38" customWidth="1"/>
    <col min="10239" max="10239" width="13.5" style="38" customWidth="1"/>
    <col min="10240" max="10240" width="6" style="38" customWidth="1"/>
    <col min="10241" max="10241" width="5.59765625" style="38" customWidth="1"/>
    <col min="10242" max="10242" width="4.59765625" style="38" customWidth="1"/>
    <col min="10243" max="10243" width="5.5" style="38" customWidth="1"/>
    <col min="10244" max="10244" width="14" style="38" customWidth="1"/>
    <col min="10245" max="10245" width="10.59765625" style="38" customWidth="1"/>
    <col min="10246" max="10246" width="31.59765625" style="38" bestFit="1" customWidth="1"/>
    <col min="10247" max="10490" width="8.796875" style="38"/>
    <col min="10491" max="10491" width="8.5" style="38" customWidth="1"/>
    <col min="10492" max="10492" width="93.69921875" style="38" customWidth="1"/>
    <col min="10493" max="10493" width="0" style="38" hidden="1" customWidth="1"/>
    <col min="10494" max="10494" width="11.69921875" style="38" customWidth="1"/>
    <col min="10495" max="10495" width="13.5" style="38" customWidth="1"/>
    <col min="10496" max="10496" width="6" style="38" customWidth="1"/>
    <col min="10497" max="10497" width="5.59765625" style="38" customWidth="1"/>
    <col min="10498" max="10498" width="4.59765625" style="38" customWidth="1"/>
    <col min="10499" max="10499" width="5.5" style="38" customWidth="1"/>
    <col min="10500" max="10500" width="14" style="38" customWidth="1"/>
    <col min="10501" max="10501" width="10.59765625" style="38" customWidth="1"/>
    <col min="10502" max="10502" width="31.59765625" style="38" bestFit="1" customWidth="1"/>
    <col min="10503" max="10746" width="8.796875" style="38"/>
    <col min="10747" max="10747" width="8.5" style="38" customWidth="1"/>
    <col min="10748" max="10748" width="93.69921875" style="38" customWidth="1"/>
    <col min="10749" max="10749" width="0" style="38" hidden="1" customWidth="1"/>
    <col min="10750" max="10750" width="11.69921875" style="38" customWidth="1"/>
    <col min="10751" max="10751" width="13.5" style="38" customWidth="1"/>
    <col min="10752" max="10752" width="6" style="38" customWidth="1"/>
    <col min="10753" max="10753" width="5.59765625" style="38" customWidth="1"/>
    <col min="10754" max="10754" width="4.59765625" style="38" customWidth="1"/>
    <col min="10755" max="10755" width="5.5" style="38" customWidth="1"/>
    <col min="10756" max="10756" width="14" style="38" customWidth="1"/>
    <col min="10757" max="10757" width="10.59765625" style="38" customWidth="1"/>
    <col min="10758" max="10758" width="31.59765625" style="38" bestFit="1" customWidth="1"/>
    <col min="10759" max="11002" width="8.796875" style="38"/>
    <col min="11003" max="11003" width="8.5" style="38" customWidth="1"/>
    <col min="11004" max="11004" width="93.69921875" style="38" customWidth="1"/>
    <col min="11005" max="11005" width="0" style="38" hidden="1" customWidth="1"/>
    <col min="11006" max="11006" width="11.69921875" style="38" customWidth="1"/>
    <col min="11007" max="11007" width="13.5" style="38" customWidth="1"/>
    <col min="11008" max="11008" width="6" style="38" customWidth="1"/>
    <col min="11009" max="11009" width="5.59765625" style="38" customWidth="1"/>
    <col min="11010" max="11010" width="4.59765625" style="38" customWidth="1"/>
    <col min="11011" max="11011" width="5.5" style="38" customWidth="1"/>
    <col min="11012" max="11012" width="14" style="38" customWidth="1"/>
    <col min="11013" max="11013" width="10.59765625" style="38" customWidth="1"/>
    <col min="11014" max="11014" width="31.59765625" style="38" bestFit="1" customWidth="1"/>
    <col min="11015" max="11258" width="8.796875" style="38"/>
    <col min="11259" max="11259" width="8.5" style="38" customWidth="1"/>
    <col min="11260" max="11260" width="93.69921875" style="38" customWidth="1"/>
    <col min="11261" max="11261" width="0" style="38" hidden="1" customWidth="1"/>
    <col min="11262" max="11262" width="11.69921875" style="38" customWidth="1"/>
    <col min="11263" max="11263" width="13.5" style="38" customWidth="1"/>
    <col min="11264" max="11264" width="6" style="38" customWidth="1"/>
    <col min="11265" max="11265" width="5.59765625" style="38" customWidth="1"/>
    <col min="11266" max="11266" width="4.59765625" style="38" customWidth="1"/>
    <col min="11267" max="11267" width="5.5" style="38" customWidth="1"/>
    <col min="11268" max="11268" width="14" style="38" customWidth="1"/>
    <col min="11269" max="11269" width="10.59765625" style="38" customWidth="1"/>
    <col min="11270" max="11270" width="31.59765625" style="38" bestFit="1" customWidth="1"/>
    <col min="11271" max="11514" width="8.796875" style="38"/>
    <col min="11515" max="11515" width="8.5" style="38" customWidth="1"/>
    <col min="11516" max="11516" width="93.69921875" style="38" customWidth="1"/>
    <col min="11517" max="11517" width="0" style="38" hidden="1" customWidth="1"/>
    <col min="11518" max="11518" width="11.69921875" style="38" customWidth="1"/>
    <col min="11519" max="11519" width="13.5" style="38" customWidth="1"/>
    <col min="11520" max="11520" width="6" style="38" customWidth="1"/>
    <col min="11521" max="11521" width="5.59765625" style="38" customWidth="1"/>
    <col min="11522" max="11522" width="4.59765625" style="38" customWidth="1"/>
    <col min="11523" max="11523" width="5.5" style="38" customWidth="1"/>
    <col min="11524" max="11524" width="14" style="38" customWidth="1"/>
    <col min="11525" max="11525" width="10.59765625" style="38" customWidth="1"/>
    <col min="11526" max="11526" width="31.59765625" style="38" bestFit="1" customWidth="1"/>
    <col min="11527" max="11770" width="8.796875" style="38"/>
    <col min="11771" max="11771" width="8.5" style="38" customWidth="1"/>
    <col min="11772" max="11772" width="93.69921875" style="38" customWidth="1"/>
    <col min="11773" max="11773" width="0" style="38" hidden="1" customWidth="1"/>
    <col min="11774" max="11774" width="11.69921875" style="38" customWidth="1"/>
    <col min="11775" max="11775" width="13.5" style="38" customWidth="1"/>
    <col min="11776" max="11776" width="6" style="38" customWidth="1"/>
    <col min="11777" max="11777" width="5.59765625" style="38" customWidth="1"/>
    <col min="11778" max="11778" width="4.59765625" style="38" customWidth="1"/>
    <col min="11779" max="11779" width="5.5" style="38" customWidth="1"/>
    <col min="11780" max="11780" width="14" style="38" customWidth="1"/>
    <col min="11781" max="11781" width="10.59765625" style="38" customWidth="1"/>
    <col min="11782" max="11782" width="31.59765625" style="38" bestFit="1" customWidth="1"/>
    <col min="11783" max="12026" width="8.796875" style="38"/>
    <col min="12027" max="12027" width="8.5" style="38" customWidth="1"/>
    <col min="12028" max="12028" width="93.69921875" style="38" customWidth="1"/>
    <col min="12029" max="12029" width="0" style="38" hidden="1" customWidth="1"/>
    <col min="12030" max="12030" width="11.69921875" style="38" customWidth="1"/>
    <col min="12031" max="12031" width="13.5" style="38" customWidth="1"/>
    <col min="12032" max="12032" width="6" style="38" customWidth="1"/>
    <col min="12033" max="12033" width="5.59765625" style="38" customWidth="1"/>
    <col min="12034" max="12034" width="4.59765625" style="38" customWidth="1"/>
    <col min="12035" max="12035" width="5.5" style="38" customWidth="1"/>
    <col min="12036" max="12036" width="14" style="38" customWidth="1"/>
    <col min="12037" max="12037" width="10.59765625" style="38" customWidth="1"/>
    <col min="12038" max="12038" width="31.59765625" style="38" bestFit="1" customWidth="1"/>
    <col min="12039" max="12282" width="8.796875" style="38"/>
    <col min="12283" max="12283" width="8.5" style="38" customWidth="1"/>
    <col min="12284" max="12284" width="93.69921875" style="38" customWidth="1"/>
    <col min="12285" max="12285" width="0" style="38" hidden="1" customWidth="1"/>
    <col min="12286" max="12286" width="11.69921875" style="38" customWidth="1"/>
    <col min="12287" max="12287" width="13.5" style="38" customWidth="1"/>
    <col min="12288" max="12288" width="6" style="38" customWidth="1"/>
    <col min="12289" max="12289" width="5.59765625" style="38" customWidth="1"/>
    <col min="12290" max="12290" width="4.59765625" style="38" customWidth="1"/>
    <col min="12291" max="12291" width="5.5" style="38" customWidth="1"/>
    <col min="12292" max="12292" width="14" style="38" customWidth="1"/>
    <col min="12293" max="12293" width="10.59765625" style="38" customWidth="1"/>
    <col min="12294" max="12294" width="31.59765625" style="38" bestFit="1" customWidth="1"/>
    <col min="12295" max="12538" width="8.796875" style="38"/>
    <col min="12539" max="12539" width="8.5" style="38" customWidth="1"/>
    <col min="12540" max="12540" width="93.69921875" style="38" customWidth="1"/>
    <col min="12541" max="12541" width="0" style="38" hidden="1" customWidth="1"/>
    <col min="12542" max="12542" width="11.69921875" style="38" customWidth="1"/>
    <col min="12543" max="12543" width="13.5" style="38" customWidth="1"/>
    <col min="12544" max="12544" width="6" style="38" customWidth="1"/>
    <col min="12545" max="12545" width="5.59765625" style="38" customWidth="1"/>
    <col min="12546" max="12546" width="4.59765625" style="38" customWidth="1"/>
    <col min="12547" max="12547" width="5.5" style="38" customWidth="1"/>
    <col min="12548" max="12548" width="14" style="38" customWidth="1"/>
    <col min="12549" max="12549" width="10.59765625" style="38" customWidth="1"/>
    <col min="12550" max="12550" width="31.59765625" style="38" bestFit="1" customWidth="1"/>
    <col min="12551" max="12794" width="8.796875" style="38"/>
    <col min="12795" max="12795" width="8.5" style="38" customWidth="1"/>
    <col min="12796" max="12796" width="93.69921875" style="38" customWidth="1"/>
    <col min="12797" max="12797" width="0" style="38" hidden="1" customWidth="1"/>
    <col min="12798" max="12798" width="11.69921875" style="38" customWidth="1"/>
    <col min="12799" max="12799" width="13.5" style="38" customWidth="1"/>
    <col min="12800" max="12800" width="6" style="38" customWidth="1"/>
    <col min="12801" max="12801" width="5.59765625" style="38" customWidth="1"/>
    <col min="12802" max="12802" width="4.59765625" style="38" customWidth="1"/>
    <col min="12803" max="12803" width="5.5" style="38" customWidth="1"/>
    <col min="12804" max="12804" width="14" style="38" customWidth="1"/>
    <col min="12805" max="12805" width="10.59765625" style="38" customWidth="1"/>
    <col min="12806" max="12806" width="31.59765625" style="38" bestFit="1" customWidth="1"/>
    <col min="12807" max="13050" width="8.796875" style="38"/>
    <col min="13051" max="13051" width="8.5" style="38" customWidth="1"/>
    <col min="13052" max="13052" width="93.69921875" style="38" customWidth="1"/>
    <col min="13053" max="13053" width="0" style="38" hidden="1" customWidth="1"/>
    <col min="13054" max="13054" width="11.69921875" style="38" customWidth="1"/>
    <col min="13055" max="13055" width="13.5" style="38" customWidth="1"/>
    <col min="13056" max="13056" width="6" style="38" customWidth="1"/>
    <col min="13057" max="13057" width="5.59765625" style="38" customWidth="1"/>
    <col min="13058" max="13058" width="4.59765625" style="38" customWidth="1"/>
    <col min="13059" max="13059" width="5.5" style="38" customWidth="1"/>
    <col min="13060" max="13060" width="14" style="38" customWidth="1"/>
    <col min="13061" max="13061" width="10.59765625" style="38" customWidth="1"/>
    <col min="13062" max="13062" width="31.59765625" style="38" bestFit="1" customWidth="1"/>
    <col min="13063" max="13306" width="8.796875" style="38"/>
    <col min="13307" max="13307" width="8.5" style="38" customWidth="1"/>
    <col min="13308" max="13308" width="93.69921875" style="38" customWidth="1"/>
    <col min="13309" max="13309" width="0" style="38" hidden="1" customWidth="1"/>
    <col min="13310" max="13310" width="11.69921875" style="38" customWidth="1"/>
    <col min="13311" max="13311" width="13.5" style="38" customWidth="1"/>
    <col min="13312" max="13312" width="6" style="38" customWidth="1"/>
    <col min="13313" max="13313" width="5.59765625" style="38" customWidth="1"/>
    <col min="13314" max="13314" width="4.59765625" style="38" customWidth="1"/>
    <col min="13315" max="13315" width="5.5" style="38" customWidth="1"/>
    <col min="13316" max="13316" width="14" style="38" customWidth="1"/>
    <col min="13317" max="13317" width="10.59765625" style="38" customWidth="1"/>
    <col min="13318" max="13318" width="31.59765625" style="38" bestFit="1" customWidth="1"/>
    <col min="13319" max="13562" width="8.796875" style="38"/>
    <col min="13563" max="13563" width="8.5" style="38" customWidth="1"/>
    <col min="13564" max="13564" width="93.69921875" style="38" customWidth="1"/>
    <col min="13565" max="13565" width="0" style="38" hidden="1" customWidth="1"/>
    <col min="13566" max="13566" width="11.69921875" style="38" customWidth="1"/>
    <col min="13567" max="13567" width="13.5" style="38" customWidth="1"/>
    <col min="13568" max="13568" width="6" style="38" customWidth="1"/>
    <col min="13569" max="13569" width="5.59765625" style="38" customWidth="1"/>
    <col min="13570" max="13570" width="4.59765625" style="38" customWidth="1"/>
    <col min="13571" max="13571" width="5.5" style="38" customWidth="1"/>
    <col min="13572" max="13572" width="14" style="38" customWidth="1"/>
    <col min="13573" max="13573" width="10.59765625" style="38" customWidth="1"/>
    <col min="13574" max="13574" width="31.59765625" style="38" bestFit="1" customWidth="1"/>
    <col min="13575" max="13818" width="8.796875" style="38"/>
    <col min="13819" max="13819" width="8.5" style="38" customWidth="1"/>
    <col min="13820" max="13820" width="93.69921875" style="38" customWidth="1"/>
    <col min="13821" max="13821" width="0" style="38" hidden="1" customWidth="1"/>
    <col min="13822" max="13822" width="11.69921875" style="38" customWidth="1"/>
    <col min="13823" max="13823" width="13.5" style="38" customWidth="1"/>
    <col min="13824" max="13824" width="6" style="38" customWidth="1"/>
    <col min="13825" max="13825" width="5.59765625" style="38" customWidth="1"/>
    <col min="13826" max="13826" width="4.59765625" style="38" customWidth="1"/>
    <col min="13827" max="13827" width="5.5" style="38" customWidth="1"/>
    <col min="13828" max="13828" width="14" style="38" customWidth="1"/>
    <col min="13829" max="13829" width="10.59765625" style="38" customWidth="1"/>
    <col min="13830" max="13830" width="31.59765625" style="38" bestFit="1" customWidth="1"/>
    <col min="13831" max="14074" width="8.796875" style="38"/>
    <col min="14075" max="14075" width="8.5" style="38" customWidth="1"/>
    <col min="14076" max="14076" width="93.69921875" style="38" customWidth="1"/>
    <col min="14077" max="14077" width="0" style="38" hidden="1" customWidth="1"/>
    <col min="14078" max="14078" width="11.69921875" style="38" customWidth="1"/>
    <col min="14079" max="14079" width="13.5" style="38" customWidth="1"/>
    <col min="14080" max="14080" width="6" style="38" customWidth="1"/>
    <col min="14081" max="14081" width="5.59765625" style="38" customWidth="1"/>
    <col min="14082" max="14082" width="4.59765625" style="38" customWidth="1"/>
    <col min="14083" max="14083" width="5.5" style="38" customWidth="1"/>
    <col min="14084" max="14084" width="14" style="38" customWidth="1"/>
    <col min="14085" max="14085" width="10.59765625" style="38" customWidth="1"/>
    <col min="14086" max="14086" width="31.59765625" style="38" bestFit="1" customWidth="1"/>
    <col min="14087" max="14330" width="8.796875" style="38"/>
    <col min="14331" max="14331" width="8.5" style="38" customWidth="1"/>
    <col min="14332" max="14332" width="93.69921875" style="38" customWidth="1"/>
    <col min="14333" max="14333" width="0" style="38" hidden="1" customWidth="1"/>
    <col min="14334" max="14334" width="11.69921875" style="38" customWidth="1"/>
    <col min="14335" max="14335" width="13.5" style="38" customWidth="1"/>
    <col min="14336" max="14336" width="6" style="38" customWidth="1"/>
    <col min="14337" max="14337" width="5.59765625" style="38" customWidth="1"/>
    <col min="14338" max="14338" width="4.59765625" style="38" customWidth="1"/>
    <col min="14339" max="14339" width="5.5" style="38" customWidth="1"/>
    <col min="14340" max="14340" width="14" style="38" customWidth="1"/>
    <col min="14341" max="14341" width="10.59765625" style="38" customWidth="1"/>
    <col min="14342" max="14342" width="31.59765625" style="38" bestFit="1" customWidth="1"/>
    <col min="14343" max="14586" width="8.796875" style="38"/>
    <col min="14587" max="14587" width="8.5" style="38" customWidth="1"/>
    <col min="14588" max="14588" width="93.69921875" style="38" customWidth="1"/>
    <col min="14589" max="14589" width="0" style="38" hidden="1" customWidth="1"/>
    <col min="14590" max="14590" width="11.69921875" style="38" customWidth="1"/>
    <col min="14591" max="14591" width="13.5" style="38" customWidth="1"/>
    <col min="14592" max="14592" width="6" style="38" customWidth="1"/>
    <col min="14593" max="14593" width="5.59765625" style="38" customWidth="1"/>
    <col min="14594" max="14594" width="4.59765625" style="38" customWidth="1"/>
    <col min="14595" max="14595" width="5.5" style="38" customWidth="1"/>
    <col min="14596" max="14596" width="14" style="38" customWidth="1"/>
    <col min="14597" max="14597" width="10.59765625" style="38" customWidth="1"/>
    <col min="14598" max="14598" width="31.59765625" style="38" bestFit="1" customWidth="1"/>
    <col min="14599" max="14842" width="8.796875" style="38"/>
    <col min="14843" max="14843" width="8.5" style="38" customWidth="1"/>
    <col min="14844" max="14844" width="93.69921875" style="38" customWidth="1"/>
    <col min="14845" max="14845" width="0" style="38" hidden="1" customWidth="1"/>
    <col min="14846" max="14846" width="11.69921875" style="38" customWidth="1"/>
    <col min="14847" max="14847" width="13.5" style="38" customWidth="1"/>
    <col min="14848" max="14848" width="6" style="38" customWidth="1"/>
    <col min="14849" max="14849" width="5.59765625" style="38" customWidth="1"/>
    <col min="14850" max="14850" width="4.59765625" style="38" customWidth="1"/>
    <col min="14851" max="14851" width="5.5" style="38" customWidth="1"/>
    <col min="14852" max="14852" width="14" style="38" customWidth="1"/>
    <col min="14853" max="14853" width="10.59765625" style="38" customWidth="1"/>
    <col min="14854" max="14854" width="31.59765625" style="38" bestFit="1" customWidth="1"/>
    <col min="14855" max="15098" width="8.796875" style="38"/>
    <col min="15099" max="15099" width="8.5" style="38" customWidth="1"/>
    <col min="15100" max="15100" width="93.69921875" style="38" customWidth="1"/>
    <col min="15101" max="15101" width="0" style="38" hidden="1" customWidth="1"/>
    <col min="15102" max="15102" width="11.69921875" style="38" customWidth="1"/>
    <col min="15103" max="15103" width="13.5" style="38" customWidth="1"/>
    <col min="15104" max="15104" width="6" style="38" customWidth="1"/>
    <col min="15105" max="15105" width="5.59765625" style="38" customWidth="1"/>
    <col min="15106" max="15106" width="4.59765625" style="38" customWidth="1"/>
    <col min="15107" max="15107" width="5.5" style="38" customWidth="1"/>
    <col min="15108" max="15108" width="14" style="38" customWidth="1"/>
    <col min="15109" max="15109" width="10.59765625" style="38" customWidth="1"/>
    <col min="15110" max="15110" width="31.59765625" style="38" bestFit="1" customWidth="1"/>
    <col min="15111" max="15354" width="8.796875" style="38"/>
    <col min="15355" max="15355" width="8.5" style="38" customWidth="1"/>
    <col min="15356" max="15356" width="93.69921875" style="38" customWidth="1"/>
    <col min="15357" max="15357" width="0" style="38" hidden="1" customWidth="1"/>
    <col min="15358" max="15358" width="11.69921875" style="38" customWidth="1"/>
    <col min="15359" max="15359" width="13.5" style="38" customWidth="1"/>
    <col min="15360" max="15360" width="6" style="38" customWidth="1"/>
    <col min="15361" max="15361" width="5.59765625" style="38" customWidth="1"/>
    <col min="15362" max="15362" width="4.59765625" style="38" customWidth="1"/>
    <col min="15363" max="15363" width="5.5" style="38" customWidth="1"/>
    <col min="15364" max="15364" width="14" style="38" customWidth="1"/>
    <col min="15365" max="15365" width="10.59765625" style="38" customWidth="1"/>
    <col min="15366" max="15366" width="31.59765625" style="38" bestFit="1" customWidth="1"/>
    <col min="15367" max="15610" width="8.796875" style="38"/>
    <col min="15611" max="15611" width="8.5" style="38" customWidth="1"/>
    <col min="15612" max="15612" width="93.69921875" style="38" customWidth="1"/>
    <col min="15613" max="15613" width="0" style="38" hidden="1" customWidth="1"/>
    <col min="15614" max="15614" width="11.69921875" style="38" customWidth="1"/>
    <col min="15615" max="15615" width="13.5" style="38" customWidth="1"/>
    <col min="15616" max="15616" width="6" style="38" customWidth="1"/>
    <col min="15617" max="15617" width="5.59765625" style="38" customWidth="1"/>
    <col min="15618" max="15618" width="4.59765625" style="38" customWidth="1"/>
    <col min="15619" max="15619" width="5.5" style="38" customWidth="1"/>
    <col min="15620" max="15620" width="14" style="38" customWidth="1"/>
    <col min="15621" max="15621" width="10.59765625" style="38" customWidth="1"/>
    <col min="15622" max="15622" width="31.59765625" style="38" bestFit="1" customWidth="1"/>
    <col min="15623" max="15866" width="8.796875" style="38"/>
    <col min="15867" max="15867" width="8.5" style="38" customWidth="1"/>
    <col min="15868" max="15868" width="93.69921875" style="38" customWidth="1"/>
    <col min="15869" max="15869" width="0" style="38" hidden="1" customWidth="1"/>
    <col min="15870" max="15870" width="11.69921875" style="38" customWidth="1"/>
    <col min="15871" max="15871" width="13.5" style="38" customWidth="1"/>
    <col min="15872" max="15872" width="6" style="38" customWidth="1"/>
    <col min="15873" max="15873" width="5.59765625" style="38" customWidth="1"/>
    <col min="15874" max="15874" width="4.59765625" style="38" customWidth="1"/>
    <col min="15875" max="15875" width="5.5" style="38" customWidth="1"/>
    <col min="15876" max="15876" width="14" style="38" customWidth="1"/>
    <col min="15877" max="15877" width="10.59765625" style="38" customWidth="1"/>
    <col min="15878" max="15878" width="31.59765625" style="38" bestFit="1" customWidth="1"/>
    <col min="15879" max="16122" width="8.796875" style="38"/>
    <col min="16123" max="16123" width="8.5" style="38" customWidth="1"/>
    <col min="16124" max="16124" width="93.69921875" style="38" customWidth="1"/>
    <col min="16125" max="16125" width="0" style="38" hidden="1" customWidth="1"/>
    <col min="16126" max="16126" width="11.69921875" style="38" customWidth="1"/>
    <col min="16127" max="16127" width="13.5" style="38" customWidth="1"/>
    <col min="16128" max="16128" width="6" style="38" customWidth="1"/>
    <col min="16129" max="16129" width="5.59765625" style="38" customWidth="1"/>
    <col min="16130" max="16130" width="4.59765625" style="38" customWidth="1"/>
    <col min="16131" max="16131" width="5.5" style="38" customWidth="1"/>
    <col min="16132" max="16132" width="14" style="38" customWidth="1"/>
    <col min="16133" max="16133" width="10.59765625" style="38" customWidth="1"/>
    <col min="16134" max="16134" width="31.59765625" style="38" bestFit="1" customWidth="1"/>
    <col min="16135" max="16384" width="8.796875" style="38"/>
  </cols>
  <sheetData>
    <row r="1" spans="1:10" s="146" customFormat="1" ht="19.95" customHeight="1">
      <c r="A1" s="622" t="s">
        <v>497</v>
      </c>
      <c r="B1" s="622"/>
      <c r="C1" s="622"/>
      <c r="D1" s="622"/>
      <c r="E1" s="622"/>
      <c r="F1" s="622"/>
      <c r="G1" s="622"/>
      <c r="H1" s="622"/>
      <c r="I1" s="622"/>
    </row>
    <row r="2" spans="1:10" s="146" customFormat="1" ht="19.95" customHeight="1">
      <c r="A2" s="623" t="s">
        <v>259</v>
      </c>
      <c r="B2" s="623"/>
      <c r="C2" s="623"/>
      <c r="D2" s="623"/>
      <c r="E2" s="623"/>
      <c r="F2" s="623"/>
      <c r="G2" s="623"/>
      <c r="H2" s="623"/>
      <c r="I2" s="623"/>
    </row>
    <row r="3" spans="1:10" s="57" customFormat="1" ht="19.95" customHeight="1">
      <c r="A3" s="57" t="str">
        <f>底稿目录!A2</f>
        <v>被审计单位：</v>
      </c>
      <c r="C3" s="57" t="str">
        <f>底稿目录!A4</f>
        <v>编制人：</v>
      </c>
      <c r="E3" s="57" t="str">
        <f>底稿目录!A5</f>
        <v>编制日期：</v>
      </c>
      <c r="H3" s="59" t="s">
        <v>103</v>
      </c>
      <c r="I3" s="534" t="str">
        <f>底稿目录!F5</f>
        <v>K1A</v>
      </c>
    </row>
    <row r="4" spans="1:10" s="57" customFormat="1" ht="19.95" customHeight="1">
      <c r="A4" s="57" t="str">
        <f>底稿目录!A3</f>
        <v>截止日：202X年12月31日</v>
      </c>
      <c r="C4" s="158" t="str">
        <f>底稿目录!A6</f>
        <v>复核人：</v>
      </c>
      <c r="E4" s="57" t="str">
        <f>底稿目录!A7</f>
        <v>复核日期：</v>
      </c>
      <c r="H4" s="333" t="s">
        <v>25</v>
      </c>
      <c r="I4" s="102"/>
    </row>
    <row r="5" spans="1:10" ht="19.95" customHeight="1">
      <c r="A5" s="624" t="s">
        <v>491</v>
      </c>
      <c r="B5" s="624"/>
    </row>
    <row r="6" spans="1:10" ht="19.95" customHeight="1">
      <c r="A6" s="347" t="s">
        <v>499</v>
      </c>
      <c r="B6" s="356"/>
      <c r="C6" s="356"/>
      <c r="D6" s="356"/>
      <c r="E6" s="356"/>
      <c r="F6" s="356"/>
      <c r="G6" s="356"/>
      <c r="H6" s="356"/>
      <c r="I6" s="508"/>
    </row>
    <row r="7" spans="1:10" s="57" customFormat="1" ht="19.95" customHeight="1">
      <c r="A7" s="148" t="s">
        <v>475</v>
      </c>
      <c r="B7" s="344"/>
      <c r="C7" s="149"/>
      <c r="I7" s="102"/>
    </row>
    <row r="8" spans="1:10" s="57" customFormat="1" ht="19.95" customHeight="1">
      <c r="A8" s="627" t="s">
        <v>476</v>
      </c>
      <c r="B8" s="627"/>
      <c r="C8" s="627"/>
      <c r="D8" s="627"/>
      <c r="E8" s="627"/>
      <c r="F8" s="627"/>
      <c r="G8" s="627" t="s">
        <v>734</v>
      </c>
      <c r="H8" s="627"/>
      <c r="I8" s="627"/>
    </row>
    <row r="9" spans="1:10" s="57" customFormat="1" ht="19.95" customHeight="1">
      <c r="A9" s="633" t="s">
        <v>818</v>
      </c>
      <c r="B9" s="633"/>
      <c r="C9" s="633"/>
      <c r="D9" s="633"/>
      <c r="E9" s="633"/>
      <c r="F9" s="633"/>
      <c r="G9" s="621" t="s">
        <v>472</v>
      </c>
      <c r="H9" s="621"/>
      <c r="I9" s="621"/>
    </row>
    <row r="10" spans="1:10" s="57" customFormat="1" ht="19.95" customHeight="1">
      <c r="A10" s="633" t="s">
        <v>846</v>
      </c>
      <c r="B10" s="633"/>
      <c r="C10" s="633"/>
      <c r="D10" s="633"/>
      <c r="E10" s="633"/>
      <c r="F10" s="633"/>
      <c r="G10" s="621" t="s">
        <v>473</v>
      </c>
      <c r="H10" s="621"/>
      <c r="I10" s="621"/>
    </row>
    <row r="11" spans="1:10" s="57" customFormat="1" ht="19.95" customHeight="1">
      <c r="A11" s="633" t="s">
        <v>847</v>
      </c>
      <c r="B11" s="633"/>
      <c r="C11" s="633"/>
      <c r="D11" s="633"/>
      <c r="E11" s="633"/>
      <c r="F11" s="633"/>
      <c r="G11" s="621" t="s">
        <v>474</v>
      </c>
      <c r="H11" s="621"/>
      <c r="I11" s="621"/>
    </row>
    <row r="12" spans="1:10" s="57" customFormat="1" ht="24.6" customHeight="1">
      <c r="A12" s="633" t="s">
        <v>848</v>
      </c>
      <c r="B12" s="633"/>
      <c r="C12" s="633"/>
      <c r="D12" s="633"/>
      <c r="E12" s="633"/>
      <c r="F12" s="633"/>
      <c r="G12" s="621" t="s">
        <v>492</v>
      </c>
      <c r="H12" s="621"/>
      <c r="I12" s="621"/>
    </row>
    <row r="13" spans="1:10" s="57" customFormat="1" ht="19.95" customHeight="1">
      <c r="A13" s="633" t="s">
        <v>849</v>
      </c>
      <c r="B13" s="633"/>
      <c r="C13" s="633"/>
      <c r="D13" s="633"/>
      <c r="E13" s="633"/>
      <c r="F13" s="633"/>
      <c r="G13" s="621" t="s">
        <v>562</v>
      </c>
      <c r="H13" s="621"/>
      <c r="I13" s="621"/>
    </row>
    <row r="14" spans="1:10" s="57" customFormat="1" ht="19.95" customHeight="1">
      <c r="A14" s="624" t="s">
        <v>262</v>
      </c>
      <c r="B14" s="628"/>
      <c r="C14" s="149"/>
      <c r="I14" s="102"/>
    </row>
    <row r="15" spans="1:10" s="102" customFormat="1" ht="21" customHeight="1">
      <c r="A15" s="631" t="s">
        <v>168</v>
      </c>
      <c r="B15" s="751" t="s">
        <v>876</v>
      </c>
      <c r="C15" s="625" t="s">
        <v>263</v>
      </c>
      <c r="D15" s="629" t="s">
        <v>477</v>
      </c>
      <c r="E15" s="630"/>
      <c r="F15" s="630"/>
      <c r="G15" s="630"/>
      <c r="H15" s="630"/>
      <c r="I15" s="627" t="s">
        <v>480</v>
      </c>
    </row>
    <row r="16" spans="1:10" s="151" customFormat="1" ht="37.799999999999997" customHeight="1">
      <c r="A16" s="632"/>
      <c r="B16" s="751"/>
      <c r="C16" s="626"/>
      <c r="D16" s="336" t="s">
        <v>260</v>
      </c>
      <c r="E16" s="336" t="s">
        <v>478</v>
      </c>
      <c r="F16" s="337" t="s">
        <v>479</v>
      </c>
      <c r="G16" s="337" t="s">
        <v>492</v>
      </c>
      <c r="H16" s="337" t="s">
        <v>563</v>
      </c>
      <c r="I16" s="627"/>
      <c r="J16" s="750" t="s">
        <v>875</v>
      </c>
    </row>
    <row r="17" spans="1:10" s="151" customFormat="1" ht="160.19999999999999" customHeight="1">
      <c r="A17" s="342" t="s">
        <v>265</v>
      </c>
      <c r="B17" s="339" t="s">
        <v>741</v>
      </c>
      <c r="C17" s="338" t="s">
        <v>264</v>
      </c>
      <c r="D17" s="359" t="s">
        <v>502</v>
      </c>
      <c r="E17" s="359" t="s">
        <v>503</v>
      </c>
      <c r="F17" s="360"/>
      <c r="G17" s="361" t="s">
        <v>502</v>
      </c>
      <c r="H17" s="360"/>
      <c r="I17" s="509" t="s">
        <v>735</v>
      </c>
    </row>
    <row r="18" spans="1:10" s="151" customFormat="1" ht="56.4" customHeight="1">
      <c r="A18" s="342" t="s">
        <v>482</v>
      </c>
      <c r="B18" s="341" t="s">
        <v>504</v>
      </c>
      <c r="C18" s="338" t="s">
        <v>484</v>
      </c>
      <c r="D18" s="340"/>
      <c r="E18" s="362" t="s">
        <v>483</v>
      </c>
      <c r="F18" s="340"/>
      <c r="G18" s="359" t="s">
        <v>503</v>
      </c>
      <c r="H18" s="343"/>
      <c r="I18" s="548" t="s">
        <v>774</v>
      </c>
      <c r="J18" s="388" t="s">
        <v>736</v>
      </c>
    </row>
    <row r="19" spans="1:10" s="151" customFormat="1" ht="53.4" customHeight="1">
      <c r="A19" s="342" t="s">
        <v>485</v>
      </c>
      <c r="B19" s="341" t="s">
        <v>835</v>
      </c>
      <c r="C19" s="338" t="s">
        <v>486</v>
      </c>
      <c r="D19" s="361" t="s">
        <v>738</v>
      </c>
      <c r="E19" s="359" t="s">
        <v>738</v>
      </c>
      <c r="F19" s="359" t="s">
        <v>483</v>
      </c>
      <c r="G19" s="359" t="s">
        <v>739</v>
      </c>
      <c r="H19" s="343"/>
      <c r="I19" s="509"/>
      <c r="J19" s="387" t="s">
        <v>737</v>
      </c>
    </row>
    <row r="20" spans="1:10" s="151" customFormat="1" ht="54.6" customHeight="1">
      <c r="A20" s="342" t="s">
        <v>776</v>
      </c>
      <c r="B20" s="341" t="s">
        <v>834</v>
      </c>
      <c r="C20" s="359" t="s">
        <v>493</v>
      </c>
      <c r="D20" s="361" t="s">
        <v>483</v>
      </c>
      <c r="E20" s="360"/>
      <c r="F20" s="360"/>
      <c r="G20" s="359" t="s">
        <v>483</v>
      </c>
      <c r="H20" s="360"/>
      <c r="I20" s="509" t="s">
        <v>778</v>
      </c>
    </row>
    <row r="21" spans="1:10" s="151" customFormat="1" ht="197.4" customHeight="1">
      <c r="A21" s="342" t="s">
        <v>781</v>
      </c>
      <c r="B21" s="357" t="s">
        <v>507</v>
      </c>
      <c r="C21" s="338" t="s">
        <v>264</v>
      </c>
      <c r="D21" s="361" t="s">
        <v>505</v>
      </c>
      <c r="E21" s="359" t="s">
        <v>505</v>
      </c>
      <c r="F21" s="361" t="s">
        <v>505</v>
      </c>
      <c r="G21" s="359" t="s">
        <v>506</v>
      </c>
      <c r="H21" s="343"/>
      <c r="I21" s="509" t="s">
        <v>751</v>
      </c>
    </row>
    <row r="22" spans="1:10" s="151" customFormat="1" ht="43.2" customHeight="1">
      <c r="A22" s="342" t="s">
        <v>782</v>
      </c>
      <c r="B22" s="341" t="s">
        <v>740</v>
      </c>
      <c r="C22" s="338" t="s">
        <v>264</v>
      </c>
      <c r="D22" s="359" t="s">
        <v>261</v>
      </c>
      <c r="E22" s="359" t="s">
        <v>505</v>
      </c>
      <c r="F22" s="360"/>
      <c r="G22" s="361" t="s">
        <v>505</v>
      </c>
      <c r="H22" s="360"/>
      <c r="I22" s="509" t="s">
        <v>780</v>
      </c>
    </row>
    <row r="23" spans="1:10" s="58" customFormat="1" ht="127.8" customHeight="1">
      <c r="A23" s="342" t="s">
        <v>623</v>
      </c>
      <c r="B23" s="510" t="s">
        <v>743</v>
      </c>
      <c r="C23" s="155" t="s">
        <v>487</v>
      </c>
      <c r="D23" s="334"/>
      <c r="E23" s="363" t="s">
        <v>481</v>
      </c>
      <c r="F23" s="334"/>
      <c r="G23" s="363" t="s">
        <v>481</v>
      </c>
      <c r="H23" s="334"/>
      <c r="I23" s="502" t="s">
        <v>783</v>
      </c>
    </row>
    <row r="24" spans="1:10" s="58" customFormat="1" ht="57" customHeight="1">
      <c r="A24" s="342" t="s">
        <v>624</v>
      </c>
      <c r="B24" s="341" t="s">
        <v>819</v>
      </c>
      <c r="C24" s="359" t="s">
        <v>558</v>
      </c>
      <c r="D24" s="361" t="s">
        <v>261</v>
      </c>
      <c r="E24" s="360"/>
      <c r="F24" s="360"/>
      <c r="G24" s="361" t="s">
        <v>559</v>
      </c>
      <c r="H24" s="360"/>
      <c r="I24" s="502" t="s">
        <v>784</v>
      </c>
    </row>
    <row r="25" spans="1:10" s="151" customFormat="1" ht="143.4" customHeight="1">
      <c r="A25" s="342" t="s">
        <v>510</v>
      </c>
      <c r="B25" s="341" t="s">
        <v>820</v>
      </c>
      <c r="C25" s="155" t="s">
        <v>488</v>
      </c>
      <c r="D25" s="361" t="s">
        <v>481</v>
      </c>
      <c r="E25" s="359" t="s">
        <v>481</v>
      </c>
      <c r="F25" s="359" t="s">
        <v>481</v>
      </c>
      <c r="G25" s="361" t="s">
        <v>481</v>
      </c>
      <c r="H25" s="359" t="s">
        <v>481</v>
      </c>
      <c r="I25" s="502" t="s">
        <v>832</v>
      </c>
    </row>
    <row r="26" spans="1:10" s="151" customFormat="1" ht="32.4" customHeight="1">
      <c r="A26" s="342" t="s">
        <v>511</v>
      </c>
      <c r="B26" s="341" t="s">
        <v>555</v>
      </c>
      <c r="C26" s="359" t="s">
        <v>524</v>
      </c>
      <c r="D26" s="361" t="s">
        <v>525</v>
      </c>
      <c r="E26" s="360"/>
      <c r="F26" s="359" t="s">
        <v>525</v>
      </c>
      <c r="G26" s="359" t="s">
        <v>525</v>
      </c>
      <c r="H26" s="360"/>
      <c r="I26" s="502" t="s">
        <v>785</v>
      </c>
    </row>
    <row r="27" spans="1:10" s="151" customFormat="1" ht="69.599999999999994" customHeight="1">
      <c r="A27" s="342" t="s">
        <v>523</v>
      </c>
      <c r="B27" s="341" t="s">
        <v>837</v>
      </c>
      <c r="C27" s="395" t="s">
        <v>574</v>
      </c>
      <c r="D27" s="361" t="s">
        <v>525</v>
      </c>
      <c r="E27" s="360"/>
      <c r="F27" s="359" t="s">
        <v>525</v>
      </c>
      <c r="G27" s="359" t="s">
        <v>525</v>
      </c>
      <c r="H27" s="360"/>
      <c r="I27" s="509" t="s">
        <v>838</v>
      </c>
    </row>
    <row r="28" spans="1:10" s="157" customFormat="1" ht="49.8" customHeight="1">
      <c r="A28" s="342" t="s">
        <v>557</v>
      </c>
      <c r="B28" s="542" t="s">
        <v>836</v>
      </c>
      <c r="C28" s="359" t="s">
        <v>821</v>
      </c>
      <c r="D28" s="150"/>
      <c r="E28" s="150"/>
      <c r="F28" s="150"/>
      <c r="G28" s="150"/>
      <c r="H28" s="390"/>
      <c r="I28" s="502"/>
    </row>
    <row r="29" spans="1:10" s="152" customFormat="1" ht="27.75" customHeight="1">
      <c r="A29" s="342" t="s">
        <v>575</v>
      </c>
      <c r="B29" s="156" t="s">
        <v>742</v>
      </c>
      <c r="C29" s="335" t="s">
        <v>489</v>
      </c>
      <c r="D29" s="150"/>
      <c r="E29" s="150"/>
      <c r="F29" s="150"/>
      <c r="G29" s="150"/>
      <c r="H29" s="334" t="s">
        <v>481</v>
      </c>
      <c r="I29" s="502" t="s">
        <v>625</v>
      </c>
    </row>
  </sheetData>
  <mergeCells count="21">
    <mergeCell ref="A8:F8"/>
    <mergeCell ref="A9:F9"/>
    <mergeCell ref="A10:F10"/>
    <mergeCell ref="A11:F11"/>
    <mergeCell ref="A12:F12"/>
    <mergeCell ref="G13:I13"/>
    <mergeCell ref="A1:I1"/>
    <mergeCell ref="A2:I2"/>
    <mergeCell ref="A5:B5"/>
    <mergeCell ref="C15:C16"/>
    <mergeCell ref="I15:I16"/>
    <mergeCell ref="A14:B14"/>
    <mergeCell ref="D15:H15"/>
    <mergeCell ref="B15:B16"/>
    <mergeCell ref="A15:A16"/>
    <mergeCell ref="A13:F13"/>
    <mergeCell ref="G8:I8"/>
    <mergeCell ref="G9:I9"/>
    <mergeCell ref="G10:I10"/>
    <mergeCell ref="G11:I11"/>
    <mergeCell ref="G12:I12"/>
  </mergeCells>
  <phoneticPr fontId="16" type="noConversion"/>
  <hyperlinks>
    <hyperlink ref="I3" location="底稿目录!A1" display="底稿目录!A1"/>
  </hyperlinks>
  <pageMargins left="0.74803149606299213" right="0.74803149606299213" top="0.98425196850393704" bottom="0.98425196850393704" header="0.51181102362204722" footer="0.51181102362204722"/>
  <pageSetup paperSize="9" scale="70" fitToHeight="50" orientation="portrait" blackAndWhite="1" horizont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89"/>
  <sheetViews>
    <sheetView view="pageBreakPreview" zoomScaleSheetLayoutView="100" workbookViewId="0">
      <pane xSplit="1" ySplit="6" topLeftCell="B7" activePane="bottomRight" state="frozen"/>
      <selection activeCell="J15" sqref="J15"/>
      <selection pane="topRight" activeCell="J15" sqref="J15"/>
      <selection pane="bottomLeft" activeCell="J15" sqref="J15"/>
      <selection pane="bottomRight" sqref="A1:L1"/>
    </sheetView>
  </sheetViews>
  <sheetFormatPr defaultColWidth="9" defaultRowHeight="23.25" customHeight="1"/>
  <cols>
    <col min="1" max="1" width="24.19921875" style="9" customWidth="1"/>
    <col min="2" max="10" width="11.09765625" style="9" customWidth="1"/>
    <col min="11" max="11" width="8.19921875" style="9" customWidth="1"/>
    <col min="12" max="12" width="11.5" style="9" customWidth="1"/>
    <col min="13" max="13" width="13.5" style="9" customWidth="1"/>
    <col min="14" max="16384" width="9" style="9"/>
  </cols>
  <sheetData>
    <row r="1" spans="1:12" s="41" customFormat="1" ht="19.95" customHeight="1">
      <c r="A1" s="634" t="s">
        <v>23</v>
      </c>
      <c r="B1" s="634"/>
      <c r="C1" s="634"/>
      <c r="D1" s="634"/>
      <c r="E1" s="634"/>
      <c r="F1" s="634"/>
      <c r="G1" s="634"/>
      <c r="H1" s="634"/>
      <c r="I1" s="634"/>
      <c r="J1" s="634"/>
      <c r="K1" s="634"/>
      <c r="L1" s="634"/>
    </row>
    <row r="2" spans="1:12" s="41" customFormat="1" ht="19.95" customHeight="1">
      <c r="A2" s="635" t="s">
        <v>74</v>
      </c>
      <c r="B2" s="636"/>
      <c r="C2" s="636"/>
      <c r="D2" s="636"/>
      <c r="E2" s="636"/>
      <c r="F2" s="636"/>
      <c r="G2" s="636"/>
      <c r="H2" s="636"/>
      <c r="I2" s="636"/>
      <c r="J2" s="636"/>
      <c r="K2" s="636"/>
      <c r="L2" s="636"/>
    </row>
    <row r="3" spans="1:12" ht="19.95" customHeight="1">
      <c r="A3" s="42" t="str">
        <f>底稿目录!A2</f>
        <v>被审计单位：</v>
      </c>
      <c r="E3" s="42" t="str">
        <f>底稿目录!A4</f>
        <v>编制人：</v>
      </c>
      <c r="H3" s="42" t="str">
        <f>底稿目录!A5</f>
        <v>编制日期：</v>
      </c>
      <c r="K3" s="42" t="s">
        <v>465</v>
      </c>
      <c r="L3" s="534" t="str">
        <f>底稿目录!F6</f>
        <v>K1-1</v>
      </c>
    </row>
    <row r="4" spans="1:12" ht="19.95" customHeight="1">
      <c r="A4" s="42" t="str">
        <f>底稿目录!A3</f>
        <v>截止日：202X年12月31日</v>
      </c>
      <c r="B4" s="10"/>
      <c r="E4" s="42" t="str">
        <f>底稿目录!A6</f>
        <v>复核人：</v>
      </c>
      <c r="H4" s="42" t="str">
        <f>底稿目录!A7</f>
        <v>复核日期：</v>
      </c>
      <c r="K4" s="42" t="s">
        <v>556</v>
      </c>
      <c r="L4" s="42"/>
    </row>
    <row r="5" spans="1:12" ht="19.95" customHeight="1">
      <c r="A5" s="637" t="s">
        <v>75</v>
      </c>
      <c r="B5" s="639" t="s">
        <v>49</v>
      </c>
      <c r="C5" s="640"/>
      <c r="D5" s="640"/>
      <c r="E5" s="641"/>
      <c r="F5" s="639" t="s">
        <v>50</v>
      </c>
      <c r="G5" s="640"/>
      <c r="H5" s="640"/>
      <c r="I5" s="641"/>
      <c r="J5" s="642" t="s">
        <v>61</v>
      </c>
      <c r="K5" s="643"/>
      <c r="L5" s="644" t="s">
        <v>51</v>
      </c>
    </row>
    <row r="6" spans="1:12" ht="19.95" customHeight="1">
      <c r="A6" s="638"/>
      <c r="B6" s="71" t="s">
        <v>52</v>
      </c>
      <c r="C6" s="71" t="s">
        <v>53</v>
      </c>
      <c r="D6" s="71" t="s">
        <v>54</v>
      </c>
      <c r="E6" s="71" t="s">
        <v>55</v>
      </c>
      <c r="F6" s="71" t="s">
        <v>52</v>
      </c>
      <c r="G6" s="71" t="s">
        <v>53</v>
      </c>
      <c r="H6" s="71" t="s">
        <v>54</v>
      </c>
      <c r="I6" s="71" t="s">
        <v>55</v>
      </c>
      <c r="J6" s="72" t="s">
        <v>56</v>
      </c>
      <c r="K6" s="84" t="s">
        <v>57</v>
      </c>
      <c r="L6" s="645"/>
    </row>
    <row r="7" spans="1:12" s="43" customFormat="1" ht="19.95" customHeight="1">
      <c r="A7" s="92" t="s">
        <v>267</v>
      </c>
      <c r="B7" s="66"/>
      <c r="C7" s="66"/>
      <c r="D7" s="66"/>
      <c r="E7" s="66"/>
      <c r="F7" s="66"/>
      <c r="G7" s="66"/>
      <c r="H7" s="66"/>
      <c r="I7" s="66"/>
      <c r="J7" s="67"/>
      <c r="K7" s="68"/>
      <c r="L7" s="67"/>
    </row>
    <row r="8" spans="1:12" s="43" customFormat="1" ht="19.95" customHeight="1">
      <c r="A8" s="92" t="s">
        <v>254</v>
      </c>
      <c r="B8" s="66"/>
      <c r="C8" s="66"/>
      <c r="D8" s="66"/>
      <c r="E8" s="66"/>
      <c r="F8" s="66"/>
      <c r="G8" s="66"/>
      <c r="H8" s="66"/>
      <c r="I8" s="66"/>
      <c r="J8" s="67"/>
      <c r="K8" s="68"/>
      <c r="L8" s="67"/>
    </row>
    <row r="9" spans="1:12" s="43" customFormat="1" ht="19.95" customHeight="1">
      <c r="A9" s="85" t="s">
        <v>62</v>
      </c>
      <c r="B9" s="318">
        <f>SUMIF('明细表K1-2'!$AF$12:$AF$32,"单项计提",'明细表K1-2'!$F$12:$F$32)</f>
        <v>0</v>
      </c>
      <c r="C9" s="318">
        <f>SUMIF('明细表K1-2'!$AF$12:$AF$32,"单项计提",'明细表K1-2'!$G$12:$G$32)</f>
        <v>0</v>
      </c>
      <c r="D9" s="318">
        <f>SUMIF('明细表K1-2'!$AF$12:$AF$32,"单项计提",'明细表K1-2'!$H$12:$H$32)</f>
        <v>0</v>
      </c>
      <c r="E9" s="318">
        <f>B9+C9+D9</f>
        <v>0</v>
      </c>
      <c r="F9" s="318">
        <f>SUMIF('明细表K1-2'!$AF$12:$AF$32,"单项计提",'明细表K1-2'!$S$12:$S$32)</f>
        <v>0</v>
      </c>
      <c r="G9" s="318">
        <f>SUMIF('明细表K1-2'!$AF$12:$AF$32,"单项计提",'明细表K1-2'!$V$12:$V$32)</f>
        <v>0</v>
      </c>
      <c r="H9" s="318">
        <f>SUMIF('明细表K1-2'!$AF$12:$AF$32,"单项计提",'明细表K1-2'!$W$12:$W$32)</f>
        <v>0</v>
      </c>
      <c r="I9" s="318">
        <f>F9+G9+H9</f>
        <v>0</v>
      </c>
      <c r="J9" s="318">
        <f>I9-E9</f>
        <v>0</v>
      </c>
      <c r="K9" s="445" t="str">
        <f>IF(AND(E9=0,I9=0),"",IF(AND(E9=0,I9&gt;0),1,J9/E9))</f>
        <v/>
      </c>
      <c r="L9" s="70"/>
    </row>
    <row r="10" spans="1:12" s="43" customFormat="1" ht="19.95" customHeight="1">
      <c r="A10" s="86" t="s">
        <v>30</v>
      </c>
      <c r="B10" s="318">
        <f>SUM(B11:B13)</f>
        <v>0</v>
      </c>
      <c r="C10" s="318">
        <f t="shared" ref="C10:E10" si="0">SUM(C11:C13)</f>
        <v>0</v>
      </c>
      <c r="D10" s="318">
        <f t="shared" si="0"/>
        <v>0</v>
      </c>
      <c r="E10" s="318">
        <f t="shared" si="0"/>
        <v>0</v>
      </c>
      <c r="F10" s="318">
        <f>SUM(F11:F13)</f>
        <v>0</v>
      </c>
      <c r="G10" s="318">
        <f>SUM(G11:G13)</f>
        <v>0</v>
      </c>
      <c r="H10" s="318">
        <f>SUM(H11:H13)</f>
        <v>0</v>
      </c>
      <c r="I10" s="318">
        <f t="shared" ref="I10" si="1">SUM(I11:I13)</f>
        <v>0</v>
      </c>
      <c r="J10" s="318">
        <f t="shared" ref="J10:J12" si="2">I10-E10</f>
        <v>0</v>
      </c>
      <c r="K10" s="445" t="str">
        <f t="shared" ref="K10:K14" si="3">IF(AND(E10=0,I10=0),"",IF(AND(E10=0,I10&gt;0),1,J10/E10))</f>
        <v/>
      </c>
      <c r="L10" s="70"/>
    </row>
    <row r="11" spans="1:12" s="43" customFormat="1" ht="19.95" customHeight="1">
      <c r="A11" s="87" t="s">
        <v>59</v>
      </c>
      <c r="B11" s="318">
        <f>SUMIF('明细表K1-2'!$AF$12:$AF$32,"账龄组合",'明细表K1-2'!$F$12:$F$32)</f>
        <v>0</v>
      </c>
      <c r="C11" s="318">
        <f>SUMIF('明细表K1-2'!$AF$12:$AF$32,"账龄组合",'明细表K1-2'!$G$12:$G$32)</f>
        <v>0</v>
      </c>
      <c r="D11" s="318">
        <f>SUMIF('明细表K1-2'!$AF$12:$AF$32,"账龄组合",'明细表K1-2'!$H$12:$H$32)</f>
        <v>0</v>
      </c>
      <c r="E11" s="318">
        <f t="shared" ref="E11:E13" si="4">B11+C11+D11</f>
        <v>0</v>
      </c>
      <c r="F11" s="318">
        <f>SUMIF('明细表K1-2'!$AF$12:$AF$32,"账龄组合",'明细表K1-2'!$S$12:$S$32)</f>
        <v>0</v>
      </c>
      <c r="G11" s="318">
        <f>SUMIF('明细表K1-2'!$AF$12:$AF$32,"账龄组合",'明细表K1-2'!$V$12:$V$32)</f>
        <v>0</v>
      </c>
      <c r="H11" s="318">
        <f>SUMIF('明细表K1-2'!$AF$12:$AF$32,"账龄组合",'明细表K1-2'!$W$12:$W$32)</f>
        <v>0</v>
      </c>
      <c r="I11" s="318">
        <f>F11+G11+H11</f>
        <v>0</v>
      </c>
      <c r="J11" s="318">
        <f t="shared" si="2"/>
        <v>0</v>
      </c>
      <c r="K11" s="445" t="str">
        <f t="shared" si="3"/>
        <v/>
      </c>
      <c r="L11" s="70"/>
    </row>
    <row r="12" spans="1:12" s="43" customFormat="1" ht="19.95" customHeight="1">
      <c r="A12" s="87" t="s">
        <v>63</v>
      </c>
      <c r="B12" s="318">
        <f>SUMIF('明细表K1-2'!$AF$12:$AF$32,"客户类型组合",'明细表K1-2'!$F$12:$F$32)</f>
        <v>0</v>
      </c>
      <c r="C12" s="318">
        <f>SUMIF('明细表K1-2'!$AF$12:$AF$32,"客户类型组合",'明细表K1-2'!$G$12:$G$32)</f>
        <v>0</v>
      </c>
      <c r="D12" s="318">
        <f>SUMIF('明细表K1-2'!$AF$12:$AF$32,"客户类型组合",'明细表K1-2'!$H$12:$H$32)</f>
        <v>0</v>
      </c>
      <c r="E12" s="318">
        <f t="shared" si="4"/>
        <v>0</v>
      </c>
      <c r="F12" s="318">
        <f>SUMIF('明细表K1-2'!$AF$12:$AF$32,"客户类型组合",'明细表K1-2'!$S$12:$S$32)</f>
        <v>0</v>
      </c>
      <c r="G12" s="318">
        <f>SUMIF('明细表K1-2'!$AF$12:$AF$32,"客户类型组合",'明细表K1-2'!$V$12:$V$32)</f>
        <v>0</v>
      </c>
      <c r="H12" s="318">
        <f>SUMIF('明细表K1-2'!$AF$12:$AF$32,"客户类型组合",'明细表K1-2'!$W$12:$W$32)</f>
        <v>0</v>
      </c>
      <c r="I12" s="318">
        <f>F12+G12+H12</f>
        <v>0</v>
      </c>
      <c r="J12" s="318">
        <f t="shared" si="2"/>
        <v>0</v>
      </c>
      <c r="K12" s="445" t="str">
        <f t="shared" si="3"/>
        <v/>
      </c>
      <c r="L12" s="70"/>
    </row>
    <row r="13" spans="1:12" s="43" customFormat="1" ht="19.95" customHeight="1">
      <c r="A13" s="87" t="s">
        <v>280</v>
      </c>
      <c r="B13" s="318">
        <f>SUMIF('明细表K1-2'!$AF$12:$AF$32,"其他组合",'明细表K1-2'!$F$12:$F$32)</f>
        <v>0</v>
      </c>
      <c r="C13" s="318">
        <f>SUMIF('明细表K1-2'!$AF$12:$AF$32,"其他组合",'明细表K1-2'!$G$12:$G$32)</f>
        <v>0</v>
      </c>
      <c r="D13" s="318">
        <f>SUMIF('明细表K1-2'!$AF$12:$AF$32,"其他组合",'明细表K1-2'!$H$12:$H$32)</f>
        <v>0</v>
      </c>
      <c r="E13" s="318">
        <f t="shared" si="4"/>
        <v>0</v>
      </c>
      <c r="F13" s="318">
        <f>SUMIF('明细表K1-2'!$AF$12:$AF$32,"其他组合",'明细表K1-2'!$S$12:$S$32)</f>
        <v>0</v>
      </c>
      <c r="G13" s="318">
        <f>SUMIF('明细表K1-2'!$AF$12:$AF$32,"其他组合",'明细表K1-2'!$V$12:$V$32)</f>
        <v>0</v>
      </c>
      <c r="H13" s="318">
        <f>SUMIF('明细表K1-2'!$AF$12:$AF$32,"其他组合",'明细表K1-2'!$W$12:$W$32)</f>
        <v>0</v>
      </c>
      <c r="I13" s="318">
        <f t="shared" ref="I13" si="5">F13+G13+H13</f>
        <v>0</v>
      </c>
      <c r="J13" s="318">
        <f>I13-E13</f>
        <v>0</v>
      </c>
      <c r="K13" s="445" t="str">
        <f t="shared" si="3"/>
        <v/>
      </c>
      <c r="L13" s="70"/>
    </row>
    <row r="14" spans="1:12" s="43" customFormat="1" ht="19.95" customHeight="1">
      <c r="A14" s="88" t="s">
        <v>58</v>
      </c>
      <c r="B14" s="318">
        <f>SUM(B9,B10)</f>
        <v>0</v>
      </c>
      <c r="C14" s="318">
        <f t="shared" ref="C14:I14" si="6">SUM(C9,C10)</f>
        <v>0</v>
      </c>
      <c r="D14" s="318">
        <f t="shared" si="6"/>
        <v>0</v>
      </c>
      <c r="E14" s="318">
        <f t="shared" si="6"/>
        <v>0</v>
      </c>
      <c r="F14" s="318">
        <f t="shared" si="6"/>
        <v>0</v>
      </c>
      <c r="G14" s="318">
        <f t="shared" si="6"/>
        <v>0</v>
      </c>
      <c r="H14" s="318">
        <f t="shared" si="6"/>
        <v>0</v>
      </c>
      <c r="I14" s="318">
        <f t="shared" si="6"/>
        <v>0</v>
      </c>
      <c r="J14" s="318">
        <f>I14-E14</f>
        <v>0</v>
      </c>
      <c r="K14" s="445" t="str">
        <f t="shared" si="3"/>
        <v/>
      </c>
      <c r="L14" s="70"/>
    </row>
    <row r="15" spans="1:12" s="43" customFormat="1" ht="19.95" customHeight="1">
      <c r="A15" s="92" t="s">
        <v>255</v>
      </c>
      <c r="B15" s="66"/>
      <c r="C15" s="66"/>
      <c r="D15" s="66"/>
      <c r="E15" s="66"/>
      <c r="F15" s="66"/>
      <c r="G15" s="66"/>
      <c r="H15" s="66"/>
      <c r="I15" s="66"/>
      <c r="J15" s="67"/>
      <c r="K15" s="68"/>
      <c r="L15" s="67"/>
    </row>
    <row r="16" spans="1:12" s="43" customFormat="1" ht="19.95" customHeight="1">
      <c r="A16" s="89" t="str">
        <f>A9</f>
        <v>单项计提坏账准备</v>
      </c>
      <c r="B16" s="69"/>
      <c r="C16" s="69"/>
      <c r="D16" s="69"/>
      <c r="E16" s="318">
        <f>B16+C16+D16</f>
        <v>0</v>
      </c>
      <c r="F16" s="69"/>
      <c r="G16" s="69"/>
      <c r="H16" s="69"/>
      <c r="I16" s="318">
        <f>F16+G16+H16</f>
        <v>0</v>
      </c>
      <c r="J16" s="318">
        <f>I16-E16</f>
        <v>0</v>
      </c>
      <c r="K16" s="445" t="str">
        <f>IF(AND(E16=0,I16=0),"",IF(AND(E16=0,I16&gt;0),1,J16/E16))</f>
        <v/>
      </c>
      <c r="L16" s="70"/>
    </row>
    <row r="17" spans="1:12" s="43" customFormat="1" ht="19.95" customHeight="1">
      <c r="A17" s="90" t="str">
        <f>A10</f>
        <v>按组合计提坏账准备</v>
      </c>
      <c r="B17" s="318">
        <f>SUM(B18:B20)</f>
        <v>0</v>
      </c>
      <c r="C17" s="318">
        <f t="shared" ref="C17:I17" si="7">SUM(C18:C20)</f>
        <v>0</v>
      </c>
      <c r="D17" s="318">
        <f t="shared" si="7"/>
        <v>0</v>
      </c>
      <c r="E17" s="318">
        <f t="shared" si="7"/>
        <v>0</v>
      </c>
      <c r="F17" s="318">
        <f t="shared" si="7"/>
        <v>0</v>
      </c>
      <c r="G17" s="318">
        <f t="shared" si="7"/>
        <v>0</v>
      </c>
      <c r="H17" s="318">
        <f t="shared" si="7"/>
        <v>0</v>
      </c>
      <c r="I17" s="318">
        <f t="shared" si="7"/>
        <v>0</v>
      </c>
      <c r="J17" s="318">
        <f t="shared" ref="J17:J19" si="8">I17-E17</f>
        <v>0</v>
      </c>
      <c r="K17" s="445" t="str">
        <f t="shared" ref="K17:K21" si="9">IF(AND(E17=0,I17=0),"",IF(AND(E17=0,I17&gt;0),1,J17/E17))</f>
        <v/>
      </c>
      <c r="L17" s="70"/>
    </row>
    <row r="18" spans="1:12" s="43" customFormat="1" ht="19.95" customHeight="1">
      <c r="A18" s="91" t="str">
        <f t="shared" ref="A18:A19" si="10">A11</f>
        <v>账龄组合</v>
      </c>
      <c r="B18" s="69"/>
      <c r="C18" s="69"/>
      <c r="D18" s="69"/>
      <c r="E18" s="318">
        <f t="shared" ref="E18:E20" si="11">B18+C18+D18</f>
        <v>0</v>
      </c>
      <c r="F18" s="69"/>
      <c r="G18" s="69"/>
      <c r="H18" s="69"/>
      <c r="I18" s="318">
        <f t="shared" ref="I18:I20" si="12">F18+G18+H18</f>
        <v>0</v>
      </c>
      <c r="J18" s="318">
        <f t="shared" si="8"/>
        <v>0</v>
      </c>
      <c r="K18" s="445" t="str">
        <f t="shared" si="9"/>
        <v/>
      </c>
      <c r="L18" s="70"/>
    </row>
    <row r="19" spans="1:12" s="43" customFormat="1" ht="19.95" customHeight="1">
      <c r="A19" s="91" t="str">
        <f t="shared" si="10"/>
        <v>客户类型组合</v>
      </c>
      <c r="B19" s="69"/>
      <c r="C19" s="69"/>
      <c r="D19" s="69"/>
      <c r="E19" s="318">
        <f t="shared" si="11"/>
        <v>0</v>
      </c>
      <c r="F19" s="69"/>
      <c r="G19" s="69"/>
      <c r="H19" s="69"/>
      <c r="I19" s="318">
        <f t="shared" si="12"/>
        <v>0</v>
      </c>
      <c r="J19" s="318">
        <f t="shared" si="8"/>
        <v>0</v>
      </c>
      <c r="K19" s="445" t="str">
        <f t="shared" si="9"/>
        <v/>
      </c>
      <c r="L19" s="70"/>
    </row>
    <row r="20" spans="1:12" s="43" customFormat="1" ht="19.95" customHeight="1">
      <c r="A20" s="91" t="str">
        <f>A13</f>
        <v>其他组合</v>
      </c>
      <c r="B20" s="69"/>
      <c r="C20" s="69"/>
      <c r="D20" s="69"/>
      <c r="E20" s="318">
        <f t="shared" si="11"/>
        <v>0</v>
      </c>
      <c r="F20" s="69"/>
      <c r="G20" s="69"/>
      <c r="H20" s="69"/>
      <c r="I20" s="318">
        <f t="shared" si="12"/>
        <v>0</v>
      </c>
      <c r="J20" s="318">
        <f>I20-E20</f>
        <v>0</v>
      </c>
      <c r="K20" s="445" t="str">
        <f t="shared" si="9"/>
        <v/>
      </c>
      <c r="L20" s="70"/>
    </row>
    <row r="21" spans="1:12" s="603" customFormat="1" ht="19.95" customHeight="1">
      <c r="A21" s="596" t="s">
        <v>58</v>
      </c>
      <c r="B21" s="318">
        <f>SUM(B16,B17)</f>
        <v>0</v>
      </c>
      <c r="C21" s="318">
        <f t="shared" ref="C21:I21" si="13">SUM(C16,C17)</f>
        <v>0</v>
      </c>
      <c r="D21" s="318">
        <f t="shared" si="13"/>
        <v>0</v>
      </c>
      <c r="E21" s="318">
        <f t="shared" si="13"/>
        <v>0</v>
      </c>
      <c r="F21" s="318">
        <f t="shared" si="13"/>
        <v>0</v>
      </c>
      <c r="G21" s="318">
        <f t="shared" si="13"/>
        <v>0</v>
      </c>
      <c r="H21" s="318">
        <f t="shared" si="13"/>
        <v>0</v>
      </c>
      <c r="I21" s="318">
        <f t="shared" si="13"/>
        <v>0</v>
      </c>
      <c r="J21" s="318">
        <f>I21-E21</f>
        <v>0</v>
      </c>
      <c r="K21" s="445" t="str">
        <f t="shared" si="9"/>
        <v/>
      </c>
      <c r="L21" s="67"/>
    </row>
    <row r="22" spans="1:12" s="43" customFormat="1" ht="19.95" customHeight="1">
      <c r="A22" s="92" t="s">
        <v>256</v>
      </c>
      <c r="B22" s="66"/>
      <c r="C22" s="66"/>
      <c r="D22" s="66"/>
      <c r="E22" s="66"/>
      <c r="F22" s="66"/>
      <c r="G22" s="66"/>
      <c r="H22" s="66"/>
      <c r="I22" s="66"/>
      <c r="J22" s="67"/>
      <c r="K22" s="68"/>
      <c r="L22" s="67"/>
    </row>
    <row r="23" spans="1:12" s="43" customFormat="1" ht="19.95" customHeight="1">
      <c r="A23" s="89" t="str">
        <f>A9</f>
        <v>单项计提坏账准备</v>
      </c>
      <c r="B23" s="318">
        <f t="shared" ref="B23:I23" si="14">B9-B16</f>
        <v>0</v>
      </c>
      <c r="C23" s="318">
        <f t="shared" si="14"/>
        <v>0</v>
      </c>
      <c r="D23" s="318">
        <f t="shared" si="14"/>
        <v>0</v>
      </c>
      <c r="E23" s="318">
        <f t="shared" si="14"/>
        <v>0</v>
      </c>
      <c r="F23" s="318">
        <f t="shared" si="14"/>
        <v>0</v>
      </c>
      <c r="G23" s="318">
        <f t="shared" si="14"/>
        <v>0</v>
      </c>
      <c r="H23" s="318">
        <f t="shared" si="14"/>
        <v>0</v>
      </c>
      <c r="I23" s="318">
        <f t="shared" si="14"/>
        <v>0</v>
      </c>
      <c r="J23" s="318">
        <f>I23-E23</f>
        <v>0</v>
      </c>
      <c r="K23" s="445" t="str">
        <f>IF(AND(E23=0,I23=0),"",IF(AND(E23=0,I23&gt;0),1,J23/E23))</f>
        <v/>
      </c>
      <c r="L23" s="70"/>
    </row>
    <row r="24" spans="1:12" s="43" customFormat="1" ht="19.95" customHeight="1">
      <c r="A24" s="90" t="str">
        <f>A10</f>
        <v>按组合计提坏账准备</v>
      </c>
      <c r="B24" s="318">
        <f>SUM(B25:B27)</f>
        <v>0</v>
      </c>
      <c r="C24" s="318">
        <f t="shared" ref="C24:I24" si="15">SUM(C25:C27)</f>
        <v>0</v>
      </c>
      <c r="D24" s="318">
        <f t="shared" si="15"/>
        <v>0</v>
      </c>
      <c r="E24" s="318">
        <f t="shared" si="15"/>
        <v>0</v>
      </c>
      <c r="F24" s="318">
        <f t="shared" si="15"/>
        <v>0</v>
      </c>
      <c r="G24" s="318">
        <f t="shared" si="15"/>
        <v>0</v>
      </c>
      <c r="H24" s="318">
        <f t="shared" si="15"/>
        <v>0</v>
      </c>
      <c r="I24" s="318">
        <f t="shared" si="15"/>
        <v>0</v>
      </c>
      <c r="J24" s="318">
        <f t="shared" ref="J24" si="16">I24-E24</f>
        <v>0</v>
      </c>
      <c r="K24" s="445" t="str">
        <f t="shared" ref="K24:K28" si="17">IF(AND(E24=0,I24=0),"",IF(AND(E24=0,I24&gt;0),1,J24/E24))</f>
        <v/>
      </c>
      <c r="L24" s="70"/>
    </row>
    <row r="25" spans="1:12" s="43" customFormat="1" ht="19.95" customHeight="1">
      <c r="A25" s="91" t="str">
        <f>A11</f>
        <v>账龄组合</v>
      </c>
      <c r="B25" s="318">
        <f t="shared" ref="B25:I27" si="18">B11-B18</f>
        <v>0</v>
      </c>
      <c r="C25" s="318">
        <f t="shared" si="18"/>
        <v>0</v>
      </c>
      <c r="D25" s="318">
        <f t="shared" si="18"/>
        <v>0</v>
      </c>
      <c r="E25" s="318">
        <f t="shared" si="18"/>
        <v>0</v>
      </c>
      <c r="F25" s="318">
        <f t="shared" si="18"/>
        <v>0</v>
      </c>
      <c r="G25" s="318">
        <f t="shared" si="18"/>
        <v>0</v>
      </c>
      <c r="H25" s="318">
        <f t="shared" si="18"/>
        <v>0</v>
      </c>
      <c r="I25" s="318">
        <f t="shared" si="18"/>
        <v>0</v>
      </c>
      <c r="J25" s="318">
        <f>I25-E25</f>
        <v>0</v>
      </c>
      <c r="K25" s="445" t="str">
        <f t="shared" si="17"/>
        <v/>
      </c>
      <c r="L25" s="70"/>
    </row>
    <row r="26" spans="1:12" s="43" customFormat="1" ht="19.95" customHeight="1">
      <c r="A26" s="91" t="str">
        <f>A12</f>
        <v>客户类型组合</v>
      </c>
      <c r="B26" s="318">
        <f t="shared" si="18"/>
        <v>0</v>
      </c>
      <c r="C26" s="318">
        <f t="shared" si="18"/>
        <v>0</v>
      </c>
      <c r="D26" s="318">
        <f t="shared" si="18"/>
        <v>0</v>
      </c>
      <c r="E26" s="318">
        <f t="shared" si="18"/>
        <v>0</v>
      </c>
      <c r="F26" s="318">
        <f t="shared" si="18"/>
        <v>0</v>
      </c>
      <c r="G26" s="318">
        <f t="shared" si="18"/>
        <v>0</v>
      </c>
      <c r="H26" s="318">
        <f t="shared" si="18"/>
        <v>0</v>
      </c>
      <c r="I26" s="318">
        <f t="shared" si="18"/>
        <v>0</v>
      </c>
      <c r="J26" s="318">
        <f>I26-E26</f>
        <v>0</v>
      </c>
      <c r="K26" s="445" t="str">
        <f t="shared" si="17"/>
        <v/>
      </c>
      <c r="L26" s="70"/>
    </row>
    <row r="27" spans="1:12" s="43" customFormat="1" ht="19.95" customHeight="1">
      <c r="A27" s="91" t="str">
        <f>A13</f>
        <v>其他组合</v>
      </c>
      <c r="B27" s="318">
        <f t="shared" si="18"/>
        <v>0</v>
      </c>
      <c r="C27" s="318">
        <f t="shared" si="18"/>
        <v>0</v>
      </c>
      <c r="D27" s="318">
        <f t="shared" si="18"/>
        <v>0</v>
      </c>
      <c r="E27" s="318">
        <f t="shared" si="18"/>
        <v>0</v>
      </c>
      <c r="F27" s="318">
        <f t="shared" si="18"/>
        <v>0</v>
      </c>
      <c r="G27" s="318">
        <f t="shared" si="18"/>
        <v>0</v>
      </c>
      <c r="H27" s="318">
        <f t="shared" si="18"/>
        <v>0</v>
      </c>
      <c r="I27" s="318">
        <f t="shared" si="18"/>
        <v>0</v>
      </c>
      <c r="J27" s="318">
        <f>I27-E27</f>
        <v>0</v>
      </c>
      <c r="K27" s="445" t="str">
        <f t="shared" si="17"/>
        <v/>
      </c>
      <c r="L27" s="70"/>
    </row>
    <row r="28" spans="1:12" s="43" customFormat="1" ht="19.95" customHeight="1">
      <c r="A28" s="556" t="s">
        <v>29</v>
      </c>
      <c r="B28" s="318">
        <f>SUM(B23,B24)</f>
        <v>0</v>
      </c>
      <c r="C28" s="318">
        <f t="shared" ref="C28:I28" si="19">SUM(C23,C24)</f>
        <v>0</v>
      </c>
      <c r="D28" s="318">
        <f t="shared" si="19"/>
        <v>0</v>
      </c>
      <c r="E28" s="318">
        <f t="shared" si="19"/>
        <v>0</v>
      </c>
      <c r="F28" s="318">
        <f t="shared" si="19"/>
        <v>0</v>
      </c>
      <c r="G28" s="318">
        <f t="shared" si="19"/>
        <v>0</v>
      </c>
      <c r="H28" s="318">
        <f t="shared" si="19"/>
        <v>0</v>
      </c>
      <c r="I28" s="318">
        <f t="shared" si="19"/>
        <v>0</v>
      </c>
      <c r="J28" s="318">
        <f>I28-E28</f>
        <v>0</v>
      </c>
      <c r="K28" s="445" t="str">
        <f t="shared" si="17"/>
        <v/>
      </c>
      <c r="L28" s="70"/>
    </row>
    <row r="29" spans="1:12" s="43" customFormat="1" ht="19.95" customHeight="1">
      <c r="A29" s="484" t="s">
        <v>854</v>
      </c>
      <c r="B29" s="71"/>
      <c r="C29" s="71"/>
      <c r="D29" s="71"/>
      <c r="E29" s="71"/>
      <c r="F29" s="71"/>
      <c r="G29" s="71"/>
      <c r="H29" s="71"/>
      <c r="I29" s="71"/>
      <c r="J29" s="71"/>
      <c r="K29" s="446"/>
      <c r="L29" s="71"/>
    </row>
    <row r="30" spans="1:12" s="43" customFormat="1" ht="19.95" customHeight="1">
      <c r="A30" s="484" t="s">
        <v>851</v>
      </c>
      <c r="B30" s="71"/>
      <c r="C30" s="71"/>
      <c r="D30" s="71"/>
      <c r="E30" s="71"/>
      <c r="F30" s="71"/>
      <c r="G30" s="71"/>
      <c r="H30" s="71"/>
      <c r="I30" s="71"/>
      <c r="J30" s="71"/>
      <c r="K30" s="446"/>
      <c r="L30" s="71"/>
    </row>
    <row r="31" spans="1:12" s="43" customFormat="1" ht="19.95" customHeight="1">
      <c r="A31" s="87" t="s">
        <v>64</v>
      </c>
      <c r="B31" s="69"/>
      <c r="C31" s="69"/>
      <c r="D31" s="69"/>
      <c r="E31" s="318">
        <f>B31+C31+D31</f>
        <v>0</v>
      </c>
      <c r="F31" s="318">
        <f>'明细表K1-2'!Y33</f>
        <v>0</v>
      </c>
      <c r="G31" s="135"/>
      <c r="H31" s="69"/>
      <c r="I31" s="318">
        <f t="shared" ref="I31:I36" si="20">F31+G31+H31</f>
        <v>0</v>
      </c>
      <c r="J31" s="318">
        <f>I31-E31</f>
        <v>0</v>
      </c>
      <c r="K31" s="445" t="str">
        <f>IF(AND(E31=0,I31=0),"",IF(AND(E31=0,I31&gt;0),1,J31/E31))</f>
        <v/>
      </c>
      <c r="L31" s="70"/>
    </row>
    <row r="32" spans="1:12" s="43" customFormat="1" ht="19.95" customHeight="1">
      <c r="A32" s="87" t="s">
        <v>65</v>
      </c>
      <c r="B32" s="69"/>
      <c r="C32" s="69"/>
      <c r="D32" s="69"/>
      <c r="E32" s="318">
        <f t="shared" ref="E32:E36" si="21">B32+C32+D32</f>
        <v>0</v>
      </c>
      <c r="F32" s="318">
        <f>'明细表K1-2'!Z33</f>
        <v>0</v>
      </c>
      <c r="G32" s="135"/>
      <c r="H32" s="69"/>
      <c r="I32" s="318">
        <f t="shared" si="20"/>
        <v>0</v>
      </c>
      <c r="J32" s="318">
        <f>I32-E32</f>
        <v>0</v>
      </c>
      <c r="K32" s="445" t="str">
        <f t="shared" ref="K32:K37" si="22">IF(AND(E32=0,I32=0),"",IF(AND(E32=0,I32&gt;0),1,J32/E32))</f>
        <v/>
      </c>
      <c r="L32" s="70"/>
    </row>
    <row r="33" spans="1:12" s="43" customFormat="1" ht="19.95" customHeight="1">
      <c r="A33" s="87" t="s">
        <v>66</v>
      </c>
      <c r="B33" s="69"/>
      <c r="C33" s="69"/>
      <c r="D33" s="69"/>
      <c r="E33" s="318">
        <f t="shared" si="21"/>
        <v>0</v>
      </c>
      <c r="F33" s="318">
        <f>'明细表K1-2'!AA33</f>
        <v>0</v>
      </c>
      <c r="G33" s="135"/>
      <c r="H33" s="69"/>
      <c r="I33" s="318">
        <f t="shared" si="20"/>
        <v>0</v>
      </c>
      <c r="J33" s="318">
        <f>I33-E33</f>
        <v>0</v>
      </c>
      <c r="K33" s="445" t="str">
        <f t="shared" si="22"/>
        <v/>
      </c>
      <c r="L33" s="70"/>
    </row>
    <row r="34" spans="1:12" s="43" customFormat="1" ht="19.95" customHeight="1">
      <c r="A34" s="87" t="s">
        <v>67</v>
      </c>
      <c r="B34" s="69"/>
      <c r="C34" s="69"/>
      <c r="D34" s="69"/>
      <c r="E34" s="318">
        <f t="shared" si="21"/>
        <v>0</v>
      </c>
      <c r="F34" s="318">
        <f>'明细表K1-2'!AB33</f>
        <v>0</v>
      </c>
      <c r="G34" s="135"/>
      <c r="H34" s="69"/>
      <c r="I34" s="318">
        <f t="shared" si="20"/>
        <v>0</v>
      </c>
      <c r="J34" s="318">
        <f>I34-E34</f>
        <v>0</v>
      </c>
      <c r="K34" s="445" t="str">
        <f t="shared" si="22"/>
        <v/>
      </c>
      <c r="L34" s="70"/>
    </row>
    <row r="35" spans="1:12" s="43" customFormat="1" ht="19.95" customHeight="1">
      <c r="A35" s="87" t="s">
        <v>68</v>
      </c>
      <c r="B35" s="69"/>
      <c r="C35" s="69"/>
      <c r="D35" s="69"/>
      <c r="E35" s="318">
        <f t="shared" si="21"/>
        <v>0</v>
      </c>
      <c r="F35" s="318">
        <f>'明细表K1-2'!AC33</f>
        <v>0</v>
      </c>
      <c r="G35" s="135"/>
      <c r="H35" s="69"/>
      <c r="I35" s="318">
        <f t="shared" si="20"/>
        <v>0</v>
      </c>
      <c r="J35" s="318">
        <f t="shared" ref="J35:J36" si="23">I35-E35</f>
        <v>0</v>
      </c>
      <c r="K35" s="445" t="str">
        <f t="shared" si="22"/>
        <v/>
      </c>
      <c r="L35" s="70"/>
    </row>
    <row r="36" spans="1:12" s="43" customFormat="1" ht="19.95" customHeight="1">
      <c r="A36" s="87" t="s">
        <v>69</v>
      </c>
      <c r="B36" s="69"/>
      <c r="C36" s="69"/>
      <c r="D36" s="69"/>
      <c r="E36" s="318">
        <f t="shared" si="21"/>
        <v>0</v>
      </c>
      <c r="F36" s="318">
        <f>'明细表K1-2'!AD33</f>
        <v>0</v>
      </c>
      <c r="G36" s="135"/>
      <c r="H36" s="69"/>
      <c r="I36" s="318">
        <f t="shared" si="20"/>
        <v>0</v>
      </c>
      <c r="J36" s="318">
        <f t="shared" si="23"/>
        <v>0</v>
      </c>
      <c r="K36" s="445" t="str">
        <f t="shared" si="22"/>
        <v/>
      </c>
      <c r="L36" s="70"/>
    </row>
    <row r="37" spans="1:12" s="603" customFormat="1" ht="19.95" customHeight="1">
      <c r="A37" s="596" t="s">
        <v>58</v>
      </c>
      <c r="B37" s="318">
        <f>SUM(B31:B36)</f>
        <v>0</v>
      </c>
      <c r="C37" s="318">
        <f t="shared" ref="C37" si="24">SUM(C31:C36)</f>
        <v>0</v>
      </c>
      <c r="D37" s="318">
        <f>SUM(D31:D36)</f>
        <v>0</v>
      </c>
      <c r="E37" s="318">
        <f>SUM(E31:E36)</f>
        <v>0</v>
      </c>
      <c r="F37" s="318">
        <f>SUM(F31:F36)</f>
        <v>0</v>
      </c>
      <c r="G37" s="318">
        <f>SUM(G31:G36)</f>
        <v>0</v>
      </c>
      <c r="H37" s="318">
        <f t="shared" ref="H37:I37" si="25">SUM(H31:H36)</f>
        <v>0</v>
      </c>
      <c r="I37" s="318">
        <f t="shared" si="25"/>
        <v>0</v>
      </c>
      <c r="J37" s="318">
        <f>I37-E37</f>
        <v>0</v>
      </c>
      <c r="K37" s="445" t="str">
        <f t="shared" si="22"/>
        <v/>
      </c>
      <c r="L37" s="67"/>
    </row>
    <row r="38" spans="1:12" s="43" customFormat="1" ht="19.95" customHeight="1">
      <c r="A38" s="484" t="s">
        <v>852</v>
      </c>
      <c r="B38" s="71"/>
      <c r="C38" s="71"/>
      <c r="D38" s="71"/>
      <c r="E38" s="71"/>
      <c r="F38" s="71"/>
      <c r="G38" s="71"/>
      <c r="H38" s="71"/>
      <c r="I38" s="71"/>
      <c r="J38" s="71"/>
      <c r="K38" s="446"/>
      <c r="L38" s="71"/>
    </row>
    <row r="39" spans="1:12" s="43" customFormat="1" ht="19.95" customHeight="1">
      <c r="A39" s="91" t="str">
        <f t="shared" ref="A39:A44" si="26">A31</f>
        <v>一年以内</v>
      </c>
      <c r="B39" s="69"/>
      <c r="C39" s="69"/>
      <c r="D39" s="69"/>
      <c r="E39" s="318">
        <f>B39+C39+D39</f>
        <v>0</v>
      </c>
      <c r="F39" s="69"/>
      <c r="G39" s="328">
        <f>I39-F39</f>
        <v>0</v>
      </c>
      <c r="H39" s="69"/>
      <c r="I39" s="318">
        <f>'坏账准备测算K1-8'!K21</f>
        <v>0</v>
      </c>
      <c r="J39" s="318">
        <f>I39-E39</f>
        <v>0</v>
      </c>
      <c r="K39" s="445" t="str">
        <f>IF(AND(E39=0,I39=0),"",IF(AND(E39=0,I39&gt;0),1,J39/E39))</f>
        <v/>
      </c>
      <c r="L39" s="70"/>
    </row>
    <row r="40" spans="1:12" s="43" customFormat="1" ht="19.95" customHeight="1">
      <c r="A40" s="91" t="str">
        <f t="shared" si="26"/>
        <v>一到二年</v>
      </c>
      <c r="B40" s="69"/>
      <c r="C40" s="69"/>
      <c r="D40" s="69"/>
      <c r="E40" s="318">
        <f t="shared" ref="E40:E44" si="27">B40+C40+D40</f>
        <v>0</v>
      </c>
      <c r="F40" s="69"/>
      <c r="G40" s="328">
        <f t="shared" ref="G40:G44" si="28">I40-F40</f>
        <v>0</v>
      </c>
      <c r="H40" s="69"/>
      <c r="I40" s="318">
        <f>'坏账准备测算K1-8'!K22</f>
        <v>0</v>
      </c>
      <c r="J40" s="318">
        <f>I40-E40</f>
        <v>0</v>
      </c>
      <c r="K40" s="445" t="str">
        <f t="shared" ref="K40:K45" si="29">IF(AND(E40=0,I40=0),"",IF(AND(E40=0,I40&gt;0),1,J40/E40))</f>
        <v/>
      </c>
      <c r="L40" s="70"/>
    </row>
    <row r="41" spans="1:12" s="43" customFormat="1" ht="19.95" customHeight="1">
      <c r="A41" s="91" t="str">
        <f t="shared" si="26"/>
        <v>二到三年</v>
      </c>
      <c r="B41" s="69"/>
      <c r="C41" s="69"/>
      <c r="D41" s="69"/>
      <c r="E41" s="318">
        <f t="shared" si="27"/>
        <v>0</v>
      </c>
      <c r="F41" s="69"/>
      <c r="G41" s="328">
        <f t="shared" si="28"/>
        <v>0</v>
      </c>
      <c r="H41" s="69"/>
      <c r="I41" s="318">
        <f>'坏账准备测算K1-8'!K23</f>
        <v>0</v>
      </c>
      <c r="J41" s="318">
        <f>I41-E41</f>
        <v>0</v>
      </c>
      <c r="K41" s="445" t="str">
        <f t="shared" si="29"/>
        <v/>
      </c>
      <c r="L41" s="70"/>
    </row>
    <row r="42" spans="1:12" s="43" customFormat="1" ht="19.95" customHeight="1">
      <c r="A42" s="91" t="str">
        <f t="shared" si="26"/>
        <v>三到四年</v>
      </c>
      <c r="B42" s="69"/>
      <c r="C42" s="69"/>
      <c r="D42" s="69"/>
      <c r="E42" s="318">
        <f t="shared" si="27"/>
        <v>0</v>
      </c>
      <c r="F42" s="69"/>
      <c r="G42" s="328">
        <f t="shared" si="28"/>
        <v>0</v>
      </c>
      <c r="H42" s="69"/>
      <c r="I42" s="318">
        <f>'坏账准备测算K1-8'!K24</f>
        <v>0</v>
      </c>
      <c r="J42" s="318">
        <f>I42-E42</f>
        <v>0</v>
      </c>
      <c r="K42" s="445" t="str">
        <f t="shared" si="29"/>
        <v/>
      </c>
      <c r="L42" s="70"/>
    </row>
    <row r="43" spans="1:12" s="43" customFormat="1" ht="19.95" customHeight="1">
      <c r="A43" s="91" t="str">
        <f t="shared" si="26"/>
        <v>四到五年</v>
      </c>
      <c r="B43" s="69"/>
      <c r="C43" s="69"/>
      <c r="D43" s="69"/>
      <c r="E43" s="318">
        <f t="shared" si="27"/>
        <v>0</v>
      </c>
      <c r="F43" s="69"/>
      <c r="G43" s="328">
        <f t="shared" si="28"/>
        <v>0</v>
      </c>
      <c r="H43" s="69"/>
      <c r="I43" s="318">
        <f>'坏账准备测算K1-8'!K25</f>
        <v>0</v>
      </c>
      <c r="J43" s="318">
        <f t="shared" ref="J43:J44" si="30">I43-E43</f>
        <v>0</v>
      </c>
      <c r="K43" s="445" t="str">
        <f t="shared" si="29"/>
        <v/>
      </c>
      <c r="L43" s="70"/>
    </row>
    <row r="44" spans="1:12" s="43" customFormat="1" ht="19.95" customHeight="1">
      <c r="A44" s="91" t="str">
        <f t="shared" si="26"/>
        <v>五年以上</v>
      </c>
      <c r="B44" s="69"/>
      <c r="C44" s="69"/>
      <c r="D44" s="69"/>
      <c r="E44" s="318">
        <f t="shared" si="27"/>
        <v>0</v>
      </c>
      <c r="F44" s="69"/>
      <c r="G44" s="328">
        <f t="shared" si="28"/>
        <v>0</v>
      </c>
      <c r="H44" s="69"/>
      <c r="I44" s="318">
        <f>'坏账准备测算K1-8'!K26</f>
        <v>0</v>
      </c>
      <c r="J44" s="318">
        <f t="shared" si="30"/>
        <v>0</v>
      </c>
      <c r="K44" s="445" t="str">
        <f t="shared" si="29"/>
        <v/>
      </c>
      <c r="L44" s="70"/>
    </row>
    <row r="45" spans="1:12" s="603" customFormat="1" ht="19.95" customHeight="1">
      <c r="A45" s="596" t="s">
        <v>70</v>
      </c>
      <c r="B45" s="318">
        <f>SUM(B39:B44)</f>
        <v>0</v>
      </c>
      <c r="C45" s="318">
        <f t="shared" ref="C45" si="31">SUM(C39:C44)</f>
        <v>0</v>
      </c>
      <c r="D45" s="318">
        <f>SUM(D39:D44)</f>
        <v>0</v>
      </c>
      <c r="E45" s="318">
        <f>SUM(E39:E44)</f>
        <v>0</v>
      </c>
      <c r="F45" s="318">
        <f>SUM(F39:F44)</f>
        <v>0</v>
      </c>
      <c r="G45" s="318">
        <f t="shared" ref="G45:H45" si="32">SUM(G39:G44)</f>
        <v>0</v>
      </c>
      <c r="H45" s="318">
        <f t="shared" si="32"/>
        <v>0</v>
      </c>
      <c r="I45" s="318">
        <f>SUM(I39:I44)</f>
        <v>0</v>
      </c>
      <c r="J45" s="318">
        <f>I45-E45</f>
        <v>0</v>
      </c>
      <c r="K45" s="445" t="str">
        <f t="shared" si="29"/>
        <v/>
      </c>
      <c r="L45" s="67"/>
    </row>
    <row r="46" spans="1:12" s="43" customFormat="1" ht="19.95" customHeight="1">
      <c r="A46" s="92" t="s">
        <v>853</v>
      </c>
      <c r="B46" s="66"/>
      <c r="C46" s="66"/>
      <c r="D46" s="66"/>
      <c r="E46" s="66"/>
      <c r="F46" s="66"/>
      <c r="G46" s="66"/>
      <c r="H46" s="66"/>
      <c r="I46" s="66"/>
      <c r="J46" s="67"/>
      <c r="K46" s="68"/>
      <c r="L46" s="67"/>
    </row>
    <row r="47" spans="1:12" s="43" customFormat="1" ht="19.95" customHeight="1">
      <c r="A47" s="91" t="str">
        <f t="shared" ref="A47:A52" si="33">A31</f>
        <v>一年以内</v>
      </c>
      <c r="B47" s="318">
        <f>B31-B39</f>
        <v>0</v>
      </c>
      <c r="C47" s="318">
        <f t="shared" ref="C47:I52" si="34">C31-C39</f>
        <v>0</v>
      </c>
      <c r="D47" s="318">
        <f t="shared" si="34"/>
        <v>0</v>
      </c>
      <c r="E47" s="318">
        <f t="shared" si="34"/>
        <v>0</v>
      </c>
      <c r="F47" s="318">
        <f t="shared" ref="F47:G52" si="35">F31-F39</f>
        <v>0</v>
      </c>
      <c r="G47" s="318">
        <f t="shared" si="35"/>
        <v>0</v>
      </c>
      <c r="H47" s="318">
        <f t="shared" si="34"/>
        <v>0</v>
      </c>
      <c r="I47" s="318">
        <f t="shared" si="34"/>
        <v>0</v>
      </c>
      <c r="J47" s="318">
        <f>I47-E47</f>
        <v>0</v>
      </c>
      <c r="K47" s="445" t="str">
        <f>IF(AND(E47=0,I47=0),"",IF(AND(E47=0,I47&gt;0),1,J47/E47))</f>
        <v/>
      </c>
      <c r="L47" s="70"/>
    </row>
    <row r="48" spans="1:12" s="43" customFormat="1" ht="19.95" customHeight="1">
      <c r="A48" s="91" t="str">
        <f t="shared" si="33"/>
        <v>一到二年</v>
      </c>
      <c r="B48" s="318">
        <f t="shared" ref="B48:D52" si="36">B32-B40</f>
        <v>0</v>
      </c>
      <c r="C48" s="318">
        <f t="shared" si="36"/>
        <v>0</v>
      </c>
      <c r="D48" s="318">
        <f t="shared" si="36"/>
        <v>0</v>
      </c>
      <c r="E48" s="318">
        <f t="shared" si="34"/>
        <v>0</v>
      </c>
      <c r="F48" s="318">
        <f t="shared" si="35"/>
        <v>0</v>
      </c>
      <c r="G48" s="318">
        <f t="shared" si="35"/>
        <v>0</v>
      </c>
      <c r="H48" s="318">
        <f t="shared" si="34"/>
        <v>0</v>
      </c>
      <c r="I48" s="318">
        <f t="shared" si="34"/>
        <v>0</v>
      </c>
      <c r="J48" s="318">
        <f>I48-E48</f>
        <v>0</v>
      </c>
      <c r="K48" s="445" t="str">
        <f t="shared" ref="K48:K53" si="37">IF(AND(E48=0,I48=0),"",IF(AND(E48=0,I48&gt;0),1,J48/E48))</f>
        <v/>
      </c>
      <c r="L48" s="70"/>
    </row>
    <row r="49" spans="1:12" s="43" customFormat="1" ht="19.95" customHeight="1">
      <c r="A49" s="91" t="str">
        <f t="shared" si="33"/>
        <v>二到三年</v>
      </c>
      <c r="B49" s="318">
        <f t="shared" si="36"/>
        <v>0</v>
      </c>
      <c r="C49" s="318">
        <f t="shared" si="36"/>
        <v>0</v>
      </c>
      <c r="D49" s="318">
        <f t="shared" si="36"/>
        <v>0</v>
      </c>
      <c r="E49" s="318">
        <f t="shared" si="34"/>
        <v>0</v>
      </c>
      <c r="F49" s="318">
        <f t="shared" si="35"/>
        <v>0</v>
      </c>
      <c r="G49" s="318">
        <f t="shared" si="35"/>
        <v>0</v>
      </c>
      <c r="H49" s="318">
        <f t="shared" si="34"/>
        <v>0</v>
      </c>
      <c r="I49" s="318">
        <f t="shared" si="34"/>
        <v>0</v>
      </c>
      <c r="J49" s="318">
        <f>I49-E49</f>
        <v>0</v>
      </c>
      <c r="K49" s="445" t="str">
        <f t="shared" si="37"/>
        <v/>
      </c>
      <c r="L49" s="70"/>
    </row>
    <row r="50" spans="1:12" s="43" customFormat="1" ht="19.95" customHeight="1">
      <c r="A50" s="91" t="str">
        <f t="shared" si="33"/>
        <v>三到四年</v>
      </c>
      <c r="B50" s="318">
        <f t="shared" si="36"/>
        <v>0</v>
      </c>
      <c r="C50" s="318">
        <f t="shared" si="36"/>
        <v>0</v>
      </c>
      <c r="D50" s="318">
        <f t="shared" si="36"/>
        <v>0</v>
      </c>
      <c r="E50" s="318">
        <f t="shared" si="34"/>
        <v>0</v>
      </c>
      <c r="F50" s="318">
        <f t="shared" si="35"/>
        <v>0</v>
      </c>
      <c r="G50" s="318">
        <f t="shared" si="35"/>
        <v>0</v>
      </c>
      <c r="H50" s="318">
        <f t="shared" si="34"/>
        <v>0</v>
      </c>
      <c r="I50" s="318">
        <f t="shared" si="34"/>
        <v>0</v>
      </c>
      <c r="J50" s="318">
        <f>I50-E50</f>
        <v>0</v>
      </c>
      <c r="K50" s="445" t="str">
        <f t="shared" si="37"/>
        <v/>
      </c>
      <c r="L50" s="70"/>
    </row>
    <row r="51" spans="1:12" s="43" customFormat="1" ht="19.95" customHeight="1">
      <c r="A51" s="91" t="str">
        <f t="shared" si="33"/>
        <v>四到五年</v>
      </c>
      <c r="B51" s="318">
        <f t="shared" si="36"/>
        <v>0</v>
      </c>
      <c r="C51" s="318">
        <f t="shared" si="36"/>
        <v>0</v>
      </c>
      <c r="D51" s="318">
        <f t="shared" si="36"/>
        <v>0</v>
      </c>
      <c r="E51" s="318">
        <f t="shared" si="34"/>
        <v>0</v>
      </c>
      <c r="F51" s="318">
        <f t="shared" si="35"/>
        <v>0</v>
      </c>
      <c r="G51" s="318">
        <f t="shared" si="35"/>
        <v>0</v>
      </c>
      <c r="H51" s="318">
        <f t="shared" si="34"/>
        <v>0</v>
      </c>
      <c r="I51" s="318">
        <f t="shared" si="34"/>
        <v>0</v>
      </c>
      <c r="J51" s="318">
        <f t="shared" ref="J51:J53" si="38">I51-E51</f>
        <v>0</v>
      </c>
      <c r="K51" s="445" t="str">
        <f t="shared" si="37"/>
        <v/>
      </c>
      <c r="L51" s="70"/>
    </row>
    <row r="52" spans="1:12" s="43" customFormat="1" ht="19.95" customHeight="1">
      <c r="A52" s="91" t="str">
        <f t="shared" si="33"/>
        <v>五年以上</v>
      </c>
      <c r="B52" s="318">
        <f t="shared" si="36"/>
        <v>0</v>
      </c>
      <c r="C52" s="318">
        <f t="shared" si="36"/>
        <v>0</v>
      </c>
      <c r="D52" s="318">
        <f t="shared" si="36"/>
        <v>0</v>
      </c>
      <c r="E52" s="318">
        <f t="shared" si="34"/>
        <v>0</v>
      </c>
      <c r="F52" s="318">
        <f t="shared" si="35"/>
        <v>0</v>
      </c>
      <c r="G52" s="318">
        <f t="shared" si="35"/>
        <v>0</v>
      </c>
      <c r="H52" s="318">
        <f t="shared" si="34"/>
        <v>0</v>
      </c>
      <c r="I52" s="318">
        <f t="shared" si="34"/>
        <v>0</v>
      </c>
      <c r="J52" s="318">
        <f t="shared" si="38"/>
        <v>0</v>
      </c>
      <c r="K52" s="445" t="str">
        <f t="shared" si="37"/>
        <v/>
      </c>
      <c r="L52" s="70"/>
    </row>
    <row r="53" spans="1:12" s="603" customFormat="1" ht="19.95" customHeight="1">
      <c r="A53" s="604" t="s">
        <v>71</v>
      </c>
      <c r="B53" s="318">
        <f>SUM(B47:B52)</f>
        <v>0</v>
      </c>
      <c r="C53" s="318">
        <f t="shared" ref="C53" si="39">SUM(C47:C52)</f>
        <v>0</v>
      </c>
      <c r="D53" s="318">
        <f>SUM(D47:D52)</f>
        <v>0</v>
      </c>
      <c r="E53" s="318">
        <f>SUM(E47:E52)</f>
        <v>0</v>
      </c>
      <c r="F53" s="318">
        <f t="shared" ref="F53:I53" si="40">SUM(F47:F52)</f>
        <v>0</v>
      </c>
      <c r="G53" s="318">
        <f t="shared" si="40"/>
        <v>0</v>
      </c>
      <c r="H53" s="318">
        <f t="shared" si="40"/>
        <v>0</v>
      </c>
      <c r="I53" s="318">
        <f t="shared" si="40"/>
        <v>0</v>
      </c>
      <c r="J53" s="318">
        <f t="shared" si="38"/>
        <v>0</v>
      </c>
      <c r="K53" s="445" t="str">
        <f t="shared" si="37"/>
        <v/>
      </c>
      <c r="L53" s="67"/>
    </row>
    <row r="54" spans="1:12" s="43" customFormat="1" ht="19.95" customHeight="1">
      <c r="A54" s="549" t="s">
        <v>459</v>
      </c>
      <c r="B54" s="550" t="s">
        <v>471</v>
      </c>
      <c r="C54" s="551"/>
      <c r="D54" s="551"/>
      <c r="E54" s="551"/>
      <c r="F54" s="551"/>
      <c r="G54" s="551"/>
      <c r="H54" s="551"/>
      <c r="I54" s="551"/>
      <c r="J54" s="551"/>
      <c r="K54" s="552"/>
      <c r="L54" s="551"/>
    </row>
    <row r="55" spans="1:12" s="43" customFormat="1" ht="19.95" customHeight="1">
      <c r="A55" s="549" t="s">
        <v>254</v>
      </c>
      <c r="B55" s="551"/>
      <c r="C55" s="551"/>
      <c r="D55" s="551"/>
      <c r="E55" s="551"/>
      <c r="F55" s="551"/>
      <c r="G55" s="551"/>
      <c r="H55" s="551"/>
      <c r="I55" s="551"/>
      <c r="J55" s="551"/>
      <c r="K55" s="552"/>
      <c r="L55" s="551"/>
    </row>
    <row r="56" spans="1:12" s="43" customFormat="1" ht="19.95" customHeight="1">
      <c r="A56" s="553" t="s">
        <v>254</v>
      </c>
      <c r="B56" s="328"/>
      <c r="C56" s="328"/>
      <c r="D56" s="328"/>
      <c r="E56" s="328"/>
      <c r="F56" s="328"/>
      <c r="G56" s="328"/>
      <c r="H56" s="328"/>
      <c r="I56" s="328"/>
      <c r="J56" s="554"/>
      <c r="K56" s="555"/>
      <c r="L56" s="554"/>
    </row>
    <row r="57" spans="1:12" s="43" customFormat="1" ht="19.95" customHeight="1">
      <c r="A57" s="322" t="s">
        <v>460</v>
      </c>
      <c r="B57" s="318">
        <f>SUMIF('明细表K1-2'!$E$12:$E$32,$A57,'明细表K1-2'!F$12:F$32)</f>
        <v>0</v>
      </c>
      <c r="C57" s="318">
        <f>SUMIF('明细表K1-2'!$E$12:$E$32,$A57,'明细表K1-2'!G$12:G$32)</f>
        <v>0</v>
      </c>
      <c r="D57" s="318">
        <f>SUMIF('明细表K1-2'!$E$12:$E$32,$A57,'明细表K1-2'!H$12:H$32)</f>
        <v>0</v>
      </c>
      <c r="E57" s="318">
        <f>B57+C57+D57</f>
        <v>0</v>
      </c>
      <c r="F57" s="318">
        <f>SUMIF('明细表K1-2'!$E$12:$E$32,$A57,'明细表K1-2'!S$12:S$32)</f>
        <v>0</v>
      </c>
      <c r="G57" s="318">
        <f>SUMIF('明细表K1-2'!$E$12:$E$32,$A57,'明细表K1-2'!V$12:V$32)</f>
        <v>0</v>
      </c>
      <c r="H57" s="318">
        <f>SUMIF('明细表K1-2'!$E$12:$E$32,$A57,'明细表K1-2'!W$12:W$32)</f>
        <v>0</v>
      </c>
      <c r="I57" s="318">
        <f>F57+G57+H57</f>
        <v>0</v>
      </c>
      <c r="J57" s="318">
        <f>I57-E57</f>
        <v>0</v>
      </c>
      <c r="K57" s="445" t="str">
        <f>IF(AND(E57=0,I57=0),"",IF(AND(E57=0,I57&gt;0),1,J57/E57))</f>
        <v/>
      </c>
      <c r="L57" s="70"/>
    </row>
    <row r="58" spans="1:12" s="43" customFormat="1" ht="19.95" customHeight="1">
      <c r="A58" s="322" t="s">
        <v>461</v>
      </c>
      <c r="B58" s="318">
        <f>SUMIF('明细表K1-2'!$E$12:$E$32,$A58,'明细表K1-2'!F$12:F$32)</f>
        <v>0</v>
      </c>
      <c r="C58" s="318">
        <f>SUMIF('明细表K1-2'!$E$12:$E$32,$A58,'明细表K1-2'!G$12:G$32)</f>
        <v>0</v>
      </c>
      <c r="D58" s="318">
        <f>SUMIF('明细表K1-2'!$E$12:$E$32,$A58,'明细表K1-2'!H$12:H$32)</f>
        <v>0</v>
      </c>
      <c r="E58" s="318">
        <f t="shared" ref="E58:E62" si="41">B58+C58+D58</f>
        <v>0</v>
      </c>
      <c r="F58" s="318">
        <f>SUMIF('明细表K1-2'!$E$12:$E$32,$A58,'明细表K1-2'!S$12:S$32)</f>
        <v>0</v>
      </c>
      <c r="G58" s="318">
        <f>SUMIF('明细表K1-2'!$E$12:$E$32,$A58,'明细表K1-2'!V$12:V$32)</f>
        <v>0</v>
      </c>
      <c r="H58" s="318">
        <f>SUMIF('明细表K1-2'!$E$12:$E$32,$A58,'明细表K1-2'!W$12:W$32)</f>
        <v>0</v>
      </c>
      <c r="I58" s="318">
        <f t="shared" ref="I58:I62" si="42">F58+G58+H58</f>
        <v>0</v>
      </c>
      <c r="J58" s="318">
        <f t="shared" ref="J58:J60" si="43">I58-E58</f>
        <v>0</v>
      </c>
      <c r="K58" s="445" t="str">
        <f t="shared" ref="K58:K63" si="44">IF(AND(E58=0,I58=0),"",IF(AND(E58=0,I58&gt;0),1,J58/E58))</f>
        <v/>
      </c>
      <c r="L58" s="70"/>
    </row>
    <row r="59" spans="1:12" s="43" customFormat="1" ht="19.95" customHeight="1">
      <c r="A59" s="322" t="s">
        <v>462</v>
      </c>
      <c r="B59" s="318">
        <f>SUMIF('明细表K1-2'!$E$12:$E$32,$A59,'明细表K1-2'!F$12:F$32)</f>
        <v>0</v>
      </c>
      <c r="C59" s="318">
        <f>SUMIF('明细表K1-2'!$E$12:$E$32,$A59,'明细表K1-2'!G$12:G$32)</f>
        <v>0</v>
      </c>
      <c r="D59" s="318">
        <f>SUMIF('明细表K1-2'!$E$12:$E$32,$A59,'明细表K1-2'!H$12:H$32)</f>
        <v>0</v>
      </c>
      <c r="E59" s="318">
        <f t="shared" si="41"/>
        <v>0</v>
      </c>
      <c r="F59" s="318">
        <f>SUMIF('明细表K1-2'!$E$12:$E$32,$A59,'明细表K1-2'!S$12:S$32)</f>
        <v>0</v>
      </c>
      <c r="G59" s="318">
        <f>SUMIF('明细表K1-2'!$E$12:$E$32,$A59,'明细表K1-2'!V$12:V$32)</f>
        <v>0</v>
      </c>
      <c r="H59" s="318">
        <f>SUMIF('明细表K1-2'!$E$12:$E$32,$A59,'明细表K1-2'!W$12:W$32)</f>
        <v>0</v>
      </c>
      <c r="I59" s="318">
        <f t="shared" si="42"/>
        <v>0</v>
      </c>
      <c r="J59" s="318">
        <f t="shared" si="43"/>
        <v>0</v>
      </c>
      <c r="K59" s="445" t="str">
        <f t="shared" si="44"/>
        <v/>
      </c>
      <c r="L59" s="70"/>
    </row>
    <row r="60" spans="1:12" s="43" customFormat="1" ht="19.95" customHeight="1">
      <c r="A60" s="322" t="s">
        <v>463</v>
      </c>
      <c r="B60" s="318">
        <f>SUMIF('明细表K1-2'!$E$12:$E$32,$A60,'明细表K1-2'!F$12:F$32)</f>
        <v>0</v>
      </c>
      <c r="C60" s="318">
        <f>SUMIF('明细表K1-2'!$E$12:$E$32,$A60,'明细表K1-2'!G$12:G$32)</f>
        <v>0</v>
      </c>
      <c r="D60" s="318">
        <f>SUMIF('明细表K1-2'!$E$12:$E$32,$A60,'明细表K1-2'!H$12:H$32)</f>
        <v>0</v>
      </c>
      <c r="E60" s="318">
        <f t="shared" si="41"/>
        <v>0</v>
      </c>
      <c r="F60" s="318">
        <f>SUMIF('明细表K1-2'!$E$12:$E$32,$A60,'明细表K1-2'!S$12:S$32)</f>
        <v>0</v>
      </c>
      <c r="G60" s="318">
        <f>SUMIF('明细表K1-2'!$E$12:$E$32,$A60,'明细表K1-2'!V$12:V$32)</f>
        <v>0</v>
      </c>
      <c r="H60" s="318">
        <f>SUMIF('明细表K1-2'!$E$12:$E$32,$A60,'明细表K1-2'!W$12:W$32)</f>
        <v>0</v>
      </c>
      <c r="I60" s="318">
        <f t="shared" si="42"/>
        <v>0</v>
      </c>
      <c r="J60" s="318">
        <f t="shared" si="43"/>
        <v>0</v>
      </c>
      <c r="K60" s="445" t="str">
        <f t="shared" si="44"/>
        <v/>
      </c>
      <c r="L60" s="70"/>
    </row>
    <row r="61" spans="1:12" s="43" customFormat="1" ht="19.95" customHeight="1">
      <c r="A61" s="322" t="s">
        <v>464</v>
      </c>
      <c r="B61" s="318">
        <f>SUMIF('明细表K1-2'!$E$12:$E$32,$A61,'明细表K1-2'!F$12:F$32)</f>
        <v>0</v>
      </c>
      <c r="C61" s="318">
        <f>SUMIF('明细表K1-2'!$E$12:$E$32,$A61,'明细表K1-2'!G$12:G$32)</f>
        <v>0</v>
      </c>
      <c r="D61" s="318">
        <f>SUMIF('明细表K1-2'!$E$12:$E$32,$A61,'明细表K1-2'!H$12:H$32)</f>
        <v>0</v>
      </c>
      <c r="E61" s="318">
        <f t="shared" si="41"/>
        <v>0</v>
      </c>
      <c r="F61" s="318">
        <f>SUMIF('明细表K1-2'!$E$12:$E$32,$A61,'明细表K1-2'!S$12:S$32)</f>
        <v>0</v>
      </c>
      <c r="G61" s="318">
        <f>SUMIF('明细表K1-2'!$E$12:$E$32,$A61,'明细表K1-2'!V$12:V$32)</f>
        <v>0</v>
      </c>
      <c r="H61" s="318">
        <f>SUMIF('明细表K1-2'!$E$12:$E$32,$A61,'明细表K1-2'!W$12:W$32)</f>
        <v>0</v>
      </c>
      <c r="I61" s="318">
        <f t="shared" si="42"/>
        <v>0</v>
      </c>
      <c r="J61" s="318">
        <f t="shared" ref="J61" si="45">I61-E61</f>
        <v>0</v>
      </c>
      <c r="K61" s="445" t="str">
        <f t="shared" ref="K61" si="46">IF(AND(E61=0,I61=0),"",IF(AND(E61=0,I61&gt;0),1,J61/E61))</f>
        <v/>
      </c>
      <c r="L61" s="70"/>
    </row>
    <row r="62" spans="1:12" s="43" customFormat="1" ht="19.95" customHeight="1">
      <c r="A62" s="85"/>
      <c r="B62" s="318">
        <f>SUMIF('明细表K1-2'!$E$12:$E$32,$A62,'明细表K1-2'!F$12:F$32)</f>
        <v>0</v>
      </c>
      <c r="C62" s="318">
        <f>SUMIF('明细表K1-2'!$E$12:$E$32,$A62,'明细表K1-2'!G$12:G$32)</f>
        <v>0</v>
      </c>
      <c r="D62" s="318">
        <f>SUMIF('明细表K1-2'!$E$12:$E$32,$A62,'明细表K1-2'!H$12:H$32)</f>
        <v>0</v>
      </c>
      <c r="E62" s="318">
        <f t="shared" si="41"/>
        <v>0</v>
      </c>
      <c r="F62" s="318">
        <f>SUMIF('明细表K1-2'!$E$12:$E$32,$A62,'明细表K1-2'!S$12:S$32)</f>
        <v>0</v>
      </c>
      <c r="G62" s="318">
        <f>SUMIF('明细表K1-2'!$E$12:$E$32,$A62,'明细表K1-2'!V$12:V$32)</f>
        <v>0</v>
      </c>
      <c r="H62" s="318">
        <f>SUMIF('明细表K1-2'!$E$12:$E$32,$A62,'明细表K1-2'!W$12:W$32)</f>
        <v>0</v>
      </c>
      <c r="I62" s="318">
        <f t="shared" si="42"/>
        <v>0</v>
      </c>
      <c r="J62" s="318">
        <f>I62-E62</f>
        <v>0</v>
      </c>
      <c r="K62" s="445" t="str">
        <f>IF(AND(E62=0,I62=0),"",IF(AND(E62=0,I62&gt;0),1,J62/E62))</f>
        <v/>
      </c>
      <c r="L62" s="70"/>
    </row>
    <row r="63" spans="1:12" s="603" customFormat="1" ht="19.95" customHeight="1">
      <c r="A63" s="596" t="s">
        <v>58</v>
      </c>
      <c r="B63" s="317">
        <f>SUM(B57:B62)</f>
        <v>0</v>
      </c>
      <c r="C63" s="317">
        <f t="shared" ref="C63:D63" si="47">SUM(C57:C62)</f>
        <v>0</v>
      </c>
      <c r="D63" s="317">
        <f t="shared" si="47"/>
        <v>0</v>
      </c>
      <c r="E63" s="317">
        <f t="shared" ref="E63" si="48">SUM(E57:E62)</f>
        <v>0</v>
      </c>
      <c r="F63" s="317">
        <f t="shared" ref="F63" si="49">SUM(F57:F62)</f>
        <v>0</v>
      </c>
      <c r="G63" s="317">
        <f t="shared" ref="G63" si="50">SUM(G57:G62)</f>
        <v>0</v>
      </c>
      <c r="H63" s="317">
        <f t="shared" ref="H63" si="51">SUM(H57:H62)</f>
        <v>0</v>
      </c>
      <c r="I63" s="317">
        <f t="shared" ref="I63" si="52">SUM(I57:I62)</f>
        <v>0</v>
      </c>
      <c r="J63" s="317">
        <f>I63-E63</f>
        <v>0</v>
      </c>
      <c r="K63" s="446" t="str">
        <f t="shared" si="44"/>
        <v/>
      </c>
      <c r="L63" s="67"/>
    </row>
    <row r="64" spans="1:12" s="43" customFormat="1" ht="19.95" customHeight="1">
      <c r="A64" s="92" t="s">
        <v>255</v>
      </c>
      <c r="B64" s="66"/>
      <c r="C64" s="66"/>
      <c r="D64" s="66"/>
      <c r="E64" s="66"/>
      <c r="F64" s="66"/>
      <c r="G64" s="66"/>
      <c r="H64" s="66"/>
      <c r="I64" s="66"/>
      <c r="J64" s="67"/>
      <c r="K64" s="68"/>
      <c r="L64" s="67"/>
    </row>
    <row r="65" spans="1:12" s="43" customFormat="1" ht="19.95" customHeight="1">
      <c r="A65" s="321" t="str">
        <f>A57</f>
        <v>保证金</v>
      </c>
      <c r="B65" s="69"/>
      <c r="C65" s="328">
        <f>E65-B65</f>
        <v>0</v>
      </c>
      <c r="D65" s="69"/>
      <c r="E65" s="318">
        <f>SUMIF('明细表K1-2'!$E$12:$E$32,'审定表K1-1'!A65,'明细表K1-2'!$P$12:$P$32)</f>
        <v>0</v>
      </c>
      <c r="F65" s="69"/>
      <c r="G65" s="328">
        <f>I65-F65</f>
        <v>0</v>
      </c>
      <c r="H65" s="69"/>
      <c r="I65" s="318">
        <f>SUMIF('明细表K1-2'!$E$12:$E$32,'审定表K1-1'!A65,'明细表K1-2'!$AE$12:$AE$32)</f>
        <v>0</v>
      </c>
      <c r="J65" s="318">
        <f>I65-E65</f>
        <v>0</v>
      </c>
      <c r="K65" s="445" t="str">
        <f>IF(AND(E65=0,I65=0),"",IF(AND(E65=0,I65&gt;0),1,J65/E65))</f>
        <v/>
      </c>
      <c r="L65" s="70"/>
    </row>
    <row r="66" spans="1:12" s="43" customFormat="1" ht="19.95" customHeight="1">
      <c r="A66" s="321" t="str">
        <f t="shared" ref="A66:A70" si="53">A58</f>
        <v>押金</v>
      </c>
      <c r="B66" s="69"/>
      <c r="C66" s="328">
        <f t="shared" ref="C66:C69" si="54">E66-B66</f>
        <v>0</v>
      </c>
      <c r="D66" s="69"/>
      <c r="E66" s="318">
        <f>SUMIF('明细表K1-2'!$E$12:$E$32,'审定表K1-1'!A66,'明细表K1-2'!$P$12:$P$32)</f>
        <v>0</v>
      </c>
      <c r="F66" s="69"/>
      <c r="G66" s="328">
        <f t="shared" ref="G66:G70" si="55">I66-F66</f>
        <v>0</v>
      </c>
      <c r="H66" s="69"/>
      <c r="I66" s="318">
        <f>SUMIF('明细表K1-2'!$E$12:$E$32,'审定表K1-1'!A66,'明细表K1-2'!$AE$12:$AE$32)</f>
        <v>0</v>
      </c>
      <c r="J66" s="318">
        <f t="shared" ref="J66:J70" si="56">I66-E66</f>
        <v>0</v>
      </c>
      <c r="K66" s="445" t="str">
        <f t="shared" ref="K66:K71" si="57">IF(AND(E66=0,I66=0),"",IF(AND(E66=0,I66&gt;0),1,J66/E66))</f>
        <v/>
      </c>
      <c r="L66" s="70"/>
    </row>
    <row r="67" spans="1:12" s="43" customFormat="1" ht="19.95" customHeight="1">
      <c r="A67" s="321" t="str">
        <f t="shared" si="53"/>
        <v>备用金</v>
      </c>
      <c r="B67" s="69"/>
      <c r="C67" s="328">
        <f t="shared" si="54"/>
        <v>0</v>
      </c>
      <c r="D67" s="69"/>
      <c r="E67" s="318">
        <f>SUMIF('明细表K1-2'!$E$12:$E$32,'审定表K1-1'!A67,'明细表K1-2'!$P$12:$P$32)</f>
        <v>0</v>
      </c>
      <c r="F67" s="69"/>
      <c r="G67" s="328">
        <f t="shared" si="55"/>
        <v>0</v>
      </c>
      <c r="H67" s="69"/>
      <c r="I67" s="318">
        <f>SUMIF('明细表K1-2'!$E$12:$E$32,'审定表K1-1'!A67,'明细表K1-2'!$AE$12:$AE$32)</f>
        <v>0</v>
      </c>
      <c r="J67" s="318">
        <f t="shared" si="56"/>
        <v>0</v>
      </c>
      <c r="K67" s="445" t="str">
        <f t="shared" si="57"/>
        <v/>
      </c>
      <c r="L67" s="70"/>
    </row>
    <row r="68" spans="1:12" s="43" customFormat="1" ht="19.95" customHeight="1">
      <c r="A68" s="321" t="str">
        <f t="shared" si="53"/>
        <v>往来款</v>
      </c>
      <c r="B68" s="69"/>
      <c r="C68" s="328">
        <f t="shared" si="54"/>
        <v>0</v>
      </c>
      <c r="D68" s="69"/>
      <c r="E68" s="318">
        <f>SUMIF('明细表K1-2'!$E$12:$E$32,'审定表K1-1'!A68,'明细表K1-2'!$P$12:$P$32)</f>
        <v>0</v>
      </c>
      <c r="F68" s="69"/>
      <c r="G68" s="328">
        <f t="shared" si="55"/>
        <v>0</v>
      </c>
      <c r="H68" s="69"/>
      <c r="I68" s="318">
        <f>SUMIF('明细表K1-2'!$E$12:$E$32,'审定表K1-1'!A68,'明细表K1-2'!$AE$12:$AE$32)</f>
        <v>0</v>
      </c>
      <c r="J68" s="318">
        <f t="shared" si="56"/>
        <v>0</v>
      </c>
      <c r="K68" s="445" t="str">
        <f t="shared" si="57"/>
        <v/>
      </c>
      <c r="L68" s="70"/>
    </row>
    <row r="69" spans="1:12" s="43" customFormat="1" ht="19.95" customHeight="1">
      <c r="A69" s="321" t="str">
        <f t="shared" si="53"/>
        <v>其他</v>
      </c>
      <c r="B69" s="69"/>
      <c r="C69" s="328">
        <f t="shared" si="54"/>
        <v>0</v>
      </c>
      <c r="D69" s="69"/>
      <c r="E69" s="318">
        <f>SUMIF('明细表K1-2'!$E$12:$E$32,'审定表K1-1'!A69,'明细表K1-2'!$P$12:$P$32)</f>
        <v>0</v>
      </c>
      <c r="F69" s="69"/>
      <c r="G69" s="328">
        <f t="shared" si="55"/>
        <v>0</v>
      </c>
      <c r="H69" s="69"/>
      <c r="I69" s="318">
        <f>SUMIF('明细表K1-2'!$E$12:$E$32,'审定表K1-1'!A69,'明细表K1-2'!$AE$12:$AE$32)</f>
        <v>0</v>
      </c>
      <c r="J69" s="318">
        <f t="shared" si="56"/>
        <v>0</v>
      </c>
      <c r="K69" s="445"/>
      <c r="L69" s="70"/>
    </row>
    <row r="70" spans="1:12" s="43" customFormat="1" ht="19.95" customHeight="1">
      <c r="A70" s="485">
        <f t="shared" si="53"/>
        <v>0</v>
      </c>
      <c r="B70" s="69"/>
      <c r="C70" s="328">
        <f>E70-B70</f>
        <v>0</v>
      </c>
      <c r="D70" s="69"/>
      <c r="E70" s="318">
        <f>SUMIF('明细表K1-2'!$E$12:$E$32,'审定表K1-1'!A70,'明细表K1-2'!$P$12:$P$32)</f>
        <v>0</v>
      </c>
      <c r="F70" s="69"/>
      <c r="G70" s="328">
        <f t="shared" si="55"/>
        <v>0</v>
      </c>
      <c r="H70" s="69"/>
      <c r="I70" s="318">
        <f>SUMIF('明细表K1-2'!$E$12:$E$32,'审定表K1-1'!A70,'明细表K1-2'!$AE$12:$AE$32)</f>
        <v>0</v>
      </c>
      <c r="J70" s="318">
        <f t="shared" si="56"/>
        <v>0</v>
      </c>
      <c r="K70" s="445" t="str">
        <f t="shared" si="57"/>
        <v/>
      </c>
      <c r="L70" s="70"/>
    </row>
    <row r="71" spans="1:12" s="603" customFormat="1" ht="19.95" customHeight="1">
      <c r="A71" s="596" t="s">
        <v>58</v>
      </c>
      <c r="B71" s="317">
        <f>SUM(B65:B70)</f>
        <v>0</v>
      </c>
      <c r="C71" s="317">
        <f t="shared" ref="C71:J71" si="58">SUM(C65:C70)</f>
        <v>0</v>
      </c>
      <c r="D71" s="317">
        <f t="shared" si="58"/>
        <v>0</v>
      </c>
      <c r="E71" s="317">
        <f t="shared" si="58"/>
        <v>0</v>
      </c>
      <c r="F71" s="317">
        <f t="shared" si="58"/>
        <v>0</v>
      </c>
      <c r="G71" s="317">
        <f t="shared" si="58"/>
        <v>0</v>
      </c>
      <c r="H71" s="317">
        <f t="shared" si="58"/>
        <v>0</v>
      </c>
      <c r="I71" s="317">
        <f t="shared" si="58"/>
        <v>0</v>
      </c>
      <c r="J71" s="317">
        <f t="shared" si="58"/>
        <v>0</v>
      </c>
      <c r="K71" s="445" t="str">
        <f t="shared" si="57"/>
        <v/>
      </c>
      <c r="L71" s="67"/>
    </row>
    <row r="72" spans="1:12" s="43" customFormat="1" ht="19.95" customHeight="1">
      <c r="A72" s="92" t="s">
        <v>256</v>
      </c>
      <c r="B72" s="66"/>
      <c r="C72" s="66"/>
      <c r="D72" s="66"/>
      <c r="E72" s="66"/>
      <c r="F72" s="66"/>
      <c r="G72" s="66"/>
      <c r="H72" s="66"/>
      <c r="I72" s="66"/>
      <c r="J72" s="67"/>
      <c r="K72" s="68"/>
      <c r="L72" s="67"/>
    </row>
    <row r="73" spans="1:12" s="43" customFormat="1" ht="19.95" customHeight="1">
      <c r="A73" s="321" t="str">
        <f>A57</f>
        <v>保证金</v>
      </c>
      <c r="B73" s="318">
        <f t="shared" ref="B73:I73" si="59">B57-B65</f>
        <v>0</v>
      </c>
      <c r="C73" s="318">
        <f t="shared" si="59"/>
        <v>0</v>
      </c>
      <c r="D73" s="318">
        <f t="shared" si="59"/>
        <v>0</v>
      </c>
      <c r="E73" s="318">
        <f t="shared" si="59"/>
        <v>0</v>
      </c>
      <c r="F73" s="318">
        <f t="shared" si="59"/>
        <v>0</v>
      </c>
      <c r="G73" s="318">
        <f t="shared" si="59"/>
        <v>0</v>
      </c>
      <c r="H73" s="318">
        <f t="shared" si="59"/>
        <v>0</v>
      </c>
      <c r="I73" s="318">
        <f t="shared" si="59"/>
        <v>0</v>
      </c>
      <c r="J73" s="318">
        <f>I73-E73</f>
        <v>0</v>
      </c>
      <c r="K73" s="445" t="str">
        <f>IF(AND(E73=0,I73=0),"",IF(AND(E73=0,I73&gt;0),1,J73/E73))</f>
        <v/>
      </c>
      <c r="L73" s="70"/>
    </row>
    <row r="74" spans="1:12" s="43" customFormat="1" ht="19.95" customHeight="1">
      <c r="A74" s="321" t="str">
        <f t="shared" ref="A74:A78" si="60">A58</f>
        <v>押金</v>
      </c>
      <c r="B74" s="318">
        <f t="shared" ref="B74:I74" si="61">B58-B66</f>
        <v>0</v>
      </c>
      <c r="C74" s="318">
        <f t="shared" si="61"/>
        <v>0</v>
      </c>
      <c r="D74" s="318">
        <f t="shared" si="61"/>
        <v>0</v>
      </c>
      <c r="E74" s="318">
        <f t="shared" si="61"/>
        <v>0</v>
      </c>
      <c r="F74" s="318">
        <f t="shared" si="61"/>
        <v>0</v>
      </c>
      <c r="G74" s="318">
        <f t="shared" si="61"/>
        <v>0</v>
      </c>
      <c r="H74" s="318">
        <f t="shared" si="61"/>
        <v>0</v>
      </c>
      <c r="I74" s="318">
        <f t="shared" si="61"/>
        <v>0</v>
      </c>
      <c r="J74" s="318">
        <f t="shared" ref="J74:J78" si="62">I74-E74</f>
        <v>0</v>
      </c>
      <c r="K74" s="445" t="str">
        <f t="shared" ref="K74:K78" si="63">IF(AND(E74=0,I74=0),"",IF(AND(E74=0,I74&gt;0),1,J74/E74))</f>
        <v/>
      </c>
      <c r="L74" s="70"/>
    </row>
    <row r="75" spans="1:12" s="43" customFormat="1" ht="19.95" customHeight="1">
      <c r="A75" s="321" t="str">
        <f t="shared" si="60"/>
        <v>备用金</v>
      </c>
      <c r="B75" s="318">
        <f t="shared" ref="B75:I75" si="64">B59-B67</f>
        <v>0</v>
      </c>
      <c r="C75" s="318">
        <f t="shared" si="64"/>
        <v>0</v>
      </c>
      <c r="D75" s="318">
        <f t="shared" si="64"/>
        <v>0</v>
      </c>
      <c r="E75" s="318">
        <f t="shared" si="64"/>
        <v>0</v>
      </c>
      <c r="F75" s="318">
        <f t="shared" si="64"/>
        <v>0</v>
      </c>
      <c r="G75" s="318">
        <f t="shared" si="64"/>
        <v>0</v>
      </c>
      <c r="H75" s="318">
        <f t="shared" si="64"/>
        <v>0</v>
      </c>
      <c r="I75" s="318">
        <f t="shared" si="64"/>
        <v>0</v>
      </c>
      <c r="J75" s="318">
        <f t="shared" si="62"/>
        <v>0</v>
      </c>
      <c r="K75" s="445" t="str">
        <f t="shared" si="63"/>
        <v/>
      </c>
      <c r="L75" s="70"/>
    </row>
    <row r="76" spans="1:12" s="43" customFormat="1" ht="19.95" customHeight="1">
      <c r="A76" s="321" t="str">
        <f t="shared" si="60"/>
        <v>往来款</v>
      </c>
      <c r="B76" s="318">
        <f t="shared" ref="B76:I76" si="65">B60-B68</f>
        <v>0</v>
      </c>
      <c r="C76" s="318">
        <f t="shared" si="65"/>
        <v>0</v>
      </c>
      <c r="D76" s="318">
        <f t="shared" si="65"/>
        <v>0</v>
      </c>
      <c r="E76" s="318">
        <f t="shared" si="65"/>
        <v>0</v>
      </c>
      <c r="F76" s="318">
        <f t="shared" si="65"/>
        <v>0</v>
      </c>
      <c r="G76" s="318">
        <f t="shared" si="65"/>
        <v>0</v>
      </c>
      <c r="H76" s="318">
        <f t="shared" si="65"/>
        <v>0</v>
      </c>
      <c r="I76" s="318">
        <f t="shared" si="65"/>
        <v>0</v>
      </c>
      <c r="J76" s="318">
        <f t="shared" si="62"/>
        <v>0</v>
      </c>
      <c r="K76" s="445" t="str">
        <f t="shared" si="63"/>
        <v/>
      </c>
      <c r="L76" s="70"/>
    </row>
    <row r="77" spans="1:12" s="43" customFormat="1" ht="19.95" customHeight="1">
      <c r="A77" s="321" t="str">
        <f t="shared" si="60"/>
        <v>其他</v>
      </c>
      <c r="B77" s="318">
        <f t="shared" ref="B77:I77" si="66">B61-B69</f>
        <v>0</v>
      </c>
      <c r="C77" s="318">
        <f t="shared" si="66"/>
        <v>0</v>
      </c>
      <c r="D77" s="318">
        <f t="shared" si="66"/>
        <v>0</v>
      </c>
      <c r="E77" s="318">
        <f t="shared" si="66"/>
        <v>0</v>
      </c>
      <c r="F77" s="318">
        <f t="shared" si="66"/>
        <v>0</v>
      </c>
      <c r="G77" s="318">
        <f t="shared" si="66"/>
        <v>0</v>
      </c>
      <c r="H77" s="318">
        <f t="shared" si="66"/>
        <v>0</v>
      </c>
      <c r="I77" s="318">
        <f t="shared" si="66"/>
        <v>0</v>
      </c>
      <c r="J77" s="318">
        <f t="shared" si="62"/>
        <v>0</v>
      </c>
      <c r="K77" s="445" t="str">
        <f t="shared" si="63"/>
        <v/>
      </c>
      <c r="L77" s="70"/>
    </row>
    <row r="78" spans="1:12" s="43" customFormat="1" ht="19.95" customHeight="1">
      <c r="A78" s="485">
        <f t="shared" si="60"/>
        <v>0</v>
      </c>
      <c r="B78" s="318">
        <f t="shared" ref="B78:I78" si="67">B62-B70</f>
        <v>0</v>
      </c>
      <c r="C78" s="318">
        <f t="shared" si="67"/>
        <v>0</v>
      </c>
      <c r="D78" s="318">
        <f t="shared" si="67"/>
        <v>0</v>
      </c>
      <c r="E78" s="318">
        <f t="shared" si="67"/>
        <v>0</v>
      </c>
      <c r="F78" s="318">
        <f t="shared" si="67"/>
        <v>0</v>
      </c>
      <c r="G78" s="318">
        <f t="shared" si="67"/>
        <v>0</v>
      </c>
      <c r="H78" s="318">
        <f t="shared" si="67"/>
        <v>0</v>
      </c>
      <c r="I78" s="318">
        <f t="shared" si="67"/>
        <v>0</v>
      </c>
      <c r="J78" s="318">
        <f t="shared" si="62"/>
        <v>0</v>
      </c>
      <c r="K78" s="445" t="str">
        <f t="shared" si="63"/>
        <v/>
      </c>
      <c r="L78" s="70"/>
    </row>
    <row r="79" spans="1:12" s="603" customFormat="1" ht="19.95" customHeight="1">
      <c r="A79" s="596" t="s">
        <v>29</v>
      </c>
      <c r="B79" s="317">
        <f>SUM(B73:B78)</f>
        <v>0</v>
      </c>
      <c r="C79" s="317">
        <f t="shared" ref="C79:J79" si="68">SUM(C73:C78)</f>
        <v>0</v>
      </c>
      <c r="D79" s="317">
        <f t="shared" si="68"/>
        <v>0</v>
      </c>
      <c r="E79" s="317">
        <f t="shared" si="68"/>
        <v>0</v>
      </c>
      <c r="F79" s="317">
        <f t="shared" si="68"/>
        <v>0</v>
      </c>
      <c r="G79" s="317">
        <f t="shared" si="68"/>
        <v>0</v>
      </c>
      <c r="H79" s="317">
        <f t="shared" si="68"/>
        <v>0</v>
      </c>
      <c r="I79" s="317">
        <f t="shared" si="68"/>
        <v>0</v>
      </c>
      <c r="J79" s="317">
        <f t="shared" si="68"/>
        <v>0</v>
      </c>
      <c r="K79" s="445" t="str">
        <f t="shared" ref="K79" si="69">IF(AND(E79=0,I79=0),"",IF(AND(E79=0,I79&gt;0),1,J79/E79))</f>
        <v/>
      </c>
      <c r="L79" s="67"/>
    </row>
    <row r="80" spans="1:12" s="43" customFormat="1" ht="19.95" customHeight="1">
      <c r="A80" s="495" t="s">
        <v>700</v>
      </c>
      <c r="B80" s="69"/>
      <c r="C80" s="69"/>
      <c r="D80" s="69"/>
      <c r="E80" s="69"/>
      <c r="F80" s="69"/>
      <c r="G80" s="69"/>
      <c r="H80" s="69"/>
      <c r="I80" s="69"/>
      <c r="J80" s="69"/>
      <c r="K80" s="69"/>
      <c r="L80" s="69"/>
    </row>
    <row r="81" spans="1:13" s="43" customFormat="1" ht="19.95" customHeight="1">
      <c r="A81" s="167" t="s">
        <v>289</v>
      </c>
      <c r="B81" s="318">
        <f>B79-B80</f>
        <v>0</v>
      </c>
      <c r="C81" s="318">
        <f t="shared" ref="C81:H81" si="70">C79-C80</f>
        <v>0</v>
      </c>
      <c r="D81" s="318">
        <f t="shared" si="70"/>
        <v>0</v>
      </c>
      <c r="E81" s="318">
        <f>E79-E80</f>
        <v>0</v>
      </c>
      <c r="F81" s="318">
        <f t="shared" si="70"/>
        <v>0</v>
      </c>
      <c r="G81" s="318">
        <f t="shared" si="70"/>
        <v>0</v>
      </c>
      <c r="H81" s="318">
        <f t="shared" si="70"/>
        <v>0</v>
      </c>
      <c r="I81" s="318">
        <f>I79-I80</f>
        <v>0</v>
      </c>
      <c r="J81" s="66"/>
      <c r="K81" s="66"/>
      <c r="L81" s="66"/>
    </row>
    <row r="82" spans="1:13" s="44" customFormat="1" ht="19.95" customHeight="1">
      <c r="A82" s="74" t="s">
        <v>576</v>
      </c>
      <c r="B82" s="47"/>
      <c r="C82" s="47"/>
      <c r="D82" s="47"/>
      <c r="E82" s="47"/>
      <c r="F82" s="73"/>
      <c r="G82" s="73"/>
      <c r="H82" s="11" t="s">
        <v>60</v>
      </c>
      <c r="I82" s="11"/>
      <c r="J82" s="11"/>
      <c r="K82" s="9"/>
      <c r="L82" s="9"/>
      <c r="M82" s="9"/>
    </row>
    <row r="83" spans="1:13" s="45" customFormat="1" ht="19.95" customHeight="1">
      <c r="A83" s="11" t="s">
        <v>76</v>
      </c>
      <c r="B83" s="11"/>
      <c r="C83" s="319">
        <f>IF(AND(E28=0,I28=0),0,IF(AND(E28=0,I28&gt;0),1,(I28-E28)/E28))</f>
        <v>0</v>
      </c>
      <c r="D83" s="48"/>
      <c r="F83" s="83"/>
      <c r="G83" s="83"/>
      <c r="H83" s="599"/>
      <c r="I83" s="600" t="s">
        <v>618</v>
      </c>
      <c r="J83" s="600" t="s">
        <v>619</v>
      </c>
      <c r="K83" s="49"/>
      <c r="L83" s="9"/>
      <c r="M83" s="9"/>
    </row>
    <row r="84" spans="1:13" s="44" customFormat="1" ht="19.95" customHeight="1">
      <c r="A84" s="11" t="s">
        <v>72</v>
      </c>
      <c r="B84" s="11"/>
      <c r="C84" s="11"/>
      <c r="D84" s="11"/>
      <c r="E84" s="11"/>
      <c r="F84" s="11"/>
      <c r="G84" s="11"/>
      <c r="H84" s="599" t="s">
        <v>616</v>
      </c>
      <c r="I84" s="601"/>
      <c r="J84" s="601"/>
      <c r="K84" s="82"/>
      <c r="L84" s="9"/>
      <c r="M84" s="9"/>
    </row>
    <row r="85" spans="1:13" s="45" customFormat="1" ht="19.95" customHeight="1">
      <c r="A85" s="11"/>
      <c r="B85" s="11"/>
      <c r="C85" s="11"/>
      <c r="D85" s="11"/>
      <c r="E85" s="11"/>
      <c r="F85" s="11"/>
      <c r="G85" s="11"/>
      <c r="H85" s="599" t="s">
        <v>612</v>
      </c>
      <c r="I85" s="601"/>
      <c r="J85" s="601"/>
      <c r="K85" s="11"/>
      <c r="L85" s="9"/>
      <c r="M85" s="9"/>
    </row>
    <row r="86" spans="1:13" s="45" customFormat="1" ht="19.95" customHeight="1">
      <c r="A86" s="49" t="s">
        <v>73</v>
      </c>
      <c r="B86" s="11"/>
      <c r="C86" s="11"/>
      <c r="D86" s="11"/>
      <c r="E86" s="11"/>
      <c r="F86" s="11"/>
      <c r="G86" s="11"/>
      <c r="H86" s="599" t="s">
        <v>613</v>
      </c>
      <c r="I86" s="601">
        <f>I28</f>
        <v>0</v>
      </c>
      <c r="J86" s="601">
        <f>E28</f>
        <v>0</v>
      </c>
      <c r="K86" s="11"/>
      <c r="L86" s="9"/>
      <c r="M86" s="9"/>
    </row>
    <row r="87" spans="1:13" s="45" customFormat="1" ht="19.95" customHeight="1">
      <c r="B87" s="49"/>
      <c r="C87" s="49"/>
      <c r="D87" s="49"/>
      <c r="E87" s="49"/>
      <c r="F87" s="49"/>
      <c r="G87" s="49"/>
      <c r="H87" s="599" t="s">
        <v>614</v>
      </c>
      <c r="I87" s="602">
        <f>SUM(I84:I86)</f>
        <v>0</v>
      </c>
      <c r="J87" s="602">
        <f>SUM(J84:J86)</f>
        <v>0</v>
      </c>
      <c r="K87" s="11"/>
      <c r="L87" s="9"/>
      <c r="M87" s="9"/>
    </row>
    <row r="88" spans="1:13" s="45" customFormat="1" ht="19.95" customHeight="1">
      <c r="A88" s="74" t="s">
        <v>577</v>
      </c>
      <c r="B88" s="49"/>
      <c r="C88" s="49"/>
      <c r="D88" s="49"/>
      <c r="E88" s="49"/>
      <c r="F88" s="49"/>
      <c r="G88" s="49"/>
      <c r="H88" s="599" t="s">
        <v>615</v>
      </c>
      <c r="I88" s="601"/>
      <c r="J88" s="601"/>
      <c r="K88" s="11"/>
      <c r="L88" s="9"/>
      <c r="M88" s="9"/>
    </row>
    <row r="89" spans="1:13" s="45" customFormat="1" ht="19.95" customHeight="1">
      <c r="A89" s="74"/>
      <c r="B89" s="49"/>
      <c r="C89" s="49"/>
      <c r="D89" s="49"/>
      <c r="E89" s="49"/>
      <c r="F89" s="49"/>
      <c r="G89" s="49"/>
      <c r="H89" s="599" t="s">
        <v>617</v>
      </c>
      <c r="I89" s="601">
        <f>I87-I88</f>
        <v>0</v>
      </c>
      <c r="J89" s="601">
        <f>J87-J88</f>
        <v>0</v>
      </c>
      <c r="K89" s="11"/>
      <c r="L89" s="9"/>
      <c r="M89" s="9"/>
    </row>
  </sheetData>
  <mergeCells count="7">
    <mergeCell ref="A1:L1"/>
    <mergeCell ref="A2:L2"/>
    <mergeCell ref="A5:A6"/>
    <mergeCell ref="B5:E5"/>
    <mergeCell ref="F5:I5"/>
    <mergeCell ref="J5:K5"/>
    <mergeCell ref="L5:L6"/>
  </mergeCells>
  <phoneticPr fontId="16" type="noConversion"/>
  <hyperlinks>
    <hyperlink ref="L3" location="底稿目录!A1" display="底稿目录!A1"/>
  </hyperlinks>
  <pageMargins left="0.74803149606299213" right="0.74803149606299213" top="0.98425196850393704" bottom="0.98425196850393704" header="0.51181102362204722" footer="0.51181102362204722"/>
  <pageSetup paperSize="9" scale="55" fitToHeight="3" orientation="portrait" blackAndWhite="1" r:id="rId1"/>
  <headerFooter alignWithMargins="0"/>
  <rowBreaks count="1" manualBreakCount="1">
    <brk id="53"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66"/>
  <sheetViews>
    <sheetView view="pageBreakPreview" zoomScaleSheetLayoutView="100" workbookViewId="0">
      <selection sqref="A1:G1"/>
    </sheetView>
  </sheetViews>
  <sheetFormatPr defaultColWidth="9" defaultRowHeight="15.6"/>
  <cols>
    <col min="1" max="1" width="47.69921875" style="80" customWidth="1"/>
    <col min="2" max="2" width="13.8984375" style="80" customWidth="1"/>
    <col min="3" max="3" width="22.09765625" style="80" customWidth="1"/>
    <col min="4" max="4" width="23" style="80" customWidth="1"/>
    <col min="5" max="5" width="16.09765625" style="80" customWidth="1"/>
    <col min="6" max="6" width="13.5" style="80" customWidth="1"/>
    <col min="7" max="7" width="12.59765625" style="80" customWidth="1"/>
    <col min="8" max="8" width="3.59765625" style="80" customWidth="1"/>
    <col min="9" max="16384" width="9" style="80"/>
  </cols>
  <sheetData>
    <row r="1" spans="1:12" s="76" customFormat="1" ht="20.100000000000001" customHeight="1">
      <c r="A1" s="649" t="s">
        <v>23</v>
      </c>
      <c r="B1" s="649"/>
      <c r="C1" s="649"/>
      <c r="D1" s="649"/>
      <c r="E1" s="649"/>
      <c r="F1" s="649"/>
      <c r="G1" s="649"/>
      <c r="H1" s="75"/>
      <c r="I1" s="75"/>
      <c r="J1" s="75"/>
      <c r="K1" s="75"/>
      <c r="L1" s="75"/>
    </row>
    <row r="2" spans="1:12" s="76" customFormat="1" ht="24.9" customHeight="1">
      <c r="A2" s="650" t="s">
        <v>1</v>
      </c>
      <c r="B2" s="650"/>
      <c r="C2" s="650"/>
      <c r="D2" s="650"/>
      <c r="E2" s="650"/>
      <c r="F2" s="650"/>
      <c r="G2" s="650"/>
      <c r="H2" s="77"/>
      <c r="I2" s="77"/>
      <c r="J2" s="77"/>
      <c r="K2" s="77"/>
      <c r="L2" s="77"/>
    </row>
    <row r="3" spans="1:12" s="78" customFormat="1" ht="20.100000000000001" customHeight="1">
      <c r="A3" s="45" t="str">
        <f>底稿目录!A2</f>
        <v>被审计单位：</v>
      </c>
      <c r="B3" s="45"/>
      <c r="C3" s="45" t="str">
        <f>底稿目录!A4</f>
        <v>编制人：</v>
      </c>
      <c r="D3" s="45"/>
      <c r="E3" s="45" t="str">
        <f>底稿目录!A5</f>
        <v>编制日期：</v>
      </c>
      <c r="F3" s="324"/>
      <c r="G3" s="45"/>
      <c r="I3" s="45"/>
      <c r="J3" s="45"/>
      <c r="L3" s="45"/>
    </row>
    <row r="4" spans="1:12" s="78" customFormat="1" ht="20.100000000000001" customHeight="1">
      <c r="A4" s="45" t="str">
        <f>底稿目录!A3</f>
        <v>截止日：202X年12月31日</v>
      </c>
      <c r="B4" s="45"/>
      <c r="C4" s="45" t="str">
        <f>底稿目录!A6</f>
        <v>复核人：</v>
      </c>
      <c r="D4" s="45"/>
      <c r="E4" s="45" t="str">
        <f>底稿目录!A7</f>
        <v>复核日期：</v>
      </c>
      <c r="F4" s="324"/>
      <c r="G4" s="45"/>
      <c r="I4" s="45"/>
      <c r="J4" s="45"/>
      <c r="L4" s="79"/>
    </row>
    <row r="5" spans="1:12" s="171" customFormat="1" ht="20.100000000000001" customHeight="1">
      <c r="A5" s="172" t="s">
        <v>291</v>
      </c>
      <c r="B5" s="170"/>
      <c r="L5" s="170"/>
    </row>
    <row r="6" spans="1:12" s="171" customFormat="1" ht="20.100000000000001" customHeight="1" thickBot="1">
      <c r="A6" s="173" t="s">
        <v>382</v>
      </c>
      <c r="B6" s="170"/>
      <c r="L6" s="170"/>
    </row>
    <row r="7" spans="1:12" s="171" customFormat="1" ht="15.6" customHeight="1" thickBot="1">
      <c r="A7" s="174" t="s">
        <v>292</v>
      </c>
      <c r="B7" s="175" t="s">
        <v>293</v>
      </c>
      <c r="C7" s="175" t="s">
        <v>294</v>
      </c>
      <c r="D7" s="176"/>
      <c r="E7" s="176"/>
      <c r="F7" s="176"/>
      <c r="G7" s="176"/>
      <c r="H7" s="177"/>
      <c r="I7" s="177"/>
      <c r="L7" s="170"/>
    </row>
    <row r="8" spans="1:12" s="171" customFormat="1" ht="15.6" customHeight="1">
      <c r="A8" s="178" t="s">
        <v>209</v>
      </c>
      <c r="B8" s="223">
        <f>'审定表K1-1'!I31</f>
        <v>0</v>
      </c>
      <c r="C8" s="223">
        <f>'审定表K1-1'!E31</f>
        <v>0</v>
      </c>
      <c r="D8" s="176"/>
      <c r="E8" s="176"/>
      <c r="F8" s="176"/>
      <c r="G8" s="176"/>
      <c r="H8" s="176"/>
      <c r="I8" s="176"/>
      <c r="L8" s="170"/>
    </row>
    <row r="9" spans="1:12" s="171" customFormat="1" ht="15.6" customHeight="1">
      <c r="A9" s="178" t="s">
        <v>295</v>
      </c>
      <c r="B9" s="224"/>
      <c r="C9" s="225"/>
      <c r="D9" s="176"/>
      <c r="E9" s="176"/>
      <c r="F9" s="176"/>
      <c r="G9" s="176"/>
      <c r="H9" s="176"/>
      <c r="I9" s="176"/>
      <c r="L9" s="170"/>
    </row>
    <row r="10" spans="1:12" s="171" customFormat="1" ht="15.6" customHeight="1">
      <c r="A10" s="178" t="s">
        <v>296</v>
      </c>
      <c r="B10" s="224"/>
      <c r="C10" s="224"/>
      <c r="D10" s="176"/>
      <c r="E10" s="176"/>
      <c r="F10" s="176"/>
      <c r="G10" s="176"/>
      <c r="H10" s="176"/>
      <c r="I10" s="176"/>
      <c r="L10" s="170"/>
    </row>
    <row r="11" spans="1:12" s="171" customFormat="1" ht="15.6" customHeight="1">
      <c r="A11" s="178"/>
      <c r="B11" s="224"/>
      <c r="C11" s="224"/>
      <c r="D11" s="176"/>
      <c r="E11" s="176"/>
      <c r="F11" s="176"/>
      <c r="G11" s="176"/>
      <c r="H11" s="176"/>
      <c r="I11" s="176"/>
      <c r="L11" s="170"/>
    </row>
    <row r="12" spans="1:12" s="181" customFormat="1" ht="15.6" customHeight="1">
      <c r="A12" s="178" t="s">
        <v>297</v>
      </c>
      <c r="B12" s="226">
        <f>SUM(B9:B11)</f>
        <v>0</v>
      </c>
      <c r="C12" s="226">
        <f>SUM(C9:C11)</f>
        <v>0</v>
      </c>
      <c r="D12" s="176"/>
      <c r="E12" s="176"/>
      <c r="F12" s="176"/>
      <c r="G12" s="176"/>
      <c r="H12" s="176"/>
      <c r="I12" s="176"/>
    </row>
    <row r="13" spans="1:12" s="181" customFormat="1" ht="15.6" customHeight="1">
      <c r="A13" s="178" t="s">
        <v>298</v>
      </c>
      <c r="B13" s="223">
        <f>'审定表K1-1'!I32</f>
        <v>0</v>
      </c>
      <c r="C13" s="223">
        <f>'审定表K1-1'!E32</f>
        <v>0</v>
      </c>
      <c r="D13" s="176"/>
      <c r="E13" s="176"/>
      <c r="F13" s="176"/>
      <c r="G13" s="176"/>
      <c r="H13" s="176"/>
      <c r="I13" s="176"/>
    </row>
    <row r="14" spans="1:12" s="182" customFormat="1" ht="15.6" customHeight="1">
      <c r="A14" s="178" t="s">
        <v>299</v>
      </c>
      <c r="B14" s="223">
        <f>'审定表K1-1'!I33</f>
        <v>0</v>
      </c>
      <c r="C14" s="223">
        <f>'审定表K1-1'!E33</f>
        <v>0</v>
      </c>
      <c r="D14" s="176"/>
      <c r="E14" s="176"/>
      <c r="F14" s="176"/>
      <c r="G14" s="176"/>
      <c r="H14" s="176"/>
      <c r="I14" s="176"/>
    </row>
    <row r="15" spans="1:12" s="182" customFormat="1" ht="15.6" customHeight="1">
      <c r="A15" s="178" t="s">
        <v>300</v>
      </c>
      <c r="B15" s="223">
        <f>'审定表K1-1'!I34</f>
        <v>0</v>
      </c>
      <c r="C15" s="223">
        <f>'审定表K1-1'!E34</f>
        <v>0</v>
      </c>
      <c r="D15" s="176"/>
      <c r="E15" s="176"/>
      <c r="F15" s="176"/>
      <c r="G15" s="176"/>
      <c r="H15" s="176"/>
      <c r="I15" s="176"/>
    </row>
    <row r="16" spans="1:12" s="183" customFormat="1" ht="15.6" customHeight="1">
      <c r="A16" s="178" t="s">
        <v>301</v>
      </c>
      <c r="B16" s="223">
        <f>'审定表K1-1'!I35</f>
        <v>0</v>
      </c>
      <c r="C16" s="223">
        <f>'审定表K1-1'!E35</f>
        <v>0</v>
      </c>
      <c r="D16" s="176"/>
      <c r="E16" s="176"/>
      <c r="F16" s="176"/>
      <c r="G16" s="176"/>
      <c r="H16" s="177"/>
      <c r="I16" s="177"/>
    </row>
    <row r="17" spans="1:9" s="183" customFormat="1" ht="15.6" customHeight="1">
      <c r="A17" s="178" t="s">
        <v>210</v>
      </c>
      <c r="B17" s="223">
        <f>'审定表K1-1'!I36</f>
        <v>0</v>
      </c>
      <c r="C17" s="223">
        <f>'审定表K1-1'!E36</f>
        <v>0</v>
      </c>
      <c r="D17" s="176"/>
      <c r="E17" s="176"/>
      <c r="F17" s="176"/>
      <c r="G17" s="176"/>
      <c r="H17" s="176"/>
      <c r="I17" s="176"/>
    </row>
    <row r="18" spans="1:9" s="183" customFormat="1" ht="15.6" customHeight="1">
      <c r="A18" s="184" t="s">
        <v>302</v>
      </c>
      <c r="B18" s="227">
        <f>SUM(B12:B17)</f>
        <v>0</v>
      </c>
      <c r="C18" s="227">
        <f>SUM(C12:C17)</f>
        <v>0</v>
      </c>
      <c r="D18" s="176"/>
      <c r="E18" s="176"/>
      <c r="F18" s="176"/>
      <c r="G18" s="176"/>
      <c r="H18" s="176"/>
      <c r="I18" s="176"/>
    </row>
    <row r="19" spans="1:9" s="183" customFormat="1" ht="15.6" customHeight="1" thickBot="1">
      <c r="A19" s="185" t="s">
        <v>303</v>
      </c>
      <c r="B19" s="228">
        <f>'审定表K1-1'!I45</f>
        <v>0</v>
      </c>
      <c r="C19" s="228">
        <f>'审定表K1-1'!E45</f>
        <v>0</v>
      </c>
      <c r="D19" s="176"/>
      <c r="E19" s="176"/>
      <c r="F19" s="176"/>
      <c r="G19" s="176"/>
      <c r="H19" s="176"/>
      <c r="I19" s="176"/>
    </row>
    <row r="20" spans="1:9" s="183" customFormat="1" ht="15.6" customHeight="1" thickBot="1">
      <c r="A20" s="187" t="s">
        <v>35</v>
      </c>
      <c r="B20" s="229">
        <f>B18-B19</f>
        <v>0</v>
      </c>
      <c r="C20" s="229">
        <f>C18-C19</f>
        <v>0</v>
      </c>
      <c r="D20" s="176"/>
      <c r="E20" s="176"/>
      <c r="F20" s="176"/>
      <c r="G20" s="176"/>
      <c r="H20" s="176"/>
      <c r="I20" s="176"/>
    </row>
    <row r="21" spans="1:9" s="183" customFormat="1" ht="15.6" customHeight="1" thickBot="1">
      <c r="A21" s="173" t="s">
        <v>304</v>
      </c>
      <c r="B21" s="176"/>
      <c r="C21" s="176"/>
      <c r="D21" s="176"/>
      <c r="E21" s="176"/>
      <c r="F21" s="176"/>
      <c r="G21" s="176"/>
      <c r="H21" s="176"/>
      <c r="I21" s="176"/>
    </row>
    <row r="22" spans="1:9" s="183" customFormat="1" ht="15.6" customHeight="1" thickBot="1">
      <c r="A22" s="651" t="s">
        <v>305</v>
      </c>
      <c r="B22" s="652" t="s">
        <v>293</v>
      </c>
      <c r="C22" s="653"/>
      <c r="D22" s="653"/>
      <c r="E22" s="652" t="s">
        <v>294</v>
      </c>
      <c r="F22" s="653"/>
      <c r="G22" s="653"/>
      <c r="H22" s="176"/>
      <c r="I22" s="176"/>
    </row>
    <row r="23" spans="1:9" s="183" customFormat="1" ht="15.6" customHeight="1" thickBot="1">
      <c r="A23" s="647"/>
      <c r="B23" s="188" t="s">
        <v>257</v>
      </c>
      <c r="C23" s="188" t="s">
        <v>266</v>
      </c>
      <c r="D23" s="188" t="s">
        <v>306</v>
      </c>
      <c r="E23" s="188" t="s">
        <v>257</v>
      </c>
      <c r="F23" s="188" t="s">
        <v>266</v>
      </c>
      <c r="G23" s="188" t="s">
        <v>306</v>
      </c>
      <c r="H23" s="176"/>
      <c r="I23" s="176"/>
    </row>
    <row r="24" spans="1:9" s="181" customFormat="1" ht="15.6" customHeight="1">
      <c r="A24" s="189" t="s">
        <v>439</v>
      </c>
      <c r="B24" s="230">
        <f>SUMIFS('明细表K1-2'!X12:X32,'明细表K1-2'!E12:E32,$A$24)</f>
        <v>0</v>
      </c>
      <c r="C24" s="230">
        <f>SUMIFS('明细表K1-2'!AE12:AE32,'明细表K1-2'!E12:E32,$A$24)</f>
        <v>0</v>
      </c>
      <c r="D24" s="231">
        <f>B24-C24</f>
        <v>0</v>
      </c>
      <c r="E24" s="232">
        <f>SUMIFS('明细表K1-2'!I12:I32,'明细表K1-2'!E12:E32,$A$24)</f>
        <v>0</v>
      </c>
      <c r="F24" s="232">
        <f>SUMIFS('明细表K1-2'!P12:P32,'明细表K1-2'!E12:E32,$A$24)</f>
        <v>0</v>
      </c>
      <c r="G24" s="231">
        <f>E24-F24</f>
        <v>0</v>
      </c>
      <c r="H24" s="191"/>
      <c r="I24" s="191"/>
    </row>
    <row r="25" spans="1:9" s="181" customFormat="1" ht="15.6" customHeight="1">
      <c r="A25" s="189" t="s">
        <v>307</v>
      </c>
      <c r="B25" s="230">
        <f>SUMIFS('明细表K1-2'!X12:X32,'明细表K1-2'!E12:E32,$A$25)</f>
        <v>0</v>
      </c>
      <c r="C25" s="230">
        <f>SUMIFS('明细表K1-2'!AE12:AE32,'明细表K1-2'!E12:E32,$A$25)</f>
        <v>0</v>
      </c>
      <c r="D25" s="231">
        <f>B25-C25</f>
        <v>0</v>
      </c>
      <c r="E25" s="232">
        <f>SUMIFS('明细表K1-2'!I12:I32,'明细表K1-2'!E12:E32,$A$25)</f>
        <v>0</v>
      </c>
      <c r="F25" s="232">
        <f>SUMIFS('明细表K1-2'!P12:P32,'明细表K1-2'!E12:E32,$A$25)</f>
        <v>0</v>
      </c>
      <c r="G25" s="231">
        <f>E25-F25</f>
        <v>0</v>
      </c>
      <c r="H25" s="192"/>
      <c r="I25" s="192"/>
    </row>
    <row r="26" spans="1:9" s="181" customFormat="1" ht="15.6" customHeight="1">
      <c r="A26" s="193"/>
      <c r="B26" s="232"/>
      <c r="C26" s="232"/>
      <c r="D26" s="231">
        <f>B26-C26</f>
        <v>0</v>
      </c>
      <c r="E26" s="232"/>
      <c r="F26" s="232"/>
      <c r="G26" s="231">
        <f>E26-F26</f>
        <v>0</v>
      </c>
      <c r="H26" s="176"/>
      <c r="I26" s="176"/>
    </row>
    <row r="27" spans="1:9" s="181" customFormat="1" ht="15.6" customHeight="1" thickBot="1">
      <c r="A27" s="194" t="s">
        <v>308</v>
      </c>
      <c r="B27" s="233"/>
      <c r="C27" s="233"/>
      <c r="D27" s="231">
        <f>B27-C27</f>
        <v>0</v>
      </c>
      <c r="E27" s="233"/>
      <c r="F27" s="233"/>
      <c r="G27" s="231">
        <f>E27-F27</f>
        <v>0</v>
      </c>
      <c r="H27" s="176"/>
      <c r="I27" s="176"/>
    </row>
    <row r="28" spans="1:9" s="181" customFormat="1" ht="15.6" customHeight="1" thickBot="1">
      <c r="A28" s="195" t="s">
        <v>35</v>
      </c>
      <c r="B28" s="234">
        <f t="shared" ref="B28:G28" si="0">SUM(B24:B27)</f>
        <v>0</v>
      </c>
      <c r="C28" s="234">
        <f t="shared" si="0"/>
        <v>0</v>
      </c>
      <c r="D28" s="235">
        <f>SUM(D24:D27)</f>
        <v>0</v>
      </c>
      <c r="E28" s="234">
        <f t="shared" si="0"/>
        <v>0</v>
      </c>
      <c r="F28" s="234">
        <f t="shared" si="0"/>
        <v>0</v>
      </c>
      <c r="G28" s="235">
        <f t="shared" si="0"/>
        <v>0</v>
      </c>
      <c r="H28" s="177"/>
      <c r="I28" s="177"/>
    </row>
    <row r="29" spans="1:9" s="181" customFormat="1" ht="15.6" customHeight="1">
      <c r="A29" s="173" t="s">
        <v>309</v>
      </c>
      <c r="B29" s="176"/>
      <c r="C29" s="176"/>
      <c r="D29" s="176"/>
      <c r="E29" s="176"/>
      <c r="F29" s="176"/>
      <c r="G29" s="176"/>
      <c r="H29" s="176"/>
      <c r="I29" s="176"/>
    </row>
    <row r="30" spans="1:9" s="181" customFormat="1" ht="15.6" customHeight="1">
      <c r="A30" s="316" t="s">
        <v>445</v>
      </c>
      <c r="B30" s="176"/>
      <c r="C30" s="176"/>
      <c r="D30" s="176"/>
      <c r="E30" s="176"/>
      <c r="F30" s="176"/>
      <c r="G30" s="176"/>
      <c r="H30" s="176"/>
      <c r="I30" s="176"/>
    </row>
    <row r="31" spans="1:9" s="181" customFormat="1" ht="15.6" customHeight="1" thickBot="1">
      <c r="A31" s="173" t="s">
        <v>310</v>
      </c>
      <c r="B31" s="176"/>
      <c r="C31" s="176"/>
      <c r="D31" s="176"/>
      <c r="E31" s="176"/>
      <c r="F31" s="176"/>
      <c r="G31" s="176"/>
      <c r="H31" s="176"/>
      <c r="I31" s="176"/>
    </row>
    <row r="32" spans="1:9" s="181" customFormat="1" ht="24.6" thickBot="1">
      <c r="A32" s="174" t="s">
        <v>311</v>
      </c>
      <c r="B32" s="175" t="s">
        <v>257</v>
      </c>
      <c r="C32" s="175" t="s">
        <v>312</v>
      </c>
      <c r="D32" s="175" t="s">
        <v>266</v>
      </c>
      <c r="E32" s="175" t="s">
        <v>306</v>
      </c>
      <c r="F32" s="175" t="s">
        <v>313</v>
      </c>
      <c r="G32" s="176"/>
      <c r="H32" s="176"/>
      <c r="I32" s="176"/>
    </row>
    <row r="33" spans="1:9" s="181" customFormat="1" ht="15.6" customHeight="1">
      <c r="A33" s="178" t="s">
        <v>314</v>
      </c>
      <c r="B33" s="236">
        <f>SUM(B34:B35)</f>
        <v>0</v>
      </c>
      <c r="C33" s="237">
        <f>IFERROR(D33/B33,0)</f>
        <v>0</v>
      </c>
      <c r="D33" s="236">
        <f>SUM(D34:D35)</f>
        <v>0</v>
      </c>
      <c r="E33" s="231">
        <f t="shared" ref="E33:E38" si="1">B33-D33</f>
        <v>0</v>
      </c>
      <c r="F33" s="224"/>
      <c r="G33" s="176"/>
      <c r="H33" s="176"/>
      <c r="I33" s="176"/>
    </row>
    <row r="34" spans="1:9" s="181" customFormat="1" ht="15.6" customHeight="1">
      <c r="A34" s="178" t="s">
        <v>315</v>
      </c>
      <c r="B34" s="236"/>
      <c r="C34" s="237">
        <f t="shared" ref="C34:C39" si="2">IFERROR(D34/B34,0)</f>
        <v>0</v>
      </c>
      <c r="D34" s="236"/>
      <c r="E34" s="231">
        <f t="shared" si="1"/>
        <v>0</v>
      </c>
      <c r="F34" s="224"/>
      <c r="G34" s="176"/>
      <c r="H34" s="176"/>
      <c r="I34" s="176"/>
    </row>
    <row r="35" spans="1:9" s="183" customFormat="1" ht="15.6" customHeight="1">
      <c r="A35" s="178" t="s">
        <v>316</v>
      </c>
      <c r="B35" s="236"/>
      <c r="C35" s="237">
        <f t="shared" si="2"/>
        <v>0</v>
      </c>
      <c r="D35" s="236"/>
      <c r="E35" s="231">
        <f t="shared" si="1"/>
        <v>0</v>
      </c>
      <c r="F35" s="224"/>
      <c r="G35" s="176"/>
      <c r="H35" s="176"/>
      <c r="I35" s="176"/>
    </row>
    <row r="36" spans="1:9" s="181" customFormat="1" ht="24">
      <c r="A36" s="178" t="s">
        <v>317</v>
      </c>
      <c r="B36" s="223">
        <f>SUM(B37:B38)</f>
        <v>0</v>
      </c>
      <c r="C36" s="237">
        <f>IFERROR(D36/B36,0)</f>
        <v>0</v>
      </c>
      <c r="D36" s="223">
        <f>SUM(D37:D38)</f>
        <v>0</v>
      </c>
      <c r="E36" s="231">
        <f t="shared" si="1"/>
        <v>0</v>
      </c>
      <c r="F36" s="224"/>
      <c r="G36" s="176"/>
      <c r="H36" s="176"/>
      <c r="I36" s="176"/>
    </row>
    <row r="37" spans="1:9" s="183" customFormat="1" ht="15.6" customHeight="1">
      <c r="A37" s="178" t="s">
        <v>318</v>
      </c>
      <c r="B37" s="223">
        <f>B24</f>
        <v>0</v>
      </c>
      <c r="C37" s="237">
        <f t="shared" si="2"/>
        <v>0</v>
      </c>
      <c r="D37" s="223">
        <f>C24</f>
        <v>0</v>
      </c>
      <c r="E37" s="231">
        <f t="shared" si="1"/>
        <v>0</v>
      </c>
      <c r="F37" s="224"/>
      <c r="G37" s="176"/>
      <c r="H37" s="197"/>
      <c r="I37" s="197"/>
    </row>
    <row r="38" spans="1:9" s="183" customFormat="1" ht="15.6" customHeight="1" thickBot="1">
      <c r="A38" s="185" t="s">
        <v>319</v>
      </c>
      <c r="B38" s="238"/>
      <c r="C38" s="239">
        <f t="shared" si="2"/>
        <v>0</v>
      </c>
      <c r="D38" s="238"/>
      <c r="E38" s="231">
        <f t="shared" si="1"/>
        <v>0</v>
      </c>
      <c r="F38" s="238"/>
      <c r="G38" s="176"/>
      <c r="H38" s="176"/>
      <c r="I38" s="176"/>
    </row>
    <row r="39" spans="1:9" s="183" customFormat="1" ht="15.6" customHeight="1" thickBot="1">
      <c r="A39" s="195" t="s">
        <v>35</v>
      </c>
      <c r="B39" s="234">
        <f>B36+B33</f>
        <v>0</v>
      </c>
      <c r="C39" s="240">
        <f t="shared" si="2"/>
        <v>0</v>
      </c>
      <c r="D39" s="234">
        <f>D36+D33</f>
        <v>0</v>
      </c>
      <c r="E39" s="235">
        <f>E36+E33</f>
        <v>0</v>
      </c>
      <c r="F39" s="241"/>
      <c r="G39" s="176"/>
      <c r="H39" s="176"/>
      <c r="I39" s="176"/>
    </row>
    <row r="40" spans="1:9" s="183" customFormat="1" ht="15.6" customHeight="1" thickBot="1">
      <c r="A40" s="173" t="s">
        <v>320</v>
      </c>
      <c r="B40" s="176"/>
      <c r="C40" s="176"/>
      <c r="D40" s="176"/>
      <c r="E40" s="176"/>
      <c r="F40" s="176"/>
      <c r="G40" s="176"/>
      <c r="H40" s="177"/>
      <c r="I40" s="177"/>
    </row>
    <row r="41" spans="1:9" s="183" customFormat="1" ht="24.6" thickBot="1">
      <c r="A41" s="174" t="s">
        <v>311</v>
      </c>
      <c r="B41" s="175" t="s">
        <v>257</v>
      </c>
      <c r="C41" s="175" t="s">
        <v>321</v>
      </c>
      <c r="D41" s="175" t="s">
        <v>266</v>
      </c>
      <c r="E41" s="175" t="s">
        <v>306</v>
      </c>
      <c r="F41" s="175" t="s">
        <v>313</v>
      </c>
      <c r="G41" s="176"/>
      <c r="H41" s="176"/>
      <c r="I41" s="176"/>
    </row>
    <row r="42" spans="1:9" s="183" customFormat="1" ht="15.6" customHeight="1">
      <c r="A42" s="178" t="s">
        <v>314</v>
      </c>
      <c r="B42" s="236">
        <f>SUM(B43:B44)</f>
        <v>0</v>
      </c>
      <c r="C42" s="237">
        <f t="shared" ref="C42:C48" si="3">IFERROR(D42/B42,0)</f>
        <v>0</v>
      </c>
      <c r="D42" s="236">
        <f>SUM(D43:D44)</f>
        <v>0</v>
      </c>
      <c r="E42" s="231">
        <f t="shared" ref="E42:E47" si="4">B42-D42</f>
        <v>0</v>
      </c>
      <c r="F42" s="224"/>
      <c r="G42" s="176"/>
      <c r="H42" s="176"/>
      <c r="I42" s="176"/>
    </row>
    <row r="43" spans="1:9" s="183" customFormat="1" ht="15.6" customHeight="1">
      <c r="A43" s="178" t="s">
        <v>315</v>
      </c>
      <c r="B43" s="236"/>
      <c r="C43" s="237">
        <f t="shared" si="3"/>
        <v>0</v>
      </c>
      <c r="D43" s="236"/>
      <c r="E43" s="231">
        <f t="shared" si="4"/>
        <v>0</v>
      </c>
      <c r="F43" s="224"/>
      <c r="G43" s="176"/>
      <c r="H43" s="176"/>
      <c r="I43" s="176"/>
    </row>
    <row r="44" spans="1:9" s="183" customFormat="1" ht="15.6" customHeight="1">
      <c r="A44" s="178" t="s">
        <v>316</v>
      </c>
      <c r="B44" s="236"/>
      <c r="C44" s="237">
        <f t="shared" si="3"/>
        <v>0</v>
      </c>
      <c r="D44" s="236"/>
      <c r="E44" s="231">
        <f t="shared" si="4"/>
        <v>0</v>
      </c>
      <c r="F44" s="224"/>
      <c r="G44" s="176"/>
      <c r="H44" s="176"/>
      <c r="I44" s="176"/>
    </row>
    <row r="45" spans="1:9" s="183" customFormat="1" ht="24">
      <c r="A45" s="178" t="s">
        <v>317</v>
      </c>
      <c r="B45" s="223">
        <f>SUM(B46:B47)</f>
        <v>0</v>
      </c>
      <c r="C45" s="242">
        <f t="shared" si="3"/>
        <v>0</v>
      </c>
      <c r="D45" s="223">
        <f>SUM(D46:D47)</f>
        <v>0</v>
      </c>
      <c r="E45" s="231">
        <f t="shared" si="4"/>
        <v>0</v>
      </c>
      <c r="F45" s="224"/>
      <c r="G45" s="176"/>
      <c r="H45" s="176"/>
      <c r="I45" s="176"/>
    </row>
    <row r="46" spans="1:9" s="181" customFormat="1" ht="15.6" customHeight="1">
      <c r="A46" s="178" t="s">
        <v>318</v>
      </c>
      <c r="B46" s="224"/>
      <c r="C46" s="237">
        <f t="shared" si="3"/>
        <v>0</v>
      </c>
      <c r="D46" s="224"/>
      <c r="E46" s="231">
        <f t="shared" si="4"/>
        <v>0</v>
      </c>
      <c r="F46" s="224"/>
      <c r="G46" s="176"/>
      <c r="H46" s="176"/>
      <c r="I46" s="176"/>
    </row>
    <row r="47" spans="1:9" s="183" customFormat="1" ht="15.6" customHeight="1" thickBot="1">
      <c r="A47" s="185" t="s">
        <v>319</v>
      </c>
      <c r="B47" s="228">
        <f>B25</f>
        <v>0</v>
      </c>
      <c r="C47" s="239">
        <f t="shared" si="3"/>
        <v>0</v>
      </c>
      <c r="D47" s="228">
        <f>C25</f>
        <v>0</v>
      </c>
      <c r="E47" s="231">
        <f t="shared" si="4"/>
        <v>0</v>
      </c>
      <c r="F47" s="238"/>
      <c r="G47" s="176"/>
      <c r="H47" s="176"/>
      <c r="I47" s="176"/>
    </row>
    <row r="48" spans="1:9" s="183" customFormat="1" ht="15.6" customHeight="1" thickBot="1">
      <c r="A48" s="195" t="s">
        <v>35</v>
      </c>
      <c r="B48" s="234">
        <f>B45+B42</f>
        <v>0</v>
      </c>
      <c r="C48" s="240">
        <f t="shared" si="3"/>
        <v>0</v>
      </c>
      <c r="D48" s="234">
        <f>D45+D42</f>
        <v>0</v>
      </c>
      <c r="E48" s="235">
        <f>E45+E42</f>
        <v>0</v>
      </c>
      <c r="F48" s="241"/>
      <c r="G48" s="176"/>
      <c r="H48" s="197"/>
      <c r="I48" s="197"/>
    </row>
    <row r="49" spans="1:9" s="183" customFormat="1" ht="15.6" customHeight="1">
      <c r="A49" s="200" t="s">
        <v>322</v>
      </c>
      <c r="B49" s="176"/>
      <c r="C49" s="176"/>
      <c r="D49" s="176"/>
      <c r="E49" s="176"/>
      <c r="F49" s="176"/>
      <c r="G49" s="176"/>
      <c r="H49" s="176"/>
      <c r="I49" s="176"/>
    </row>
    <row r="50" spans="1:9" s="183" customFormat="1" ht="15.6" customHeight="1" thickBot="1">
      <c r="A50" s="173" t="s">
        <v>323</v>
      </c>
      <c r="B50" s="176"/>
      <c r="C50" s="176"/>
      <c r="D50" s="176"/>
      <c r="E50" s="176"/>
      <c r="F50" s="176"/>
      <c r="G50" s="176"/>
      <c r="H50" s="176"/>
      <c r="I50" s="176"/>
    </row>
    <row r="51" spans="1:9" s="183" customFormat="1" ht="24.6" thickBot="1">
      <c r="A51" s="174" t="s">
        <v>311</v>
      </c>
      <c r="B51" s="175" t="s">
        <v>257</v>
      </c>
      <c r="C51" s="175" t="s">
        <v>321</v>
      </c>
      <c r="D51" s="175" t="s">
        <v>266</v>
      </c>
      <c r="E51" s="175" t="s">
        <v>306</v>
      </c>
      <c r="F51" s="175" t="s">
        <v>313</v>
      </c>
      <c r="G51" s="176"/>
      <c r="H51" s="201"/>
      <c r="I51" s="201"/>
    </row>
    <row r="52" spans="1:9" s="183" customFormat="1" ht="15.6" customHeight="1">
      <c r="A52" s="178" t="s">
        <v>314</v>
      </c>
      <c r="B52" s="236">
        <f>SUM(B53:B54)</f>
        <v>0</v>
      </c>
      <c r="C52" s="237">
        <f t="shared" ref="C52:C58" si="5">IFERROR(D52/B52,0)</f>
        <v>0</v>
      </c>
      <c r="D52" s="236">
        <f>SUM(D53:D54)</f>
        <v>0</v>
      </c>
      <c r="E52" s="231">
        <f t="shared" ref="E52:E57" si="6">B52-D52</f>
        <v>0</v>
      </c>
      <c r="F52" s="224"/>
      <c r="G52" s="176"/>
      <c r="H52" s="176"/>
      <c r="I52" s="176"/>
    </row>
    <row r="53" spans="1:9" s="183" customFormat="1" ht="15.6" customHeight="1">
      <c r="A53" s="178" t="s">
        <v>315</v>
      </c>
      <c r="B53" s="236"/>
      <c r="C53" s="237">
        <f t="shared" si="5"/>
        <v>0</v>
      </c>
      <c r="D53" s="236"/>
      <c r="E53" s="231">
        <f t="shared" si="6"/>
        <v>0</v>
      </c>
      <c r="F53" s="224"/>
      <c r="G53" s="176"/>
      <c r="H53" s="176"/>
      <c r="I53" s="176"/>
    </row>
    <row r="54" spans="1:9" s="183" customFormat="1" ht="15.6" customHeight="1">
      <c r="A54" s="178" t="s">
        <v>316</v>
      </c>
      <c r="B54" s="236"/>
      <c r="C54" s="237">
        <f t="shared" si="5"/>
        <v>0</v>
      </c>
      <c r="D54" s="236"/>
      <c r="E54" s="231">
        <f t="shared" si="6"/>
        <v>0</v>
      </c>
      <c r="F54" s="224"/>
      <c r="G54" s="176"/>
      <c r="H54" s="176"/>
      <c r="I54" s="176"/>
    </row>
    <row r="55" spans="1:9" s="183" customFormat="1" ht="24">
      <c r="A55" s="178" t="s">
        <v>317</v>
      </c>
      <c r="B55" s="236">
        <f>SUM(B56:B57)</f>
        <v>0</v>
      </c>
      <c r="C55" s="237">
        <f t="shared" si="5"/>
        <v>0</v>
      </c>
      <c r="D55" s="236">
        <f>SUM(D56:D57)</f>
        <v>0</v>
      </c>
      <c r="E55" s="231">
        <f t="shared" si="6"/>
        <v>0</v>
      </c>
      <c r="F55" s="224"/>
      <c r="G55" s="176"/>
      <c r="H55" s="176"/>
      <c r="I55" s="176"/>
    </row>
    <row r="56" spans="1:9" s="181" customFormat="1" ht="15.6" customHeight="1">
      <c r="A56" s="178" t="s">
        <v>318</v>
      </c>
      <c r="B56" s="224"/>
      <c r="C56" s="237">
        <f t="shared" si="5"/>
        <v>0</v>
      </c>
      <c r="D56" s="224"/>
      <c r="E56" s="231">
        <f t="shared" si="6"/>
        <v>0</v>
      </c>
      <c r="F56" s="224"/>
      <c r="G56" s="176"/>
      <c r="H56" s="176"/>
      <c r="I56" s="176"/>
    </row>
    <row r="57" spans="1:9" s="181" customFormat="1" ht="15.6" customHeight="1" thickBot="1">
      <c r="A57" s="185" t="s">
        <v>319</v>
      </c>
      <c r="B57" s="238"/>
      <c r="C57" s="239">
        <f t="shared" si="5"/>
        <v>0</v>
      </c>
      <c r="D57" s="238"/>
      <c r="E57" s="231">
        <f t="shared" si="6"/>
        <v>0</v>
      </c>
      <c r="F57" s="238"/>
      <c r="G57" s="176"/>
      <c r="H57" s="176"/>
      <c r="I57" s="176"/>
    </row>
    <row r="58" spans="1:9" s="182" customFormat="1" ht="15.6" customHeight="1" thickBot="1">
      <c r="A58" s="195" t="s">
        <v>35</v>
      </c>
      <c r="B58" s="234">
        <f>B55+B52</f>
        <v>0</v>
      </c>
      <c r="C58" s="240">
        <f t="shared" si="5"/>
        <v>0</v>
      </c>
      <c r="D58" s="234">
        <f>D55+D52</f>
        <v>0</v>
      </c>
      <c r="E58" s="235">
        <f>E55+E52</f>
        <v>0</v>
      </c>
      <c r="F58" s="241"/>
      <c r="G58" s="176"/>
      <c r="H58" s="176"/>
      <c r="I58" s="176"/>
    </row>
    <row r="59" spans="1:9" s="182" customFormat="1" ht="15.6" customHeight="1">
      <c r="A59" s="173" t="s">
        <v>324</v>
      </c>
      <c r="B59" s="176"/>
      <c r="C59" s="176"/>
      <c r="D59" s="176"/>
      <c r="E59" s="176"/>
      <c r="F59" s="176"/>
      <c r="G59" s="176"/>
      <c r="H59" s="176"/>
      <c r="I59" s="176"/>
    </row>
    <row r="60" spans="1:9" s="183" customFormat="1" ht="15.6" customHeight="1">
      <c r="A60" s="173" t="s">
        <v>325</v>
      </c>
      <c r="B60" s="176"/>
      <c r="C60" s="176"/>
      <c r="D60" s="176"/>
      <c r="E60" s="176"/>
      <c r="F60" s="176"/>
      <c r="G60" s="176"/>
      <c r="H60" s="197"/>
      <c r="I60" s="197"/>
    </row>
    <row r="61" spans="1:9" s="183" customFormat="1" ht="15.6" customHeight="1">
      <c r="A61" s="173" t="s">
        <v>326</v>
      </c>
      <c r="B61" s="176"/>
      <c r="C61" s="176"/>
      <c r="D61" s="176"/>
      <c r="E61" s="176"/>
      <c r="F61" s="176"/>
      <c r="G61" s="176"/>
      <c r="H61" s="197"/>
      <c r="I61" s="197"/>
    </row>
    <row r="62" spans="1:9" s="183" customFormat="1" ht="15.6" customHeight="1" thickBot="1">
      <c r="A62" s="173" t="s">
        <v>327</v>
      </c>
      <c r="B62" s="176"/>
      <c r="C62" s="176"/>
      <c r="D62" s="176"/>
      <c r="E62" s="176"/>
      <c r="F62" s="176"/>
      <c r="G62" s="176"/>
      <c r="H62" s="202"/>
      <c r="I62" s="202"/>
    </row>
    <row r="63" spans="1:9" s="183" customFormat="1" ht="24.6" thickBot="1">
      <c r="A63" s="174" t="s">
        <v>311</v>
      </c>
      <c r="B63" s="175" t="s">
        <v>257</v>
      </c>
      <c r="C63" s="175" t="s">
        <v>312</v>
      </c>
      <c r="D63" s="175" t="s">
        <v>266</v>
      </c>
      <c r="E63" s="175" t="s">
        <v>306</v>
      </c>
      <c r="F63" s="175" t="s">
        <v>313</v>
      </c>
      <c r="G63" s="176"/>
      <c r="H63" s="197"/>
      <c r="I63" s="197"/>
    </row>
    <row r="64" spans="1:9" s="183" customFormat="1" ht="15.6" customHeight="1">
      <c r="A64" s="178" t="s">
        <v>314</v>
      </c>
      <c r="B64" s="236">
        <f>SUM(B65:B66)</f>
        <v>0</v>
      </c>
      <c r="C64" s="237">
        <f t="shared" ref="C64:C70" si="7">IFERROR(D64/B64,0)</f>
        <v>0</v>
      </c>
      <c r="D64" s="236">
        <f>SUM(D65:D66)</f>
        <v>0</v>
      </c>
      <c r="E64" s="231">
        <f t="shared" ref="E64:E69" si="8">B64-D64</f>
        <v>0</v>
      </c>
      <c r="F64" s="224"/>
      <c r="G64" s="176"/>
      <c r="H64" s="197"/>
      <c r="I64" s="197"/>
    </row>
    <row r="65" spans="1:9" s="183" customFormat="1" ht="15.6" customHeight="1">
      <c r="A65" s="178" t="s">
        <v>315</v>
      </c>
      <c r="B65" s="236"/>
      <c r="C65" s="237">
        <f t="shared" si="7"/>
        <v>0</v>
      </c>
      <c r="D65" s="236"/>
      <c r="E65" s="231">
        <f t="shared" si="8"/>
        <v>0</v>
      </c>
      <c r="F65" s="224"/>
      <c r="G65" s="176"/>
      <c r="H65" s="197"/>
      <c r="I65" s="197"/>
    </row>
    <row r="66" spans="1:9" s="183" customFormat="1" ht="15.6" customHeight="1">
      <c r="A66" s="178" t="s">
        <v>316</v>
      </c>
      <c r="B66" s="236"/>
      <c r="C66" s="237">
        <f t="shared" si="7"/>
        <v>0</v>
      </c>
      <c r="D66" s="236"/>
      <c r="E66" s="231">
        <f t="shared" si="8"/>
        <v>0</v>
      </c>
      <c r="F66" s="224"/>
      <c r="G66" s="176"/>
      <c r="H66" s="197"/>
      <c r="I66" s="197"/>
    </row>
    <row r="67" spans="1:9" s="181" customFormat="1" ht="24">
      <c r="A67" s="178" t="s">
        <v>317</v>
      </c>
      <c r="B67" s="223">
        <f>SUM(B68:B69)</f>
        <v>0</v>
      </c>
      <c r="C67" s="237">
        <f t="shared" si="7"/>
        <v>0</v>
      </c>
      <c r="D67" s="223">
        <f>SUM(D68:D69)</f>
        <v>0</v>
      </c>
      <c r="E67" s="231">
        <f t="shared" si="8"/>
        <v>0</v>
      </c>
      <c r="F67" s="224"/>
      <c r="G67" s="176"/>
      <c r="H67" s="197"/>
      <c r="I67" s="197"/>
    </row>
    <row r="68" spans="1:9" s="181" customFormat="1" ht="15.6" customHeight="1">
      <c r="A68" s="178" t="s">
        <v>318</v>
      </c>
      <c r="B68" s="223">
        <f>E24</f>
        <v>0</v>
      </c>
      <c r="C68" s="237">
        <f t="shared" si="7"/>
        <v>0</v>
      </c>
      <c r="D68" s="223">
        <f>F24</f>
        <v>0</v>
      </c>
      <c r="E68" s="231">
        <f t="shared" si="8"/>
        <v>0</v>
      </c>
      <c r="F68" s="224"/>
      <c r="G68" s="176"/>
      <c r="H68" s="197"/>
      <c r="I68" s="197"/>
    </row>
    <row r="69" spans="1:9" s="183" customFormat="1" ht="15.6" customHeight="1" thickBot="1">
      <c r="A69" s="185" t="s">
        <v>319</v>
      </c>
      <c r="B69" s="238"/>
      <c r="C69" s="239">
        <f t="shared" si="7"/>
        <v>0</v>
      </c>
      <c r="D69" s="238"/>
      <c r="E69" s="231">
        <f t="shared" si="8"/>
        <v>0</v>
      </c>
      <c r="F69" s="238"/>
      <c r="G69" s="176"/>
      <c r="H69" s="197"/>
      <c r="I69" s="197"/>
    </row>
    <row r="70" spans="1:9" s="183" customFormat="1" ht="15.6" customHeight="1" thickBot="1">
      <c r="A70" s="195" t="s">
        <v>35</v>
      </c>
      <c r="B70" s="234">
        <f>B67+B64</f>
        <v>0</v>
      </c>
      <c r="C70" s="240">
        <f t="shared" si="7"/>
        <v>0</v>
      </c>
      <c r="D70" s="234">
        <f>D67+D64</f>
        <v>0</v>
      </c>
      <c r="E70" s="235">
        <f>E67+E64</f>
        <v>0</v>
      </c>
      <c r="F70" s="241"/>
      <c r="G70" s="176"/>
      <c r="H70" s="197"/>
      <c r="I70" s="197"/>
    </row>
    <row r="71" spans="1:9" s="183" customFormat="1" ht="15.6" customHeight="1" thickBot="1">
      <c r="A71" s="173" t="s">
        <v>328</v>
      </c>
      <c r="B71" s="176"/>
      <c r="C71" s="176"/>
      <c r="D71" s="176"/>
      <c r="E71" s="176"/>
      <c r="F71" s="176"/>
      <c r="G71" s="176"/>
      <c r="H71" s="197"/>
      <c r="I71" s="197"/>
    </row>
    <row r="72" spans="1:9" s="183" customFormat="1" ht="24.6" thickBot="1">
      <c r="A72" s="174" t="s">
        <v>311</v>
      </c>
      <c r="B72" s="175" t="s">
        <v>257</v>
      </c>
      <c r="C72" s="175" t="s">
        <v>321</v>
      </c>
      <c r="D72" s="175" t="s">
        <v>266</v>
      </c>
      <c r="E72" s="175" t="s">
        <v>306</v>
      </c>
      <c r="F72" s="175" t="s">
        <v>313</v>
      </c>
      <c r="G72" s="176"/>
      <c r="H72" s="202"/>
      <c r="I72" s="202"/>
    </row>
    <row r="73" spans="1:9" s="183" customFormat="1" ht="15.6" customHeight="1">
      <c r="A73" s="178" t="s">
        <v>314</v>
      </c>
      <c r="B73" s="236">
        <f>SUM(B74:B75)</f>
        <v>0</v>
      </c>
      <c r="C73" s="237">
        <f t="shared" ref="C73:C79" si="9">IFERROR(D73/B73,0)</f>
        <v>0</v>
      </c>
      <c r="D73" s="236">
        <f>SUM(D74:D75)</f>
        <v>0</v>
      </c>
      <c r="E73" s="231">
        <f t="shared" ref="E73:E78" si="10">B73-D73</f>
        <v>0</v>
      </c>
      <c r="F73" s="224"/>
      <c r="G73" s="176"/>
      <c r="H73" s="197"/>
      <c r="I73" s="197"/>
    </row>
    <row r="74" spans="1:9" s="181" customFormat="1" ht="15.6" customHeight="1">
      <c r="A74" s="178" t="s">
        <v>315</v>
      </c>
      <c r="B74" s="236"/>
      <c r="C74" s="237">
        <f t="shared" si="9"/>
        <v>0</v>
      </c>
      <c r="D74" s="236"/>
      <c r="E74" s="231">
        <f t="shared" si="10"/>
        <v>0</v>
      </c>
      <c r="F74" s="224"/>
      <c r="G74" s="176"/>
      <c r="H74" s="197"/>
      <c r="I74" s="197"/>
    </row>
    <row r="75" spans="1:9" s="181" customFormat="1" ht="15.6" customHeight="1">
      <c r="A75" s="178" t="s">
        <v>316</v>
      </c>
      <c r="B75" s="236"/>
      <c r="C75" s="237">
        <f t="shared" si="9"/>
        <v>0</v>
      </c>
      <c r="D75" s="236"/>
      <c r="E75" s="231">
        <f t="shared" si="10"/>
        <v>0</v>
      </c>
      <c r="F75" s="224"/>
      <c r="G75" s="176"/>
      <c r="H75" s="197"/>
      <c r="I75" s="197"/>
    </row>
    <row r="76" spans="1:9" s="181" customFormat="1" ht="24">
      <c r="A76" s="178" t="s">
        <v>317</v>
      </c>
      <c r="B76" s="223">
        <f>SUM(B77:B78)</f>
        <v>0</v>
      </c>
      <c r="C76" s="237">
        <f t="shared" si="9"/>
        <v>0</v>
      </c>
      <c r="D76" s="223">
        <f>SUM(D77:D78)</f>
        <v>0</v>
      </c>
      <c r="E76" s="231">
        <f t="shared" si="10"/>
        <v>0</v>
      </c>
      <c r="F76" s="224"/>
      <c r="G76" s="176"/>
      <c r="H76" s="197"/>
      <c r="I76" s="197"/>
    </row>
    <row r="77" spans="1:9" s="181" customFormat="1" ht="15.6" customHeight="1">
      <c r="A77" s="178" t="s">
        <v>318</v>
      </c>
      <c r="B77" s="224"/>
      <c r="C77" s="237">
        <f>IFERROR(D77/B77,0)</f>
        <v>0</v>
      </c>
      <c r="D77" s="224"/>
      <c r="E77" s="231">
        <f t="shared" si="10"/>
        <v>0</v>
      </c>
      <c r="F77" s="224"/>
      <c r="G77" s="176"/>
      <c r="H77" s="197"/>
      <c r="I77" s="197"/>
    </row>
    <row r="78" spans="1:9" s="181" customFormat="1" ht="15.6" customHeight="1" thickBot="1">
      <c r="A78" s="185" t="s">
        <v>319</v>
      </c>
      <c r="B78" s="228">
        <f>E25</f>
        <v>0</v>
      </c>
      <c r="C78" s="239">
        <f t="shared" si="9"/>
        <v>0</v>
      </c>
      <c r="D78" s="228">
        <f>F25</f>
        <v>0</v>
      </c>
      <c r="E78" s="231">
        <f t="shared" si="10"/>
        <v>0</v>
      </c>
      <c r="F78" s="238"/>
      <c r="G78" s="176"/>
      <c r="H78" s="197"/>
      <c r="I78" s="197"/>
    </row>
    <row r="79" spans="1:9" s="181" customFormat="1" ht="15.6" customHeight="1" thickBot="1">
      <c r="A79" s="195" t="s">
        <v>35</v>
      </c>
      <c r="B79" s="234">
        <f>B76+B73</f>
        <v>0</v>
      </c>
      <c r="C79" s="240">
        <f t="shared" si="9"/>
        <v>0</v>
      </c>
      <c r="D79" s="234">
        <f>D76+D73</f>
        <v>0</v>
      </c>
      <c r="E79" s="235">
        <f>E76+E73</f>
        <v>0</v>
      </c>
      <c r="F79" s="241"/>
      <c r="G79" s="176"/>
      <c r="H79" s="197"/>
      <c r="I79" s="197"/>
    </row>
    <row r="80" spans="1:9" s="181" customFormat="1" ht="15.6" customHeight="1">
      <c r="A80" s="200" t="s">
        <v>329</v>
      </c>
      <c r="B80" s="176"/>
      <c r="C80" s="176"/>
      <c r="D80" s="176"/>
      <c r="E80" s="176"/>
      <c r="F80" s="176"/>
      <c r="G80" s="176"/>
      <c r="H80" s="197"/>
      <c r="I80" s="197"/>
    </row>
    <row r="81" spans="1:9" s="181" customFormat="1" ht="15.6" customHeight="1" thickBot="1">
      <c r="A81" s="173" t="s">
        <v>330</v>
      </c>
      <c r="B81" s="176"/>
      <c r="C81" s="176"/>
      <c r="D81" s="176"/>
      <c r="E81" s="176"/>
      <c r="F81" s="176"/>
      <c r="G81" s="176"/>
      <c r="H81" s="176"/>
      <c r="I81" s="176"/>
    </row>
    <row r="82" spans="1:9" s="181" customFormat="1" ht="24.6" thickBot="1">
      <c r="A82" s="174" t="s">
        <v>311</v>
      </c>
      <c r="B82" s="175" t="s">
        <v>257</v>
      </c>
      <c r="C82" s="175" t="s">
        <v>321</v>
      </c>
      <c r="D82" s="175" t="s">
        <v>266</v>
      </c>
      <c r="E82" s="175" t="s">
        <v>306</v>
      </c>
      <c r="F82" s="175" t="s">
        <v>313</v>
      </c>
      <c r="G82" s="176"/>
      <c r="H82" s="176"/>
      <c r="I82" s="176"/>
    </row>
    <row r="83" spans="1:9" s="181" customFormat="1" ht="15.6" customHeight="1">
      <c r="A83" s="178" t="s">
        <v>314</v>
      </c>
      <c r="B83" s="236">
        <f>SUM(B84:B85)</f>
        <v>0</v>
      </c>
      <c r="C83" s="237">
        <f t="shared" ref="C83:C89" si="11">IFERROR(D83/B83,0)</f>
        <v>0</v>
      </c>
      <c r="D83" s="236">
        <f>SUM(D84:D85)</f>
        <v>0</v>
      </c>
      <c r="E83" s="231">
        <f t="shared" ref="E83:E88" si="12">B83-D83</f>
        <v>0</v>
      </c>
      <c r="F83" s="224"/>
      <c r="G83" s="176"/>
      <c r="H83" s="176"/>
      <c r="I83" s="176"/>
    </row>
    <row r="84" spans="1:9" s="183" customFormat="1" ht="15.6" customHeight="1">
      <c r="A84" s="178" t="s">
        <v>315</v>
      </c>
      <c r="B84" s="236"/>
      <c r="C84" s="237">
        <f t="shared" si="11"/>
        <v>0</v>
      </c>
      <c r="D84" s="236"/>
      <c r="E84" s="231">
        <f t="shared" si="12"/>
        <v>0</v>
      </c>
      <c r="F84" s="224"/>
      <c r="G84" s="176"/>
      <c r="H84" s="203"/>
      <c r="I84" s="203"/>
    </row>
    <row r="85" spans="1:9" s="181" customFormat="1" ht="15.6" customHeight="1">
      <c r="A85" s="178" t="s">
        <v>316</v>
      </c>
      <c r="B85" s="236"/>
      <c r="C85" s="237">
        <f t="shared" si="11"/>
        <v>0</v>
      </c>
      <c r="D85" s="236"/>
      <c r="E85" s="231">
        <f t="shared" si="12"/>
        <v>0</v>
      </c>
      <c r="F85" s="224"/>
      <c r="G85" s="176"/>
      <c r="H85" s="176"/>
      <c r="I85" s="176"/>
    </row>
    <row r="86" spans="1:9" s="181" customFormat="1" ht="24">
      <c r="A86" s="178" t="s">
        <v>317</v>
      </c>
      <c r="B86" s="236">
        <f>SUM(B87:B88)</f>
        <v>0</v>
      </c>
      <c r="C86" s="237">
        <f t="shared" si="11"/>
        <v>0</v>
      </c>
      <c r="D86" s="236">
        <f>SUM(D87:D88)</f>
        <v>0</v>
      </c>
      <c r="E86" s="231">
        <f t="shared" si="12"/>
        <v>0</v>
      </c>
      <c r="F86" s="224"/>
      <c r="G86" s="176"/>
      <c r="H86" s="176"/>
      <c r="I86" s="176"/>
    </row>
    <row r="87" spans="1:9" s="181" customFormat="1" ht="15.6" customHeight="1">
      <c r="A87" s="178" t="s">
        <v>318</v>
      </c>
      <c r="B87" s="224"/>
      <c r="C87" s="237">
        <f t="shared" si="11"/>
        <v>0</v>
      </c>
      <c r="D87" s="224"/>
      <c r="E87" s="231">
        <f t="shared" si="12"/>
        <v>0</v>
      </c>
      <c r="F87" s="224"/>
      <c r="G87" s="176"/>
      <c r="H87" s="176"/>
      <c r="I87" s="176"/>
    </row>
    <row r="88" spans="1:9" s="181" customFormat="1" ht="15.6" customHeight="1" thickBot="1">
      <c r="A88" s="185" t="s">
        <v>319</v>
      </c>
      <c r="B88" s="238"/>
      <c r="C88" s="239">
        <f t="shared" si="11"/>
        <v>0</v>
      </c>
      <c r="D88" s="238"/>
      <c r="E88" s="231">
        <f t="shared" si="12"/>
        <v>0</v>
      </c>
      <c r="F88" s="238"/>
      <c r="G88" s="176"/>
      <c r="H88" s="176"/>
      <c r="I88" s="176"/>
    </row>
    <row r="89" spans="1:9" s="183" customFormat="1" ht="15.6" customHeight="1" thickBot="1">
      <c r="A89" s="195" t="s">
        <v>35</v>
      </c>
      <c r="B89" s="234">
        <f>B86+B83</f>
        <v>0</v>
      </c>
      <c r="C89" s="240">
        <f t="shared" si="11"/>
        <v>0</v>
      </c>
      <c r="D89" s="234">
        <f>D86+D83</f>
        <v>0</v>
      </c>
      <c r="E89" s="235">
        <f>E86+E83</f>
        <v>0</v>
      </c>
      <c r="F89" s="241"/>
      <c r="G89" s="176"/>
      <c r="H89" s="176"/>
      <c r="I89" s="176"/>
    </row>
    <row r="90" spans="1:9" s="181" customFormat="1" ht="15.6" customHeight="1" thickBot="1">
      <c r="A90" s="173" t="s">
        <v>331</v>
      </c>
      <c r="B90" s="176"/>
      <c r="C90" s="176"/>
      <c r="D90" s="176"/>
      <c r="E90" s="176"/>
      <c r="F90" s="176"/>
      <c r="G90" s="176"/>
      <c r="H90" s="176"/>
      <c r="I90" s="176"/>
    </row>
    <row r="91" spans="1:9" s="181" customFormat="1" ht="15.6" customHeight="1" thickBot="1">
      <c r="A91" s="646" t="s">
        <v>266</v>
      </c>
      <c r="B91" s="204" t="s">
        <v>332</v>
      </c>
      <c r="C91" s="204" t="s">
        <v>333</v>
      </c>
      <c r="D91" s="204" t="s">
        <v>334</v>
      </c>
      <c r="E91" s="648" t="s">
        <v>335</v>
      </c>
      <c r="F91" s="176"/>
      <c r="G91" s="176"/>
      <c r="H91" s="177"/>
      <c r="I91" s="177"/>
    </row>
    <row r="92" spans="1:9" s="181" customFormat="1" ht="24.6" thickBot="1">
      <c r="A92" s="647"/>
      <c r="B92" s="199" t="s">
        <v>336</v>
      </c>
      <c r="C92" s="199" t="s">
        <v>337</v>
      </c>
      <c r="D92" s="199" t="s">
        <v>338</v>
      </c>
      <c r="E92" s="647"/>
      <c r="F92" s="176"/>
      <c r="G92" s="176"/>
      <c r="H92" s="176"/>
      <c r="I92" s="176"/>
    </row>
    <row r="93" spans="1:9" s="181" customFormat="1" ht="15.6" customHeight="1">
      <c r="A93" s="173" t="s">
        <v>339</v>
      </c>
      <c r="B93" s="243">
        <f>'坏账准备明细表K1-3'!B26</f>
        <v>0</v>
      </c>
      <c r="C93" s="243">
        <f>'坏账准备明细表K1-3'!C26</f>
        <v>0</v>
      </c>
      <c r="D93" s="243">
        <f>'坏账准备明细表K1-3'!D26</f>
        <v>0</v>
      </c>
      <c r="E93" s="244">
        <f t="shared" ref="E93:E103" si="13">SUM(B93:D93)</f>
        <v>0</v>
      </c>
      <c r="F93" s="176"/>
      <c r="G93" s="176"/>
      <c r="H93" s="176"/>
      <c r="I93" s="176"/>
    </row>
    <row r="94" spans="1:9" s="183" customFormat="1" ht="15.6" customHeight="1">
      <c r="A94" s="173" t="s">
        <v>340</v>
      </c>
      <c r="B94" s="243" t="str">
        <f>'坏账准备明细表K1-3'!B27</f>
        <v>--</v>
      </c>
      <c r="C94" s="243" t="str">
        <f>'坏账准备明细表K1-3'!C27</f>
        <v>--</v>
      </c>
      <c r="D94" s="243" t="str">
        <f>'坏账准备明细表K1-3'!D27</f>
        <v>--</v>
      </c>
      <c r="E94" s="244">
        <f>SUM(B94:D94)</f>
        <v>0</v>
      </c>
      <c r="F94" s="176"/>
      <c r="G94" s="176"/>
      <c r="H94" s="176"/>
      <c r="I94" s="176"/>
    </row>
    <row r="95" spans="1:9" s="183" customFormat="1" ht="15.6" customHeight="1">
      <c r="A95" s="173" t="s">
        <v>341</v>
      </c>
      <c r="B95" s="243">
        <f>'坏账准备明细表K1-3'!B28</f>
        <v>0</v>
      </c>
      <c r="C95" s="243">
        <f>'坏账准备明细表K1-3'!C28</f>
        <v>0</v>
      </c>
      <c r="D95" s="243">
        <f>'坏账准备明细表K1-3'!D28</f>
        <v>0</v>
      </c>
      <c r="E95" s="244">
        <f t="shared" si="13"/>
        <v>0</v>
      </c>
      <c r="F95" s="176"/>
      <c r="G95" s="176"/>
      <c r="H95" s="177"/>
      <c r="I95" s="177"/>
    </row>
    <row r="96" spans="1:9" s="183" customFormat="1" ht="15.6" customHeight="1">
      <c r="A96" s="173" t="s">
        <v>342</v>
      </c>
      <c r="B96" s="243">
        <f>'坏账准备明细表K1-3'!B29</f>
        <v>0</v>
      </c>
      <c r="C96" s="243">
        <f>'坏账准备明细表K1-3'!C29</f>
        <v>0</v>
      </c>
      <c r="D96" s="243">
        <f>'坏账准备明细表K1-3'!D29</f>
        <v>0</v>
      </c>
      <c r="E96" s="244">
        <f t="shared" si="13"/>
        <v>0</v>
      </c>
      <c r="F96" s="176"/>
      <c r="G96" s="176"/>
      <c r="H96" s="176"/>
      <c r="I96" s="176"/>
    </row>
    <row r="97" spans="1:9" s="183" customFormat="1" ht="15.6" customHeight="1">
      <c r="A97" s="173" t="s">
        <v>343</v>
      </c>
      <c r="B97" s="243">
        <f>'坏账准备明细表K1-3'!B30</f>
        <v>0</v>
      </c>
      <c r="C97" s="243">
        <f>'坏账准备明细表K1-3'!C30</f>
        <v>0</v>
      </c>
      <c r="D97" s="243">
        <f>'坏账准备明细表K1-3'!D30</f>
        <v>0</v>
      </c>
      <c r="E97" s="244">
        <f t="shared" si="13"/>
        <v>0</v>
      </c>
      <c r="F97" s="176"/>
      <c r="G97" s="176"/>
      <c r="H97" s="176"/>
      <c r="I97" s="176"/>
    </row>
    <row r="98" spans="1:9" s="183" customFormat="1" ht="15.6" customHeight="1">
      <c r="A98" s="173" t="s">
        <v>344</v>
      </c>
      <c r="B98" s="243">
        <f>'坏账准备明细表K1-3'!B31</f>
        <v>0</v>
      </c>
      <c r="C98" s="243">
        <f>'坏账准备明细表K1-3'!C31</f>
        <v>0</v>
      </c>
      <c r="D98" s="243">
        <f>'坏账准备明细表K1-3'!D31</f>
        <v>0</v>
      </c>
      <c r="E98" s="244">
        <f>SUM(B98:D98)</f>
        <v>0</v>
      </c>
      <c r="F98" s="176"/>
      <c r="G98" s="176"/>
      <c r="H98" s="176"/>
      <c r="I98" s="176"/>
    </row>
    <row r="99" spans="1:9" s="183" customFormat="1" ht="15.6" customHeight="1">
      <c r="A99" s="173" t="s">
        <v>345</v>
      </c>
      <c r="B99" s="243">
        <f>'坏账准备明细表K1-3'!B32</f>
        <v>0</v>
      </c>
      <c r="C99" s="243">
        <f>'坏账准备明细表K1-3'!C32</f>
        <v>0</v>
      </c>
      <c r="D99" s="243">
        <f>'坏账准备明细表K1-3'!D32</f>
        <v>0</v>
      </c>
      <c r="E99" s="244">
        <f t="shared" si="13"/>
        <v>0</v>
      </c>
      <c r="F99" s="176"/>
      <c r="G99" s="176"/>
      <c r="H99" s="177"/>
      <c r="I99" s="177"/>
    </row>
    <row r="100" spans="1:9" s="181" customFormat="1" ht="15.6" customHeight="1">
      <c r="A100" s="173" t="s">
        <v>346</v>
      </c>
      <c r="B100" s="243">
        <f>'坏账准备明细表K1-3'!B33</f>
        <v>0</v>
      </c>
      <c r="C100" s="243">
        <f>'坏账准备明细表K1-3'!C33</f>
        <v>0</v>
      </c>
      <c r="D100" s="243">
        <f>'坏账准备明细表K1-3'!D33</f>
        <v>0</v>
      </c>
      <c r="E100" s="244">
        <f t="shared" si="13"/>
        <v>0</v>
      </c>
      <c r="F100" s="176"/>
      <c r="G100" s="176"/>
      <c r="H100" s="176"/>
      <c r="I100" s="176"/>
    </row>
    <row r="101" spans="1:9" s="183" customFormat="1" ht="15.6" customHeight="1">
      <c r="A101" s="173" t="s">
        <v>347</v>
      </c>
      <c r="B101" s="243"/>
      <c r="C101" s="243"/>
      <c r="D101" s="243"/>
      <c r="E101" s="244">
        <f t="shared" si="13"/>
        <v>0</v>
      </c>
      <c r="F101" s="176"/>
      <c r="G101" s="176"/>
      <c r="H101" s="176"/>
      <c r="I101" s="176"/>
    </row>
    <row r="102" spans="1:9" s="183" customFormat="1" ht="15.6" customHeight="1">
      <c r="A102" s="173" t="s">
        <v>348</v>
      </c>
      <c r="B102" s="243">
        <f>'坏账准备明细表K1-3'!B34</f>
        <v>0</v>
      </c>
      <c r="C102" s="243">
        <f>'坏账准备明细表K1-3'!C34</f>
        <v>0</v>
      </c>
      <c r="D102" s="243">
        <f>'坏账准备明细表K1-3'!D34</f>
        <v>0</v>
      </c>
      <c r="E102" s="244">
        <f t="shared" si="13"/>
        <v>0</v>
      </c>
      <c r="F102" s="176"/>
      <c r="G102" s="176"/>
      <c r="H102" s="176"/>
      <c r="I102" s="176"/>
    </row>
    <row r="103" spans="1:9" s="183" customFormat="1" ht="15.6" customHeight="1" thickBot="1">
      <c r="A103" s="173" t="s">
        <v>349</v>
      </c>
      <c r="B103" s="243">
        <f>'坏账准备明细表K1-3'!B36+'坏账准备明细表K1-3'!B35</f>
        <v>0</v>
      </c>
      <c r="C103" s="243">
        <f>'坏账准备明细表K1-3'!C36+'坏账准备明细表K1-3'!C35</f>
        <v>0</v>
      </c>
      <c r="D103" s="243">
        <f>'坏账准备明细表K1-3'!D36+'坏账准备明细表K1-3'!D35</f>
        <v>0</v>
      </c>
      <c r="E103" s="244">
        <f t="shared" si="13"/>
        <v>0</v>
      </c>
      <c r="F103" s="176"/>
      <c r="G103" s="176"/>
      <c r="H103" s="176"/>
      <c r="I103" s="176"/>
    </row>
    <row r="104" spans="1:9" s="183" customFormat="1" ht="15.6" customHeight="1" thickBot="1">
      <c r="A104" s="616" t="s">
        <v>350</v>
      </c>
      <c r="B104" s="618">
        <f>B93+SUM(B95:B98)+B99-B100-B101-B102-B103</f>
        <v>0</v>
      </c>
      <c r="C104" s="618">
        <f t="shared" ref="C104:E104" si="14">C93+SUM(C95:C98)+C99-C100-C101-C102-C103</f>
        <v>0</v>
      </c>
      <c r="D104" s="618">
        <f t="shared" si="14"/>
        <v>0</v>
      </c>
      <c r="E104" s="618">
        <f t="shared" si="14"/>
        <v>0</v>
      </c>
      <c r="F104" s="176"/>
      <c r="G104" s="191"/>
      <c r="H104" s="176"/>
      <c r="I104" s="176"/>
    </row>
    <row r="105" spans="1:9" s="183" customFormat="1" ht="15.6" customHeight="1" thickBot="1">
      <c r="A105" s="616" t="s">
        <v>351</v>
      </c>
      <c r="B105" s="617"/>
      <c r="C105" s="617"/>
      <c r="D105" s="617"/>
      <c r="E105" s="617"/>
      <c r="F105" s="176"/>
      <c r="G105" s="176"/>
      <c r="H105" s="176"/>
      <c r="I105" s="176"/>
    </row>
    <row r="106" spans="1:9" s="183" customFormat="1" ht="12.6" thickBot="1">
      <c r="A106" s="205" t="s">
        <v>0</v>
      </c>
      <c r="B106" s="206" t="s">
        <v>2</v>
      </c>
      <c r="C106" s="206" t="s">
        <v>26</v>
      </c>
      <c r="D106" s="206" t="s">
        <v>27</v>
      </c>
      <c r="E106" s="207" t="s">
        <v>352</v>
      </c>
      <c r="F106" s="176"/>
      <c r="G106" s="176"/>
      <c r="H106" s="176"/>
      <c r="I106" s="176"/>
    </row>
    <row r="107" spans="1:9" s="183" customFormat="1" ht="15.6" customHeight="1">
      <c r="A107" s="208"/>
      <c r="B107" s="209"/>
      <c r="C107" s="209"/>
      <c r="D107" s="209"/>
      <c r="E107" s="245"/>
      <c r="F107" s="176"/>
      <c r="G107" s="176"/>
      <c r="H107" s="176"/>
      <c r="I107" s="176"/>
    </row>
    <row r="108" spans="1:9" s="183" customFormat="1" ht="15.6" customHeight="1">
      <c r="A108" s="210"/>
      <c r="B108" s="211"/>
      <c r="C108" s="211"/>
      <c r="D108" s="211"/>
      <c r="E108" s="231"/>
      <c r="F108" s="176"/>
      <c r="G108" s="176"/>
      <c r="H108" s="176"/>
      <c r="I108" s="176"/>
    </row>
    <row r="109" spans="1:9" s="183" customFormat="1" ht="15.6" customHeight="1" thickBot="1">
      <c r="A109" s="194" t="s">
        <v>308</v>
      </c>
      <c r="B109" s="212"/>
      <c r="C109" s="212"/>
      <c r="D109" s="212"/>
      <c r="E109" s="246"/>
      <c r="F109" s="176"/>
      <c r="G109" s="176"/>
      <c r="H109" s="176"/>
      <c r="I109" s="176"/>
    </row>
    <row r="110" spans="1:9" s="182" customFormat="1" ht="15.6" customHeight="1" thickBot="1">
      <c r="A110" s="187" t="s">
        <v>35</v>
      </c>
      <c r="B110" s="214"/>
      <c r="C110" s="214"/>
      <c r="D110" s="214"/>
      <c r="E110" s="234">
        <f>SUM(E107:E109)</f>
        <v>0</v>
      </c>
      <c r="F110" s="176"/>
      <c r="G110" s="176"/>
      <c r="H110" s="176"/>
      <c r="I110" s="176"/>
    </row>
    <row r="111" spans="1:9" s="183" customFormat="1" ht="15.6" customHeight="1">
      <c r="A111" s="200" t="s">
        <v>353</v>
      </c>
      <c r="B111" s="176"/>
      <c r="C111" s="176"/>
      <c r="D111" s="176"/>
      <c r="E111" s="176"/>
      <c r="F111" s="176"/>
      <c r="G111" s="176"/>
      <c r="H111" s="176"/>
      <c r="I111" s="176"/>
    </row>
    <row r="112" spans="1:9" s="183" customFormat="1" ht="15.6" customHeight="1" thickBot="1">
      <c r="A112" s="173" t="s">
        <v>354</v>
      </c>
      <c r="B112" s="176"/>
      <c r="C112" s="176"/>
      <c r="D112" s="176"/>
      <c r="E112" s="176"/>
      <c r="F112" s="176"/>
      <c r="G112" s="176"/>
      <c r="H112" s="176"/>
      <c r="I112" s="176"/>
    </row>
    <row r="113" spans="1:9" s="183" customFormat="1" ht="15.6" customHeight="1" thickBot="1">
      <c r="A113" s="174" t="s">
        <v>305</v>
      </c>
      <c r="B113" s="175" t="s">
        <v>5</v>
      </c>
      <c r="C113" s="176"/>
      <c r="D113" s="176"/>
      <c r="E113" s="176"/>
      <c r="F113" s="176"/>
      <c r="G113" s="176"/>
      <c r="H113" s="176"/>
      <c r="I113" s="176"/>
    </row>
    <row r="114" spans="1:9" s="183" customFormat="1" ht="15.6" customHeight="1" thickBot="1">
      <c r="A114" s="185" t="s">
        <v>355</v>
      </c>
      <c r="B114" s="198"/>
      <c r="C114" s="176"/>
      <c r="D114" s="176"/>
      <c r="E114" s="176"/>
      <c r="F114" s="176"/>
      <c r="G114" s="176"/>
      <c r="H114" s="191"/>
      <c r="I114" s="191"/>
    </row>
    <row r="115" spans="1:9" s="183" customFormat="1" ht="15.6" customHeight="1" thickBot="1">
      <c r="A115" s="173" t="s">
        <v>356</v>
      </c>
      <c r="B115" s="176"/>
      <c r="C115" s="176"/>
      <c r="D115" s="176"/>
      <c r="E115" s="176"/>
      <c r="F115" s="176"/>
      <c r="G115" s="176"/>
      <c r="H115" s="192"/>
      <c r="I115" s="192"/>
    </row>
    <row r="116" spans="1:9" s="183" customFormat="1" ht="24.6" thickBot="1">
      <c r="A116" s="174" t="s">
        <v>0</v>
      </c>
      <c r="B116" s="215" t="s">
        <v>357</v>
      </c>
      <c r="C116" s="175" t="s">
        <v>5</v>
      </c>
      <c r="D116" s="175" t="s">
        <v>6</v>
      </c>
      <c r="E116" s="175" t="s">
        <v>28</v>
      </c>
      <c r="F116" s="175" t="s">
        <v>358</v>
      </c>
      <c r="G116" s="176"/>
      <c r="H116" s="176"/>
      <c r="I116" s="176"/>
    </row>
    <row r="117" spans="1:9" s="181" customFormat="1" ht="15.6" customHeight="1">
      <c r="A117" s="178"/>
      <c r="B117" s="211"/>
      <c r="C117" s="224"/>
      <c r="D117" s="180"/>
      <c r="E117" s="180"/>
      <c r="F117" s="180"/>
      <c r="G117" s="176"/>
      <c r="H117" s="176"/>
      <c r="I117" s="176"/>
    </row>
    <row r="118" spans="1:9" s="181" customFormat="1" ht="15.6" customHeight="1">
      <c r="A118" s="178"/>
      <c r="B118" s="211"/>
      <c r="C118" s="224"/>
      <c r="D118" s="180"/>
      <c r="E118" s="180"/>
      <c r="F118" s="180"/>
      <c r="G118" s="176"/>
      <c r="H118" s="177"/>
      <c r="I118" s="177"/>
    </row>
    <row r="119" spans="1:9" s="183" customFormat="1" ht="15.6" customHeight="1" thickBot="1">
      <c r="A119" s="185"/>
      <c r="B119" s="212"/>
      <c r="C119" s="238"/>
      <c r="D119" s="198"/>
      <c r="E119" s="198"/>
      <c r="F119" s="198"/>
      <c r="G119" s="176"/>
      <c r="H119" s="176"/>
      <c r="I119" s="176"/>
    </row>
    <row r="120" spans="1:9" s="181" customFormat="1" ht="15.6" customHeight="1" thickBot="1">
      <c r="A120" s="187" t="s">
        <v>35</v>
      </c>
      <c r="B120" s="214"/>
      <c r="C120" s="234">
        <f>SUM(C117:C119)</f>
        <v>0</v>
      </c>
      <c r="D120" s="199"/>
      <c r="E120" s="199"/>
      <c r="F120" s="199"/>
      <c r="G120" s="176"/>
      <c r="H120" s="176"/>
      <c r="I120" s="176"/>
    </row>
    <row r="121" spans="1:9" s="181" customFormat="1" ht="15.6" customHeight="1">
      <c r="A121" s="200" t="s">
        <v>359</v>
      </c>
      <c r="B121" s="176"/>
      <c r="C121" s="176"/>
      <c r="D121" s="176"/>
      <c r="E121" s="176"/>
      <c r="F121" s="176"/>
      <c r="G121" s="176"/>
      <c r="H121" s="176"/>
      <c r="I121" s="176"/>
    </row>
    <row r="122" spans="1:9" s="181" customFormat="1" ht="15.6" customHeight="1">
      <c r="A122" s="216" t="s">
        <v>360</v>
      </c>
      <c r="B122" s="176"/>
      <c r="C122" s="176"/>
      <c r="D122" s="176"/>
      <c r="E122" s="176"/>
      <c r="F122" s="176"/>
      <c r="G122" s="176"/>
      <c r="H122" s="176"/>
      <c r="I122" s="176"/>
    </row>
    <row r="123" spans="1:9" s="181" customFormat="1" ht="15.6" customHeight="1" thickBot="1">
      <c r="A123" s="173" t="s">
        <v>361</v>
      </c>
      <c r="B123" s="176"/>
      <c r="C123" s="176"/>
      <c r="D123" s="176"/>
      <c r="E123" s="176"/>
      <c r="F123" s="176"/>
      <c r="G123" s="176"/>
      <c r="H123" s="176"/>
      <c r="I123" s="176"/>
    </row>
    <row r="124" spans="1:9" s="181" customFormat="1" ht="36.6" thickBot="1">
      <c r="A124" s="205" t="s">
        <v>0</v>
      </c>
      <c r="B124" s="206" t="s">
        <v>362</v>
      </c>
      <c r="C124" s="207" t="s">
        <v>363</v>
      </c>
      <c r="D124" s="207" t="s">
        <v>208</v>
      </c>
      <c r="E124" s="207" t="s">
        <v>364</v>
      </c>
      <c r="F124" s="207" t="s">
        <v>365</v>
      </c>
      <c r="G124" s="176"/>
      <c r="H124" s="177"/>
      <c r="I124" s="177"/>
    </row>
    <row r="125" spans="1:9" s="181" customFormat="1" ht="15.6" customHeight="1">
      <c r="A125" s="217" t="e">
        <f>#REF!</f>
        <v>#REF!</v>
      </c>
      <c r="B125" s="209"/>
      <c r="C125" s="247" t="e">
        <f>#REF!</f>
        <v>#REF!</v>
      </c>
      <c r="D125" s="248" t="e">
        <f>#REF!</f>
        <v>#REF!</v>
      </c>
      <c r="E125" s="249" t="e">
        <f t="shared" ref="E125:E130" si="15">IF(C125=0,0,C125/$B$18)</f>
        <v>#REF!</v>
      </c>
      <c r="F125" s="247" t="e">
        <f>#REF!</f>
        <v>#REF!</v>
      </c>
      <c r="G125" s="176"/>
      <c r="H125" s="176"/>
      <c r="I125" s="176"/>
    </row>
    <row r="126" spans="1:9" s="181" customFormat="1" ht="15.6" customHeight="1">
      <c r="A126" s="218" t="e">
        <f>#REF!</f>
        <v>#REF!</v>
      </c>
      <c r="B126" s="211"/>
      <c r="C126" s="223" t="e">
        <f>#REF!</f>
        <v>#REF!</v>
      </c>
      <c r="D126" s="223" t="e">
        <f>#REF!</f>
        <v>#REF!</v>
      </c>
      <c r="E126" s="250" t="e">
        <f t="shared" si="15"/>
        <v>#REF!</v>
      </c>
      <c r="F126" s="223" t="e">
        <f>#REF!</f>
        <v>#REF!</v>
      </c>
      <c r="G126" s="176"/>
      <c r="H126" s="176"/>
      <c r="I126" s="176"/>
    </row>
    <row r="127" spans="1:9" s="181" customFormat="1" ht="15.6" customHeight="1">
      <c r="A127" s="218" t="e">
        <f>#REF!</f>
        <v>#REF!</v>
      </c>
      <c r="B127" s="211"/>
      <c r="C127" s="223" t="e">
        <f>#REF!</f>
        <v>#REF!</v>
      </c>
      <c r="D127" s="223" t="e">
        <f>#REF!</f>
        <v>#REF!</v>
      </c>
      <c r="E127" s="250" t="e">
        <f t="shared" si="15"/>
        <v>#REF!</v>
      </c>
      <c r="F127" s="223" t="e">
        <f>#REF!</f>
        <v>#REF!</v>
      </c>
      <c r="G127" s="176"/>
      <c r="H127" s="176"/>
      <c r="I127" s="176"/>
    </row>
    <row r="128" spans="1:9" s="181" customFormat="1" ht="15.6" customHeight="1">
      <c r="A128" s="218" t="e">
        <f>#REF!</f>
        <v>#REF!</v>
      </c>
      <c r="B128" s="211"/>
      <c r="C128" s="223" t="e">
        <f>#REF!</f>
        <v>#REF!</v>
      </c>
      <c r="D128" s="223" t="e">
        <f>#REF!</f>
        <v>#REF!</v>
      </c>
      <c r="E128" s="250" t="e">
        <f t="shared" si="15"/>
        <v>#REF!</v>
      </c>
      <c r="F128" s="223" t="e">
        <f>#REF!</f>
        <v>#REF!</v>
      </c>
      <c r="G128" s="176"/>
      <c r="H128" s="176"/>
      <c r="I128" s="176"/>
    </row>
    <row r="129" spans="1:9" s="183" customFormat="1" ht="15.6" customHeight="1" thickBot="1">
      <c r="A129" s="219" t="e">
        <f>#REF!</f>
        <v>#REF!</v>
      </c>
      <c r="B129" s="212"/>
      <c r="C129" s="228" t="e">
        <f>#REF!</f>
        <v>#REF!</v>
      </c>
      <c r="D129" s="228" t="e">
        <f>#REF!</f>
        <v>#REF!</v>
      </c>
      <c r="E129" s="251" t="e">
        <f t="shared" si="15"/>
        <v>#REF!</v>
      </c>
      <c r="F129" s="228" t="e">
        <f>#REF!</f>
        <v>#REF!</v>
      </c>
      <c r="G129" s="176"/>
      <c r="H129" s="177"/>
      <c r="I129" s="177"/>
    </row>
    <row r="130" spans="1:9" s="183" customFormat="1" ht="15.6" customHeight="1" thickBot="1">
      <c r="A130" s="187" t="s">
        <v>35</v>
      </c>
      <c r="B130" s="214" t="s">
        <v>4</v>
      </c>
      <c r="C130" s="252" t="e">
        <f>SUM(C125:C129)</f>
        <v>#REF!</v>
      </c>
      <c r="D130" s="241" t="s">
        <v>4</v>
      </c>
      <c r="E130" s="251" t="e">
        <f t="shared" si="15"/>
        <v>#REF!</v>
      </c>
      <c r="F130" s="252" t="e">
        <f>SUM(F125:F129)</f>
        <v>#REF!</v>
      </c>
      <c r="G130" s="176"/>
      <c r="H130" s="176"/>
      <c r="I130" s="176"/>
    </row>
    <row r="131" spans="1:9" s="183" customFormat="1" ht="15.6" customHeight="1">
      <c r="A131" s="200" t="s">
        <v>366</v>
      </c>
      <c r="B131" s="176"/>
      <c r="C131" s="176"/>
      <c r="D131" s="176"/>
      <c r="E131" s="176"/>
      <c r="F131" s="176"/>
      <c r="G131" s="176"/>
      <c r="H131" s="176"/>
      <c r="I131" s="176"/>
    </row>
    <row r="132" spans="1:9" s="183" customFormat="1" ht="15.6" customHeight="1">
      <c r="A132" s="173" t="s">
        <v>446</v>
      </c>
      <c r="B132" s="176"/>
      <c r="C132" s="176"/>
      <c r="D132" s="176"/>
      <c r="E132" s="176"/>
      <c r="F132" s="176"/>
      <c r="G132" s="176"/>
      <c r="H132" s="176"/>
      <c r="I132" s="176"/>
    </row>
    <row r="133" spans="1:9" s="183" customFormat="1" ht="15.6" customHeight="1">
      <c r="A133" s="316" t="s">
        <v>448</v>
      </c>
      <c r="B133" s="176"/>
      <c r="C133" s="176"/>
      <c r="D133" s="176"/>
      <c r="E133" s="176"/>
      <c r="F133" s="176"/>
      <c r="G133" s="176"/>
      <c r="H133" s="176"/>
      <c r="I133" s="176"/>
    </row>
    <row r="134" spans="1:9" s="183" customFormat="1" ht="15.6" customHeight="1">
      <c r="A134" s="316" t="s">
        <v>447</v>
      </c>
      <c r="B134" s="176"/>
      <c r="C134" s="176"/>
      <c r="D134" s="176"/>
      <c r="E134" s="176"/>
      <c r="F134" s="176"/>
      <c r="G134" s="176"/>
      <c r="H134" s="176"/>
      <c r="I134" s="176"/>
    </row>
    <row r="135" spans="1:9" s="183" customFormat="1" ht="15.6" customHeight="1">
      <c r="A135" s="316" t="s">
        <v>449</v>
      </c>
      <c r="B135" s="176"/>
      <c r="C135" s="176"/>
      <c r="D135" s="176"/>
      <c r="E135" s="176"/>
      <c r="F135" s="176"/>
      <c r="G135" s="176"/>
      <c r="H135" s="176"/>
      <c r="I135" s="176"/>
    </row>
    <row r="136" spans="1:9" s="183" customFormat="1" ht="15.6" customHeight="1" thickBot="1">
      <c r="A136" s="173" t="s">
        <v>450</v>
      </c>
      <c r="B136" s="176"/>
      <c r="C136" s="176"/>
      <c r="D136" s="176"/>
      <c r="E136" s="176"/>
      <c r="F136" s="176"/>
      <c r="G136" s="176"/>
      <c r="H136" s="176"/>
      <c r="I136" s="176"/>
    </row>
    <row r="137" spans="1:9" s="183" customFormat="1" ht="24.6" thickBot="1">
      <c r="A137" s="174" t="s">
        <v>367</v>
      </c>
      <c r="B137" s="215" t="s">
        <v>368</v>
      </c>
      <c r="C137" s="175" t="s">
        <v>350</v>
      </c>
      <c r="D137" s="175" t="s">
        <v>208</v>
      </c>
      <c r="E137" s="175" t="s">
        <v>369</v>
      </c>
      <c r="F137" s="176"/>
      <c r="G137" s="176"/>
      <c r="H137" s="176"/>
      <c r="I137" s="176"/>
    </row>
    <row r="138" spans="1:9" s="183" customFormat="1" ht="15.6" customHeight="1">
      <c r="A138" s="218" t="e">
        <f>#REF!</f>
        <v>#REF!</v>
      </c>
      <c r="B138" s="220" t="e">
        <f>#REF!</f>
        <v>#REF!</v>
      </c>
      <c r="C138" s="226" t="e">
        <f>#REF!</f>
        <v>#REF!</v>
      </c>
      <c r="D138" s="223" t="e">
        <f>#REF!</f>
        <v>#REF!</v>
      </c>
      <c r="E138" s="180" t="e">
        <f>#REF!</f>
        <v>#REF!</v>
      </c>
      <c r="F138" s="176"/>
      <c r="G138" s="176"/>
      <c r="H138" s="176"/>
      <c r="I138" s="176"/>
    </row>
    <row r="139" spans="1:9" s="183" customFormat="1" ht="15.6" customHeight="1">
      <c r="A139" s="218" t="e">
        <f>#REF!</f>
        <v>#REF!</v>
      </c>
      <c r="B139" s="220" t="e">
        <f>#REF!</f>
        <v>#REF!</v>
      </c>
      <c r="C139" s="226" t="e">
        <f>#REF!</f>
        <v>#REF!</v>
      </c>
      <c r="D139" s="223" t="e">
        <f>#REF!</f>
        <v>#REF!</v>
      </c>
      <c r="E139" s="180" t="e">
        <f>#REF!</f>
        <v>#REF!</v>
      </c>
      <c r="F139" s="176"/>
      <c r="G139" s="176"/>
      <c r="H139" s="176"/>
      <c r="I139" s="176"/>
    </row>
    <row r="140" spans="1:9" s="183" customFormat="1" ht="15.6" customHeight="1" thickBot="1">
      <c r="A140" s="219" t="e">
        <f>#REF!</f>
        <v>#REF!</v>
      </c>
      <c r="B140" s="221" t="e">
        <f>#REF!</f>
        <v>#REF!</v>
      </c>
      <c r="C140" s="253" t="e">
        <f>#REF!</f>
        <v>#REF!</v>
      </c>
      <c r="D140" s="228" t="e">
        <f>#REF!</f>
        <v>#REF!</v>
      </c>
      <c r="E140" s="198" t="e">
        <f>#REF!</f>
        <v>#REF!</v>
      </c>
      <c r="F140" s="176"/>
      <c r="G140" s="176"/>
      <c r="H140" s="176"/>
      <c r="I140" s="176"/>
    </row>
    <row r="141" spans="1:9" s="183" customFormat="1" ht="15.6" customHeight="1" thickBot="1">
      <c r="A141" s="187" t="s">
        <v>35</v>
      </c>
      <c r="B141" s="214" t="s">
        <v>4</v>
      </c>
      <c r="C141" s="252" t="e">
        <f>SUM(C138:C140)</f>
        <v>#REF!</v>
      </c>
      <c r="D141" s="241" t="s">
        <v>4</v>
      </c>
      <c r="E141" s="199" t="s">
        <v>4</v>
      </c>
      <c r="F141" s="176"/>
      <c r="G141" s="176"/>
      <c r="H141" s="176"/>
      <c r="I141" s="176"/>
    </row>
    <row r="142" spans="1:9" s="183" customFormat="1" ht="15.6" customHeight="1">
      <c r="A142" s="173" t="s">
        <v>370</v>
      </c>
      <c r="B142" s="176"/>
      <c r="C142" s="176"/>
      <c r="D142" s="176"/>
      <c r="E142" s="176"/>
      <c r="F142" s="176"/>
      <c r="G142" s="176"/>
      <c r="H142" s="176"/>
      <c r="I142" s="176"/>
    </row>
    <row r="143" spans="1:9" s="183" customFormat="1" ht="15.6" customHeight="1">
      <c r="A143" s="222" t="s">
        <v>371</v>
      </c>
      <c r="B143" s="176"/>
      <c r="C143" s="176"/>
      <c r="D143" s="176"/>
      <c r="E143" s="176"/>
      <c r="F143" s="176"/>
      <c r="G143" s="176"/>
      <c r="H143" s="177"/>
      <c r="I143" s="177"/>
    </row>
    <row r="144" spans="1:9" s="183" customFormat="1" ht="15.6" customHeight="1">
      <c r="A144" s="173" t="s">
        <v>451</v>
      </c>
      <c r="B144" s="176"/>
      <c r="C144" s="176"/>
      <c r="D144" s="176"/>
      <c r="E144" s="176"/>
      <c r="F144" s="176"/>
      <c r="G144" s="176"/>
      <c r="H144" s="176"/>
      <c r="I144" s="176"/>
    </row>
    <row r="145" spans="1:9" s="183" customFormat="1" ht="15.6" customHeight="1" thickBot="1">
      <c r="A145" s="200" t="s">
        <v>372</v>
      </c>
      <c r="B145" s="176"/>
      <c r="C145" s="176"/>
      <c r="D145" s="176"/>
      <c r="E145" s="176"/>
      <c r="F145" s="176"/>
      <c r="G145" s="176"/>
      <c r="H145" s="176"/>
      <c r="I145" s="176"/>
    </row>
    <row r="146" spans="1:9" s="183" customFormat="1" ht="24.6" thickBot="1">
      <c r="A146" s="174" t="s">
        <v>305</v>
      </c>
      <c r="B146" s="215" t="s">
        <v>373</v>
      </c>
      <c r="C146" s="175" t="s">
        <v>374</v>
      </c>
      <c r="D146" s="175" t="s">
        <v>375</v>
      </c>
      <c r="E146" s="176"/>
      <c r="F146" s="176"/>
      <c r="G146" s="176"/>
      <c r="H146" s="176"/>
      <c r="I146" s="176"/>
    </row>
    <row r="147" spans="1:9" s="181" customFormat="1" ht="15.6" customHeight="1">
      <c r="A147" s="178"/>
      <c r="B147" s="211"/>
      <c r="C147" s="190"/>
      <c r="D147" s="190"/>
      <c r="E147" s="176"/>
      <c r="F147" s="176"/>
      <c r="G147" s="176"/>
      <c r="H147" s="176"/>
      <c r="I147" s="176"/>
    </row>
    <row r="148" spans="1:9" s="181" customFormat="1" ht="15.6" customHeight="1">
      <c r="A148" s="178"/>
      <c r="B148" s="211"/>
      <c r="C148" s="190"/>
      <c r="D148" s="190"/>
      <c r="E148" s="176"/>
      <c r="F148" s="176"/>
      <c r="G148" s="176"/>
      <c r="H148" s="176"/>
      <c r="I148" s="176"/>
    </row>
    <row r="149" spans="1:9" s="181" customFormat="1" ht="15.6" customHeight="1" thickBot="1">
      <c r="A149" s="185"/>
      <c r="B149" s="212"/>
      <c r="C149" s="213"/>
      <c r="D149" s="213"/>
      <c r="E149" s="176"/>
      <c r="F149" s="176"/>
      <c r="G149" s="176"/>
      <c r="H149" s="176"/>
      <c r="I149" s="176"/>
    </row>
    <row r="150" spans="1:9" s="181" customFormat="1" ht="15.6" customHeight="1" thickBot="1">
      <c r="A150" s="187" t="s">
        <v>35</v>
      </c>
      <c r="B150" s="214"/>
      <c r="C150" s="196">
        <f>SUM(C147:C149)</f>
        <v>0</v>
      </c>
      <c r="D150" s="196">
        <f>SUM(D147:D149)</f>
        <v>0</v>
      </c>
      <c r="E150" s="176"/>
      <c r="F150" s="176"/>
      <c r="G150" s="176"/>
      <c r="H150" s="176"/>
      <c r="I150" s="176"/>
    </row>
    <row r="151" spans="1:9" s="181" customFormat="1" ht="15.6" customHeight="1">
      <c r="A151" s="173" t="s">
        <v>452</v>
      </c>
      <c r="B151" s="176"/>
      <c r="C151" s="176"/>
      <c r="D151" s="176"/>
      <c r="E151" s="176"/>
      <c r="F151" s="176"/>
      <c r="G151" s="176"/>
      <c r="H151" s="176"/>
      <c r="I151" s="176"/>
    </row>
    <row r="152" spans="1:9" s="181" customFormat="1" ht="15.6" customHeight="1" thickBot="1">
      <c r="A152" s="200" t="s">
        <v>376</v>
      </c>
      <c r="B152" s="176"/>
      <c r="C152" s="176"/>
      <c r="D152" s="176"/>
      <c r="E152" s="176"/>
      <c r="F152" s="176"/>
      <c r="G152" s="176"/>
      <c r="H152" s="176"/>
      <c r="I152" s="176"/>
    </row>
    <row r="153" spans="1:9" s="181" customFormat="1" ht="15.6" customHeight="1" thickBot="1">
      <c r="A153" s="174" t="s">
        <v>305</v>
      </c>
      <c r="B153" s="175" t="s">
        <v>293</v>
      </c>
      <c r="C153" s="176"/>
      <c r="D153" s="176"/>
      <c r="E153" s="176"/>
      <c r="F153" s="176"/>
      <c r="G153" s="176"/>
      <c r="H153" s="176"/>
      <c r="I153" s="176"/>
    </row>
    <row r="154" spans="1:9" s="181" customFormat="1" ht="15.6" customHeight="1">
      <c r="A154" s="178" t="s">
        <v>377</v>
      </c>
      <c r="B154" s="232"/>
      <c r="C154" s="176"/>
      <c r="D154" s="176"/>
      <c r="E154" s="176"/>
      <c r="F154" s="176"/>
      <c r="G154" s="176"/>
      <c r="H154" s="176"/>
      <c r="I154" s="176"/>
    </row>
    <row r="155" spans="1:9" s="181" customFormat="1" ht="15.6" customHeight="1">
      <c r="A155" s="178"/>
      <c r="B155" s="232"/>
      <c r="C155" s="176"/>
      <c r="D155" s="176"/>
      <c r="E155" s="176"/>
      <c r="F155" s="176"/>
      <c r="G155" s="176"/>
      <c r="H155" s="176"/>
      <c r="I155" s="176"/>
    </row>
    <row r="156" spans="1:9" s="181" customFormat="1" ht="15.6" customHeight="1">
      <c r="A156" s="178" t="s">
        <v>378</v>
      </c>
      <c r="B156" s="232">
        <f>SUM(B154:B155)</f>
        <v>0</v>
      </c>
      <c r="C156" s="176"/>
      <c r="D156" s="176"/>
      <c r="E156" s="176"/>
      <c r="F156" s="176"/>
      <c r="G156" s="176"/>
      <c r="H156" s="176"/>
      <c r="I156" s="176"/>
    </row>
    <row r="157" spans="1:9" s="181" customFormat="1" ht="15.6" customHeight="1">
      <c r="A157" s="178" t="s">
        <v>379</v>
      </c>
      <c r="B157" s="232"/>
      <c r="C157" s="176"/>
      <c r="D157" s="176"/>
      <c r="E157" s="176"/>
      <c r="F157" s="176"/>
      <c r="G157" s="176"/>
      <c r="H157" s="176"/>
      <c r="I157" s="176"/>
    </row>
    <row r="158" spans="1:9" s="181" customFormat="1" ht="15.6" customHeight="1">
      <c r="A158" s="210"/>
      <c r="B158" s="232"/>
      <c r="C158" s="176"/>
      <c r="D158" s="176"/>
      <c r="E158" s="176"/>
      <c r="F158" s="176"/>
      <c r="G158" s="176"/>
      <c r="H158" s="176"/>
      <c r="I158" s="176"/>
    </row>
    <row r="159" spans="1:9" s="181" customFormat="1" ht="15.6" customHeight="1" thickBot="1">
      <c r="A159" s="185" t="s">
        <v>380</v>
      </c>
      <c r="B159" s="233">
        <f>SUM(B157:B158)</f>
        <v>0</v>
      </c>
      <c r="C159" s="176"/>
      <c r="D159" s="176"/>
      <c r="E159" s="176"/>
      <c r="F159" s="176"/>
      <c r="G159" s="176"/>
      <c r="H159" s="176"/>
      <c r="I159" s="176"/>
    </row>
    <row r="160" spans="1:9" s="181" customFormat="1" ht="15.6" customHeight="1">
      <c r="A160" s="173" t="s">
        <v>381</v>
      </c>
      <c r="B160" s="176"/>
      <c r="C160" s="176"/>
      <c r="D160" s="176"/>
      <c r="E160" s="176"/>
      <c r="F160" s="176"/>
      <c r="G160" s="176"/>
      <c r="H160" s="176"/>
      <c r="I160" s="176"/>
    </row>
    <row r="161" spans="1:7" s="181" customFormat="1" ht="12">
      <c r="A161" s="171"/>
      <c r="B161" s="171"/>
      <c r="C161" s="171"/>
      <c r="D161" s="171"/>
      <c r="E161" s="171"/>
      <c r="F161" s="171"/>
      <c r="G161" s="171"/>
    </row>
    <row r="162" spans="1:7">
      <c r="A162" s="45"/>
      <c r="B162" s="45"/>
      <c r="C162" s="45"/>
      <c r="D162" s="45"/>
      <c r="E162" s="45"/>
      <c r="F162" s="45"/>
      <c r="G162" s="45"/>
    </row>
    <row r="163" spans="1:7">
      <c r="A163" s="45"/>
      <c r="B163" s="45"/>
      <c r="C163" s="45"/>
      <c r="D163" s="45"/>
      <c r="E163" s="45"/>
      <c r="F163" s="45"/>
      <c r="G163" s="45"/>
    </row>
    <row r="164" spans="1:7">
      <c r="A164" s="45"/>
      <c r="B164" s="45"/>
      <c r="C164" s="45"/>
      <c r="D164" s="45"/>
      <c r="E164" s="45"/>
      <c r="F164" s="45"/>
      <c r="G164" s="45"/>
    </row>
    <row r="165" spans="1:7">
      <c r="A165" s="45"/>
      <c r="B165" s="45"/>
      <c r="C165" s="45"/>
      <c r="D165" s="45"/>
      <c r="E165" s="45"/>
      <c r="F165" s="45"/>
      <c r="G165" s="45"/>
    </row>
    <row r="166" spans="1:7">
      <c r="A166" s="45"/>
      <c r="B166" s="45"/>
      <c r="C166" s="45"/>
      <c r="D166" s="45"/>
      <c r="E166" s="45"/>
      <c r="F166" s="45"/>
      <c r="G166" s="45"/>
    </row>
  </sheetData>
  <mergeCells count="7">
    <mergeCell ref="A91:A92"/>
    <mergeCell ref="E91:E92"/>
    <mergeCell ref="A1:G1"/>
    <mergeCell ref="A2:G2"/>
    <mergeCell ref="A22:A23"/>
    <mergeCell ref="B22:D22"/>
    <mergeCell ref="E22:G22"/>
  </mergeCells>
  <phoneticPr fontId="16" type="noConversion"/>
  <pageMargins left="0.74803149606299213" right="0.74803149606299213" top="0.98425196850393704" bottom="0.98425196850393704" header="0.51181102362204722" footer="0.51181102362204722"/>
  <pageSetup paperSize="9" scale="53" fitToHeight="100" orientation="portrait" blackAndWhite="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J131"/>
  <sheetViews>
    <sheetView view="pageBreakPreview" zoomScaleSheetLayoutView="100" workbookViewId="0">
      <selection sqref="A1:G1"/>
    </sheetView>
  </sheetViews>
  <sheetFormatPr defaultColWidth="9" defaultRowHeight="13.8"/>
  <cols>
    <col min="1" max="1" width="48" style="81" customWidth="1"/>
    <col min="2" max="2" width="20" style="81" customWidth="1"/>
    <col min="3" max="3" width="21.09765625" style="81" customWidth="1"/>
    <col min="4" max="4" width="23.69921875" style="81" customWidth="1"/>
    <col min="5" max="5" width="20.5" style="81" customWidth="1"/>
    <col min="6" max="6" width="14.5" style="81" customWidth="1"/>
    <col min="7" max="7" width="12.8984375" style="81" customWidth="1"/>
    <col min="8" max="16384" width="9" style="81"/>
  </cols>
  <sheetData>
    <row r="1" spans="1:10" s="45" customFormat="1" ht="20.100000000000001" customHeight="1">
      <c r="A1" s="654" t="s">
        <v>23</v>
      </c>
      <c r="B1" s="654"/>
      <c r="C1" s="654"/>
      <c r="D1" s="654"/>
      <c r="E1" s="654"/>
      <c r="F1" s="654"/>
      <c r="G1" s="654"/>
      <c r="H1" s="74"/>
      <c r="I1" s="74"/>
      <c r="J1" s="74"/>
    </row>
    <row r="2" spans="1:10" s="76" customFormat="1" ht="24.9" customHeight="1">
      <c r="A2" s="650" t="s">
        <v>626</v>
      </c>
      <c r="B2" s="650"/>
      <c r="C2" s="650"/>
      <c r="D2" s="650"/>
      <c r="E2" s="650"/>
      <c r="F2" s="650"/>
      <c r="G2" s="650"/>
      <c r="H2" s="77"/>
      <c r="I2" s="77"/>
      <c r="J2" s="77"/>
    </row>
    <row r="3" spans="1:10" s="45" customFormat="1" ht="20.100000000000001" customHeight="1">
      <c r="A3" s="45" t="str">
        <f>底稿目录!A2</f>
        <v>被审计单位：</v>
      </c>
      <c r="B3" s="45" t="str">
        <f>底稿目录!A4</f>
        <v>编制人：</v>
      </c>
      <c r="E3" s="45" t="str">
        <f>底稿目录!A5</f>
        <v>编制日期：</v>
      </c>
      <c r="F3" s="324"/>
      <c r="G3" s="76"/>
    </row>
    <row r="4" spans="1:10" s="45" customFormat="1" ht="20.100000000000001" customHeight="1">
      <c r="A4" s="45" t="str">
        <f>底稿目录!A3</f>
        <v>截止日：202X年12月31日</v>
      </c>
      <c r="B4" s="45" t="str">
        <f>底稿目录!A6</f>
        <v>复核人：</v>
      </c>
      <c r="E4" s="45" t="str">
        <f>底稿目录!A7</f>
        <v>复核日期：</v>
      </c>
      <c r="F4" s="324"/>
      <c r="J4" s="79"/>
    </row>
    <row r="5" spans="1:10" s="183" customFormat="1" ht="20.100000000000001" customHeight="1" thickBot="1">
      <c r="A5" s="254" t="s">
        <v>290</v>
      </c>
    </row>
    <row r="6" spans="1:10" s="183" customFormat="1" ht="15.6" customHeight="1" thickBot="1">
      <c r="A6" s="255" t="s">
        <v>383</v>
      </c>
      <c r="B6" s="256" t="s">
        <v>293</v>
      </c>
      <c r="C6" s="256" t="s">
        <v>384</v>
      </c>
      <c r="D6" s="257"/>
      <c r="E6" s="257"/>
      <c r="F6" s="257"/>
      <c r="G6" s="257"/>
    </row>
    <row r="7" spans="1:10" s="183" customFormat="1" ht="15.6" customHeight="1">
      <c r="A7" s="258" t="s">
        <v>385</v>
      </c>
      <c r="B7" s="223">
        <f>'审定表K1-1'!I31</f>
        <v>0</v>
      </c>
      <c r="C7" s="223">
        <f>'审定表K1-1'!E31</f>
        <v>0</v>
      </c>
      <c r="D7" s="257"/>
      <c r="E7" s="257"/>
      <c r="F7" s="257"/>
      <c r="G7" s="257"/>
    </row>
    <row r="8" spans="1:10" s="183" customFormat="1" ht="15.6" customHeight="1">
      <c r="A8" s="258" t="s">
        <v>298</v>
      </c>
      <c r="B8" s="223">
        <f>'审定表K1-1'!I32</f>
        <v>0</v>
      </c>
      <c r="C8" s="223">
        <f>'审定表K1-1'!E32</f>
        <v>0</v>
      </c>
      <c r="D8" s="257"/>
      <c r="E8" s="257"/>
      <c r="F8" s="257"/>
      <c r="G8" s="257"/>
    </row>
    <row r="9" spans="1:10" s="183" customFormat="1" ht="15.6" customHeight="1">
      <c r="A9" s="258" t="s">
        <v>299</v>
      </c>
      <c r="B9" s="223">
        <f>'审定表K1-1'!I33</f>
        <v>0</v>
      </c>
      <c r="C9" s="223">
        <f>'审定表K1-1'!E33</f>
        <v>0</v>
      </c>
      <c r="D9" s="257"/>
      <c r="E9" s="257"/>
      <c r="F9" s="257"/>
      <c r="G9" s="257"/>
    </row>
    <row r="10" spans="1:10" s="183" customFormat="1" ht="15.6" customHeight="1">
      <c r="A10" s="258" t="s">
        <v>300</v>
      </c>
      <c r="B10" s="223">
        <f>'审定表K1-1'!I34</f>
        <v>0</v>
      </c>
      <c r="C10" s="223">
        <f>'审定表K1-1'!E34</f>
        <v>0</v>
      </c>
      <c r="D10" s="257"/>
      <c r="E10" s="257"/>
      <c r="F10" s="257"/>
      <c r="G10" s="257"/>
    </row>
    <row r="11" spans="1:10" s="183" customFormat="1" ht="15.6" customHeight="1">
      <c r="A11" s="258" t="s">
        <v>301</v>
      </c>
      <c r="B11" s="223">
        <f>'审定表K1-1'!I35</f>
        <v>0</v>
      </c>
      <c r="C11" s="223">
        <f>'审定表K1-1'!E35</f>
        <v>0</v>
      </c>
      <c r="D11" s="257"/>
      <c r="E11" s="257"/>
      <c r="F11" s="257"/>
      <c r="G11" s="257"/>
    </row>
    <row r="12" spans="1:10" s="183" customFormat="1" ht="15.6" customHeight="1">
      <c r="A12" s="258" t="s">
        <v>210</v>
      </c>
      <c r="B12" s="223">
        <f>'审定表K1-1'!I36</f>
        <v>0</v>
      </c>
      <c r="C12" s="223">
        <f>'审定表K1-1'!E36</f>
        <v>0</v>
      </c>
      <c r="D12" s="257"/>
      <c r="E12" s="257"/>
      <c r="F12" s="257"/>
      <c r="G12" s="257"/>
    </row>
    <row r="13" spans="1:10" s="183" customFormat="1" ht="15.6" customHeight="1">
      <c r="A13" s="258" t="s">
        <v>302</v>
      </c>
      <c r="B13" s="223">
        <f>SUM(B7:B12)</f>
        <v>0</v>
      </c>
      <c r="C13" s="223">
        <f>SUM(C7:C12)</f>
        <v>0</v>
      </c>
      <c r="D13" s="257"/>
      <c r="E13" s="257"/>
      <c r="F13" s="257"/>
      <c r="G13" s="257"/>
    </row>
    <row r="14" spans="1:10" s="183" customFormat="1" ht="15.6" customHeight="1" thickBot="1">
      <c r="A14" s="259" t="s">
        <v>303</v>
      </c>
      <c r="B14" s="228">
        <f>'审定表K1-1'!I45</f>
        <v>0</v>
      </c>
      <c r="C14" s="228">
        <f>'审定表K1-1'!E45</f>
        <v>0</v>
      </c>
      <c r="D14" s="257"/>
      <c r="E14" s="257"/>
      <c r="F14" s="257"/>
      <c r="G14" s="257"/>
    </row>
    <row r="15" spans="1:10" s="183" customFormat="1" ht="15.6" customHeight="1" thickBot="1">
      <c r="A15" s="259" t="s">
        <v>35</v>
      </c>
      <c r="B15" s="228">
        <f>B13-B14</f>
        <v>0</v>
      </c>
      <c r="C15" s="228">
        <f>C13-C14</f>
        <v>0</v>
      </c>
      <c r="D15" s="257"/>
      <c r="E15" s="257"/>
      <c r="F15" s="257"/>
      <c r="G15" s="257"/>
    </row>
    <row r="16" spans="1:10" s="183" customFormat="1" ht="15.6" customHeight="1">
      <c r="A16" s="257"/>
      <c r="B16" s="257"/>
      <c r="C16" s="257"/>
      <c r="D16" s="257"/>
      <c r="E16" s="257"/>
      <c r="F16" s="257"/>
      <c r="G16" s="257"/>
    </row>
    <row r="17" spans="1:7" s="183" customFormat="1" ht="15.6" customHeight="1">
      <c r="A17" s="260"/>
      <c r="B17" s="257"/>
      <c r="C17" s="257"/>
      <c r="D17" s="257"/>
      <c r="E17" s="257"/>
      <c r="F17" s="257"/>
      <c r="G17" s="257"/>
    </row>
    <row r="18" spans="1:7" s="183" customFormat="1" ht="15.6" customHeight="1" thickBot="1">
      <c r="A18" s="261" t="s">
        <v>386</v>
      </c>
      <c r="B18" s="257"/>
      <c r="C18" s="257"/>
      <c r="D18" s="257"/>
      <c r="E18" s="257"/>
      <c r="F18" s="257"/>
      <c r="G18" s="257"/>
    </row>
    <row r="19" spans="1:7" s="183" customFormat="1" ht="15.6" customHeight="1" thickBot="1">
      <c r="A19" s="655" t="s">
        <v>387</v>
      </c>
      <c r="B19" s="656" t="s">
        <v>350</v>
      </c>
      <c r="C19" s="653"/>
      <c r="D19" s="653"/>
      <c r="E19" s="653"/>
      <c r="F19" s="653"/>
      <c r="G19" s="257"/>
    </row>
    <row r="20" spans="1:7" s="183" customFormat="1" ht="15.6" customHeight="1" thickBot="1">
      <c r="A20" s="657"/>
      <c r="B20" s="658" t="s">
        <v>257</v>
      </c>
      <c r="C20" s="657"/>
      <c r="D20" s="658" t="s">
        <v>266</v>
      </c>
      <c r="E20" s="657"/>
      <c r="F20" s="659" t="s">
        <v>306</v>
      </c>
      <c r="G20" s="257"/>
    </row>
    <row r="21" spans="1:7" s="183" customFormat="1" ht="12.6" thickBot="1">
      <c r="A21" s="647"/>
      <c r="B21" s="263" t="s">
        <v>388</v>
      </c>
      <c r="C21" s="263" t="s">
        <v>389</v>
      </c>
      <c r="D21" s="263" t="s">
        <v>388</v>
      </c>
      <c r="E21" s="263" t="s">
        <v>390</v>
      </c>
      <c r="F21" s="647"/>
      <c r="G21" s="257"/>
    </row>
    <row r="22" spans="1:7" s="183" customFormat="1" ht="15.6" customHeight="1">
      <c r="A22" s="220" t="s">
        <v>391</v>
      </c>
      <c r="B22" s="223"/>
      <c r="C22" s="223">
        <f>IFERROR(B22/$B$22*100,0)</f>
        <v>0</v>
      </c>
      <c r="D22" s="223"/>
      <c r="E22" s="223">
        <f>IFERROR(D22/$B$18*100,0)</f>
        <v>0</v>
      </c>
      <c r="F22" s="223">
        <f>B22-D22</f>
        <v>0</v>
      </c>
      <c r="G22" s="257"/>
    </row>
    <row r="23" spans="1:7" s="183" customFormat="1" ht="15.6" customHeight="1">
      <c r="A23" s="220" t="s">
        <v>392</v>
      </c>
      <c r="B23" s="223"/>
      <c r="C23" s="223">
        <f>IFERROR(B23/$B$22*100,0)</f>
        <v>0</v>
      </c>
      <c r="D23" s="223"/>
      <c r="E23" s="223">
        <f>IFERROR(D23/$B$18*100,0)</f>
        <v>0</v>
      </c>
      <c r="F23" s="223">
        <f>B23-D23</f>
        <v>0</v>
      </c>
      <c r="G23" s="257"/>
    </row>
    <row r="24" spans="1:7" s="183" customFormat="1" ht="15.6" customHeight="1">
      <c r="A24" s="220" t="s">
        <v>3</v>
      </c>
      <c r="B24" s="223"/>
      <c r="C24" s="223"/>
      <c r="D24" s="223"/>
      <c r="E24" s="223"/>
      <c r="F24" s="223">
        <f>B24-D24</f>
        <v>0</v>
      </c>
      <c r="G24" s="257"/>
    </row>
    <row r="25" spans="1:7" s="183" customFormat="1" ht="15.6" customHeight="1" thickBot="1">
      <c r="A25" s="221"/>
      <c r="B25" s="228"/>
      <c r="C25" s="228"/>
      <c r="D25" s="228"/>
      <c r="E25" s="228"/>
      <c r="F25" s="228">
        <f>B25-D25</f>
        <v>0</v>
      </c>
      <c r="G25" s="257"/>
    </row>
    <row r="26" spans="1:7" s="183" customFormat="1" ht="15.6" customHeight="1" thickBot="1">
      <c r="A26" s="263" t="s">
        <v>35</v>
      </c>
      <c r="B26" s="228">
        <f>B22+B23</f>
        <v>0</v>
      </c>
      <c r="C26" s="296" t="s">
        <v>393</v>
      </c>
      <c r="D26" s="228"/>
      <c r="E26" s="228">
        <f>IFERROR(D26/$B$18*100,0)</f>
        <v>0</v>
      </c>
      <c r="F26" s="228">
        <f>B26-D26</f>
        <v>0</v>
      </c>
      <c r="G26" s="257"/>
    </row>
    <row r="27" spans="1:7" s="183" customFormat="1" ht="15.6" customHeight="1" thickBot="1">
      <c r="A27" s="257" t="s">
        <v>394</v>
      </c>
      <c r="B27" s="257"/>
      <c r="C27" s="257"/>
      <c r="D27" s="257"/>
      <c r="E27" s="257"/>
      <c r="F27" s="257"/>
      <c r="G27" s="257"/>
    </row>
    <row r="28" spans="1:7" s="183" customFormat="1" ht="15.6" customHeight="1" thickBot="1">
      <c r="A28" s="655" t="s">
        <v>387</v>
      </c>
      <c r="B28" s="656" t="s">
        <v>395</v>
      </c>
      <c r="C28" s="653"/>
      <c r="D28" s="653"/>
      <c r="E28" s="653"/>
      <c r="F28" s="653"/>
      <c r="G28" s="257"/>
    </row>
    <row r="29" spans="1:7" s="183" customFormat="1" ht="15.6" customHeight="1" thickBot="1">
      <c r="A29" s="657"/>
      <c r="B29" s="658" t="s">
        <v>257</v>
      </c>
      <c r="C29" s="657"/>
      <c r="D29" s="658" t="s">
        <v>266</v>
      </c>
      <c r="E29" s="657"/>
      <c r="F29" s="659" t="s">
        <v>306</v>
      </c>
      <c r="G29" s="257"/>
    </row>
    <row r="30" spans="1:7" s="183" customFormat="1" ht="12.6" thickBot="1">
      <c r="A30" s="647"/>
      <c r="B30" s="263" t="s">
        <v>388</v>
      </c>
      <c r="C30" s="263" t="s">
        <v>389</v>
      </c>
      <c r="D30" s="263" t="s">
        <v>388</v>
      </c>
      <c r="E30" s="263" t="s">
        <v>390</v>
      </c>
      <c r="F30" s="647"/>
      <c r="G30" s="257"/>
    </row>
    <row r="31" spans="1:7" s="183" customFormat="1" ht="15.6" customHeight="1">
      <c r="A31" s="220" t="s">
        <v>391</v>
      </c>
      <c r="B31" s="223"/>
      <c r="C31" s="223">
        <f>IFERROR(B31/$B$31*100,0)</f>
        <v>0</v>
      </c>
      <c r="D31" s="223"/>
      <c r="E31" s="223">
        <f>IFERROR(D31/$D$31*100,0)</f>
        <v>0</v>
      </c>
      <c r="F31" s="223">
        <f>B31-D31</f>
        <v>0</v>
      </c>
      <c r="G31" s="257"/>
    </row>
    <row r="32" spans="1:7" s="183" customFormat="1" ht="15.6" customHeight="1">
      <c r="A32" s="220" t="s">
        <v>392</v>
      </c>
      <c r="B32" s="223"/>
      <c r="C32" s="223">
        <f>IFERROR(B32/$B$31*100,0)</f>
        <v>0</v>
      </c>
      <c r="D32" s="223"/>
      <c r="E32" s="223">
        <f>IFERROR(D32/$D$31*100,0)</f>
        <v>0</v>
      </c>
      <c r="F32" s="223">
        <f>B32-D32</f>
        <v>0</v>
      </c>
      <c r="G32" s="257"/>
    </row>
    <row r="33" spans="1:7" s="183" customFormat="1" ht="15.6" customHeight="1">
      <c r="A33" s="220" t="s">
        <v>396</v>
      </c>
      <c r="B33" s="223"/>
      <c r="C33" s="223"/>
      <c r="D33" s="223"/>
      <c r="E33" s="223"/>
      <c r="F33" s="223"/>
      <c r="G33" s="257"/>
    </row>
    <row r="34" spans="1:7" s="183" customFormat="1" ht="15.6" customHeight="1" thickBot="1">
      <c r="A34" s="221"/>
      <c r="B34" s="228"/>
      <c r="C34" s="228"/>
      <c r="D34" s="228"/>
      <c r="E34" s="228"/>
      <c r="F34" s="228"/>
      <c r="G34" s="257"/>
    </row>
    <row r="35" spans="1:7" s="183" customFormat="1" ht="15.6" customHeight="1" thickBot="1">
      <c r="A35" s="263" t="s">
        <v>35</v>
      </c>
      <c r="B35" s="228">
        <f>B31+B32</f>
        <v>0</v>
      </c>
      <c r="C35" s="296" t="s">
        <v>393</v>
      </c>
      <c r="D35" s="228">
        <f>D31+D32</f>
        <v>0</v>
      </c>
      <c r="E35" s="228">
        <f>IFERROR(D35/$D$31*100,0)</f>
        <v>0</v>
      </c>
      <c r="F35" s="228">
        <f>B35-D35</f>
        <v>0</v>
      </c>
      <c r="G35" s="257"/>
    </row>
    <row r="36" spans="1:7" s="183" customFormat="1" ht="15.6" customHeight="1">
      <c r="A36" s="265"/>
      <c r="B36" s="257"/>
      <c r="C36" s="257"/>
      <c r="D36" s="257"/>
      <c r="E36" s="257"/>
      <c r="F36" s="257"/>
      <c r="G36" s="257"/>
    </row>
    <row r="37" spans="1:7" s="183" customFormat="1" ht="15.6" customHeight="1" thickBot="1">
      <c r="A37" s="266" t="s">
        <v>397</v>
      </c>
      <c r="B37" s="257"/>
      <c r="C37" s="257"/>
      <c r="D37" s="257"/>
      <c r="E37" s="257"/>
      <c r="F37" s="257"/>
      <c r="G37" s="257"/>
    </row>
    <row r="38" spans="1:7" s="183" customFormat="1" ht="15.6" customHeight="1" thickBot="1">
      <c r="A38" s="660" t="s">
        <v>398</v>
      </c>
      <c r="B38" s="656" t="s">
        <v>350</v>
      </c>
      <c r="C38" s="653"/>
      <c r="D38" s="653"/>
      <c r="E38" s="653"/>
      <c r="F38" s="257"/>
      <c r="G38" s="257"/>
    </row>
    <row r="39" spans="1:7" s="183" customFormat="1" ht="12.6" thickBot="1">
      <c r="A39" s="647"/>
      <c r="B39" s="263" t="s">
        <v>257</v>
      </c>
      <c r="C39" s="263" t="s">
        <v>266</v>
      </c>
      <c r="D39" s="263" t="s">
        <v>390</v>
      </c>
      <c r="E39" s="263" t="s">
        <v>399</v>
      </c>
      <c r="F39" s="257"/>
      <c r="G39" s="257"/>
    </row>
    <row r="40" spans="1:7" s="183" customFormat="1" ht="15.6" customHeight="1">
      <c r="A40" s="220"/>
      <c r="B40" s="223"/>
      <c r="C40" s="223"/>
      <c r="D40" s="297">
        <f>IFERROR(C40/$B$36*100,0)</f>
        <v>0</v>
      </c>
      <c r="E40" s="298"/>
      <c r="F40" s="257"/>
      <c r="G40" s="257"/>
    </row>
    <row r="41" spans="1:7" s="183" customFormat="1" ht="15.6" customHeight="1" thickBot="1">
      <c r="A41" s="264"/>
      <c r="B41" s="296"/>
      <c r="C41" s="296"/>
      <c r="D41" s="296">
        <f>IFERROR(C41/$B$36*100,0)</f>
        <v>0</v>
      </c>
      <c r="E41" s="296"/>
      <c r="F41" s="257"/>
      <c r="G41" s="257"/>
    </row>
    <row r="42" spans="1:7" s="183" customFormat="1" ht="15.6" customHeight="1" thickBot="1">
      <c r="A42" s="263" t="s">
        <v>335</v>
      </c>
      <c r="B42" s="228">
        <f>SUM(B40:B41)</f>
        <v>0</v>
      </c>
      <c r="C42" s="228"/>
      <c r="D42" s="296">
        <f>IFERROR(C42/$B$36*100,0)</f>
        <v>0</v>
      </c>
      <c r="E42" s="296" t="s">
        <v>393</v>
      </c>
      <c r="F42" s="257"/>
      <c r="G42" s="257"/>
    </row>
    <row r="43" spans="1:7" s="183" customFormat="1" ht="15.6" customHeight="1">
      <c r="A43" s="261" t="s">
        <v>400</v>
      </c>
      <c r="B43" s="257"/>
      <c r="C43" s="257"/>
      <c r="D43" s="257"/>
      <c r="E43" s="257"/>
      <c r="F43" s="257"/>
      <c r="G43" s="257"/>
    </row>
    <row r="44" spans="1:7" s="183" customFormat="1" ht="15.6" customHeight="1">
      <c r="A44" s="266" t="s">
        <v>401</v>
      </c>
      <c r="B44" s="257"/>
      <c r="C44" s="257"/>
      <c r="D44" s="257"/>
      <c r="E44" s="257"/>
      <c r="F44" s="257"/>
      <c r="G44" s="257"/>
    </row>
    <row r="45" spans="1:7" s="183" customFormat="1" ht="15.6" customHeight="1" thickBot="1">
      <c r="A45" s="267" t="s">
        <v>402</v>
      </c>
      <c r="B45" s="257"/>
      <c r="C45" s="257"/>
      <c r="D45" s="257"/>
      <c r="E45" s="257"/>
      <c r="F45" s="257"/>
      <c r="G45" s="257"/>
    </row>
    <row r="46" spans="1:7" s="183" customFormat="1" ht="15.6" customHeight="1" thickBot="1">
      <c r="A46" s="655" t="s">
        <v>383</v>
      </c>
      <c r="B46" s="656" t="s">
        <v>293</v>
      </c>
      <c r="C46" s="653"/>
      <c r="D46" s="653"/>
      <c r="E46" s="656" t="s">
        <v>384</v>
      </c>
      <c r="F46" s="653"/>
      <c r="G46" s="653"/>
    </row>
    <row r="47" spans="1:7" s="183" customFormat="1" ht="15.6" customHeight="1" thickBot="1">
      <c r="A47" s="657"/>
      <c r="B47" s="658" t="s">
        <v>257</v>
      </c>
      <c r="C47" s="657"/>
      <c r="D47" s="659" t="s">
        <v>266</v>
      </c>
      <c r="E47" s="658" t="s">
        <v>257</v>
      </c>
      <c r="F47" s="657"/>
      <c r="G47" s="659" t="s">
        <v>266</v>
      </c>
    </row>
    <row r="48" spans="1:7" s="183" customFormat="1" ht="12.6" thickBot="1">
      <c r="A48" s="647"/>
      <c r="B48" s="263" t="s">
        <v>388</v>
      </c>
      <c r="C48" s="263" t="s">
        <v>389</v>
      </c>
      <c r="D48" s="647"/>
      <c r="E48" s="263" t="s">
        <v>388</v>
      </c>
      <c r="F48" s="263" t="s">
        <v>389</v>
      </c>
      <c r="G48" s="647"/>
    </row>
    <row r="49" spans="1:7" s="183" customFormat="1" ht="15.6" customHeight="1">
      <c r="A49" s="220" t="s">
        <v>385</v>
      </c>
      <c r="B49" s="298"/>
      <c r="C49" s="223">
        <f t="shared" ref="C49:C54" si="0">IFERROR(D49/B49*100,0)</f>
        <v>0</v>
      </c>
      <c r="D49" s="298"/>
      <c r="E49" s="298"/>
      <c r="F49" s="223">
        <f t="shared" ref="F49:F54" si="1">IFERROR(G49/E49*100,0)</f>
        <v>0</v>
      </c>
      <c r="G49" s="298"/>
    </row>
    <row r="50" spans="1:7" s="183" customFormat="1" ht="15.6" customHeight="1">
      <c r="A50" s="220" t="s">
        <v>298</v>
      </c>
      <c r="B50" s="298"/>
      <c r="C50" s="223">
        <f t="shared" si="0"/>
        <v>0</v>
      </c>
      <c r="D50" s="298"/>
      <c r="E50" s="298"/>
      <c r="F50" s="223">
        <f t="shared" si="1"/>
        <v>0</v>
      </c>
      <c r="G50" s="298"/>
    </row>
    <row r="51" spans="1:7" s="183" customFormat="1" ht="15.6" customHeight="1">
      <c r="A51" s="220" t="s">
        <v>299</v>
      </c>
      <c r="B51" s="298"/>
      <c r="C51" s="223">
        <f t="shared" si="0"/>
        <v>0</v>
      </c>
      <c r="D51" s="298"/>
      <c r="E51" s="298"/>
      <c r="F51" s="223">
        <f t="shared" si="1"/>
        <v>0</v>
      </c>
      <c r="G51" s="298"/>
    </row>
    <row r="52" spans="1:7" s="183" customFormat="1" ht="15.6" customHeight="1">
      <c r="A52" s="220" t="s">
        <v>300</v>
      </c>
      <c r="B52" s="298"/>
      <c r="C52" s="223">
        <f t="shared" si="0"/>
        <v>0</v>
      </c>
      <c r="D52" s="298"/>
      <c r="E52" s="298"/>
      <c r="F52" s="223">
        <f t="shared" si="1"/>
        <v>0</v>
      </c>
      <c r="G52" s="298"/>
    </row>
    <row r="53" spans="1:7" s="183" customFormat="1" ht="15.6" customHeight="1">
      <c r="A53" s="220" t="s">
        <v>301</v>
      </c>
      <c r="B53" s="298"/>
      <c r="C53" s="223">
        <f t="shared" si="0"/>
        <v>0</v>
      </c>
      <c r="D53" s="298"/>
      <c r="E53" s="298"/>
      <c r="F53" s="223">
        <f t="shared" si="1"/>
        <v>0</v>
      </c>
      <c r="G53" s="298"/>
    </row>
    <row r="54" spans="1:7" s="183" customFormat="1" ht="15.6" customHeight="1" thickBot="1">
      <c r="A54" s="221" t="s">
        <v>210</v>
      </c>
      <c r="B54" s="299"/>
      <c r="C54" s="228">
        <f t="shared" si="0"/>
        <v>0</v>
      </c>
      <c r="D54" s="299"/>
      <c r="E54" s="299"/>
      <c r="F54" s="228">
        <f t="shared" si="1"/>
        <v>0</v>
      </c>
      <c r="G54" s="299"/>
    </row>
    <row r="55" spans="1:7" s="183" customFormat="1" ht="15.6" customHeight="1" thickBot="1">
      <c r="A55" s="263" t="s">
        <v>35</v>
      </c>
      <c r="B55" s="299">
        <f>SUM(B49:B54)</f>
        <v>0</v>
      </c>
      <c r="C55" s="228" t="s">
        <v>393</v>
      </c>
      <c r="D55" s="299">
        <f>SUM(D49:D54)</f>
        <v>0</v>
      </c>
      <c r="E55" s="299">
        <f>SUM(E49:E54)</f>
        <v>0</v>
      </c>
      <c r="F55" s="228" t="s">
        <v>393</v>
      </c>
      <c r="G55" s="299">
        <f>SUM(G49:G54)</f>
        <v>0</v>
      </c>
    </row>
    <row r="56" spans="1:7" s="183" customFormat="1" ht="15.6" customHeight="1" thickBot="1">
      <c r="A56" s="267" t="s">
        <v>403</v>
      </c>
      <c r="B56" s="257"/>
      <c r="C56" s="257"/>
      <c r="D56" s="257"/>
      <c r="E56" s="257"/>
      <c r="F56" s="257"/>
      <c r="G56" s="257"/>
    </row>
    <row r="57" spans="1:7" s="183" customFormat="1" ht="15.6" customHeight="1" thickBot="1">
      <c r="A57" s="655" t="s">
        <v>404</v>
      </c>
      <c r="B57" s="656" t="s">
        <v>293</v>
      </c>
      <c r="C57" s="653"/>
      <c r="D57" s="653"/>
      <c r="E57" s="656" t="s">
        <v>384</v>
      </c>
      <c r="F57" s="653"/>
      <c r="G57" s="653"/>
    </row>
    <row r="58" spans="1:7" s="183" customFormat="1" ht="12.6" thickBot="1">
      <c r="A58" s="647"/>
      <c r="B58" s="263" t="s">
        <v>257</v>
      </c>
      <c r="C58" s="263" t="s">
        <v>405</v>
      </c>
      <c r="D58" s="263" t="s">
        <v>266</v>
      </c>
      <c r="E58" s="263" t="s">
        <v>257</v>
      </c>
      <c r="F58" s="263" t="s">
        <v>405</v>
      </c>
      <c r="G58" s="263" t="s">
        <v>266</v>
      </c>
    </row>
    <row r="59" spans="1:7" s="183" customFormat="1" ht="15.6" customHeight="1">
      <c r="A59" s="218"/>
      <c r="B59" s="298"/>
      <c r="C59" s="223">
        <f>IFERROR(D59/B59,0)</f>
        <v>0</v>
      </c>
      <c r="D59" s="298"/>
      <c r="E59" s="298"/>
      <c r="F59" s="223">
        <f>IFERROR(G59/E59,0)</f>
        <v>0</v>
      </c>
      <c r="G59" s="298"/>
    </row>
    <row r="60" spans="1:7" s="183" customFormat="1" ht="15.6" customHeight="1" thickBot="1">
      <c r="A60" s="219"/>
      <c r="B60" s="299"/>
      <c r="C60" s="228">
        <f>IFERROR(D60/B60,0)</f>
        <v>0</v>
      </c>
      <c r="D60" s="299"/>
      <c r="E60" s="299"/>
      <c r="F60" s="228">
        <f>IFERROR(G60/E60,0)</f>
        <v>0</v>
      </c>
      <c r="G60" s="299"/>
    </row>
    <row r="61" spans="1:7" s="183" customFormat="1" ht="15.6" customHeight="1" thickBot="1">
      <c r="A61" s="263" t="s">
        <v>35</v>
      </c>
      <c r="B61" s="300">
        <f>SUM(B59:B60)</f>
        <v>0</v>
      </c>
      <c r="C61" s="228">
        <f>IFERROR(D61/B61,0)</f>
        <v>0</v>
      </c>
      <c r="D61" s="300"/>
      <c r="E61" s="300"/>
      <c r="F61" s="228">
        <f>IFERROR(G61/E61,0)</f>
        <v>0</v>
      </c>
      <c r="G61" s="300"/>
    </row>
    <row r="62" spans="1:7" s="183" customFormat="1" ht="15.6" customHeight="1" thickBot="1">
      <c r="A62" s="261" t="s">
        <v>406</v>
      </c>
      <c r="B62" s="257"/>
      <c r="C62" s="257"/>
      <c r="D62" s="257"/>
      <c r="E62" s="257"/>
      <c r="F62" s="257"/>
      <c r="G62" s="257"/>
    </row>
    <row r="63" spans="1:7" s="183" customFormat="1" ht="36.6" thickBot="1">
      <c r="A63" s="269" t="s">
        <v>266</v>
      </c>
      <c r="B63" s="262" t="s">
        <v>407</v>
      </c>
      <c r="C63" s="262" t="s">
        <v>408</v>
      </c>
      <c r="D63" s="262" t="s">
        <v>409</v>
      </c>
      <c r="E63" s="256" t="s">
        <v>335</v>
      </c>
      <c r="F63" s="257"/>
      <c r="G63" s="257"/>
    </row>
    <row r="64" spans="1:7" s="183" customFormat="1" ht="15.6" customHeight="1">
      <c r="A64" s="218" t="s">
        <v>395</v>
      </c>
      <c r="B64" s="223">
        <f>'坏账准备明细表K1-3'!B26</f>
        <v>0</v>
      </c>
      <c r="C64" s="223">
        <f>'坏账准备明细表K1-3'!C26</f>
        <v>0</v>
      </c>
      <c r="D64" s="223">
        <f>'坏账准备明细表K1-3'!D26</f>
        <v>0</v>
      </c>
      <c r="E64" s="223">
        <f t="shared" ref="E64:E74" si="2">SUM(B64:D64)</f>
        <v>0</v>
      </c>
      <c r="F64" s="257"/>
      <c r="G64" s="257"/>
    </row>
    <row r="65" spans="1:7" s="183" customFormat="1" ht="15.6" customHeight="1">
      <c r="A65" s="218" t="s">
        <v>410</v>
      </c>
      <c r="B65" s="223" t="str">
        <f>'坏账准备明细表K1-3'!B27</f>
        <v>--</v>
      </c>
      <c r="C65" s="223" t="str">
        <f>'坏账准备明细表K1-3'!C27</f>
        <v>--</v>
      </c>
      <c r="D65" s="223" t="str">
        <f>'坏账准备明细表K1-3'!D27</f>
        <v>--</v>
      </c>
      <c r="E65" s="223">
        <f t="shared" si="2"/>
        <v>0</v>
      </c>
      <c r="F65" s="257"/>
      <c r="G65" s="257"/>
    </row>
    <row r="66" spans="1:7" s="183" customFormat="1" ht="15.6" customHeight="1">
      <c r="A66" s="218" t="s">
        <v>411</v>
      </c>
      <c r="B66" s="223">
        <f>'坏账准备明细表K1-3'!B28</f>
        <v>0</v>
      </c>
      <c r="C66" s="223">
        <f>'坏账准备明细表K1-3'!C28</f>
        <v>0</v>
      </c>
      <c r="D66" s="223">
        <f>'坏账准备明细表K1-3'!D28</f>
        <v>0</v>
      </c>
      <c r="E66" s="223">
        <f t="shared" si="2"/>
        <v>0</v>
      </c>
      <c r="F66" s="257"/>
      <c r="G66" s="257"/>
    </row>
    <row r="67" spans="1:7" s="183" customFormat="1" ht="15.6" customHeight="1">
      <c r="A67" s="218" t="s">
        <v>412</v>
      </c>
      <c r="B67" s="223">
        <f>'坏账准备明细表K1-3'!B29</f>
        <v>0</v>
      </c>
      <c r="C67" s="223">
        <f>'坏账准备明细表K1-3'!C29</f>
        <v>0</v>
      </c>
      <c r="D67" s="223">
        <f>'坏账准备明细表K1-3'!D29</f>
        <v>0</v>
      </c>
      <c r="E67" s="223">
        <f t="shared" si="2"/>
        <v>0</v>
      </c>
      <c r="F67" s="257"/>
      <c r="G67" s="257"/>
    </row>
    <row r="68" spans="1:7" s="183" customFormat="1" ht="15.6" customHeight="1">
      <c r="A68" s="218" t="s">
        <v>413</v>
      </c>
      <c r="B68" s="223">
        <f>'坏账准备明细表K1-3'!B30</f>
        <v>0</v>
      </c>
      <c r="C68" s="223">
        <f>'坏账准备明细表K1-3'!C30</f>
        <v>0</v>
      </c>
      <c r="D68" s="223">
        <f>'坏账准备明细表K1-3'!D30</f>
        <v>0</v>
      </c>
      <c r="E68" s="223">
        <f t="shared" si="2"/>
        <v>0</v>
      </c>
      <c r="F68" s="257"/>
      <c r="G68" s="257"/>
    </row>
    <row r="69" spans="1:7" s="183" customFormat="1" ht="15.6" customHeight="1">
      <c r="A69" s="218" t="s">
        <v>414</v>
      </c>
      <c r="B69" s="223">
        <f>'坏账准备明细表K1-3'!B31</f>
        <v>0</v>
      </c>
      <c r="C69" s="223">
        <f>'坏账准备明细表K1-3'!C31</f>
        <v>0</v>
      </c>
      <c r="D69" s="223">
        <f>'坏账准备明细表K1-3'!D31</f>
        <v>0</v>
      </c>
      <c r="E69" s="223">
        <f t="shared" si="2"/>
        <v>0</v>
      </c>
      <c r="F69" s="257"/>
      <c r="G69" s="257"/>
    </row>
    <row r="70" spans="1:7" s="183" customFormat="1" ht="15.6" customHeight="1">
      <c r="A70" s="218" t="s">
        <v>345</v>
      </c>
      <c r="B70" s="223">
        <f>'坏账准备明细表K1-3'!B32</f>
        <v>0</v>
      </c>
      <c r="C70" s="223">
        <f>'坏账准备明细表K1-3'!C32</f>
        <v>0</v>
      </c>
      <c r="D70" s="223">
        <f>'坏账准备明细表K1-3'!D32</f>
        <v>0</v>
      </c>
      <c r="E70" s="223">
        <f t="shared" si="2"/>
        <v>0</v>
      </c>
      <c r="F70" s="257"/>
      <c r="G70" s="257"/>
    </row>
    <row r="71" spans="1:7" s="183" customFormat="1" ht="15.6" customHeight="1">
      <c r="A71" s="218" t="s">
        <v>346</v>
      </c>
      <c r="B71" s="223">
        <f>'坏账准备明细表K1-3'!B33</f>
        <v>0</v>
      </c>
      <c r="C71" s="223">
        <f>'坏账准备明细表K1-3'!C33</f>
        <v>0</v>
      </c>
      <c r="D71" s="223">
        <f>'坏账准备明细表K1-3'!D33</f>
        <v>0</v>
      </c>
      <c r="E71" s="223">
        <f t="shared" si="2"/>
        <v>0</v>
      </c>
      <c r="F71" s="257"/>
      <c r="G71" s="257"/>
    </row>
    <row r="72" spans="1:7" s="183" customFormat="1" ht="15.6" customHeight="1">
      <c r="A72" s="218" t="s">
        <v>347</v>
      </c>
      <c r="B72" s="223"/>
      <c r="C72" s="223"/>
      <c r="D72" s="223"/>
      <c r="E72" s="223">
        <f t="shared" si="2"/>
        <v>0</v>
      </c>
      <c r="F72" s="257"/>
      <c r="G72" s="257"/>
    </row>
    <row r="73" spans="1:7" s="183" customFormat="1" ht="15.6" customHeight="1">
      <c r="A73" s="218" t="s">
        <v>348</v>
      </c>
      <c r="B73" s="223">
        <f>'坏账准备明细表K1-3'!B34</f>
        <v>0</v>
      </c>
      <c r="C73" s="223">
        <f>'坏账准备明细表K1-3'!C34</f>
        <v>0</v>
      </c>
      <c r="D73" s="223">
        <f>'坏账准备明细表K1-3'!D34</f>
        <v>0</v>
      </c>
      <c r="E73" s="223">
        <f t="shared" si="2"/>
        <v>0</v>
      </c>
      <c r="F73" s="257"/>
      <c r="G73" s="257"/>
    </row>
    <row r="74" spans="1:7" s="183" customFormat="1" ht="15.6" customHeight="1" thickBot="1">
      <c r="A74" s="270" t="s">
        <v>349</v>
      </c>
      <c r="B74" s="301">
        <f>'坏账准备明细表K1-3'!B35+'坏账准备明细表K1-3'!B36</f>
        <v>0</v>
      </c>
      <c r="C74" s="301">
        <f>'坏账准备明细表K1-3'!C35+'坏账准备明细表K1-3'!C36</f>
        <v>0</v>
      </c>
      <c r="D74" s="301">
        <f>'坏账准备明细表K1-3'!D35+'坏账准备明细表K1-3'!D36</f>
        <v>0</v>
      </c>
      <c r="E74" s="301">
        <f t="shared" si="2"/>
        <v>0</v>
      </c>
      <c r="F74" s="257"/>
      <c r="G74" s="257"/>
    </row>
    <row r="75" spans="1:7" s="183" customFormat="1" ht="15.6" customHeight="1" thickBot="1">
      <c r="A75" s="272" t="s">
        <v>350</v>
      </c>
      <c r="B75" s="302">
        <f>B64+SUM(B66:B69)+B70-B71-B72-B73-B74</f>
        <v>0</v>
      </c>
      <c r="C75" s="302">
        <f t="shared" ref="C75:E75" si="3">C64+SUM(C66:C69)+C70-C71-C72-C73-C74</f>
        <v>0</v>
      </c>
      <c r="D75" s="302">
        <f t="shared" si="3"/>
        <v>0</v>
      </c>
      <c r="E75" s="302">
        <f t="shared" si="3"/>
        <v>0</v>
      </c>
      <c r="F75" s="257"/>
      <c r="G75" s="257"/>
    </row>
    <row r="76" spans="1:7" s="183" customFormat="1" ht="15.6" customHeight="1" thickBot="1">
      <c r="A76" s="261" t="s">
        <v>415</v>
      </c>
      <c r="B76" s="257"/>
      <c r="C76" s="257"/>
      <c r="D76" s="257"/>
      <c r="E76" s="257"/>
      <c r="F76" s="257"/>
      <c r="G76" s="257"/>
    </row>
    <row r="77" spans="1:7" s="183" customFormat="1" ht="36.6" thickBot="1">
      <c r="A77" s="273" t="s">
        <v>257</v>
      </c>
      <c r="B77" s="273" t="s">
        <v>407</v>
      </c>
      <c r="C77" s="273" t="s">
        <v>416</v>
      </c>
      <c r="D77" s="273" t="s">
        <v>417</v>
      </c>
      <c r="E77" s="273" t="s">
        <v>335</v>
      </c>
      <c r="F77" s="257"/>
      <c r="G77" s="257"/>
    </row>
    <row r="78" spans="1:7" s="183" customFormat="1" ht="15.6" customHeight="1">
      <c r="A78" s="274" t="s">
        <v>395</v>
      </c>
      <c r="B78" s="303"/>
      <c r="C78" s="303"/>
      <c r="D78" s="303"/>
      <c r="E78" s="303">
        <f t="shared" ref="E78:E86" si="4">SUM(B78:D78)</f>
        <v>0</v>
      </c>
      <c r="F78" s="257"/>
      <c r="G78" s="257"/>
    </row>
    <row r="79" spans="1:7" s="183" customFormat="1" ht="15.6" customHeight="1">
      <c r="A79" s="275" t="s">
        <v>410</v>
      </c>
      <c r="B79" s="304"/>
      <c r="C79" s="304"/>
      <c r="D79" s="304"/>
      <c r="E79" s="304">
        <f t="shared" si="4"/>
        <v>0</v>
      </c>
      <c r="F79" s="257"/>
      <c r="G79" s="257"/>
    </row>
    <row r="80" spans="1:7" s="183" customFormat="1" ht="15.6" customHeight="1">
      <c r="A80" s="275" t="s">
        <v>341</v>
      </c>
      <c r="B80" s="305" t="s">
        <v>443</v>
      </c>
      <c r="C80" s="305" t="s">
        <v>444</v>
      </c>
      <c r="D80" s="223">
        <v>0</v>
      </c>
      <c r="E80" s="304">
        <f t="shared" si="4"/>
        <v>0</v>
      </c>
      <c r="F80" s="257"/>
      <c r="G80" s="257"/>
    </row>
    <row r="81" spans="1:7" s="183" customFormat="1" ht="15.6" customHeight="1">
      <c r="A81" s="275" t="s">
        <v>342</v>
      </c>
      <c r="B81" s="305" t="s">
        <v>443</v>
      </c>
      <c r="C81" s="305" t="s">
        <v>443</v>
      </c>
      <c r="D81" s="305" t="s">
        <v>444</v>
      </c>
      <c r="E81" s="304">
        <f t="shared" si="4"/>
        <v>0</v>
      </c>
      <c r="F81" s="257"/>
      <c r="G81" s="257"/>
    </row>
    <row r="82" spans="1:7" s="183" customFormat="1" ht="15.6" customHeight="1">
      <c r="A82" s="275" t="s">
        <v>343</v>
      </c>
      <c r="B82" s="223">
        <v>0</v>
      </c>
      <c r="C82" s="223"/>
      <c r="D82" s="305" t="s">
        <v>443</v>
      </c>
      <c r="E82" s="304">
        <f t="shared" si="4"/>
        <v>0</v>
      </c>
      <c r="F82" s="257"/>
      <c r="G82" s="257"/>
    </row>
    <row r="83" spans="1:7" s="183" customFormat="1" ht="15.6" customHeight="1">
      <c r="A83" s="275" t="s">
        <v>344</v>
      </c>
      <c r="B83" s="305" t="s">
        <v>444</v>
      </c>
      <c r="C83" s="305" t="s">
        <v>443</v>
      </c>
      <c r="D83" s="305" t="s">
        <v>443</v>
      </c>
      <c r="E83" s="304">
        <f t="shared" si="4"/>
        <v>0</v>
      </c>
      <c r="F83" s="257"/>
      <c r="G83" s="257"/>
    </row>
    <row r="84" spans="1:7" s="183" customFormat="1" ht="15.6" customHeight="1">
      <c r="A84" s="275" t="s">
        <v>418</v>
      </c>
      <c r="B84" s="304"/>
      <c r="C84" s="304"/>
      <c r="D84" s="304"/>
      <c r="E84" s="304">
        <f t="shared" si="4"/>
        <v>0</v>
      </c>
      <c r="F84" s="257"/>
      <c r="G84" s="257"/>
    </row>
    <row r="85" spans="1:7" s="183" customFormat="1" ht="15.6" customHeight="1">
      <c r="A85" s="275" t="s">
        <v>419</v>
      </c>
      <c r="B85" s="304"/>
      <c r="C85" s="304"/>
      <c r="D85" s="304"/>
      <c r="E85" s="304">
        <f t="shared" si="4"/>
        <v>0</v>
      </c>
      <c r="F85" s="257"/>
      <c r="G85" s="257"/>
    </row>
    <row r="86" spans="1:7" s="183" customFormat="1" ht="15.6" customHeight="1" thickBot="1">
      <c r="A86" s="276" t="s">
        <v>349</v>
      </c>
      <c r="B86" s="306"/>
      <c r="C86" s="306"/>
      <c r="D86" s="306"/>
      <c r="E86" s="306">
        <f t="shared" si="4"/>
        <v>0</v>
      </c>
      <c r="F86" s="257"/>
      <c r="G86" s="257"/>
    </row>
    <row r="87" spans="1:7" s="183" customFormat="1" ht="15.6" customHeight="1" thickBot="1">
      <c r="A87" s="277" t="s">
        <v>350</v>
      </c>
      <c r="B87" s="307">
        <f>SUM(B79:B83)+B84-B85-B86</f>
        <v>0</v>
      </c>
      <c r="C87" s="307">
        <f>SUM(C79:C83)+C84-C85-C86</f>
        <v>0</v>
      </c>
      <c r="D87" s="307">
        <f>SUM(D79:D83)+D84-D85-D86</f>
        <v>0</v>
      </c>
      <c r="E87" s="307">
        <f>SUM(E79:E83)+E84-E85-E86</f>
        <v>0</v>
      </c>
      <c r="F87" s="257"/>
      <c r="G87" s="257"/>
    </row>
    <row r="88" spans="1:7" s="183" customFormat="1" ht="15.6" customHeight="1">
      <c r="A88" s="278" t="s">
        <v>420</v>
      </c>
      <c r="B88" s="257"/>
      <c r="C88" s="257"/>
      <c r="D88" s="257"/>
      <c r="E88" s="257"/>
      <c r="F88" s="257"/>
      <c r="G88" s="257"/>
    </row>
    <row r="89" spans="1:7" s="183" customFormat="1" ht="15.6" customHeight="1">
      <c r="A89" s="278" t="s">
        <v>421</v>
      </c>
      <c r="B89" s="257"/>
      <c r="C89" s="257"/>
      <c r="D89" s="257"/>
      <c r="E89" s="257"/>
      <c r="F89" s="257"/>
      <c r="G89" s="257"/>
    </row>
    <row r="90" spans="1:7" s="183" customFormat="1" ht="15.6" customHeight="1">
      <c r="A90" s="267"/>
      <c r="B90" s="257"/>
      <c r="C90" s="257"/>
      <c r="D90" s="257"/>
      <c r="E90" s="257"/>
      <c r="F90" s="257"/>
      <c r="G90" s="257"/>
    </row>
    <row r="91" spans="1:7" s="183" customFormat="1" ht="15.6" customHeight="1" thickBot="1">
      <c r="A91" s="266" t="s">
        <v>422</v>
      </c>
      <c r="B91" s="257"/>
      <c r="C91" s="257"/>
      <c r="D91" s="257"/>
      <c r="E91" s="257"/>
      <c r="F91" s="257"/>
      <c r="G91" s="257"/>
    </row>
    <row r="92" spans="1:7" s="183" customFormat="1" ht="24.6" thickBot="1">
      <c r="A92" s="279" t="s">
        <v>398</v>
      </c>
      <c r="B92" s="280" t="s">
        <v>352</v>
      </c>
      <c r="C92" s="280" t="s">
        <v>423</v>
      </c>
      <c r="D92" s="280" t="s">
        <v>424</v>
      </c>
      <c r="E92" s="257"/>
      <c r="F92" s="257"/>
      <c r="G92" s="257"/>
    </row>
    <row r="93" spans="1:7" s="183" customFormat="1" ht="15.6" customHeight="1">
      <c r="A93" s="281"/>
      <c r="B93" s="308"/>
      <c r="C93" s="308"/>
      <c r="D93" s="282"/>
      <c r="E93" s="257"/>
      <c r="F93" s="257"/>
      <c r="G93" s="257"/>
    </row>
    <row r="94" spans="1:7" s="183" customFormat="1" ht="15.6" customHeight="1" thickBot="1">
      <c r="A94" s="270"/>
      <c r="B94" s="301"/>
      <c r="C94" s="301"/>
      <c r="D94" s="271"/>
      <c r="E94" s="257"/>
      <c r="F94" s="257"/>
      <c r="G94" s="257"/>
    </row>
    <row r="95" spans="1:7" s="183" customFormat="1" ht="15.6" customHeight="1" thickBot="1">
      <c r="A95" s="283" t="s">
        <v>335</v>
      </c>
      <c r="B95" s="309">
        <f>SUM(B93:B94)</f>
        <v>0</v>
      </c>
      <c r="C95" s="309">
        <f>SUM(C93:C94)</f>
        <v>0</v>
      </c>
      <c r="D95" s="284"/>
      <c r="E95" s="257"/>
      <c r="F95" s="257"/>
      <c r="G95" s="257"/>
    </row>
    <row r="96" spans="1:7" s="183" customFormat="1" ht="15.6" customHeight="1">
      <c r="A96" s="278" t="s">
        <v>425</v>
      </c>
      <c r="B96" s="257"/>
      <c r="C96" s="257"/>
      <c r="D96" s="257"/>
      <c r="E96" s="257"/>
      <c r="F96" s="257"/>
      <c r="G96" s="257"/>
    </row>
    <row r="97" spans="1:7" s="183" customFormat="1" ht="15.6" customHeight="1" thickBot="1">
      <c r="A97" s="266" t="s">
        <v>426</v>
      </c>
      <c r="B97" s="257"/>
      <c r="C97" s="257"/>
      <c r="D97" s="257"/>
      <c r="E97" s="257"/>
      <c r="F97" s="257"/>
      <c r="G97" s="257"/>
    </row>
    <row r="98" spans="1:7" s="183" customFormat="1" ht="24.6" thickBot="1">
      <c r="A98" s="279" t="s">
        <v>398</v>
      </c>
      <c r="B98" s="280" t="s">
        <v>427</v>
      </c>
      <c r="C98" s="280" t="s">
        <v>5</v>
      </c>
      <c r="D98" s="280" t="s">
        <v>6</v>
      </c>
      <c r="E98" s="280" t="s">
        <v>28</v>
      </c>
      <c r="F98" s="280" t="s">
        <v>428</v>
      </c>
      <c r="G98" s="257"/>
    </row>
    <row r="99" spans="1:7" s="183" customFormat="1" ht="15.6" customHeight="1">
      <c r="A99" s="285"/>
      <c r="B99" s="282"/>
      <c r="C99" s="308"/>
      <c r="D99" s="282"/>
      <c r="E99" s="282"/>
      <c r="F99" s="282"/>
      <c r="G99" s="257"/>
    </row>
    <row r="100" spans="1:7" s="183" customFormat="1" ht="15.6" customHeight="1" thickBot="1">
      <c r="A100" s="270"/>
      <c r="B100" s="271"/>
      <c r="C100" s="301"/>
      <c r="D100" s="271"/>
      <c r="E100" s="271"/>
      <c r="F100" s="271"/>
      <c r="G100" s="257"/>
    </row>
    <row r="101" spans="1:7" s="183" customFormat="1" ht="15.6" customHeight="1" thickBot="1">
      <c r="A101" s="283" t="s">
        <v>35</v>
      </c>
      <c r="B101" s="284" t="s">
        <v>4</v>
      </c>
      <c r="C101" s="309">
        <f>SUM(C99:C100)</f>
        <v>0</v>
      </c>
      <c r="D101" s="284" t="s">
        <v>4</v>
      </c>
      <c r="E101" s="284"/>
      <c r="F101" s="284" t="s">
        <v>4</v>
      </c>
      <c r="G101" s="257"/>
    </row>
    <row r="102" spans="1:7" s="183" customFormat="1" ht="15.6" customHeight="1" thickBot="1">
      <c r="A102" s="266" t="s">
        <v>429</v>
      </c>
      <c r="B102" s="257"/>
      <c r="C102" s="257"/>
      <c r="D102" s="257"/>
      <c r="E102" s="257"/>
      <c r="F102" s="257"/>
      <c r="G102" s="257"/>
    </row>
    <row r="103" spans="1:7" s="183" customFormat="1" ht="24.6" thickBot="1">
      <c r="A103" s="286" t="s">
        <v>398</v>
      </c>
      <c r="B103" s="287" t="s">
        <v>362</v>
      </c>
      <c r="C103" s="287" t="s">
        <v>257</v>
      </c>
      <c r="D103" s="287" t="s">
        <v>208</v>
      </c>
      <c r="E103" s="287" t="s">
        <v>430</v>
      </c>
      <c r="F103" s="287" t="s">
        <v>266</v>
      </c>
      <c r="G103" s="257"/>
    </row>
    <row r="104" spans="1:7" s="183" customFormat="1" ht="15.6" customHeight="1">
      <c r="A104" s="218" t="e">
        <f>#REF!</f>
        <v>#REF!</v>
      </c>
      <c r="B104" s="211"/>
      <c r="C104" s="310" t="e">
        <f>#REF!</f>
        <v>#REF!</v>
      </c>
      <c r="D104" s="223" t="e">
        <f>#REF!</f>
        <v>#REF!</v>
      </c>
      <c r="E104" s="311" t="e">
        <f>IF(C104=0,0,C104/$B$13)</f>
        <v>#REF!</v>
      </c>
      <c r="F104" s="310" t="e">
        <f>#REF!</f>
        <v>#REF!</v>
      </c>
      <c r="G104" s="257"/>
    </row>
    <row r="105" spans="1:7" s="183" customFormat="1" ht="15.6" customHeight="1">
      <c r="A105" s="218" t="e">
        <f>#REF!</f>
        <v>#REF!</v>
      </c>
      <c r="B105" s="211"/>
      <c r="C105" s="310" t="e">
        <f>#REF!</f>
        <v>#REF!</v>
      </c>
      <c r="D105" s="223" t="e">
        <f>#REF!</f>
        <v>#REF!</v>
      </c>
      <c r="E105" s="311" t="e">
        <f t="shared" ref="E105:E109" si="5">IF(C105=0,0,C105/$B$13)</f>
        <v>#REF!</v>
      </c>
      <c r="F105" s="310" t="e">
        <f>#REF!</f>
        <v>#REF!</v>
      </c>
      <c r="G105" s="257"/>
    </row>
    <row r="106" spans="1:7" s="183" customFormat="1" ht="15.6" customHeight="1">
      <c r="A106" s="218" t="e">
        <f>#REF!</f>
        <v>#REF!</v>
      </c>
      <c r="B106" s="211"/>
      <c r="C106" s="310" t="e">
        <f>#REF!</f>
        <v>#REF!</v>
      </c>
      <c r="D106" s="223" t="e">
        <f>#REF!</f>
        <v>#REF!</v>
      </c>
      <c r="E106" s="311" t="e">
        <f t="shared" si="5"/>
        <v>#REF!</v>
      </c>
      <c r="F106" s="310" t="e">
        <f>#REF!</f>
        <v>#REF!</v>
      </c>
      <c r="G106" s="257"/>
    </row>
    <row r="107" spans="1:7" s="183" customFormat="1" ht="15.6" customHeight="1">
      <c r="A107" s="218" t="e">
        <f>#REF!</f>
        <v>#REF!</v>
      </c>
      <c r="B107" s="211"/>
      <c r="C107" s="310" t="e">
        <f>#REF!</f>
        <v>#REF!</v>
      </c>
      <c r="D107" s="223" t="e">
        <f>#REF!</f>
        <v>#REF!</v>
      </c>
      <c r="E107" s="311" t="e">
        <f t="shared" si="5"/>
        <v>#REF!</v>
      </c>
      <c r="F107" s="310" t="e">
        <f>#REF!</f>
        <v>#REF!</v>
      </c>
      <c r="G107" s="257"/>
    </row>
    <row r="108" spans="1:7" s="183" customFormat="1" ht="15.6" customHeight="1" thickBot="1">
      <c r="A108" s="219" t="e">
        <f>#REF!</f>
        <v>#REF!</v>
      </c>
      <c r="B108" s="212"/>
      <c r="C108" s="253" t="e">
        <f>#REF!</f>
        <v>#REF!</v>
      </c>
      <c r="D108" s="228" t="e">
        <f>#REF!</f>
        <v>#REF!</v>
      </c>
      <c r="E108" s="312" t="e">
        <f t="shared" si="5"/>
        <v>#REF!</v>
      </c>
      <c r="F108" s="253" t="e">
        <f>#REF!</f>
        <v>#REF!</v>
      </c>
      <c r="G108" s="257"/>
    </row>
    <row r="109" spans="1:7" s="183" customFormat="1" ht="15.6" customHeight="1" thickBot="1">
      <c r="A109" s="288" t="s">
        <v>35</v>
      </c>
      <c r="B109" s="289" t="s">
        <v>438</v>
      </c>
      <c r="C109" s="313" t="e">
        <f>SUM(C104:C108)</f>
        <v>#REF!</v>
      </c>
      <c r="D109" s="314" t="s">
        <v>438</v>
      </c>
      <c r="E109" s="312" t="e">
        <f t="shared" si="5"/>
        <v>#REF!</v>
      </c>
      <c r="F109" s="313" t="e">
        <f>SUM(F104:F108)</f>
        <v>#REF!</v>
      </c>
      <c r="G109" s="257"/>
    </row>
    <row r="110" spans="1:7" s="183" customFormat="1" ht="15.6" customHeight="1" thickBot="1">
      <c r="A110" s="266" t="s">
        <v>431</v>
      </c>
      <c r="B110" s="257"/>
      <c r="C110" s="257"/>
      <c r="D110" s="257"/>
      <c r="E110" s="257"/>
      <c r="F110" s="257"/>
      <c r="G110" s="257"/>
    </row>
    <row r="111" spans="1:7" s="183" customFormat="1" ht="36.6" thickBot="1">
      <c r="A111" s="286" t="s">
        <v>398</v>
      </c>
      <c r="B111" s="287" t="s">
        <v>374</v>
      </c>
      <c r="C111" s="287" t="s">
        <v>432</v>
      </c>
      <c r="D111" s="257"/>
      <c r="E111" s="257"/>
      <c r="F111" s="257"/>
      <c r="G111" s="257"/>
    </row>
    <row r="112" spans="1:7" s="181" customFormat="1" ht="15.6" customHeight="1">
      <c r="A112" s="220"/>
      <c r="B112" s="223"/>
      <c r="C112" s="179"/>
      <c r="D112" s="257"/>
      <c r="E112" s="257"/>
      <c r="F112" s="257"/>
      <c r="G112" s="257"/>
    </row>
    <row r="113" spans="1:7" s="181" customFormat="1" ht="15.6" customHeight="1">
      <c r="A113" s="220"/>
      <c r="B113" s="315"/>
      <c r="C113" s="291"/>
      <c r="D113" s="257"/>
      <c r="E113" s="257"/>
      <c r="F113" s="257"/>
      <c r="G113" s="257"/>
    </row>
    <row r="114" spans="1:7" s="181" customFormat="1" ht="15.6" customHeight="1" thickBot="1">
      <c r="A114" s="292"/>
      <c r="B114" s="313"/>
      <c r="C114" s="290"/>
      <c r="D114" s="257"/>
      <c r="E114" s="257"/>
      <c r="F114" s="257"/>
      <c r="G114" s="257"/>
    </row>
    <row r="115" spans="1:7" s="181" customFormat="1" ht="15.6" customHeight="1" thickBot="1">
      <c r="A115" s="288" t="s">
        <v>35</v>
      </c>
      <c r="B115" s="309">
        <f>SUM(B112:B114)</f>
        <v>0</v>
      </c>
      <c r="C115" s="290" t="s">
        <v>4</v>
      </c>
      <c r="D115" s="257"/>
      <c r="E115" s="257"/>
      <c r="F115" s="257"/>
      <c r="G115" s="257"/>
    </row>
    <row r="116" spans="1:7" s="181" customFormat="1" ht="15.6" customHeight="1" thickBot="1">
      <c r="A116" s="266" t="s">
        <v>433</v>
      </c>
      <c r="B116" s="257"/>
      <c r="C116" s="257"/>
      <c r="D116" s="257"/>
      <c r="E116" s="257"/>
      <c r="F116" s="257"/>
      <c r="G116" s="257"/>
    </row>
    <row r="117" spans="1:7" s="181" customFormat="1" ht="15.6" customHeight="1" thickBot="1">
      <c r="A117" s="286" t="s">
        <v>305</v>
      </c>
      <c r="B117" s="287" t="s">
        <v>434</v>
      </c>
      <c r="C117" s="257"/>
      <c r="D117" s="257"/>
      <c r="E117" s="257"/>
      <c r="F117" s="257"/>
      <c r="G117" s="257"/>
    </row>
    <row r="118" spans="1:7" s="181" customFormat="1" ht="15.6" customHeight="1">
      <c r="A118" s="220" t="s">
        <v>377</v>
      </c>
      <c r="B118" s="223"/>
      <c r="C118" s="257"/>
      <c r="D118" s="257"/>
      <c r="E118" s="257"/>
      <c r="F118" s="257"/>
      <c r="G118" s="257"/>
    </row>
    <row r="119" spans="1:7" s="181" customFormat="1" ht="15.6" customHeight="1">
      <c r="A119" s="220"/>
      <c r="B119" s="223"/>
      <c r="C119" s="257"/>
      <c r="D119" s="257"/>
      <c r="E119" s="257"/>
      <c r="F119" s="257"/>
      <c r="G119" s="257"/>
    </row>
    <row r="120" spans="1:7" s="181" customFormat="1" ht="15.6" customHeight="1">
      <c r="A120" s="293" t="s">
        <v>378</v>
      </c>
      <c r="B120" s="227">
        <f>SUM(B119)</f>
        <v>0</v>
      </c>
      <c r="C120" s="257"/>
      <c r="D120" s="257"/>
      <c r="E120" s="257"/>
      <c r="F120" s="257"/>
      <c r="G120" s="257"/>
    </row>
    <row r="121" spans="1:7" s="181" customFormat="1" ht="15.6" customHeight="1">
      <c r="A121" s="220" t="s">
        <v>379</v>
      </c>
      <c r="B121" s="315"/>
      <c r="C121" s="257"/>
      <c r="D121" s="257"/>
      <c r="E121" s="257"/>
      <c r="F121" s="257"/>
      <c r="G121" s="257"/>
    </row>
    <row r="122" spans="1:7" s="181" customFormat="1" ht="15.6" customHeight="1">
      <c r="A122" s="294"/>
      <c r="B122" s="315"/>
      <c r="C122" s="257"/>
      <c r="D122" s="257"/>
      <c r="E122" s="257"/>
      <c r="F122" s="257"/>
      <c r="G122" s="257"/>
    </row>
    <row r="123" spans="1:7" s="181" customFormat="1" ht="15.6" customHeight="1" thickBot="1">
      <c r="A123" s="268" t="s">
        <v>380</v>
      </c>
      <c r="B123" s="229">
        <f>B122</f>
        <v>0</v>
      </c>
      <c r="C123" s="257"/>
      <c r="D123" s="257"/>
      <c r="E123" s="257"/>
      <c r="F123" s="257"/>
      <c r="G123" s="257"/>
    </row>
    <row r="124" spans="1:7" s="181" customFormat="1" ht="15.6" customHeight="1">
      <c r="A124" s="278" t="s">
        <v>381</v>
      </c>
      <c r="B124" s="257"/>
      <c r="C124" s="257"/>
      <c r="D124" s="257"/>
      <c r="E124" s="257"/>
      <c r="F124" s="257"/>
      <c r="G124" s="257"/>
    </row>
    <row r="125" spans="1:7" s="181" customFormat="1" ht="15.6" customHeight="1" thickBot="1">
      <c r="A125" s="266" t="s">
        <v>435</v>
      </c>
      <c r="B125" s="257"/>
      <c r="C125" s="257"/>
      <c r="D125" s="257"/>
      <c r="E125" s="257"/>
      <c r="F125" s="257"/>
      <c r="G125" s="257"/>
    </row>
    <row r="126" spans="1:7" s="181" customFormat="1" ht="24.6" thickBot="1">
      <c r="A126" s="295" t="s">
        <v>436</v>
      </c>
      <c r="B126" s="280" t="s">
        <v>368</v>
      </c>
      <c r="C126" s="280" t="s">
        <v>350</v>
      </c>
      <c r="D126" s="280" t="s">
        <v>437</v>
      </c>
      <c r="E126" s="280" t="s">
        <v>369</v>
      </c>
      <c r="F126" s="257"/>
      <c r="G126" s="257"/>
    </row>
    <row r="127" spans="1:7" s="181" customFormat="1" ht="15.6" customHeight="1">
      <c r="A127" s="285" t="e">
        <f>#REF!</f>
        <v>#REF!</v>
      </c>
      <c r="B127" s="282" t="e">
        <f>#REF!</f>
        <v>#REF!</v>
      </c>
      <c r="C127" s="308" t="e">
        <f>#REF!</f>
        <v>#REF!</v>
      </c>
      <c r="D127" s="282" t="e">
        <f>#REF!</f>
        <v>#REF!</v>
      </c>
      <c r="E127" s="282" t="e">
        <f>#REF!</f>
        <v>#REF!</v>
      </c>
      <c r="F127" s="257"/>
      <c r="G127" s="257"/>
    </row>
    <row r="128" spans="1:7" s="181" customFormat="1" ht="15.6" customHeight="1">
      <c r="A128" s="218" t="e">
        <f>#REF!</f>
        <v>#REF!</v>
      </c>
      <c r="B128" s="179" t="e">
        <f>#REF!</f>
        <v>#REF!</v>
      </c>
      <c r="C128" s="223" t="e">
        <f>#REF!</f>
        <v>#REF!</v>
      </c>
      <c r="D128" s="179" t="e">
        <f>#REF!</f>
        <v>#REF!</v>
      </c>
      <c r="E128" s="179" t="e">
        <f>#REF!</f>
        <v>#REF!</v>
      </c>
      <c r="F128" s="257"/>
      <c r="G128" s="257"/>
    </row>
    <row r="129" spans="1:7" s="181" customFormat="1" ht="15.6" customHeight="1" thickBot="1">
      <c r="A129" s="219" t="e">
        <f>#REF!</f>
        <v>#REF!</v>
      </c>
      <c r="B129" s="186" t="e">
        <f>#REF!</f>
        <v>#REF!</v>
      </c>
      <c r="C129" s="228" t="e">
        <f>#REF!</f>
        <v>#REF!</v>
      </c>
      <c r="D129" s="186" t="e">
        <f>#REF!</f>
        <v>#REF!</v>
      </c>
      <c r="E129" s="186" t="e">
        <f>#REF!</f>
        <v>#REF!</v>
      </c>
      <c r="F129" s="257"/>
      <c r="G129" s="257"/>
    </row>
    <row r="130" spans="1:7" s="181" customFormat="1" ht="15.6" customHeight="1" thickBot="1">
      <c r="A130" s="283" t="s">
        <v>35</v>
      </c>
      <c r="B130" s="284"/>
      <c r="C130" s="309" t="e">
        <f>SUM(C127:C129)</f>
        <v>#REF!</v>
      </c>
      <c r="D130" s="284"/>
      <c r="E130" s="284"/>
      <c r="F130" s="257"/>
      <c r="G130" s="257"/>
    </row>
    <row r="131" spans="1:7" ht="15.6" customHeight="1"/>
  </sheetData>
  <mergeCells count="24">
    <mergeCell ref="B38:E38"/>
    <mergeCell ref="A46:A48"/>
    <mergeCell ref="B46:D46"/>
    <mergeCell ref="E46:G46"/>
    <mergeCell ref="B47:C47"/>
    <mergeCell ref="D47:D48"/>
    <mergeCell ref="E47:F47"/>
    <mergeCell ref="G47:G48"/>
    <mergeCell ref="A1:G1"/>
    <mergeCell ref="A2:G2"/>
    <mergeCell ref="A57:A58"/>
    <mergeCell ref="B57:D57"/>
    <mergeCell ref="E57:G57"/>
    <mergeCell ref="A19:A21"/>
    <mergeCell ref="B19:F19"/>
    <mergeCell ref="B20:C20"/>
    <mergeCell ref="D20:E20"/>
    <mergeCell ref="F20:F21"/>
    <mergeCell ref="A28:A30"/>
    <mergeCell ref="B28:F28"/>
    <mergeCell ref="B29:C29"/>
    <mergeCell ref="D29:E29"/>
    <mergeCell ref="F29:F30"/>
    <mergeCell ref="A38:A39"/>
  </mergeCells>
  <phoneticPr fontId="16" type="noConversion"/>
  <pageMargins left="0.74803149606299213" right="0.74803149606299213" top="0.98425196850393704" bottom="0.98425196850393704" header="0.51181102362204722" footer="0.51181102362204722"/>
  <pageSetup paperSize="9" scale="50" fitToHeight="100" orientation="portrait" blackAndWhite="1"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AJ50"/>
  <sheetViews>
    <sheetView view="pageBreakPreview" zoomScaleSheetLayoutView="100" workbookViewId="0">
      <selection sqref="A1:AJ1"/>
    </sheetView>
  </sheetViews>
  <sheetFormatPr defaultColWidth="7" defaultRowHeight="13.8" outlineLevelCol="1"/>
  <cols>
    <col min="1" max="1" width="5" style="14" customWidth="1"/>
    <col min="2" max="2" width="17.296875" style="14" customWidth="1"/>
    <col min="3" max="3" width="8.09765625" style="14" customWidth="1"/>
    <col min="4" max="4" width="10.296875" style="14" customWidth="1"/>
    <col min="5" max="5" width="7.796875" style="14" customWidth="1"/>
    <col min="6" max="6" width="8.5" style="14" customWidth="1"/>
    <col min="7" max="7" width="9.19921875" style="14" customWidth="1"/>
    <col min="8" max="8" width="8.69921875" style="14" customWidth="1"/>
    <col min="9" max="9" width="8.796875" style="14" customWidth="1"/>
    <col min="10" max="15" width="7.796875" style="14" customWidth="1" outlineLevel="1"/>
    <col min="16" max="18" width="9" style="14" customWidth="1"/>
    <col min="19" max="19" width="8.19921875" style="14" customWidth="1"/>
    <col min="20" max="21" width="8.69921875" style="14" customWidth="1"/>
    <col min="22" max="22" width="7.796875" style="14" customWidth="1"/>
    <col min="23" max="23" width="8.59765625" style="14" customWidth="1"/>
    <col min="24" max="24" width="9.5" style="14" customWidth="1"/>
    <col min="25" max="30" width="7.796875" style="14" customWidth="1" outlineLevel="1"/>
    <col min="31" max="31" width="8.59765625" style="14" customWidth="1"/>
    <col min="32" max="32" width="9.19921875" style="14" customWidth="1"/>
    <col min="33" max="33" width="8" style="14" customWidth="1"/>
    <col min="34" max="34" width="6" style="14" customWidth="1"/>
    <col min="35" max="35" width="7.69921875" style="14" customWidth="1"/>
    <col min="36" max="16384" width="7" style="14"/>
  </cols>
  <sheetData>
    <row r="1" spans="1:36" ht="20.100000000000001" customHeight="1">
      <c r="A1" s="663" t="s">
        <v>23</v>
      </c>
      <c r="B1" s="663"/>
      <c r="C1" s="663"/>
      <c r="D1" s="663"/>
      <c r="E1" s="663"/>
      <c r="F1" s="663"/>
      <c r="G1" s="663"/>
      <c r="H1" s="663"/>
      <c r="I1" s="663"/>
      <c r="J1" s="663"/>
      <c r="K1" s="663"/>
      <c r="L1" s="663"/>
      <c r="M1" s="663"/>
      <c r="N1" s="663"/>
      <c r="O1" s="663"/>
      <c r="P1" s="663"/>
      <c r="Q1" s="663"/>
      <c r="R1" s="663"/>
      <c r="S1" s="663"/>
      <c r="T1" s="663"/>
      <c r="U1" s="663"/>
      <c r="V1" s="663"/>
      <c r="W1" s="663"/>
      <c r="X1" s="663"/>
      <c r="Y1" s="663"/>
      <c r="Z1" s="663"/>
      <c r="AA1" s="663"/>
      <c r="AB1" s="663"/>
      <c r="AC1" s="663"/>
      <c r="AD1" s="663"/>
      <c r="AE1" s="663"/>
      <c r="AF1" s="663"/>
      <c r="AG1" s="663"/>
      <c r="AH1" s="663"/>
      <c r="AI1" s="663"/>
      <c r="AJ1" s="663"/>
    </row>
    <row r="2" spans="1:36" ht="24.9" customHeight="1">
      <c r="A2" s="664" t="s">
        <v>94</v>
      </c>
      <c r="B2" s="664"/>
      <c r="C2" s="664"/>
      <c r="D2" s="664"/>
      <c r="E2" s="664"/>
      <c r="F2" s="664"/>
      <c r="G2" s="664"/>
      <c r="H2" s="664"/>
      <c r="I2" s="664"/>
      <c r="J2" s="664"/>
      <c r="K2" s="664"/>
      <c r="L2" s="664"/>
      <c r="M2" s="664"/>
      <c r="N2" s="664"/>
      <c r="O2" s="664"/>
      <c r="P2" s="664"/>
      <c r="Q2" s="664"/>
      <c r="R2" s="664"/>
      <c r="S2" s="664"/>
      <c r="T2" s="664"/>
      <c r="U2" s="664"/>
      <c r="V2" s="664"/>
      <c r="W2" s="664"/>
      <c r="X2" s="664"/>
      <c r="Y2" s="664"/>
      <c r="Z2" s="664"/>
      <c r="AA2" s="664"/>
      <c r="AB2" s="664"/>
      <c r="AC2" s="664"/>
      <c r="AD2" s="664"/>
      <c r="AE2" s="664"/>
      <c r="AF2" s="664"/>
      <c r="AG2" s="664"/>
      <c r="AH2" s="664"/>
      <c r="AI2" s="664"/>
      <c r="AJ2" s="664"/>
    </row>
    <row r="3" spans="1:36" ht="20.100000000000001" customHeight="1">
      <c r="A3" s="9" t="str">
        <f>底稿目录!A2</f>
        <v>被审计单位：</v>
      </c>
      <c r="F3" s="23"/>
      <c r="G3" s="23"/>
      <c r="H3" s="23"/>
      <c r="I3" s="23" t="str">
        <f>底稿目录!A4</f>
        <v>编制人：</v>
      </c>
      <c r="J3" s="23"/>
      <c r="K3" s="23"/>
      <c r="L3" s="23"/>
      <c r="N3" s="23"/>
      <c r="O3" s="23"/>
      <c r="P3" s="23"/>
      <c r="R3" s="19"/>
      <c r="X3" s="320" t="str">
        <f>底稿目录!A5</f>
        <v>编制日期：</v>
      </c>
      <c r="AI3" s="24" t="s">
        <v>466</v>
      </c>
      <c r="AJ3" s="534" t="str">
        <f>底稿目录!F9</f>
        <v>K1-2</v>
      </c>
    </row>
    <row r="4" spans="1:36" ht="20.100000000000001" customHeight="1">
      <c r="A4" s="9" t="str">
        <f>底稿目录!A3</f>
        <v>截止日：202X年12月31日</v>
      </c>
      <c r="F4" s="23"/>
      <c r="G4" s="23"/>
      <c r="H4" s="23"/>
      <c r="I4" s="23" t="str">
        <f>底稿目录!A6</f>
        <v>复核人：</v>
      </c>
      <c r="J4" s="23"/>
      <c r="K4" s="23"/>
      <c r="L4" s="23"/>
      <c r="N4" s="23"/>
      <c r="O4" s="23"/>
      <c r="P4" s="23"/>
      <c r="R4" s="19"/>
      <c r="X4" s="320" t="str">
        <f>底稿目录!A7</f>
        <v>复核日期：</v>
      </c>
      <c r="AI4" s="23" t="s">
        <v>25</v>
      </c>
      <c r="AJ4" s="320"/>
    </row>
    <row r="5" spans="1:36" s="23" customFormat="1" ht="20.100000000000001" customHeight="1">
      <c r="A5" s="35" t="s">
        <v>77</v>
      </c>
      <c r="B5" s="36"/>
      <c r="C5" s="36"/>
      <c r="D5" s="36"/>
      <c r="E5" s="36"/>
      <c r="Q5" s="34"/>
    </row>
    <row r="6" spans="1:36" s="23" customFormat="1" ht="20.100000000000001" customHeight="1">
      <c r="A6" s="358" t="s">
        <v>526</v>
      </c>
      <c r="B6" s="93"/>
      <c r="C6" s="93"/>
      <c r="D6" s="93"/>
      <c r="F6" s="358" t="s">
        <v>527</v>
      </c>
      <c r="M6" s="358" t="s">
        <v>744</v>
      </c>
      <c r="R6" s="358"/>
    </row>
    <row r="7" spans="1:36" s="23" customFormat="1" ht="20.100000000000001" customHeight="1">
      <c r="A7" s="37" t="s">
        <v>78</v>
      </c>
      <c r="V7" s="38"/>
    </row>
    <row r="8" spans="1:36" s="23" customFormat="1" ht="20.100000000000001" customHeight="1">
      <c r="A8" s="358" t="s">
        <v>500</v>
      </c>
      <c r="B8" s="93"/>
      <c r="C8" s="93"/>
      <c r="D8" s="93"/>
      <c r="N8" s="358" t="s">
        <v>501</v>
      </c>
    </row>
    <row r="9" spans="1:36" s="23" customFormat="1" ht="20.100000000000001" customHeight="1">
      <c r="A9" s="358" t="s">
        <v>635</v>
      </c>
      <c r="B9" s="93"/>
      <c r="C9" s="93"/>
      <c r="D9" s="93"/>
      <c r="N9" s="358" t="s">
        <v>636</v>
      </c>
    </row>
    <row r="10" spans="1:36" ht="20.100000000000001" customHeight="1">
      <c r="A10" s="627" t="s">
        <v>79</v>
      </c>
      <c r="B10" s="627" t="s">
        <v>767</v>
      </c>
      <c r="C10" s="673" t="s">
        <v>728</v>
      </c>
      <c r="D10" s="667" t="s">
        <v>729</v>
      </c>
      <c r="E10" s="671" t="s">
        <v>731</v>
      </c>
      <c r="F10" s="665" t="s">
        <v>276</v>
      </c>
      <c r="G10" s="665" t="s">
        <v>274</v>
      </c>
      <c r="H10" s="665" t="s">
        <v>275</v>
      </c>
      <c r="I10" s="665" t="s">
        <v>273</v>
      </c>
      <c r="J10" s="668" t="s">
        <v>278</v>
      </c>
      <c r="K10" s="669"/>
      <c r="L10" s="669"/>
      <c r="M10" s="669"/>
      <c r="N10" s="669"/>
      <c r="O10" s="670"/>
      <c r="P10" s="665" t="s">
        <v>442</v>
      </c>
      <c r="Q10" s="665" t="s">
        <v>80</v>
      </c>
      <c r="R10" s="665" t="s">
        <v>81</v>
      </c>
      <c r="S10" s="667" t="s">
        <v>860</v>
      </c>
      <c r="T10" s="677" t="s">
        <v>861</v>
      </c>
      <c r="U10" s="667" t="s">
        <v>226</v>
      </c>
      <c r="V10" s="665" t="s">
        <v>82</v>
      </c>
      <c r="W10" s="665" t="s">
        <v>83</v>
      </c>
      <c r="X10" s="627" t="s">
        <v>277</v>
      </c>
      <c r="Y10" s="674" t="s">
        <v>279</v>
      </c>
      <c r="Z10" s="675"/>
      <c r="AA10" s="675"/>
      <c r="AB10" s="675"/>
      <c r="AC10" s="675"/>
      <c r="AD10" s="676"/>
      <c r="AE10" s="665" t="s">
        <v>441</v>
      </c>
      <c r="AF10" s="665" t="s">
        <v>84</v>
      </c>
      <c r="AG10" s="665" t="s">
        <v>85</v>
      </c>
      <c r="AH10" s="661" t="s">
        <v>571</v>
      </c>
      <c r="AI10" s="661" t="s">
        <v>604</v>
      </c>
      <c r="AJ10" s="661" t="s">
        <v>632</v>
      </c>
    </row>
    <row r="11" spans="1:36" ht="20.100000000000001" customHeight="1">
      <c r="A11" s="672"/>
      <c r="B11" s="672"/>
      <c r="C11" s="671"/>
      <c r="D11" s="667" t="s">
        <v>730</v>
      </c>
      <c r="E11" s="671" t="s">
        <v>732</v>
      </c>
      <c r="F11" s="666"/>
      <c r="G11" s="666"/>
      <c r="H11" s="666"/>
      <c r="I11" s="666"/>
      <c r="J11" s="94" t="s">
        <v>440</v>
      </c>
      <c r="K11" s="94" t="s">
        <v>87</v>
      </c>
      <c r="L11" s="94" t="s">
        <v>88</v>
      </c>
      <c r="M11" s="94" t="s">
        <v>89</v>
      </c>
      <c r="N11" s="94" t="s">
        <v>90</v>
      </c>
      <c r="O11" s="94" t="s">
        <v>91</v>
      </c>
      <c r="P11" s="666"/>
      <c r="Q11" s="666"/>
      <c r="R11" s="666"/>
      <c r="S11" s="667" t="s">
        <v>862</v>
      </c>
      <c r="T11" s="678"/>
      <c r="U11" s="667" t="s">
        <v>862</v>
      </c>
      <c r="V11" s="666"/>
      <c r="W11" s="666"/>
      <c r="X11" s="672"/>
      <c r="Y11" s="94" t="s">
        <v>86</v>
      </c>
      <c r="Z11" s="94" t="s">
        <v>87</v>
      </c>
      <c r="AA11" s="94" t="s">
        <v>88</v>
      </c>
      <c r="AB11" s="94" t="s">
        <v>89</v>
      </c>
      <c r="AC11" s="94" t="s">
        <v>90</v>
      </c>
      <c r="AD11" s="94" t="s">
        <v>91</v>
      </c>
      <c r="AE11" s="666"/>
      <c r="AF11" s="666"/>
      <c r="AG11" s="666"/>
      <c r="AH11" s="662"/>
      <c r="AI11" s="662"/>
      <c r="AJ11" s="662"/>
    </row>
    <row r="12" spans="1:36" s="512" customFormat="1" ht="20.100000000000001" customHeight="1">
      <c r="A12" s="391">
        <v>1</v>
      </c>
      <c r="B12" s="514"/>
      <c r="C12" s="504"/>
      <c r="D12" s="95"/>
      <c r="E12" s="511"/>
      <c r="F12" s="96"/>
      <c r="G12" s="96"/>
      <c r="H12" s="96"/>
      <c r="I12" s="317">
        <f>F12+G12+H12</f>
        <v>0</v>
      </c>
      <c r="J12" s="69"/>
      <c r="K12" s="69"/>
      <c r="L12" s="69"/>
      <c r="M12" s="69"/>
      <c r="N12" s="69"/>
      <c r="O12" s="69"/>
      <c r="P12" s="69"/>
      <c r="Q12" s="96"/>
      <c r="R12" s="96"/>
      <c r="S12" s="318">
        <f>F12+Q12-R12</f>
        <v>0</v>
      </c>
      <c r="T12" s="135"/>
      <c r="U12" s="318">
        <f>S12+T12</f>
        <v>0</v>
      </c>
      <c r="V12" s="96"/>
      <c r="W12" s="96"/>
      <c r="X12" s="318">
        <f>U12+V12+W12</f>
        <v>0</v>
      </c>
      <c r="Y12" s="96"/>
      <c r="Z12" s="97"/>
      <c r="AA12" s="96"/>
      <c r="AB12" s="96"/>
      <c r="AC12" s="96"/>
      <c r="AD12" s="96"/>
      <c r="AE12" s="135"/>
      <c r="AF12" s="98"/>
      <c r="AG12" s="98"/>
      <c r="AH12" s="98"/>
      <c r="AI12" s="428"/>
      <c r="AJ12" s="455"/>
    </row>
    <row r="13" spans="1:36" s="512" customFormat="1" ht="20.100000000000001" customHeight="1">
      <c r="A13" s="391">
        <v>2</v>
      </c>
      <c r="B13" s="515"/>
      <c r="C13" s="168"/>
      <c r="D13" s="95"/>
      <c r="E13" s="96"/>
      <c r="F13" s="96"/>
      <c r="G13" s="96"/>
      <c r="H13" s="96"/>
      <c r="I13" s="317">
        <f>F13+G13+H13</f>
        <v>0</v>
      </c>
      <c r="J13" s="69"/>
      <c r="K13" s="69"/>
      <c r="L13" s="69"/>
      <c r="M13" s="69"/>
      <c r="N13" s="69"/>
      <c r="O13" s="69"/>
      <c r="P13" s="69"/>
      <c r="Q13" s="96"/>
      <c r="R13" s="96"/>
      <c r="S13" s="318">
        <f t="shared" ref="S13:S16" si="0">F13+Q13-R13</f>
        <v>0</v>
      </c>
      <c r="T13" s="135"/>
      <c r="U13" s="318">
        <f t="shared" ref="U13:U32" si="1">S13+T13</f>
        <v>0</v>
      </c>
      <c r="V13" s="96"/>
      <c r="W13" s="96"/>
      <c r="X13" s="318">
        <f t="shared" ref="X13:X32" si="2">U13+V13+W13</f>
        <v>0</v>
      </c>
      <c r="Y13" s="96"/>
      <c r="Z13" s="97"/>
      <c r="AA13" s="96"/>
      <c r="AB13" s="96"/>
      <c r="AC13" s="96"/>
      <c r="AD13" s="96"/>
      <c r="AE13" s="135"/>
      <c r="AF13" s="98"/>
      <c r="AG13" s="98"/>
      <c r="AH13" s="96"/>
      <c r="AI13" s="428"/>
      <c r="AJ13" s="455"/>
    </row>
    <row r="14" spans="1:36" s="513" customFormat="1" ht="20.100000000000001" customHeight="1">
      <c r="A14" s="391">
        <v>3</v>
      </c>
      <c r="B14" s="515"/>
      <c r="C14" s="168"/>
      <c r="D14" s="95"/>
      <c r="E14" s="96"/>
      <c r="F14" s="96"/>
      <c r="G14" s="96"/>
      <c r="H14" s="96"/>
      <c r="I14" s="317">
        <f t="shared" ref="I14:I32" si="3">F14+G14+H14</f>
        <v>0</v>
      </c>
      <c r="J14" s="69"/>
      <c r="K14" s="69"/>
      <c r="L14" s="69"/>
      <c r="M14" s="69"/>
      <c r="N14" s="69"/>
      <c r="O14" s="69"/>
      <c r="P14" s="69"/>
      <c r="Q14" s="96"/>
      <c r="R14" s="96"/>
      <c r="S14" s="318">
        <f t="shared" si="0"/>
        <v>0</v>
      </c>
      <c r="T14" s="135"/>
      <c r="U14" s="318">
        <f t="shared" si="1"/>
        <v>0</v>
      </c>
      <c r="V14" s="96"/>
      <c r="W14" s="96"/>
      <c r="X14" s="318">
        <f t="shared" si="2"/>
        <v>0</v>
      </c>
      <c r="Y14" s="96"/>
      <c r="Z14" s="97"/>
      <c r="AA14" s="96"/>
      <c r="AB14" s="96"/>
      <c r="AC14" s="96"/>
      <c r="AD14" s="96"/>
      <c r="AE14" s="135"/>
      <c r="AF14" s="98"/>
      <c r="AG14" s="98"/>
      <c r="AH14" s="96"/>
      <c r="AI14" s="428"/>
      <c r="AJ14" s="455"/>
    </row>
    <row r="15" spans="1:36" s="512" customFormat="1" ht="20.100000000000001" customHeight="1">
      <c r="A15" s="391">
        <v>4</v>
      </c>
      <c r="B15" s="515"/>
      <c r="C15" s="168"/>
      <c r="D15" s="95"/>
      <c r="E15" s="96"/>
      <c r="F15" s="96"/>
      <c r="G15" s="96"/>
      <c r="H15" s="96"/>
      <c r="I15" s="317">
        <f>F15+G15+H15</f>
        <v>0</v>
      </c>
      <c r="J15" s="69"/>
      <c r="K15" s="69"/>
      <c r="L15" s="69"/>
      <c r="M15" s="69"/>
      <c r="N15" s="69"/>
      <c r="O15" s="69"/>
      <c r="P15" s="69"/>
      <c r="Q15" s="96"/>
      <c r="R15" s="96"/>
      <c r="S15" s="318">
        <f t="shared" si="0"/>
        <v>0</v>
      </c>
      <c r="T15" s="135"/>
      <c r="U15" s="318">
        <f t="shared" si="1"/>
        <v>0</v>
      </c>
      <c r="V15" s="96"/>
      <c r="W15" s="96"/>
      <c r="X15" s="318">
        <f t="shared" si="2"/>
        <v>0</v>
      </c>
      <c r="Y15" s="96"/>
      <c r="Z15" s="97"/>
      <c r="AA15" s="96"/>
      <c r="AB15" s="96"/>
      <c r="AC15" s="96"/>
      <c r="AD15" s="96"/>
      <c r="AE15" s="135"/>
      <c r="AF15" s="98"/>
      <c r="AG15" s="98"/>
      <c r="AH15" s="96"/>
      <c r="AI15" s="428"/>
      <c r="AJ15" s="455"/>
    </row>
    <row r="16" spans="1:36" s="512" customFormat="1" ht="20.100000000000001" customHeight="1">
      <c r="A16" s="391">
        <v>5</v>
      </c>
      <c r="B16" s="515"/>
      <c r="C16" s="168"/>
      <c r="D16" s="95"/>
      <c r="E16" s="96"/>
      <c r="F16" s="96"/>
      <c r="G16" s="96"/>
      <c r="H16" s="96"/>
      <c r="I16" s="317">
        <f>F16+G16+H16</f>
        <v>0</v>
      </c>
      <c r="J16" s="69"/>
      <c r="K16" s="69"/>
      <c r="L16" s="69"/>
      <c r="M16" s="69"/>
      <c r="N16" s="69"/>
      <c r="O16" s="69"/>
      <c r="P16" s="69"/>
      <c r="Q16" s="96"/>
      <c r="R16" s="96"/>
      <c r="S16" s="318">
        <f t="shared" si="0"/>
        <v>0</v>
      </c>
      <c r="T16" s="135"/>
      <c r="U16" s="318">
        <f t="shared" si="1"/>
        <v>0</v>
      </c>
      <c r="V16" s="96"/>
      <c r="W16" s="96"/>
      <c r="X16" s="318">
        <f t="shared" si="2"/>
        <v>0</v>
      </c>
      <c r="Y16" s="96"/>
      <c r="Z16" s="97"/>
      <c r="AA16" s="96"/>
      <c r="AB16" s="96"/>
      <c r="AC16" s="96"/>
      <c r="AD16" s="96"/>
      <c r="AE16" s="135"/>
      <c r="AF16" s="98"/>
      <c r="AG16" s="98"/>
      <c r="AH16" s="96"/>
      <c r="AI16" s="428"/>
      <c r="AJ16" s="455"/>
    </row>
    <row r="17" spans="1:36" s="512" customFormat="1" ht="20.100000000000001" customHeight="1">
      <c r="A17" s="391">
        <v>6</v>
      </c>
      <c r="B17" s="515"/>
      <c r="C17" s="168"/>
      <c r="D17" s="95"/>
      <c r="E17" s="96"/>
      <c r="F17" s="96"/>
      <c r="G17" s="96"/>
      <c r="H17" s="96"/>
      <c r="I17" s="317">
        <f t="shared" si="3"/>
        <v>0</v>
      </c>
      <c r="J17" s="69"/>
      <c r="K17" s="69"/>
      <c r="L17" s="69"/>
      <c r="M17" s="69"/>
      <c r="N17" s="69"/>
      <c r="O17" s="69"/>
      <c r="P17" s="69"/>
      <c r="Q17" s="96"/>
      <c r="R17" s="96"/>
      <c r="S17" s="318">
        <f>F17+Q17-R17</f>
        <v>0</v>
      </c>
      <c r="T17" s="135"/>
      <c r="U17" s="318">
        <f t="shared" si="1"/>
        <v>0</v>
      </c>
      <c r="V17" s="96"/>
      <c r="W17" s="96"/>
      <c r="X17" s="318">
        <f t="shared" si="2"/>
        <v>0</v>
      </c>
      <c r="Y17" s="96"/>
      <c r="Z17" s="97"/>
      <c r="AA17" s="96"/>
      <c r="AB17" s="96"/>
      <c r="AC17" s="96"/>
      <c r="AD17" s="96"/>
      <c r="AE17" s="135"/>
      <c r="AF17" s="98"/>
      <c r="AG17" s="98"/>
      <c r="AH17" s="96"/>
      <c r="AI17" s="428"/>
      <c r="AJ17" s="455"/>
    </row>
    <row r="18" spans="1:36" s="512" customFormat="1" ht="20.100000000000001" customHeight="1">
      <c r="A18" s="391">
        <v>7</v>
      </c>
      <c r="B18" s="515"/>
      <c r="C18" s="168"/>
      <c r="D18" s="95"/>
      <c r="E18" s="96"/>
      <c r="F18" s="96"/>
      <c r="G18" s="96"/>
      <c r="H18" s="96"/>
      <c r="I18" s="317">
        <f t="shared" si="3"/>
        <v>0</v>
      </c>
      <c r="J18" s="69"/>
      <c r="K18" s="69"/>
      <c r="L18" s="69"/>
      <c r="M18" s="69"/>
      <c r="N18" s="69"/>
      <c r="O18" s="69"/>
      <c r="P18" s="69"/>
      <c r="Q18" s="96"/>
      <c r="R18" s="96"/>
      <c r="S18" s="318">
        <f t="shared" ref="S18:S21" si="4">F18+Q18-R18</f>
        <v>0</v>
      </c>
      <c r="T18" s="135"/>
      <c r="U18" s="318">
        <f t="shared" si="1"/>
        <v>0</v>
      </c>
      <c r="V18" s="96"/>
      <c r="W18" s="96"/>
      <c r="X18" s="318">
        <f t="shared" si="2"/>
        <v>0</v>
      </c>
      <c r="Y18" s="96"/>
      <c r="Z18" s="97"/>
      <c r="AA18" s="96"/>
      <c r="AB18" s="96"/>
      <c r="AC18" s="96"/>
      <c r="AD18" s="96"/>
      <c r="AE18" s="135"/>
      <c r="AF18" s="98"/>
      <c r="AG18" s="98"/>
      <c r="AH18" s="96"/>
      <c r="AI18" s="428"/>
      <c r="AJ18" s="455"/>
    </row>
    <row r="19" spans="1:36" s="512" customFormat="1" ht="20.100000000000001" customHeight="1">
      <c r="A19" s="391">
        <v>8</v>
      </c>
      <c r="B19" s="515"/>
      <c r="C19" s="168"/>
      <c r="D19" s="505"/>
      <c r="E19" s="96"/>
      <c r="F19" s="96"/>
      <c r="G19" s="96"/>
      <c r="H19" s="96"/>
      <c r="I19" s="317">
        <f t="shared" si="3"/>
        <v>0</v>
      </c>
      <c r="J19" s="69"/>
      <c r="K19" s="69"/>
      <c r="L19" s="69"/>
      <c r="M19" s="69"/>
      <c r="N19" s="69"/>
      <c r="O19" s="69"/>
      <c r="P19" s="69"/>
      <c r="Q19" s="96"/>
      <c r="R19" s="96"/>
      <c r="S19" s="318">
        <f t="shared" si="4"/>
        <v>0</v>
      </c>
      <c r="T19" s="135"/>
      <c r="U19" s="318">
        <f t="shared" si="1"/>
        <v>0</v>
      </c>
      <c r="V19" s="96"/>
      <c r="W19" s="96"/>
      <c r="X19" s="318">
        <f t="shared" si="2"/>
        <v>0</v>
      </c>
      <c r="Y19" s="96"/>
      <c r="Z19" s="97"/>
      <c r="AA19" s="96"/>
      <c r="AB19" s="96"/>
      <c r="AC19" s="96"/>
      <c r="AD19" s="96"/>
      <c r="AE19" s="135"/>
      <c r="AF19" s="98"/>
      <c r="AG19" s="98"/>
      <c r="AH19" s="96"/>
      <c r="AI19" s="428"/>
      <c r="AJ19" s="455"/>
    </row>
    <row r="20" spans="1:36" s="512" customFormat="1" ht="20.100000000000001" customHeight="1">
      <c r="A20" s="391">
        <v>9</v>
      </c>
      <c r="B20" s="515"/>
      <c r="C20" s="168"/>
      <c r="D20" s="95"/>
      <c r="E20" s="96"/>
      <c r="F20" s="96"/>
      <c r="G20" s="96"/>
      <c r="H20" s="96"/>
      <c r="I20" s="317">
        <f t="shared" si="3"/>
        <v>0</v>
      </c>
      <c r="J20" s="69"/>
      <c r="K20" s="69"/>
      <c r="L20" s="69"/>
      <c r="M20" s="69"/>
      <c r="N20" s="69"/>
      <c r="O20" s="69"/>
      <c r="P20" s="69"/>
      <c r="Q20" s="96"/>
      <c r="R20" s="96"/>
      <c r="S20" s="318">
        <f t="shared" si="4"/>
        <v>0</v>
      </c>
      <c r="T20" s="135"/>
      <c r="U20" s="318">
        <f t="shared" si="1"/>
        <v>0</v>
      </c>
      <c r="V20" s="96"/>
      <c r="W20" s="96"/>
      <c r="X20" s="318">
        <f t="shared" si="2"/>
        <v>0</v>
      </c>
      <c r="Y20" s="96"/>
      <c r="Z20" s="97"/>
      <c r="AA20" s="96"/>
      <c r="AB20" s="96"/>
      <c r="AC20" s="96"/>
      <c r="AD20" s="96"/>
      <c r="AE20" s="135"/>
      <c r="AF20" s="98"/>
      <c r="AG20" s="98"/>
      <c r="AH20" s="96"/>
      <c r="AI20" s="428"/>
      <c r="AJ20" s="455"/>
    </row>
    <row r="21" spans="1:36" s="512" customFormat="1" ht="20.100000000000001" customHeight="1">
      <c r="A21" s="391">
        <v>10</v>
      </c>
      <c r="B21" s="515"/>
      <c r="C21" s="168"/>
      <c r="D21" s="95"/>
      <c r="E21" s="96"/>
      <c r="F21" s="96"/>
      <c r="G21" s="96"/>
      <c r="H21" s="96"/>
      <c r="I21" s="317">
        <f t="shared" si="3"/>
        <v>0</v>
      </c>
      <c r="J21" s="69"/>
      <c r="K21" s="69"/>
      <c r="L21" s="69"/>
      <c r="M21" s="69"/>
      <c r="N21" s="69"/>
      <c r="O21" s="69"/>
      <c r="P21" s="69"/>
      <c r="Q21" s="96"/>
      <c r="R21" s="96"/>
      <c r="S21" s="318">
        <f t="shared" si="4"/>
        <v>0</v>
      </c>
      <c r="T21" s="135"/>
      <c r="U21" s="318">
        <f t="shared" si="1"/>
        <v>0</v>
      </c>
      <c r="V21" s="96"/>
      <c r="W21" s="96"/>
      <c r="X21" s="318">
        <f t="shared" si="2"/>
        <v>0</v>
      </c>
      <c r="Y21" s="96"/>
      <c r="Z21" s="97"/>
      <c r="AA21" s="96"/>
      <c r="AB21" s="96"/>
      <c r="AC21" s="96"/>
      <c r="AD21" s="96"/>
      <c r="AE21" s="135"/>
      <c r="AF21" s="98"/>
      <c r="AG21" s="98"/>
      <c r="AH21" s="96"/>
      <c r="AI21" s="428"/>
      <c r="AJ21" s="455"/>
    </row>
    <row r="22" spans="1:36" s="512" customFormat="1" ht="20.100000000000001" customHeight="1">
      <c r="A22" s="391">
        <v>11</v>
      </c>
      <c r="B22" s="515"/>
      <c r="C22" s="168"/>
      <c r="D22" s="95"/>
      <c r="E22" s="96"/>
      <c r="F22" s="96"/>
      <c r="G22" s="96"/>
      <c r="H22" s="96"/>
      <c r="I22" s="317">
        <f t="shared" si="3"/>
        <v>0</v>
      </c>
      <c r="J22" s="69"/>
      <c r="K22" s="69"/>
      <c r="L22" s="69"/>
      <c r="M22" s="69"/>
      <c r="N22" s="69"/>
      <c r="O22" s="69"/>
      <c r="P22" s="69"/>
      <c r="Q22" s="96"/>
      <c r="R22" s="96"/>
      <c r="S22" s="318">
        <f>F22+Q22-R22</f>
        <v>0</v>
      </c>
      <c r="T22" s="135"/>
      <c r="U22" s="318">
        <f t="shared" si="1"/>
        <v>0</v>
      </c>
      <c r="V22" s="96"/>
      <c r="W22" s="96"/>
      <c r="X22" s="318">
        <f t="shared" si="2"/>
        <v>0</v>
      </c>
      <c r="Y22" s="96"/>
      <c r="Z22" s="97"/>
      <c r="AA22" s="96"/>
      <c r="AB22" s="96"/>
      <c r="AC22" s="96"/>
      <c r="AD22" s="96"/>
      <c r="AE22" s="135"/>
      <c r="AF22" s="98"/>
      <c r="AG22" s="98"/>
      <c r="AH22" s="96"/>
      <c r="AI22" s="428"/>
      <c r="AJ22" s="455"/>
    </row>
    <row r="23" spans="1:36" s="512" customFormat="1" ht="20.100000000000001" customHeight="1">
      <c r="A23" s="391">
        <v>12</v>
      </c>
      <c r="B23" s="516"/>
      <c r="C23" s="169"/>
      <c r="D23" s="95"/>
      <c r="E23" s="96"/>
      <c r="F23" s="96"/>
      <c r="G23" s="96"/>
      <c r="H23" s="96"/>
      <c r="I23" s="317">
        <f t="shared" si="3"/>
        <v>0</v>
      </c>
      <c r="J23" s="69"/>
      <c r="K23" s="69"/>
      <c r="L23" s="69"/>
      <c r="M23" s="69"/>
      <c r="N23" s="69"/>
      <c r="O23" s="69"/>
      <c r="P23" s="69"/>
      <c r="Q23" s="96"/>
      <c r="R23" s="96"/>
      <c r="S23" s="318">
        <f t="shared" ref="S23:S32" si="5">F23+Q23-R23</f>
        <v>0</v>
      </c>
      <c r="T23" s="135"/>
      <c r="U23" s="318">
        <f t="shared" si="1"/>
        <v>0</v>
      </c>
      <c r="V23" s="96"/>
      <c r="W23" s="96"/>
      <c r="X23" s="318">
        <f t="shared" si="2"/>
        <v>0</v>
      </c>
      <c r="Y23" s="96"/>
      <c r="Z23" s="97"/>
      <c r="AA23" s="96"/>
      <c r="AB23" s="96"/>
      <c r="AC23" s="96"/>
      <c r="AD23" s="96"/>
      <c r="AE23" s="135"/>
      <c r="AF23" s="98"/>
      <c r="AG23" s="98"/>
      <c r="AH23" s="96"/>
      <c r="AI23" s="428"/>
      <c r="AJ23" s="455"/>
    </row>
    <row r="24" spans="1:36" s="512" customFormat="1" ht="20.100000000000001" customHeight="1">
      <c r="A24" s="391">
        <v>13</v>
      </c>
      <c r="B24" s="515"/>
      <c r="C24" s="168"/>
      <c r="D24" s="95"/>
      <c r="E24" s="96"/>
      <c r="F24" s="96"/>
      <c r="G24" s="96"/>
      <c r="H24" s="96"/>
      <c r="I24" s="317">
        <f t="shared" si="3"/>
        <v>0</v>
      </c>
      <c r="J24" s="69"/>
      <c r="K24" s="69"/>
      <c r="L24" s="69"/>
      <c r="M24" s="69"/>
      <c r="N24" s="69"/>
      <c r="O24" s="69"/>
      <c r="P24" s="69"/>
      <c r="Q24" s="96"/>
      <c r="R24" s="96"/>
      <c r="S24" s="318">
        <f t="shared" si="5"/>
        <v>0</v>
      </c>
      <c r="T24" s="135"/>
      <c r="U24" s="318">
        <f t="shared" si="1"/>
        <v>0</v>
      </c>
      <c r="V24" s="96"/>
      <c r="W24" s="96"/>
      <c r="X24" s="318">
        <f t="shared" si="2"/>
        <v>0</v>
      </c>
      <c r="Y24" s="96"/>
      <c r="Z24" s="97"/>
      <c r="AA24" s="96"/>
      <c r="AB24" s="96"/>
      <c r="AC24" s="96"/>
      <c r="AD24" s="96"/>
      <c r="AE24" s="135"/>
      <c r="AF24" s="98"/>
      <c r="AG24" s="98"/>
      <c r="AH24" s="96"/>
      <c r="AI24" s="428"/>
      <c r="AJ24" s="455"/>
    </row>
    <row r="25" spans="1:36" s="512" customFormat="1" ht="20.100000000000001" customHeight="1">
      <c r="A25" s="391">
        <v>14</v>
      </c>
      <c r="B25" s="515"/>
      <c r="C25" s="168"/>
      <c r="D25" s="95"/>
      <c r="E25" s="96"/>
      <c r="F25" s="96"/>
      <c r="G25" s="96"/>
      <c r="H25" s="96"/>
      <c r="I25" s="317">
        <f t="shared" si="3"/>
        <v>0</v>
      </c>
      <c r="J25" s="69"/>
      <c r="K25" s="69"/>
      <c r="L25" s="69"/>
      <c r="M25" s="69"/>
      <c r="N25" s="69"/>
      <c r="O25" s="69"/>
      <c r="P25" s="69"/>
      <c r="Q25" s="96"/>
      <c r="R25" s="96"/>
      <c r="S25" s="318">
        <f t="shared" si="5"/>
        <v>0</v>
      </c>
      <c r="T25" s="135"/>
      <c r="U25" s="318">
        <f t="shared" si="1"/>
        <v>0</v>
      </c>
      <c r="V25" s="96"/>
      <c r="W25" s="96"/>
      <c r="X25" s="318">
        <f t="shared" si="2"/>
        <v>0</v>
      </c>
      <c r="Y25" s="96"/>
      <c r="Z25" s="97"/>
      <c r="AA25" s="96"/>
      <c r="AB25" s="96"/>
      <c r="AC25" s="96"/>
      <c r="AD25" s="96"/>
      <c r="AE25" s="135"/>
      <c r="AF25" s="98"/>
      <c r="AG25" s="98"/>
      <c r="AH25" s="96"/>
      <c r="AI25" s="428"/>
      <c r="AJ25" s="455"/>
    </row>
    <row r="26" spans="1:36" s="512" customFormat="1" ht="20.100000000000001" customHeight="1">
      <c r="A26" s="391">
        <v>15</v>
      </c>
      <c r="B26" s="515"/>
      <c r="C26" s="168"/>
      <c r="D26" s="95"/>
      <c r="E26" s="96"/>
      <c r="F26" s="96"/>
      <c r="G26" s="96"/>
      <c r="H26" s="96"/>
      <c r="I26" s="317">
        <f t="shared" si="3"/>
        <v>0</v>
      </c>
      <c r="J26" s="69"/>
      <c r="K26" s="69"/>
      <c r="L26" s="69"/>
      <c r="M26" s="69"/>
      <c r="N26" s="69"/>
      <c r="O26" s="69"/>
      <c r="P26" s="69"/>
      <c r="Q26" s="96"/>
      <c r="R26" s="96"/>
      <c r="S26" s="318">
        <f t="shared" si="5"/>
        <v>0</v>
      </c>
      <c r="T26" s="135"/>
      <c r="U26" s="318">
        <f t="shared" si="1"/>
        <v>0</v>
      </c>
      <c r="V26" s="96"/>
      <c r="W26" s="96"/>
      <c r="X26" s="318">
        <f t="shared" si="2"/>
        <v>0</v>
      </c>
      <c r="Y26" s="96"/>
      <c r="Z26" s="97"/>
      <c r="AA26" s="96"/>
      <c r="AB26" s="96"/>
      <c r="AC26" s="96"/>
      <c r="AD26" s="96"/>
      <c r="AE26" s="135"/>
      <c r="AF26" s="98"/>
      <c r="AG26" s="98"/>
      <c r="AH26" s="96"/>
      <c r="AI26" s="428"/>
      <c r="AJ26" s="455"/>
    </row>
    <row r="27" spans="1:36" s="512" customFormat="1" ht="20.100000000000001" customHeight="1">
      <c r="A27" s="391">
        <v>16</v>
      </c>
      <c r="B27" s="515"/>
      <c r="C27" s="168"/>
      <c r="D27" s="95"/>
      <c r="E27" s="96"/>
      <c r="F27" s="96"/>
      <c r="G27" s="96"/>
      <c r="H27" s="96"/>
      <c r="I27" s="317">
        <f t="shared" si="3"/>
        <v>0</v>
      </c>
      <c r="J27" s="69"/>
      <c r="K27" s="69"/>
      <c r="L27" s="69"/>
      <c r="M27" s="69"/>
      <c r="N27" s="69"/>
      <c r="O27" s="69"/>
      <c r="P27" s="69"/>
      <c r="Q27" s="96"/>
      <c r="R27" s="96"/>
      <c r="S27" s="318">
        <f t="shared" si="5"/>
        <v>0</v>
      </c>
      <c r="T27" s="135"/>
      <c r="U27" s="318">
        <f t="shared" si="1"/>
        <v>0</v>
      </c>
      <c r="V27" s="96"/>
      <c r="W27" s="96"/>
      <c r="X27" s="318">
        <f t="shared" si="2"/>
        <v>0</v>
      </c>
      <c r="Y27" s="96"/>
      <c r="Z27" s="97"/>
      <c r="AA27" s="96"/>
      <c r="AB27" s="96"/>
      <c r="AC27" s="96"/>
      <c r="AD27" s="96"/>
      <c r="AE27" s="135"/>
      <c r="AF27" s="98"/>
      <c r="AG27" s="98"/>
      <c r="AH27" s="96"/>
      <c r="AI27" s="428"/>
      <c r="AJ27" s="455"/>
    </row>
    <row r="28" spans="1:36" s="512" customFormat="1" ht="20.100000000000001" customHeight="1">
      <c r="A28" s="391">
        <v>17</v>
      </c>
      <c r="B28" s="515"/>
      <c r="C28" s="168"/>
      <c r="D28" s="95"/>
      <c r="E28" s="96"/>
      <c r="F28" s="96"/>
      <c r="G28" s="96"/>
      <c r="H28" s="96"/>
      <c r="I28" s="317">
        <f t="shared" si="3"/>
        <v>0</v>
      </c>
      <c r="J28" s="69"/>
      <c r="K28" s="69"/>
      <c r="L28" s="69"/>
      <c r="M28" s="69"/>
      <c r="N28" s="69"/>
      <c r="O28" s="69"/>
      <c r="P28" s="69"/>
      <c r="Q28" s="96"/>
      <c r="R28" s="96"/>
      <c r="S28" s="318">
        <f t="shared" si="5"/>
        <v>0</v>
      </c>
      <c r="T28" s="135"/>
      <c r="U28" s="318">
        <f t="shared" si="1"/>
        <v>0</v>
      </c>
      <c r="V28" s="96"/>
      <c r="W28" s="96"/>
      <c r="X28" s="318">
        <f t="shared" si="2"/>
        <v>0</v>
      </c>
      <c r="Y28" s="96"/>
      <c r="Z28" s="97"/>
      <c r="AA28" s="96"/>
      <c r="AB28" s="96"/>
      <c r="AC28" s="96"/>
      <c r="AD28" s="96"/>
      <c r="AE28" s="135"/>
      <c r="AF28" s="98"/>
      <c r="AG28" s="98"/>
      <c r="AH28" s="96"/>
      <c r="AI28" s="428"/>
      <c r="AJ28" s="455"/>
    </row>
    <row r="29" spans="1:36" s="512" customFormat="1" ht="20.100000000000001" customHeight="1">
      <c r="A29" s="391">
        <v>18</v>
      </c>
      <c r="B29" s="515"/>
      <c r="C29" s="168"/>
      <c r="D29" s="95"/>
      <c r="E29" s="96"/>
      <c r="F29" s="96"/>
      <c r="G29" s="96"/>
      <c r="H29" s="96"/>
      <c r="I29" s="317">
        <f t="shared" si="3"/>
        <v>0</v>
      </c>
      <c r="J29" s="69"/>
      <c r="K29" s="69"/>
      <c r="L29" s="69"/>
      <c r="M29" s="69"/>
      <c r="N29" s="69"/>
      <c r="O29" s="69"/>
      <c r="P29" s="69"/>
      <c r="Q29" s="96"/>
      <c r="R29" s="96"/>
      <c r="S29" s="318">
        <f t="shared" si="5"/>
        <v>0</v>
      </c>
      <c r="T29" s="135"/>
      <c r="U29" s="318">
        <f t="shared" si="1"/>
        <v>0</v>
      </c>
      <c r="V29" s="96"/>
      <c r="W29" s="96"/>
      <c r="X29" s="318">
        <f t="shared" si="2"/>
        <v>0</v>
      </c>
      <c r="Y29" s="96"/>
      <c r="Z29" s="97"/>
      <c r="AA29" s="96"/>
      <c r="AB29" s="96"/>
      <c r="AC29" s="96"/>
      <c r="AD29" s="96"/>
      <c r="AE29" s="135"/>
      <c r="AF29" s="98"/>
      <c r="AG29" s="98"/>
      <c r="AH29" s="96"/>
      <c r="AI29" s="428"/>
      <c r="AJ29" s="455"/>
    </row>
    <row r="30" spans="1:36" s="512" customFormat="1" ht="20.100000000000001" customHeight="1">
      <c r="A30" s="391">
        <v>19</v>
      </c>
      <c r="B30" s="515"/>
      <c r="C30" s="168"/>
      <c r="D30" s="95"/>
      <c r="E30" s="96"/>
      <c r="F30" s="96"/>
      <c r="G30" s="96"/>
      <c r="H30" s="96"/>
      <c r="I30" s="317">
        <f>F30+G30+H30</f>
        <v>0</v>
      </c>
      <c r="J30" s="69"/>
      <c r="K30" s="69"/>
      <c r="L30" s="69"/>
      <c r="M30" s="69"/>
      <c r="N30" s="69"/>
      <c r="O30" s="69"/>
      <c r="P30" s="69"/>
      <c r="Q30" s="96"/>
      <c r="R30" s="96"/>
      <c r="S30" s="318">
        <f>F30+Q30-R30</f>
        <v>0</v>
      </c>
      <c r="T30" s="135"/>
      <c r="U30" s="318">
        <f t="shared" si="1"/>
        <v>0</v>
      </c>
      <c r="V30" s="96"/>
      <c r="W30" s="96"/>
      <c r="X30" s="318">
        <f t="shared" si="2"/>
        <v>0</v>
      </c>
      <c r="Y30" s="96"/>
      <c r="Z30" s="97"/>
      <c r="AA30" s="96"/>
      <c r="AB30" s="96"/>
      <c r="AC30" s="96"/>
      <c r="AD30" s="96"/>
      <c r="AE30" s="135"/>
      <c r="AF30" s="98"/>
      <c r="AG30" s="98"/>
      <c r="AH30" s="96"/>
      <c r="AI30" s="428"/>
      <c r="AJ30" s="455"/>
    </row>
    <row r="31" spans="1:36" s="512" customFormat="1" ht="20.100000000000001" customHeight="1">
      <c r="A31" s="391">
        <v>20</v>
      </c>
      <c r="B31" s="515"/>
      <c r="C31" s="168"/>
      <c r="D31" s="95"/>
      <c r="E31" s="96"/>
      <c r="F31" s="96"/>
      <c r="G31" s="96"/>
      <c r="H31" s="96"/>
      <c r="I31" s="317">
        <f t="shared" si="3"/>
        <v>0</v>
      </c>
      <c r="J31" s="69"/>
      <c r="K31" s="69"/>
      <c r="L31" s="69"/>
      <c r="M31" s="69"/>
      <c r="N31" s="69"/>
      <c r="O31" s="69"/>
      <c r="P31" s="69"/>
      <c r="Q31" s="96"/>
      <c r="R31" s="96"/>
      <c r="S31" s="318">
        <f t="shared" si="5"/>
        <v>0</v>
      </c>
      <c r="T31" s="135"/>
      <c r="U31" s="318">
        <f t="shared" si="1"/>
        <v>0</v>
      </c>
      <c r="V31" s="96"/>
      <c r="W31" s="96"/>
      <c r="X31" s="318">
        <f t="shared" si="2"/>
        <v>0</v>
      </c>
      <c r="Y31" s="96"/>
      <c r="Z31" s="97"/>
      <c r="AA31" s="96"/>
      <c r="AB31" s="96"/>
      <c r="AC31" s="96"/>
      <c r="AD31" s="96"/>
      <c r="AE31" s="135"/>
      <c r="AF31" s="98"/>
      <c r="AG31" s="98"/>
      <c r="AH31" s="96"/>
      <c r="AI31" s="428"/>
      <c r="AJ31" s="455"/>
    </row>
    <row r="32" spans="1:36" s="512" customFormat="1" ht="20.100000000000001" customHeight="1">
      <c r="A32" s="391">
        <v>21</v>
      </c>
      <c r="B32" s="515"/>
      <c r="C32" s="168"/>
      <c r="D32" s="95"/>
      <c r="E32" s="96"/>
      <c r="F32" s="96"/>
      <c r="G32" s="96"/>
      <c r="H32" s="96"/>
      <c r="I32" s="317">
        <f t="shared" si="3"/>
        <v>0</v>
      </c>
      <c r="J32" s="69"/>
      <c r="K32" s="69"/>
      <c r="L32" s="69"/>
      <c r="M32" s="69"/>
      <c r="N32" s="69"/>
      <c r="O32" s="69"/>
      <c r="P32" s="69"/>
      <c r="Q32" s="96"/>
      <c r="R32" s="96"/>
      <c r="S32" s="318">
        <f t="shared" si="5"/>
        <v>0</v>
      </c>
      <c r="T32" s="135"/>
      <c r="U32" s="318">
        <f t="shared" si="1"/>
        <v>0</v>
      </c>
      <c r="V32" s="96"/>
      <c r="W32" s="96"/>
      <c r="X32" s="318">
        <f t="shared" si="2"/>
        <v>0</v>
      </c>
      <c r="Y32" s="96"/>
      <c r="Z32" s="97"/>
      <c r="AA32" s="96"/>
      <c r="AB32" s="96"/>
      <c r="AC32" s="96"/>
      <c r="AD32" s="96"/>
      <c r="AE32" s="135"/>
      <c r="AF32" s="98"/>
      <c r="AG32" s="98"/>
      <c r="AH32" s="96"/>
      <c r="AI32" s="428"/>
      <c r="AJ32" s="455"/>
    </row>
    <row r="33" spans="1:36" s="51" customFormat="1" ht="20.100000000000001" customHeight="1">
      <c r="A33" s="454" t="s">
        <v>634</v>
      </c>
      <c r="B33" s="317"/>
      <c r="C33" s="317"/>
      <c r="D33" s="317"/>
      <c r="E33" s="317"/>
      <c r="F33" s="317">
        <f>SUM(F12:F32)</f>
        <v>0</v>
      </c>
      <c r="G33" s="317">
        <f t="shared" ref="G33:P33" si="6">SUM(G12:G32)</f>
        <v>0</v>
      </c>
      <c r="H33" s="317">
        <f t="shared" si="6"/>
        <v>0</v>
      </c>
      <c r="I33" s="317">
        <f t="shared" si="6"/>
        <v>0</v>
      </c>
      <c r="J33" s="317">
        <f t="shared" si="6"/>
        <v>0</v>
      </c>
      <c r="K33" s="317">
        <f t="shared" si="6"/>
        <v>0</v>
      </c>
      <c r="L33" s="317">
        <f t="shared" si="6"/>
        <v>0</v>
      </c>
      <c r="M33" s="317">
        <f t="shared" si="6"/>
        <v>0</v>
      </c>
      <c r="N33" s="317">
        <f t="shared" si="6"/>
        <v>0</v>
      </c>
      <c r="O33" s="317">
        <f t="shared" si="6"/>
        <v>0</v>
      </c>
      <c r="P33" s="317">
        <f t="shared" si="6"/>
        <v>0</v>
      </c>
      <c r="Q33" s="317">
        <f>SUM(Q12:Q32)</f>
        <v>0</v>
      </c>
      <c r="R33" s="317">
        <f t="shared" ref="R33:AC33" si="7">SUM(R12:R32)</f>
        <v>0</v>
      </c>
      <c r="S33" s="317">
        <f>SUM(S12:S32)</f>
        <v>0</v>
      </c>
      <c r="T33" s="317">
        <f t="shared" ref="T33:U33" si="8">SUM(T12:T32)</f>
        <v>0</v>
      </c>
      <c r="U33" s="317">
        <f t="shared" si="8"/>
        <v>0</v>
      </c>
      <c r="V33" s="317">
        <f t="shared" si="7"/>
        <v>0</v>
      </c>
      <c r="W33" s="317">
        <f t="shared" si="7"/>
        <v>0</v>
      </c>
      <c r="X33" s="317">
        <f>SUM(X12:X32)</f>
        <v>0</v>
      </c>
      <c r="Y33" s="317">
        <f t="shared" si="7"/>
        <v>0</v>
      </c>
      <c r="Z33" s="317">
        <f t="shared" si="7"/>
        <v>0</v>
      </c>
      <c r="AA33" s="317">
        <f t="shared" si="7"/>
        <v>0</v>
      </c>
      <c r="AB33" s="317">
        <f t="shared" si="7"/>
        <v>0</v>
      </c>
      <c r="AC33" s="317">
        <f t="shared" si="7"/>
        <v>0</v>
      </c>
      <c r="AD33" s="317">
        <f>SUM(AD12:AD32)</f>
        <v>0</v>
      </c>
      <c r="AE33" s="317">
        <f>SUM(AE12:AE32)</f>
        <v>0</v>
      </c>
      <c r="AF33" s="317"/>
      <c r="AG33" s="317"/>
      <c r="AH33" s="317"/>
      <c r="AI33" s="317"/>
      <c r="AJ33" s="317"/>
    </row>
    <row r="34" spans="1:36" s="50" customFormat="1" ht="20.100000000000001" customHeight="1">
      <c r="A34" s="456" t="s">
        <v>633</v>
      </c>
      <c r="B34" s="317"/>
      <c r="C34" s="317"/>
      <c r="D34" s="317"/>
      <c r="E34" s="317"/>
      <c r="F34" s="317"/>
      <c r="G34" s="317"/>
      <c r="H34" s="317"/>
      <c r="I34" s="327" t="str">
        <f>IF((ROUND(I33-SUM(J33:O33),2)=0),"OK","账龄与审定不匹配")</f>
        <v>OK</v>
      </c>
      <c r="J34" s="323" t="str">
        <f>IF(J33=0,"",J33/$I$33)</f>
        <v/>
      </c>
      <c r="K34" s="323" t="str">
        <f t="shared" ref="K34:N34" si="9">IF(K33=0,"",K33/$I$33)</f>
        <v/>
      </c>
      <c r="L34" s="323" t="str">
        <f t="shared" si="9"/>
        <v/>
      </c>
      <c r="M34" s="323" t="str">
        <f t="shared" si="9"/>
        <v/>
      </c>
      <c r="N34" s="323" t="str">
        <f t="shared" si="9"/>
        <v/>
      </c>
      <c r="O34" s="323" t="str">
        <f>IF(O33=0,"",O33/$I$33)</f>
        <v/>
      </c>
      <c r="P34" s="317"/>
      <c r="Q34" s="317"/>
      <c r="R34" s="317"/>
      <c r="S34" s="317"/>
      <c r="T34" s="317"/>
      <c r="U34" s="317"/>
      <c r="V34" s="317"/>
      <c r="W34" s="317"/>
      <c r="X34" s="327" t="str">
        <f>IF((ROUND(X33-SUM(Y33:AD33),2)=0),"OK","账龄与审定不匹配")</f>
        <v>OK</v>
      </c>
      <c r="Y34" s="323" t="str">
        <f t="shared" ref="Y34:AD34" si="10">IF(Y33=0,"",Y33/$X$33)</f>
        <v/>
      </c>
      <c r="Z34" s="323" t="str">
        <f t="shared" si="10"/>
        <v/>
      </c>
      <c r="AA34" s="323" t="str">
        <f t="shared" si="10"/>
        <v/>
      </c>
      <c r="AB34" s="323" t="str">
        <f t="shared" si="10"/>
        <v/>
      </c>
      <c r="AC34" s="323" t="str">
        <f t="shared" si="10"/>
        <v/>
      </c>
      <c r="AD34" s="323" t="str">
        <f t="shared" si="10"/>
        <v/>
      </c>
      <c r="AE34" s="317"/>
      <c r="AF34" s="317"/>
      <c r="AG34" s="317"/>
      <c r="AH34" s="317"/>
      <c r="AI34" s="317"/>
      <c r="AJ34" s="317"/>
    </row>
    <row r="35" spans="1:36" s="50" customFormat="1" ht="20.100000000000001" customHeight="1">
      <c r="A35" s="518" t="s">
        <v>644</v>
      </c>
      <c r="B35" s="423"/>
      <c r="C35" s="424"/>
      <c r="D35" s="424"/>
      <c r="E35" s="424"/>
      <c r="F35" s="424"/>
      <c r="G35" s="424"/>
      <c r="H35" s="424"/>
      <c r="I35" s="425"/>
      <c r="J35" s="426"/>
      <c r="K35" s="426"/>
      <c r="L35" s="426"/>
      <c r="M35" s="426"/>
      <c r="N35" s="426"/>
      <c r="O35" s="426"/>
      <c r="P35" s="424"/>
      <c r="Q35" s="424"/>
      <c r="R35" s="424"/>
      <c r="S35" s="424"/>
      <c r="T35" s="424"/>
      <c r="U35" s="424"/>
      <c r="V35" s="424"/>
      <c r="W35" s="424"/>
      <c r="X35" s="425"/>
      <c r="Y35" s="426"/>
      <c r="Z35" s="427" t="b">
        <f>IF(Z33&lt;=J33,TRUE,FALSE)</f>
        <v>1</v>
      </c>
      <c r="AA35" s="427" t="b">
        <f>IF(AA33&lt;=K33,TRUE,FALSE)</f>
        <v>1</v>
      </c>
      <c r="AB35" s="427" t="b">
        <f>IF(AB33&lt;=L33,TRUE,FALSE)</f>
        <v>1</v>
      </c>
      <c r="AC35" s="427" t="b">
        <f>IF(AC33&lt;=M33,TRUE,FALSE)</f>
        <v>1</v>
      </c>
      <c r="AD35" s="427" t="b">
        <f>IF(AD33&lt;=(N33+O33),TRUE,FALSE)</f>
        <v>1</v>
      </c>
      <c r="AE35" s="424"/>
      <c r="AF35" s="424"/>
      <c r="AG35" s="424"/>
      <c r="AH35" s="424"/>
      <c r="AI35" s="423"/>
      <c r="AJ35" s="423"/>
    </row>
    <row r="36" spans="1:36" ht="20.100000000000001" customHeight="1">
      <c r="A36" s="517" t="s">
        <v>92</v>
      </c>
      <c r="B36" s="503"/>
      <c r="C36" s="503"/>
      <c r="D36" s="23"/>
      <c r="E36" s="23"/>
      <c r="AI36" s="519"/>
    </row>
    <row r="37" spans="1:36" ht="20.100000000000001" customHeight="1">
      <c r="A37" s="486" t="s">
        <v>694</v>
      </c>
      <c r="B37" s="487"/>
      <c r="C37" s="487"/>
      <c r="D37" s="487"/>
      <c r="E37" s="487"/>
    </row>
    <row r="38" spans="1:36" ht="20.100000000000001" customHeight="1">
      <c r="A38" s="486" t="s">
        <v>695</v>
      </c>
      <c r="B38" s="487"/>
      <c r="C38" s="487"/>
      <c r="D38" s="487"/>
      <c r="E38" s="487"/>
    </row>
    <row r="39" spans="1:36" ht="20.100000000000001" customHeight="1">
      <c r="A39" s="541" t="s">
        <v>833</v>
      </c>
      <c r="B39" s="23"/>
      <c r="C39" s="23"/>
      <c r="D39" s="23"/>
      <c r="E39" s="23"/>
    </row>
    <row r="40" spans="1:36" ht="20.100000000000001" customHeight="1">
      <c r="A40" s="39"/>
      <c r="B40" s="23"/>
      <c r="C40" s="23"/>
      <c r="D40" s="23"/>
      <c r="E40" s="23"/>
    </row>
    <row r="41" spans="1:36" ht="20.100000000000001" customHeight="1">
      <c r="A41" s="23"/>
      <c r="B41" s="23"/>
      <c r="C41" s="23"/>
      <c r="D41" s="23"/>
      <c r="E41" s="23"/>
    </row>
    <row r="42" spans="1:36" ht="20.100000000000001" customHeight="1">
      <c r="A42" s="40" t="s">
        <v>93</v>
      </c>
      <c r="B42" s="23"/>
      <c r="C42" s="23"/>
      <c r="D42" s="23"/>
      <c r="E42" s="23"/>
    </row>
    <row r="43" spans="1:36" ht="20.100000000000001" customHeight="1">
      <c r="A43" s="23"/>
      <c r="B43" s="23"/>
      <c r="C43" s="23"/>
      <c r="D43" s="23"/>
      <c r="E43" s="23"/>
    </row>
    <row r="44" spans="1:36" ht="20.100000000000001" customHeight="1">
      <c r="A44" s="521" t="s">
        <v>749</v>
      </c>
      <c r="B44" s="352"/>
      <c r="C44" s="352"/>
      <c r="D44" s="352"/>
      <c r="E44" s="352"/>
      <c r="F44" s="348"/>
      <c r="G44" s="348"/>
      <c r="H44" s="348"/>
    </row>
    <row r="45" spans="1:36" ht="20.100000000000001" customHeight="1">
      <c r="A45" s="520" t="s">
        <v>747</v>
      </c>
      <c r="B45" s="352"/>
      <c r="C45" s="352"/>
      <c r="D45" s="352"/>
      <c r="E45" s="352"/>
      <c r="F45" s="348"/>
      <c r="G45" s="348"/>
      <c r="H45" s="348"/>
    </row>
    <row r="46" spans="1:36">
      <c r="A46" s="520" t="s">
        <v>748</v>
      </c>
      <c r="B46" s="352"/>
      <c r="C46" s="352"/>
      <c r="D46" s="352"/>
      <c r="E46" s="352"/>
      <c r="F46" s="348"/>
      <c r="G46" s="348"/>
      <c r="H46" s="348"/>
    </row>
    <row r="47" spans="1:36">
      <c r="A47" s="501"/>
      <c r="B47" s="385"/>
      <c r="C47" s="385"/>
      <c r="D47" s="385"/>
      <c r="E47" s="385"/>
      <c r="F47" s="348"/>
      <c r="G47" s="348"/>
      <c r="H47" s="348"/>
    </row>
    <row r="48" spans="1:36">
      <c r="A48" s="386"/>
      <c r="B48" s="352"/>
      <c r="C48" s="352"/>
      <c r="E48" s="386"/>
      <c r="F48" s="386"/>
      <c r="G48" s="356"/>
      <c r="H48" s="348"/>
    </row>
    <row r="49" spans="1:8">
      <c r="A49" s="386"/>
      <c r="B49" s="352"/>
      <c r="C49" s="352"/>
      <c r="E49" s="386"/>
      <c r="F49" s="386"/>
      <c r="G49" s="356"/>
      <c r="H49" s="348"/>
    </row>
    <row r="50" spans="1:8">
      <c r="A50" s="386"/>
      <c r="B50" s="352"/>
      <c r="C50" s="352"/>
      <c r="E50" s="386"/>
      <c r="F50" s="386"/>
      <c r="G50" s="356"/>
      <c r="H50" s="348"/>
    </row>
  </sheetData>
  <mergeCells count="28">
    <mergeCell ref="C10:C11"/>
    <mergeCell ref="Y10:AD10"/>
    <mergeCell ref="AF10:AF11"/>
    <mergeCell ref="AG10:AG11"/>
    <mergeCell ref="AH10:AH11"/>
    <mergeCell ref="R10:R11"/>
    <mergeCell ref="S10:S11"/>
    <mergeCell ref="V10:V11"/>
    <mergeCell ref="W10:W11"/>
    <mergeCell ref="X10:X11"/>
    <mergeCell ref="T10:T11"/>
    <mergeCell ref="U10:U11"/>
    <mergeCell ref="AJ10:AJ11"/>
    <mergeCell ref="A1:AJ1"/>
    <mergeCell ref="A2:AJ2"/>
    <mergeCell ref="AE10:AE11"/>
    <mergeCell ref="P10:P11"/>
    <mergeCell ref="D10:D11"/>
    <mergeCell ref="G10:G11"/>
    <mergeCell ref="H10:H11"/>
    <mergeCell ref="I10:I11"/>
    <mergeCell ref="J10:O10"/>
    <mergeCell ref="E10:E11"/>
    <mergeCell ref="AI10:AI11"/>
    <mergeCell ref="A10:A11"/>
    <mergeCell ref="B10:B11"/>
    <mergeCell ref="F10:F11"/>
    <mergeCell ref="Q10:Q11"/>
  </mergeCells>
  <phoneticPr fontId="20" type="noConversion"/>
  <dataValidations xWindow="2325" yWindow="603" count="6">
    <dataValidation type="list" allowBlank="1" showInputMessage="1" showErrorMessage="1" prompt="如要修改下列框的选项，单击“数据-数据有效性-设置-序列-来源”。" sqref="AG12:AG32">
      <formula1>"组合1,组合2,组合3,组合4,组合5,组合6,组合X"</formula1>
    </dataValidation>
    <dataValidation type="list" allowBlank="1" showInputMessage="1" showErrorMessage="1" prompt="如要修改下列框的选项，单击“数据-数据有效性-设置-序列-来源”。" sqref="AF12:AF32">
      <formula1>"单项计提,账龄组合,客户类型组合,保证金组合,押金组合,其他组合"</formula1>
    </dataValidation>
    <dataValidation type="list" allowBlank="1" showInputMessage="1" showErrorMessage="1" sqref="B65553:E65568 B983057:E983072 B917521:E917536 B851985:E852000 B786449:E786464 B720913:E720928 B655377:E655392 B589841:E589856 B524305:E524320 B458769:E458784 B393233:E393248 B327697:E327712 B262161:E262176 B196625:E196640 B131089:E131104">
      <formula1>"是,否"</formula1>
    </dataValidation>
    <dataValidation type="list" allowBlank="1" showInputMessage="1" sqref="F65554:P65568 F131090:P131104 F196626:P196640 F262162:P262176 F327698:P327712 F393234:P393248 F458770:P458784 F524306:P524320 F589842:P589856 F655378:P655392 F720914:P720928 F786450:P786464 F851986:P852000 F917522:P917536 F983058:P983072">
      <formula1>"人民币,美元,港元,日元,欧元,英镑,瑞士法郎,加拿大元,澳大利亚元,新加坡元,丹麦克朗,挪威克朗,瑞典克朗,澳门元,新西兰元,韩元,其他(请填写) "</formula1>
    </dataValidation>
    <dataValidation type="list" allowBlank="1" showInputMessage="1" showErrorMessage="1" sqref="AL917522:AL917536 AL851986:AL852000 AL786450:AL786464 AL720914:AL720928 AL655378:AL655392 AL589842:AL589856 AL524306:AL524320 AL458770:AL458784 AL393234:AL393248 AL327698:AL327712 AL262162:AL262176 AL196626:AL196640 AL131090:AL131104 AL65554:AL65568 AL983058:AL983072">
      <formula1>"√,×"</formula1>
    </dataValidation>
    <dataValidation type="list" allowBlank="1" showInputMessage="1" showErrorMessage="1" sqref="AN917522:AN917536 AN851986:AN852000 AN786450:AN786464 AN720914:AN720928 AN655378:AN655392 AN589842:AN589856 AN524306:AN524320 AN458770:AN458784 AN393234:AN393248 AN327698:AN327712 AN262162:AN262176 AN196626:AN196640 AN131090:AN131104 AN65554:AN65568 AN983058:AN983072">
      <formula1>"未支付,全额支付,部分支付"</formula1>
    </dataValidation>
  </dataValidations>
  <hyperlinks>
    <hyperlink ref="AJ3" location="底稿目录!A1" display="底稿目录!A1"/>
  </hyperlinks>
  <pageMargins left="0.74803149606299213" right="0.74803149606299213" top="0.98425196850393704" bottom="0.98425196850393704" header="0.51181102362204722" footer="0.51181102362204722"/>
  <pageSetup paperSize="9" scale="40" fitToHeight="0" orientation="landscape" blackAndWhite="1" r:id="rId1"/>
  <headerFooter alignWithMargins="0"/>
  <legacyDrawing r:id="rId2"/>
  <extLst>
    <ext xmlns:x14="http://schemas.microsoft.com/office/spreadsheetml/2009/9/main" uri="{CCE6A557-97BC-4b89-ADB6-D9C93CAAB3DF}">
      <x14:dataValidations xmlns:xm="http://schemas.microsoft.com/office/excel/2006/main" xWindow="2325" yWindow="603" count="2">
        <x14:dataValidation type="list" allowBlank="1" showInputMessage="1" showErrorMessage="1">
          <x14:formula1>
            <xm:f>底稿目录!$A$9:$A$16</xm:f>
          </x14:formula1>
          <xm:sqref>D12:D32</xm:sqref>
        </x14:dataValidation>
        <x14:dataValidation type="list" allowBlank="1" showInputMessage="1" showErrorMessage="1">
          <x14:formula1>
            <xm:f>'审定表K1-1'!$A$57:$A$62</xm:f>
          </x14:formula1>
          <xm:sqref>E12:E32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M51"/>
  <sheetViews>
    <sheetView view="pageBreakPreview" zoomScaleNormal="100" zoomScaleSheetLayoutView="100" workbookViewId="0">
      <selection sqref="A1:M1"/>
    </sheetView>
  </sheetViews>
  <sheetFormatPr defaultRowHeight="15.6"/>
  <cols>
    <col min="1" max="1" width="16" style="402" customWidth="1"/>
    <col min="2" max="2" width="11.59765625" style="402" customWidth="1"/>
    <col min="3" max="3" width="17.8984375" style="402" customWidth="1"/>
    <col min="4" max="4" width="14.59765625" style="402" customWidth="1"/>
    <col min="5" max="5" width="11.19921875" style="402" customWidth="1"/>
    <col min="6" max="9" width="8.796875" style="402"/>
    <col min="10" max="10" width="11.5" style="402" customWidth="1"/>
    <col min="11" max="11" width="15.59765625" style="402" customWidth="1"/>
    <col min="12" max="12" width="12.3984375" style="402" customWidth="1"/>
    <col min="13" max="13" width="14.3984375" style="402" customWidth="1"/>
    <col min="14" max="16384" width="8.796875" style="402"/>
  </cols>
  <sheetData>
    <row r="1" spans="1:13" s="397" customFormat="1" ht="19.05" customHeight="1">
      <c r="A1" s="681" t="s">
        <v>23</v>
      </c>
      <c r="B1" s="681"/>
      <c r="C1" s="681"/>
      <c r="D1" s="681"/>
      <c r="E1" s="681"/>
      <c r="F1" s="681"/>
      <c r="G1" s="681"/>
      <c r="H1" s="681"/>
      <c r="I1" s="681"/>
      <c r="J1" s="681"/>
      <c r="K1" s="681"/>
      <c r="L1" s="681"/>
      <c r="M1" s="681"/>
    </row>
    <row r="2" spans="1:13" s="397" customFormat="1" ht="19.05" customHeight="1">
      <c r="A2" s="682" t="s">
        <v>692</v>
      </c>
      <c r="B2" s="682"/>
      <c r="C2" s="682"/>
      <c r="D2" s="682"/>
      <c r="E2" s="682"/>
      <c r="F2" s="682"/>
      <c r="G2" s="682"/>
      <c r="H2" s="682"/>
      <c r="I2" s="682"/>
      <c r="J2" s="682"/>
      <c r="K2" s="682"/>
      <c r="L2" s="682"/>
      <c r="M2" s="682"/>
    </row>
    <row r="3" spans="1:13" s="398" customFormat="1" ht="19.05" customHeight="1">
      <c r="A3" s="398" t="str">
        <f>底稿目录!A2</f>
        <v>被审计单位：</v>
      </c>
      <c r="E3" s="399" t="str">
        <f>底稿目录!A4</f>
        <v>编制人：</v>
      </c>
      <c r="I3" s="399" t="str">
        <f>底稿目录!A5</f>
        <v>编制日期：</v>
      </c>
      <c r="L3" s="417" t="s">
        <v>790</v>
      </c>
      <c r="M3" s="534" t="str">
        <f>底稿目录!F10</f>
        <v>K1-3</v>
      </c>
    </row>
    <row r="4" spans="1:13" s="398" customFormat="1" ht="19.05" customHeight="1">
      <c r="A4" s="398" t="str">
        <f>底稿目录!A3</f>
        <v>截止日：202X年12月31日</v>
      </c>
      <c r="B4" s="400"/>
      <c r="E4" s="399" t="str">
        <f>底稿目录!A6</f>
        <v>复核人：</v>
      </c>
      <c r="I4" s="399" t="str">
        <f>底稿目录!A7</f>
        <v>复核日期：</v>
      </c>
      <c r="L4" s="417" t="s">
        <v>791</v>
      </c>
      <c r="M4" s="399"/>
    </row>
    <row r="5" spans="1:13" ht="19.05" customHeight="1">
      <c r="A5" s="401" t="s">
        <v>578</v>
      </c>
    </row>
    <row r="6" spans="1:13" ht="19.05" customHeight="1">
      <c r="A6" s="403" t="s">
        <v>745</v>
      </c>
      <c r="D6" s="403" t="s">
        <v>746</v>
      </c>
      <c r="H6" s="403" t="s">
        <v>602</v>
      </c>
    </row>
    <row r="7" spans="1:13" ht="19.05" customHeight="1">
      <c r="A7" s="404" t="s">
        <v>78</v>
      </c>
    </row>
    <row r="8" spans="1:13" ht="19.05" customHeight="1">
      <c r="A8" s="137" t="s">
        <v>622</v>
      </c>
      <c r="B8" s="418"/>
    </row>
    <row r="9" spans="1:13" ht="19.05" customHeight="1">
      <c r="A9" s="683" t="s">
        <v>579</v>
      </c>
      <c r="B9" s="683" t="s">
        <v>580</v>
      </c>
      <c r="C9" s="683"/>
      <c r="D9" s="683"/>
      <c r="E9" s="683" t="s">
        <v>581</v>
      </c>
      <c r="F9" s="683"/>
      <c r="G9" s="683" t="s">
        <v>582</v>
      </c>
      <c r="H9" s="683"/>
      <c r="I9" s="683"/>
      <c r="J9" s="683" t="s">
        <v>583</v>
      </c>
      <c r="K9" s="683"/>
      <c r="L9" s="683"/>
      <c r="M9" s="684" t="s">
        <v>584</v>
      </c>
    </row>
    <row r="10" spans="1:13" ht="19.05" customHeight="1">
      <c r="A10" s="683"/>
      <c r="B10" s="405" t="s">
        <v>585</v>
      </c>
      <c r="C10" s="405" t="s">
        <v>586</v>
      </c>
      <c r="D10" s="405" t="s">
        <v>587</v>
      </c>
      <c r="E10" s="405" t="s">
        <v>588</v>
      </c>
      <c r="F10" s="405" t="s">
        <v>589</v>
      </c>
      <c r="G10" s="405" t="s">
        <v>590</v>
      </c>
      <c r="H10" s="448" t="s">
        <v>621</v>
      </c>
      <c r="I10" s="405" t="s">
        <v>591</v>
      </c>
      <c r="J10" s="405" t="s">
        <v>592</v>
      </c>
      <c r="K10" s="405" t="s">
        <v>593</v>
      </c>
      <c r="L10" s="405" t="s">
        <v>594</v>
      </c>
      <c r="M10" s="684"/>
    </row>
    <row r="11" spans="1:13" ht="19.05" customHeight="1">
      <c r="A11" s="406" t="s">
        <v>595</v>
      </c>
      <c r="B11" s="419">
        <f t="shared" ref="B11:I11" si="0">SUM(B12:B15)</f>
        <v>0</v>
      </c>
      <c r="C11" s="419">
        <f t="shared" si="0"/>
        <v>0</v>
      </c>
      <c r="D11" s="419">
        <f t="shared" si="0"/>
        <v>0</v>
      </c>
      <c r="E11" s="419">
        <f t="shared" si="0"/>
        <v>0</v>
      </c>
      <c r="F11" s="419">
        <f t="shared" si="0"/>
        <v>0</v>
      </c>
      <c r="G11" s="419">
        <f t="shared" si="0"/>
        <v>0</v>
      </c>
      <c r="H11" s="419">
        <f t="shared" si="0"/>
        <v>0</v>
      </c>
      <c r="I11" s="419">
        <f t="shared" si="0"/>
        <v>0</v>
      </c>
      <c r="J11" s="419">
        <f>B11+SUM(E11:F11)-SUM(G11:I11)</f>
        <v>0</v>
      </c>
      <c r="K11" s="419">
        <f>SUM(K12:K15)</f>
        <v>0</v>
      </c>
      <c r="L11" s="419">
        <f>D11+SUM(G11:G11)-SUM(I11:K11)</f>
        <v>0</v>
      </c>
      <c r="M11" s="407"/>
    </row>
    <row r="12" spans="1:13" ht="19.05" customHeight="1">
      <c r="A12" s="408" t="s">
        <v>596</v>
      </c>
      <c r="B12" s="420"/>
      <c r="C12" s="420"/>
      <c r="D12" s="421">
        <f>B12+C12</f>
        <v>0</v>
      </c>
      <c r="E12" s="420"/>
      <c r="F12" s="420"/>
      <c r="G12" s="420"/>
      <c r="H12" s="420"/>
      <c r="I12" s="420"/>
      <c r="J12" s="419">
        <f>B12+SUM(E12:F12)-SUM(G12:I12)</f>
        <v>0</v>
      </c>
      <c r="K12" s="420"/>
      <c r="L12" s="421">
        <f>J12+K12</f>
        <v>0</v>
      </c>
      <c r="M12" s="409"/>
    </row>
    <row r="13" spans="1:13" ht="19.05" customHeight="1">
      <c r="A13" s="524"/>
      <c r="B13" s="420"/>
      <c r="C13" s="420"/>
      <c r="D13" s="421">
        <f t="shared" ref="D13:D21" si="1">B13+C13</f>
        <v>0</v>
      </c>
      <c r="E13" s="420"/>
      <c r="F13" s="420"/>
      <c r="G13" s="420"/>
      <c r="H13" s="420"/>
      <c r="I13" s="420"/>
      <c r="J13" s="419">
        <f>B13+SUM(E13:F13)-SUM(G13:I13)</f>
        <v>0</v>
      </c>
      <c r="K13" s="420"/>
      <c r="L13" s="421">
        <f>J13+K13</f>
        <v>0</v>
      </c>
      <c r="M13" s="409"/>
    </row>
    <row r="14" spans="1:13" ht="19.05" customHeight="1">
      <c r="A14" s="524"/>
      <c r="B14" s="420"/>
      <c r="C14" s="420"/>
      <c r="D14" s="421">
        <f t="shared" si="1"/>
        <v>0</v>
      </c>
      <c r="E14" s="420"/>
      <c r="F14" s="420"/>
      <c r="G14" s="420"/>
      <c r="H14" s="420"/>
      <c r="I14" s="420"/>
      <c r="J14" s="419">
        <f>B14+SUM(E14:F14)-SUM(G14:I14)</f>
        <v>0</v>
      </c>
      <c r="K14" s="420"/>
      <c r="L14" s="421">
        <f>J14+K14</f>
        <v>0</v>
      </c>
      <c r="M14" s="409"/>
    </row>
    <row r="15" spans="1:13" ht="19.05" customHeight="1">
      <c r="A15" s="524"/>
      <c r="B15" s="420"/>
      <c r="C15" s="420"/>
      <c r="D15" s="421">
        <f t="shared" si="1"/>
        <v>0</v>
      </c>
      <c r="E15" s="420"/>
      <c r="F15" s="420"/>
      <c r="G15" s="420"/>
      <c r="H15" s="420"/>
      <c r="I15" s="420"/>
      <c r="J15" s="419">
        <f>B15+SUM(E15:F15)-SUM(G15:I15)</f>
        <v>0</v>
      </c>
      <c r="K15" s="420"/>
      <c r="L15" s="421">
        <f>J15+K15</f>
        <v>0</v>
      </c>
      <c r="M15" s="409"/>
    </row>
    <row r="16" spans="1:13" ht="19.05" customHeight="1">
      <c r="A16" s="406" t="s">
        <v>603</v>
      </c>
      <c r="B16" s="419">
        <f>SUM(B17:B21)</f>
        <v>0</v>
      </c>
      <c r="C16" s="419">
        <f>SUM(C17:C21)</f>
        <v>0</v>
      </c>
      <c r="D16" s="419">
        <f t="shared" ref="D16:L16" si="2">SUM(D17:D21)</f>
        <v>0</v>
      </c>
      <c r="E16" s="419">
        <f t="shared" si="2"/>
        <v>0</v>
      </c>
      <c r="F16" s="419">
        <f t="shared" si="2"/>
        <v>0</v>
      </c>
      <c r="G16" s="419">
        <f t="shared" si="2"/>
        <v>0</v>
      </c>
      <c r="H16" s="419">
        <f t="shared" si="2"/>
        <v>0</v>
      </c>
      <c r="I16" s="419">
        <f t="shared" si="2"/>
        <v>0</v>
      </c>
      <c r="J16" s="419">
        <f t="shared" si="2"/>
        <v>0</v>
      </c>
      <c r="K16" s="419">
        <f t="shared" si="2"/>
        <v>0</v>
      </c>
      <c r="L16" s="419">
        <f t="shared" si="2"/>
        <v>0</v>
      </c>
      <c r="M16" s="410"/>
    </row>
    <row r="17" spans="1:13" ht="19.05" customHeight="1">
      <c r="A17" s="411" t="s">
        <v>597</v>
      </c>
      <c r="B17" s="420"/>
      <c r="C17" s="420"/>
      <c r="D17" s="421">
        <f t="shared" si="1"/>
        <v>0</v>
      </c>
      <c r="E17" s="420"/>
      <c r="F17" s="420"/>
      <c r="G17" s="420"/>
      <c r="H17" s="420"/>
      <c r="I17" s="420"/>
      <c r="J17" s="419">
        <f>B17+SUM(E17:F17)-SUM(G17:I17)</f>
        <v>0</v>
      </c>
      <c r="K17" s="420"/>
      <c r="L17" s="421">
        <f>J17+K17</f>
        <v>0</v>
      </c>
      <c r="M17" s="409"/>
    </row>
    <row r="18" spans="1:13" ht="19.05" customHeight="1">
      <c r="A18" s="522"/>
      <c r="B18" s="420"/>
      <c r="C18" s="420"/>
      <c r="D18" s="421">
        <f t="shared" si="1"/>
        <v>0</v>
      </c>
      <c r="E18" s="420"/>
      <c r="F18" s="420"/>
      <c r="G18" s="420"/>
      <c r="H18" s="420"/>
      <c r="I18" s="420"/>
      <c r="J18" s="419">
        <f>B18+SUM(E18:F18)-SUM(G18:I18)</f>
        <v>0</v>
      </c>
      <c r="K18" s="420"/>
      <c r="L18" s="421">
        <f>J18+K18</f>
        <v>0</v>
      </c>
      <c r="M18" s="409"/>
    </row>
    <row r="19" spans="1:13" ht="19.05" customHeight="1">
      <c r="A19" s="523"/>
      <c r="B19" s="420"/>
      <c r="C19" s="420"/>
      <c r="D19" s="421">
        <f t="shared" si="1"/>
        <v>0</v>
      </c>
      <c r="E19" s="420"/>
      <c r="F19" s="420"/>
      <c r="G19" s="420"/>
      <c r="H19" s="420"/>
      <c r="I19" s="420"/>
      <c r="J19" s="419">
        <f>B19+SUM(E19:F19)-SUM(G19:I19)</f>
        <v>0</v>
      </c>
      <c r="K19" s="420"/>
      <c r="L19" s="421">
        <f>J19+K19</f>
        <v>0</v>
      </c>
      <c r="M19" s="409"/>
    </row>
    <row r="20" spans="1:13" ht="19.05" customHeight="1">
      <c r="A20" s="524"/>
      <c r="B20" s="420"/>
      <c r="C20" s="420"/>
      <c r="D20" s="421">
        <f t="shared" si="1"/>
        <v>0</v>
      </c>
      <c r="E20" s="420"/>
      <c r="F20" s="420"/>
      <c r="G20" s="420"/>
      <c r="H20" s="420"/>
      <c r="I20" s="420"/>
      <c r="J20" s="419">
        <f>B20+SUM(E20:F20)-SUM(G20:I20)</f>
        <v>0</v>
      </c>
      <c r="K20" s="420"/>
      <c r="L20" s="421">
        <f>J20+K20</f>
        <v>0</v>
      </c>
      <c r="M20" s="409"/>
    </row>
    <row r="21" spans="1:13" ht="19.05" customHeight="1">
      <c r="A21" s="524"/>
      <c r="B21" s="420"/>
      <c r="C21" s="420"/>
      <c r="D21" s="421">
        <f t="shared" si="1"/>
        <v>0</v>
      </c>
      <c r="E21" s="420"/>
      <c r="F21" s="420"/>
      <c r="G21" s="420"/>
      <c r="H21" s="420"/>
      <c r="I21" s="420"/>
      <c r="J21" s="419">
        <f>B21+SUM(E21:F21)-SUM(G21:I21)</f>
        <v>0</v>
      </c>
      <c r="K21" s="420"/>
      <c r="L21" s="421">
        <f>J21+K21</f>
        <v>0</v>
      </c>
      <c r="M21" s="409"/>
    </row>
    <row r="22" spans="1:13" ht="19.05" customHeight="1">
      <c r="A22" s="412" t="s">
        <v>598</v>
      </c>
      <c r="B22" s="422">
        <f>B11+B16</f>
        <v>0</v>
      </c>
      <c r="C22" s="422">
        <f>C11+C16</f>
        <v>0</v>
      </c>
      <c r="D22" s="422">
        <f>D11+D16</f>
        <v>0</v>
      </c>
      <c r="E22" s="422">
        <f t="shared" ref="E22:L22" si="3">E11+E16</f>
        <v>0</v>
      </c>
      <c r="F22" s="422">
        <f t="shared" si="3"/>
        <v>0</v>
      </c>
      <c r="G22" s="422">
        <f t="shared" si="3"/>
        <v>0</v>
      </c>
      <c r="H22" s="422">
        <f t="shared" si="3"/>
        <v>0</v>
      </c>
      <c r="I22" s="422">
        <f t="shared" si="3"/>
        <v>0</v>
      </c>
      <c r="J22" s="422">
        <f t="shared" si="3"/>
        <v>0</v>
      </c>
      <c r="K22" s="422">
        <f>K11+K16</f>
        <v>0</v>
      </c>
      <c r="L22" s="422">
        <f t="shared" si="3"/>
        <v>0</v>
      </c>
      <c r="M22" s="413">
        <f>SUM(M11:M21)</f>
        <v>0</v>
      </c>
    </row>
    <row r="23" spans="1:13" ht="19.05" customHeight="1">
      <c r="A23" s="557" t="s">
        <v>620</v>
      </c>
      <c r="B23" s="558"/>
      <c r="C23" s="558"/>
      <c r="D23" s="558"/>
      <c r="E23" s="558"/>
      <c r="F23" s="558"/>
      <c r="G23" s="57"/>
      <c r="H23" s="57"/>
    </row>
    <row r="24" spans="1:13" ht="19.05" customHeight="1">
      <c r="A24" s="679" t="s">
        <v>252</v>
      </c>
      <c r="B24" s="145" t="s">
        <v>242</v>
      </c>
      <c r="C24" s="145" t="s">
        <v>243</v>
      </c>
      <c r="D24" s="145" t="s">
        <v>244</v>
      </c>
      <c r="E24" s="679" t="s">
        <v>251</v>
      </c>
      <c r="F24" s="679" t="s">
        <v>250</v>
      </c>
    </row>
    <row r="25" spans="1:13" ht="42" customHeight="1">
      <c r="A25" s="680"/>
      <c r="B25" s="145" t="s">
        <v>245</v>
      </c>
      <c r="C25" s="145" t="s">
        <v>246</v>
      </c>
      <c r="D25" s="145" t="s">
        <v>247</v>
      </c>
      <c r="E25" s="680"/>
      <c r="F25" s="680"/>
    </row>
    <row r="26" spans="1:13" ht="19.05" customHeight="1">
      <c r="A26" s="143" t="s">
        <v>231</v>
      </c>
      <c r="B26" s="432"/>
      <c r="C26" s="432"/>
      <c r="D26" s="432"/>
      <c r="E26" s="317">
        <f>SUM(B26:D26)</f>
        <v>0</v>
      </c>
      <c r="F26" s="449" t="b">
        <f>E26=D22</f>
        <v>1</v>
      </c>
    </row>
    <row r="27" spans="1:13" ht="19.05" customHeight="1">
      <c r="A27" s="143" t="s">
        <v>232</v>
      </c>
      <c r="B27" s="144" t="s">
        <v>248</v>
      </c>
      <c r="C27" s="144" t="s">
        <v>248</v>
      </c>
      <c r="D27" s="144" t="s">
        <v>248</v>
      </c>
      <c r="E27" s="317" t="s">
        <v>248</v>
      </c>
      <c r="F27" s="449"/>
    </row>
    <row r="28" spans="1:13" ht="19.05" customHeight="1">
      <c r="A28" s="143" t="s">
        <v>233</v>
      </c>
      <c r="B28" s="432"/>
      <c r="C28" s="432"/>
      <c r="D28" s="432"/>
      <c r="E28" s="317">
        <f t="shared" ref="E28:E36" si="4">SUM(B28:D28)</f>
        <v>0</v>
      </c>
      <c r="F28" s="449"/>
    </row>
    <row r="29" spans="1:13" ht="19.05" customHeight="1">
      <c r="A29" s="143" t="s">
        <v>234</v>
      </c>
      <c r="B29" s="432"/>
      <c r="C29" s="432"/>
      <c r="D29" s="432"/>
      <c r="E29" s="317">
        <f t="shared" si="4"/>
        <v>0</v>
      </c>
      <c r="F29" s="449"/>
    </row>
    <row r="30" spans="1:13" ht="19.05" customHeight="1">
      <c r="A30" s="143" t="s">
        <v>235</v>
      </c>
      <c r="B30" s="432"/>
      <c r="C30" s="432"/>
      <c r="D30" s="432"/>
      <c r="E30" s="317">
        <f>SUM(B30:D30)</f>
        <v>0</v>
      </c>
      <c r="F30" s="449"/>
    </row>
    <row r="31" spans="1:13" ht="19.05" customHeight="1">
      <c r="A31" s="143" t="s">
        <v>236</v>
      </c>
      <c r="B31" s="432"/>
      <c r="C31" s="432"/>
      <c r="D31" s="432"/>
      <c r="E31" s="317">
        <f t="shared" si="4"/>
        <v>0</v>
      </c>
      <c r="F31" s="449"/>
    </row>
    <row r="32" spans="1:13" ht="19.05" customHeight="1">
      <c r="A32" s="143" t="s">
        <v>237</v>
      </c>
      <c r="B32" s="432"/>
      <c r="C32" s="432"/>
      <c r="D32" s="432"/>
      <c r="E32" s="317">
        <f t="shared" si="4"/>
        <v>0</v>
      </c>
      <c r="F32" s="449" t="b">
        <f>E32=E22</f>
        <v>1</v>
      </c>
    </row>
    <row r="33" spans="1:8" ht="19.05" customHeight="1">
      <c r="A33" s="143" t="s">
        <v>238</v>
      </c>
      <c r="B33" s="432"/>
      <c r="C33" s="432"/>
      <c r="D33" s="432"/>
      <c r="E33" s="317">
        <f t="shared" si="4"/>
        <v>0</v>
      </c>
      <c r="F33" s="449" t="b">
        <f>E33=G22</f>
        <v>1</v>
      </c>
    </row>
    <row r="34" spans="1:8" ht="19.05" customHeight="1">
      <c r="A34" s="143" t="s">
        <v>239</v>
      </c>
      <c r="B34" s="432"/>
      <c r="C34" s="432"/>
      <c r="D34" s="432"/>
      <c r="E34" s="317">
        <f t="shared" si="4"/>
        <v>0</v>
      </c>
      <c r="F34" s="449" t="b">
        <f>E34=H22</f>
        <v>1</v>
      </c>
    </row>
    <row r="35" spans="1:8" ht="19.05" customHeight="1">
      <c r="A35" s="143" t="s">
        <v>240</v>
      </c>
      <c r="B35" s="432"/>
      <c r="C35" s="432"/>
      <c r="D35" s="432"/>
      <c r="E35" s="317">
        <f t="shared" si="4"/>
        <v>0</v>
      </c>
      <c r="F35" s="449"/>
    </row>
    <row r="36" spans="1:8" ht="19.05" customHeight="1">
      <c r="A36" s="143" t="s">
        <v>241</v>
      </c>
      <c r="B36" s="432"/>
      <c r="C36" s="432"/>
      <c r="D36" s="432"/>
      <c r="E36" s="317">
        <f t="shared" si="4"/>
        <v>0</v>
      </c>
      <c r="F36" s="449"/>
    </row>
    <row r="37" spans="1:8" ht="19.05" customHeight="1">
      <c r="A37" s="317" t="s">
        <v>249</v>
      </c>
      <c r="B37" s="317">
        <f>B26-B28-B29-B30+B31+B32-B33-B34+B35+B36</f>
        <v>0</v>
      </c>
      <c r="C37" s="317">
        <f t="shared" ref="C37:E37" si="5">C26-C28-C29-C30+C31+C32-C33-C34+C35+C36</f>
        <v>0</v>
      </c>
      <c r="D37" s="317">
        <f t="shared" si="5"/>
        <v>0</v>
      </c>
      <c r="E37" s="317">
        <f t="shared" si="5"/>
        <v>0</v>
      </c>
      <c r="F37" s="317"/>
    </row>
    <row r="38" spans="1:8" ht="19.05" customHeight="1">
      <c r="A38" s="414" t="s">
        <v>599</v>
      </c>
      <c r="E38" s="416"/>
      <c r="H38" s="416" t="s">
        <v>600</v>
      </c>
    </row>
    <row r="39" spans="1:8" ht="19.05" customHeight="1">
      <c r="A39" s="415"/>
    </row>
    <row r="40" spans="1:8" ht="19.05" customHeight="1"/>
    <row r="41" spans="1:8" ht="19.5" customHeight="1"/>
    <row r="42" spans="1:8" ht="19.5" customHeight="1"/>
    <row r="43" spans="1:8" ht="19.5" customHeight="1"/>
    <row r="44" spans="1:8" ht="19.5" customHeight="1"/>
    <row r="45" spans="1:8" ht="19.5" customHeight="1"/>
    <row r="46" spans="1:8" ht="19.5" customHeight="1"/>
    <row r="47" spans="1:8" ht="19.5" customHeight="1"/>
    <row r="48" spans="1:8" ht="19.5" customHeight="1"/>
    <row r="49" ht="19.5" customHeight="1"/>
    <row r="50" ht="19.5" customHeight="1"/>
    <row r="51" ht="19.5" customHeight="1"/>
  </sheetData>
  <mergeCells count="11">
    <mergeCell ref="F24:F25"/>
    <mergeCell ref="A24:A25"/>
    <mergeCell ref="E24:E25"/>
    <mergeCell ref="A1:M1"/>
    <mergeCell ref="A2:M2"/>
    <mergeCell ref="A9:A10"/>
    <mergeCell ref="B9:D9"/>
    <mergeCell ref="E9:F9"/>
    <mergeCell ref="G9:I9"/>
    <mergeCell ref="J9:L9"/>
    <mergeCell ref="M9:M10"/>
  </mergeCells>
  <phoneticPr fontId="16" type="noConversion"/>
  <hyperlinks>
    <hyperlink ref="M3" location="底稿目录!A1" display="底稿目录!A1"/>
  </hyperlinks>
  <pageMargins left="0.70866141732283472" right="0.70866141732283472" top="0.74803149606299213" bottom="0.74803149606299213" header="0.31496062992125984" footer="0.31496062992125984"/>
  <pageSetup paperSize="9" scale="6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J22"/>
  <sheetViews>
    <sheetView view="pageBreakPreview" zoomScaleNormal="100" zoomScaleSheetLayoutView="100" workbookViewId="0">
      <selection sqref="A1:J1"/>
    </sheetView>
  </sheetViews>
  <sheetFormatPr defaultColWidth="8.69921875" defaultRowHeight="15.6"/>
  <cols>
    <col min="1" max="1" width="14.3984375" style="104" customWidth="1"/>
    <col min="2" max="2" width="16" style="104" customWidth="1"/>
    <col min="3" max="3" width="12.8984375" style="104" customWidth="1"/>
    <col min="4" max="4" width="16.796875" style="104" customWidth="1"/>
    <col min="5" max="5" width="16.09765625" style="104" customWidth="1"/>
    <col min="6" max="6" width="8.69921875" style="104"/>
    <col min="7" max="7" width="11.09765625" style="104" customWidth="1"/>
    <col min="8" max="8" width="10.5" style="104" customWidth="1"/>
    <col min="9" max="9" width="8.69921875" style="104"/>
    <col min="10" max="10" width="12" style="104" customWidth="1"/>
    <col min="11" max="16384" width="8.69921875" style="104"/>
  </cols>
  <sheetData>
    <row r="1" spans="1:10" ht="19.95" customHeight="1">
      <c r="A1" s="634" t="s">
        <v>23</v>
      </c>
      <c r="B1" s="634"/>
      <c r="C1" s="634"/>
      <c r="D1" s="634"/>
      <c r="E1" s="634"/>
      <c r="F1" s="634"/>
      <c r="G1" s="634"/>
      <c r="H1" s="634"/>
      <c r="I1" s="634"/>
      <c r="J1" s="634"/>
    </row>
    <row r="2" spans="1:10" ht="19.95" customHeight="1">
      <c r="A2" s="685" t="s">
        <v>288</v>
      </c>
      <c r="B2" s="685"/>
      <c r="C2" s="685"/>
      <c r="D2" s="685"/>
      <c r="E2" s="685"/>
      <c r="F2" s="685"/>
      <c r="G2" s="685"/>
      <c r="H2" s="685"/>
      <c r="I2" s="685"/>
      <c r="J2" s="685"/>
    </row>
    <row r="3" spans="1:10" ht="19.95" customHeight="1">
      <c r="A3" s="162" t="str">
        <f>底稿目录!A2</f>
        <v>被审计单位：</v>
      </c>
      <c r="B3" s="162"/>
      <c r="C3" s="162"/>
      <c r="D3" s="162" t="str">
        <f>底稿目录!A4</f>
        <v>编制人：</v>
      </c>
      <c r="E3" s="162"/>
      <c r="F3" s="162" t="str">
        <f>底稿目录!A5</f>
        <v>编制日期：</v>
      </c>
      <c r="G3" s="162"/>
      <c r="H3" s="162"/>
      <c r="I3" s="162" t="s">
        <v>467</v>
      </c>
      <c r="J3" s="534" t="str">
        <f>底稿目录!F11</f>
        <v>K1-4</v>
      </c>
    </row>
    <row r="4" spans="1:10" ht="19.95" customHeight="1">
      <c r="A4" s="162" t="str">
        <f>底稿目录!A3</f>
        <v>截止日：202X年12月31日</v>
      </c>
      <c r="B4" s="162"/>
      <c r="C4" s="162"/>
      <c r="D4" s="162" t="str">
        <f>底稿目录!A6</f>
        <v>复核人：</v>
      </c>
      <c r="E4" s="162"/>
      <c r="F4" s="162" t="str">
        <f>底稿目录!A7</f>
        <v>复核日期：</v>
      </c>
      <c r="G4" s="162"/>
      <c r="H4" s="162"/>
      <c r="I4" s="162" t="s">
        <v>24</v>
      </c>
      <c r="J4" s="163"/>
    </row>
    <row r="5" spans="1:10" ht="34.200000000000003" customHeight="1">
      <c r="A5" s="92" t="s">
        <v>281</v>
      </c>
      <c r="B5" s="331" t="s">
        <v>282</v>
      </c>
      <c r="C5" s="559" t="s">
        <v>490</v>
      </c>
      <c r="D5" s="164" t="s">
        <v>283</v>
      </c>
      <c r="E5" s="164" t="s">
        <v>284</v>
      </c>
      <c r="F5" s="165" t="s">
        <v>272</v>
      </c>
      <c r="G5" s="164" t="s">
        <v>285</v>
      </c>
      <c r="H5" s="164" t="s">
        <v>286</v>
      </c>
      <c r="I5" s="164" t="s">
        <v>287</v>
      </c>
      <c r="J5" s="164" t="s">
        <v>99</v>
      </c>
    </row>
    <row r="6" spans="1:10" ht="19.95" customHeight="1">
      <c r="A6" s="442"/>
      <c r="B6" s="442"/>
      <c r="C6" s="89"/>
      <c r="D6" s="442"/>
      <c r="E6" s="442"/>
      <c r="F6" s="442"/>
      <c r="G6" s="443"/>
      <c r="H6" s="443"/>
      <c r="I6" s="444"/>
      <c r="J6" s="442"/>
    </row>
    <row r="7" spans="1:10" ht="19.95" customHeight="1">
      <c r="A7" s="442"/>
      <c r="B7" s="442"/>
      <c r="C7" s="89"/>
      <c r="D7" s="442"/>
      <c r="E7" s="442"/>
      <c r="F7" s="442"/>
      <c r="G7" s="443"/>
      <c r="H7" s="443"/>
      <c r="I7" s="444"/>
      <c r="J7" s="442"/>
    </row>
    <row r="8" spans="1:10" ht="19.95" customHeight="1">
      <c r="A8" s="442"/>
      <c r="B8" s="442"/>
      <c r="C8" s="89"/>
      <c r="D8" s="442"/>
      <c r="E8" s="442"/>
      <c r="F8" s="442"/>
      <c r="G8" s="443"/>
      <c r="H8" s="443"/>
      <c r="I8" s="444"/>
      <c r="J8" s="442"/>
    </row>
    <row r="9" spans="1:10" ht="19.95" customHeight="1">
      <c r="A9" s="442"/>
      <c r="B9" s="442"/>
      <c r="C9" s="89"/>
      <c r="D9" s="442"/>
      <c r="E9" s="442"/>
      <c r="F9" s="442"/>
      <c r="G9" s="443"/>
      <c r="H9" s="443"/>
      <c r="I9" s="444"/>
      <c r="J9" s="442"/>
    </row>
    <row r="10" spans="1:10" ht="19.95" customHeight="1">
      <c r="A10" s="442"/>
      <c r="B10" s="442"/>
      <c r="C10" s="89"/>
      <c r="D10" s="442"/>
      <c r="E10" s="442"/>
      <c r="F10" s="442"/>
      <c r="G10" s="443"/>
      <c r="H10" s="443"/>
      <c r="I10" s="444"/>
      <c r="J10" s="442"/>
    </row>
    <row r="11" spans="1:10" ht="19.95" customHeight="1">
      <c r="A11" s="442"/>
      <c r="B11" s="442"/>
      <c r="C11" s="89"/>
      <c r="D11" s="442"/>
      <c r="E11" s="442"/>
      <c r="F11" s="442"/>
      <c r="G11" s="443"/>
      <c r="H11" s="443"/>
      <c r="I11" s="444"/>
      <c r="J11" s="442"/>
    </row>
    <row r="12" spans="1:10" ht="19.95" customHeight="1">
      <c r="A12" s="442"/>
      <c r="B12" s="442"/>
      <c r="C12" s="89"/>
      <c r="D12" s="442"/>
      <c r="E12" s="442"/>
      <c r="F12" s="442"/>
      <c r="G12" s="443"/>
      <c r="H12" s="443"/>
      <c r="I12" s="444"/>
      <c r="J12" s="442"/>
    </row>
    <row r="13" spans="1:10" ht="19.95" customHeight="1">
      <c r="A13" s="442"/>
      <c r="B13" s="442"/>
      <c r="C13" s="89"/>
      <c r="D13" s="442"/>
      <c r="E13" s="442"/>
      <c r="F13" s="442"/>
      <c r="G13" s="443"/>
      <c r="H13" s="443"/>
      <c r="I13" s="444"/>
      <c r="J13" s="442"/>
    </row>
    <row r="14" spans="1:10" ht="19.95" customHeight="1">
      <c r="A14" s="442"/>
      <c r="B14" s="442"/>
      <c r="C14" s="89"/>
      <c r="D14" s="442"/>
      <c r="E14" s="442"/>
      <c r="F14" s="442"/>
      <c r="G14" s="443"/>
      <c r="H14" s="443"/>
      <c r="I14" s="444"/>
      <c r="J14" s="442"/>
    </row>
    <row r="15" spans="1:10" ht="19.95" customHeight="1">
      <c r="A15" s="442"/>
      <c r="B15" s="442"/>
      <c r="C15" s="89"/>
      <c r="D15" s="442"/>
      <c r="E15" s="442"/>
      <c r="F15" s="442"/>
      <c r="G15" s="443"/>
      <c r="H15" s="443"/>
      <c r="I15" s="444"/>
      <c r="J15" s="442"/>
    </row>
    <row r="16" spans="1:10" ht="19.95" customHeight="1">
      <c r="A16" s="442"/>
      <c r="B16" s="442"/>
      <c r="C16" s="89"/>
      <c r="D16" s="442"/>
      <c r="E16" s="442"/>
      <c r="F16" s="442"/>
      <c r="G16" s="443"/>
      <c r="H16" s="443"/>
      <c r="I16" s="444"/>
      <c r="J16" s="442"/>
    </row>
    <row r="17" spans="1:10" ht="19.95" customHeight="1">
      <c r="A17" s="442"/>
      <c r="B17" s="442"/>
      <c r="C17" s="89"/>
      <c r="D17" s="442"/>
      <c r="E17" s="442"/>
      <c r="F17" s="442"/>
      <c r="G17" s="443"/>
      <c r="H17" s="443"/>
      <c r="I17" s="444"/>
      <c r="J17" s="442"/>
    </row>
    <row r="18" spans="1:10" ht="19.95" customHeight="1">
      <c r="A18" s="442"/>
      <c r="B18" s="442"/>
      <c r="C18" s="89"/>
      <c r="D18" s="442"/>
      <c r="E18" s="442"/>
      <c r="F18" s="442"/>
      <c r="G18" s="443"/>
      <c r="H18" s="443"/>
      <c r="I18" s="444"/>
      <c r="J18" s="442"/>
    </row>
    <row r="19" spans="1:10" ht="19.95" customHeight="1">
      <c r="A19" s="442"/>
      <c r="B19" s="442"/>
      <c r="C19" s="89"/>
      <c r="D19" s="442"/>
      <c r="E19" s="442"/>
      <c r="F19" s="442"/>
      <c r="G19" s="443"/>
      <c r="H19" s="443"/>
      <c r="I19" s="444"/>
      <c r="J19" s="442"/>
    </row>
    <row r="20" spans="1:10" ht="19.95" customHeight="1">
      <c r="A20" s="442"/>
      <c r="B20" s="442"/>
      <c r="C20" s="89"/>
      <c r="D20" s="442"/>
      <c r="E20" s="442"/>
      <c r="F20" s="442"/>
      <c r="G20" s="443"/>
      <c r="H20" s="443"/>
      <c r="I20" s="444"/>
      <c r="J20" s="442"/>
    </row>
    <row r="22" spans="1:10" ht="31.2" customHeight="1">
      <c r="A22" s="686" t="s">
        <v>715</v>
      </c>
      <c r="B22" s="687"/>
      <c r="C22" s="687"/>
      <c r="D22" s="687"/>
      <c r="E22" s="687"/>
      <c r="F22" s="687"/>
      <c r="G22" s="687"/>
      <c r="H22" s="687"/>
      <c r="I22" s="687"/>
      <c r="J22" s="687"/>
    </row>
  </sheetData>
  <mergeCells count="3">
    <mergeCell ref="A1:J1"/>
    <mergeCell ref="A2:J2"/>
    <mergeCell ref="A22:J22"/>
  </mergeCells>
  <phoneticPr fontId="16"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4803149606299213" right="0.74803149606299213" top="0.98425196850393704" bottom="0.98425196850393704" header="0.51181102362204722" footer="0.51181102362204722"/>
  <pageSetup paperSize="9" scale="95" orientation="landscape" blackAndWhite="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27"/>
  <sheetViews>
    <sheetView view="pageBreakPreview" zoomScaleNormal="115" zoomScaleSheetLayoutView="100" workbookViewId="0">
      <selection sqref="A1:M1"/>
    </sheetView>
  </sheetViews>
  <sheetFormatPr defaultRowHeight="13.8"/>
  <cols>
    <col min="1" max="1" width="9.59765625" style="31" customWidth="1"/>
    <col min="2" max="2" width="12.59765625" style="31" customWidth="1"/>
    <col min="3" max="3" width="10.19921875" style="31" customWidth="1"/>
    <col min="4" max="4" width="12.09765625" style="31" customWidth="1"/>
    <col min="5" max="5" width="12.5" style="31" customWidth="1"/>
    <col min="6" max="6" width="13.69921875" style="31" customWidth="1"/>
    <col min="7" max="7" width="12.19921875" style="31" customWidth="1"/>
    <col min="8" max="8" width="11.09765625" style="31" customWidth="1"/>
    <col min="9" max="9" width="10.09765625" style="31" customWidth="1"/>
    <col min="10" max="10" width="11" style="31" customWidth="1"/>
    <col min="11" max="11" width="9.19921875" style="31" customWidth="1"/>
    <col min="12" max="246" width="9" style="31"/>
    <col min="247" max="247" width="19.59765625" style="31" customWidth="1"/>
    <col min="248" max="248" width="9.3984375" style="31" customWidth="1"/>
    <col min="249" max="249" width="11.19921875" style="31" customWidth="1"/>
    <col min="250" max="250" width="11.5" style="31" customWidth="1"/>
    <col min="251" max="251" width="12.59765625" style="31" customWidth="1"/>
    <col min="252" max="252" width="11.3984375" style="31" customWidth="1"/>
    <col min="253" max="253" width="9.8984375" style="31" customWidth="1"/>
    <col min="254" max="254" width="11.5" style="31" customWidth="1"/>
    <col min="255" max="502" width="9" style="31"/>
    <col min="503" max="503" width="19.59765625" style="31" customWidth="1"/>
    <col min="504" max="504" width="9.3984375" style="31" customWidth="1"/>
    <col min="505" max="505" width="11.19921875" style="31" customWidth="1"/>
    <col min="506" max="506" width="11.5" style="31" customWidth="1"/>
    <col min="507" max="507" width="12.59765625" style="31" customWidth="1"/>
    <col min="508" max="508" width="11.3984375" style="31" customWidth="1"/>
    <col min="509" max="509" width="9.8984375" style="31" customWidth="1"/>
    <col min="510" max="510" width="11.5" style="31" customWidth="1"/>
    <col min="511" max="758" width="9" style="31"/>
    <col min="759" max="759" width="19.59765625" style="31" customWidth="1"/>
    <col min="760" max="760" width="9.3984375" style="31" customWidth="1"/>
    <col min="761" max="761" width="11.19921875" style="31" customWidth="1"/>
    <col min="762" max="762" width="11.5" style="31" customWidth="1"/>
    <col min="763" max="763" width="12.59765625" style="31" customWidth="1"/>
    <col min="764" max="764" width="11.3984375" style="31" customWidth="1"/>
    <col min="765" max="765" width="9.8984375" style="31" customWidth="1"/>
    <col min="766" max="766" width="11.5" style="31" customWidth="1"/>
    <col min="767" max="1014" width="9" style="31"/>
    <col min="1015" max="1015" width="19.59765625" style="31" customWidth="1"/>
    <col min="1016" max="1016" width="9.3984375" style="31" customWidth="1"/>
    <col min="1017" max="1017" width="11.19921875" style="31" customWidth="1"/>
    <col min="1018" max="1018" width="11.5" style="31" customWidth="1"/>
    <col min="1019" max="1019" width="12.59765625" style="31" customWidth="1"/>
    <col min="1020" max="1020" width="11.3984375" style="31" customWidth="1"/>
    <col min="1021" max="1021" width="9.8984375" style="31" customWidth="1"/>
    <col min="1022" max="1022" width="11.5" style="31" customWidth="1"/>
    <col min="1023" max="1270" width="9" style="31"/>
    <col min="1271" max="1271" width="19.59765625" style="31" customWidth="1"/>
    <col min="1272" max="1272" width="9.3984375" style="31" customWidth="1"/>
    <col min="1273" max="1273" width="11.19921875" style="31" customWidth="1"/>
    <col min="1274" max="1274" width="11.5" style="31" customWidth="1"/>
    <col min="1275" max="1275" width="12.59765625" style="31" customWidth="1"/>
    <col min="1276" max="1276" width="11.3984375" style="31" customWidth="1"/>
    <col min="1277" max="1277" width="9.8984375" style="31" customWidth="1"/>
    <col min="1278" max="1278" width="11.5" style="31" customWidth="1"/>
    <col min="1279" max="1526" width="9" style="31"/>
    <col min="1527" max="1527" width="19.59765625" style="31" customWidth="1"/>
    <col min="1528" max="1528" width="9.3984375" style="31" customWidth="1"/>
    <col min="1529" max="1529" width="11.19921875" style="31" customWidth="1"/>
    <col min="1530" max="1530" width="11.5" style="31" customWidth="1"/>
    <col min="1531" max="1531" width="12.59765625" style="31" customWidth="1"/>
    <col min="1532" max="1532" width="11.3984375" style="31" customWidth="1"/>
    <col min="1533" max="1533" width="9.8984375" style="31" customWidth="1"/>
    <col min="1534" max="1534" width="11.5" style="31" customWidth="1"/>
    <col min="1535" max="1782" width="9" style="31"/>
    <col min="1783" max="1783" width="19.59765625" style="31" customWidth="1"/>
    <col min="1784" max="1784" width="9.3984375" style="31" customWidth="1"/>
    <col min="1785" max="1785" width="11.19921875" style="31" customWidth="1"/>
    <col min="1786" max="1786" width="11.5" style="31" customWidth="1"/>
    <col min="1787" max="1787" width="12.59765625" style="31" customWidth="1"/>
    <col min="1788" max="1788" width="11.3984375" style="31" customWidth="1"/>
    <col min="1789" max="1789" width="9.8984375" style="31" customWidth="1"/>
    <col min="1790" max="1790" width="11.5" style="31" customWidth="1"/>
    <col min="1791" max="2038" width="9" style="31"/>
    <col min="2039" max="2039" width="19.59765625" style="31" customWidth="1"/>
    <col min="2040" max="2040" width="9.3984375" style="31" customWidth="1"/>
    <col min="2041" max="2041" width="11.19921875" style="31" customWidth="1"/>
    <col min="2042" max="2042" width="11.5" style="31" customWidth="1"/>
    <col min="2043" max="2043" width="12.59765625" style="31" customWidth="1"/>
    <col min="2044" max="2044" width="11.3984375" style="31" customWidth="1"/>
    <col min="2045" max="2045" width="9.8984375" style="31" customWidth="1"/>
    <col min="2046" max="2046" width="11.5" style="31" customWidth="1"/>
    <col min="2047" max="2294" width="9" style="31"/>
    <col min="2295" max="2295" width="19.59765625" style="31" customWidth="1"/>
    <col min="2296" max="2296" width="9.3984375" style="31" customWidth="1"/>
    <col min="2297" max="2297" width="11.19921875" style="31" customWidth="1"/>
    <col min="2298" max="2298" width="11.5" style="31" customWidth="1"/>
    <col min="2299" max="2299" width="12.59765625" style="31" customWidth="1"/>
    <col min="2300" max="2300" width="11.3984375" style="31" customWidth="1"/>
    <col min="2301" max="2301" width="9.8984375" style="31" customWidth="1"/>
    <col min="2302" max="2302" width="11.5" style="31" customWidth="1"/>
    <col min="2303" max="2550" width="9" style="31"/>
    <col min="2551" max="2551" width="19.59765625" style="31" customWidth="1"/>
    <col min="2552" max="2552" width="9.3984375" style="31" customWidth="1"/>
    <col min="2553" max="2553" width="11.19921875" style="31" customWidth="1"/>
    <col min="2554" max="2554" width="11.5" style="31" customWidth="1"/>
    <col min="2555" max="2555" width="12.59765625" style="31" customWidth="1"/>
    <col min="2556" max="2556" width="11.3984375" style="31" customWidth="1"/>
    <col min="2557" max="2557" width="9.8984375" style="31" customWidth="1"/>
    <col min="2558" max="2558" width="11.5" style="31" customWidth="1"/>
    <col min="2559" max="2806" width="9" style="31"/>
    <col min="2807" max="2807" width="19.59765625" style="31" customWidth="1"/>
    <col min="2808" max="2808" width="9.3984375" style="31" customWidth="1"/>
    <col min="2809" max="2809" width="11.19921875" style="31" customWidth="1"/>
    <col min="2810" max="2810" width="11.5" style="31" customWidth="1"/>
    <col min="2811" max="2811" width="12.59765625" style="31" customWidth="1"/>
    <col min="2812" max="2812" width="11.3984375" style="31" customWidth="1"/>
    <col min="2813" max="2813" width="9.8984375" style="31" customWidth="1"/>
    <col min="2814" max="2814" width="11.5" style="31" customWidth="1"/>
    <col min="2815" max="3062" width="9" style="31"/>
    <col min="3063" max="3063" width="19.59765625" style="31" customWidth="1"/>
    <col min="3064" max="3064" width="9.3984375" style="31" customWidth="1"/>
    <col min="3065" max="3065" width="11.19921875" style="31" customWidth="1"/>
    <col min="3066" max="3066" width="11.5" style="31" customWidth="1"/>
    <col min="3067" max="3067" width="12.59765625" style="31" customWidth="1"/>
    <col min="3068" max="3068" width="11.3984375" style="31" customWidth="1"/>
    <col min="3069" max="3069" width="9.8984375" style="31" customWidth="1"/>
    <col min="3070" max="3070" width="11.5" style="31" customWidth="1"/>
    <col min="3071" max="3318" width="9" style="31"/>
    <col min="3319" max="3319" width="19.59765625" style="31" customWidth="1"/>
    <col min="3320" max="3320" width="9.3984375" style="31" customWidth="1"/>
    <col min="3321" max="3321" width="11.19921875" style="31" customWidth="1"/>
    <col min="3322" max="3322" width="11.5" style="31" customWidth="1"/>
    <col min="3323" max="3323" width="12.59765625" style="31" customWidth="1"/>
    <col min="3324" max="3324" width="11.3984375" style="31" customWidth="1"/>
    <col min="3325" max="3325" width="9.8984375" style="31" customWidth="1"/>
    <col min="3326" max="3326" width="11.5" style="31" customWidth="1"/>
    <col min="3327" max="3574" width="9" style="31"/>
    <col min="3575" max="3575" width="19.59765625" style="31" customWidth="1"/>
    <col min="3576" max="3576" width="9.3984375" style="31" customWidth="1"/>
    <col min="3577" max="3577" width="11.19921875" style="31" customWidth="1"/>
    <col min="3578" max="3578" width="11.5" style="31" customWidth="1"/>
    <col min="3579" max="3579" width="12.59765625" style="31" customWidth="1"/>
    <col min="3580" max="3580" width="11.3984375" style="31" customWidth="1"/>
    <col min="3581" max="3581" width="9.8984375" style="31" customWidth="1"/>
    <col min="3582" max="3582" width="11.5" style="31" customWidth="1"/>
    <col min="3583" max="3830" width="9" style="31"/>
    <col min="3831" max="3831" width="19.59765625" style="31" customWidth="1"/>
    <col min="3832" max="3832" width="9.3984375" style="31" customWidth="1"/>
    <col min="3833" max="3833" width="11.19921875" style="31" customWidth="1"/>
    <col min="3834" max="3834" width="11.5" style="31" customWidth="1"/>
    <col min="3835" max="3835" width="12.59765625" style="31" customWidth="1"/>
    <col min="3836" max="3836" width="11.3984375" style="31" customWidth="1"/>
    <col min="3837" max="3837" width="9.8984375" style="31" customWidth="1"/>
    <col min="3838" max="3838" width="11.5" style="31" customWidth="1"/>
    <col min="3839" max="4086" width="9" style="31"/>
    <col min="4087" max="4087" width="19.59765625" style="31" customWidth="1"/>
    <col min="4088" max="4088" width="9.3984375" style="31" customWidth="1"/>
    <col min="4089" max="4089" width="11.19921875" style="31" customWidth="1"/>
    <col min="4090" max="4090" width="11.5" style="31" customWidth="1"/>
    <col min="4091" max="4091" width="12.59765625" style="31" customWidth="1"/>
    <col min="4092" max="4092" width="11.3984375" style="31" customWidth="1"/>
    <col min="4093" max="4093" width="9.8984375" style="31" customWidth="1"/>
    <col min="4094" max="4094" width="11.5" style="31" customWidth="1"/>
    <col min="4095" max="4342" width="9" style="31"/>
    <col min="4343" max="4343" width="19.59765625" style="31" customWidth="1"/>
    <col min="4344" max="4344" width="9.3984375" style="31" customWidth="1"/>
    <col min="4345" max="4345" width="11.19921875" style="31" customWidth="1"/>
    <col min="4346" max="4346" width="11.5" style="31" customWidth="1"/>
    <col min="4347" max="4347" width="12.59765625" style="31" customWidth="1"/>
    <col min="4348" max="4348" width="11.3984375" style="31" customWidth="1"/>
    <col min="4349" max="4349" width="9.8984375" style="31" customWidth="1"/>
    <col min="4350" max="4350" width="11.5" style="31" customWidth="1"/>
    <col min="4351" max="4598" width="9" style="31"/>
    <col min="4599" max="4599" width="19.59765625" style="31" customWidth="1"/>
    <col min="4600" max="4600" width="9.3984375" style="31" customWidth="1"/>
    <col min="4601" max="4601" width="11.19921875" style="31" customWidth="1"/>
    <col min="4602" max="4602" width="11.5" style="31" customWidth="1"/>
    <col min="4603" max="4603" width="12.59765625" style="31" customWidth="1"/>
    <col min="4604" max="4604" width="11.3984375" style="31" customWidth="1"/>
    <col min="4605" max="4605" width="9.8984375" style="31" customWidth="1"/>
    <col min="4606" max="4606" width="11.5" style="31" customWidth="1"/>
    <col min="4607" max="4854" width="9" style="31"/>
    <col min="4855" max="4855" width="19.59765625" style="31" customWidth="1"/>
    <col min="4856" max="4856" width="9.3984375" style="31" customWidth="1"/>
    <col min="4857" max="4857" width="11.19921875" style="31" customWidth="1"/>
    <col min="4858" max="4858" width="11.5" style="31" customWidth="1"/>
    <col min="4859" max="4859" width="12.59765625" style="31" customWidth="1"/>
    <col min="4860" max="4860" width="11.3984375" style="31" customWidth="1"/>
    <col min="4861" max="4861" width="9.8984375" style="31" customWidth="1"/>
    <col min="4862" max="4862" width="11.5" style="31" customWidth="1"/>
    <col min="4863" max="5110" width="9" style="31"/>
    <col min="5111" max="5111" width="19.59765625" style="31" customWidth="1"/>
    <col min="5112" max="5112" width="9.3984375" style="31" customWidth="1"/>
    <col min="5113" max="5113" width="11.19921875" style="31" customWidth="1"/>
    <col min="5114" max="5114" width="11.5" style="31" customWidth="1"/>
    <col min="5115" max="5115" width="12.59765625" style="31" customWidth="1"/>
    <col min="5116" max="5116" width="11.3984375" style="31" customWidth="1"/>
    <col min="5117" max="5117" width="9.8984375" style="31" customWidth="1"/>
    <col min="5118" max="5118" width="11.5" style="31" customWidth="1"/>
    <col min="5119" max="5366" width="9" style="31"/>
    <col min="5367" max="5367" width="19.59765625" style="31" customWidth="1"/>
    <col min="5368" max="5368" width="9.3984375" style="31" customWidth="1"/>
    <col min="5369" max="5369" width="11.19921875" style="31" customWidth="1"/>
    <col min="5370" max="5370" width="11.5" style="31" customWidth="1"/>
    <col min="5371" max="5371" width="12.59765625" style="31" customWidth="1"/>
    <col min="5372" max="5372" width="11.3984375" style="31" customWidth="1"/>
    <col min="5373" max="5373" width="9.8984375" style="31" customWidth="1"/>
    <col min="5374" max="5374" width="11.5" style="31" customWidth="1"/>
    <col min="5375" max="5622" width="9" style="31"/>
    <col min="5623" max="5623" width="19.59765625" style="31" customWidth="1"/>
    <col min="5624" max="5624" width="9.3984375" style="31" customWidth="1"/>
    <col min="5625" max="5625" width="11.19921875" style="31" customWidth="1"/>
    <col min="5626" max="5626" width="11.5" style="31" customWidth="1"/>
    <col min="5627" max="5627" width="12.59765625" style="31" customWidth="1"/>
    <col min="5628" max="5628" width="11.3984375" style="31" customWidth="1"/>
    <col min="5629" max="5629" width="9.8984375" style="31" customWidth="1"/>
    <col min="5630" max="5630" width="11.5" style="31" customWidth="1"/>
    <col min="5631" max="5878" width="9" style="31"/>
    <col min="5879" max="5879" width="19.59765625" style="31" customWidth="1"/>
    <col min="5880" max="5880" width="9.3984375" style="31" customWidth="1"/>
    <col min="5881" max="5881" width="11.19921875" style="31" customWidth="1"/>
    <col min="5882" max="5882" width="11.5" style="31" customWidth="1"/>
    <col min="5883" max="5883" width="12.59765625" style="31" customWidth="1"/>
    <col min="5884" max="5884" width="11.3984375" style="31" customWidth="1"/>
    <col min="5885" max="5885" width="9.8984375" style="31" customWidth="1"/>
    <col min="5886" max="5886" width="11.5" style="31" customWidth="1"/>
    <col min="5887" max="6134" width="9" style="31"/>
    <col min="6135" max="6135" width="19.59765625" style="31" customWidth="1"/>
    <col min="6136" max="6136" width="9.3984375" style="31" customWidth="1"/>
    <col min="6137" max="6137" width="11.19921875" style="31" customWidth="1"/>
    <col min="6138" max="6138" width="11.5" style="31" customWidth="1"/>
    <col min="6139" max="6139" width="12.59765625" style="31" customWidth="1"/>
    <col min="6140" max="6140" width="11.3984375" style="31" customWidth="1"/>
    <col min="6141" max="6141" width="9.8984375" style="31" customWidth="1"/>
    <col min="6142" max="6142" width="11.5" style="31" customWidth="1"/>
    <col min="6143" max="6390" width="9" style="31"/>
    <col min="6391" max="6391" width="19.59765625" style="31" customWidth="1"/>
    <col min="6392" max="6392" width="9.3984375" style="31" customWidth="1"/>
    <col min="6393" max="6393" width="11.19921875" style="31" customWidth="1"/>
    <col min="6394" max="6394" width="11.5" style="31" customWidth="1"/>
    <col min="6395" max="6395" width="12.59765625" style="31" customWidth="1"/>
    <col min="6396" max="6396" width="11.3984375" style="31" customWidth="1"/>
    <col min="6397" max="6397" width="9.8984375" style="31" customWidth="1"/>
    <col min="6398" max="6398" width="11.5" style="31" customWidth="1"/>
    <col min="6399" max="6646" width="9" style="31"/>
    <col min="6647" max="6647" width="19.59765625" style="31" customWidth="1"/>
    <col min="6648" max="6648" width="9.3984375" style="31" customWidth="1"/>
    <col min="6649" max="6649" width="11.19921875" style="31" customWidth="1"/>
    <col min="6650" max="6650" width="11.5" style="31" customWidth="1"/>
    <col min="6651" max="6651" width="12.59765625" style="31" customWidth="1"/>
    <col min="6652" max="6652" width="11.3984375" style="31" customWidth="1"/>
    <col min="6653" max="6653" width="9.8984375" style="31" customWidth="1"/>
    <col min="6654" max="6654" width="11.5" style="31" customWidth="1"/>
    <col min="6655" max="6902" width="9" style="31"/>
    <col min="6903" max="6903" width="19.59765625" style="31" customWidth="1"/>
    <col min="6904" max="6904" width="9.3984375" style="31" customWidth="1"/>
    <col min="6905" max="6905" width="11.19921875" style="31" customWidth="1"/>
    <col min="6906" max="6906" width="11.5" style="31" customWidth="1"/>
    <col min="6907" max="6907" width="12.59765625" style="31" customWidth="1"/>
    <col min="6908" max="6908" width="11.3984375" style="31" customWidth="1"/>
    <col min="6909" max="6909" width="9.8984375" style="31" customWidth="1"/>
    <col min="6910" max="6910" width="11.5" style="31" customWidth="1"/>
    <col min="6911" max="7158" width="9" style="31"/>
    <col min="7159" max="7159" width="19.59765625" style="31" customWidth="1"/>
    <col min="7160" max="7160" width="9.3984375" style="31" customWidth="1"/>
    <col min="7161" max="7161" width="11.19921875" style="31" customWidth="1"/>
    <col min="7162" max="7162" width="11.5" style="31" customWidth="1"/>
    <col min="7163" max="7163" width="12.59765625" style="31" customWidth="1"/>
    <col min="7164" max="7164" width="11.3984375" style="31" customWidth="1"/>
    <col min="7165" max="7165" width="9.8984375" style="31" customWidth="1"/>
    <col min="7166" max="7166" width="11.5" style="31" customWidth="1"/>
    <col min="7167" max="7414" width="9" style="31"/>
    <col min="7415" max="7415" width="19.59765625" style="31" customWidth="1"/>
    <col min="7416" max="7416" width="9.3984375" style="31" customWidth="1"/>
    <col min="7417" max="7417" width="11.19921875" style="31" customWidth="1"/>
    <col min="7418" max="7418" width="11.5" style="31" customWidth="1"/>
    <col min="7419" max="7419" width="12.59765625" style="31" customWidth="1"/>
    <col min="7420" max="7420" width="11.3984375" style="31" customWidth="1"/>
    <col min="7421" max="7421" width="9.8984375" style="31" customWidth="1"/>
    <col min="7422" max="7422" width="11.5" style="31" customWidth="1"/>
    <col min="7423" max="7670" width="9" style="31"/>
    <col min="7671" max="7671" width="19.59765625" style="31" customWidth="1"/>
    <col min="7672" max="7672" width="9.3984375" style="31" customWidth="1"/>
    <col min="7673" max="7673" width="11.19921875" style="31" customWidth="1"/>
    <col min="7674" max="7674" width="11.5" style="31" customWidth="1"/>
    <col min="7675" max="7675" width="12.59765625" style="31" customWidth="1"/>
    <col min="7676" max="7676" width="11.3984375" style="31" customWidth="1"/>
    <col min="7677" max="7677" width="9.8984375" style="31" customWidth="1"/>
    <col min="7678" max="7678" width="11.5" style="31" customWidth="1"/>
    <col min="7679" max="7926" width="9" style="31"/>
    <col min="7927" max="7927" width="19.59765625" style="31" customWidth="1"/>
    <col min="7928" max="7928" width="9.3984375" style="31" customWidth="1"/>
    <col min="7929" max="7929" width="11.19921875" style="31" customWidth="1"/>
    <col min="7930" max="7930" width="11.5" style="31" customWidth="1"/>
    <col min="7931" max="7931" width="12.59765625" style="31" customWidth="1"/>
    <col min="7932" max="7932" width="11.3984375" style="31" customWidth="1"/>
    <col min="7933" max="7933" width="9.8984375" style="31" customWidth="1"/>
    <col min="7934" max="7934" width="11.5" style="31" customWidth="1"/>
    <col min="7935" max="8182" width="9" style="31"/>
    <col min="8183" max="8183" width="19.59765625" style="31" customWidth="1"/>
    <col min="8184" max="8184" width="9.3984375" style="31" customWidth="1"/>
    <col min="8185" max="8185" width="11.19921875" style="31" customWidth="1"/>
    <col min="8186" max="8186" width="11.5" style="31" customWidth="1"/>
    <col min="8187" max="8187" width="12.59765625" style="31" customWidth="1"/>
    <col min="8188" max="8188" width="11.3984375" style="31" customWidth="1"/>
    <col min="8189" max="8189" width="9.8984375" style="31" customWidth="1"/>
    <col min="8190" max="8190" width="11.5" style="31" customWidth="1"/>
    <col min="8191" max="8438" width="9" style="31"/>
    <col min="8439" max="8439" width="19.59765625" style="31" customWidth="1"/>
    <col min="8440" max="8440" width="9.3984375" style="31" customWidth="1"/>
    <col min="8441" max="8441" width="11.19921875" style="31" customWidth="1"/>
    <col min="8442" max="8442" width="11.5" style="31" customWidth="1"/>
    <col min="8443" max="8443" width="12.59765625" style="31" customWidth="1"/>
    <col min="8444" max="8444" width="11.3984375" style="31" customWidth="1"/>
    <col min="8445" max="8445" width="9.8984375" style="31" customWidth="1"/>
    <col min="8446" max="8446" width="11.5" style="31" customWidth="1"/>
    <col min="8447" max="8694" width="9" style="31"/>
    <col min="8695" max="8695" width="19.59765625" style="31" customWidth="1"/>
    <col min="8696" max="8696" width="9.3984375" style="31" customWidth="1"/>
    <col min="8697" max="8697" width="11.19921875" style="31" customWidth="1"/>
    <col min="8698" max="8698" width="11.5" style="31" customWidth="1"/>
    <col min="8699" max="8699" width="12.59765625" style="31" customWidth="1"/>
    <col min="8700" max="8700" width="11.3984375" style="31" customWidth="1"/>
    <col min="8701" max="8701" width="9.8984375" style="31" customWidth="1"/>
    <col min="8702" max="8702" width="11.5" style="31" customWidth="1"/>
    <col min="8703" max="8950" width="9" style="31"/>
    <col min="8951" max="8951" width="19.59765625" style="31" customWidth="1"/>
    <col min="8952" max="8952" width="9.3984375" style="31" customWidth="1"/>
    <col min="8953" max="8953" width="11.19921875" style="31" customWidth="1"/>
    <col min="8954" max="8954" width="11.5" style="31" customWidth="1"/>
    <col min="8955" max="8955" width="12.59765625" style="31" customWidth="1"/>
    <col min="8956" max="8956" width="11.3984375" style="31" customWidth="1"/>
    <col min="8957" max="8957" width="9.8984375" style="31" customWidth="1"/>
    <col min="8958" max="8958" width="11.5" style="31" customWidth="1"/>
    <col min="8959" max="9206" width="9" style="31"/>
    <col min="9207" max="9207" width="19.59765625" style="31" customWidth="1"/>
    <col min="9208" max="9208" width="9.3984375" style="31" customWidth="1"/>
    <col min="9209" max="9209" width="11.19921875" style="31" customWidth="1"/>
    <col min="9210" max="9210" width="11.5" style="31" customWidth="1"/>
    <col min="9211" max="9211" width="12.59765625" style="31" customWidth="1"/>
    <col min="9212" max="9212" width="11.3984375" style="31" customWidth="1"/>
    <col min="9213" max="9213" width="9.8984375" style="31" customWidth="1"/>
    <col min="9214" max="9214" width="11.5" style="31" customWidth="1"/>
    <col min="9215" max="9462" width="9" style="31"/>
    <col min="9463" max="9463" width="19.59765625" style="31" customWidth="1"/>
    <col min="9464" max="9464" width="9.3984375" style="31" customWidth="1"/>
    <col min="9465" max="9465" width="11.19921875" style="31" customWidth="1"/>
    <col min="9466" max="9466" width="11.5" style="31" customWidth="1"/>
    <col min="9467" max="9467" width="12.59765625" style="31" customWidth="1"/>
    <col min="9468" max="9468" width="11.3984375" style="31" customWidth="1"/>
    <col min="9469" max="9469" width="9.8984375" style="31" customWidth="1"/>
    <col min="9470" max="9470" width="11.5" style="31" customWidth="1"/>
    <col min="9471" max="9718" width="9" style="31"/>
    <col min="9719" max="9719" width="19.59765625" style="31" customWidth="1"/>
    <col min="9720" max="9720" width="9.3984375" style="31" customWidth="1"/>
    <col min="9721" max="9721" width="11.19921875" style="31" customWidth="1"/>
    <col min="9722" max="9722" width="11.5" style="31" customWidth="1"/>
    <col min="9723" max="9723" width="12.59765625" style="31" customWidth="1"/>
    <col min="9724" max="9724" width="11.3984375" style="31" customWidth="1"/>
    <col min="9725" max="9725" width="9.8984375" style="31" customWidth="1"/>
    <col min="9726" max="9726" width="11.5" style="31" customWidth="1"/>
    <col min="9727" max="9974" width="9" style="31"/>
    <col min="9975" max="9975" width="19.59765625" style="31" customWidth="1"/>
    <col min="9976" max="9976" width="9.3984375" style="31" customWidth="1"/>
    <col min="9977" max="9977" width="11.19921875" style="31" customWidth="1"/>
    <col min="9978" max="9978" width="11.5" style="31" customWidth="1"/>
    <col min="9979" max="9979" width="12.59765625" style="31" customWidth="1"/>
    <col min="9980" max="9980" width="11.3984375" style="31" customWidth="1"/>
    <col min="9981" max="9981" width="9.8984375" style="31" customWidth="1"/>
    <col min="9982" max="9982" width="11.5" style="31" customWidth="1"/>
    <col min="9983" max="10230" width="9" style="31"/>
    <col min="10231" max="10231" width="19.59765625" style="31" customWidth="1"/>
    <col min="10232" max="10232" width="9.3984375" style="31" customWidth="1"/>
    <col min="10233" max="10233" width="11.19921875" style="31" customWidth="1"/>
    <col min="10234" max="10234" width="11.5" style="31" customWidth="1"/>
    <col min="10235" max="10235" width="12.59765625" style="31" customWidth="1"/>
    <col min="10236" max="10236" width="11.3984375" style="31" customWidth="1"/>
    <col min="10237" max="10237" width="9.8984375" style="31" customWidth="1"/>
    <col min="10238" max="10238" width="11.5" style="31" customWidth="1"/>
    <col min="10239" max="10486" width="9" style="31"/>
    <col min="10487" max="10487" width="19.59765625" style="31" customWidth="1"/>
    <col min="10488" max="10488" width="9.3984375" style="31" customWidth="1"/>
    <col min="10489" max="10489" width="11.19921875" style="31" customWidth="1"/>
    <col min="10490" max="10490" width="11.5" style="31" customWidth="1"/>
    <col min="10491" max="10491" width="12.59765625" style="31" customWidth="1"/>
    <col min="10492" max="10492" width="11.3984375" style="31" customWidth="1"/>
    <col min="10493" max="10493" width="9.8984375" style="31" customWidth="1"/>
    <col min="10494" max="10494" width="11.5" style="31" customWidth="1"/>
    <col min="10495" max="10742" width="9" style="31"/>
    <col min="10743" max="10743" width="19.59765625" style="31" customWidth="1"/>
    <col min="10744" max="10744" width="9.3984375" style="31" customWidth="1"/>
    <col min="10745" max="10745" width="11.19921875" style="31" customWidth="1"/>
    <col min="10746" max="10746" width="11.5" style="31" customWidth="1"/>
    <col min="10747" max="10747" width="12.59765625" style="31" customWidth="1"/>
    <col min="10748" max="10748" width="11.3984375" style="31" customWidth="1"/>
    <col min="10749" max="10749" width="9.8984375" style="31" customWidth="1"/>
    <col min="10750" max="10750" width="11.5" style="31" customWidth="1"/>
    <col min="10751" max="10998" width="9" style="31"/>
    <col min="10999" max="10999" width="19.59765625" style="31" customWidth="1"/>
    <col min="11000" max="11000" width="9.3984375" style="31" customWidth="1"/>
    <col min="11001" max="11001" width="11.19921875" style="31" customWidth="1"/>
    <col min="11002" max="11002" width="11.5" style="31" customWidth="1"/>
    <col min="11003" max="11003" width="12.59765625" style="31" customWidth="1"/>
    <col min="11004" max="11004" width="11.3984375" style="31" customWidth="1"/>
    <col min="11005" max="11005" width="9.8984375" style="31" customWidth="1"/>
    <col min="11006" max="11006" width="11.5" style="31" customWidth="1"/>
    <col min="11007" max="11254" width="9" style="31"/>
    <col min="11255" max="11255" width="19.59765625" style="31" customWidth="1"/>
    <col min="11256" max="11256" width="9.3984375" style="31" customWidth="1"/>
    <col min="11257" max="11257" width="11.19921875" style="31" customWidth="1"/>
    <col min="11258" max="11258" width="11.5" style="31" customWidth="1"/>
    <col min="11259" max="11259" width="12.59765625" style="31" customWidth="1"/>
    <col min="11260" max="11260" width="11.3984375" style="31" customWidth="1"/>
    <col min="11261" max="11261" width="9.8984375" style="31" customWidth="1"/>
    <col min="11262" max="11262" width="11.5" style="31" customWidth="1"/>
    <col min="11263" max="11510" width="9" style="31"/>
    <col min="11511" max="11511" width="19.59765625" style="31" customWidth="1"/>
    <col min="11512" max="11512" width="9.3984375" style="31" customWidth="1"/>
    <col min="11513" max="11513" width="11.19921875" style="31" customWidth="1"/>
    <col min="11514" max="11514" width="11.5" style="31" customWidth="1"/>
    <col min="11515" max="11515" width="12.59765625" style="31" customWidth="1"/>
    <col min="11516" max="11516" width="11.3984375" style="31" customWidth="1"/>
    <col min="11517" max="11517" width="9.8984375" style="31" customWidth="1"/>
    <col min="11518" max="11518" width="11.5" style="31" customWidth="1"/>
    <col min="11519" max="11766" width="9" style="31"/>
    <col min="11767" max="11767" width="19.59765625" style="31" customWidth="1"/>
    <col min="11768" max="11768" width="9.3984375" style="31" customWidth="1"/>
    <col min="11769" max="11769" width="11.19921875" style="31" customWidth="1"/>
    <col min="11770" max="11770" width="11.5" style="31" customWidth="1"/>
    <col min="11771" max="11771" width="12.59765625" style="31" customWidth="1"/>
    <col min="11772" max="11772" width="11.3984375" style="31" customWidth="1"/>
    <col min="11773" max="11773" width="9.8984375" style="31" customWidth="1"/>
    <col min="11774" max="11774" width="11.5" style="31" customWidth="1"/>
    <col min="11775" max="12022" width="9" style="31"/>
    <col min="12023" max="12023" width="19.59765625" style="31" customWidth="1"/>
    <col min="12024" max="12024" width="9.3984375" style="31" customWidth="1"/>
    <col min="12025" max="12025" width="11.19921875" style="31" customWidth="1"/>
    <col min="12026" max="12026" width="11.5" style="31" customWidth="1"/>
    <col min="12027" max="12027" width="12.59765625" style="31" customWidth="1"/>
    <col min="12028" max="12028" width="11.3984375" style="31" customWidth="1"/>
    <col min="12029" max="12029" width="9.8984375" style="31" customWidth="1"/>
    <col min="12030" max="12030" width="11.5" style="31" customWidth="1"/>
    <col min="12031" max="12278" width="9" style="31"/>
    <col min="12279" max="12279" width="19.59765625" style="31" customWidth="1"/>
    <col min="12280" max="12280" width="9.3984375" style="31" customWidth="1"/>
    <col min="12281" max="12281" width="11.19921875" style="31" customWidth="1"/>
    <col min="12282" max="12282" width="11.5" style="31" customWidth="1"/>
    <col min="12283" max="12283" width="12.59765625" style="31" customWidth="1"/>
    <col min="12284" max="12284" width="11.3984375" style="31" customWidth="1"/>
    <col min="12285" max="12285" width="9.8984375" style="31" customWidth="1"/>
    <col min="12286" max="12286" width="11.5" style="31" customWidth="1"/>
    <col min="12287" max="12534" width="9" style="31"/>
    <col min="12535" max="12535" width="19.59765625" style="31" customWidth="1"/>
    <col min="12536" max="12536" width="9.3984375" style="31" customWidth="1"/>
    <col min="12537" max="12537" width="11.19921875" style="31" customWidth="1"/>
    <col min="12538" max="12538" width="11.5" style="31" customWidth="1"/>
    <col min="12539" max="12539" width="12.59765625" style="31" customWidth="1"/>
    <col min="12540" max="12540" width="11.3984375" style="31" customWidth="1"/>
    <col min="12541" max="12541" width="9.8984375" style="31" customWidth="1"/>
    <col min="12542" max="12542" width="11.5" style="31" customWidth="1"/>
    <col min="12543" max="12790" width="9" style="31"/>
    <col min="12791" max="12791" width="19.59765625" style="31" customWidth="1"/>
    <col min="12792" max="12792" width="9.3984375" style="31" customWidth="1"/>
    <col min="12793" max="12793" width="11.19921875" style="31" customWidth="1"/>
    <col min="12794" max="12794" width="11.5" style="31" customWidth="1"/>
    <col min="12795" max="12795" width="12.59765625" style="31" customWidth="1"/>
    <col min="12796" max="12796" width="11.3984375" style="31" customWidth="1"/>
    <col min="12797" max="12797" width="9.8984375" style="31" customWidth="1"/>
    <col min="12798" max="12798" width="11.5" style="31" customWidth="1"/>
    <col min="12799" max="13046" width="9" style="31"/>
    <col min="13047" max="13047" width="19.59765625" style="31" customWidth="1"/>
    <col min="13048" max="13048" width="9.3984375" style="31" customWidth="1"/>
    <col min="13049" max="13049" width="11.19921875" style="31" customWidth="1"/>
    <col min="13050" max="13050" width="11.5" style="31" customWidth="1"/>
    <col min="13051" max="13051" width="12.59765625" style="31" customWidth="1"/>
    <col min="13052" max="13052" width="11.3984375" style="31" customWidth="1"/>
    <col min="13053" max="13053" width="9.8984375" style="31" customWidth="1"/>
    <col min="13054" max="13054" width="11.5" style="31" customWidth="1"/>
    <col min="13055" max="13302" width="9" style="31"/>
    <col min="13303" max="13303" width="19.59765625" style="31" customWidth="1"/>
    <col min="13304" max="13304" width="9.3984375" style="31" customWidth="1"/>
    <col min="13305" max="13305" width="11.19921875" style="31" customWidth="1"/>
    <col min="13306" max="13306" width="11.5" style="31" customWidth="1"/>
    <col min="13307" max="13307" width="12.59765625" style="31" customWidth="1"/>
    <col min="13308" max="13308" width="11.3984375" style="31" customWidth="1"/>
    <col min="13309" max="13309" width="9.8984375" style="31" customWidth="1"/>
    <col min="13310" max="13310" width="11.5" style="31" customWidth="1"/>
    <col min="13311" max="13558" width="9" style="31"/>
    <col min="13559" max="13559" width="19.59765625" style="31" customWidth="1"/>
    <col min="13560" max="13560" width="9.3984375" style="31" customWidth="1"/>
    <col min="13561" max="13561" width="11.19921875" style="31" customWidth="1"/>
    <col min="13562" max="13562" width="11.5" style="31" customWidth="1"/>
    <col min="13563" max="13563" width="12.59765625" style="31" customWidth="1"/>
    <col min="13564" max="13564" width="11.3984375" style="31" customWidth="1"/>
    <col min="13565" max="13565" width="9.8984375" style="31" customWidth="1"/>
    <col min="13566" max="13566" width="11.5" style="31" customWidth="1"/>
    <col min="13567" max="13814" width="9" style="31"/>
    <col min="13815" max="13815" width="19.59765625" style="31" customWidth="1"/>
    <col min="13816" max="13816" width="9.3984375" style="31" customWidth="1"/>
    <col min="13817" max="13817" width="11.19921875" style="31" customWidth="1"/>
    <col min="13818" max="13818" width="11.5" style="31" customWidth="1"/>
    <col min="13819" max="13819" width="12.59765625" style="31" customWidth="1"/>
    <col min="13820" max="13820" width="11.3984375" style="31" customWidth="1"/>
    <col min="13821" max="13821" width="9.8984375" style="31" customWidth="1"/>
    <col min="13822" max="13822" width="11.5" style="31" customWidth="1"/>
    <col min="13823" max="14070" width="9" style="31"/>
    <col min="14071" max="14071" width="19.59765625" style="31" customWidth="1"/>
    <col min="14072" max="14072" width="9.3984375" style="31" customWidth="1"/>
    <col min="14073" max="14073" width="11.19921875" style="31" customWidth="1"/>
    <col min="14074" max="14074" width="11.5" style="31" customWidth="1"/>
    <col min="14075" max="14075" width="12.59765625" style="31" customWidth="1"/>
    <col min="14076" max="14076" width="11.3984375" style="31" customWidth="1"/>
    <col min="14077" max="14077" width="9.8984375" style="31" customWidth="1"/>
    <col min="14078" max="14078" width="11.5" style="31" customWidth="1"/>
    <col min="14079" max="14326" width="9" style="31"/>
    <col min="14327" max="14327" width="19.59765625" style="31" customWidth="1"/>
    <col min="14328" max="14328" width="9.3984375" style="31" customWidth="1"/>
    <col min="14329" max="14329" width="11.19921875" style="31" customWidth="1"/>
    <col min="14330" max="14330" width="11.5" style="31" customWidth="1"/>
    <col min="14331" max="14331" width="12.59765625" style="31" customWidth="1"/>
    <col min="14332" max="14332" width="11.3984375" style="31" customWidth="1"/>
    <col min="14333" max="14333" width="9.8984375" style="31" customWidth="1"/>
    <col min="14334" max="14334" width="11.5" style="31" customWidth="1"/>
    <col min="14335" max="14582" width="9" style="31"/>
    <col min="14583" max="14583" width="19.59765625" style="31" customWidth="1"/>
    <col min="14584" max="14584" width="9.3984375" style="31" customWidth="1"/>
    <col min="14585" max="14585" width="11.19921875" style="31" customWidth="1"/>
    <col min="14586" max="14586" width="11.5" style="31" customWidth="1"/>
    <col min="14587" max="14587" width="12.59765625" style="31" customWidth="1"/>
    <col min="14588" max="14588" width="11.3984375" style="31" customWidth="1"/>
    <col min="14589" max="14589" width="9.8984375" style="31" customWidth="1"/>
    <col min="14590" max="14590" width="11.5" style="31" customWidth="1"/>
    <col min="14591" max="14838" width="9" style="31"/>
    <col min="14839" max="14839" width="19.59765625" style="31" customWidth="1"/>
    <col min="14840" max="14840" width="9.3984375" style="31" customWidth="1"/>
    <col min="14841" max="14841" width="11.19921875" style="31" customWidth="1"/>
    <col min="14842" max="14842" width="11.5" style="31" customWidth="1"/>
    <col min="14843" max="14843" width="12.59765625" style="31" customWidth="1"/>
    <col min="14844" max="14844" width="11.3984375" style="31" customWidth="1"/>
    <col min="14845" max="14845" width="9.8984375" style="31" customWidth="1"/>
    <col min="14846" max="14846" width="11.5" style="31" customWidth="1"/>
    <col min="14847" max="15094" width="9" style="31"/>
    <col min="15095" max="15095" width="19.59765625" style="31" customWidth="1"/>
    <col min="15096" max="15096" width="9.3984375" style="31" customWidth="1"/>
    <col min="15097" max="15097" width="11.19921875" style="31" customWidth="1"/>
    <col min="15098" max="15098" width="11.5" style="31" customWidth="1"/>
    <col min="15099" max="15099" width="12.59765625" style="31" customWidth="1"/>
    <col min="15100" max="15100" width="11.3984375" style="31" customWidth="1"/>
    <col min="15101" max="15101" width="9.8984375" style="31" customWidth="1"/>
    <col min="15102" max="15102" width="11.5" style="31" customWidth="1"/>
    <col min="15103" max="15350" width="9" style="31"/>
    <col min="15351" max="15351" width="19.59765625" style="31" customWidth="1"/>
    <col min="15352" max="15352" width="9.3984375" style="31" customWidth="1"/>
    <col min="15353" max="15353" width="11.19921875" style="31" customWidth="1"/>
    <col min="15354" max="15354" width="11.5" style="31" customWidth="1"/>
    <col min="15355" max="15355" width="12.59765625" style="31" customWidth="1"/>
    <col min="15356" max="15356" width="11.3984375" style="31" customWidth="1"/>
    <col min="15357" max="15357" width="9.8984375" style="31" customWidth="1"/>
    <col min="15358" max="15358" width="11.5" style="31" customWidth="1"/>
    <col min="15359" max="15606" width="9" style="31"/>
    <col min="15607" max="15607" width="19.59765625" style="31" customWidth="1"/>
    <col min="15608" max="15608" width="9.3984375" style="31" customWidth="1"/>
    <col min="15609" max="15609" width="11.19921875" style="31" customWidth="1"/>
    <col min="15610" max="15610" width="11.5" style="31" customWidth="1"/>
    <col min="15611" max="15611" width="12.59765625" style="31" customWidth="1"/>
    <col min="15612" max="15612" width="11.3984375" style="31" customWidth="1"/>
    <col min="15613" max="15613" width="9.8984375" style="31" customWidth="1"/>
    <col min="15614" max="15614" width="11.5" style="31" customWidth="1"/>
    <col min="15615" max="15862" width="9" style="31"/>
    <col min="15863" max="15863" width="19.59765625" style="31" customWidth="1"/>
    <col min="15864" max="15864" width="9.3984375" style="31" customWidth="1"/>
    <col min="15865" max="15865" width="11.19921875" style="31" customWidth="1"/>
    <col min="15866" max="15866" width="11.5" style="31" customWidth="1"/>
    <col min="15867" max="15867" width="12.59765625" style="31" customWidth="1"/>
    <col min="15868" max="15868" width="11.3984375" style="31" customWidth="1"/>
    <col min="15869" max="15869" width="9.8984375" style="31" customWidth="1"/>
    <col min="15870" max="15870" width="11.5" style="31" customWidth="1"/>
    <col min="15871" max="16118" width="9" style="31"/>
    <col min="16119" max="16119" width="19.59765625" style="31" customWidth="1"/>
    <col min="16120" max="16120" width="9.3984375" style="31" customWidth="1"/>
    <col min="16121" max="16121" width="11.19921875" style="31" customWidth="1"/>
    <col min="16122" max="16122" width="11.5" style="31" customWidth="1"/>
    <col min="16123" max="16123" width="12.59765625" style="31" customWidth="1"/>
    <col min="16124" max="16124" width="11.3984375" style="31" customWidth="1"/>
    <col min="16125" max="16125" width="9.8984375" style="31" customWidth="1"/>
    <col min="16126" max="16126" width="11.5" style="31" customWidth="1"/>
    <col min="16127" max="16373" width="9" style="31"/>
    <col min="16374" max="16384" width="9" style="31" customWidth="1"/>
  </cols>
  <sheetData>
    <row r="1" spans="1:13" s="12" customFormat="1" ht="19.95" customHeight="1">
      <c r="A1" s="688" t="s">
        <v>23</v>
      </c>
      <c r="B1" s="688"/>
      <c r="C1" s="688"/>
      <c r="D1" s="688"/>
      <c r="E1" s="688"/>
      <c r="F1" s="688"/>
      <c r="G1" s="688"/>
      <c r="H1" s="688"/>
      <c r="I1" s="688"/>
      <c r="J1" s="688"/>
      <c r="K1" s="688"/>
      <c r="L1" s="688"/>
      <c r="M1" s="688"/>
    </row>
    <row r="2" spans="1:13" s="12" customFormat="1" ht="19.95" customHeight="1">
      <c r="A2" s="689" t="s">
        <v>850</v>
      </c>
      <c r="B2" s="689"/>
      <c r="C2" s="689"/>
      <c r="D2" s="689"/>
      <c r="E2" s="689"/>
      <c r="F2" s="689"/>
      <c r="G2" s="689"/>
      <c r="H2" s="689"/>
      <c r="I2" s="689"/>
      <c r="J2" s="689"/>
      <c r="K2" s="689"/>
      <c r="L2" s="689"/>
      <c r="M2" s="689"/>
    </row>
    <row r="3" spans="1:13" ht="19.95" customHeight="1">
      <c r="A3" s="9" t="str">
        <f>底稿目录!A2</f>
        <v>被审计单位：</v>
      </c>
      <c r="C3" s="9"/>
      <c r="G3" s="9" t="str">
        <f>底稿目录!A4</f>
        <v>编制人：</v>
      </c>
      <c r="J3" s="9" t="str">
        <f>底稿目录!A5</f>
        <v>编制日期：</v>
      </c>
      <c r="L3" s="60" t="s">
        <v>95</v>
      </c>
      <c r="M3" s="534" t="str">
        <f>底稿目录!F12</f>
        <v>K1-5</v>
      </c>
    </row>
    <row r="4" spans="1:13" ht="19.95" customHeight="1">
      <c r="A4" s="9" t="str">
        <f>底稿目录!A3</f>
        <v>截止日：202X年12月31日</v>
      </c>
      <c r="C4" s="10"/>
      <c r="G4" s="9" t="str">
        <f>底稿目录!A6</f>
        <v>复核人：</v>
      </c>
      <c r="J4" s="9" t="str">
        <f>底稿目录!A7</f>
        <v>复核日期：</v>
      </c>
      <c r="L4" s="32" t="s">
        <v>96</v>
      </c>
      <c r="M4" s="60"/>
    </row>
    <row r="5" spans="1:13" s="15" customFormat="1" ht="19.95" customHeight="1">
      <c r="A5" s="46" t="s">
        <v>97</v>
      </c>
      <c r="C5" s="46"/>
      <c r="D5" s="46"/>
      <c r="E5" s="46"/>
      <c r="F5" s="46"/>
      <c r="G5" s="46"/>
      <c r="H5" s="46"/>
      <c r="I5" s="46"/>
      <c r="J5" s="46"/>
      <c r="K5" s="46"/>
    </row>
    <row r="6" spans="1:13" s="15" customFormat="1" ht="19.95" customHeight="1">
      <c r="A6" s="28" t="s">
        <v>564</v>
      </c>
      <c r="C6" s="46"/>
      <c r="D6" s="46"/>
      <c r="E6" s="46"/>
      <c r="F6" s="46"/>
      <c r="G6" s="28"/>
      <c r="I6" s="46"/>
      <c r="J6" s="46"/>
      <c r="K6" s="46"/>
    </row>
    <row r="7" spans="1:13" s="15" customFormat="1" ht="19.95" customHeight="1">
      <c r="A7" s="28" t="s">
        <v>565</v>
      </c>
      <c r="C7" s="46"/>
      <c r="D7" s="46"/>
      <c r="E7" s="46"/>
      <c r="F7" s="46"/>
      <c r="G7" s="28"/>
      <c r="I7" s="46"/>
      <c r="J7" s="46"/>
      <c r="K7" s="46"/>
    </row>
    <row r="8" spans="1:13" s="15" customFormat="1" ht="19.95" customHeight="1">
      <c r="A8" s="29" t="s">
        <v>98</v>
      </c>
      <c r="B8" s="46"/>
      <c r="C8" s="46"/>
      <c r="D8" s="46"/>
      <c r="E8" s="46"/>
      <c r="F8" s="46"/>
      <c r="G8" s="46"/>
      <c r="I8" s="46"/>
      <c r="J8" s="46"/>
      <c r="K8" s="46"/>
    </row>
    <row r="9" spans="1:13" s="15" customFormat="1" ht="19.95" customHeight="1">
      <c r="A9" s="28" t="s">
        <v>750</v>
      </c>
      <c r="B9" s="46"/>
      <c r="D9" s="46"/>
      <c r="G9" s="28"/>
      <c r="I9" s="46"/>
      <c r="J9" s="46"/>
      <c r="K9" s="46"/>
    </row>
    <row r="10" spans="1:13" ht="19.95" customHeight="1">
      <c r="A10" s="58" t="s">
        <v>714</v>
      </c>
      <c r="B10" s="58"/>
      <c r="C10" s="57"/>
      <c r="D10" s="57"/>
      <c r="E10" s="57"/>
      <c r="F10" s="57"/>
      <c r="G10" s="57"/>
      <c r="H10" s="57"/>
      <c r="I10" s="57"/>
      <c r="J10" s="57"/>
      <c r="K10" s="57"/>
      <c r="L10" s="57"/>
      <c r="M10" s="57"/>
    </row>
    <row r="11" spans="1:13" s="567" customFormat="1" ht="28.2" customHeight="1">
      <c r="A11" s="560" t="s">
        <v>845</v>
      </c>
      <c r="B11" s="564" t="s">
        <v>37</v>
      </c>
      <c r="C11" s="564" t="s">
        <v>223</v>
      </c>
      <c r="D11" s="564" t="s">
        <v>224</v>
      </c>
      <c r="E11" s="564" t="s">
        <v>225</v>
      </c>
      <c r="F11" s="565" t="s">
        <v>226</v>
      </c>
      <c r="G11" s="566" t="s">
        <v>697</v>
      </c>
      <c r="H11" s="566" t="s">
        <v>306</v>
      </c>
      <c r="I11" s="566" t="s">
        <v>698</v>
      </c>
      <c r="J11" s="564" t="s">
        <v>227</v>
      </c>
      <c r="K11" s="564" t="s">
        <v>228</v>
      </c>
      <c r="L11" s="564" t="s">
        <v>229</v>
      </c>
      <c r="M11" s="565" t="s">
        <v>508</v>
      </c>
    </row>
    <row r="12" spans="1:13" ht="19.95" customHeight="1">
      <c r="A12" s="561">
        <v>1</v>
      </c>
      <c r="B12" s="562"/>
      <c r="C12" s="140"/>
      <c r="D12" s="140"/>
      <c r="E12" s="140"/>
      <c r="F12" s="606">
        <f>C12+D12-E12</f>
        <v>0</v>
      </c>
      <c r="G12" s="435"/>
      <c r="H12" s="606">
        <f>F12-G12</f>
        <v>0</v>
      </c>
      <c r="I12" s="492"/>
      <c r="J12" s="62"/>
      <c r="K12" s="568"/>
      <c r="L12" s="63"/>
      <c r="M12" s="569"/>
    </row>
    <row r="13" spans="1:13" ht="19.95" customHeight="1">
      <c r="A13" s="561">
        <v>2</v>
      </c>
      <c r="B13" s="562"/>
      <c r="C13" s="140"/>
      <c r="D13" s="140"/>
      <c r="E13" s="140"/>
      <c r="F13" s="606">
        <f t="shared" ref="F13:F21" si="0">C13+D13-E13</f>
        <v>0</v>
      </c>
      <c r="G13" s="435"/>
      <c r="H13" s="606">
        <f t="shared" ref="H13:H21" si="1">F13-G13</f>
        <v>0</v>
      </c>
      <c r="I13" s="61"/>
      <c r="J13" s="62"/>
      <c r="K13" s="568"/>
      <c r="L13" s="63"/>
      <c r="M13" s="569"/>
    </row>
    <row r="14" spans="1:13" ht="19.95" customHeight="1">
      <c r="A14" s="561">
        <v>3</v>
      </c>
      <c r="B14" s="562"/>
      <c r="C14" s="140"/>
      <c r="D14" s="140"/>
      <c r="E14" s="140"/>
      <c r="F14" s="606">
        <f t="shared" si="0"/>
        <v>0</v>
      </c>
      <c r="G14" s="435"/>
      <c r="H14" s="606">
        <f t="shared" si="1"/>
        <v>0</v>
      </c>
      <c r="I14" s="61"/>
      <c r="J14" s="62"/>
      <c r="K14" s="568"/>
      <c r="L14" s="63"/>
      <c r="M14" s="569"/>
    </row>
    <row r="15" spans="1:13" ht="19.95" customHeight="1">
      <c r="A15" s="561">
        <v>4</v>
      </c>
      <c r="B15" s="562"/>
      <c r="C15" s="140"/>
      <c r="D15" s="140"/>
      <c r="E15" s="140"/>
      <c r="F15" s="606">
        <f t="shared" si="0"/>
        <v>0</v>
      </c>
      <c r="G15" s="435"/>
      <c r="H15" s="606">
        <f t="shared" si="1"/>
        <v>0</v>
      </c>
      <c r="I15" s="61"/>
      <c r="J15" s="62"/>
      <c r="K15" s="568"/>
      <c r="L15" s="63"/>
      <c r="M15" s="569"/>
    </row>
    <row r="16" spans="1:13" ht="19.95" customHeight="1">
      <c r="A16" s="561">
        <v>5</v>
      </c>
      <c r="B16" s="562"/>
      <c r="C16" s="140"/>
      <c r="D16" s="140"/>
      <c r="E16" s="140"/>
      <c r="F16" s="606">
        <f t="shared" si="0"/>
        <v>0</v>
      </c>
      <c r="G16" s="435"/>
      <c r="H16" s="606">
        <f t="shared" si="1"/>
        <v>0</v>
      </c>
      <c r="I16" s="61"/>
      <c r="J16" s="62"/>
      <c r="K16" s="568"/>
      <c r="L16" s="63"/>
      <c r="M16" s="569"/>
    </row>
    <row r="17" spans="1:13" ht="19.95" customHeight="1">
      <c r="A17" s="561">
        <v>6</v>
      </c>
      <c r="B17" s="562"/>
      <c r="C17" s="140"/>
      <c r="D17" s="140"/>
      <c r="E17" s="140"/>
      <c r="F17" s="606">
        <f t="shared" si="0"/>
        <v>0</v>
      </c>
      <c r="G17" s="435"/>
      <c r="H17" s="606">
        <f t="shared" si="1"/>
        <v>0</v>
      </c>
      <c r="I17" s="61"/>
      <c r="J17" s="62"/>
      <c r="K17" s="568"/>
      <c r="L17" s="63"/>
      <c r="M17" s="569"/>
    </row>
    <row r="18" spans="1:13" ht="19.95" customHeight="1">
      <c r="A18" s="561">
        <v>7</v>
      </c>
      <c r="B18" s="562"/>
      <c r="C18" s="140"/>
      <c r="D18" s="140"/>
      <c r="E18" s="140"/>
      <c r="F18" s="606">
        <f t="shared" si="0"/>
        <v>0</v>
      </c>
      <c r="G18" s="435"/>
      <c r="H18" s="606">
        <f t="shared" si="1"/>
        <v>0</v>
      </c>
      <c r="I18" s="61"/>
      <c r="J18" s="62"/>
      <c r="K18" s="568"/>
      <c r="L18" s="63"/>
      <c r="M18" s="569"/>
    </row>
    <row r="19" spans="1:13" ht="19.95" customHeight="1">
      <c r="A19" s="561">
        <v>8</v>
      </c>
      <c r="B19" s="562"/>
      <c r="C19" s="140"/>
      <c r="D19" s="140"/>
      <c r="E19" s="140"/>
      <c r="F19" s="606">
        <f t="shared" si="0"/>
        <v>0</v>
      </c>
      <c r="G19" s="435"/>
      <c r="H19" s="606">
        <f t="shared" si="1"/>
        <v>0</v>
      </c>
      <c r="I19" s="61"/>
      <c r="J19" s="62"/>
      <c r="K19" s="568"/>
      <c r="L19" s="63"/>
      <c r="M19" s="569"/>
    </row>
    <row r="20" spans="1:13" ht="19.95" customHeight="1">
      <c r="A20" s="561">
        <v>9</v>
      </c>
      <c r="B20" s="562"/>
      <c r="C20" s="140"/>
      <c r="D20" s="140"/>
      <c r="E20" s="140"/>
      <c r="F20" s="606">
        <f t="shared" si="0"/>
        <v>0</v>
      </c>
      <c r="G20" s="435"/>
      <c r="H20" s="606">
        <f t="shared" si="1"/>
        <v>0</v>
      </c>
      <c r="I20" s="61"/>
      <c r="J20" s="62"/>
      <c r="K20" s="568"/>
      <c r="L20" s="63"/>
      <c r="M20" s="569"/>
    </row>
    <row r="21" spans="1:13" ht="19.95" customHeight="1">
      <c r="A21" s="561">
        <v>10</v>
      </c>
      <c r="B21" s="562"/>
      <c r="C21" s="140"/>
      <c r="D21" s="140"/>
      <c r="E21" s="140"/>
      <c r="F21" s="606">
        <f t="shared" si="0"/>
        <v>0</v>
      </c>
      <c r="G21" s="435"/>
      <c r="H21" s="606">
        <f t="shared" si="1"/>
        <v>0</v>
      </c>
      <c r="I21" s="61"/>
      <c r="J21" s="62"/>
      <c r="K21" s="568"/>
      <c r="L21" s="63"/>
      <c r="M21" s="569"/>
    </row>
    <row r="22" spans="1:13" s="567" customFormat="1" ht="19.95" customHeight="1">
      <c r="A22" s="563"/>
      <c r="B22" s="563" t="s">
        <v>71</v>
      </c>
      <c r="C22" s="563">
        <f>SUM(C12:C21)</f>
        <v>0</v>
      </c>
      <c r="D22" s="563">
        <f t="shared" ref="D22:H22" si="2">SUM(D12:D21)</f>
        <v>0</v>
      </c>
      <c r="E22" s="563">
        <f t="shared" si="2"/>
        <v>0</v>
      </c>
      <c r="F22" s="563">
        <f t="shared" si="2"/>
        <v>0</v>
      </c>
      <c r="G22" s="563">
        <f t="shared" si="2"/>
        <v>0</v>
      </c>
      <c r="H22" s="563">
        <f t="shared" si="2"/>
        <v>0</v>
      </c>
      <c r="I22" s="563"/>
      <c r="J22" s="563"/>
      <c r="K22" s="563"/>
      <c r="L22" s="563"/>
      <c r="M22" s="563"/>
    </row>
    <row r="23" spans="1:13" ht="19.95" customHeight="1">
      <c r="A23" s="33" t="s">
        <v>100</v>
      </c>
      <c r="B23" s="30"/>
      <c r="C23" s="26"/>
      <c r="D23" s="26"/>
      <c r="E23" s="26"/>
      <c r="F23" s="26"/>
      <c r="G23" s="26"/>
      <c r="H23" s="26"/>
      <c r="I23" s="26"/>
    </row>
    <row r="24" spans="1:13" ht="19.95" customHeight="1">
      <c r="A24" s="488" t="s">
        <v>716</v>
      </c>
      <c r="B24" s="100"/>
      <c r="C24" s="26"/>
      <c r="D24" s="26"/>
      <c r="E24" s="26"/>
      <c r="F24" s="26"/>
      <c r="G24" s="26"/>
      <c r="H24" s="26"/>
      <c r="I24" s="26"/>
    </row>
    <row r="25" spans="1:13" ht="19.95" customHeight="1">
      <c r="B25" s="101"/>
      <c r="C25" s="26"/>
      <c r="D25" s="26"/>
      <c r="E25" s="26"/>
      <c r="F25" s="26"/>
      <c r="G25" s="26"/>
      <c r="H25" s="26"/>
      <c r="I25" s="26"/>
    </row>
    <row r="26" spans="1:13" ht="19.95" customHeight="1">
      <c r="A26" s="33" t="s">
        <v>101</v>
      </c>
    </row>
    <row r="27" spans="1:13" ht="19.95" customHeight="1"/>
  </sheetData>
  <mergeCells count="2">
    <mergeCell ref="A1:M1"/>
    <mergeCell ref="A2:M2"/>
  </mergeCells>
  <phoneticPr fontId="16" type="noConversion"/>
  <dataValidations count="1">
    <dataValidation type="list" allowBlank="1" showInputMessage="1" showErrorMessage="1" sqref="K12:K21">
      <formula1>"√,×"</formula1>
    </dataValidation>
  </dataValidations>
  <hyperlinks>
    <hyperlink ref="M3" location="底稿目录!A1" display="底稿目录!A1"/>
  </hyperlinks>
  <pageMargins left="0.74803149606299213" right="0.74803149606299213" top="0.98425196850393704" bottom="0.98425196850393704" header="0.51181102362204722" footer="0.51181102362204722"/>
  <pageSetup paperSize="9" scale="80" fitToHeight="0" orientation="landscape" blackAndWhite="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R43"/>
  <sheetViews>
    <sheetView view="pageBreakPreview" zoomScaleNormal="130" zoomScaleSheetLayoutView="100" workbookViewId="0">
      <selection sqref="A1:I1"/>
    </sheetView>
  </sheetViews>
  <sheetFormatPr defaultColWidth="9" defaultRowHeight="13.8"/>
  <cols>
    <col min="1" max="1" width="15.59765625" style="114" customWidth="1"/>
    <col min="2" max="2" width="11" style="114" customWidth="1"/>
    <col min="3" max="3" width="12.09765625" style="114" customWidth="1"/>
    <col min="4" max="4" width="15.09765625" style="114" customWidth="1"/>
    <col min="5" max="5" width="10.09765625" style="114" customWidth="1"/>
    <col min="6" max="6" width="16.5" style="114" customWidth="1"/>
    <col min="7" max="7" width="9" style="114"/>
    <col min="8" max="8" width="11.296875" style="114" customWidth="1"/>
    <col min="9" max="9" width="5.59765625" style="114" customWidth="1"/>
    <col min="10" max="16384" width="9" style="114"/>
  </cols>
  <sheetData>
    <row r="1" spans="1:18" s="12" customFormat="1" ht="19.95" customHeight="1">
      <c r="A1" s="688" t="s">
        <v>23</v>
      </c>
      <c r="B1" s="688"/>
      <c r="C1" s="688"/>
      <c r="D1" s="688"/>
      <c r="E1" s="688"/>
      <c r="F1" s="688"/>
      <c r="G1" s="688"/>
      <c r="H1" s="688"/>
      <c r="I1" s="688"/>
    </row>
    <row r="2" spans="1:18" s="12" customFormat="1" ht="19.95" customHeight="1">
      <c r="A2" s="689" t="s">
        <v>188</v>
      </c>
      <c r="B2" s="699"/>
      <c r="C2" s="699"/>
      <c r="D2" s="699"/>
      <c r="E2" s="699"/>
      <c r="F2" s="699"/>
      <c r="G2" s="699"/>
      <c r="H2" s="699"/>
      <c r="I2" s="699"/>
    </row>
    <row r="3" spans="1:18" ht="19.95" customHeight="1">
      <c r="A3" s="113" t="str">
        <f>底稿目录!A2</f>
        <v>被审计单位：</v>
      </c>
      <c r="B3" s="113"/>
      <c r="C3" s="113"/>
      <c r="D3" s="113" t="str">
        <f>底稿目录!A4</f>
        <v>编制人：</v>
      </c>
      <c r="E3" s="113"/>
      <c r="F3" s="113" t="str">
        <f>底稿目录!A5</f>
        <v>编制日期：</v>
      </c>
      <c r="G3" s="113"/>
      <c r="H3" s="126" t="s">
        <v>95</v>
      </c>
      <c r="I3" s="534" t="str">
        <f>底稿目录!F20</f>
        <v>K1-6</v>
      </c>
    </row>
    <row r="4" spans="1:18" ht="19.95" customHeight="1">
      <c r="A4" s="113" t="str">
        <f>底稿目录!A3</f>
        <v>截止日：202X年12月31日</v>
      </c>
      <c r="B4" s="113"/>
      <c r="D4" s="113" t="str">
        <f>底稿目录!A6</f>
        <v>复核人：</v>
      </c>
      <c r="E4" s="113"/>
      <c r="F4" s="113" t="str">
        <f>底稿目录!A7</f>
        <v>复核日期：</v>
      </c>
      <c r="G4" s="113"/>
      <c r="H4" s="127" t="s">
        <v>189</v>
      </c>
      <c r="I4" s="113"/>
    </row>
    <row r="5" spans="1:18" s="113" customFormat="1" ht="19.95" customHeight="1">
      <c r="A5" s="700" t="s">
        <v>190</v>
      </c>
      <c r="B5" s="700"/>
      <c r="C5" s="700"/>
      <c r="D5" s="700"/>
      <c r="E5" s="700"/>
      <c r="F5" s="700"/>
      <c r="G5" s="700"/>
      <c r="H5" s="700"/>
      <c r="I5" s="700"/>
    </row>
    <row r="6" spans="1:18" s="113" customFormat="1" ht="19.95" customHeight="1">
      <c r="A6" s="115" t="s">
        <v>661</v>
      </c>
      <c r="B6" s="458"/>
      <c r="C6" s="458"/>
      <c r="D6" s="458"/>
      <c r="E6" s="458"/>
      <c r="F6" s="458"/>
      <c r="G6" s="458"/>
      <c r="H6" s="458"/>
      <c r="I6" s="458"/>
    </row>
    <row r="7" spans="1:18" s="113" customFormat="1" ht="19.95" customHeight="1">
      <c r="A7" s="700" t="s">
        <v>191</v>
      </c>
      <c r="B7" s="700"/>
      <c r="C7" s="700"/>
      <c r="D7" s="700"/>
      <c r="E7" s="700"/>
      <c r="F7" s="700"/>
      <c r="G7" s="700"/>
      <c r="H7" s="700"/>
      <c r="I7" s="700"/>
    </row>
    <row r="8" spans="1:18" ht="32.4" customHeight="1">
      <c r="A8" s="692" t="s">
        <v>660</v>
      </c>
      <c r="B8" s="692"/>
      <c r="C8" s="692"/>
      <c r="D8" s="692"/>
      <c r="E8" s="692"/>
      <c r="F8" s="692"/>
      <c r="G8" s="692"/>
      <c r="H8" s="692"/>
      <c r="I8" s="692"/>
    </row>
    <row r="9" spans="1:18" ht="19.95" customHeight="1">
      <c r="A9" s="692" t="s">
        <v>662</v>
      </c>
      <c r="B9" s="692"/>
      <c r="C9" s="692"/>
      <c r="D9" s="692"/>
      <c r="E9" s="692"/>
      <c r="F9" s="692"/>
      <c r="G9" s="692"/>
      <c r="H9" s="692"/>
      <c r="I9" s="692"/>
    </row>
    <row r="10" spans="1:18" ht="19.95" customHeight="1">
      <c r="A10" s="117" t="s">
        <v>673</v>
      </c>
    </row>
    <row r="11" spans="1:18" ht="28.8" customHeight="1">
      <c r="A11" s="695" t="s">
        <v>198</v>
      </c>
      <c r="B11" s="696"/>
      <c r="C11" s="696"/>
      <c r="D11" s="696"/>
      <c r="E11" s="696"/>
      <c r="F11" s="696"/>
      <c r="G11" s="696"/>
      <c r="H11" s="696"/>
      <c r="I11" s="696"/>
    </row>
    <row r="12" spans="1:18" ht="19.95" customHeight="1">
      <c r="A12" s="695" t="s">
        <v>199</v>
      </c>
      <c r="B12" s="696"/>
      <c r="C12" s="696"/>
      <c r="D12" s="696"/>
      <c r="E12" s="696"/>
      <c r="F12" s="696"/>
      <c r="G12" s="696"/>
      <c r="H12" s="696"/>
      <c r="I12" s="696"/>
      <c r="J12" s="498" t="s">
        <v>720</v>
      </c>
      <c r="K12" s="464"/>
    </row>
    <row r="13" spans="1:18" ht="19.95" customHeight="1">
      <c r="A13" s="459" t="s">
        <v>666</v>
      </c>
      <c r="B13" s="130" t="s">
        <v>669</v>
      </c>
      <c r="C13" s="128"/>
      <c r="D13" s="128"/>
      <c r="E13" s="130"/>
      <c r="F13" s="128"/>
      <c r="G13" s="128"/>
      <c r="H13" s="128"/>
      <c r="I13" s="128"/>
      <c r="J13" s="131" t="s">
        <v>192</v>
      </c>
      <c r="K13" s="464"/>
      <c r="L13" s="464"/>
      <c r="M13" s="464"/>
      <c r="N13" s="464"/>
      <c r="O13" s="464"/>
    </row>
    <row r="14" spans="1:18" ht="19.95" customHeight="1">
      <c r="A14" s="459" t="s">
        <v>663</v>
      </c>
      <c r="B14" s="130" t="s">
        <v>670</v>
      </c>
      <c r="C14" s="128"/>
      <c r="D14" s="128"/>
      <c r="E14" s="130"/>
      <c r="F14" s="128"/>
      <c r="G14" s="128"/>
      <c r="H14" s="128"/>
      <c r="I14" s="128"/>
      <c r="J14" s="131" t="s">
        <v>193</v>
      </c>
      <c r="K14" s="464"/>
      <c r="L14" s="464"/>
      <c r="M14" s="464"/>
      <c r="N14" s="464"/>
      <c r="O14" s="464"/>
    </row>
    <row r="15" spans="1:18" ht="19.95" customHeight="1">
      <c r="A15" s="459" t="s">
        <v>664</v>
      </c>
      <c r="B15" s="130" t="s">
        <v>668</v>
      </c>
      <c r="C15" s="128"/>
      <c r="D15" s="128"/>
      <c r="E15" s="130"/>
      <c r="F15" s="128"/>
      <c r="G15" s="128"/>
      <c r="H15" s="128"/>
      <c r="I15" s="128"/>
      <c r="J15" s="498"/>
      <c r="K15" s="131"/>
      <c r="L15" s="464"/>
      <c r="M15" s="464"/>
      <c r="N15" s="464"/>
      <c r="O15" s="464"/>
    </row>
    <row r="16" spans="1:18" ht="19.95" customHeight="1">
      <c r="A16" s="459" t="s">
        <v>665</v>
      </c>
      <c r="B16" s="130" t="s">
        <v>667</v>
      </c>
      <c r="C16" s="128"/>
      <c r="D16" s="128"/>
      <c r="E16" s="129"/>
      <c r="F16" s="128"/>
      <c r="G16" s="128"/>
      <c r="H16" s="128"/>
      <c r="I16" s="128"/>
      <c r="J16" s="131"/>
      <c r="L16" s="131"/>
      <c r="M16" s="131"/>
      <c r="N16" s="131"/>
      <c r="O16" s="131"/>
      <c r="P16" s="131"/>
      <c r="Q16" s="131"/>
      <c r="R16" s="131"/>
    </row>
    <row r="17" spans="1:18" ht="31.8" customHeight="1">
      <c r="A17" s="698" t="s">
        <v>755</v>
      </c>
      <c r="B17" s="698"/>
      <c r="C17" s="698"/>
      <c r="D17" s="698"/>
      <c r="E17" s="698"/>
      <c r="F17" s="698"/>
      <c r="G17" s="698"/>
      <c r="H17" s="698"/>
      <c r="I17" s="698"/>
      <c r="J17" s="131"/>
      <c r="L17" s="131"/>
      <c r="M17" s="131"/>
      <c r="N17" s="131"/>
      <c r="O17" s="131"/>
      <c r="P17" s="131"/>
      <c r="Q17" s="131"/>
      <c r="R17" s="131"/>
    </row>
    <row r="18" spans="1:18" ht="19.95" customHeight="1">
      <c r="A18" s="117" t="s">
        <v>672</v>
      </c>
      <c r="B18" s="118"/>
      <c r="C18" s="118"/>
      <c r="D18" s="118"/>
      <c r="E18" s="118"/>
      <c r="F18" s="118"/>
      <c r="G18" s="118"/>
      <c r="H18" s="118"/>
    </row>
    <row r="19" spans="1:18" ht="19.95" customHeight="1">
      <c r="A19" s="131" t="s">
        <v>754</v>
      </c>
      <c r="B19" s="118"/>
      <c r="C19" s="118"/>
      <c r="D19" s="118"/>
      <c r="E19" s="118"/>
      <c r="F19" s="118"/>
      <c r="G19" s="118"/>
      <c r="H19" s="118"/>
      <c r="J19" s="498"/>
    </row>
    <row r="20" spans="1:18" ht="19.95" customHeight="1">
      <c r="A20" s="461"/>
      <c r="B20" s="462"/>
      <c r="C20" s="462"/>
      <c r="D20" s="462"/>
      <c r="E20" s="462"/>
      <c r="F20" s="462"/>
      <c r="G20" s="462"/>
      <c r="H20" s="462"/>
      <c r="I20" s="462"/>
    </row>
    <row r="21" spans="1:18" ht="19.95" customHeight="1">
      <c r="A21" s="118"/>
      <c r="B21" s="118"/>
      <c r="C21" s="118"/>
      <c r="D21" s="118"/>
      <c r="E21" s="118"/>
      <c r="F21" s="118"/>
      <c r="G21" s="118"/>
      <c r="H21" s="118"/>
    </row>
    <row r="22" spans="1:18" ht="19.95" customHeight="1">
      <c r="A22" s="117" t="s">
        <v>671</v>
      </c>
      <c r="B22" s="118"/>
      <c r="C22" s="118"/>
      <c r="D22" s="118"/>
      <c r="E22" s="118"/>
      <c r="F22" s="118"/>
      <c r="G22" s="118"/>
      <c r="H22" s="118"/>
      <c r="J22" s="498"/>
      <c r="K22" s="494"/>
      <c r="L22" s="494"/>
      <c r="M22" s="494"/>
      <c r="N22" s="494"/>
      <c r="O22" s="494"/>
      <c r="P22" s="494"/>
      <c r="Q22" s="494"/>
      <c r="R22" s="494"/>
    </row>
    <row r="23" spans="1:18" ht="32.4" customHeight="1">
      <c r="A23" s="693" t="s">
        <v>753</v>
      </c>
      <c r="B23" s="693"/>
      <c r="C23" s="693"/>
      <c r="D23" s="693"/>
      <c r="E23" s="693"/>
      <c r="F23" s="693"/>
      <c r="G23" s="693"/>
      <c r="H23" s="693"/>
      <c r="I23" s="693"/>
    </row>
    <row r="24" spans="1:18" ht="19.95" customHeight="1">
      <c r="A24" s="461"/>
      <c r="B24" s="462"/>
      <c r="C24" s="462"/>
      <c r="D24" s="462"/>
      <c r="E24" s="462"/>
      <c r="F24" s="462"/>
      <c r="G24" s="462"/>
      <c r="H24" s="462"/>
      <c r="I24" s="462"/>
    </row>
    <row r="25" spans="1:18" ht="19.95" customHeight="1">
      <c r="A25" s="118"/>
      <c r="B25" s="118"/>
      <c r="C25" s="118"/>
      <c r="D25" s="118"/>
      <c r="E25" s="118"/>
      <c r="F25" s="118"/>
      <c r="G25" s="118"/>
      <c r="H25" s="118"/>
    </row>
    <row r="26" spans="1:18" ht="19.95" customHeight="1">
      <c r="A26" s="117" t="s">
        <v>674</v>
      </c>
      <c r="B26" s="118"/>
      <c r="C26" s="118"/>
      <c r="D26" s="118"/>
      <c r="E26" s="118"/>
      <c r="F26" s="118"/>
      <c r="G26" s="118"/>
      <c r="H26" s="118"/>
    </row>
    <row r="27" spans="1:18" ht="19.95" customHeight="1">
      <c r="A27" s="466" t="s">
        <v>675</v>
      </c>
      <c r="B27" s="458"/>
      <c r="C27" s="460"/>
      <c r="D27" s="460"/>
      <c r="E27" s="460"/>
      <c r="F27" s="460"/>
      <c r="G27" s="460"/>
      <c r="H27" s="460"/>
      <c r="I27" s="460"/>
    </row>
    <row r="28" spans="1:18" ht="19.95" customHeight="1">
      <c r="A28" s="466" t="s">
        <v>675</v>
      </c>
      <c r="B28" s="458"/>
      <c r="C28" s="460"/>
      <c r="D28" s="460"/>
      <c r="E28" s="460"/>
      <c r="F28" s="460"/>
      <c r="G28" s="460"/>
      <c r="H28" s="460"/>
      <c r="I28" s="460"/>
    </row>
    <row r="29" spans="1:18" ht="19.95" customHeight="1">
      <c r="A29" s="466" t="s">
        <v>676</v>
      </c>
      <c r="B29" s="458"/>
      <c r="C29" s="460"/>
      <c r="D29" s="460"/>
      <c r="E29" s="460"/>
      <c r="F29" s="460"/>
      <c r="G29" s="460"/>
      <c r="H29" s="460"/>
      <c r="I29" s="460"/>
    </row>
    <row r="30" spans="1:18" ht="19.95" customHeight="1">
      <c r="A30" s="132"/>
      <c r="B30" s="118"/>
      <c r="C30" s="118"/>
      <c r="D30" s="118"/>
      <c r="E30" s="118"/>
      <c r="F30" s="118"/>
      <c r="G30" s="118"/>
      <c r="H30" s="118"/>
    </row>
    <row r="31" spans="1:18" ht="19.95" customHeight="1">
      <c r="A31" s="46" t="s">
        <v>195</v>
      </c>
      <c r="B31" s="46"/>
      <c r="C31" s="46"/>
      <c r="D31" s="46"/>
      <c r="E31" s="46"/>
      <c r="F31" s="46"/>
      <c r="G31" s="46"/>
      <c r="H31" s="46"/>
      <c r="I31" s="46"/>
    </row>
    <row r="32" spans="1:18" ht="19.95" customHeight="1">
      <c r="A32" s="697"/>
      <c r="B32" s="692"/>
      <c r="C32" s="692"/>
      <c r="D32" s="692"/>
      <c r="E32" s="692"/>
      <c r="F32" s="692"/>
      <c r="G32" s="692"/>
      <c r="H32" s="692"/>
      <c r="I32" s="692"/>
    </row>
    <row r="33" spans="1:9" ht="19.95" customHeight="1">
      <c r="A33" s="118"/>
      <c r="B33" s="118"/>
      <c r="C33" s="118"/>
      <c r="D33" s="118"/>
      <c r="E33" s="118"/>
      <c r="F33" s="118"/>
      <c r="G33" s="118"/>
      <c r="H33" s="118"/>
    </row>
    <row r="34" spans="1:9" ht="19.95" customHeight="1">
      <c r="A34" s="46" t="s">
        <v>196</v>
      </c>
      <c r="B34" s="46"/>
      <c r="C34" s="46"/>
      <c r="D34" s="46"/>
      <c r="E34" s="46"/>
      <c r="F34" s="46"/>
      <c r="G34" s="46"/>
      <c r="H34" s="46"/>
      <c r="I34" s="46"/>
    </row>
    <row r="35" spans="1:9" ht="30.6" customHeight="1">
      <c r="A35" s="693" t="s">
        <v>197</v>
      </c>
      <c r="B35" s="690"/>
      <c r="C35" s="690"/>
      <c r="D35" s="690"/>
      <c r="E35" s="690"/>
      <c r="F35" s="690"/>
      <c r="G35" s="690"/>
      <c r="H35" s="690"/>
      <c r="I35" s="690"/>
    </row>
    <row r="36" spans="1:9" ht="51.75" customHeight="1">
      <c r="A36" s="525" t="s">
        <v>756</v>
      </c>
      <c r="B36" s="463"/>
      <c r="C36" s="463"/>
      <c r="D36" s="463"/>
      <c r="E36" s="463"/>
      <c r="F36" s="463"/>
      <c r="G36" s="463"/>
      <c r="H36" s="463"/>
      <c r="I36" s="464"/>
    </row>
    <row r="37" spans="1:9" ht="141" customHeight="1">
      <c r="A37" s="465" t="s">
        <v>194</v>
      </c>
      <c r="B37" s="690" t="s">
        <v>717</v>
      </c>
      <c r="C37" s="691"/>
      <c r="D37" s="691"/>
      <c r="E37" s="691"/>
      <c r="F37" s="691"/>
      <c r="G37" s="691"/>
      <c r="H37" s="691"/>
      <c r="I37" s="691"/>
    </row>
    <row r="38" spans="1:9" ht="84.6" customHeight="1">
      <c r="A38" s="465" t="s">
        <v>200</v>
      </c>
      <c r="B38" s="693" t="s">
        <v>201</v>
      </c>
      <c r="C38" s="694"/>
      <c r="D38" s="694"/>
      <c r="E38" s="694"/>
      <c r="F38" s="694"/>
      <c r="G38" s="694"/>
      <c r="H38" s="694"/>
      <c r="I38" s="694"/>
    </row>
    <row r="39" spans="1:9" ht="141" customHeight="1">
      <c r="A39" s="465" t="s">
        <v>202</v>
      </c>
      <c r="B39" s="693" t="s">
        <v>203</v>
      </c>
      <c r="C39" s="694"/>
      <c r="D39" s="694"/>
      <c r="E39" s="694"/>
      <c r="F39" s="694"/>
      <c r="G39" s="694"/>
      <c r="H39" s="694"/>
      <c r="I39" s="694"/>
    </row>
    <row r="40" spans="1:9" ht="144" customHeight="1">
      <c r="A40" s="465" t="s">
        <v>204</v>
      </c>
      <c r="B40" s="693" t="s">
        <v>205</v>
      </c>
      <c r="C40" s="694"/>
      <c r="D40" s="694"/>
      <c r="E40" s="694"/>
      <c r="F40" s="694"/>
      <c r="G40" s="694"/>
      <c r="H40" s="694"/>
      <c r="I40" s="694"/>
    </row>
    <row r="41" spans="1:9" ht="121.2" customHeight="1">
      <c r="A41" s="465" t="s">
        <v>206</v>
      </c>
      <c r="B41" s="690" t="s">
        <v>718</v>
      </c>
      <c r="C41" s="691"/>
      <c r="D41" s="691"/>
      <c r="E41" s="691"/>
      <c r="F41" s="691"/>
      <c r="G41" s="691"/>
      <c r="H41" s="691"/>
      <c r="I41" s="691"/>
    </row>
    <row r="42" spans="1:9" ht="122.4" customHeight="1">
      <c r="A42" s="465" t="s">
        <v>207</v>
      </c>
      <c r="B42" s="690" t="s">
        <v>719</v>
      </c>
      <c r="C42" s="691"/>
      <c r="D42" s="691"/>
      <c r="E42" s="691"/>
      <c r="F42" s="691"/>
      <c r="G42" s="691"/>
      <c r="H42" s="691"/>
      <c r="I42" s="691"/>
    </row>
    <row r="43" spans="1:9">
      <c r="A43" s="118"/>
      <c r="B43" s="118"/>
      <c r="C43" s="118"/>
      <c r="D43" s="118"/>
      <c r="E43" s="118"/>
      <c r="F43" s="118"/>
      <c r="G43" s="118"/>
      <c r="H43" s="118"/>
    </row>
  </sheetData>
  <mergeCells count="18">
    <mergeCell ref="A8:I8"/>
    <mergeCell ref="A1:I1"/>
    <mergeCell ref="A2:I2"/>
    <mergeCell ref="A5:I5"/>
    <mergeCell ref="A7:I7"/>
    <mergeCell ref="B41:I41"/>
    <mergeCell ref="B42:I42"/>
    <mergeCell ref="A9:I9"/>
    <mergeCell ref="B37:I37"/>
    <mergeCell ref="B38:I38"/>
    <mergeCell ref="B39:I39"/>
    <mergeCell ref="B40:I40"/>
    <mergeCell ref="A11:I11"/>
    <mergeCell ref="A12:I12"/>
    <mergeCell ref="A35:I35"/>
    <mergeCell ref="A32:I32"/>
    <mergeCell ref="A23:I23"/>
    <mergeCell ref="A17:I17"/>
  </mergeCells>
  <phoneticPr fontId="16" type="noConversion"/>
  <hyperlinks>
    <hyperlink ref="I3" location="底稿目录!A1" display="底稿目录!A1"/>
  </hyperlinks>
  <pageMargins left="0.74803149606299213" right="0.74803149606299213" top="0.98425196850393704" bottom="0.98425196850393704" header="0.51181102362204722" footer="0.51181102362204722"/>
  <pageSetup paperSize="9" scale="76" fitToHeight="0" orientation="portrait" blackAndWhite="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63"/>
  <sheetViews>
    <sheetView view="pageBreakPreview" zoomScaleNormal="130" zoomScaleSheetLayoutView="100" workbookViewId="0">
      <selection sqref="A1:J1"/>
    </sheetView>
  </sheetViews>
  <sheetFormatPr defaultColWidth="9" defaultRowHeight="13.8"/>
  <cols>
    <col min="1" max="1" width="16.19921875" style="114" customWidth="1"/>
    <col min="2" max="3" width="12.09765625" style="114" customWidth="1"/>
    <col min="4" max="4" width="8.3984375" style="114" customWidth="1"/>
    <col min="5" max="5" width="11.5" style="114" customWidth="1"/>
    <col min="6" max="6" width="17.796875" style="114" customWidth="1"/>
    <col min="7" max="9" width="15.59765625" style="114" customWidth="1"/>
    <col min="10" max="10" width="10.296875" style="114" customWidth="1"/>
    <col min="11" max="11" width="43.5" style="114" customWidth="1"/>
    <col min="12" max="16384" width="9" style="114"/>
  </cols>
  <sheetData>
    <row r="1" spans="1:11" s="12" customFormat="1" ht="19.95" customHeight="1">
      <c r="A1" s="688" t="s">
        <v>23</v>
      </c>
      <c r="B1" s="688"/>
      <c r="C1" s="688"/>
      <c r="D1" s="688"/>
      <c r="E1" s="688"/>
      <c r="F1" s="688"/>
      <c r="G1" s="688"/>
      <c r="H1" s="688"/>
      <c r="I1" s="688"/>
      <c r="J1" s="688"/>
    </row>
    <row r="2" spans="1:11" s="12" customFormat="1" ht="19.95" customHeight="1">
      <c r="A2" s="689" t="s">
        <v>793</v>
      </c>
      <c r="B2" s="699"/>
      <c r="C2" s="699"/>
      <c r="D2" s="699"/>
      <c r="E2" s="699"/>
      <c r="F2" s="699"/>
      <c r="G2" s="699"/>
      <c r="H2" s="699"/>
      <c r="I2" s="699"/>
      <c r="J2" s="699"/>
    </row>
    <row r="3" spans="1:11" ht="19.95" customHeight="1">
      <c r="A3" s="113" t="str">
        <f>底稿目录!A2</f>
        <v>被审计单位：</v>
      </c>
      <c r="B3" s="113"/>
      <c r="C3" s="113"/>
      <c r="E3" s="113" t="str">
        <f>底稿目录!A4</f>
        <v>编制人：</v>
      </c>
      <c r="G3" s="113" t="str">
        <f>底稿目录!A5</f>
        <v>编制日期：</v>
      </c>
      <c r="I3" s="126" t="s">
        <v>468</v>
      </c>
      <c r="J3" s="534" t="str">
        <f>底稿目录!F21</f>
        <v>K1-7</v>
      </c>
    </row>
    <row r="4" spans="1:11" ht="19.95" customHeight="1">
      <c r="A4" s="113" t="str">
        <f>底稿目录!A3</f>
        <v>截止日：202X年12月31日</v>
      </c>
      <c r="B4" s="113"/>
      <c r="E4" s="113" t="str">
        <f>底稿目录!A6</f>
        <v>复核人：</v>
      </c>
      <c r="G4" s="113" t="str">
        <f>底稿目录!A7</f>
        <v>复核日期：</v>
      </c>
      <c r="I4" s="126" t="s">
        <v>701</v>
      </c>
    </row>
    <row r="5" spans="1:11" s="113" customFormat="1" ht="19.95" customHeight="1">
      <c r="A5" s="46" t="s">
        <v>124</v>
      </c>
      <c r="B5" s="46"/>
      <c r="C5" s="46"/>
      <c r="D5" s="46"/>
      <c r="E5" s="46"/>
      <c r="F5" s="46"/>
      <c r="G5" s="46"/>
      <c r="H5" s="46"/>
      <c r="I5" s="46"/>
      <c r="J5" s="46"/>
    </row>
    <row r="6" spans="1:11" s="113" customFormat="1" ht="19.95" customHeight="1">
      <c r="A6" s="115" t="s">
        <v>661</v>
      </c>
      <c r="B6" s="458"/>
      <c r="C6" s="458"/>
      <c r="D6" s="458"/>
      <c r="E6" s="458"/>
      <c r="F6" s="458"/>
      <c r="G6" s="458"/>
      <c r="H6" s="458"/>
      <c r="I6" s="458"/>
      <c r="J6" s="458"/>
      <c r="K6" s="115"/>
    </row>
    <row r="7" spans="1:11" s="113" customFormat="1" ht="19.95" customHeight="1">
      <c r="A7" s="46" t="s">
        <v>102</v>
      </c>
      <c r="B7" s="46"/>
      <c r="C7" s="46"/>
      <c r="D7" s="46"/>
      <c r="E7" s="46"/>
      <c r="F7" s="46"/>
      <c r="G7" s="46"/>
      <c r="H7" s="46"/>
      <c r="I7" s="46"/>
      <c r="J7" s="46"/>
      <c r="K7" s="498"/>
    </row>
    <row r="8" spans="1:11" ht="19.95" customHeight="1">
      <c r="A8" s="113" t="s">
        <v>126</v>
      </c>
      <c r="K8" s="131" t="s">
        <v>125</v>
      </c>
    </row>
    <row r="9" spans="1:11" ht="19.95" customHeight="1">
      <c r="A9" s="113" t="s">
        <v>128</v>
      </c>
      <c r="K9" s="131" t="s">
        <v>130</v>
      </c>
    </row>
    <row r="10" spans="1:11" ht="30" customHeight="1">
      <c r="A10" s="692" t="s">
        <v>129</v>
      </c>
      <c r="B10" s="692"/>
      <c r="C10" s="692"/>
      <c r="D10" s="692"/>
      <c r="E10" s="692"/>
      <c r="F10" s="692"/>
      <c r="G10" s="692"/>
      <c r="H10" s="692"/>
      <c r="I10" s="692"/>
      <c r="J10" s="692"/>
      <c r="K10" s="131" t="s">
        <v>127</v>
      </c>
    </row>
    <row r="11" spans="1:11" ht="27.6" customHeight="1">
      <c r="A11" s="692" t="s">
        <v>721</v>
      </c>
      <c r="B11" s="692"/>
      <c r="C11" s="692"/>
      <c r="D11" s="692"/>
      <c r="E11" s="692"/>
      <c r="F11" s="692"/>
      <c r="G11" s="692"/>
      <c r="H11" s="692"/>
      <c r="I11" s="692"/>
      <c r="J11" s="692"/>
      <c r="K11" s="131" t="s">
        <v>724</v>
      </c>
    </row>
    <row r="12" spans="1:11" ht="19.95" customHeight="1">
      <c r="A12" s="113" t="s">
        <v>131</v>
      </c>
      <c r="B12" s="113"/>
      <c r="C12" s="113" t="s">
        <v>132</v>
      </c>
      <c r="D12" s="113"/>
      <c r="E12" s="113"/>
      <c r="F12" s="113"/>
      <c r="G12" s="113"/>
      <c r="H12" s="113"/>
      <c r="I12" s="113"/>
      <c r="J12" s="113"/>
      <c r="K12" s="131" t="s">
        <v>725</v>
      </c>
    </row>
    <row r="13" spans="1:11" ht="19.95" customHeight="1">
      <c r="A13" s="113" t="s">
        <v>133</v>
      </c>
      <c r="B13" s="113"/>
      <c r="C13" s="113"/>
      <c r="D13" s="113"/>
      <c r="E13" s="113"/>
      <c r="F13" s="113"/>
      <c r="G13" s="113"/>
      <c r="H13" s="113"/>
      <c r="I13" s="113"/>
      <c r="J13" s="113"/>
      <c r="K13" s="131" t="s">
        <v>176</v>
      </c>
    </row>
    <row r="14" spans="1:11" ht="19.95" customHeight="1">
      <c r="A14" s="117" t="s">
        <v>134</v>
      </c>
    </row>
    <row r="15" spans="1:11" ht="19.95" customHeight="1">
      <c r="A15" s="105" t="s">
        <v>135</v>
      </c>
      <c r="B15" s="701" t="s">
        <v>136</v>
      </c>
      <c r="C15" s="704"/>
      <c r="D15" s="704"/>
      <c r="E15" s="704"/>
      <c r="F15" s="705"/>
      <c r="G15" s="133" t="s">
        <v>702</v>
      </c>
      <c r="H15" s="133" t="s">
        <v>703</v>
      </c>
      <c r="I15" s="133" t="s">
        <v>704</v>
      </c>
      <c r="J15" s="133" t="s">
        <v>705</v>
      </c>
      <c r="K15" s="116"/>
    </row>
    <row r="16" spans="1:11" ht="51.6" customHeight="1">
      <c r="A16" s="112" t="s">
        <v>137</v>
      </c>
      <c r="B16" s="706" t="s">
        <v>138</v>
      </c>
      <c r="C16" s="707"/>
      <c r="D16" s="708"/>
      <c r="E16" s="708"/>
      <c r="F16" s="709"/>
      <c r="G16" s="123"/>
      <c r="H16" s="123"/>
      <c r="I16" s="123"/>
      <c r="J16" s="121"/>
      <c r="K16" s="499" t="s">
        <v>163</v>
      </c>
    </row>
    <row r="17" spans="1:11" ht="48" customHeight="1">
      <c r="A17" s="112" t="s">
        <v>139</v>
      </c>
      <c r="B17" s="706" t="s">
        <v>140</v>
      </c>
      <c r="C17" s="707"/>
      <c r="D17" s="708"/>
      <c r="E17" s="708"/>
      <c r="F17" s="709"/>
      <c r="G17" s="123"/>
      <c r="H17" s="123"/>
      <c r="I17" s="123"/>
      <c r="J17" s="121"/>
      <c r="K17" s="124"/>
    </row>
    <row r="18" spans="1:11" ht="48.6" customHeight="1">
      <c r="A18" s="112" t="s">
        <v>141</v>
      </c>
      <c r="B18" s="713" t="s">
        <v>605</v>
      </c>
      <c r="C18" s="714"/>
      <c r="D18" s="715"/>
      <c r="E18" s="715"/>
      <c r="F18" s="716"/>
      <c r="G18" s="123"/>
      <c r="H18" s="123"/>
      <c r="I18" s="123"/>
      <c r="J18" s="121"/>
      <c r="K18" s="124"/>
    </row>
    <row r="19" spans="1:11" ht="50.4" customHeight="1">
      <c r="A19" s="112" t="s">
        <v>142</v>
      </c>
      <c r="B19" s="706" t="s">
        <v>143</v>
      </c>
      <c r="C19" s="707"/>
      <c r="D19" s="708"/>
      <c r="E19" s="708"/>
      <c r="F19" s="709"/>
      <c r="G19" s="123"/>
      <c r="H19" s="123"/>
      <c r="I19" s="123"/>
      <c r="J19" s="121"/>
      <c r="K19" s="124"/>
    </row>
    <row r="20" spans="1:11" ht="46.8" customHeight="1">
      <c r="A20" s="112" t="s">
        <v>144</v>
      </c>
      <c r="B20" s="706" t="s">
        <v>145</v>
      </c>
      <c r="C20" s="707"/>
      <c r="D20" s="708"/>
      <c r="E20" s="708"/>
      <c r="F20" s="709"/>
      <c r="G20" s="123"/>
      <c r="H20" s="123"/>
      <c r="I20" s="123"/>
      <c r="J20" s="121"/>
      <c r="K20" s="124"/>
    </row>
    <row r="21" spans="1:11" ht="44.4" customHeight="1">
      <c r="A21" s="112" t="s">
        <v>146</v>
      </c>
      <c r="B21" s="706" t="s">
        <v>147</v>
      </c>
      <c r="C21" s="707"/>
      <c r="D21" s="708"/>
      <c r="E21" s="708"/>
      <c r="F21" s="709"/>
      <c r="G21" s="123"/>
      <c r="H21" s="123"/>
      <c r="I21" s="123"/>
      <c r="J21" s="121"/>
      <c r="K21" s="124"/>
    </row>
    <row r="22" spans="1:11" ht="44.4" customHeight="1">
      <c r="A22" s="112" t="s">
        <v>148</v>
      </c>
      <c r="B22" s="706" t="s">
        <v>149</v>
      </c>
      <c r="C22" s="707"/>
      <c r="D22" s="708"/>
      <c r="E22" s="708"/>
      <c r="F22" s="709"/>
      <c r="G22" s="123"/>
      <c r="H22" s="123"/>
      <c r="I22" s="123"/>
      <c r="J22" s="121"/>
      <c r="K22" s="124"/>
    </row>
    <row r="23" spans="1:11" ht="39" customHeight="1">
      <c r="A23" s="112" t="s">
        <v>150</v>
      </c>
      <c r="B23" s="706" t="s">
        <v>151</v>
      </c>
      <c r="C23" s="707"/>
      <c r="D23" s="708"/>
      <c r="E23" s="708"/>
      <c r="F23" s="709"/>
      <c r="G23" s="123"/>
      <c r="H23" s="123"/>
      <c r="I23" s="123"/>
      <c r="J23" s="121"/>
      <c r="K23" s="124"/>
    </row>
    <row r="24" spans="1:11" ht="50.4" customHeight="1">
      <c r="A24" s="112" t="s">
        <v>152</v>
      </c>
      <c r="B24" s="706" t="s">
        <v>153</v>
      </c>
      <c r="C24" s="707"/>
      <c r="D24" s="708"/>
      <c r="E24" s="708"/>
      <c r="F24" s="709"/>
      <c r="G24" s="123"/>
      <c r="H24" s="123"/>
      <c r="I24" s="123"/>
      <c r="J24" s="121"/>
      <c r="K24" s="124"/>
    </row>
    <row r="25" spans="1:11" ht="57.6" customHeight="1">
      <c r="A25" s="112" t="s">
        <v>154</v>
      </c>
      <c r="B25" s="706" t="s">
        <v>155</v>
      </c>
      <c r="C25" s="707"/>
      <c r="D25" s="708"/>
      <c r="E25" s="708"/>
      <c r="F25" s="709"/>
      <c r="G25" s="123"/>
      <c r="H25" s="123"/>
      <c r="I25" s="123"/>
      <c r="J25" s="121"/>
      <c r="K25" s="124"/>
    </row>
    <row r="26" spans="1:11" ht="32.4" customHeight="1">
      <c r="A26" s="112" t="s">
        <v>156</v>
      </c>
      <c r="B26" s="706" t="s">
        <v>157</v>
      </c>
      <c r="C26" s="707"/>
      <c r="D26" s="708"/>
      <c r="E26" s="708"/>
      <c r="F26" s="709"/>
      <c r="G26" s="123"/>
      <c r="H26" s="123"/>
      <c r="I26" s="123"/>
      <c r="J26" s="121"/>
      <c r="K26" s="124"/>
    </row>
    <row r="27" spans="1:11" ht="37.200000000000003" customHeight="1">
      <c r="A27" s="112" t="s">
        <v>158</v>
      </c>
      <c r="B27" s="706" t="s">
        <v>159</v>
      </c>
      <c r="C27" s="707"/>
      <c r="D27" s="708"/>
      <c r="E27" s="708"/>
      <c r="F27" s="709"/>
      <c r="G27" s="123"/>
      <c r="H27" s="123"/>
      <c r="I27" s="123"/>
      <c r="J27" s="121"/>
      <c r="K27" s="124"/>
    </row>
    <row r="28" spans="1:11" ht="36.6" customHeight="1">
      <c r="A28" s="112" t="s">
        <v>160</v>
      </c>
      <c r="B28" s="706" t="s">
        <v>161</v>
      </c>
      <c r="C28" s="707"/>
      <c r="D28" s="708"/>
      <c r="E28" s="708"/>
      <c r="F28" s="709"/>
      <c r="G28" s="123"/>
      <c r="H28" s="123"/>
      <c r="I28" s="123"/>
      <c r="J28" s="121"/>
      <c r="K28" s="125"/>
    </row>
    <row r="29" spans="1:11" ht="87.6" customHeight="1">
      <c r="A29" s="112" t="s">
        <v>162</v>
      </c>
      <c r="B29" s="713" t="s">
        <v>606</v>
      </c>
      <c r="C29" s="714"/>
      <c r="D29" s="715"/>
      <c r="E29" s="715"/>
      <c r="F29" s="716"/>
      <c r="G29" s="123"/>
      <c r="H29" s="123"/>
      <c r="I29" s="123"/>
      <c r="J29" s="121"/>
    </row>
    <row r="30" spans="1:11" ht="19.95" customHeight="1">
      <c r="A30" s="105" t="s">
        <v>164</v>
      </c>
      <c r="B30" s="701"/>
      <c r="C30" s="702"/>
      <c r="D30" s="702"/>
      <c r="E30" s="702"/>
      <c r="F30" s="703"/>
      <c r="G30" s="105"/>
      <c r="H30" s="105"/>
      <c r="I30" s="105"/>
      <c r="J30" s="105"/>
    </row>
    <row r="31" spans="1:11" ht="19.95" customHeight="1">
      <c r="A31" s="119"/>
      <c r="B31" s="120"/>
      <c r="C31" s="122"/>
      <c r="D31" s="119"/>
      <c r="E31" s="122"/>
      <c r="F31" s="122"/>
      <c r="G31" s="122"/>
      <c r="H31" s="122"/>
      <c r="I31" s="122"/>
      <c r="J31" s="122"/>
    </row>
    <row r="32" spans="1:11" ht="19.95" customHeight="1">
      <c r="A32" s="117" t="s">
        <v>165</v>
      </c>
    </row>
    <row r="33" spans="1:11" ht="19.95" customHeight="1">
      <c r="A33" s="117" t="s">
        <v>167</v>
      </c>
    </row>
    <row r="34" spans="1:11" ht="19.95" customHeight="1">
      <c r="A34" s="105" t="s">
        <v>168</v>
      </c>
      <c r="B34" s="701" t="s">
        <v>169</v>
      </c>
      <c r="C34" s="704"/>
      <c r="D34" s="704"/>
      <c r="E34" s="704"/>
      <c r="F34" s="705"/>
      <c r="G34" s="133" t="s">
        <v>702</v>
      </c>
      <c r="H34" s="133" t="s">
        <v>703</v>
      </c>
      <c r="I34" s="133" t="s">
        <v>704</v>
      </c>
      <c r="J34" s="133" t="s">
        <v>706</v>
      </c>
      <c r="K34" s="116"/>
    </row>
    <row r="35" spans="1:11" ht="19.95" customHeight="1">
      <c r="A35" s="396">
        <v>1</v>
      </c>
      <c r="B35" s="706" t="s">
        <v>170</v>
      </c>
      <c r="C35" s="707"/>
      <c r="D35" s="708"/>
      <c r="E35" s="708"/>
      <c r="F35" s="709"/>
      <c r="G35" s="123"/>
      <c r="H35" s="123"/>
      <c r="I35" s="123"/>
      <c r="J35" s="121"/>
      <c r="K35" s="500" t="s">
        <v>166</v>
      </c>
    </row>
    <row r="36" spans="1:11" ht="19.95" customHeight="1">
      <c r="A36" s="396">
        <v>2</v>
      </c>
      <c r="B36" s="706" t="s">
        <v>171</v>
      </c>
      <c r="C36" s="707"/>
      <c r="D36" s="708"/>
      <c r="E36" s="708"/>
      <c r="F36" s="709"/>
      <c r="G36" s="123"/>
      <c r="H36" s="123"/>
      <c r="I36" s="123"/>
      <c r="J36" s="121"/>
      <c r="K36" s="500" t="s">
        <v>173</v>
      </c>
    </row>
    <row r="37" spans="1:11" ht="30" customHeight="1">
      <c r="A37" s="396">
        <v>3</v>
      </c>
      <c r="B37" s="706" t="s">
        <v>172</v>
      </c>
      <c r="C37" s="707"/>
      <c r="D37" s="708"/>
      <c r="E37" s="708"/>
      <c r="F37" s="709"/>
      <c r="G37" s="123"/>
      <c r="H37" s="123"/>
      <c r="I37" s="123"/>
      <c r="J37" s="121"/>
      <c r="K37" s="500" t="s">
        <v>722</v>
      </c>
    </row>
    <row r="38" spans="1:11" ht="19.95" customHeight="1">
      <c r="A38" s="105" t="s">
        <v>164</v>
      </c>
      <c r="B38" s="701"/>
      <c r="C38" s="702"/>
      <c r="D38" s="702"/>
      <c r="E38" s="702"/>
      <c r="F38" s="703"/>
      <c r="G38" s="105"/>
      <c r="H38" s="105"/>
      <c r="I38" s="105"/>
      <c r="J38" s="105"/>
      <c r="K38" s="131" t="s">
        <v>723</v>
      </c>
    </row>
    <row r="39" spans="1:11" ht="19.95" customHeight="1">
      <c r="A39" s="119"/>
      <c r="B39" s="120"/>
      <c r="C39" s="122"/>
      <c r="D39" s="119"/>
      <c r="E39" s="122"/>
      <c r="F39" s="122"/>
      <c r="G39" s="122"/>
      <c r="H39" s="122"/>
      <c r="I39" s="122"/>
      <c r="J39" s="122"/>
    </row>
    <row r="40" spans="1:11" ht="19.95" customHeight="1">
      <c r="A40" s="117" t="s">
        <v>174</v>
      </c>
      <c r="B40" s="120"/>
      <c r="C40" s="122"/>
      <c r="D40" s="119"/>
      <c r="E40" s="122"/>
      <c r="F40" s="122"/>
      <c r="G40" s="122"/>
      <c r="H40" s="122"/>
      <c r="I40" s="122"/>
      <c r="J40" s="122"/>
    </row>
    <row r="41" spans="1:11" ht="19.95" customHeight="1">
      <c r="A41" s="117" t="s">
        <v>167</v>
      </c>
      <c r="B41" s="120"/>
      <c r="C41" s="122"/>
      <c r="D41" s="119"/>
      <c r="E41" s="122"/>
      <c r="F41" s="122"/>
      <c r="G41" s="122"/>
      <c r="H41" s="122"/>
      <c r="I41" s="122"/>
      <c r="J41" s="122"/>
    </row>
    <row r="42" spans="1:11" ht="19.95" customHeight="1">
      <c r="A42" s="105" t="s">
        <v>168</v>
      </c>
      <c r="B42" s="701" t="s">
        <v>177</v>
      </c>
      <c r="C42" s="704"/>
      <c r="D42" s="704"/>
      <c r="E42" s="704"/>
      <c r="F42" s="705"/>
      <c r="G42" s="133" t="s">
        <v>702</v>
      </c>
      <c r="H42" s="133" t="s">
        <v>703</v>
      </c>
      <c r="I42" s="133" t="s">
        <v>704</v>
      </c>
      <c r="J42" s="133" t="s">
        <v>705</v>
      </c>
      <c r="K42" s="131" t="s">
        <v>178</v>
      </c>
    </row>
    <row r="43" spans="1:11" ht="19.95" customHeight="1">
      <c r="A43" s="396">
        <v>1</v>
      </c>
      <c r="B43" s="706" t="s">
        <v>179</v>
      </c>
      <c r="C43" s="707"/>
      <c r="D43" s="708"/>
      <c r="E43" s="708"/>
      <c r="F43" s="709"/>
      <c r="G43" s="123"/>
      <c r="H43" s="123"/>
      <c r="I43" s="123"/>
      <c r="J43" s="121"/>
      <c r="K43" s="500" t="s">
        <v>175</v>
      </c>
    </row>
    <row r="44" spans="1:11" ht="19.95" customHeight="1">
      <c r="A44" s="396">
        <v>2</v>
      </c>
      <c r="B44" s="706" t="s">
        <v>180</v>
      </c>
      <c r="C44" s="707"/>
      <c r="D44" s="708"/>
      <c r="E44" s="708"/>
      <c r="F44" s="709"/>
      <c r="G44" s="123"/>
      <c r="H44" s="123"/>
      <c r="I44" s="123"/>
      <c r="J44" s="121"/>
      <c r="K44" s="124"/>
    </row>
    <row r="45" spans="1:11" ht="31.2" customHeight="1">
      <c r="A45" s="396">
        <v>3</v>
      </c>
      <c r="B45" s="706" t="s">
        <v>181</v>
      </c>
      <c r="C45" s="707"/>
      <c r="D45" s="708"/>
      <c r="E45" s="708"/>
      <c r="F45" s="709"/>
      <c r="G45" s="123"/>
      <c r="H45" s="123"/>
      <c r="I45" s="123"/>
      <c r="J45" s="121"/>
      <c r="K45" s="125"/>
    </row>
    <row r="46" spans="1:11" ht="19.95" customHeight="1">
      <c r="A46" s="396">
        <v>4</v>
      </c>
      <c r="B46" s="706" t="s">
        <v>182</v>
      </c>
      <c r="C46" s="707"/>
      <c r="D46" s="708"/>
      <c r="E46" s="708"/>
      <c r="F46" s="709"/>
      <c r="G46" s="123"/>
      <c r="H46" s="123"/>
      <c r="I46" s="123"/>
      <c r="J46" s="121"/>
      <c r="K46" s="125"/>
    </row>
    <row r="47" spans="1:11" ht="19.95" customHeight="1">
      <c r="A47" s="396">
        <v>5</v>
      </c>
      <c r="B47" s="706" t="s">
        <v>183</v>
      </c>
      <c r="C47" s="707"/>
      <c r="D47" s="708"/>
      <c r="E47" s="708"/>
      <c r="F47" s="709"/>
      <c r="G47" s="123"/>
      <c r="H47" s="123"/>
      <c r="I47" s="123"/>
      <c r="J47" s="121"/>
      <c r="K47" s="125"/>
    </row>
    <row r="48" spans="1:11" ht="19.95" customHeight="1">
      <c r="A48" s="396">
        <v>6</v>
      </c>
      <c r="B48" s="706" t="s">
        <v>184</v>
      </c>
      <c r="C48" s="707"/>
      <c r="D48" s="708"/>
      <c r="E48" s="708"/>
      <c r="F48" s="709"/>
      <c r="G48" s="123"/>
      <c r="H48" s="123"/>
      <c r="I48" s="123"/>
      <c r="J48" s="121"/>
      <c r="K48" s="125"/>
    </row>
    <row r="49" spans="1:10" ht="19.95" customHeight="1">
      <c r="A49" s="105" t="s">
        <v>164</v>
      </c>
      <c r="B49" s="701"/>
      <c r="C49" s="702"/>
      <c r="D49" s="702"/>
      <c r="E49" s="702"/>
      <c r="F49" s="703"/>
      <c r="G49" s="105"/>
      <c r="H49" s="105"/>
      <c r="I49" s="105"/>
      <c r="J49" s="105"/>
    </row>
    <row r="50" spans="1:10" ht="19.95" customHeight="1">
      <c r="A50" s="119"/>
      <c r="B50" s="120"/>
      <c r="C50" s="122"/>
      <c r="D50" s="119"/>
      <c r="E50" s="122"/>
      <c r="F50" s="122"/>
      <c r="G50" s="122"/>
      <c r="H50" s="122"/>
      <c r="I50" s="122"/>
      <c r="J50" s="122"/>
    </row>
    <row r="51" spans="1:10" ht="19.95" customHeight="1">
      <c r="A51" s="46" t="s">
        <v>104</v>
      </c>
      <c r="B51" s="46"/>
      <c r="C51" s="46"/>
      <c r="D51" s="46"/>
      <c r="E51" s="46"/>
      <c r="F51" s="46"/>
      <c r="G51" s="46"/>
      <c r="H51" s="46"/>
      <c r="I51" s="46"/>
      <c r="J51" s="46"/>
    </row>
    <row r="52" spans="1:10" ht="19.95" customHeight="1">
      <c r="A52" s="697"/>
      <c r="B52" s="692"/>
      <c r="C52" s="692"/>
      <c r="D52" s="692"/>
      <c r="E52" s="692"/>
      <c r="F52" s="692"/>
      <c r="G52" s="692"/>
      <c r="H52" s="692"/>
      <c r="I52" s="692"/>
      <c r="J52" s="692"/>
    </row>
    <row r="53" spans="1:10" ht="19.95" customHeight="1">
      <c r="A53" s="46" t="s">
        <v>105</v>
      </c>
      <c r="B53" s="46"/>
      <c r="C53" s="46"/>
      <c r="D53" s="46"/>
      <c r="E53" s="46"/>
      <c r="F53" s="46"/>
      <c r="G53" s="46"/>
      <c r="H53" s="46"/>
      <c r="I53" s="46"/>
      <c r="J53" s="46"/>
    </row>
    <row r="54" spans="1:10" ht="19.95" customHeight="1">
      <c r="A54" s="697"/>
      <c r="B54" s="692"/>
      <c r="C54" s="692"/>
      <c r="D54" s="692"/>
      <c r="E54" s="692"/>
      <c r="F54" s="692"/>
      <c r="G54" s="692"/>
      <c r="H54" s="692"/>
      <c r="I54" s="692"/>
      <c r="J54" s="692"/>
    </row>
    <row r="55" spans="1:10" ht="19.5" customHeight="1">
      <c r="A55" s="120"/>
      <c r="B55" s="119"/>
      <c r="C55" s="119"/>
      <c r="D55" s="119"/>
      <c r="E55" s="119"/>
      <c r="F55" s="119"/>
      <c r="G55" s="119"/>
      <c r="H55" s="119"/>
      <c r="I55" s="119"/>
      <c r="J55" s="119"/>
    </row>
    <row r="56" spans="1:10" ht="22.5" customHeight="1">
      <c r="A56" s="710" t="s">
        <v>185</v>
      </c>
      <c r="B56" s="711"/>
      <c r="C56" s="711"/>
      <c r="D56" s="711"/>
      <c r="E56" s="711"/>
      <c r="F56" s="711"/>
      <c r="G56" s="711"/>
      <c r="H56" s="711"/>
      <c r="I56" s="711"/>
      <c r="J56" s="711"/>
    </row>
    <row r="57" spans="1:10" ht="38.4" customHeight="1">
      <c r="A57" s="690" t="s">
        <v>726</v>
      </c>
      <c r="B57" s="712"/>
      <c r="C57" s="712"/>
      <c r="D57" s="712"/>
      <c r="E57" s="712"/>
      <c r="F57" s="712"/>
      <c r="G57" s="712"/>
      <c r="H57" s="712"/>
      <c r="I57" s="712"/>
      <c r="J57" s="712"/>
    </row>
    <row r="58" spans="1:10" ht="51.75" customHeight="1">
      <c r="A58" s="118"/>
      <c r="B58" s="118"/>
      <c r="C58" s="118"/>
      <c r="D58" s="118"/>
      <c r="E58" s="118"/>
      <c r="F58" s="118"/>
      <c r="G58" s="118"/>
      <c r="H58" s="118"/>
      <c r="I58" s="118"/>
    </row>
    <row r="59" spans="1:10" ht="51.75" customHeight="1">
      <c r="A59" s="118"/>
      <c r="B59" s="118"/>
      <c r="C59" s="118"/>
      <c r="D59" s="118"/>
      <c r="E59" s="118"/>
      <c r="F59" s="118"/>
      <c r="G59" s="118"/>
      <c r="H59" s="118"/>
      <c r="I59" s="118"/>
    </row>
    <row r="60" spans="1:10" ht="51.75" customHeight="1">
      <c r="A60" s="118"/>
      <c r="B60" s="118"/>
      <c r="C60" s="118"/>
      <c r="D60" s="118"/>
      <c r="E60" s="118"/>
      <c r="F60" s="118"/>
      <c r="G60" s="118"/>
      <c r="H60" s="118"/>
      <c r="I60" s="118"/>
    </row>
    <row r="61" spans="1:10" ht="51.75" customHeight="1">
      <c r="A61" s="118"/>
      <c r="B61" s="118"/>
      <c r="C61" s="118"/>
      <c r="D61" s="118"/>
      <c r="E61" s="118"/>
      <c r="F61" s="118"/>
      <c r="G61" s="118"/>
      <c r="H61" s="118"/>
      <c r="I61" s="118"/>
    </row>
    <row r="62" spans="1:10">
      <c r="A62" s="118"/>
      <c r="B62" s="118"/>
      <c r="C62" s="118"/>
      <c r="D62" s="118"/>
      <c r="E62" s="118"/>
      <c r="F62" s="118"/>
      <c r="G62" s="118"/>
      <c r="H62" s="118"/>
      <c r="I62" s="118"/>
    </row>
    <row r="63" spans="1:10">
      <c r="A63" s="118"/>
      <c r="B63" s="118"/>
      <c r="C63" s="118"/>
      <c r="D63" s="118"/>
      <c r="E63" s="118"/>
      <c r="F63" s="118"/>
      <c r="G63" s="118"/>
      <c r="H63" s="118"/>
      <c r="I63" s="118"/>
    </row>
  </sheetData>
  <mergeCells count="37">
    <mergeCell ref="A1:J1"/>
    <mergeCell ref="A2:J2"/>
    <mergeCell ref="A10:J10"/>
    <mergeCell ref="A11:J11"/>
    <mergeCell ref="B15:F15"/>
    <mergeCell ref="B19:F19"/>
    <mergeCell ref="B18:F18"/>
    <mergeCell ref="B17:F17"/>
    <mergeCell ref="B22:F22"/>
    <mergeCell ref="B16:F16"/>
    <mergeCell ref="B23:F23"/>
    <mergeCell ref="B21:F21"/>
    <mergeCell ref="B20:F20"/>
    <mergeCell ref="B35:F35"/>
    <mergeCell ref="B36:F36"/>
    <mergeCell ref="B24:F24"/>
    <mergeCell ref="B37:F37"/>
    <mergeCell ref="B25:F25"/>
    <mergeCell ref="B26:F26"/>
    <mergeCell ref="B34:F34"/>
    <mergeCell ref="B30:F30"/>
    <mergeCell ref="B28:F28"/>
    <mergeCell ref="B29:F29"/>
    <mergeCell ref="B27:F27"/>
    <mergeCell ref="A56:J56"/>
    <mergeCell ref="A57:J57"/>
    <mergeCell ref="B45:F45"/>
    <mergeCell ref="B46:F46"/>
    <mergeCell ref="B47:F47"/>
    <mergeCell ref="B48:F48"/>
    <mergeCell ref="A54:J54"/>
    <mergeCell ref="B49:F49"/>
    <mergeCell ref="B38:F38"/>
    <mergeCell ref="B42:F42"/>
    <mergeCell ref="B43:F43"/>
    <mergeCell ref="B44:F44"/>
    <mergeCell ref="A52:J52"/>
  </mergeCells>
  <phoneticPr fontId="16" type="noConversion"/>
  <hyperlinks>
    <hyperlink ref="J3" location="底稿目录!A1" display="底稿目录!A1"/>
  </hyperlinks>
  <pageMargins left="0.74803149606299213" right="0.74803149606299213" top="0.98425196850393704" bottom="0.98425196850393704" header="0.51181102362204722" footer="0.51181102362204722"/>
  <pageSetup paperSize="9" scale="58" fitToHeight="0" orientation="portrait" blackAndWhite="1" r:id="rId1"/>
  <headerFooter alignWithMargins="0"/>
  <rowBreaks count="1" manualBreakCount="1">
    <brk id="38" max="9"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S64"/>
  <sheetViews>
    <sheetView view="pageBreakPreview" zoomScaleSheetLayoutView="100" workbookViewId="0">
      <selection sqref="A1:H1"/>
    </sheetView>
  </sheetViews>
  <sheetFormatPr defaultRowHeight="13.8"/>
  <cols>
    <col min="1" max="1" width="24.5" style="26" customWidth="1"/>
    <col min="2" max="2" width="13.3984375" style="26" customWidth="1"/>
    <col min="3" max="3" width="14.3984375" style="26" customWidth="1"/>
    <col min="4" max="4" width="13.19921875" style="26" customWidth="1"/>
    <col min="5" max="5" width="11.59765625" style="26" customWidth="1"/>
    <col min="6" max="6" width="12.5" style="26" customWidth="1"/>
    <col min="7" max="7" width="19.5" style="26" customWidth="1"/>
    <col min="8" max="9" width="11.8984375" style="26" customWidth="1"/>
    <col min="10" max="10" width="12.09765625" style="26" customWidth="1"/>
    <col min="11" max="11" width="10.8984375" style="26" customWidth="1"/>
    <col min="12" max="12" width="14.69921875" style="26" customWidth="1"/>
    <col min="13" max="256" width="9" style="26"/>
    <col min="257" max="257" width="32.5" style="26" customWidth="1"/>
    <col min="258" max="258" width="14" style="26" customWidth="1"/>
    <col min="259" max="259" width="16.59765625" style="26" customWidth="1"/>
    <col min="260" max="261" width="16.5" style="26" customWidth="1"/>
    <col min="262" max="262" width="12" style="26" customWidth="1"/>
    <col min="263" max="263" width="13.3984375" style="26" customWidth="1"/>
    <col min="264" max="264" width="11.59765625" style="26" customWidth="1"/>
    <col min="265" max="265" width="11.69921875" style="26" customWidth="1"/>
    <col min="266" max="512" width="9" style="26"/>
    <col min="513" max="513" width="32.5" style="26" customWidth="1"/>
    <col min="514" max="514" width="14" style="26" customWidth="1"/>
    <col min="515" max="515" width="16.59765625" style="26" customWidth="1"/>
    <col min="516" max="517" width="16.5" style="26" customWidth="1"/>
    <col min="518" max="518" width="12" style="26" customWidth="1"/>
    <col min="519" max="519" width="13.3984375" style="26" customWidth="1"/>
    <col min="520" max="520" width="11.59765625" style="26" customWidth="1"/>
    <col min="521" max="521" width="11.69921875" style="26" customWidth="1"/>
    <col min="522" max="768" width="9" style="26"/>
    <col min="769" max="769" width="32.5" style="26" customWidth="1"/>
    <col min="770" max="770" width="14" style="26" customWidth="1"/>
    <col min="771" max="771" width="16.59765625" style="26" customWidth="1"/>
    <col min="772" max="773" width="16.5" style="26" customWidth="1"/>
    <col min="774" max="774" width="12" style="26" customWidth="1"/>
    <col min="775" max="775" width="13.3984375" style="26" customWidth="1"/>
    <col min="776" max="776" width="11.59765625" style="26" customWidth="1"/>
    <col min="777" max="777" width="11.69921875" style="26" customWidth="1"/>
    <col min="778" max="1024" width="9" style="26"/>
    <col min="1025" max="1025" width="32.5" style="26" customWidth="1"/>
    <col min="1026" max="1026" width="14" style="26" customWidth="1"/>
    <col min="1027" max="1027" width="16.59765625" style="26" customWidth="1"/>
    <col min="1028" max="1029" width="16.5" style="26" customWidth="1"/>
    <col min="1030" max="1030" width="12" style="26" customWidth="1"/>
    <col min="1031" max="1031" width="13.3984375" style="26" customWidth="1"/>
    <col min="1032" max="1032" width="11.59765625" style="26" customWidth="1"/>
    <col min="1033" max="1033" width="11.69921875" style="26" customWidth="1"/>
    <col min="1034" max="1280" width="9" style="26"/>
    <col min="1281" max="1281" width="32.5" style="26" customWidth="1"/>
    <col min="1282" max="1282" width="14" style="26" customWidth="1"/>
    <col min="1283" max="1283" width="16.59765625" style="26" customWidth="1"/>
    <col min="1284" max="1285" width="16.5" style="26" customWidth="1"/>
    <col min="1286" max="1286" width="12" style="26" customWidth="1"/>
    <col min="1287" max="1287" width="13.3984375" style="26" customWidth="1"/>
    <col min="1288" max="1288" width="11.59765625" style="26" customWidth="1"/>
    <col min="1289" max="1289" width="11.69921875" style="26" customWidth="1"/>
    <col min="1290" max="1536" width="9" style="26"/>
    <col min="1537" max="1537" width="32.5" style="26" customWidth="1"/>
    <col min="1538" max="1538" width="14" style="26" customWidth="1"/>
    <col min="1539" max="1539" width="16.59765625" style="26" customWidth="1"/>
    <col min="1540" max="1541" width="16.5" style="26" customWidth="1"/>
    <col min="1542" max="1542" width="12" style="26" customWidth="1"/>
    <col min="1543" max="1543" width="13.3984375" style="26" customWidth="1"/>
    <col min="1544" max="1544" width="11.59765625" style="26" customWidth="1"/>
    <col min="1545" max="1545" width="11.69921875" style="26" customWidth="1"/>
    <col min="1546" max="1792" width="9" style="26"/>
    <col min="1793" max="1793" width="32.5" style="26" customWidth="1"/>
    <col min="1794" max="1794" width="14" style="26" customWidth="1"/>
    <col min="1795" max="1795" width="16.59765625" style="26" customWidth="1"/>
    <col min="1796" max="1797" width="16.5" style="26" customWidth="1"/>
    <col min="1798" max="1798" width="12" style="26" customWidth="1"/>
    <col min="1799" max="1799" width="13.3984375" style="26" customWidth="1"/>
    <col min="1800" max="1800" width="11.59765625" style="26" customWidth="1"/>
    <col min="1801" max="1801" width="11.69921875" style="26" customWidth="1"/>
    <col min="1802" max="2048" width="9" style="26"/>
    <col min="2049" max="2049" width="32.5" style="26" customWidth="1"/>
    <col min="2050" max="2050" width="14" style="26" customWidth="1"/>
    <col min="2051" max="2051" width="16.59765625" style="26" customWidth="1"/>
    <col min="2052" max="2053" width="16.5" style="26" customWidth="1"/>
    <col min="2054" max="2054" width="12" style="26" customWidth="1"/>
    <col min="2055" max="2055" width="13.3984375" style="26" customWidth="1"/>
    <col min="2056" max="2056" width="11.59765625" style="26" customWidth="1"/>
    <col min="2057" max="2057" width="11.69921875" style="26" customWidth="1"/>
    <col min="2058" max="2304" width="9" style="26"/>
    <col min="2305" max="2305" width="32.5" style="26" customWidth="1"/>
    <col min="2306" max="2306" width="14" style="26" customWidth="1"/>
    <col min="2307" max="2307" width="16.59765625" style="26" customWidth="1"/>
    <col min="2308" max="2309" width="16.5" style="26" customWidth="1"/>
    <col min="2310" max="2310" width="12" style="26" customWidth="1"/>
    <col min="2311" max="2311" width="13.3984375" style="26" customWidth="1"/>
    <col min="2312" max="2312" width="11.59765625" style="26" customWidth="1"/>
    <col min="2313" max="2313" width="11.69921875" style="26" customWidth="1"/>
    <col min="2314" max="2560" width="9" style="26"/>
    <col min="2561" max="2561" width="32.5" style="26" customWidth="1"/>
    <col min="2562" max="2562" width="14" style="26" customWidth="1"/>
    <col min="2563" max="2563" width="16.59765625" style="26" customWidth="1"/>
    <col min="2564" max="2565" width="16.5" style="26" customWidth="1"/>
    <col min="2566" max="2566" width="12" style="26" customWidth="1"/>
    <col min="2567" max="2567" width="13.3984375" style="26" customWidth="1"/>
    <col min="2568" max="2568" width="11.59765625" style="26" customWidth="1"/>
    <col min="2569" max="2569" width="11.69921875" style="26" customWidth="1"/>
    <col min="2570" max="2816" width="9" style="26"/>
    <col min="2817" max="2817" width="32.5" style="26" customWidth="1"/>
    <col min="2818" max="2818" width="14" style="26" customWidth="1"/>
    <col min="2819" max="2819" width="16.59765625" style="26" customWidth="1"/>
    <col min="2820" max="2821" width="16.5" style="26" customWidth="1"/>
    <col min="2822" max="2822" width="12" style="26" customWidth="1"/>
    <col min="2823" max="2823" width="13.3984375" style="26" customWidth="1"/>
    <col min="2824" max="2824" width="11.59765625" style="26" customWidth="1"/>
    <col min="2825" max="2825" width="11.69921875" style="26" customWidth="1"/>
    <col min="2826" max="3072" width="9" style="26"/>
    <col min="3073" max="3073" width="32.5" style="26" customWidth="1"/>
    <col min="3074" max="3074" width="14" style="26" customWidth="1"/>
    <col min="3075" max="3075" width="16.59765625" style="26" customWidth="1"/>
    <col min="3076" max="3077" width="16.5" style="26" customWidth="1"/>
    <col min="3078" max="3078" width="12" style="26" customWidth="1"/>
    <col min="3079" max="3079" width="13.3984375" style="26" customWidth="1"/>
    <col min="3080" max="3080" width="11.59765625" style="26" customWidth="1"/>
    <col min="3081" max="3081" width="11.69921875" style="26" customWidth="1"/>
    <col min="3082" max="3328" width="9" style="26"/>
    <col min="3329" max="3329" width="32.5" style="26" customWidth="1"/>
    <col min="3330" max="3330" width="14" style="26" customWidth="1"/>
    <col min="3331" max="3331" width="16.59765625" style="26" customWidth="1"/>
    <col min="3332" max="3333" width="16.5" style="26" customWidth="1"/>
    <col min="3334" max="3334" width="12" style="26" customWidth="1"/>
    <col min="3335" max="3335" width="13.3984375" style="26" customWidth="1"/>
    <col min="3336" max="3336" width="11.59765625" style="26" customWidth="1"/>
    <col min="3337" max="3337" width="11.69921875" style="26" customWidth="1"/>
    <col min="3338" max="3584" width="9" style="26"/>
    <col min="3585" max="3585" width="32.5" style="26" customWidth="1"/>
    <col min="3586" max="3586" width="14" style="26" customWidth="1"/>
    <col min="3587" max="3587" width="16.59765625" style="26" customWidth="1"/>
    <col min="3588" max="3589" width="16.5" style="26" customWidth="1"/>
    <col min="3590" max="3590" width="12" style="26" customWidth="1"/>
    <col min="3591" max="3591" width="13.3984375" style="26" customWidth="1"/>
    <col min="3592" max="3592" width="11.59765625" style="26" customWidth="1"/>
    <col min="3593" max="3593" width="11.69921875" style="26" customWidth="1"/>
    <col min="3594" max="3840" width="9" style="26"/>
    <col min="3841" max="3841" width="32.5" style="26" customWidth="1"/>
    <col min="3842" max="3842" width="14" style="26" customWidth="1"/>
    <col min="3843" max="3843" width="16.59765625" style="26" customWidth="1"/>
    <col min="3844" max="3845" width="16.5" style="26" customWidth="1"/>
    <col min="3846" max="3846" width="12" style="26" customWidth="1"/>
    <col min="3847" max="3847" width="13.3984375" style="26" customWidth="1"/>
    <col min="3848" max="3848" width="11.59765625" style="26" customWidth="1"/>
    <col min="3849" max="3849" width="11.69921875" style="26" customWidth="1"/>
    <col min="3850" max="4096" width="9" style="26"/>
    <col min="4097" max="4097" width="32.5" style="26" customWidth="1"/>
    <col min="4098" max="4098" width="14" style="26" customWidth="1"/>
    <col min="4099" max="4099" width="16.59765625" style="26" customWidth="1"/>
    <col min="4100" max="4101" width="16.5" style="26" customWidth="1"/>
    <col min="4102" max="4102" width="12" style="26" customWidth="1"/>
    <col min="4103" max="4103" width="13.3984375" style="26" customWidth="1"/>
    <col min="4104" max="4104" width="11.59765625" style="26" customWidth="1"/>
    <col min="4105" max="4105" width="11.69921875" style="26" customWidth="1"/>
    <col min="4106" max="4352" width="9" style="26"/>
    <col min="4353" max="4353" width="32.5" style="26" customWidth="1"/>
    <col min="4354" max="4354" width="14" style="26" customWidth="1"/>
    <col min="4355" max="4355" width="16.59765625" style="26" customWidth="1"/>
    <col min="4356" max="4357" width="16.5" style="26" customWidth="1"/>
    <col min="4358" max="4358" width="12" style="26" customWidth="1"/>
    <col min="4359" max="4359" width="13.3984375" style="26" customWidth="1"/>
    <col min="4360" max="4360" width="11.59765625" style="26" customWidth="1"/>
    <col min="4361" max="4361" width="11.69921875" style="26" customWidth="1"/>
    <col min="4362" max="4608" width="9" style="26"/>
    <col min="4609" max="4609" width="32.5" style="26" customWidth="1"/>
    <col min="4610" max="4610" width="14" style="26" customWidth="1"/>
    <col min="4611" max="4611" width="16.59765625" style="26" customWidth="1"/>
    <col min="4612" max="4613" width="16.5" style="26" customWidth="1"/>
    <col min="4614" max="4614" width="12" style="26" customWidth="1"/>
    <col min="4615" max="4615" width="13.3984375" style="26" customWidth="1"/>
    <col min="4616" max="4616" width="11.59765625" style="26" customWidth="1"/>
    <col min="4617" max="4617" width="11.69921875" style="26" customWidth="1"/>
    <col min="4618" max="4864" width="9" style="26"/>
    <col min="4865" max="4865" width="32.5" style="26" customWidth="1"/>
    <col min="4866" max="4866" width="14" style="26" customWidth="1"/>
    <col min="4867" max="4867" width="16.59765625" style="26" customWidth="1"/>
    <col min="4868" max="4869" width="16.5" style="26" customWidth="1"/>
    <col min="4870" max="4870" width="12" style="26" customWidth="1"/>
    <col min="4871" max="4871" width="13.3984375" style="26" customWidth="1"/>
    <col min="4872" max="4872" width="11.59765625" style="26" customWidth="1"/>
    <col min="4873" max="4873" width="11.69921875" style="26" customWidth="1"/>
    <col min="4874" max="5120" width="9" style="26"/>
    <col min="5121" max="5121" width="32.5" style="26" customWidth="1"/>
    <col min="5122" max="5122" width="14" style="26" customWidth="1"/>
    <col min="5123" max="5123" width="16.59765625" style="26" customWidth="1"/>
    <col min="5124" max="5125" width="16.5" style="26" customWidth="1"/>
    <col min="5126" max="5126" width="12" style="26" customWidth="1"/>
    <col min="5127" max="5127" width="13.3984375" style="26" customWidth="1"/>
    <col min="5128" max="5128" width="11.59765625" style="26" customWidth="1"/>
    <col min="5129" max="5129" width="11.69921875" style="26" customWidth="1"/>
    <col min="5130" max="5376" width="9" style="26"/>
    <col min="5377" max="5377" width="32.5" style="26" customWidth="1"/>
    <col min="5378" max="5378" width="14" style="26" customWidth="1"/>
    <col min="5379" max="5379" width="16.59765625" style="26" customWidth="1"/>
    <col min="5380" max="5381" width="16.5" style="26" customWidth="1"/>
    <col min="5382" max="5382" width="12" style="26" customWidth="1"/>
    <col min="5383" max="5383" width="13.3984375" style="26" customWidth="1"/>
    <col min="5384" max="5384" width="11.59765625" style="26" customWidth="1"/>
    <col min="5385" max="5385" width="11.69921875" style="26" customWidth="1"/>
    <col min="5386" max="5632" width="9" style="26"/>
    <col min="5633" max="5633" width="32.5" style="26" customWidth="1"/>
    <col min="5634" max="5634" width="14" style="26" customWidth="1"/>
    <col min="5635" max="5635" width="16.59765625" style="26" customWidth="1"/>
    <col min="5636" max="5637" width="16.5" style="26" customWidth="1"/>
    <col min="5638" max="5638" width="12" style="26" customWidth="1"/>
    <col min="5639" max="5639" width="13.3984375" style="26" customWidth="1"/>
    <col min="5640" max="5640" width="11.59765625" style="26" customWidth="1"/>
    <col min="5641" max="5641" width="11.69921875" style="26" customWidth="1"/>
    <col min="5642" max="5888" width="9" style="26"/>
    <col min="5889" max="5889" width="32.5" style="26" customWidth="1"/>
    <col min="5890" max="5890" width="14" style="26" customWidth="1"/>
    <col min="5891" max="5891" width="16.59765625" style="26" customWidth="1"/>
    <col min="5892" max="5893" width="16.5" style="26" customWidth="1"/>
    <col min="5894" max="5894" width="12" style="26" customWidth="1"/>
    <col min="5895" max="5895" width="13.3984375" style="26" customWidth="1"/>
    <col min="5896" max="5896" width="11.59765625" style="26" customWidth="1"/>
    <col min="5897" max="5897" width="11.69921875" style="26" customWidth="1"/>
    <col min="5898" max="6144" width="9" style="26"/>
    <col min="6145" max="6145" width="32.5" style="26" customWidth="1"/>
    <col min="6146" max="6146" width="14" style="26" customWidth="1"/>
    <col min="6147" max="6147" width="16.59765625" style="26" customWidth="1"/>
    <col min="6148" max="6149" width="16.5" style="26" customWidth="1"/>
    <col min="6150" max="6150" width="12" style="26" customWidth="1"/>
    <col min="6151" max="6151" width="13.3984375" style="26" customWidth="1"/>
    <col min="6152" max="6152" width="11.59765625" style="26" customWidth="1"/>
    <col min="6153" max="6153" width="11.69921875" style="26" customWidth="1"/>
    <col min="6154" max="6400" width="9" style="26"/>
    <col min="6401" max="6401" width="32.5" style="26" customWidth="1"/>
    <col min="6402" max="6402" width="14" style="26" customWidth="1"/>
    <col min="6403" max="6403" width="16.59765625" style="26" customWidth="1"/>
    <col min="6404" max="6405" width="16.5" style="26" customWidth="1"/>
    <col min="6406" max="6406" width="12" style="26" customWidth="1"/>
    <col min="6407" max="6407" width="13.3984375" style="26" customWidth="1"/>
    <col min="6408" max="6408" width="11.59765625" style="26" customWidth="1"/>
    <col min="6409" max="6409" width="11.69921875" style="26" customWidth="1"/>
    <col min="6410" max="6656" width="9" style="26"/>
    <col min="6657" max="6657" width="32.5" style="26" customWidth="1"/>
    <col min="6658" max="6658" width="14" style="26" customWidth="1"/>
    <col min="6659" max="6659" width="16.59765625" style="26" customWidth="1"/>
    <col min="6660" max="6661" width="16.5" style="26" customWidth="1"/>
    <col min="6662" max="6662" width="12" style="26" customWidth="1"/>
    <col min="6663" max="6663" width="13.3984375" style="26" customWidth="1"/>
    <col min="6664" max="6664" width="11.59765625" style="26" customWidth="1"/>
    <col min="6665" max="6665" width="11.69921875" style="26" customWidth="1"/>
    <col min="6666" max="6912" width="9" style="26"/>
    <col min="6913" max="6913" width="32.5" style="26" customWidth="1"/>
    <col min="6914" max="6914" width="14" style="26" customWidth="1"/>
    <col min="6915" max="6915" width="16.59765625" style="26" customWidth="1"/>
    <col min="6916" max="6917" width="16.5" style="26" customWidth="1"/>
    <col min="6918" max="6918" width="12" style="26" customWidth="1"/>
    <col min="6919" max="6919" width="13.3984375" style="26" customWidth="1"/>
    <col min="6920" max="6920" width="11.59765625" style="26" customWidth="1"/>
    <col min="6921" max="6921" width="11.69921875" style="26" customWidth="1"/>
    <col min="6922" max="7168" width="9" style="26"/>
    <col min="7169" max="7169" width="32.5" style="26" customWidth="1"/>
    <col min="7170" max="7170" width="14" style="26" customWidth="1"/>
    <col min="7171" max="7171" width="16.59765625" style="26" customWidth="1"/>
    <col min="7172" max="7173" width="16.5" style="26" customWidth="1"/>
    <col min="7174" max="7174" width="12" style="26" customWidth="1"/>
    <col min="7175" max="7175" width="13.3984375" style="26" customWidth="1"/>
    <col min="7176" max="7176" width="11.59765625" style="26" customWidth="1"/>
    <col min="7177" max="7177" width="11.69921875" style="26" customWidth="1"/>
    <col min="7178" max="7424" width="9" style="26"/>
    <col min="7425" max="7425" width="32.5" style="26" customWidth="1"/>
    <col min="7426" max="7426" width="14" style="26" customWidth="1"/>
    <col min="7427" max="7427" width="16.59765625" style="26" customWidth="1"/>
    <col min="7428" max="7429" width="16.5" style="26" customWidth="1"/>
    <col min="7430" max="7430" width="12" style="26" customWidth="1"/>
    <col min="7431" max="7431" width="13.3984375" style="26" customWidth="1"/>
    <col min="7432" max="7432" width="11.59765625" style="26" customWidth="1"/>
    <col min="7433" max="7433" width="11.69921875" style="26" customWidth="1"/>
    <col min="7434" max="7680" width="9" style="26"/>
    <col min="7681" max="7681" width="32.5" style="26" customWidth="1"/>
    <col min="7682" max="7682" width="14" style="26" customWidth="1"/>
    <col min="7683" max="7683" width="16.59765625" style="26" customWidth="1"/>
    <col min="7684" max="7685" width="16.5" style="26" customWidth="1"/>
    <col min="7686" max="7686" width="12" style="26" customWidth="1"/>
    <col min="7687" max="7687" width="13.3984375" style="26" customWidth="1"/>
    <col min="7688" max="7688" width="11.59765625" style="26" customWidth="1"/>
    <col min="7689" max="7689" width="11.69921875" style="26" customWidth="1"/>
    <col min="7690" max="7936" width="9" style="26"/>
    <col min="7937" max="7937" width="32.5" style="26" customWidth="1"/>
    <col min="7938" max="7938" width="14" style="26" customWidth="1"/>
    <col min="7939" max="7939" width="16.59765625" style="26" customWidth="1"/>
    <col min="7940" max="7941" width="16.5" style="26" customWidth="1"/>
    <col min="7942" max="7942" width="12" style="26" customWidth="1"/>
    <col min="7943" max="7943" width="13.3984375" style="26" customWidth="1"/>
    <col min="7944" max="7944" width="11.59765625" style="26" customWidth="1"/>
    <col min="7945" max="7945" width="11.69921875" style="26" customWidth="1"/>
    <col min="7946" max="8192" width="9" style="26"/>
    <col min="8193" max="8193" width="32.5" style="26" customWidth="1"/>
    <col min="8194" max="8194" width="14" style="26" customWidth="1"/>
    <col min="8195" max="8195" width="16.59765625" style="26" customWidth="1"/>
    <col min="8196" max="8197" width="16.5" style="26" customWidth="1"/>
    <col min="8198" max="8198" width="12" style="26" customWidth="1"/>
    <col min="8199" max="8199" width="13.3984375" style="26" customWidth="1"/>
    <col min="8200" max="8200" width="11.59765625" style="26" customWidth="1"/>
    <col min="8201" max="8201" width="11.69921875" style="26" customWidth="1"/>
    <col min="8202" max="8448" width="9" style="26"/>
    <col min="8449" max="8449" width="32.5" style="26" customWidth="1"/>
    <col min="8450" max="8450" width="14" style="26" customWidth="1"/>
    <col min="8451" max="8451" width="16.59765625" style="26" customWidth="1"/>
    <col min="8452" max="8453" width="16.5" style="26" customWidth="1"/>
    <col min="8454" max="8454" width="12" style="26" customWidth="1"/>
    <col min="8455" max="8455" width="13.3984375" style="26" customWidth="1"/>
    <col min="8456" max="8456" width="11.59765625" style="26" customWidth="1"/>
    <col min="8457" max="8457" width="11.69921875" style="26" customWidth="1"/>
    <col min="8458" max="8704" width="9" style="26"/>
    <col min="8705" max="8705" width="32.5" style="26" customWidth="1"/>
    <col min="8706" max="8706" width="14" style="26" customWidth="1"/>
    <col min="8707" max="8707" width="16.59765625" style="26" customWidth="1"/>
    <col min="8708" max="8709" width="16.5" style="26" customWidth="1"/>
    <col min="8710" max="8710" width="12" style="26" customWidth="1"/>
    <col min="8711" max="8711" width="13.3984375" style="26" customWidth="1"/>
    <col min="8712" max="8712" width="11.59765625" style="26" customWidth="1"/>
    <col min="8713" max="8713" width="11.69921875" style="26" customWidth="1"/>
    <col min="8714" max="8960" width="9" style="26"/>
    <col min="8961" max="8961" width="32.5" style="26" customWidth="1"/>
    <col min="8962" max="8962" width="14" style="26" customWidth="1"/>
    <col min="8963" max="8963" width="16.59765625" style="26" customWidth="1"/>
    <col min="8964" max="8965" width="16.5" style="26" customWidth="1"/>
    <col min="8966" max="8966" width="12" style="26" customWidth="1"/>
    <col min="8967" max="8967" width="13.3984375" style="26" customWidth="1"/>
    <col min="8968" max="8968" width="11.59765625" style="26" customWidth="1"/>
    <col min="8969" max="8969" width="11.69921875" style="26" customWidth="1"/>
    <col min="8970" max="9216" width="9" style="26"/>
    <col min="9217" max="9217" width="32.5" style="26" customWidth="1"/>
    <col min="9218" max="9218" width="14" style="26" customWidth="1"/>
    <col min="9219" max="9219" width="16.59765625" style="26" customWidth="1"/>
    <col min="9220" max="9221" width="16.5" style="26" customWidth="1"/>
    <col min="9222" max="9222" width="12" style="26" customWidth="1"/>
    <col min="9223" max="9223" width="13.3984375" style="26" customWidth="1"/>
    <col min="9224" max="9224" width="11.59765625" style="26" customWidth="1"/>
    <col min="9225" max="9225" width="11.69921875" style="26" customWidth="1"/>
    <col min="9226" max="9472" width="9" style="26"/>
    <col min="9473" max="9473" width="32.5" style="26" customWidth="1"/>
    <col min="9474" max="9474" width="14" style="26" customWidth="1"/>
    <col min="9475" max="9475" width="16.59765625" style="26" customWidth="1"/>
    <col min="9476" max="9477" width="16.5" style="26" customWidth="1"/>
    <col min="9478" max="9478" width="12" style="26" customWidth="1"/>
    <col min="9479" max="9479" width="13.3984375" style="26" customWidth="1"/>
    <col min="9480" max="9480" width="11.59765625" style="26" customWidth="1"/>
    <col min="9481" max="9481" width="11.69921875" style="26" customWidth="1"/>
    <col min="9482" max="9728" width="9" style="26"/>
    <col min="9729" max="9729" width="32.5" style="26" customWidth="1"/>
    <col min="9730" max="9730" width="14" style="26" customWidth="1"/>
    <col min="9731" max="9731" width="16.59765625" style="26" customWidth="1"/>
    <col min="9732" max="9733" width="16.5" style="26" customWidth="1"/>
    <col min="9734" max="9734" width="12" style="26" customWidth="1"/>
    <col min="9735" max="9735" width="13.3984375" style="26" customWidth="1"/>
    <col min="9736" max="9736" width="11.59765625" style="26" customWidth="1"/>
    <col min="9737" max="9737" width="11.69921875" style="26" customWidth="1"/>
    <col min="9738" max="9984" width="9" style="26"/>
    <col min="9985" max="9985" width="32.5" style="26" customWidth="1"/>
    <col min="9986" max="9986" width="14" style="26" customWidth="1"/>
    <col min="9987" max="9987" width="16.59765625" style="26" customWidth="1"/>
    <col min="9988" max="9989" width="16.5" style="26" customWidth="1"/>
    <col min="9990" max="9990" width="12" style="26" customWidth="1"/>
    <col min="9991" max="9991" width="13.3984375" style="26" customWidth="1"/>
    <col min="9992" max="9992" width="11.59765625" style="26" customWidth="1"/>
    <col min="9993" max="9993" width="11.69921875" style="26" customWidth="1"/>
    <col min="9994" max="10240" width="9" style="26"/>
    <col min="10241" max="10241" width="32.5" style="26" customWidth="1"/>
    <col min="10242" max="10242" width="14" style="26" customWidth="1"/>
    <col min="10243" max="10243" width="16.59765625" style="26" customWidth="1"/>
    <col min="10244" max="10245" width="16.5" style="26" customWidth="1"/>
    <col min="10246" max="10246" width="12" style="26" customWidth="1"/>
    <col min="10247" max="10247" width="13.3984375" style="26" customWidth="1"/>
    <col min="10248" max="10248" width="11.59765625" style="26" customWidth="1"/>
    <col min="10249" max="10249" width="11.69921875" style="26" customWidth="1"/>
    <col min="10250" max="10496" width="9" style="26"/>
    <col min="10497" max="10497" width="32.5" style="26" customWidth="1"/>
    <col min="10498" max="10498" width="14" style="26" customWidth="1"/>
    <col min="10499" max="10499" width="16.59765625" style="26" customWidth="1"/>
    <col min="10500" max="10501" width="16.5" style="26" customWidth="1"/>
    <col min="10502" max="10502" width="12" style="26" customWidth="1"/>
    <col min="10503" max="10503" width="13.3984375" style="26" customWidth="1"/>
    <col min="10504" max="10504" width="11.59765625" style="26" customWidth="1"/>
    <col min="10505" max="10505" width="11.69921875" style="26" customWidth="1"/>
    <col min="10506" max="10752" width="9" style="26"/>
    <col min="10753" max="10753" width="32.5" style="26" customWidth="1"/>
    <col min="10754" max="10754" width="14" style="26" customWidth="1"/>
    <col min="10755" max="10755" width="16.59765625" style="26" customWidth="1"/>
    <col min="10756" max="10757" width="16.5" style="26" customWidth="1"/>
    <col min="10758" max="10758" width="12" style="26" customWidth="1"/>
    <col min="10759" max="10759" width="13.3984375" style="26" customWidth="1"/>
    <col min="10760" max="10760" width="11.59765625" style="26" customWidth="1"/>
    <col min="10761" max="10761" width="11.69921875" style="26" customWidth="1"/>
    <col min="10762" max="11008" width="9" style="26"/>
    <col min="11009" max="11009" width="32.5" style="26" customWidth="1"/>
    <col min="11010" max="11010" width="14" style="26" customWidth="1"/>
    <col min="11011" max="11011" width="16.59765625" style="26" customWidth="1"/>
    <col min="11012" max="11013" width="16.5" style="26" customWidth="1"/>
    <col min="11014" max="11014" width="12" style="26" customWidth="1"/>
    <col min="11015" max="11015" width="13.3984375" style="26" customWidth="1"/>
    <col min="11016" max="11016" width="11.59765625" style="26" customWidth="1"/>
    <col min="11017" max="11017" width="11.69921875" style="26" customWidth="1"/>
    <col min="11018" max="11264" width="9" style="26"/>
    <col min="11265" max="11265" width="32.5" style="26" customWidth="1"/>
    <col min="11266" max="11266" width="14" style="26" customWidth="1"/>
    <col min="11267" max="11267" width="16.59765625" style="26" customWidth="1"/>
    <col min="11268" max="11269" width="16.5" style="26" customWidth="1"/>
    <col min="11270" max="11270" width="12" style="26" customWidth="1"/>
    <col min="11271" max="11271" width="13.3984375" style="26" customWidth="1"/>
    <col min="11272" max="11272" width="11.59765625" style="26" customWidth="1"/>
    <col min="11273" max="11273" width="11.69921875" style="26" customWidth="1"/>
    <col min="11274" max="11520" width="9" style="26"/>
    <col min="11521" max="11521" width="32.5" style="26" customWidth="1"/>
    <col min="11522" max="11522" width="14" style="26" customWidth="1"/>
    <col min="11523" max="11523" width="16.59765625" style="26" customWidth="1"/>
    <col min="11524" max="11525" width="16.5" style="26" customWidth="1"/>
    <col min="11526" max="11526" width="12" style="26" customWidth="1"/>
    <col min="11527" max="11527" width="13.3984375" style="26" customWidth="1"/>
    <col min="11528" max="11528" width="11.59765625" style="26" customWidth="1"/>
    <col min="11529" max="11529" width="11.69921875" style="26" customWidth="1"/>
    <col min="11530" max="11776" width="9" style="26"/>
    <col min="11777" max="11777" width="32.5" style="26" customWidth="1"/>
    <col min="11778" max="11778" width="14" style="26" customWidth="1"/>
    <col min="11779" max="11779" width="16.59765625" style="26" customWidth="1"/>
    <col min="11780" max="11781" width="16.5" style="26" customWidth="1"/>
    <col min="11782" max="11782" width="12" style="26" customWidth="1"/>
    <col min="11783" max="11783" width="13.3984375" style="26" customWidth="1"/>
    <col min="11784" max="11784" width="11.59765625" style="26" customWidth="1"/>
    <col min="11785" max="11785" width="11.69921875" style="26" customWidth="1"/>
    <col min="11786" max="12032" width="9" style="26"/>
    <col min="12033" max="12033" width="32.5" style="26" customWidth="1"/>
    <col min="12034" max="12034" width="14" style="26" customWidth="1"/>
    <col min="12035" max="12035" width="16.59765625" style="26" customWidth="1"/>
    <col min="12036" max="12037" width="16.5" style="26" customWidth="1"/>
    <col min="12038" max="12038" width="12" style="26" customWidth="1"/>
    <col min="12039" max="12039" width="13.3984375" style="26" customWidth="1"/>
    <col min="12040" max="12040" width="11.59765625" style="26" customWidth="1"/>
    <col min="12041" max="12041" width="11.69921875" style="26" customWidth="1"/>
    <col min="12042" max="12288" width="9" style="26"/>
    <col min="12289" max="12289" width="32.5" style="26" customWidth="1"/>
    <col min="12290" max="12290" width="14" style="26" customWidth="1"/>
    <col min="12291" max="12291" width="16.59765625" style="26" customWidth="1"/>
    <col min="12292" max="12293" width="16.5" style="26" customWidth="1"/>
    <col min="12294" max="12294" width="12" style="26" customWidth="1"/>
    <col min="12295" max="12295" width="13.3984375" style="26" customWidth="1"/>
    <col min="12296" max="12296" width="11.59765625" style="26" customWidth="1"/>
    <col min="12297" max="12297" width="11.69921875" style="26" customWidth="1"/>
    <col min="12298" max="12544" width="9" style="26"/>
    <col min="12545" max="12545" width="32.5" style="26" customWidth="1"/>
    <col min="12546" max="12546" width="14" style="26" customWidth="1"/>
    <col min="12547" max="12547" width="16.59765625" style="26" customWidth="1"/>
    <col min="12548" max="12549" width="16.5" style="26" customWidth="1"/>
    <col min="12550" max="12550" width="12" style="26" customWidth="1"/>
    <col min="12551" max="12551" width="13.3984375" style="26" customWidth="1"/>
    <col min="12552" max="12552" width="11.59765625" style="26" customWidth="1"/>
    <col min="12553" max="12553" width="11.69921875" style="26" customWidth="1"/>
    <col min="12554" max="12800" width="9" style="26"/>
    <col min="12801" max="12801" width="32.5" style="26" customWidth="1"/>
    <col min="12802" max="12802" width="14" style="26" customWidth="1"/>
    <col min="12803" max="12803" width="16.59765625" style="26" customWidth="1"/>
    <col min="12804" max="12805" width="16.5" style="26" customWidth="1"/>
    <col min="12806" max="12806" width="12" style="26" customWidth="1"/>
    <col min="12807" max="12807" width="13.3984375" style="26" customWidth="1"/>
    <col min="12808" max="12808" width="11.59765625" style="26" customWidth="1"/>
    <col min="12809" max="12809" width="11.69921875" style="26" customWidth="1"/>
    <col min="12810" max="13056" width="9" style="26"/>
    <col min="13057" max="13057" width="32.5" style="26" customWidth="1"/>
    <col min="13058" max="13058" width="14" style="26" customWidth="1"/>
    <col min="13059" max="13059" width="16.59765625" style="26" customWidth="1"/>
    <col min="13060" max="13061" width="16.5" style="26" customWidth="1"/>
    <col min="13062" max="13062" width="12" style="26" customWidth="1"/>
    <col min="13063" max="13063" width="13.3984375" style="26" customWidth="1"/>
    <col min="13064" max="13064" width="11.59765625" style="26" customWidth="1"/>
    <col min="13065" max="13065" width="11.69921875" style="26" customWidth="1"/>
    <col min="13066" max="13312" width="9" style="26"/>
    <col min="13313" max="13313" width="32.5" style="26" customWidth="1"/>
    <col min="13314" max="13314" width="14" style="26" customWidth="1"/>
    <col min="13315" max="13315" width="16.59765625" style="26" customWidth="1"/>
    <col min="13316" max="13317" width="16.5" style="26" customWidth="1"/>
    <col min="13318" max="13318" width="12" style="26" customWidth="1"/>
    <col min="13319" max="13319" width="13.3984375" style="26" customWidth="1"/>
    <col min="13320" max="13320" width="11.59765625" style="26" customWidth="1"/>
    <col min="13321" max="13321" width="11.69921875" style="26" customWidth="1"/>
    <col min="13322" max="13568" width="9" style="26"/>
    <col min="13569" max="13569" width="32.5" style="26" customWidth="1"/>
    <col min="13570" max="13570" width="14" style="26" customWidth="1"/>
    <col min="13571" max="13571" width="16.59765625" style="26" customWidth="1"/>
    <col min="13572" max="13573" width="16.5" style="26" customWidth="1"/>
    <col min="13574" max="13574" width="12" style="26" customWidth="1"/>
    <col min="13575" max="13575" width="13.3984375" style="26" customWidth="1"/>
    <col min="13576" max="13576" width="11.59765625" style="26" customWidth="1"/>
    <col min="13577" max="13577" width="11.69921875" style="26" customWidth="1"/>
    <col min="13578" max="13824" width="9" style="26"/>
    <col min="13825" max="13825" width="32.5" style="26" customWidth="1"/>
    <col min="13826" max="13826" width="14" style="26" customWidth="1"/>
    <col min="13827" max="13827" width="16.59765625" style="26" customWidth="1"/>
    <col min="13828" max="13829" width="16.5" style="26" customWidth="1"/>
    <col min="13830" max="13830" width="12" style="26" customWidth="1"/>
    <col min="13831" max="13831" width="13.3984375" style="26" customWidth="1"/>
    <col min="13832" max="13832" width="11.59765625" style="26" customWidth="1"/>
    <col min="13833" max="13833" width="11.69921875" style="26" customWidth="1"/>
    <col min="13834" max="14080" width="9" style="26"/>
    <col min="14081" max="14081" width="32.5" style="26" customWidth="1"/>
    <col min="14082" max="14082" width="14" style="26" customWidth="1"/>
    <col min="14083" max="14083" width="16.59765625" style="26" customWidth="1"/>
    <col min="14084" max="14085" width="16.5" style="26" customWidth="1"/>
    <col min="14086" max="14086" width="12" style="26" customWidth="1"/>
    <col min="14087" max="14087" width="13.3984375" style="26" customWidth="1"/>
    <col min="14088" max="14088" width="11.59765625" style="26" customWidth="1"/>
    <col min="14089" max="14089" width="11.69921875" style="26" customWidth="1"/>
    <col min="14090" max="14336" width="9" style="26"/>
    <col min="14337" max="14337" width="32.5" style="26" customWidth="1"/>
    <col min="14338" max="14338" width="14" style="26" customWidth="1"/>
    <col min="14339" max="14339" width="16.59765625" style="26" customWidth="1"/>
    <col min="14340" max="14341" width="16.5" style="26" customWidth="1"/>
    <col min="14342" max="14342" width="12" style="26" customWidth="1"/>
    <col min="14343" max="14343" width="13.3984375" style="26" customWidth="1"/>
    <col min="14344" max="14344" width="11.59765625" style="26" customWidth="1"/>
    <col min="14345" max="14345" width="11.69921875" style="26" customWidth="1"/>
    <col min="14346" max="14592" width="9" style="26"/>
    <col min="14593" max="14593" width="32.5" style="26" customWidth="1"/>
    <col min="14594" max="14594" width="14" style="26" customWidth="1"/>
    <col min="14595" max="14595" width="16.59765625" style="26" customWidth="1"/>
    <col min="14596" max="14597" width="16.5" style="26" customWidth="1"/>
    <col min="14598" max="14598" width="12" style="26" customWidth="1"/>
    <col min="14599" max="14599" width="13.3984375" style="26" customWidth="1"/>
    <col min="14600" max="14600" width="11.59765625" style="26" customWidth="1"/>
    <col min="14601" max="14601" width="11.69921875" style="26" customWidth="1"/>
    <col min="14602" max="14848" width="9" style="26"/>
    <col min="14849" max="14849" width="32.5" style="26" customWidth="1"/>
    <col min="14850" max="14850" width="14" style="26" customWidth="1"/>
    <col min="14851" max="14851" width="16.59765625" style="26" customWidth="1"/>
    <col min="14852" max="14853" width="16.5" style="26" customWidth="1"/>
    <col min="14854" max="14854" width="12" style="26" customWidth="1"/>
    <col min="14855" max="14855" width="13.3984375" style="26" customWidth="1"/>
    <col min="14856" max="14856" width="11.59765625" style="26" customWidth="1"/>
    <col min="14857" max="14857" width="11.69921875" style="26" customWidth="1"/>
    <col min="14858" max="15104" width="9" style="26"/>
    <col min="15105" max="15105" width="32.5" style="26" customWidth="1"/>
    <col min="15106" max="15106" width="14" style="26" customWidth="1"/>
    <col min="15107" max="15107" width="16.59765625" style="26" customWidth="1"/>
    <col min="15108" max="15109" width="16.5" style="26" customWidth="1"/>
    <col min="15110" max="15110" width="12" style="26" customWidth="1"/>
    <col min="15111" max="15111" width="13.3984375" style="26" customWidth="1"/>
    <col min="15112" max="15112" width="11.59765625" style="26" customWidth="1"/>
    <col min="15113" max="15113" width="11.69921875" style="26" customWidth="1"/>
    <col min="15114" max="15360" width="9" style="26"/>
    <col min="15361" max="15361" width="32.5" style="26" customWidth="1"/>
    <col min="15362" max="15362" width="14" style="26" customWidth="1"/>
    <col min="15363" max="15363" width="16.59765625" style="26" customWidth="1"/>
    <col min="15364" max="15365" width="16.5" style="26" customWidth="1"/>
    <col min="15366" max="15366" width="12" style="26" customWidth="1"/>
    <col min="15367" max="15367" width="13.3984375" style="26" customWidth="1"/>
    <col min="15368" max="15368" width="11.59765625" style="26" customWidth="1"/>
    <col min="15369" max="15369" width="11.69921875" style="26" customWidth="1"/>
    <col min="15370" max="15616" width="9" style="26"/>
    <col min="15617" max="15617" width="32.5" style="26" customWidth="1"/>
    <col min="15618" max="15618" width="14" style="26" customWidth="1"/>
    <col min="15619" max="15619" width="16.59765625" style="26" customWidth="1"/>
    <col min="15620" max="15621" width="16.5" style="26" customWidth="1"/>
    <col min="15622" max="15622" width="12" style="26" customWidth="1"/>
    <col min="15623" max="15623" width="13.3984375" style="26" customWidth="1"/>
    <col min="15624" max="15624" width="11.59765625" style="26" customWidth="1"/>
    <col min="15625" max="15625" width="11.69921875" style="26" customWidth="1"/>
    <col min="15626" max="15872" width="9" style="26"/>
    <col min="15873" max="15873" width="32.5" style="26" customWidth="1"/>
    <col min="15874" max="15874" width="14" style="26" customWidth="1"/>
    <col min="15875" max="15875" width="16.59765625" style="26" customWidth="1"/>
    <col min="15876" max="15877" width="16.5" style="26" customWidth="1"/>
    <col min="15878" max="15878" width="12" style="26" customWidth="1"/>
    <col min="15879" max="15879" width="13.3984375" style="26" customWidth="1"/>
    <col min="15880" max="15880" width="11.59765625" style="26" customWidth="1"/>
    <col min="15881" max="15881" width="11.69921875" style="26" customWidth="1"/>
    <col min="15882" max="16128" width="9" style="26"/>
    <col min="16129" max="16129" width="32.5" style="26" customWidth="1"/>
    <col min="16130" max="16130" width="14" style="26" customWidth="1"/>
    <col min="16131" max="16131" width="16.59765625" style="26" customWidth="1"/>
    <col min="16132" max="16133" width="16.5" style="26" customWidth="1"/>
    <col min="16134" max="16134" width="12" style="26" customWidth="1"/>
    <col min="16135" max="16135" width="13.3984375" style="26" customWidth="1"/>
    <col min="16136" max="16136" width="11.59765625" style="26" customWidth="1"/>
    <col min="16137" max="16137" width="11.69921875" style="26" customWidth="1"/>
    <col min="16138" max="16384" width="9" style="26"/>
  </cols>
  <sheetData>
    <row r="1" spans="1:19" s="18" customFormat="1" ht="19.95" customHeight="1">
      <c r="A1" s="722" t="s">
        <v>23</v>
      </c>
      <c r="B1" s="722"/>
      <c r="C1" s="722"/>
      <c r="D1" s="722"/>
      <c r="E1" s="722"/>
      <c r="F1" s="722"/>
      <c r="G1" s="722"/>
      <c r="H1" s="722"/>
      <c r="I1" s="481"/>
      <c r="J1" s="481"/>
      <c r="K1" s="481"/>
      <c r="L1" s="481"/>
      <c r="M1" s="30"/>
      <c r="N1" s="30"/>
      <c r="O1" s="30"/>
      <c r="P1" s="30"/>
      <c r="Q1" s="30"/>
      <c r="R1" s="30"/>
      <c r="S1" s="30"/>
    </row>
    <row r="2" spans="1:19" s="25" customFormat="1" ht="19.95" customHeight="1">
      <c r="A2" s="723" t="s">
        <v>123</v>
      </c>
      <c r="B2" s="723"/>
      <c r="C2" s="723"/>
      <c r="D2" s="723"/>
      <c r="E2" s="723"/>
      <c r="F2" s="723"/>
      <c r="G2" s="723"/>
      <c r="H2" s="723"/>
      <c r="I2" s="482"/>
      <c r="J2" s="482"/>
      <c r="K2" s="482"/>
      <c r="L2" s="482"/>
    </row>
    <row r="3" spans="1:19" ht="19.95" customHeight="1">
      <c r="A3" s="9" t="str">
        <f>底稿目录!A2</f>
        <v>被审计单位：</v>
      </c>
      <c r="C3" s="9" t="str">
        <f>底稿目录!A4</f>
        <v>编制人：</v>
      </c>
      <c r="D3" s="9"/>
      <c r="E3" s="9" t="str">
        <f>底稿目录!A5</f>
        <v>编制日期：</v>
      </c>
      <c r="F3" s="31"/>
      <c r="G3" s="32" t="s">
        <v>103</v>
      </c>
      <c r="H3" s="534" t="str">
        <f>底稿目录!F22</f>
        <v>K1-8</v>
      </c>
      <c r="J3" s="31"/>
      <c r="M3" s="27"/>
      <c r="N3" s="27"/>
      <c r="O3" s="27"/>
      <c r="P3" s="27"/>
    </row>
    <row r="4" spans="1:19" ht="19.95" customHeight="1">
      <c r="A4" s="9" t="str">
        <f>底稿目录!A3</f>
        <v>截止日：202X年12月31日</v>
      </c>
      <c r="C4" s="9" t="str">
        <f>底稿目录!A6</f>
        <v>复核人：</v>
      </c>
      <c r="D4" s="10"/>
      <c r="E4" s="9" t="str">
        <f>底稿目录!A7</f>
        <v>复核日期：</v>
      </c>
      <c r="F4" s="31"/>
      <c r="G4" s="32" t="s">
        <v>96</v>
      </c>
      <c r="H4" s="139"/>
      <c r="J4" s="31"/>
      <c r="M4" s="27"/>
      <c r="N4" s="27"/>
      <c r="O4" s="27"/>
      <c r="P4" s="27"/>
    </row>
    <row r="5" spans="1:19" ht="19.95" customHeight="1">
      <c r="A5" s="33" t="s">
        <v>108</v>
      </c>
    </row>
    <row r="6" spans="1:19" ht="19.95" customHeight="1">
      <c r="A6" s="52" t="s">
        <v>752</v>
      </c>
    </row>
    <row r="7" spans="1:19" ht="19.95" customHeight="1">
      <c r="A7" s="33" t="s">
        <v>109</v>
      </c>
    </row>
    <row r="8" spans="1:19" s="31" customFormat="1" ht="19.95" customHeight="1">
      <c r="A8" s="33" t="s">
        <v>110</v>
      </c>
      <c r="B8" s="33"/>
      <c r="C8" s="33"/>
      <c r="D8" s="33"/>
    </row>
    <row r="9" spans="1:19" s="104" customFormat="1" ht="32.4" customHeight="1">
      <c r="A9" s="720" t="s">
        <v>677</v>
      </c>
      <c r="B9" s="467" t="s">
        <v>678</v>
      </c>
      <c r="C9" s="467" t="s">
        <v>211</v>
      </c>
      <c r="D9" s="467" t="s">
        <v>679</v>
      </c>
      <c r="E9" s="467" t="s">
        <v>680</v>
      </c>
      <c r="F9" s="467" t="s">
        <v>494</v>
      </c>
      <c r="G9" s="719" t="s">
        <v>681</v>
      </c>
      <c r="H9" s="719" t="s">
        <v>215</v>
      </c>
      <c r="I9" s="31"/>
      <c r="J9" s="31"/>
      <c r="K9" s="31"/>
      <c r="L9" s="31"/>
    </row>
    <row r="10" spans="1:19" s="104" customFormat="1" ht="19.95" customHeight="1">
      <c r="A10" s="721"/>
      <c r="B10" s="496" t="s">
        <v>710</v>
      </c>
      <c r="C10" s="496" t="s">
        <v>707</v>
      </c>
      <c r="D10" s="496" t="s">
        <v>708</v>
      </c>
      <c r="E10" s="496" t="s">
        <v>709</v>
      </c>
      <c r="F10" s="496" t="s">
        <v>711</v>
      </c>
      <c r="G10" s="719"/>
      <c r="H10" s="719"/>
      <c r="I10" s="31"/>
      <c r="J10" s="31"/>
      <c r="K10" s="31"/>
      <c r="L10" s="31"/>
    </row>
    <row r="11" spans="1:19" s="104" customFormat="1" ht="19.95" customHeight="1">
      <c r="A11" s="497"/>
      <c r="B11" s="468"/>
      <c r="C11" s="478"/>
      <c r="D11" s="469">
        <f>ROUND(B11*C11,2)</f>
        <v>0</v>
      </c>
      <c r="E11" s="470"/>
      <c r="F11" s="471">
        <f t="shared" ref="F11:F15" si="0">B11-E11</f>
        <v>0</v>
      </c>
      <c r="G11" s="472"/>
      <c r="H11" s="473"/>
      <c r="I11" s="31"/>
      <c r="J11" s="31"/>
      <c r="K11" s="31"/>
      <c r="L11" s="31"/>
    </row>
    <row r="12" spans="1:19" s="104" customFormat="1" ht="19.95" customHeight="1">
      <c r="A12" s="497"/>
      <c r="B12" s="468"/>
      <c r="C12" s="478"/>
      <c r="D12" s="469">
        <f t="shared" ref="D12:D15" si="1">ROUND(B12*C12,2)</f>
        <v>0</v>
      </c>
      <c r="E12" s="470"/>
      <c r="F12" s="471">
        <f t="shared" si="0"/>
        <v>0</v>
      </c>
      <c r="G12" s="472"/>
      <c r="H12" s="473"/>
      <c r="I12" s="31"/>
      <c r="J12" s="31"/>
      <c r="K12" s="31"/>
      <c r="L12" s="31"/>
    </row>
    <row r="13" spans="1:19" s="104" customFormat="1" ht="19.95" customHeight="1">
      <c r="A13" s="497"/>
      <c r="B13" s="468"/>
      <c r="C13" s="478"/>
      <c r="D13" s="469">
        <f t="shared" si="1"/>
        <v>0</v>
      </c>
      <c r="E13" s="470"/>
      <c r="F13" s="471">
        <f t="shared" si="0"/>
        <v>0</v>
      </c>
      <c r="G13" s="472"/>
      <c r="H13" s="473"/>
      <c r="I13" s="31"/>
      <c r="J13" s="31"/>
      <c r="K13" s="31"/>
      <c r="L13" s="31"/>
    </row>
    <row r="14" spans="1:19" s="104" customFormat="1" ht="19.95" customHeight="1">
      <c r="A14" s="497"/>
      <c r="B14" s="468"/>
      <c r="C14" s="478"/>
      <c r="D14" s="469">
        <f t="shared" si="1"/>
        <v>0</v>
      </c>
      <c r="E14" s="470"/>
      <c r="F14" s="471">
        <f t="shared" si="0"/>
        <v>0</v>
      </c>
      <c r="G14" s="472"/>
      <c r="H14" s="473"/>
      <c r="I14" s="31"/>
      <c r="J14" s="31"/>
      <c r="K14" s="31"/>
      <c r="L14" s="31"/>
    </row>
    <row r="15" spans="1:19" s="104" customFormat="1" ht="19.95" customHeight="1">
      <c r="A15" s="497"/>
      <c r="B15" s="468"/>
      <c r="C15" s="478"/>
      <c r="D15" s="469">
        <f t="shared" si="1"/>
        <v>0</v>
      </c>
      <c r="E15" s="470"/>
      <c r="F15" s="471">
        <f t="shared" si="0"/>
        <v>0</v>
      </c>
      <c r="G15" s="472"/>
      <c r="H15" s="473"/>
      <c r="I15" s="31"/>
      <c r="J15" s="31"/>
      <c r="K15" s="31"/>
      <c r="L15" s="31"/>
    </row>
    <row r="16" spans="1:19" s="104" customFormat="1" ht="19.95" customHeight="1">
      <c r="A16" s="474" t="s">
        <v>111</v>
      </c>
      <c r="B16" s="475">
        <f>SUM(B11:B15)</f>
        <v>0</v>
      </c>
      <c r="C16" s="475"/>
      <c r="D16" s="475">
        <f t="shared" ref="D16" si="2">SUM(D11:D15)</f>
        <v>0</v>
      </c>
      <c r="E16" s="475">
        <f>SUM(E11:E15)</f>
        <v>0</v>
      </c>
      <c r="F16" s="475">
        <f>SUM(F11:F15)</f>
        <v>0</v>
      </c>
      <c r="G16" s="476"/>
      <c r="H16" s="477"/>
      <c r="I16" s="31"/>
      <c r="J16" s="31"/>
      <c r="K16" s="31"/>
      <c r="L16" s="31"/>
    </row>
    <row r="17" spans="1:12" s="31" customFormat="1" ht="19.95" customHeight="1">
      <c r="A17" s="109" t="s">
        <v>112</v>
      </c>
      <c r="B17" s="110">
        <f>B16-SUMIF('明细表K1-2'!$AF$12:$AF$32,"单项计提",'明细表K1-2'!$X$12:$X$32)</f>
        <v>0</v>
      </c>
      <c r="C17" s="110"/>
      <c r="D17" s="110">
        <f>D16-SUMIF('明细表K1-2'!$AF$12:$AF$32,"单项计提",'明细表K1-2'!$X$12:$X$32)</f>
        <v>0</v>
      </c>
      <c r="E17" s="109"/>
      <c r="F17" s="109"/>
      <c r="G17" s="109"/>
      <c r="H17" s="109"/>
      <c r="I17" s="109"/>
      <c r="K17" s="109"/>
    </row>
    <row r="18" spans="1:12" s="31" customFormat="1" ht="19.95" customHeight="1">
      <c r="A18" s="570" t="s">
        <v>712</v>
      </c>
      <c r="B18" s="571"/>
      <c r="C18" s="571"/>
      <c r="D18" s="109"/>
      <c r="E18" s="109"/>
      <c r="F18" s="109"/>
      <c r="G18" s="109"/>
      <c r="H18" s="111" t="s">
        <v>113</v>
      </c>
      <c r="I18" s="109"/>
      <c r="J18" s="109"/>
    </row>
    <row r="19" spans="1:12" s="104" customFormat="1" ht="27" customHeight="1">
      <c r="A19" s="717" t="s">
        <v>687</v>
      </c>
      <c r="B19" s="467" t="s">
        <v>678</v>
      </c>
      <c r="C19" s="467" t="s">
        <v>211</v>
      </c>
      <c r="D19" s="467" t="s">
        <v>679</v>
      </c>
      <c r="E19" s="467" t="s">
        <v>680</v>
      </c>
      <c r="F19" s="467" t="s">
        <v>494</v>
      </c>
      <c r="G19" s="719" t="s">
        <v>681</v>
      </c>
      <c r="H19" s="719" t="s">
        <v>215</v>
      </c>
      <c r="I19" s="109"/>
      <c r="J19" s="31"/>
      <c r="K19" s="109"/>
      <c r="L19" s="31"/>
    </row>
    <row r="20" spans="1:12" s="104" customFormat="1" ht="19.95" customHeight="1">
      <c r="A20" s="718"/>
      <c r="B20" s="467" t="s">
        <v>682</v>
      </c>
      <c r="C20" s="467" t="s">
        <v>683</v>
      </c>
      <c r="D20" s="467" t="s">
        <v>684</v>
      </c>
      <c r="E20" s="467" t="s">
        <v>685</v>
      </c>
      <c r="F20" s="467" t="s">
        <v>686</v>
      </c>
      <c r="G20" s="719"/>
      <c r="H20" s="719"/>
      <c r="I20" s="109"/>
      <c r="J20" s="31"/>
      <c r="K20" s="109"/>
      <c r="L20" s="31"/>
    </row>
    <row r="21" spans="1:12" s="104" customFormat="1" ht="19.95" customHeight="1">
      <c r="A21" s="572" t="s">
        <v>657</v>
      </c>
      <c r="B21" s="468"/>
      <c r="C21" s="478"/>
      <c r="D21" s="469">
        <f>ROUND(B21*C21,2)</f>
        <v>0</v>
      </c>
      <c r="E21" s="470"/>
      <c r="F21" s="471">
        <f t="shared" ref="F21:F25" si="3">B21-E21</f>
        <v>0</v>
      </c>
      <c r="G21" s="472"/>
      <c r="H21" s="473"/>
      <c r="I21" s="109"/>
      <c r="J21" s="31"/>
      <c r="K21" s="109"/>
      <c r="L21" s="31"/>
    </row>
    <row r="22" spans="1:12" s="104" customFormat="1" ht="19.95" customHeight="1">
      <c r="A22" s="572" t="s">
        <v>656</v>
      </c>
      <c r="B22" s="468"/>
      <c r="C22" s="478"/>
      <c r="D22" s="469">
        <f t="shared" ref="D22:D25" si="4">ROUND(B22*C22,2)</f>
        <v>0</v>
      </c>
      <c r="E22" s="470"/>
      <c r="F22" s="471">
        <f t="shared" si="3"/>
        <v>0</v>
      </c>
      <c r="G22" s="472"/>
      <c r="H22" s="473"/>
      <c r="I22" s="109"/>
      <c r="J22" s="31"/>
      <c r="K22" s="109"/>
      <c r="L22" s="31"/>
    </row>
    <row r="23" spans="1:12" s="104" customFormat="1" ht="19.95" customHeight="1">
      <c r="A23" s="572" t="s">
        <v>655</v>
      </c>
      <c r="B23" s="468"/>
      <c r="C23" s="478"/>
      <c r="D23" s="469">
        <f t="shared" si="4"/>
        <v>0</v>
      </c>
      <c r="E23" s="470"/>
      <c r="F23" s="471">
        <f t="shared" si="3"/>
        <v>0</v>
      </c>
      <c r="G23" s="472"/>
      <c r="H23" s="473"/>
      <c r="I23" s="109"/>
      <c r="J23" s="31"/>
      <c r="K23" s="109"/>
      <c r="L23" s="31"/>
    </row>
    <row r="24" spans="1:12" s="104" customFormat="1" ht="19.95" customHeight="1">
      <c r="A24" s="572" t="s">
        <v>658</v>
      </c>
      <c r="B24" s="468"/>
      <c r="C24" s="478"/>
      <c r="D24" s="469">
        <f t="shared" si="4"/>
        <v>0</v>
      </c>
      <c r="E24" s="470"/>
      <c r="F24" s="471">
        <f t="shared" si="3"/>
        <v>0</v>
      </c>
      <c r="G24" s="472"/>
      <c r="H24" s="473"/>
      <c r="I24" s="109"/>
      <c r="J24" s="31"/>
      <c r="K24" s="109"/>
      <c r="L24" s="31"/>
    </row>
    <row r="25" spans="1:12" s="104" customFormat="1" ht="19.95" customHeight="1">
      <c r="A25" s="106"/>
      <c r="B25" s="468"/>
      <c r="C25" s="478"/>
      <c r="D25" s="469">
        <f t="shared" si="4"/>
        <v>0</v>
      </c>
      <c r="E25" s="470"/>
      <c r="F25" s="471">
        <f t="shared" si="3"/>
        <v>0</v>
      </c>
      <c r="G25" s="472"/>
      <c r="H25" s="473"/>
      <c r="I25" s="109"/>
      <c r="J25" s="31"/>
      <c r="K25" s="109"/>
      <c r="L25" s="31"/>
    </row>
    <row r="26" spans="1:12" s="104" customFormat="1" ht="19.95" customHeight="1">
      <c r="A26" s="330" t="s">
        <v>114</v>
      </c>
      <c r="B26" s="475">
        <f>SUM(B21:B25)</f>
        <v>0</v>
      </c>
      <c r="C26" s="475"/>
      <c r="D26" s="475">
        <f t="shared" ref="D26" si="5">SUM(D21:D25)</f>
        <v>0</v>
      </c>
      <c r="E26" s="475">
        <f>SUM(E21:E25)</f>
        <v>0</v>
      </c>
      <c r="F26" s="475">
        <f>SUM(F21:F25)</f>
        <v>0</v>
      </c>
      <c r="G26" s="476"/>
      <c r="H26" s="477"/>
      <c r="I26" s="109"/>
      <c r="J26" s="31"/>
      <c r="K26" s="109"/>
      <c r="L26" s="31"/>
    </row>
    <row r="27" spans="1:12" s="31" customFormat="1" ht="19.95" customHeight="1">
      <c r="A27" s="109" t="s">
        <v>659</v>
      </c>
      <c r="B27" s="110">
        <f>B26-SUMIF('明细表K1-2'!$AF$12:$AF$32,"保证金组合",'明细表K1-2'!$X$12:$X$32)</f>
        <v>0</v>
      </c>
      <c r="C27" s="110"/>
      <c r="D27" s="110">
        <f>D26-SUMIF('明细表K1-2'!$AF$12:$AF$32,"保证金组合",'明细表K1-2'!$X$12:$X$32)</f>
        <v>0</v>
      </c>
      <c r="E27" s="109"/>
      <c r="F27" s="109"/>
      <c r="G27" s="109"/>
      <c r="H27" s="109"/>
      <c r="I27" s="109"/>
      <c r="K27" s="109"/>
    </row>
    <row r="28" spans="1:12" s="31" customFormat="1" ht="19.95" customHeight="1">
      <c r="A28" s="33" t="s">
        <v>690</v>
      </c>
      <c r="B28" s="110"/>
      <c r="C28" s="110"/>
      <c r="D28" s="109"/>
      <c r="E28" s="109"/>
      <c r="F28" s="109"/>
      <c r="G28" s="109"/>
      <c r="H28" s="111" t="s">
        <v>115</v>
      </c>
    </row>
    <row r="29" spans="1:12" s="104" customFormat="1" ht="36.6" customHeight="1">
      <c r="A29" s="467" t="s">
        <v>689</v>
      </c>
      <c r="B29" s="467" t="s">
        <v>678</v>
      </c>
      <c r="C29" s="467" t="s">
        <v>211</v>
      </c>
      <c r="D29" s="467" t="s">
        <v>679</v>
      </c>
      <c r="E29" s="467" t="s">
        <v>680</v>
      </c>
      <c r="F29" s="467" t="s">
        <v>494</v>
      </c>
      <c r="G29" s="719" t="s">
        <v>681</v>
      </c>
      <c r="H29" s="719" t="s">
        <v>215</v>
      </c>
    </row>
    <row r="30" spans="1:12" s="104" customFormat="1" ht="19.95" customHeight="1">
      <c r="A30" s="375" t="s">
        <v>534</v>
      </c>
      <c r="B30" s="467" t="s">
        <v>682</v>
      </c>
      <c r="C30" s="467" t="s">
        <v>683</v>
      </c>
      <c r="D30" s="467" t="s">
        <v>684</v>
      </c>
      <c r="E30" s="467" t="s">
        <v>685</v>
      </c>
      <c r="F30" s="467" t="s">
        <v>686</v>
      </c>
      <c r="G30" s="719"/>
      <c r="H30" s="719"/>
    </row>
    <row r="31" spans="1:12" s="104" customFormat="1" ht="19.95" customHeight="1">
      <c r="A31" s="136" t="s">
        <v>532</v>
      </c>
      <c r="B31" s="468"/>
      <c r="C31" s="478"/>
      <c r="D31" s="469">
        <f>ROUND(B31*C31,2)</f>
        <v>0</v>
      </c>
      <c r="E31" s="470"/>
      <c r="F31" s="471">
        <f t="shared" ref="F31" si="6">B31-E31</f>
        <v>0</v>
      </c>
      <c r="G31" s="472"/>
      <c r="H31" s="473"/>
    </row>
    <row r="32" spans="1:12" s="104" customFormat="1" ht="19.95" customHeight="1">
      <c r="A32" s="136" t="s">
        <v>535</v>
      </c>
      <c r="B32" s="468"/>
      <c r="C32" s="478"/>
      <c r="D32" s="469">
        <f t="shared" ref="D32:D36" si="7">ROUND(B32*C32,2)</f>
        <v>0</v>
      </c>
      <c r="E32" s="470"/>
      <c r="F32" s="471">
        <f t="shared" ref="F32:F36" si="8">B32-E32</f>
        <v>0</v>
      </c>
      <c r="G32" s="69"/>
      <c r="H32" s="108"/>
    </row>
    <row r="33" spans="1:11" s="104" customFormat="1" ht="19.95" customHeight="1">
      <c r="A33" s="136" t="s">
        <v>529</v>
      </c>
      <c r="B33" s="468"/>
      <c r="C33" s="478"/>
      <c r="D33" s="469">
        <f t="shared" si="7"/>
        <v>0</v>
      </c>
      <c r="E33" s="470"/>
      <c r="F33" s="471">
        <f t="shared" si="8"/>
        <v>0</v>
      </c>
      <c r="G33" s="69"/>
      <c r="H33" s="107"/>
    </row>
    <row r="34" spans="1:11" s="104" customFormat="1" ht="19.95" customHeight="1">
      <c r="A34" s="374" t="s">
        <v>530</v>
      </c>
      <c r="B34" s="468"/>
      <c r="C34" s="478"/>
      <c r="D34" s="469">
        <f t="shared" si="7"/>
        <v>0</v>
      </c>
      <c r="E34" s="470"/>
      <c r="F34" s="471">
        <f t="shared" si="8"/>
        <v>0</v>
      </c>
      <c r="G34" s="69"/>
      <c r="H34" s="107"/>
    </row>
    <row r="35" spans="1:11" s="104" customFormat="1" ht="19.95" customHeight="1">
      <c r="A35" s="374" t="s">
        <v>533</v>
      </c>
      <c r="B35" s="468"/>
      <c r="C35" s="478"/>
      <c r="D35" s="469">
        <f t="shared" si="7"/>
        <v>0</v>
      </c>
      <c r="E35" s="470"/>
      <c r="F35" s="471">
        <f t="shared" si="8"/>
        <v>0</v>
      </c>
      <c r="G35" s="69"/>
      <c r="H35" s="107"/>
    </row>
    <row r="36" spans="1:11" s="104" customFormat="1" ht="19.95" customHeight="1">
      <c r="A36" s="374" t="s">
        <v>536</v>
      </c>
      <c r="B36" s="468"/>
      <c r="C36" s="478"/>
      <c r="D36" s="469">
        <f t="shared" si="7"/>
        <v>0</v>
      </c>
      <c r="E36" s="470"/>
      <c r="F36" s="471">
        <f t="shared" si="8"/>
        <v>0</v>
      </c>
      <c r="G36" s="69"/>
      <c r="H36" s="107"/>
    </row>
    <row r="37" spans="1:11" s="104" customFormat="1" ht="19.95" customHeight="1">
      <c r="A37" s="330" t="s">
        <v>111</v>
      </c>
      <c r="B37" s="329">
        <f>SUM(B31:B36)</f>
        <v>0</v>
      </c>
      <c r="C37" s="329"/>
      <c r="D37" s="329">
        <f t="shared" ref="D37:F37" si="9">SUM(D31:D36)</f>
        <v>0</v>
      </c>
      <c r="E37" s="329">
        <f t="shared" si="9"/>
        <v>0</v>
      </c>
      <c r="F37" s="329">
        <f t="shared" si="9"/>
        <v>0</v>
      </c>
      <c r="G37" s="329"/>
      <c r="H37" s="329"/>
    </row>
    <row r="38" spans="1:11" s="104" customFormat="1" ht="19.95" customHeight="1">
      <c r="A38" s="375" t="s">
        <v>537</v>
      </c>
    </row>
    <row r="39" spans="1:11" s="104" customFormat="1" ht="19.95" customHeight="1">
      <c r="A39" s="136" t="s">
        <v>532</v>
      </c>
      <c r="B39" s="468"/>
      <c r="C39" s="478"/>
      <c r="D39" s="469">
        <f>ROUND(B39*C39,2)</f>
        <v>0</v>
      </c>
      <c r="E39" s="470"/>
      <c r="F39" s="471">
        <f t="shared" ref="F39:F44" si="10">B39-E39</f>
        <v>0</v>
      </c>
      <c r="G39" s="472"/>
      <c r="H39" s="473"/>
    </row>
    <row r="40" spans="1:11" s="104" customFormat="1" ht="19.95" customHeight="1">
      <c r="A40" s="136" t="s">
        <v>528</v>
      </c>
      <c r="B40" s="468"/>
      <c r="C40" s="478"/>
      <c r="D40" s="469">
        <f t="shared" ref="D40:D44" si="11">ROUND(B40*C40,2)</f>
        <v>0</v>
      </c>
      <c r="E40" s="470"/>
      <c r="F40" s="471">
        <f t="shared" si="10"/>
        <v>0</v>
      </c>
      <c r="G40" s="69"/>
      <c r="H40" s="108"/>
    </row>
    <row r="41" spans="1:11" s="104" customFormat="1" ht="19.95" customHeight="1">
      <c r="A41" s="136" t="s">
        <v>529</v>
      </c>
      <c r="B41" s="468"/>
      <c r="C41" s="478"/>
      <c r="D41" s="469">
        <f t="shared" si="11"/>
        <v>0</v>
      </c>
      <c r="E41" s="470"/>
      <c r="F41" s="471">
        <f t="shared" si="10"/>
        <v>0</v>
      </c>
      <c r="G41" s="69"/>
      <c r="H41" s="107"/>
    </row>
    <row r="42" spans="1:11" s="104" customFormat="1" ht="19.95" customHeight="1">
      <c r="A42" s="374" t="s">
        <v>530</v>
      </c>
      <c r="B42" s="468"/>
      <c r="C42" s="478"/>
      <c r="D42" s="469">
        <f t="shared" si="11"/>
        <v>0</v>
      </c>
      <c r="E42" s="470"/>
      <c r="F42" s="471">
        <f t="shared" si="10"/>
        <v>0</v>
      </c>
      <c r="G42" s="69"/>
      <c r="H42" s="107"/>
    </row>
    <row r="43" spans="1:11" s="104" customFormat="1" ht="19.95" customHeight="1">
      <c r="A43" s="374" t="s">
        <v>533</v>
      </c>
      <c r="B43" s="468"/>
      <c r="C43" s="478"/>
      <c r="D43" s="469">
        <f t="shared" si="11"/>
        <v>0</v>
      </c>
      <c r="E43" s="470"/>
      <c r="F43" s="471">
        <f t="shared" si="10"/>
        <v>0</v>
      </c>
      <c r="G43" s="69"/>
      <c r="H43" s="107"/>
    </row>
    <row r="44" spans="1:11" s="104" customFormat="1" ht="19.95" customHeight="1">
      <c r="A44" s="374" t="s">
        <v>531</v>
      </c>
      <c r="B44" s="468"/>
      <c r="C44" s="478"/>
      <c r="D44" s="469">
        <f t="shared" si="11"/>
        <v>0</v>
      </c>
      <c r="E44" s="470"/>
      <c r="F44" s="471">
        <f t="shared" si="10"/>
        <v>0</v>
      </c>
      <c r="G44" s="69"/>
      <c r="H44" s="107"/>
    </row>
    <row r="45" spans="1:11" s="104" customFormat="1" ht="19.95" customHeight="1">
      <c r="A45" s="330" t="s">
        <v>111</v>
      </c>
      <c r="B45" s="329">
        <f>SUM(B39:B44)</f>
        <v>0</v>
      </c>
      <c r="C45" s="329"/>
      <c r="D45" s="329">
        <f t="shared" ref="D45:F45" si="12">SUM(D39:D44)</f>
        <v>0</v>
      </c>
      <c r="E45" s="329">
        <f t="shared" si="12"/>
        <v>0</v>
      </c>
      <c r="F45" s="329">
        <f t="shared" si="12"/>
        <v>0</v>
      </c>
      <c r="G45" s="329"/>
      <c r="H45" s="329"/>
    </row>
    <row r="46" spans="1:11" s="31" customFormat="1" ht="19.95" customHeight="1">
      <c r="A46" s="330" t="s">
        <v>116</v>
      </c>
      <c r="B46" s="329">
        <f>SUM(B16,B26,B37,B45)</f>
        <v>0</v>
      </c>
      <c r="C46" s="329">
        <f t="shared" ref="C46:F46" si="13">SUM(C16,C26,C37,C45)</f>
        <v>0</v>
      </c>
      <c r="D46" s="329">
        <f t="shared" si="13"/>
        <v>0</v>
      </c>
      <c r="E46" s="329">
        <f t="shared" si="13"/>
        <v>0</v>
      </c>
      <c r="F46" s="329">
        <f t="shared" si="13"/>
        <v>0</v>
      </c>
      <c r="G46" s="329"/>
      <c r="H46" s="329"/>
    </row>
    <row r="47" spans="1:11" s="31" customFormat="1" ht="19.95" customHeight="1">
      <c r="A47" s="109" t="s">
        <v>112</v>
      </c>
      <c r="B47" s="110" t="b">
        <f>B46='明细表K1-2'!X33</f>
        <v>1</v>
      </c>
      <c r="C47" s="110"/>
      <c r="D47" s="110" t="b">
        <f>D46='明细表K1-2'!AE33</f>
        <v>1</v>
      </c>
      <c r="E47" s="109"/>
      <c r="F47" s="109"/>
      <c r="G47" s="109"/>
      <c r="H47" s="109"/>
    </row>
    <row r="48" spans="1:11" s="31" customFormat="1" ht="19.95" customHeight="1">
      <c r="A48" s="33" t="s">
        <v>106</v>
      </c>
      <c r="I48" s="109"/>
      <c r="J48" s="110"/>
      <c r="K48" s="109"/>
    </row>
    <row r="49" spans="1:9" ht="19.95" customHeight="1">
      <c r="A49" s="483" t="s">
        <v>693</v>
      </c>
    </row>
    <row r="50" spans="1:9" ht="19.95" customHeight="1">
      <c r="A50" s="457" t="s">
        <v>757</v>
      </c>
      <c r="I50" s="457"/>
    </row>
    <row r="51" spans="1:9" ht="19.95" customHeight="1">
      <c r="A51" s="457"/>
      <c r="I51" s="457"/>
    </row>
    <row r="52" spans="1:9" ht="19.95" customHeight="1">
      <c r="A52" s="33" t="s">
        <v>107</v>
      </c>
      <c r="I52" s="457"/>
    </row>
    <row r="53" spans="1:9" ht="19.95" customHeight="1">
      <c r="I53" s="457"/>
    </row>
    <row r="54" spans="1:9" ht="19.5" customHeight="1">
      <c r="A54" s="393" t="s">
        <v>691</v>
      </c>
      <c r="B54" s="479"/>
      <c r="C54" s="479"/>
      <c r="D54" s="479"/>
      <c r="E54" s="479"/>
      <c r="F54" s="479"/>
      <c r="G54" s="479"/>
      <c r="H54" s="479"/>
    </row>
    <row r="55" spans="1:9" ht="19.5" customHeight="1">
      <c r="A55" s="394" t="s">
        <v>117</v>
      </c>
      <c r="B55" s="479"/>
      <c r="C55" s="479"/>
      <c r="D55" s="479"/>
      <c r="E55" s="479"/>
      <c r="F55" s="479"/>
      <c r="G55" s="479"/>
      <c r="H55" s="479"/>
    </row>
    <row r="56" spans="1:9" ht="19.5" customHeight="1">
      <c r="A56" s="394" t="s">
        <v>118</v>
      </c>
      <c r="B56" s="479"/>
      <c r="C56" s="479"/>
      <c r="D56" s="479"/>
      <c r="E56" s="479"/>
      <c r="F56" s="479"/>
      <c r="G56" s="479"/>
      <c r="H56" s="479"/>
    </row>
    <row r="57" spans="1:9" ht="19.5" customHeight="1">
      <c r="A57" s="394" t="s">
        <v>119</v>
      </c>
      <c r="B57" s="479"/>
      <c r="C57" s="479"/>
      <c r="D57" s="479"/>
      <c r="E57" s="479"/>
      <c r="F57" s="479"/>
      <c r="G57" s="479"/>
      <c r="H57" s="479"/>
    </row>
    <row r="58" spans="1:9" ht="19.5" customHeight="1">
      <c r="A58" s="480" t="s">
        <v>120</v>
      </c>
      <c r="B58" s="479"/>
      <c r="C58" s="479"/>
      <c r="D58" s="479"/>
      <c r="E58" s="479"/>
      <c r="F58" s="479"/>
      <c r="G58" s="479"/>
      <c r="H58" s="479"/>
    </row>
    <row r="59" spans="1:9" ht="19.5" customHeight="1">
      <c r="A59" s="480" t="s">
        <v>121</v>
      </c>
      <c r="B59" s="479"/>
      <c r="C59" s="479"/>
      <c r="D59" s="479"/>
      <c r="E59" s="479"/>
      <c r="F59" s="479"/>
      <c r="G59" s="479"/>
      <c r="H59" s="479"/>
    </row>
    <row r="60" spans="1:9" ht="19.5" customHeight="1">
      <c r="A60" s="480" t="s">
        <v>122</v>
      </c>
      <c r="B60" s="479"/>
      <c r="C60" s="479"/>
      <c r="D60" s="479"/>
      <c r="E60" s="479"/>
      <c r="F60" s="479"/>
      <c r="G60" s="479"/>
      <c r="H60" s="479"/>
    </row>
    <row r="61" spans="1:9" ht="19.5" customHeight="1">
      <c r="A61" s="394" t="s">
        <v>186</v>
      </c>
      <c r="B61" s="479"/>
      <c r="C61" s="479"/>
      <c r="D61" s="479"/>
      <c r="E61" s="479"/>
      <c r="F61" s="479"/>
      <c r="G61" s="479"/>
      <c r="H61" s="479"/>
    </row>
    <row r="62" spans="1:9" ht="19.5" customHeight="1">
      <c r="A62" s="394" t="s">
        <v>187</v>
      </c>
      <c r="B62" s="479"/>
      <c r="C62" s="479"/>
      <c r="D62" s="479"/>
      <c r="E62" s="479"/>
      <c r="F62" s="479"/>
      <c r="G62" s="479"/>
      <c r="H62" s="479"/>
    </row>
    <row r="63" spans="1:9" ht="19.5" customHeight="1"/>
    <row r="64" spans="1:9" ht="19.5" customHeight="1"/>
  </sheetData>
  <dataConsolidate/>
  <mergeCells count="10">
    <mergeCell ref="H9:H10"/>
    <mergeCell ref="G9:G10"/>
    <mergeCell ref="A9:A10"/>
    <mergeCell ref="A1:H1"/>
    <mergeCell ref="A2:H2"/>
    <mergeCell ref="A19:A20"/>
    <mergeCell ref="G19:G20"/>
    <mergeCell ref="H19:H20"/>
    <mergeCell ref="G29:G30"/>
    <mergeCell ref="H29:H30"/>
  </mergeCells>
  <phoneticPr fontId="16" type="noConversion"/>
  <hyperlinks>
    <hyperlink ref="H3" location="底稿目录!A1" display="底稿目录!A1"/>
  </hyperlinks>
  <pageMargins left="0.74803149606299213" right="0.74803149606299213" top="0.98425196850393704" bottom="0.98425196850393704" header="0.51181102362204722" footer="0.51181102362204722"/>
  <pageSetup paperSize="9" scale="65" fitToHeight="100" orientation="portrait" blackAndWhite="1" r:id="rId1"/>
  <headerFooter alignWithMargins="0"/>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H45"/>
  <sheetViews>
    <sheetView view="pageBreakPreview" zoomScaleSheetLayoutView="100" workbookViewId="0">
      <selection sqref="A1:H1"/>
    </sheetView>
  </sheetViews>
  <sheetFormatPr defaultColWidth="9" defaultRowHeight="15.6"/>
  <cols>
    <col min="1" max="1" width="16.19921875" style="103" customWidth="1"/>
    <col min="2" max="2" width="15.796875" style="103" customWidth="1"/>
    <col min="3" max="3" width="14" style="103" customWidth="1"/>
    <col min="4" max="4" width="19.8984375" style="103" customWidth="1"/>
    <col min="5" max="5" width="13.69921875" style="103" customWidth="1"/>
    <col min="6" max="6" width="16.19921875" style="103" customWidth="1"/>
    <col min="7" max="7" width="13.5" style="103" customWidth="1"/>
    <col min="8" max="8" width="8.09765625" style="103" customWidth="1"/>
    <col min="9" max="16384" width="9" style="103"/>
  </cols>
  <sheetData>
    <row r="1" spans="1:8" ht="19.95" customHeight="1">
      <c r="A1" s="724" t="s">
        <v>641</v>
      </c>
      <c r="B1" s="724"/>
      <c r="C1" s="724"/>
      <c r="D1" s="724"/>
      <c r="E1" s="724"/>
      <c r="F1" s="724"/>
      <c r="G1" s="724"/>
      <c r="H1" s="724"/>
    </row>
    <row r="2" spans="1:8" ht="19.95" customHeight="1">
      <c r="A2" s="723" t="s">
        <v>253</v>
      </c>
      <c r="B2" s="725"/>
      <c r="C2" s="725"/>
      <c r="D2" s="725"/>
      <c r="E2" s="725"/>
      <c r="F2" s="725"/>
      <c r="G2" s="725"/>
      <c r="H2" s="725"/>
    </row>
    <row r="3" spans="1:8" ht="19.95" customHeight="1">
      <c r="A3" s="9" t="str">
        <f>底稿目录!A2</f>
        <v>被审计单位：</v>
      </c>
      <c r="B3" s="26"/>
      <c r="C3" s="9" t="str">
        <f>底稿目录!A4</f>
        <v>编制人：</v>
      </c>
      <c r="D3" s="57"/>
      <c r="E3" s="9" t="str">
        <f>底稿目录!A5</f>
        <v>编制日期：</v>
      </c>
      <c r="F3" s="57"/>
      <c r="G3" s="60" t="s">
        <v>642</v>
      </c>
      <c r="H3" s="534" t="str">
        <f>底稿目录!F23</f>
        <v>K1-9</v>
      </c>
    </row>
    <row r="4" spans="1:8" ht="19.95" customHeight="1">
      <c r="A4" s="9" t="str">
        <f>底稿目录!A3</f>
        <v>截止日：202X年12月31日</v>
      </c>
      <c r="B4" s="26"/>
      <c r="C4" s="9" t="str">
        <f>底稿目录!A6</f>
        <v>复核人：</v>
      </c>
      <c r="D4" s="57"/>
      <c r="E4" s="9" t="str">
        <f>底稿目录!A7</f>
        <v>复核日期：</v>
      </c>
      <c r="F4" s="57"/>
      <c r="G4" s="60" t="s">
        <v>469</v>
      </c>
      <c r="H4" s="139"/>
    </row>
    <row r="5" spans="1:8" s="57" customFormat="1" ht="19.95" customHeight="1">
      <c r="A5" s="30" t="s">
        <v>212</v>
      </c>
      <c r="B5" s="26"/>
    </row>
    <row r="6" spans="1:8" s="57" customFormat="1" ht="19.95" customHeight="1">
      <c r="A6" s="52" t="s">
        <v>220</v>
      </c>
    </row>
    <row r="7" spans="1:8" s="57" customFormat="1" ht="19.95" customHeight="1">
      <c r="A7" s="30" t="s">
        <v>213</v>
      </c>
      <c r="B7" s="26"/>
    </row>
    <row r="8" spans="1:8" s="57" customFormat="1" ht="19.95" customHeight="1">
      <c r="A8" s="57" t="s">
        <v>639</v>
      </c>
      <c r="B8" s="59"/>
      <c r="E8" s="57" t="s">
        <v>640</v>
      </c>
    </row>
    <row r="9" spans="1:8" s="57" customFormat="1" ht="19.95" customHeight="1">
      <c r="A9" s="57" t="s">
        <v>637</v>
      </c>
      <c r="E9" s="57" t="s">
        <v>638</v>
      </c>
    </row>
    <row r="10" spans="1:8" s="57" customFormat="1" ht="19.95" customHeight="1">
      <c r="A10" s="137" t="s">
        <v>631</v>
      </c>
      <c r="B10" s="137"/>
    </row>
    <row r="11" spans="1:8" s="102" customFormat="1" ht="45.6" customHeight="1">
      <c r="A11" s="451" t="s">
        <v>0</v>
      </c>
      <c r="B11" s="451" t="s">
        <v>2</v>
      </c>
      <c r="C11" s="451" t="s">
        <v>26</v>
      </c>
      <c r="D11" s="452" t="s">
        <v>27</v>
      </c>
      <c r="E11" s="452" t="s">
        <v>629</v>
      </c>
      <c r="F11" s="452" t="s">
        <v>630</v>
      </c>
      <c r="G11" s="452" t="s">
        <v>214</v>
      </c>
      <c r="H11" s="452" t="s">
        <v>215</v>
      </c>
    </row>
    <row r="12" spans="1:8" s="57" customFormat="1" ht="19.95" customHeight="1">
      <c r="A12" s="138"/>
      <c r="B12" s="138"/>
      <c r="C12" s="138"/>
      <c r="D12" s="138"/>
      <c r="E12" s="138"/>
      <c r="F12" s="138"/>
      <c r="G12" s="138"/>
      <c r="H12" s="138"/>
    </row>
    <row r="13" spans="1:8" s="57" customFormat="1" ht="19.95" customHeight="1">
      <c r="A13" s="138"/>
      <c r="B13" s="138"/>
      <c r="C13" s="138"/>
      <c r="D13" s="138"/>
      <c r="E13" s="138"/>
      <c r="F13" s="138"/>
      <c r="G13" s="138"/>
      <c r="H13" s="138"/>
    </row>
    <row r="14" spans="1:8" s="57" customFormat="1" ht="19.95" customHeight="1">
      <c r="A14" s="138"/>
      <c r="B14" s="138"/>
      <c r="C14" s="138"/>
      <c r="D14" s="138"/>
      <c r="E14" s="138"/>
      <c r="F14" s="138"/>
      <c r="G14" s="138"/>
      <c r="H14" s="138"/>
    </row>
    <row r="15" spans="1:8" s="57" customFormat="1" ht="19.95" customHeight="1">
      <c r="A15" s="453" t="s">
        <v>35</v>
      </c>
      <c r="B15" s="454"/>
      <c r="C15" s="454"/>
      <c r="D15" s="454"/>
      <c r="E15" s="454">
        <f>SUM(E12:E14)</f>
        <v>0</v>
      </c>
      <c r="F15" s="454"/>
      <c r="G15" s="454"/>
      <c r="H15" s="454"/>
    </row>
    <row r="16" spans="1:8" s="57" customFormat="1" ht="19.95" customHeight="1">
      <c r="A16" s="137" t="s">
        <v>688</v>
      </c>
      <c r="B16" s="450"/>
    </row>
    <row r="17" spans="1:8" s="57" customFormat="1" ht="19.95" customHeight="1">
      <c r="A17" s="452" t="s">
        <v>0</v>
      </c>
      <c r="B17" s="452" t="s">
        <v>221</v>
      </c>
      <c r="C17" s="452" t="s">
        <v>5</v>
      </c>
      <c r="D17" s="452" t="s">
        <v>6</v>
      </c>
      <c r="E17" s="452" t="s">
        <v>28</v>
      </c>
      <c r="F17" s="452" t="s">
        <v>222</v>
      </c>
      <c r="G17" s="452" t="s">
        <v>216</v>
      </c>
      <c r="H17" s="452" t="s">
        <v>217</v>
      </c>
    </row>
    <row r="18" spans="1:8" s="57" customFormat="1" ht="19.95" customHeight="1">
      <c r="A18" s="138"/>
      <c r="B18" s="138"/>
      <c r="C18" s="138"/>
      <c r="D18" s="138"/>
      <c r="E18" s="138"/>
      <c r="F18" s="138"/>
      <c r="G18" s="138"/>
      <c r="H18" s="138"/>
    </row>
    <row r="19" spans="1:8" s="57" customFormat="1" ht="19.95" customHeight="1">
      <c r="A19" s="138"/>
      <c r="B19" s="138"/>
      <c r="C19" s="138"/>
      <c r="D19" s="138"/>
      <c r="E19" s="138"/>
      <c r="F19" s="138"/>
      <c r="G19" s="138"/>
      <c r="H19" s="138"/>
    </row>
    <row r="20" spans="1:8" s="57" customFormat="1" ht="19.95" customHeight="1">
      <c r="A20" s="138"/>
      <c r="B20" s="138"/>
      <c r="C20" s="138"/>
      <c r="D20" s="138"/>
      <c r="E20" s="138"/>
      <c r="F20" s="138"/>
      <c r="G20" s="138"/>
      <c r="H20" s="138"/>
    </row>
    <row r="21" spans="1:8" s="57" customFormat="1" ht="19.95" customHeight="1">
      <c r="A21" s="453" t="s">
        <v>35</v>
      </c>
      <c r="B21" s="325"/>
      <c r="C21" s="325">
        <f>SUM(C18:C20)</f>
        <v>0</v>
      </c>
      <c r="D21" s="325"/>
      <c r="E21" s="325"/>
      <c r="F21" s="325"/>
      <c r="G21" s="325"/>
      <c r="H21" s="325"/>
    </row>
    <row r="22" spans="1:8" s="57" customFormat="1" ht="19.95" customHeight="1">
      <c r="A22" s="137" t="s">
        <v>218</v>
      </c>
    </row>
    <row r="23" spans="1:8" s="57" customFormat="1" ht="19.95" customHeight="1"/>
    <row r="24" spans="1:8" s="57" customFormat="1" ht="19.95" customHeight="1"/>
    <row r="25" spans="1:8" s="57" customFormat="1" ht="19.95" customHeight="1">
      <c r="A25" s="137" t="s">
        <v>219</v>
      </c>
    </row>
    <row r="26" spans="1:8" s="57" customFormat="1" ht="19.95" customHeight="1"/>
    <row r="27" spans="1:8" s="57" customFormat="1" ht="13.8"/>
    <row r="28" spans="1:8" s="57" customFormat="1" ht="13.8"/>
    <row r="29" spans="1:8" s="57" customFormat="1" ht="13.8"/>
    <row r="30" spans="1:8" s="57" customFormat="1" ht="13.8"/>
    <row r="31" spans="1:8" s="57" customFormat="1" ht="13.8"/>
    <row r="32" spans="1:8" s="57" customFormat="1" ht="13.8"/>
    <row r="33" s="57" customFormat="1" ht="13.8"/>
    <row r="34" s="57" customFormat="1" ht="13.8"/>
    <row r="35" s="57" customFormat="1" ht="13.8"/>
    <row r="36" s="57" customFormat="1" ht="13.8"/>
    <row r="37" s="57" customFormat="1" ht="13.8"/>
    <row r="38" s="57" customFormat="1" ht="13.8"/>
    <row r="39" s="57" customFormat="1" ht="13.8"/>
    <row r="40" s="57" customFormat="1" ht="13.8"/>
    <row r="41" s="57" customFormat="1" ht="13.8"/>
    <row r="42" s="57" customFormat="1" ht="13.8"/>
    <row r="43" s="57" customFormat="1" ht="13.8"/>
    <row r="44" s="57" customFormat="1" ht="13.8"/>
    <row r="45" s="57" customFormat="1" ht="13.8"/>
  </sheetData>
  <mergeCells count="2">
    <mergeCell ref="A1:H1"/>
    <mergeCell ref="A2:H2"/>
  </mergeCells>
  <phoneticPr fontId="16" type="noConversion"/>
  <hyperlinks>
    <hyperlink ref="H3" location="底稿目录!A1" display="底稿目录!A1"/>
  </hyperlinks>
  <pageMargins left="0.74803149606299213" right="0.74803149606299213" top="0.98425196850393704" bottom="0.98425196850393704" header="0.51181102362204722" footer="0.51181102362204722"/>
  <pageSetup paperSize="9" scale="67" fitToHeight="5" orientation="portrait" blackAndWhite="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O21"/>
  <sheetViews>
    <sheetView view="pageBreakPreview" zoomScaleSheetLayoutView="100" workbookViewId="0">
      <selection sqref="A1:O1"/>
    </sheetView>
  </sheetViews>
  <sheetFormatPr defaultColWidth="9" defaultRowHeight="15.6"/>
  <cols>
    <col min="1" max="1" width="17.19921875" style="22" customWidth="1"/>
    <col min="2" max="2" width="11.3984375" style="22" customWidth="1"/>
    <col min="3" max="3" width="11.59765625" style="22" customWidth="1"/>
    <col min="4" max="4" width="11.09765625" style="22" customWidth="1"/>
    <col min="5" max="5" width="10.8984375" style="22" customWidth="1"/>
    <col min="6" max="6" width="10.59765625" style="22" customWidth="1"/>
    <col min="7" max="7" width="14.5" style="22" customWidth="1"/>
    <col min="8" max="8" width="12" style="22" customWidth="1"/>
    <col min="9" max="9" width="9.69921875" style="22" customWidth="1"/>
    <col min="10" max="10" width="11.59765625" style="22" customWidth="1"/>
    <col min="11" max="11" width="10.5" style="22" customWidth="1"/>
    <col min="12" max="12" width="12.19921875" style="22" customWidth="1"/>
    <col min="13" max="13" width="11.5" style="22" customWidth="1"/>
    <col min="14" max="14" width="12.8984375" style="22" customWidth="1"/>
    <col min="15" max="15" width="12" style="22" customWidth="1"/>
    <col min="16" max="16384" width="9" style="22"/>
  </cols>
  <sheetData>
    <row r="1" spans="1:15" ht="19.95" customHeight="1">
      <c r="A1" s="726" t="s">
        <v>627</v>
      </c>
      <c r="B1" s="726"/>
      <c r="C1" s="726"/>
      <c r="D1" s="726"/>
      <c r="E1" s="726"/>
      <c r="F1" s="726"/>
      <c r="G1" s="726"/>
      <c r="H1" s="726"/>
      <c r="I1" s="726"/>
      <c r="J1" s="726"/>
      <c r="K1" s="726"/>
      <c r="L1" s="726"/>
      <c r="M1" s="726"/>
      <c r="N1" s="726"/>
      <c r="O1" s="726"/>
    </row>
    <row r="2" spans="1:15" ht="19.95" customHeight="1">
      <c r="A2" s="727" t="s">
        <v>628</v>
      </c>
      <c r="B2" s="727"/>
      <c r="C2" s="727"/>
      <c r="D2" s="727"/>
      <c r="E2" s="727"/>
      <c r="F2" s="727"/>
      <c r="G2" s="727"/>
      <c r="H2" s="727"/>
      <c r="I2" s="727"/>
      <c r="J2" s="727"/>
      <c r="K2" s="727"/>
      <c r="L2" s="727"/>
      <c r="M2" s="727"/>
      <c r="N2" s="727"/>
      <c r="O2" s="727"/>
    </row>
    <row r="3" spans="1:15" ht="19.95" customHeight="1">
      <c r="A3" s="13" t="str">
        <f>底稿目录!A2</f>
        <v>被审计单位：</v>
      </c>
      <c r="B3" s="392"/>
      <c r="C3" s="392"/>
      <c r="D3" s="392"/>
      <c r="E3" s="13" t="str">
        <f>底稿目录!A4</f>
        <v>编制人：</v>
      </c>
      <c r="J3" s="13" t="str">
        <f>底稿目录!A5</f>
        <v>编制日期：</v>
      </c>
      <c r="N3" s="326" t="s">
        <v>466</v>
      </c>
      <c r="O3" s="534" t="str">
        <f>底稿目录!F24</f>
        <v>K1-10</v>
      </c>
    </row>
    <row r="4" spans="1:15" ht="19.95" customHeight="1">
      <c r="A4" s="13" t="str">
        <f>底稿目录!A3</f>
        <v>截止日：202X年12月31日</v>
      </c>
      <c r="B4" s="392"/>
      <c r="C4" s="392"/>
      <c r="D4" s="392"/>
      <c r="E4" s="13" t="str">
        <f>底稿目录!A6</f>
        <v>复核人：</v>
      </c>
      <c r="J4" s="13" t="str">
        <f>底稿目录!A7</f>
        <v>复核日期：</v>
      </c>
      <c r="N4" s="142" t="s">
        <v>25</v>
      </c>
      <c r="O4" s="13"/>
    </row>
    <row r="5" spans="1:15" s="13" customFormat="1" ht="19.95" customHeight="1">
      <c r="A5" s="56" t="s">
        <v>38</v>
      </c>
    </row>
    <row r="6" spans="1:15" s="13" customFormat="1" ht="19.95" customHeight="1">
      <c r="A6" s="28" t="s">
        <v>760</v>
      </c>
      <c r="B6" s="15"/>
      <c r="C6" s="15"/>
      <c r="D6" s="15"/>
      <c r="E6" s="28"/>
      <c r="G6" s="28" t="s">
        <v>565</v>
      </c>
      <c r="H6" s="46"/>
      <c r="I6" s="46"/>
      <c r="J6" s="28"/>
    </row>
    <row r="7" spans="1:15" s="13" customFormat="1" ht="19.95" customHeight="1">
      <c r="A7" s="56" t="s">
        <v>34</v>
      </c>
      <c r="B7" s="15"/>
      <c r="C7" s="15"/>
      <c r="D7" s="15"/>
      <c r="E7" s="46"/>
      <c r="F7" s="46"/>
      <c r="G7" s="46"/>
      <c r="H7" s="46"/>
      <c r="I7" s="46"/>
      <c r="J7" s="28"/>
    </row>
    <row r="8" spans="1:15" ht="28.2" customHeight="1">
      <c r="A8" s="573" t="s">
        <v>46</v>
      </c>
      <c r="B8" s="573" t="s">
        <v>568</v>
      </c>
      <c r="C8" s="574" t="s">
        <v>569</v>
      </c>
      <c r="D8" s="574" t="s">
        <v>570</v>
      </c>
      <c r="E8" s="433" t="s">
        <v>39</v>
      </c>
      <c r="F8" s="575" t="s">
        <v>40</v>
      </c>
      <c r="G8" s="433" t="s">
        <v>41</v>
      </c>
      <c r="H8" s="574" t="s">
        <v>47</v>
      </c>
      <c r="I8" s="574" t="s">
        <v>758</v>
      </c>
      <c r="J8" s="573" t="s">
        <v>48</v>
      </c>
      <c r="K8" s="573" t="s">
        <v>572</v>
      </c>
      <c r="L8" s="574" t="s">
        <v>759</v>
      </c>
      <c r="M8" s="433" t="s">
        <v>42</v>
      </c>
      <c r="N8" s="573" t="s">
        <v>509</v>
      </c>
      <c r="O8" s="433" t="s">
        <v>43</v>
      </c>
    </row>
    <row r="9" spans="1:15" ht="19.95" customHeight="1">
      <c r="A9" s="64"/>
      <c r="B9" s="364"/>
      <c r="C9" s="364"/>
      <c r="D9" s="364"/>
      <c r="E9" s="434">
        <f>B9+C9-D9</f>
        <v>0</v>
      </c>
      <c r="F9" s="65"/>
      <c r="G9" s="64"/>
      <c r="H9" s="64"/>
      <c r="I9" s="64"/>
      <c r="J9" s="64"/>
      <c r="K9" s="64"/>
      <c r="L9" s="64"/>
      <c r="M9" s="364"/>
      <c r="N9" s="578"/>
      <c r="O9" s="64"/>
    </row>
    <row r="10" spans="1:15" ht="19.95" customHeight="1">
      <c r="A10" s="64"/>
      <c r="B10" s="364"/>
      <c r="C10" s="364"/>
      <c r="D10" s="364"/>
      <c r="E10" s="434"/>
      <c r="F10" s="65"/>
      <c r="G10" s="64"/>
      <c r="H10" s="64"/>
      <c r="I10" s="64"/>
      <c r="J10" s="64"/>
      <c r="K10" s="64"/>
      <c r="L10" s="64"/>
      <c r="M10" s="364"/>
      <c r="N10" s="578"/>
      <c r="O10" s="64"/>
    </row>
    <row r="11" spans="1:15" ht="19.95" customHeight="1">
      <c r="A11" s="64"/>
      <c r="B11" s="364"/>
      <c r="C11" s="364"/>
      <c r="D11" s="364"/>
      <c r="E11" s="434"/>
      <c r="F11" s="65"/>
      <c r="G11" s="64"/>
      <c r="H11" s="64"/>
      <c r="I11" s="64"/>
      <c r="J11" s="64"/>
      <c r="K11" s="64"/>
      <c r="L11" s="64"/>
      <c r="M11" s="364"/>
      <c r="N11" s="578"/>
      <c r="O11" s="64"/>
    </row>
    <row r="12" spans="1:15" s="577" customFormat="1" ht="19.95" customHeight="1">
      <c r="A12" s="573" t="s">
        <v>470</v>
      </c>
      <c r="B12" s="576">
        <f t="shared" ref="B12:D12" si="0">SUM(B9:B11)</f>
        <v>0</v>
      </c>
      <c r="C12" s="576">
        <f t="shared" si="0"/>
        <v>0</v>
      </c>
      <c r="D12" s="576">
        <f t="shared" si="0"/>
        <v>0</v>
      </c>
      <c r="E12" s="576">
        <f>SUM(E9:E11)</f>
        <v>0</v>
      </c>
      <c r="F12" s="576">
        <f t="shared" ref="F12" si="1">SUM(F9:F11)</f>
        <v>0</v>
      </c>
      <c r="G12" s="576"/>
      <c r="H12" s="576"/>
      <c r="I12" s="576"/>
      <c r="J12" s="576"/>
      <c r="K12" s="576"/>
      <c r="L12" s="576"/>
      <c r="M12" s="576">
        <f t="shared" ref="M12:N12" si="2">SUM(M9:M11)</f>
        <v>0</v>
      </c>
      <c r="N12" s="576">
        <f t="shared" si="2"/>
        <v>0</v>
      </c>
      <c r="O12" s="573"/>
    </row>
    <row r="13" spans="1:15" ht="19.95" customHeight="1">
      <c r="A13" s="56" t="s">
        <v>44</v>
      </c>
    </row>
    <row r="14" spans="1:15" ht="19.95" customHeight="1">
      <c r="A14" s="488" t="s">
        <v>696</v>
      </c>
    </row>
    <row r="15" spans="1:15" ht="19.95" customHeight="1"/>
    <row r="16" spans="1:15" ht="19.95" customHeight="1"/>
    <row r="17" spans="1:1" ht="19.95" customHeight="1">
      <c r="A17" s="56" t="s">
        <v>45</v>
      </c>
    </row>
    <row r="18" spans="1:1" ht="19.95" customHeight="1"/>
    <row r="19" spans="1:1" ht="20.100000000000001" customHeight="1">
      <c r="A19" s="527" t="s">
        <v>761</v>
      </c>
    </row>
    <row r="20" spans="1:1">
      <c r="A20" s="526" t="s">
        <v>762</v>
      </c>
    </row>
    <row r="21" spans="1:1">
      <c r="A21" s="526" t="s">
        <v>763</v>
      </c>
    </row>
  </sheetData>
  <mergeCells count="2">
    <mergeCell ref="A1:O1"/>
    <mergeCell ref="A2:O2"/>
  </mergeCells>
  <phoneticPr fontId="16" type="noConversion"/>
  <hyperlinks>
    <hyperlink ref="O3" location="底稿目录!A1" display="底稿目录!A1"/>
  </hyperlinks>
  <pageMargins left="0.74803149606299213" right="0.74803149606299213" top="0.98425196850393704" bottom="0.98425196850393704" header="0.51181102362204722" footer="0.51181102362204722"/>
  <pageSetup paperSize="9" scale="65" orientation="landscape" blackAndWhite="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O24"/>
  <sheetViews>
    <sheetView view="pageBreakPreview" zoomScaleNormal="130" zoomScaleSheetLayoutView="100" workbookViewId="0">
      <selection sqref="A1:M1"/>
    </sheetView>
  </sheetViews>
  <sheetFormatPr defaultColWidth="9" defaultRowHeight="13.8"/>
  <cols>
    <col min="1" max="1" width="23.09765625" style="356" customWidth="1"/>
    <col min="2" max="2" width="14.69921875" style="356" customWidth="1"/>
    <col min="3" max="4" width="14.796875" style="356" customWidth="1"/>
    <col min="5" max="7" width="14.69921875" style="356" customWidth="1"/>
    <col min="8" max="8" width="14.5" style="356" customWidth="1"/>
    <col min="9" max="9" width="13.09765625" style="356" customWidth="1"/>
    <col min="10" max="10" width="13.69921875" style="356" customWidth="1"/>
    <col min="11" max="11" width="8.19921875" style="356" customWidth="1"/>
    <col min="12" max="12" width="11.8984375" style="356" customWidth="1"/>
    <col min="13" max="13" width="8.59765625" style="356" customWidth="1"/>
    <col min="14" max="14" width="27.09765625" style="356" customWidth="1"/>
    <col min="15" max="16384" width="9" style="356"/>
  </cols>
  <sheetData>
    <row r="1" spans="1:15" s="377" customFormat="1" ht="19.95" customHeight="1">
      <c r="A1" s="728" t="s">
        <v>258</v>
      </c>
      <c r="B1" s="728"/>
      <c r="C1" s="728"/>
      <c r="D1" s="728"/>
      <c r="E1" s="729"/>
      <c r="F1" s="729"/>
      <c r="G1" s="729"/>
      <c r="H1" s="729"/>
      <c r="I1" s="729"/>
      <c r="J1" s="729"/>
      <c r="K1" s="729"/>
      <c r="L1" s="729"/>
      <c r="M1" s="729"/>
    </row>
    <row r="2" spans="1:15" s="378" customFormat="1" ht="19.95" customHeight="1">
      <c r="A2" s="730" t="s">
        <v>775</v>
      </c>
      <c r="B2" s="730"/>
      <c r="C2" s="730"/>
      <c r="D2" s="730"/>
      <c r="E2" s="731"/>
      <c r="F2" s="731"/>
      <c r="G2" s="731"/>
      <c r="H2" s="731"/>
      <c r="I2" s="731"/>
      <c r="J2" s="731"/>
      <c r="K2" s="731"/>
      <c r="L2" s="731"/>
      <c r="M2" s="731"/>
    </row>
    <row r="3" spans="1:15" ht="19.95" customHeight="1">
      <c r="A3" s="346" t="str">
        <f>底稿目录!A2</f>
        <v>被审计单位：</v>
      </c>
      <c r="B3" s="346"/>
      <c r="D3" s="346" t="str">
        <f>底稿目录!A4</f>
        <v>编制人：</v>
      </c>
      <c r="E3" s="346"/>
      <c r="H3" s="346" t="str">
        <f>底稿目录!A5</f>
        <v>编制日期：</v>
      </c>
      <c r="I3" s="346"/>
      <c r="J3" s="379"/>
      <c r="K3" s="379"/>
      <c r="L3" s="355" t="s">
        <v>538</v>
      </c>
      <c r="M3" s="534" t="str">
        <f>底稿目录!F25</f>
        <v>K1-11</v>
      </c>
    </row>
    <row r="4" spans="1:15" ht="19.95" customHeight="1">
      <c r="A4" s="346" t="str">
        <f>底稿目录!A3</f>
        <v>截止日：202X年12月31日</v>
      </c>
      <c r="B4" s="346"/>
      <c r="D4" s="346" t="str">
        <f>底稿目录!A6</f>
        <v>复核人：</v>
      </c>
      <c r="E4" s="10"/>
      <c r="H4" s="346" t="str">
        <f>底稿目录!A7</f>
        <v>复核日期：</v>
      </c>
      <c r="I4" s="346"/>
      <c r="J4" s="379"/>
      <c r="K4" s="379"/>
      <c r="L4" s="355" t="s">
        <v>539</v>
      </c>
      <c r="M4" s="348"/>
    </row>
    <row r="5" spans="1:15" ht="19.95" customHeight="1">
      <c r="A5" s="380" t="s">
        <v>554</v>
      </c>
      <c r="B5" s="380"/>
      <c r="C5" s="380"/>
      <c r="D5" s="380"/>
      <c r="E5" s="10"/>
      <c r="F5" s="346"/>
      <c r="H5" s="346"/>
      <c r="I5" s="346"/>
      <c r="J5" s="379"/>
      <c r="K5" s="379"/>
      <c r="L5" s="346"/>
      <c r="M5" s="348"/>
    </row>
    <row r="6" spans="1:15" s="582" customFormat="1" ht="34.200000000000003" customHeight="1">
      <c r="A6" s="560" t="s">
        <v>540</v>
      </c>
      <c r="B6" s="560" t="s">
        <v>544</v>
      </c>
      <c r="C6" s="579" t="s">
        <v>566</v>
      </c>
      <c r="D6" s="560" t="s">
        <v>828</v>
      </c>
      <c r="E6" s="560" t="s">
        <v>829</v>
      </c>
      <c r="F6" s="579" t="s">
        <v>567</v>
      </c>
      <c r="G6" s="579" t="s">
        <v>541</v>
      </c>
      <c r="H6" s="579" t="s">
        <v>542</v>
      </c>
      <c r="I6" s="579" t="s">
        <v>543</v>
      </c>
      <c r="J6" s="560" t="s">
        <v>573</v>
      </c>
      <c r="K6" s="564" t="s">
        <v>713</v>
      </c>
      <c r="L6" s="579" t="s">
        <v>545</v>
      </c>
      <c r="M6" s="579" t="s">
        <v>546</v>
      </c>
      <c r="N6" s="580"/>
      <c r="O6" s="581"/>
    </row>
    <row r="7" spans="1:15" ht="19.95" customHeight="1">
      <c r="A7" s="372" t="s">
        <v>547</v>
      </c>
      <c r="B7" s="544"/>
      <c r="C7" s="383"/>
      <c r="D7" s="383"/>
      <c r="E7" s="383"/>
      <c r="F7" s="384">
        <f>C7+D7-E7</f>
        <v>0</v>
      </c>
      <c r="G7" s="383"/>
      <c r="H7" s="384">
        <f>F7-G7</f>
        <v>0</v>
      </c>
      <c r="I7" s="372"/>
      <c r="J7" s="372"/>
      <c r="K7" s="436"/>
      <c r="L7" s="429"/>
      <c r="M7" s="430"/>
      <c r="N7" s="382"/>
    </row>
    <row r="8" spans="1:15" ht="19.95" customHeight="1">
      <c r="A8" s="372" t="s">
        <v>548</v>
      </c>
      <c r="B8" s="544"/>
      <c r="C8" s="383"/>
      <c r="D8" s="383"/>
      <c r="E8" s="383"/>
      <c r="F8" s="384">
        <f t="shared" ref="F8:F9" si="0">C8+D8-E8</f>
        <v>0</v>
      </c>
      <c r="G8" s="383"/>
      <c r="H8" s="384">
        <f t="shared" ref="H8" si="1">F8-G8</f>
        <v>0</v>
      </c>
      <c r="I8" s="430"/>
      <c r="J8" s="430"/>
      <c r="K8" s="436"/>
      <c r="L8" s="429"/>
      <c r="M8" s="430"/>
      <c r="N8" s="382"/>
    </row>
    <row r="9" spans="1:15" ht="19.95" customHeight="1">
      <c r="A9" s="372" t="s">
        <v>550</v>
      </c>
      <c r="B9" s="544"/>
      <c r="C9" s="383"/>
      <c r="D9" s="383"/>
      <c r="E9" s="383"/>
      <c r="F9" s="384">
        <f t="shared" si="0"/>
        <v>0</v>
      </c>
      <c r="G9" s="383"/>
      <c r="H9" s="384">
        <f>F9-G9</f>
        <v>0</v>
      </c>
      <c r="I9" s="430"/>
      <c r="J9" s="430"/>
      <c r="K9" s="436"/>
      <c r="L9" s="429"/>
      <c r="M9" s="430"/>
      <c r="N9" s="382"/>
    </row>
    <row r="10" spans="1:15" s="584" customFormat="1" ht="19.95" customHeight="1">
      <c r="A10" s="579" t="s">
        <v>552</v>
      </c>
      <c r="B10" s="154"/>
      <c r="C10" s="583">
        <f t="shared" ref="C10:E10" si="2">SUM(C7:C9)</f>
        <v>0</v>
      </c>
      <c r="D10" s="583">
        <f t="shared" si="2"/>
        <v>0</v>
      </c>
      <c r="E10" s="583">
        <f t="shared" si="2"/>
        <v>0</v>
      </c>
      <c r="F10" s="583">
        <f>SUM(F7:F9)</f>
        <v>0</v>
      </c>
      <c r="G10" s="583">
        <f>SUM(G7:G9)</f>
        <v>0</v>
      </c>
      <c r="H10" s="583">
        <f>SUM(H7:H9)</f>
        <v>0</v>
      </c>
      <c r="I10" s="154"/>
      <c r="J10" s="154"/>
      <c r="K10" s="154"/>
      <c r="L10" s="579"/>
      <c r="M10" s="579"/>
    </row>
    <row r="11" spans="1:15" s="348" customFormat="1" ht="19.95" customHeight="1">
      <c r="A11" s="539" t="s">
        <v>830</v>
      </c>
      <c r="B11" s="351"/>
      <c r="C11" s="351"/>
      <c r="D11" s="351"/>
      <c r="E11" s="352"/>
      <c r="F11" s="352"/>
      <c r="G11" s="352"/>
      <c r="H11" s="352"/>
      <c r="I11" s="352"/>
      <c r="J11" s="352"/>
      <c r="K11" s="352"/>
      <c r="L11" s="352"/>
      <c r="M11" s="352"/>
      <c r="N11" s="382"/>
    </row>
    <row r="12" spans="1:15" s="348" customFormat="1" ht="19.95" customHeight="1">
      <c r="A12" s="488" t="s">
        <v>727</v>
      </c>
      <c r="B12" s="380"/>
      <c r="C12" s="351"/>
      <c r="D12" s="351"/>
      <c r="E12" s="352"/>
      <c r="F12" s="352"/>
      <c r="G12" s="352"/>
      <c r="H12" s="352"/>
      <c r="I12" s="352"/>
      <c r="J12" s="352"/>
      <c r="K12" s="352"/>
      <c r="L12" s="352"/>
      <c r="M12" s="352"/>
      <c r="N12" s="347"/>
    </row>
    <row r="13" spans="1:15" ht="19.95" customHeight="1">
      <c r="N13" s="382"/>
    </row>
    <row r="14" spans="1:15" ht="19.95" customHeight="1">
      <c r="A14" s="540" t="s">
        <v>831</v>
      </c>
      <c r="B14" s="381"/>
      <c r="C14" s="381"/>
      <c r="D14" s="381"/>
      <c r="N14" s="382"/>
    </row>
    <row r="15" spans="1:15" ht="19.95" customHeight="1"/>
    <row r="16" spans="1:15" ht="18" customHeight="1">
      <c r="B16" s="543" t="s">
        <v>839</v>
      </c>
      <c r="H16" s="348"/>
      <c r="I16" s="348"/>
      <c r="J16" s="348"/>
      <c r="K16" s="348"/>
      <c r="L16" s="348"/>
      <c r="M16" s="348"/>
    </row>
    <row r="17" spans="2:13" ht="18" customHeight="1">
      <c r="B17" s="536" t="s">
        <v>823</v>
      </c>
      <c r="H17" s="348"/>
      <c r="I17" s="348"/>
      <c r="J17" s="347"/>
      <c r="K17" s="347"/>
      <c r="L17" s="348"/>
      <c r="M17" s="348"/>
    </row>
    <row r="18" spans="2:13" ht="18" customHeight="1">
      <c r="B18" s="536" t="s">
        <v>549</v>
      </c>
      <c r="H18" s="348"/>
      <c r="I18" s="348"/>
      <c r="J18" s="348"/>
      <c r="K18" s="348"/>
      <c r="L18" s="348"/>
      <c r="M18" s="348"/>
    </row>
    <row r="19" spans="2:13" ht="18" customHeight="1">
      <c r="B19" s="536" t="s">
        <v>551</v>
      </c>
      <c r="H19" s="348"/>
      <c r="I19" s="348"/>
      <c r="J19" s="348"/>
      <c r="K19" s="348"/>
      <c r="L19" s="348"/>
      <c r="M19" s="348"/>
    </row>
    <row r="20" spans="2:13" ht="18" customHeight="1">
      <c r="B20" s="537" t="s">
        <v>824</v>
      </c>
      <c r="H20" s="348"/>
      <c r="I20" s="348"/>
      <c r="J20" s="348"/>
      <c r="K20" s="348"/>
      <c r="L20" s="348"/>
      <c r="M20" s="348"/>
    </row>
    <row r="21" spans="2:13" ht="18" customHeight="1">
      <c r="B21" s="536" t="s">
        <v>825</v>
      </c>
      <c r="H21" s="348"/>
      <c r="I21" s="348"/>
      <c r="J21" s="348"/>
      <c r="K21" s="348"/>
      <c r="L21" s="348"/>
      <c r="M21" s="348"/>
    </row>
    <row r="22" spans="2:13" ht="18" customHeight="1">
      <c r="B22" s="538" t="s">
        <v>553</v>
      </c>
      <c r="H22" s="348"/>
      <c r="I22" s="348"/>
      <c r="J22" s="348"/>
      <c r="K22" s="348"/>
      <c r="L22" s="348"/>
      <c r="M22" s="348"/>
    </row>
    <row r="23" spans="2:13" ht="24">
      <c r="B23" s="536" t="s">
        <v>826</v>
      </c>
    </row>
    <row r="24" spans="2:13">
      <c r="B24" s="536" t="s">
        <v>827</v>
      </c>
    </row>
  </sheetData>
  <mergeCells count="2">
    <mergeCell ref="A1:M1"/>
    <mergeCell ref="A2:M2"/>
  </mergeCells>
  <phoneticPr fontId="16" type="noConversion"/>
  <dataValidations count="1">
    <dataValidation type="list" allowBlank="1" showInputMessage="1" showErrorMessage="1" sqref="B7:B9">
      <formula1>$B$17:$B$24</formula1>
    </dataValidation>
  </dataValidations>
  <hyperlinks>
    <hyperlink ref="M3" location="底稿目录!A1" display="底稿目录!A1"/>
  </hyperlinks>
  <printOptions horizontalCentered="1"/>
  <pageMargins left="0.55118110236220474" right="0.39370078740157483" top="0.51181102362204722" bottom="0.43307086614173229" header="0.31496062992125984" footer="0.31496062992125984"/>
  <pageSetup paperSize="9" scale="70" fitToHeight="10" orientation="landscape" blackAndWhite="1" cellComments="atEnd"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R74"/>
  <sheetViews>
    <sheetView view="pageBreakPreview" zoomScale="98" zoomScaleNormal="100" zoomScaleSheetLayoutView="98" workbookViewId="0">
      <selection activeCell="Q3" sqref="Q3"/>
    </sheetView>
  </sheetViews>
  <sheetFormatPr defaultRowHeight="15.6"/>
  <cols>
    <col min="1" max="1" width="13.3984375" style="104" customWidth="1"/>
    <col min="2" max="2" width="9.296875" style="104" customWidth="1"/>
    <col min="3" max="3" width="10.296875" style="104" bestFit="1" customWidth="1"/>
    <col min="4" max="4" width="11.796875" style="104" customWidth="1"/>
    <col min="5" max="5" width="12.296875" style="104" customWidth="1"/>
    <col min="6" max="6" width="13" style="104" customWidth="1"/>
    <col min="7" max="7" width="9.8984375" style="104" customWidth="1"/>
    <col min="8" max="8" width="10.3984375" style="104" customWidth="1"/>
    <col min="9" max="9" width="18.19921875" style="104" customWidth="1"/>
    <col min="10" max="14" width="4.296875" style="104" customWidth="1"/>
    <col min="15" max="16" width="8.796875" style="104"/>
    <col min="17" max="17" width="12.3984375" style="104" customWidth="1"/>
    <col min="18" max="16384" width="8.796875" style="104"/>
  </cols>
  <sheetData>
    <row r="1" spans="1:18" ht="19.95" customHeight="1">
      <c r="A1" s="739" t="s">
        <v>699</v>
      </c>
      <c r="B1" s="739"/>
      <c r="C1" s="739"/>
      <c r="D1" s="739"/>
      <c r="E1" s="739"/>
      <c r="F1" s="739"/>
      <c r="G1" s="739"/>
      <c r="H1" s="739"/>
      <c r="I1" s="739"/>
      <c r="J1" s="739"/>
      <c r="K1" s="739"/>
      <c r="L1" s="739"/>
      <c r="M1" s="739"/>
      <c r="N1" s="739"/>
      <c r="O1" s="739"/>
      <c r="P1" s="739"/>
      <c r="Q1" s="739"/>
    </row>
    <row r="2" spans="1:18" ht="19.95" customHeight="1">
      <c r="A2" s="664" t="s">
        <v>787</v>
      </c>
      <c r="B2" s="664"/>
      <c r="C2" s="664"/>
      <c r="D2" s="664"/>
      <c r="E2" s="664"/>
      <c r="F2" s="664"/>
      <c r="G2" s="664"/>
      <c r="H2" s="664"/>
      <c r="I2" s="664"/>
      <c r="J2" s="664"/>
      <c r="K2" s="664"/>
      <c r="L2" s="664"/>
      <c r="M2" s="664"/>
      <c r="N2" s="664"/>
      <c r="O2" s="664"/>
      <c r="P2" s="664"/>
      <c r="Q2" s="664"/>
      <c r="R2" s="345"/>
    </row>
    <row r="3" spans="1:18" ht="19.95" customHeight="1">
      <c r="A3" s="348" t="str">
        <f>底稿目录!A2</f>
        <v>被审计单位：</v>
      </c>
      <c r="C3" s="348"/>
      <c r="D3" s="348"/>
      <c r="F3" s="348"/>
      <c r="G3" s="348" t="str">
        <f>底稿目录!A4</f>
        <v>编制人：</v>
      </c>
      <c r="J3" s="348"/>
      <c r="K3" s="348"/>
      <c r="L3" s="348" t="str">
        <f>底稿目录!A5</f>
        <v>编制日期：</v>
      </c>
      <c r="N3" s="14"/>
      <c r="P3" s="347" t="s">
        <v>520</v>
      </c>
      <c r="Q3" s="534" t="str">
        <f>底稿目录!F26</f>
        <v>K1-12</v>
      </c>
    </row>
    <row r="4" spans="1:18" ht="19.95" customHeight="1">
      <c r="A4" s="348" t="str">
        <f>底稿目录!A3</f>
        <v>截止日：202X年12月31日</v>
      </c>
      <c r="C4" s="348"/>
      <c r="D4" s="348"/>
      <c r="F4" s="348"/>
      <c r="G4" s="348" t="str">
        <f>底稿目录!A6</f>
        <v>复核人：</v>
      </c>
      <c r="J4" s="348"/>
      <c r="K4" s="348"/>
      <c r="L4" s="348" t="str">
        <f>底稿目录!A7</f>
        <v>复核日期：</v>
      </c>
      <c r="N4" s="14"/>
      <c r="P4" s="348" t="s">
        <v>25</v>
      </c>
    </row>
    <row r="5" spans="1:18" ht="19.95" customHeight="1">
      <c r="A5" s="99" t="s">
        <v>521</v>
      </c>
      <c r="C5" s="389"/>
      <c r="D5" s="389"/>
      <c r="E5" s="389"/>
      <c r="F5" s="389"/>
      <c r="G5" s="389"/>
      <c r="H5" s="389"/>
      <c r="I5" s="389"/>
      <c r="J5" s="389"/>
      <c r="K5" s="389"/>
      <c r="L5" s="389"/>
      <c r="M5" s="389"/>
      <c r="N5" s="389"/>
      <c r="O5" s="389"/>
      <c r="P5" s="389"/>
      <c r="Q5" s="389"/>
    </row>
    <row r="6" spans="1:18" ht="19.95" customHeight="1">
      <c r="A6" s="370" t="s">
        <v>560</v>
      </c>
      <c r="C6" s="369"/>
      <c r="D6" s="369"/>
      <c r="E6" s="369"/>
      <c r="F6" s="369"/>
      <c r="G6" s="370" t="s">
        <v>561</v>
      </c>
      <c r="I6" s="369"/>
      <c r="L6" s="369"/>
      <c r="M6" s="369"/>
      <c r="N6" s="369"/>
      <c r="O6" s="369"/>
      <c r="P6" s="369"/>
      <c r="Q6" s="369"/>
    </row>
    <row r="7" spans="1:18" ht="19.95" customHeight="1">
      <c r="A7" s="370" t="s">
        <v>522</v>
      </c>
      <c r="C7" s="369"/>
      <c r="D7" s="369"/>
      <c r="E7" s="369"/>
      <c r="F7" s="369"/>
      <c r="G7" s="370"/>
      <c r="I7" s="369"/>
      <c r="J7" s="370"/>
      <c r="L7" s="369"/>
      <c r="M7" s="369"/>
      <c r="N7" s="369"/>
      <c r="O7" s="369"/>
      <c r="P7" s="369"/>
      <c r="Q7" s="369"/>
    </row>
    <row r="8" spans="1:18" ht="19.95" customHeight="1">
      <c r="A8" s="365" t="s">
        <v>512</v>
      </c>
    </row>
    <row r="9" spans="1:18" ht="19.95" customHeight="1">
      <c r="A9" s="370" t="s">
        <v>650</v>
      </c>
      <c r="B9" s="376" t="s">
        <v>646</v>
      </c>
      <c r="D9" s="81"/>
      <c r="E9" s="81"/>
      <c r="F9" s="81"/>
      <c r="G9" s="370" t="s">
        <v>645</v>
      </c>
      <c r="H9" s="376" t="s">
        <v>651</v>
      </c>
      <c r="I9" s="81"/>
      <c r="K9"/>
      <c r="N9"/>
      <c r="O9"/>
      <c r="P9"/>
      <c r="Q9"/>
      <c r="R9"/>
    </row>
    <row r="10" spans="1:18" ht="19.95" customHeight="1">
      <c r="A10" s="370" t="s">
        <v>652</v>
      </c>
      <c r="B10" s="376" t="s">
        <v>647</v>
      </c>
      <c r="D10" s="81"/>
      <c r="E10" s="81"/>
      <c r="F10" s="81"/>
      <c r="G10" s="370" t="s">
        <v>653</v>
      </c>
      <c r="H10" s="376" t="s">
        <v>864</v>
      </c>
      <c r="I10" s="376"/>
      <c r="N10"/>
      <c r="O10" s="350"/>
      <c r="P10" s="350"/>
      <c r="Q10"/>
      <c r="R10"/>
    </row>
    <row r="11" spans="1:18" ht="19.95" customHeight="1">
      <c r="A11" s="370" t="s">
        <v>648</v>
      </c>
      <c r="B11" s="350" t="s">
        <v>863</v>
      </c>
      <c r="D11" s="81"/>
      <c r="E11" s="81"/>
      <c r="F11" s="81"/>
      <c r="G11" s="370" t="s">
        <v>649</v>
      </c>
      <c r="H11" s="376" t="s">
        <v>654</v>
      </c>
      <c r="I11" s="81"/>
      <c r="K11"/>
      <c r="N11"/>
      <c r="O11" s="349"/>
      <c r="P11" s="350"/>
      <c r="Q11"/>
      <c r="R11"/>
    </row>
    <row r="12" spans="1:18" ht="19.95" customHeight="1">
      <c r="A12" s="366" t="s">
        <v>513</v>
      </c>
    </row>
    <row r="13" spans="1:18" ht="19.95" customHeight="1">
      <c r="A13" s="506" t="s">
        <v>733</v>
      </c>
    </row>
    <row r="14" spans="1:18" ht="19.95" customHeight="1">
      <c r="A14" s="371" t="s">
        <v>764</v>
      </c>
    </row>
    <row r="15" spans="1:18" s="367" customFormat="1" ht="19.95" customHeight="1">
      <c r="A15" s="740" t="s">
        <v>495</v>
      </c>
      <c r="B15" s="741"/>
      <c r="C15" s="741"/>
      <c r="D15" s="741"/>
      <c r="E15" s="741"/>
      <c r="F15" s="741"/>
      <c r="G15" s="741"/>
      <c r="H15" s="742"/>
      <c r="I15" s="743" t="s">
        <v>769</v>
      </c>
      <c r="J15" s="734" t="s">
        <v>770</v>
      </c>
      <c r="K15" s="735"/>
      <c r="L15" s="735"/>
      <c r="M15" s="735"/>
      <c r="N15" s="735"/>
      <c r="O15" s="736" t="s">
        <v>771</v>
      </c>
      <c r="P15" s="737" t="s">
        <v>772</v>
      </c>
      <c r="Q15" s="732" t="s">
        <v>773</v>
      </c>
    </row>
    <row r="16" spans="1:18" s="368" customFormat="1" ht="19.95" customHeight="1">
      <c r="A16" s="493" t="s">
        <v>768</v>
      </c>
      <c r="B16" s="585" t="s">
        <v>496</v>
      </c>
      <c r="C16" s="585" t="s">
        <v>36</v>
      </c>
      <c r="D16" s="585" t="s">
        <v>514</v>
      </c>
      <c r="E16" s="585" t="s">
        <v>515</v>
      </c>
      <c r="F16" s="585" t="s">
        <v>607</v>
      </c>
      <c r="G16" s="560" t="s">
        <v>516</v>
      </c>
      <c r="H16" s="560" t="s">
        <v>766</v>
      </c>
      <c r="I16" s="744"/>
      <c r="J16" s="586">
        <v>1</v>
      </c>
      <c r="K16" s="586">
        <v>2</v>
      </c>
      <c r="L16" s="586">
        <v>3</v>
      </c>
      <c r="M16" s="586">
        <v>4</v>
      </c>
      <c r="N16" s="586">
        <v>5</v>
      </c>
      <c r="O16" s="736"/>
      <c r="P16" s="738"/>
      <c r="Q16" s="733"/>
      <c r="R16" s="373"/>
    </row>
    <row r="17" spans="1:17" s="367" customFormat="1" ht="19.95" customHeight="1">
      <c r="A17" s="138"/>
      <c r="B17" s="437"/>
      <c r="C17" s="153"/>
      <c r="D17" s="138"/>
      <c r="E17" s="138"/>
      <c r="F17" s="138"/>
      <c r="G17" s="353"/>
      <c r="H17" s="353"/>
      <c r="I17" s="153"/>
      <c r="J17" s="528"/>
      <c r="K17" s="528"/>
      <c r="L17" s="528"/>
      <c r="M17" s="528"/>
      <c r="N17" s="528"/>
      <c r="O17" s="153"/>
      <c r="P17" s="438"/>
      <c r="Q17" s="438"/>
    </row>
    <row r="18" spans="1:17" s="367" customFormat="1" ht="19.95" customHeight="1">
      <c r="A18" s="138"/>
      <c r="B18" s="437"/>
      <c r="C18" s="153"/>
      <c r="D18" s="138"/>
      <c r="E18" s="138"/>
      <c r="F18" s="138"/>
      <c r="G18" s="353"/>
      <c r="H18" s="353"/>
      <c r="I18" s="153"/>
      <c r="J18" s="528"/>
      <c r="K18" s="528"/>
      <c r="L18" s="528"/>
      <c r="M18" s="528"/>
      <c r="N18" s="528"/>
      <c r="O18" s="153"/>
      <c r="P18" s="438"/>
      <c r="Q18" s="438"/>
    </row>
    <row r="19" spans="1:17" s="367" customFormat="1" ht="19.95" customHeight="1">
      <c r="A19" s="138"/>
      <c r="B19" s="437"/>
      <c r="C19" s="153"/>
      <c r="D19" s="138"/>
      <c r="E19" s="138"/>
      <c r="F19" s="138"/>
      <c r="G19" s="353"/>
      <c r="H19" s="353"/>
      <c r="I19" s="153"/>
      <c r="J19" s="528"/>
      <c r="K19" s="528"/>
      <c r="L19" s="528"/>
      <c r="M19" s="528"/>
      <c r="N19" s="528"/>
      <c r="O19" s="153"/>
      <c r="P19" s="438"/>
      <c r="Q19" s="438"/>
    </row>
    <row r="20" spans="1:17" s="367" customFormat="1" ht="19.95" customHeight="1">
      <c r="A20" s="138"/>
      <c r="B20" s="437"/>
      <c r="C20" s="153"/>
      <c r="D20" s="138"/>
      <c r="E20" s="138"/>
      <c r="F20" s="138"/>
      <c r="G20" s="353"/>
      <c r="H20" s="353"/>
      <c r="I20" s="153"/>
      <c r="J20" s="528"/>
      <c r="K20" s="528"/>
      <c r="L20" s="528"/>
      <c r="M20" s="528"/>
      <c r="N20" s="528"/>
      <c r="O20" s="153"/>
      <c r="P20" s="438"/>
      <c r="Q20" s="438"/>
    </row>
    <row r="21" spans="1:17" s="367" customFormat="1" ht="19.95" customHeight="1">
      <c r="A21" s="138"/>
      <c r="B21" s="437"/>
      <c r="C21" s="153"/>
      <c r="D21" s="138"/>
      <c r="E21" s="138"/>
      <c r="F21" s="138"/>
      <c r="G21" s="353"/>
      <c r="H21" s="353"/>
      <c r="I21" s="153"/>
      <c r="J21" s="528"/>
      <c r="K21" s="528"/>
      <c r="L21" s="528"/>
      <c r="M21" s="528"/>
      <c r="N21" s="528"/>
      <c r="O21" s="153"/>
      <c r="P21" s="438"/>
      <c r="Q21" s="438"/>
    </row>
    <row r="22" spans="1:17" s="367" customFormat="1" ht="19.95" customHeight="1">
      <c r="A22" s="138"/>
      <c r="B22" s="437"/>
      <c r="C22" s="153"/>
      <c r="D22" s="138"/>
      <c r="E22" s="138"/>
      <c r="F22" s="138"/>
      <c r="G22" s="353"/>
      <c r="H22" s="353"/>
      <c r="I22" s="153"/>
      <c r="J22" s="528"/>
      <c r="K22" s="528"/>
      <c r="L22" s="528"/>
      <c r="M22" s="528"/>
      <c r="N22" s="528"/>
      <c r="O22" s="153"/>
      <c r="P22" s="438"/>
      <c r="Q22" s="438"/>
    </row>
    <row r="23" spans="1:17" s="367" customFormat="1" ht="19.95" customHeight="1">
      <c r="A23" s="138"/>
      <c r="B23" s="437"/>
      <c r="C23" s="153"/>
      <c r="D23" s="138"/>
      <c r="E23" s="138"/>
      <c r="F23" s="138"/>
      <c r="G23" s="353"/>
      <c r="H23" s="353"/>
      <c r="I23" s="153"/>
      <c r="J23" s="528"/>
      <c r="K23" s="528"/>
      <c r="L23" s="528"/>
      <c r="M23" s="528"/>
      <c r="N23" s="528"/>
      <c r="O23" s="153"/>
      <c r="P23" s="438"/>
      <c r="Q23" s="438"/>
    </row>
    <row r="24" spans="1:17" s="367" customFormat="1" ht="19.95" customHeight="1">
      <c r="A24" s="138"/>
      <c r="B24" s="437"/>
      <c r="C24" s="153"/>
      <c r="D24" s="138"/>
      <c r="E24" s="138"/>
      <c r="F24" s="138"/>
      <c r="G24" s="353"/>
      <c r="H24" s="353"/>
      <c r="I24" s="153"/>
      <c r="J24" s="528"/>
      <c r="K24" s="528"/>
      <c r="L24" s="528"/>
      <c r="M24" s="528"/>
      <c r="N24" s="528"/>
      <c r="O24" s="153"/>
      <c r="P24" s="438"/>
      <c r="Q24" s="438"/>
    </row>
    <row r="25" spans="1:17" s="367" customFormat="1" ht="19.95" customHeight="1">
      <c r="A25" s="138"/>
      <c r="B25" s="437"/>
      <c r="C25" s="153"/>
      <c r="D25" s="138"/>
      <c r="E25" s="138"/>
      <c r="F25" s="138"/>
      <c r="G25" s="353"/>
      <c r="H25" s="353"/>
      <c r="I25" s="153"/>
      <c r="J25" s="528"/>
      <c r="K25" s="528"/>
      <c r="L25" s="528"/>
      <c r="M25" s="528"/>
      <c r="N25" s="528"/>
      <c r="O25" s="153"/>
      <c r="P25" s="438"/>
      <c r="Q25" s="438"/>
    </row>
    <row r="26" spans="1:17" s="367" customFormat="1" ht="19.95" customHeight="1">
      <c r="A26" s="138"/>
      <c r="B26" s="437"/>
      <c r="C26" s="153"/>
      <c r="D26" s="138"/>
      <c r="E26" s="138"/>
      <c r="F26" s="138"/>
      <c r="G26" s="353"/>
      <c r="H26" s="353"/>
      <c r="I26" s="153"/>
      <c r="J26" s="528"/>
      <c r="K26" s="528"/>
      <c r="L26" s="528"/>
      <c r="M26" s="528"/>
      <c r="N26" s="528"/>
      <c r="O26" s="153"/>
      <c r="P26" s="438"/>
      <c r="Q26" s="438"/>
    </row>
    <row r="27" spans="1:17" s="367" customFormat="1" ht="19.95" customHeight="1">
      <c r="A27" s="138"/>
      <c r="B27" s="437"/>
      <c r="C27" s="153"/>
      <c r="D27" s="138"/>
      <c r="E27" s="138"/>
      <c r="F27" s="138"/>
      <c r="G27" s="353"/>
      <c r="H27" s="353"/>
      <c r="I27" s="153"/>
      <c r="J27" s="528"/>
      <c r="K27" s="528"/>
      <c r="L27" s="528"/>
      <c r="M27" s="528"/>
      <c r="N27" s="528"/>
      <c r="O27" s="153"/>
      <c r="P27" s="438"/>
      <c r="Q27" s="438"/>
    </row>
    <row r="28" spans="1:17" s="367" customFormat="1" ht="19.95" customHeight="1">
      <c r="A28" s="138"/>
      <c r="B28" s="437"/>
      <c r="C28" s="153"/>
      <c r="D28" s="138"/>
      <c r="E28" s="138"/>
      <c r="F28" s="138"/>
      <c r="G28" s="353"/>
      <c r="H28" s="353"/>
      <c r="I28" s="153"/>
      <c r="J28" s="528"/>
      <c r="K28" s="528"/>
      <c r="L28" s="528"/>
      <c r="M28" s="528"/>
      <c r="N28" s="528"/>
      <c r="O28" s="153"/>
      <c r="P28" s="438"/>
      <c r="Q28" s="438"/>
    </row>
    <row r="29" spans="1:17" s="367" customFormat="1" ht="19.95" customHeight="1">
      <c r="A29" s="138"/>
      <c r="B29" s="437"/>
      <c r="C29" s="153"/>
      <c r="D29" s="138"/>
      <c r="E29" s="138"/>
      <c r="F29" s="138"/>
      <c r="G29" s="353"/>
      <c r="H29" s="353"/>
      <c r="I29" s="153"/>
      <c r="J29" s="528"/>
      <c r="K29" s="528"/>
      <c r="L29" s="528"/>
      <c r="M29" s="528"/>
      <c r="N29" s="528"/>
      <c r="O29" s="153"/>
      <c r="P29" s="438"/>
      <c r="Q29" s="438"/>
    </row>
    <row r="30" spans="1:17" s="367" customFormat="1" ht="19.95" customHeight="1">
      <c r="A30" s="138"/>
      <c r="B30" s="437"/>
      <c r="C30" s="153"/>
      <c r="D30" s="138"/>
      <c r="E30" s="138"/>
      <c r="F30" s="138"/>
      <c r="G30" s="353"/>
      <c r="H30" s="353"/>
      <c r="I30" s="153"/>
      <c r="J30" s="528"/>
      <c r="K30" s="528"/>
      <c r="L30" s="528"/>
      <c r="M30" s="528"/>
      <c r="N30" s="528"/>
      <c r="O30" s="153"/>
      <c r="P30" s="438"/>
      <c r="Q30" s="438"/>
    </row>
    <row r="31" spans="1:17" s="367" customFormat="1" ht="19.95" customHeight="1">
      <c r="A31" s="138"/>
      <c r="B31" s="437"/>
      <c r="C31" s="153"/>
      <c r="D31" s="138"/>
      <c r="E31" s="138"/>
      <c r="F31" s="138"/>
      <c r="G31" s="353"/>
      <c r="H31" s="353"/>
      <c r="I31" s="153"/>
      <c r="J31" s="528"/>
      <c r="K31" s="528"/>
      <c r="L31" s="528"/>
      <c r="M31" s="528"/>
      <c r="N31" s="528"/>
      <c r="O31" s="153"/>
      <c r="P31" s="438"/>
      <c r="Q31" s="438"/>
    </row>
    <row r="32" spans="1:17" s="367" customFormat="1" ht="19.95" customHeight="1">
      <c r="A32" s="138"/>
      <c r="B32" s="437"/>
      <c r="C32" s="153"/>
      <c r="D32" s="138"/>
      <c r="E32" s="138"/>
      <c r="F32" s="138"/>
      <c r="G32" s="353"/>
      <c r="H32" s="353"/>
      <c r="I32" s="153"/>
      <c r="J32" s="528"/>
      <c r="K32" s="528"/>
      <c r="L32" s="528"/>
      <c r="M32" s="528"/>
      <c r="N32" s="528"/>
      <c r="O32" s="153"/>
      <c r="P32" s="438"/>
      <c r="Q32" s="438"/>
    </row>
    <row r="33" spans="1:17" s="367" customFormat="1" ht="19.95" customHeight="1">
      <c r="A33" s="138"/>
      <c r="B33" s="437"/>
      <c r="C33" s="153"/>
      <c r="D33" s="138"/>
      <c r="E33" s="138"/>
      <c r="F33" s="138"/>
      <c r="G33" s="353"/>
      <c r="H33" s="353"/>
      <c r="I33" s="153"/>
      <c r="J33" s="528"/>
      <c r="K33" s="528"/>
      <c r="L33" s="528"/>
      <c r="M33" s="528"/>
      <c r="N33" s="528"/>
      <c r="O33" s="153"/>
      <c r="P33" s="438"/>
      <c r="Q33" s="438"/>
    </row>
    <row r="34" spans="1:17" s="367" customFormat="1" ht="19.95" customHeight="1">
      <c r="A34" s="138"/>
      <c r="B34" s="437"/>
      <c r="C34" s="153"/>
      <c r="D34" s="138"/>
      <c r="E34" s="138"/>
      <c r="F34" s="138"/>
      <c r="G34" s="353"/>
      <c r="H34" s="353"/>
      <c r="I34" s="153"/>
      <c r="J34" s="528"/>
      <c r="K34" s="528"/>
      <c r="L34" s="528"/>
      <c r="M34" s="528"/>
      <c r="N34" s="528"/>
      <c r="O34" s="153"/>
      <c r="P34" s="438"/>
      <c r="Q34" s="438"/>
    </row>
    <row r="35" spans="1:17" s="367" customFormat="1" ht="19.95" customHeight="1">
      <c r="A35" s="138"/>
      <c r="B35" s="437"/>
      <c r="C35" s="153"/>
      <c r="D35" s="138"/>
      <c r="E35" s="138"/>
      <c r="F35" s="138"/>
      <c r="G35" s="353"/>
      <c r="H35" s="353"/>
      <c r="I35" s="153"/>
      <c r="J35" s="528"/>
      <c r="K35" s="528"/>
      <c r="L35" s="528"/>
      <c r="M35" s="528"/>
      <c r="N35" s="528"/>
      <c r="O35" s="153"/>
      <c r="P35" s="438"/>
      <c r="Q35" s="438"/>
    </row>
    <row r="36" spans="1:17" s="367" customFormat="1" ht="19.95" customHeight="1">
      <c r="A36" s="138"/>
      <c r="B36" s="437"/>
      <c r="C36" s="153"/>
      <c r="D36" s="138"/>
      <c r="E36" s="138"/>
      <c r="F36" s="138"/>
      <c r="G36" s="353"/>
      <c r="H36" s="353"/>
      <c r="I36" s="153"/>
      <c r="J36" s="528"/>
      <c r="K36" s="528"/>
      <c r="L36" s="528"/>
      <c r="M36" s="528"/>
      <c r="N36" s="528"/>
      <c r="O36" s="153"/>
      <c r="P36" s="438"/>
      <c r="Q36" s="438"/>
    </row>
    <row r="37" spans="1:17" s="367" customFormat="1" ht="19.95" customHeight="1">
      <c r="A37" s="431" t="s">
        <v>517</v>
      </c>
      <c r="B37" s="439"/>
      <c r="C37" s="439"/>
      <c r="D37" s="439"/>
      <c r="E37" s="439"/>
      <c r="F37" s="439"/>
      <c r="G37" s="440">
        <f>SUM(G17:G36)</f>
        <v>0</v>
      </c>
      <c r="H37" s="440">
        <f>SUM(H17:H36)</f>
        <v>0</v>
      </c>
      <c r="I37" s="441"/>
      <c r="J37" s="441"/>
      <c r="K37" s="441"/>
      <c r="L37" s="440"/>
      <c r="M37" s="441"/>
      <c r="N37" s="441"/>
      <c r="O37" s="440"/>
      <c r="P37" s="441"/>
      <c r="Q37" s="441"/>
    </row>
    <row r="38" spans="1:17" ht="19.95" customHeight="1">
      <c r="A38" s="614" t="s">
        <v>765</v>
      </c>
      <c r="B38" s="615"/>
      <c r="C38" s="615"/>
      <c r="D38" s="615"/>
      <c r="E38" s="615"/>
      <c r="F38" s="615"/>
      <c r="G38" s="615"/>
      <c r="H38" s="615"/>
      <c r="I38" s="615"/>
      <c r="J38" s="615"/>
      <c r="K38" s="615"/>
      <c r="L38" s="615"/>
      <c r="M38" s="615"/>
      <c r="N38" s="615"/>
      <c r="O38" s="615"/>
      <c r="P38" s="615"/>
      <c r="Q38" s="615"/>
    </row>
    <row r="39" spans="1:17" ht="19.95" customHeight="1">
      <c r="A39" s="749" t="s">
        <v>495</v>
      </c>
      <c r="B39" s="749"/>
      <c r="C39" s="749"/>
      <c r="D39" s="749"/>
      <c r="E39" s="749"/>
      <c r="F39" s="749"/>
      <c r="G39" s="749"/>
      <c r="H39" s="743" t="s">
        <v>769</v>
      </c>
      <c r="I39" s="743"/>
      <c r="J39" s="734" t="s">
        <v>770</v>
      </c>
      <c r="K39" s="735"/>
      <c r="L39" s="735"/>
      <c r="M39" s="735"/>
      <c r="N39" s="735"/>
      <c r="O39" s="736" t="s">
        <v>771</v>
      </c>
      <c r="P39" s="737" t="s">
        <v>772</v>
      </c>
      <c r="Q39" s="732" t="s">
        <v>773</v>
      </c>
    </row>
    <row r="40" spans="1:17" ht="19.95" customHeight="1">
      <c r="A40" s="493" t="s">
        <v>768</v>
      </c>
      <c r="B40" s="585" t="s">
        <v>496</v>
      </c>
      <c r="C40" s="585" t="s">
        <v>36</v>
      </c>
      <c r="D40" s="585" t="s">
        <v>514</v>
      </c>
      <c r="E40" s="585" t="s">
        <v>515</v>
      </c>
      <c r="F40" s="585" t="s">
        <v>607</v>
      </c>
      <c r="G40" s="560" t="s">
        <v>766</v>
      </c>
      <c r="H40" s="743"/>
      <c r="I40" s="743"/>
      <c r="J40" s="586">
        <v>1</v>
      </c>
      <c r="K40" s="586">
        <v>2</v>
      </c>
      <c r="L40" s="586">
        <v>3</v>
      </c>
      <c r="M40" s="586">
        <v>4</v>
      </c>
      <c r="N40" s="586">
        <v>5</v>
      </c>
      <c r="O40" s="736"/>
      <c r="P40" s="738"/>
      <c r="Q40" s="733"/>
    </row>
    <row r="41" spans="1:17" ht="19.95" customHeight="1">
      <c r="A41" s="591"/>
      <c r="B41" s="592"/>
      <c r="C41" s="593"/>
      <c r="D41" s="594"/>
      <c r="E41" s="594"/>
      <c r="F41" s="594"/>
      <c r="G41" s="595"/>
      <c r="H41" s="745"/>
      <c r="I41" s="746"/>
      <c r="J41" s="528"/>
      <c r="K41" s="528"/>
      <c r="L41" s="528"/>
      <c r="M41" s="528"/>
      <c r="N41" s="528"/>
      <c r="O41" s="153"/>
      <c r="P41" s="438"/>
      <c r="Q41" s="438"/>
    </row>
    <row r="42" spans="1:17" ht="19.95" customHeight="1">
      <c r="A42" s="591"/>
      <c r="B42" s="592"/>
      <c r="C42" s="593"/>
      <c r="D42" s="594"/>
      <c r="E42" s="594"/>
      <c r="F42" s="594"/>
      <c r="G42" s="595"/>
      <c r="H42" s="597"/>
      <c r="I42" s="598"/>
      <c r="J42" s="528"/>
      <c r="K42" s="528"/>
      <c r="L42" s="528"/>
      <c r="M42" s="528"/>
      <c r="N42" s="528"/>
      <c r="O42" s="153"/>
      <c r="P42" s="438"/>
      <c r="Q42" s="438"/>
    </row>
    <row r="43" spans="1:17" ht="19.95" customHeight="1">
      <c r="A43" s="591"/>
      <c r="B43" s="592"/>
      <c r="C43" s="593"/>
      <c r="D43" s="594"/>
      <c r="E43" s="594"/>
      <c r="F43" s="594"/>
      <c r="G43" s="595"/>
      <c r="H43" s="597"/>
      <c r="I43" s="598"/>
      <c r="J43" s="528"/>
      <c r="K43" s="528"/>
      <c r="L43" s="528"/>
      <c r="M43" s="528"/>
      <c r="N43" s="528"/>
      <c r="O43" s="153"/>
      <c r="P43" s="438"/>
      <c r="Q43" s="438"/>
    </row>
    <row r="44" spans="1:17" ht="19.95" customHeight="1">
      <c r="A44" s="591"/>
      <c r="B44" s="592"/>
      <c r="C44" s="593"/>
      <c r="D44" s="594"/>
      <c r="E44" s="594"/>
      <c r="F44" s="594"/>
      <c r="G44" s="595"/>
      <c r="H44" s="597"/>
      <c r="I44" s="598"/>
      <c r="J44" s="528"/>
      <c r="K44" s="528"/>
      <c r="L44" s="528"/>
      <c r="M44" s="528"/>
      <c r="N44" s="528"/>
      <c r="O44" s="153"/>
      <c r="P44" s="438"/>
      <c r="Q44" s="438"/>
    </row>
    <row r="45" spans="1:17" ht="19.95" customHeight="1">
      <c r="A45" s="591"/>
      <c r="B45" s="592"/>
      <c r="C45" s="593"/>
      <c r="D45" s="594"/>
      <c r="E45" s="594"/>
      <c r="F45" s="594"/>
      <c r="G45" s="595"/>
      <c r="H45" s="597"/>
      <c r="I45" s="598"/>
      <c r="J45" s="528"/>
      <c r="K45" s="528"/>
      <c r="L45" s="528"/>
      <c r="M45" s="528"/>
      <c r="N45" s="528"/>
      <c r="O45" s="153"/>
      <c r="P45" s="438"/>
      <c r="Q45" s="438"/>
    </row>
    <row r="46" spans="1:17" ht="19.95" customHeight="1">
      <c r="A46" s="591"/>
      <c r="B46" s="592"/>
      <c r="C46" s="593"/>
      <c r="D46" s="594"/>
      <c r="E46" s="594"/>
      <c r="F46" s="594"/>
      <c r="G46" s="595"/>
      <c r="H46" s="597"/>
      <c r="I46" s="598"/>
      <c r="J46" s="528"/>
      <c r="K46" s="528"/>
      <c r="L46" s="528"/>
      <c r="M46" s="528"/>
      <c r="N46" s="528"/>
      <c r="O46" s="153"/>
      <c r="P46" s="438"/>
      <c r="Q46" s="438"/>
    </row>
    <row r="47" spans="1:17" ht="19.95" customHeight="1">
      <c r="A47" s="591"/>
      <c r="B47" s="592"/>
      <c r="C47" s="593"/>
      <c r="D47" s="594"/>
      <c r="E47" s="594"/>
      <c r="F47" s="594"/>
      <c r="G47" s="595"/>
      <c r="H47" s="597"/>
      <c r="I47" s="598"/>
      <c r="J47" s="528"/>
      <c r="K47" s="528"/>
      <c r="L47" s="528"/>
      <c r="M47" s="528"/>
      <c r="N47" s="528"/>
      <c r="O47" s="153"/>
      <c r="P47" s="438"/>
      <c r="Q47" s="438"/>
    </row>
    <row r="48" spans="1:17" ht="19.95" customHeight="1">
      <c r="A48" s="591"/>
      <c r="B48" s="592"/>
      <c r="C48" s="593"/>
      <c r="D48" s="594"/>
      <c r="E48" s="594"/>
      <c r="F48" s="594"/>
      <c r="G48" s="595"/>
      <c r="H48" s="597"/>
      <c r="I48" s="598"/>
      <c r="J48" s="528"/>
      <c r="K48" s="528"/>
      <c r="L48" s="528"/>
      <c r="M48" s="528"/>
      <c r="N48" s="528"/>
      <c r="O48" s="153"/>
      <c r="P48" s="438"/>
      <c r="Q48" s="438"/>
    </row>
    <row r="49" spans="1:17" ht="19.95" customHeight="1">
      <c r="A49" s="591"/>
      <c r="B49" s="592"/>
      <c r="C49" s="593"/>
      <c r="D49" s="594"/>
      <c r="E49" s="594"/>
      <c r="F49" s="594"/>
      <c r="G49" s="595"/>
      <c r="H49" s="597"/>
      <c r="I49" s="598"/>
      <c r="J49" s="528"/>
      <c r="K49" s="528"/>
      <c r="L49" s="528"/>
      <c r="M49" s="528"/>
      <c r="N49" s="528"/>
      <c r="O49" s="153"/>
      <c r="P49" s="438"/>
      <c r="Q49" s="438"/>
    </row>
    <row r="50" spans="1:17" ht="19.95" customHeight="1">
      <c r="A50" s="591"/>
      <c r="B50" s="592"/>
      <c r="C50" s="593"/>
      <c r="D50" s="594"/>
      <c r="E50" s="594"/>
      <c r="F50" s="594"/>
      <c r="G50" s="595"/>
      <c r="H50" s="597"/>
      <c r="I50" s="598"/>
      <c r="J50" s="528"/>
      <c r="K50" s="528"/>
      <c r="L50" s="528"/>
      <c r="M50" s="528"/>
      <c r="N50" s="528"/>
      <c r="O50" s="153"/>
      <c r="P50" s="438"/>
      <c r="Q50" s="438"/>
    </row>
    <row r="51" spans="1:17" ht="19.95" customHeight="1">
      <c r="A51" s="591"/>
      <c r="B51" s="592"/>
      <c r="C51" s="593"/>
      <c r="D51" s="594"/>
      <c r="E51" s="594"/>
      <c r="F51" s="594"/>
      <c r="G51" s="595"/>
      <c r="H51" s="597"/>
      <c r="I51" s="598"/>
      <c r="J51" s="528"/>
      <c r="K51" s="528"/>
      <c r="L51" s="528"/>
      <c r="M51" s="528"/>
      <c r="N51" s="528"/>
      <c r="O51" s="153"/>
      <c r="P51" s="438"/>
      <c r="Q51" s="438"/>
    </row>
    <row r="52" spans="1:17" ht="19.95" customHeight="1">
      <c r="A52" s="591"/>
      <c r="B52" s="592"/>
      <c r="C52" s="593"/>
      <c r="D52" s="594"/>
      <c r="E52" s="594"/>
      <c r="F52" s="594"/>
      <c r="G52" s="595"/>
      <c r="H52" s="597"/>
      <c r="I52" s="598"/>
      <c r="J52" s="528"/>
      <c r="K52" s="528"/>
      <c r="L52" s="528"/>
      <c r="M52" s="528"/>
      <c r="N52" s="528"/>
      <c r="O52" s="153"/>
      <c r="P52" s="438"/>
      <c r="Q52" s="438"/>
    </row>
    <row r="53" spans="1:17" ht="19.95" customHeight="1">
      <c r="A53" s="591"/>
      <c r="B53" s="592"/>
      <c r="C53" s="593"/>
      <c r="D53" s="594"/>
      <c r="E53" s="594"/>
      <c r="F53" s="594"/>
      <c r="G53" s="595"/>
      <c r="H53" s="597"/>
      <c r="I53" s="598"/>
      <c r="J53" s="528"/>
      <c r="K53" s="528"/>
      <c r="L53" s="528"/>
      <c r="M53" s="528"/>
      <c r="N53" s="528"/>
      <c r="O53" s="153"/>
      <c r="P53" s="438"/>
      <c r="Q53" s="438"/>
    </row>
    <row r="54" spans="1:17" ht="19.95" customHeight="1">
      <c r="A54" s="591"/>
      <c r="B54" s="592"/>
      <c r="C54" s="593"/>
      <c r="D54" s="594"/>
      <c r="E54" s="594"/>
      <c r="F54" s="594"/>
      <c r="G54" s="595"/>
      <c r="H54" s="745"/>
      <c r="I54" s="746"/>
      <c r="J54" s="528"/>
      <c r="K54" s="528"/>
      <c r="L54" s="528"/>
      <c r="M54" s="528"/>
      <c r="N54" s="528"/>
      <c r="O54" s="153"/>
      <c r="P54" s="438"/>
      <c r="Q54" s="438"/>
    </row>
    <row r="55" spans="1:17" ht="19.95" customHeight="1">
      <c r="A55" s="591"/>
      <c r="B55" s="592"/>
      <c r="C55" s="593"/>
      <c r="D55" s="594"/>
      <c r="E55" s="594"/>
      <c r="F55" s="594"/>
      <c r="G55" s="595"/>
      <c r="H55" s="745"/>
      <c r="I55" s="746"/>
      <c r="J55" s="528"/>
      <c r="K55" s="528"/>
      <c r="L55" s="528"/>
      <c r="M55" s="528"/>
      <c r="N55" s="528"/>
      <c r="O55" s="153"/>
      <c r="P55" s="438"/>
      <c r="Q55" s="438"/>
    </row>
    <row r="56" spans="1:17" ht="19.95" customHeight="1">
      <c r="A56" s="591"/>
      <c r="B56" s="592"/>
      <c r="C56" s="593"/>
      <c r="D56" s="594"/>
      <c r="E56" s="594"/>
      <c r="F56" s="594"/>
      <c r="G56" s="595"/>
      <c r="H56" s="745"/>
      <c r="I56" s="746"/>
      <c r="J56" s="528"/>
      <c r="K56" s="528"/>
      <c r="L56" s="528"/>
      <c r="M56" s="528"/>
      <c r="N56" s="528"/>
      <c r="O56" s="153"/>
      <c r="P56" s="438"/>
      <c r="Q56" s="438"/>
    </row>
    <row r="57" spans="1:17" ht="19.95" customHeight="1">
      <c r="A57" s="591"/>
      <c r="B57" s="592"/>
      <c r="C57" s="593"/>
      <c r="D57" s="594"/>
      <c r="E57" s="594"/>
      <c r="F57" s="594"/>
      <c r="G57" s="595"/>
      <c r="H57" s="745"/>
      <c r="I57" s="746"/>
      <c r="J57" s="528"/>
      <c r="K57" s="528"/>
      <c r="L57" s="528"/>
      <c r="M57" s="528"/>
      <c r="N57" s="528"/>
      <c r="O57" s="153"/>
      <c r="P57" s="438"/>
      <c r="Q57" s="438"/>
    </row>
    <row r="58" spans="1:17" ht="19.95" customHeight="1">
      <c r="A58" s="585" t="s">
        <v>517</v>
      </c>
      <c r="B58" s="587"/>
      <c r="C58" s="588"/>
      <c r="D58" s="589"/>
      <c r="E58" s="589"/>
      <c r="F58" s="589"/>
      <c r="G58" s="590">
        <f>SUM(G41:G57)</f>
        <v>0</v>
      </c>
      <c r="H58" s="747"/>
      <c r="I58" s="748"/>
      <c r="J58" s="441"/>
      <c r="K58" s="441"/>
      <c r="L58" s="440"/>
      <c r="M58" s="441"/>
      <c r="N58" s="441"/>
      <c r="O58" s="440"/>
      <c r="P58" s="441"/>
      <c r="Q58" s="441"/>
    </row>
    <row r="59" spans="1:17" ht="19.95" customHeight="1">
      <c r="A59" s="366" t="s">
        <v>518</v>
      </c>
      <c r="I59" s="354"/>
      <c r="J59" s="489"/>
      <c r="L59" s="489"/>
      <c r="M59" s="490"/>
    </row>
    <row r="60" spans="1:17" ht="19.95" customHeight="1">
      <c r="A60" s="23" t="s">
        <v>865</v>
      </c>
      <c r="B60" s="23"/>
      <c r="C60"/>
      <c r="D60" s="607" t="s">
        <v>866</v>
      </c>
      <c r="E60" s="607" t="s">
        <v>867</v>
      </c>
      <c r="F60" s="607" t="s">
        <v>868</v>
      </c>
      <c r="G60" s="607" t="s">
        <v>869</v>
      </c>
      <c r="H60" s="608" t="s">
        <v>870</v>
      </c>
      <c r="I60" s="354"/>
      <c r="J60" s="489"/>
      <c r="L60" s="489"/>
      <c r="M60" s="490"/>
    </row>
    <row r="61" spans="1:17" ht="19.95" customHeight="1">
      <c r="A61" s="40"/>
      <c r="B61" s="40"/>
      <c r="C61"/>
      <c r="D61" s="607" t="s">
        <v>871</v>
      </c>
      <c r="E61" s="609">
        <f>'明细表K1-2'!Q33</f>
        <v>0</v>
      </c>
      <c r="F61" s="609">
        <f>G37</f>
        <v>0</v>
      </c>
      <c r="G61" s="610" t="e">
        <f>ROUND(F61/E61,4)</f>
        <v>#DIV/0!</v>
      </c>
      <c r="H61" s="21"/>
      <c r="I61" s="354"/>
      <c r="J61" s="489"/>
      <c r="L61" s="489"/>
      <c r="M61" s="490"/>
    </row>
    <row r="62" spans="1:17" ht="19.95" customHeight="1">
      <c r="A62" s="40"/>
      <c r="B62" s="40"/>
      <c r="C62"/>
      <c r="D62" s="607" t="s">
        <v>872</v>
      </c>
      <c r="E62" s="609">
        <f>'明细表K1-2'!R33</f>
        <v>0</v>
      </c>
      <c r="F62" s="609">
        <f>H37</f>
        <v>0</v>
      </c>
      <c r="G62" s="610" t="e">
        <f>ROUND(F62/E62,2)</f>
        <v>#DIV/0!</v>
      </c>
      <c r="H62" s="21"/>
      <c r="I62" s="354"/>
      <c r="J62" s="489"/>
      <c r="L62" s="489"/>
      <c r="M62" s="490"/>
    </row>
    <row r="63" spans="1:17" ht="19.95" customHeight="1">
      <c r="A63" s="40"/>
      <c r="B63" s="40"/>
      <c r="C63"/>
      <c r="D63" s="607" t="s">
        <v>873</v>
      </c>
      <c r="E63" s="609">
        <f>'明细表K1-2'!X33</f>
        <v>0</v>
      </c>
      <c r="F63" s="609">
        <f>G58</f>
        <v>0</v>
      </c>
      <c r="G63" s="610" t="e">
        <f>ROUND(F63/E63,2)</f>
        <v>#DIV/0!</v>
      </c>
      <c r="H63" s="21"/>
      <c r="J63" s="489"/>
      <c r="L63" s="489"/>
      <c r="M63" s="490"/>
    </row>
    <row r="64" spans="1:17" ht="19.95" customHeight="1">
      <c r="A64" s="487" t="s">
        <v>874</v>
      </c>
      <c r="B64" s="40"/>
      <c r="C64"/>
      <c r="D64" s="611"/>
      <c r="E64" s="612"/>
      <c r="F64" s="612"/>
      <c r="G64" s="613"/>
      <c r="H64" s="21"/>
      <c r="J64" s="489"/>
      <c r="K64" s="491"/>
      <c r="M64" s="490"/>
      <c r="N64" s="134"/>
    </row>
    <row r="65" spans="1:1" ht="19.95" customHeight="1">
      <c r="A65" s="137" t="s">
        <v>519</v>
      </c>
    </row>
    <row r="66" spans="1:1" ht="19.95" customHeight="1"/>
    <row r="67" spans="1:1" ht="19.95" customHeight="1"/>
    <row r="68" spans="1:1" ht="19.95" customHeight="1"/>
    <row r="69" spans="1:1" ht="19.95" customHeight="1"/>
    <row r="70" spans="1:1" ht="19.95" customHeight="1"/>
    <row r="71" spans="1:1" ht="19.95" customHeight="1"/>
    <row r="72" spans="1:1" ht="19.95" customHeight="1"/>
    <row r="73" spans="1:1" ht="19.95" customHeight="1"/>
    <row r="74" spans="1:1" ht="19.95" customHeight="1"/>
  </sheetData>
  <mergeCells count="20">
    <mergeCell ref="H56:I56"/>
    <mergeCell ref="H57:I57"/>
    <mergeCell ref="H58:I58"/>
    <mergeCell ref="H39:I40"/>
    <mergeCell ref="A39:G39"/>
    <mergeCell ref="H41:I41"/>
    <mergeCell ref="H54:I54"/>
    <mergeCell ref="H55:I55"/>
    <mergeCell ref="Q39:Q40"/>
    <mergeCell ref="J39:N39"/>
    <mergeCell ref="O39:O40"/>
    <mergeCell ref="P39:P40"/>
    <mergeCell ref="A1:Q1"/>
    <mergeCell ref="A2:Q2"/>
    <mergeCell ref="P15:P16"/>
    <mergeCell ref="Q15:Q16"/>
    <mergeCell ref="A15:H15"/>
    <mergeCell ref="I15:I16"/>
    <mergeCell ref="J15:N15"/>
    <mergeCell ref="O15:O16"/>
  </mergeCells>
  <phoneticPr fontId="16" type="noConversion"/>
  <dataValidations count="1">
    <dataValidation type="list" allowBlank="1" showInputMessage="1" showErrorMessage="1" sqref="J17:N36 J41:N57">
      <formula1>"√,X"</formula1>
    </dataValidation>
  </dataValidations>
  <hyperlinks>
    <hyperlink ref="Q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20</vt:i4>
      </vt:variant>
    </vt:vector>
  </HeadingPairs>
  <TitlesOfParts>
    <vt:vector size="37" baseType="lpstr">
      <vt:lpstr>底稿目录</vt:lpstr>
      <vt:lpstr>实质性程序表 K1A</vt:lpstr>
      <vt:lpstr>审定表K1-1</vt:lpstr>
      <vt:lpstr>附注披露信息(上市公司）</vt:lpstr>
      <vt:lpstr>附注披露信息（国企）</vt:lpstr>
      <vt:lpstr>明细表K1-2</vt:lpstr>
      <vt:lpstr>坏账准备明细表K1-3</vt:lpstr>
      <vt:lpstr>调整分录汇总K1-4</vt:lpstr>
      <vt:lpstr>大额其他应收款情况分析表K1-5</vt:lpstr>
      <vt:lpstr>信用减值损失会计政策检查K1-6</vt:lpstr>
      <vt:lpstr>三阶段划分检查表K1-7</vt:lpstr>
      <vt:lpstr>坏账准备测算K1-8</vt:lpstr>
      <vt:lpstr>坏账准备转回（收回）、核销检查表K1-9</vt:lpstr>
      <vt:lpstr>长期未收回款项检查表K1-10</vt:lpstr>
      <vt:lpstr>关联方及交易检查表K1-11</vt:lpstr>
      <vt:lpstr>其他应收款检查表K1-12</vt:lpstr>
      <vt:lpstr>GT_Custom</vt:lpstr>
      <vt:lpstr>'大额其他应收款情况分析表K1-5'!Print_Area</vt:lpstr>
      <vt:lpstr>'调整分录汇总K1-4'!Print_Area</vt:lpstr>
      <vt:lpstr>'附注披露信息（国企）'!Print_Area</vt:lpstr>
      <vt:lpstr>'附注披露信息(上市公司）'!Print_Area</vt:lpstr>
      <vt:lpstr>'关联方及交易检查表K1-11'!Print_Area</vt:lpstr>
      <vt:lpstr>'坏账准备测算K1-8'!Print_Area</vt:lpstr>
      <vt:lpstr>'坏账准备明细表K1-3'!Print_Area</vt:lpstr>
      <vt:lpstr>'坏账准备转回（收回）、核销检查表K1-9'!Print_Area</vt:lpstr>
      <vt:lpstr>'明细表K1-2'!Print_Area</vt:lpstr>
      <vt:lpstr>'其他应收款检查表K1-12'!Print_Area</vt:lpstr>
      <vt:lpstr>'三阶段划分检查表K1-7'!Print_Area</vt:lpstr>
      <vt:lpstr>'审定表K1-1'!Print_Area</vt:lpstr>
      <vt:lpstr>'实质性程序表 K1A'!Print_Area</vt:lpstr>
      <vt:lpstr>'信用减值损失会计政策检查K1-6'!Print_Area</vt:lpstr>
      <vt:lpstr>'长期未收回款项检查表K1-10'!Print_Area</vt:lpstr>
      <vt:lpstr>'附注披露信息（国企）'!Print_Titles</vt:lpstr>
      <vt:lpstr>'附注披露信息(上市公司）'!Print_Titles</vt:lpstr>
      <vt:lpstr>'明细表K1-2'!Print_Titles</vt:lpstr>
      <vt:lpstr>'审定表K1-1'!Print_Titles</vt:lpstr>
      <vt:lpstr>'实质性程序表 K1A'!Print_Titles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2025-10-21T08:35:48Z</cp:lastPrinted>
  <dcterms:created xsi:type="dcterms:W3CDTF">2007-05-20T08:51:05Z</dcterms:created>
  <dcterms:modified xsi:type="dcterms:W3CDTF">2025-11-05T07:04:46Z</dcterms:modified>
</cp:coreProperties>
</file>