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4212" yWindow="4212" windowWidth="23040" windowHeight="11964" tabRatio="833"/>
  </bookViews>
  <sheets>
    <sheet name="底稿目录" sheetId="6" r:id="rId1"/>
    <sheet name="实质性程序表 K6A" sheetId="12" r:id="rId2"/>
    <sheet name="审定表 K6-1" sheetId="1" r:id="rId3"/>
    <sheet name="附注披露信息（上市公司）" sheetId="14" r:id="rId4"/>
    <sheet name="附注披露信息(国企）" sheetId="15" r:id="rId5"/>
    <sheet name="明细表K6-2" sheetId="8" r:id="rId6"/>
    <sheet name="调整分录汇总 K6-3" sheetId="13" r:id="rId7"/>
    <sheet name="初始确认检查表K6-4" sheetId="4" r:id="rId8"/>
    <sheet name="减值准备测试表（后续计量） K6-5" sheetId="9" r:id="rId9"/>
    <sheet name="处置组减值测试表（后续计量） K6-6" sheetId="11" r:id="rId10"/>
    <sheet name="检查表（不再满足持有待售）K6-7" sheetId="5" r:id="rId11"/>
  </sheets>
  <definedNames>
    <definedName name="_xlnm._FilterDatabase" localSheetId="1">'实质性程序表 K6A'!$A$15:$I$24</definedName>
    <definedName name="AS2DocOpenMode">"AS2DocumentEdit"</definedName>
    <definedName name="_xlnm.Print_Area" localSheetId="7">'初始确认检查表K6-4'!$A$1:$O$49</definedName>
    <definedName name="_xlnm.Print_Area" localSheetId="9">'处置组减值测试表（后续计量） K6-6'!$A$1:$J$56</definedName>
    <definedName name="_xlnm.Print_Area" localSheetId="6">'调整分录汇总 K6-3'!$A$1:$J$20</definedName>
    <definedName name="_xlnm.Print_Area" localSheetId="4">'附注披露信息(国企）'!$A$1:$G$61</definedName>
    <definedName name="_xlnm.Print_Area" localSheetId="3">'附注披露信息（上市公司）'!$A$1:$G$79</definedName>
    <definedName name="_xlnm.Print_Area" localSheetId="10">'检查表（不再满足持有待售）K6-7'!$A$1:$I$47</definedName>
    <definedName name="_xlnm.Print_Area" localSheetId="8">'减值准备测试表（后续计量） K6-5'!$A$1:$J$19</definedName>
    <definedName name="_xlnm.Print_Area" localSheetId="5">'明细表K6-2'!$A$1:$O$28</definedName>
    <definedName name="_xlnm.Print_Area" localSheetId="2">'审定表 K6-1'!$A$1:$L$19</definedName>
    <definedName name="_xlnm.Print_Area" localSheetId="1">'实质性程序表 K6A'!$A$1:$I$24</definedName>
    <definedName name="_xlnm.Print_Titles" localSheetId="7">'初始确认检查表K6-4'!$1:$4</definedName>
    <definedName name="_xlnm.Print_Titles" localSheetId="10">'检查表（不再满足持有待售）K6-7'!$1:$4</definedName>
    <definedName name="_xlnm.Print_Titles" localSheetId="8">'减值准备测试表（后续计量） K6-5'!$1:$4</definedName>
    <definedName name="_xlnm.Print_Titles" localSheetId="1">'实质性程序表 K6A'!$15:$15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3" l="1"/>
  <c r="O3" i="4"/>
  <c r="J3" i="9"/>
  <c r="J3" i="11"/>
  <c r="I3" i="5"/>
  <c r="G3" i="15"/>
  <c r="G3" i="14"/>
  <c r="E49" i="11" l="1"/>
  <c r="E38" i="11"/>
  <c r="C15" i="11"/>
  <c r="D15" i="11"/>
  <c r="E15" i="11"/>
  <c r="H39" i="4" l="1"/>
  <c r="G39" i="4"/>
  <c r="F39" i="4"/>
  <c r="E39" i="4"/>
  <c r="D39" i="4"/>
  <c r="C39" i="4"/>
  <c r="B39" i="4"/>
  <c r="H35" i="4"/>
  <c r="G35" i="4"/>
  <c r="F35" i="4"/>
  <c r="E35" i="4"/>
  <c r="D35" i="4"/>
  <c r="C35" i="4"/>
  <c r="B35" i="4"/>
  <c r="C28" i="4"/>
  <c r="D28" i="4"/>
  <c r="E28" i="4"/>
  <c r="F28" i="4"/>
  <c r="G28" i="4"/>
  <c r="H28" i="4"/>
  <c r="C22" i="4"/>
  <c r="D22" i="4"/>
  <c r="E22" i="4"/>
  <c r="F22" i="4"/>
  <c r="G22" i="4"/>
  <c r="H22" i="4"/>
  <c r="J28" i="4" l="1"/>
  <c r="E23" i="8"/>
  <c r="E22" i="5" l="1"/>
  <c r="C14" i="9" l="1"/>
  <c r="E14" i="9"/>
  <c r="F11" i="9"/>
  <c r="F12" i="9"/>
  <c r="F13" i="9"/>
  <c r="F10" i="9"/>
  <c r="F12" i="11" l="1"/>
  <c r="F13" i="11"/>
  <c r="G13" i="11" s="1"/>
  <c r="F14" i="11"/>
  <c r="G14" i="11" s="1"/>
  <c r="F11" i="11"/>
  <c r="F15" i="11" l="1"/>
  <c r="I18" i="4"/>
  <c r="D22" i="11" l="1"/>
  <c r="F22" i="11" s="1"/>
  <c r="D23" i="11"/>
  <c r="D21" i="11"/>
  <c r="K25" i="4" l="1"/>
  <c r="K26" i="4"/>
  <c r="K27" i="4"/>
  <c r="K29" i="4"/>
  <c r="I28" i="4"/>
  <c r="B28" i="4"/>
  <c r="G12" i="11" s="1"/>
  <c r="C24" i="4"/>
  <c r="D24" i="4"/>
  <c r="J24" i="4" s="1"/>
  <c r="E24" i="4"/>
  <c r="F24" i="4"/>
  <c r="G24" i="4"/>
  <c r="H24" i="4"/>
  <c r="B24" i="4"/>
  <c r="G11" i="11" s="1"/>
  <c r="I26" i="4"/>
  <c r="I27" i="4"/>
  <c r="B42" i="5"/>
  <c r="B37" i="5"/>
  <c r="I25" i="4"/>
  <c r="K24" i="4" l="1"/>
  <c r="I11" i="11"/>
  <c r="B43" i="5"/>
  <c r="K28" i="4"/>
  <c r="I24" i="4"/>
  <c r="O3" i="8"/>
  <c r="L3" i="1"/>
  <c r="I3" i="12"/>
  <c r="C3" i="13" l="1"/>
  <c r="D4" i="15"/>
  <c r="B4" i="15"/>
  <c r="C4" i="14"/>
  <c r="D4" i="14"/>
  <c r="A4" i="12"/>
  <c r="A36" i="15" l="1"/>
  <c r="E36" i="15"/>
  <c r="A37" i="15"/>
  <c r="E37" i="15"/>
  <c r="A38" i="15"/>
  <c r="E38" i="15"/>
  <c r="E35" i="15"/>
  <c r="E46" i="14"/>
  <c r="A35" i="15"/>
  <c r="A46" i="14"/>
  <c r="G18" i="15"/>
  <c r="D18" i="15"/>
  <c r="A4" i="15"/>
  <c r="D3" i="15"/>
  <c r="B3" i="15"/>
  <c r="A3" i="15"/>
  <c r="A4" i="14"/>
  <c r="D3" i="14"/>
  <c r="C3" i="14"/>
  <c r="A3" i="14"/>
  <c r="E47" i="14"/>
  <c r="E48" i="14"/>
  <c r="E49" i="14"/>
  <c r="A47" i="14"/>
  <c r="A48" i="14"/>
  <c r="A49" i="14"/>
  <c r="A23" i="14"/>
  <c r="A22" i="14"/>
  <c r="A14" i="14"/>
  <c r="A13" i="14"/>
  <c r="A10" i="14"/>
  <c r="A11" i="14"/>
  <c r="A9" i="14"/>
  <c r="D56" i="15"/>
  <c r="C56" i="15"/>
  <c r="B56" i="15"/>
  <c r="D47" i="15"/>
  <c r="C47" i="15"/>
  <c r="B47" i="15"/>
  <c r="F31" i="15"/>
  <c r="F30" i="15"/>
  <c r="F29" i="15"/>
  <c r="E28" i="15"/>
  <c r="E24" i="15"/>
  <c r="D28" i="15"/>
  <c r="C28" i="15"/>
  <c r="B28" i="15"/>
  <c r="F27" i="15"/>
  <c r="F26" i="15"/>
  <c r="F25" i="15"/>
  <c r="D24" i="15"/>
  <c r="C24" i="15"/>
  <c r="B24" i="15"/>
  <c r="F19" i="15"/>
  <c r="C19" i="15"/>
  <c r="D73" i="14"/>
  <c r="C73" i="14"/>
  <c r="B73" i="14"/>
  <c r="D67" i="14"/>
  <c r="C67" i="14"/>
  <c r="B67" i="14"/>
  <c r="D60" i="14"/>
  <c r="C60" i="14"/>
  <c r="B60" i="14"/>
  <c r="D54" i="14"/>
  <c r="C54" i="14"/>
  <c r="B54" i="14"/>
  <c r="B38" i="14"/>
  <c r="B34" i="14"/>
  <c r="C38" i="14"/>
  <c r="C42" i="14" s="1"/>
  <c r="C34" i="14"/>
  <c r="D38" i="14"/>
  <c r="D34" i="14"/>
  <c r="D42" i="14"/>
  <c r="E38" i="14"/>
  <c r="E34" i="14"/>
  <c r="F41" i="14"/>
  <c r="F40" i="14"/>
  <c r="F39" i="14"/>
  <c r="F37" i="14"/>
  <c r="F36" i="14"/>
  <c r="F35" i="14"/>
  <c r="F16" i="14"/>
  <c r="C16" i="14"/>
  <c r="G15" i="14"/>
  <c r="D15" i="14"/>
  <c r="F16" i="8"/>
  <c r="F20" i="8"/>
  <c r="G16" i="8"/>
  <c r="G20" i="8"/>
  <c r="L12" i="8"/>
  <c r="L13" i="8"/>
  <c r="E12" i="15" s="1"/>
  <c r="G12" i="15" s="1"/>
  <c r="L14" i="8"/>
  <c r="E10" i="14" s="1"/>
  <c r="G10" i="14" s="1"/>
  <c r="L15" i="8"/>
  <c r="E11" i="14" s="1"/>
  <c r="G11" i="14" s="1"/>
  <c r="L18" i="8"/>
  <c r="E16" i="15" s="1"/>
  <c r="G16" i="15" s="1"/>
  <c r="L19" i="8"/>
  <c r="E17" i="15" s="1"/>
  <c r="G17" i="15" s="1"/>
  <c r="E12" i="8"/>
  <c r="E13" i="8"/>
  <c r="E14" i="8"/>
  <c r="E15" i="8"/>
  <c r="E18" i="8"/>
  <c r="E19" i="8"/>
  <c r="H16" i="8"/>
  <c r="H20" i="8"/>
  <c r="I16" i="8"/>
  <c r="I20" i="8"/>
  <c r="J16" i="8"/>
  <c r="J20" i="8"/>
  <c r="K16" i="8"/>
  <c r="K20" i="8"/>
  <c r="M12" i="8"/>
  <c r="N12" i="8"/>
  <c r="M13" i="8"/>
  <c r="N13" i="8"/>
  <c r="M14" i="8"/>
  <c r="N14" i="8"/>
  <c r="M15" i="8"/>
  <c r="N15" i="8"/>
  <c r="M18" i="8"/>
  <c r="N18" i="8"/>
  <c r="M19" i="8"/>
  <c r="N19" i="8"/>
  <c r="B16" i="8"/>
  <c r="B20" i="8"/>
  <c r="E4" i="13"/>
  <c r="C4" i="13"/>
  <c r="A4" i="13"/>
  <c r="E3" i="13"/>
  <c r="A3" i="13"/>
  <c r="C4" i="11"/>
  <c r="D4" i="9"/>
  <c r="D4" i="5"/>
  <c r="G4" i="4"/>
  <c r="D4" i="8"/>
  <c r="D4" i="1"/>
  <c r="C4" i="12"/>
  <c r="E4" i="11"/>
  <c r="F4" i="9"/>
  <c r="F4" i="5"/>
  <c r="L4" i="4"/>
  <c r="J4" i="8"/>
  <c r="H4" i="1"/>
  <c r="E4" i="12"/>
  <c r="E3" i="12"/>
  <c r="C3" i="12"/>
  <c r="A3" i="12"/>
  <c r="B43" i="4"/>
  <c r="K41" i="4"/>
  <c r="K38" i="4"/>
  <c r="K37" i="4"/>
  <c r="J35" i="4"/>
  <c r="J32" i="4"/>
  <c r="K31" i="4"/>
  <c r="I42" i="4"/>
  <c r="I41" i="4"/>
  <c r="I40" i="4"/>
  <c r="I38" i="4"/>
  <c r="I37" i="4"/>
  <c r="I36" i="4"/>
  <c r="B32" i="4"/>
  <c r="I30" i="4"/>
  <c r="I31" i="4"/>
  <c r="C38" i="11"/>
  <c r="D42" i="11"/>
  <c r="F42" i="11" s="1"/>
  <c r="D43" i="11"/>
  <c r="F43" i="11" s="1"/>
  <c r="D44" i="11"/>
  <c r="F44" i="11" s="1"/>
  <c r="D45" i="11"/>
  <c r="F45" i="11" s="1"/>
  <c r="D46" i="11"/>
  <c r="F46" i="11" s="1"/>
  <c r="D47" i="11"/>
  <c r="F47" i="11" s="1"/>
  <c r="D48" i="11"/>
  <c r="F48" i="11" s="1"/>
  <c r="C49" i="11"/>
  <c r="B49" i="11"/>
  <c r="B38" i="11"/>
  <c r="D31" i="11"/>
  <c r="F31" i="11" s="1"/>
  <c r="D32" i="11"/>
  <c r="F32" i="11" s="1"/>
  <c r="D33" i="11"/>
  <c r="F33" i="11" s="1"/>
  <c r="D34" i="11"/>
  <c r="F34" i="11" s="1"/>
  <c r="D35" i="11"/>
  <c r="F35" i="11" s="1"/>
  <c r="D36" i="11"/>
  <c r="F36" i="11" s="1"/>
  <c r="D37" i="11"/>
  <c r="F37" i="11" s="1"/>
  <c r="D30" i="11"/>
  <c r="F30" i="11" s="1"/>
  <c r="F23" i="11"/>
  <c r="D24" i="11"/>
  <c r="F24" i="11" s="1"/>
  <c r="D25" i="11"/>
  <c r="F25" i="11" s="1"/>
  <c r="D26" i="11"/>
  <c r="D27" i="11"/>
  <c r="F27" i="11" s="1"/>
  <c r="D28" i="11"/>
  <c r="F28" i="11" s="1"/>
  <c r="F21" i="11"/>
  <c r="D41" i="11"/>
  <c r="F41" i="11" s="1"/>
  <c r="E50" i="11"/>
  <c r="I12" i="11"/>
  <c r="B15" i="11"/>
  <c r="A4" i="11"/>
  <c r="E3" i="11"/>
  <c r="C3" i="11"/>
  <c r="A3" i="11"/>
  <c r="A4" i="9"/>
  <c r="F3" i="9"/>
  <c r="D3" i="9"/>
  <c r="A3" i="9"/>
  <c r="I14" i="11"/>
  <c r="I29" i="4"/>
  <c r="I19" i="4"/>
  <c r="C47" i="14" s="1"/>
  <c r="I20" i="4"/>
  <c r="I21" i="4"/>
  <c r="C38" i="15" s="1"/>
  <c r="E41" i="5"/>
  <c r="B16" i="5"/>
  <c r="B23" i="5"/>
  <c r="B29" i="5"/>
  <c r="I13" i="11"/>
  <c r="H3" i="1"/>
  <c r="D3" i="1"/>
  <c r="A4" i="1"/>
  <c r="A3" i="1"/>
  <c r="C37" i="5"/>
  <c r="D37" i="5"/>
  <c r="D47" i="14"/>
  <c r="D48" i="14"/>
  <c r="C24" i="8"/>
  <c r="D24" i="8"/>
  <c r="F24" i="8"/>
  <c r="C8" i="1" s="1"/>
  <c r="G24" i="8"/>
  <c r="D8" i="1" s="1"/>
  <c r="H24" i="8"/>
  <c r="I24" i="8"/>
  <c r="J24" i="8"/>
  <c r="K24" i="8"/>
  <c r="B24" i="8"/>
  <c r="B8" i="1" s="1"/>
  <c r="C20" i="8"/>
  <c r="D20" i="8"/>
  <c r="C16" i="8"/>
  <c r="D16" i="8"/>
  <c r="E22" i="8"/>
  <c r="L22" i="8"/>
  <c r="M22" i="8"/>
  <c r="N22" i="8"/>
  <c r="L23" i="8"/>
  <c r="M23" i="8"/>
  <c r="N23" i="8"/>
  <c r="A4" i="8"/>
  <c r="J3" i="8"/>
  <c r="D3" i="8"/>
  <c r="A3" i="8"/>
  <c r="H15" i="11"/>
  <c r="H14" i="9"/>
  <c r="A4" i="5"/>
  <c r="F3" i="5"/>
  <c r="D3" i="5"/>
  <c r="A3" i="5"/>
  <c r="A4" i="4"/>
  <c r="L3" i="4"/>
  <c r="G3" i="4"/>
  <c r="A3" i="4"/>
  <c r="D42" i="5"/>
  <c r="C42" i="5"/>
  <c r="E40" i="5"/>
  <c r="E39" i="5"/>
  <c r="E36" i="5"/>
  <c r="E35" i="5"/>
  <c r="E34" i="5"/>
  <c r="D32" i="5"/>
  <c r="D29" i="5"/>
  <c r="C29" i="5"/>
  <c r="E28" i="5"/>
  <c r="E27" i="5"/>
  <c r="E26" i="5"/>
  <c r="E25" i="5"/>
  <c r="D23" i="5"/>
  <c r="C23" i="5"/>
  <c r="I32" i="5"/>
  <c r="E21" i="5"/>
  <c r="E20" i="5"/>
  <c r="E19" i="5"/>
  <c r="D16" i="5"/>
  <c r="C16" i="5"/>
  <c r="E15" i="5"/>
  <c r="E14" i="5"/>
  <c r="E13" i="5"/>
  <c r="F16" i="5"/>
  <c r="E12" i="5"/>
  <c r="I39" i="4" l="1"/>
  <c r="I35" i="4"/>
  <c r="K40" i="4"/>
  <c r="J39" i="4"/>
  <c r="K36" i="4"/>
  <c r="D49" i="14"/>
  <c r="K21" i="4"/>
  <c r="B7" i="1"/>
  <c r="B9" i="1" s="1"/>
  <c r="B11" i="1" s="1"/>
  <c r="E14" i="15"/>
  <c r="G14" i="15" s="1"/>
  <c r="E13" i="15"/>
  <c r="G13" i="15" s="1"/>
  <c r="O15" i="8"/>
  <c r="B21" i="4" s="1"/>
  <c r="B49" i="14" s="1"/>
  <c r="C50" i="11"/>
  <c r="C51" i="11" s="1"/>
  <c r="D49" i="11"/>
  <c r="F49" i="11" s="1"/>
  <c r="C43" i="5"/>
  <c r="E37" i="5"/>
  <c r="F37" i="5"/>
  <c r="E29" i="5"/>
  <c r="E23" i="5"/>
  <c r="B50" i="11"/>
  <c r="I15" i="11"/>
  <c r="I32" i="4"/>
  <c r="K42" i="4"/>
  <c r="J22" i="4"/>
  <c r="J33" i="4" s="1"/>
  <c r="C46" i="14"/>
  <c r="I22" i="4"/>
  <c r="K30" i="4"/>
  <c r="E14" i="14"/>
  <c r="G14" i="14" s="1"/>
  <c r="E24" i="8"/>
  <c r="F8" i="1" s="1"/>
  <c r="O19" i="8"/>
  <c r="B17" i="15" s="1"/>
  <c r="D17" i="15" s="1"/>
  <c r="O18" i="8"/>
  <c r="B13" i="14" s="1"/>
  <c r="D13" i="14" s="1"/>
  <c r="E13" i="14"/>
  <c r="G13" i="14" s="1"/>
  <c r="N24" i="8"/>
  <c r="M24" i="8"/>
  <c r="G7" i="1"/>
  <c r="G9" i="1" s="1"/>
  <c r="G11" i="1" s="1"/>
  <c r="N20" i="8"/>
  <c r="D7" i="1"/>
  <c r="D9" i="1" s="1"/>
  <c r="D11" i="1" s="1"/>
  <c r="E42" i="5"/>
  <c r="D43" i="5"/>
  <c r="F42" i="5"/>
  <c r="F29" i="5"/>
  <c r="K18" i="4"/>
  <c r="I43" i="4"/>
  <c r="C35" i="15"/>
  <c r="D46" i="14"/>
  <c r="D35" i="15"/>
  <c r="E20" i="8"/>
  <c r="M20" i="8"/>
  <c r="L24" i="8"/>
  <c r="E8" i="1" s="1"/>
  <c r="H7" i="1"/>
  <c r="H9" i="1" s="1"/>
  <c r="H11" i="1" s="1"/>
  <c r="F28" i="15"/>
  <c r="F24" i="15"/>
  <c r="C32" i="15"/>
  <c r="G15" i="11"/>
  <c r="D38" i="11"/>
  <c r="F38" i="11" s="1"/>
  <c r="C30" i="5"/>
  <c r="C31" i="5" s="1"/>
  <c r="D30" i="5"/>
  <c r="D31" i="5" s="1"/>
  <c r="F23" i="5"/>
  <c r="E16" i="5"/>
  <c r="B30" i="5"/>
  <c r="B31" i="5" s="1"/>
  <c r="J43" i="4"/>
  <c r="K20" i="4"/>
  <c r="K19" i="4"/>
  <c r="C49" i="14"/>
  <c r="D38" i="15"/>
  <c r="O23" i="8"/>
  <c r="B23" i="14" s="1"/>
  <c r="E16" i="8"/>
  <c r="N16" i="8"/>
  <c r="H8" i="1"/>
  <c r="G8" i="1"/>
  <c r="O14" i="8"/>
  <c r="B20" i="4" s="1"/>
  <c r="C7" i="1"/>
  <c r="C9" i="1" s="1"/>
  <c r="C11" i="1" s="1"/>
  <c r="O12" i="8"/>
  <c r="B18" i="4" s="1"/>
  <c r="M16" i="8"/>
  <c r="E32" i="15"/>
  <c r="B32" i="15"/>
  <c r="D32" i="15"/>
  <c r="E42" i="14"/>
  <c r="F34" i="14"/>
  <c r="F38" i="14"/>
  <c r="F26" i="11"/>
  <c r="D37" i="15"/>
  <c r="C37" i="15"/>
  <c r="C48" i="14"/>
  <c r="D36" i="15"/>
  <c r="C36" i="15"/>
  <c r="B11" i="14"/>
  <c r="D11" i="14" s="1"/>
  <c r="L20" i="8"/>
  <c r="C22" i="14"/>
  <c r="L16" i="8"/>
  <c r="C23" i="14"/>
  <c r="O22" i="8"/>
  <c r="E11" i="15"/>
  <c r="G11" i="15" s="1"/>
  <c r="O13" i="8"/>
  <c r="B19" i="4" s="1"/>
  <c r="E9" i="14"/>
  <c r="G9" i="14" s="1"/>
  <c r="E8" i="14"/>
  <c r="G8" i="14" s="1"/>
  <c r="E15" i="15"/>
  <c r="B42" i="14"/>
  <c r="B14" i="15" l="1"/>
  <c r="D14" i="15" s="1"/>
  <c r="D50" i="14"/>
  <c r="F43" i="5"/>
  <c r="B38" i="15"/>
  <c r="K39" i="4"/>
  <c r="K35" i="4"/>
  <c r="I33" i="4"/>
  <c r="B14" i="14"/>
  <c r="D14" i="14" s="1"/>
  <c r="B16" i="15"/>
  <c r="D50" i="11"/>
  <c r="F50" i="11"/>
  <c r="E43" i="5"/>
  <c r="F30" i="5"/>
  <c r="F31" i="5" s="1"/>
  <c r="E30" i="5"/>
  <c r="E31" i="5" s="1"/>
  <c r="K22" i="4"/>
  <c r="B36" i="15"/>
  <c r="G10" i="9"/>
  <c r="I10" i="9" s="1"/>
  <c r="B22" i="4"/>
  <c r="B33" i="4" s="1"/>
  <c r="B37" i="15"/>
  <c r="G12" i="9"/>
  <c r="B47" i="14"/>
  <c r="B48" i="14"/>
  <c r="O20" i="8"/>
  <c r="E12" i="14"/>
  <c r="E16" i="14" s="1"/>
  <c r="B9" i="14"/>
  <c r="D9" i="14" s="1"/>
  <c r="E7" i="1"/>
  <c r="E9" i="1" s="1"/>
  <c r="F7" i="1"/>
  <c r="F9" i="1" s="1"/>
  <c r="F11" i="1" s="1"/>
  <c r="B12" i="15"/>
  <c r="D12" i="15" s="1"/>
  <c r="B35" i="15"/>
  <c r="B46" i="14"/>
  <c r="F32" i="15"/>
  <c r="F42" i="14"/>
  <c r="C50" i="14"/>
  <c r="C39" i="15"/>
  <c r="D39" i="15"/>
  <c r="K32" i="4"/>
  <c r="B13" i="15"/>
  <c r="D13" i="15" s="1"/>
  <c r="B10" i="14"/>
  <c r="D10" i="14" s="1"/>
  <c r="O24" i="8"/>
  <c r="I8" i="1" s="1"/>
  <c r="B22" i="14"/>
  <c r="B21" i="14" s="1"/>
  <c r="B24" i="14" s="1"/>
  <c r="C21" i="14"/>
  <c r="C24" i="14" s="1"/>
  <c r="O16" i="8"/>
  <c r="D16" i="15"/>
  <c r="B15" i="15"/>
  <c r="D15" i="15" s="1"/>
  <c r="E19" i="15"/>
  <c r="G15" i="15"/>
  <c r="G19" i="15" s="1"/>
  <c r="K43" i="4" l="1"/>
  <c r="K33" i="4"/>
  <c r="B12" i="14"/>
  <c r="D12" i="14" s="1"/>
  <c r="G13" i="9"/>
  <c r="I13" i="9" s="1"/>
  <c r="G12" i="14"/>
  <c r="I7" i="1"/>
  <c r="I9" i="1" s="1"/>
  <c r="G11" i="9"/>
  <c r="I11" i="9" s="1"/>
  <c r="F14" i="9"/>
  <c r="I12" i="9"/>
  <c r="B39" i="15"/>
  <c r="B14" i="9"/>
  <c r="B50" i="14"/>
  <c r="B8" i="14"/>
  <c r="D8" i="14" s="1"/>
  <c r="B11" i="15"/>
  <c r="D11" i="15" s="1"/>
  <c r="E11" i="1"/>
  <c r="J8" i="1"/>
  <c r="K8" i="1"/>
  <c r="J7" i="1" l="1"/>
  <c r="K7" i="1" s="1"/>
  <c r="I14" i="9"/>
  <c r="G14" i="9"/>
  <c r="B16" i="14"/>
  <c r="B19" i="15"/>
  <c r="J9" i="1"/>
  <c r="K9" i="1" s="1"/>
  <c r="I11" i="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J15" authorId="0" shapeId="0">
      <text>
        <r>
          <rPr>
            <b/>
            <sz val="9"/>
            <color indexed="81"/>
            <rFont val="宋体"/>
            <family val="3"/>
            <charset val="134"/>
          </rPr>
          <t>提示:
法律费用、相关税费、搬运费、直接费用等。</t>
        </r>
        <r>
          <rPr>
            <sz val="9"/>
            <color indexed="81"/>
            <rFont val="宋体"/>
            <family val="3"/>
            <charset val="134"/>
          </rPr>
          <t xml:space="preserve">
</t>
        </r>
      </text>
    </comment>
  </commentList>
</comments>
</file>

<file path=xl/comments3.xml><?xml version="1.0" encoding="utf-8"?>
<comments xmlns="http://schemas.openxmlformats.org/spreadsheetml/2006/main">
  <authors>
    <author>1</author>
  </authors>
  <commentList>
    <comment ref="E8" authorId="0" shapeId="0">
      <text>
        <r>
          <rPr>
            <b/>
            <sz val="9"/>
            <color indexed="81"/>
            <rFont val="宋体"/>
            <family val="3"/>
            <charset val="134"/>
          </rPr>
          <t>提示:
法律费用、相关税费、搬运费、直接费用等。</t>
        </r>
        <r>
          <rPr>
            <sz val="9"/>
            <color indexed="81"/>
            <rFont val="宋体"/>
            <family val="3"/>
            <charset val="134"/>
          </rPr>
          <t xml:space="preserve">
</t>
        </r>
      </text>
    </comment>
  </commentList>
</comments>
</file>

<file path=xl/comments4.xml><?xml version="1.0" encoding="utf-8"?>
<comments xmlns="http://schemas.openxmlformats.org/spreadsheetml/2006/main">
  <authors>
    <author>lihong.li</author>
  </authors>
  <commentList>
    <comment ref="C17" authorId="0" shapeId="0">
      <text>
        <r>
          <rPr>
            <b/>
            <sz val="9"/>
            <color indexed="81"/>
            <rFont val="宋体"/>
            <family val="3"/>
            <charset val="134"/>
          </rPr>
          <t>lihong.li:</t>
        </r>
        <r>
          <rPr>
            <sz val="9"/>
            <color indexed="81"/>
            <rFont val="宋体"/>
            <family val="3"/>
            <charset val="134"/>
          </rPr>
          <t xml:space="preserve">
处置组中的流动资产，以及不属于42号准则计量范围内的非流动资产不应当分摊减值；
</t>
        </r>
      </text>
    </comment>
    <comment ref="A29" authorId="0" shapeId="0">
      <text>
        <r>
          <rPr>
            <b/>
            <sz val="9"/>
            <color indexed="81"/>
            <rFont val="宋体"/>
            <family val="3"/>
            <charset val="134"/>
          </rPr>
          <t>lihong.li:</t>
        </r>
        <r>
          <rPr>
            <sz val="9"/>
            <color indexed="81"/>
            <rFont val="宋体"/>
            <family val="3"/>
            <charset val="134"/>
          </rPr>
          <t xml:space="preserve">
减值应当先冲减处置组中商誉的账面价值，再根据处置中适用本准则计量规定的各项非流动资产账面价值所占比重，按比例抵减其账面价值。</t>
        </r>
      </text>
    </comment>
  </commentList>
</comments>
</file>

<file path=xl/sharedStrings.xml><?xml version="1.0" encoding="utf-8"?>
<sst xmlns="http://schemas.openxmlformats.org/spreadsheetml/2006/main" count="612" uniqueCount="408">
  <si>
    <t>期末数</t>
  </si>
  <si>
    <t>账面价值</t>
  </si>
  <si>
    <t xml:space="preserve">      ..</t>
    <phoneticPr fontId="5" type="noConversion"/>
  </si>
  <si>
    <t xml:space="preserve">         ……</t>
    <phoneticPr fontId="5"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</si>
  <si>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</si>
  <si>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</si>
  <si>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</si>
  <si>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r>
      <rPr>
        <sz val="10"/>
        <rFont val="宋体"/>
        <family val="3"/>
        <charset val="134"/>
      </rPr>
      <t>页次：</t>
    </r>
  </si>
  <si>
    <r>
      <rPr>
        <b/>
        <sz val="10"/>
        <color indexed="8"/>
        <rFont val="宋体"/>
        <family val="3"/>
        <charset val="134"/>
      </rPr>
      <t>一、审计目标</t>
    </r>
    <r>
      <rPr>
        <b/>
        <sz val="10"/>
        <color indexed="8"/>
        <rFont val="Arial Narrow"/>
        <family val="2"/>
      </rPr>
      <t>:</t>
    </r>
    <phoneticPr fontId="16" type="noConversion"/>
  </si>
  <si>
    <t>二、审计过程：</t>
    <phoneticPr fontId="5" type="noConversion"/>
  </si>
  <si>
    <r>
      <rPr>
        <b/>
        <sz val="10"/>
        <rFont val="宋体"/>
        <family val="3"/>
        <charset val="134"/>
      </rPr>
      <t>项目</t>
    </r>
    <phoneticPr fontId="5" type="noConversion"/>
  </si>
  <si>
    <r>
      <rPr>
        <b/>
        <sz val="10"/>
        <rFont val="宋体"/>
        <family val="3"/>
        <charset val="134"/>
      </rPr>
      <t>被划归为持有待售之前的账面价值
①</t>
    </r>
    <phoneticPr fontId="5" type="noConversion"/>
  </si>
  <si>
    <r>
      <rPr>
        <b/>
        <sz val="10"/>
        <rFont val="宋体"/>
        <family val="3"/>
        <charset val="134"/>
      </rPr>
      <t>净额
④</t>
    </r>
    <r>
      <rPr>
        <b/>
        <sz val="10"/>
        <rFont val="Arial Narrow"/>
        <family val="2"/>
      </rPr>
      <t>=</t>
    </r>
    <r>
      <rPr>
        <b/>
        <sz val="10"/>
        <rFont val="宋体"/>
        <family val="3"/>
        <charset val="134"/>
      </rPr>
      <t>①</t>
    </r>
    <r>
      <rPr>
        <b/>
        <sz val="10"/>
        <rFont val="Arial Narrow"/>
        <family val="2"/>
      </rPr>
      <t>-</t>
    </r>
    <r>
      <rPr>
        <b/>
        <sz val="10"/>
        <rFont val="宋体"/>
        <family val="3"/>
        <charset val="134"/>
      </rPr>
      <t>②</t>
    </r>
    <r>
      <rPr>
        <b/>
        <sz val="10"/>
        <rFont val="Arial Narrow"/>
        <family val="2"/>
      </rPr>
      <t>-</t>
    </r>
    <r>
      <rPr>
        <b/>
        <sz val="10"/>
        <rFont val="宋体"/>
        <family val="3"/>
        <charset val="134"/>
      </rPr>
      <t>③</t>
    </r>
    <phoneticPr fontId="5" type="noConversion"/>
  </si>
  <si>
    <r>
      <rPr>
        <b/>
        <sz val="10"/>
        <rFont val="宋体"/>
        <family val="3"/>
        <charset val="134"/>
      </rPr>
      <t>不再满足持有待售的原因</t>
    </r>
    <phoneticPr fontId="5" type="noConversion"/>
  </si>
  <si>
    <r>
      <rPr>
        <sz val="10"/>
        <rFont val="宋体"/>
        <family val="3"/>
        <charset val="134"/>
      </rPr>
      <t>其中：固定资产</t>
    </r>
    <phoneticPr fontId="5" type="noConversion"/>
  </si>
  <si>
    <r>
      <rPr>
        <b/>
        <sz val="10"/>
        <rFont val="宋体"/>
        <family val="3"/>
        <charset val="134"/>
      </rPr>
      <t>小计</t>
    </r>
    <phoneticPr fontId="5" type="noConversion"/>
  </si>
  <si>
    <r>
      <t xml:space="preserve">         </t>
    </r>
    <r>
      <rPr>
        <sz val="10"/>
        <rFont val="宋体"/>
        <family val="3"/>
        <charset val="134"/>
      </rPr>
      <t>货币资金</t>
    </r>
    <phoneticPr fontId="5" type="noConversion"/>
  </si>
  <si>
    <r>
      <t xml:space="preserve">         </t>
    </r>
    <r>
      <rPr>
        <sz val="10"/>
        <rFont val="宋体"/>
        <family val="3"/>
        <charset val="134"/>
      </rPr>
      <t>固定资产</t>
    </r>
    <phoneticPr fontId="5" type="noConversion"/>
  </si>
  <si>
    <r>
      <t xml:space="preserve">         </t>
    </r>
    <r>
      <rPr>
        <b/>
        <sz val="10"/>
        <rFont val="宋体"/>
        <family val="3"/>
        <charset val="134"/>
      </rPr>
      <t>小计</t>
    </r>
    <phoneticPr fontId="5" type="noConversion"/>
  </si>
  <si>
    <r>
      <rPr>
        <b/>
        <sz val="10"/>
        <rFont val="宋体"/>
        <family val="3"/>
        <charset val="134"/>
      </rPr>
      <t>资产合计</t>
    </r>
    <phoneticPr fontId="5" type="noConversion"/>
  </si>
  <si>
    <r>
      <t xml:space="preserve">         </t>
    </r>
    <r>
      <rPr>
        <sz val="10"/>
        <rFont val="宋体"/>
        <family val="3"/>
        <charset val="134"/>
      </rPr>
      <t>应付账款</t>
    </r>
    <phoneticPr fontId="5" type="noConversion"/>
  </si>
  <si>
    <r>
      <t xml:space="preserve">         </t>
    </r>
    <r>
      <rPr>
        <sz val="10"/>
        <rFont val="宋体"/>
        <family val="3"/>
        <charset val="134"/>
      </rPr>
      <t>长期应付款</t>
    </r>
    <phoneticPr fontId="5" type="noConversion"/>
  </si>
  <si>
    <r>
      <rPr>
        <b/>
        <sz val="10"/>
        <rFont val="宋体"/>
        <family val="3"/>
        <charset val="134"/>
      </rPr>
      <t>负债合计</t>
    </r>
    <phoneticPr fontId="5" type="noConversion"/>
  </si>
  <si>
    <r>
      <rPr>
        <b/>
        <sz val="10"/>
        <rFont val="宋体"/>
        <family val="3"/>
        <charset val="134"/>
      </rPr>
      <t>三、审计说明：</t>
    </r>
    <phoneticPr fontId="5" type="noConversion"/>
  </si>
  <si>
    <r>
      <rPr>
        <b/>
        <sz val="10"/>
        <rFont val="宋体"/>
        <family val="3"/>
        <charset val="134"/>
      </rPr>
      <t>四、审计结论：</t>
    </r>
    <phoneticPr fontId="31" type="noConversion"/>
  </si>
  <si>
    <r>
      <rPr>
        <b/>
        <sz val="10"/>
        <rFont val="宋体"/>
        <family val="3"/>
        <charset val="134"/>
      </rPr>
      <t>账面价值</t>
    </r>
    <phoneticPr fontId="5" type="noConversion"/>
  </si>
  <si>
    <t>销售协议价格</t>
    <phoneticPr fontId="5" type="noConversion"/>
  </si>
  <si>
    <t>资产活跃市场价格</t>
    <phoneticPr fontId="5" type="noConversion"/>
  </si>
  <si>
    <t>估计价格</t>
    <phoneticPr fontId="5" type="noConversion"/>
  </si>
  <si>
    <r>
      <rPr>
        <b/>
        <sz val="10"/>
        <rFont val="宋体"/>
        <family val="3"/>
        <charset val="134"/>
      </rPr>
      <t>公允价值</t>
    </r>
    <phoneticPr fontId="31" type="noConversion"/>
  </si>
  <si>
    <r>
      <t>"</t>
    </r>
    <r>
      <rPr>
        <sz val="10"/>
        <color theme="1"/>
        <rFont val="宋体"/>
        <family val="3"/>
        <charset val="134"/>
      </rPr>
      <t>请选择</t>
    </r>
    <r>
      <rPr>
        <sz val="10"/>
        <color theme="1"/>
        <rFont val="Arial Narrow"/>
        <family val="2"/>
      </rPr>
      <t>"</t>
    </r>
  </si>
  <si>
    <r>
      <rPr>
        <b/>
        <sz val="10"/>
        <color theme="1"/>
        <rFont val="宋体"/>
        <family val="3"/>
        <charset val="134"/>
      </rPr>
      <t>未审数</t>
    </r>
    <phoneticPr fontId="5" type="noConversion"/>
  </si>
  <si>
    <r>
      <rPr>
        <b/>
        <sz val="10"/>
        <color indexed="8"/>
        <rFont val="宋体"/>
        <family val="3"/>
        <charset val="134"/>
      </rPr>
      <t>期初调整</t>
    </r>
    <phoneticPr fontId="31" type="noConversion"/>
  </si>
  <si>
    <r>
      <rPr>
        <b/>
        <sz val="10"/>
        <color indexed="8"/>
        <rFont val="宋体"/>
        <family val="3"/>
        <charset val="134"/>
      </rPr>
      <t>账项调整</t>
    </r>
    <phoneticPr fontId="31" type="noConversion"/>
  </si>
  <si>
    <r>
      <rPr>
        <b/>
        <sz val="10"/>
        <color indexed="8"/>
        <rFont val="宋体"/>
        <family val="3"/>
        <charset val="134"/>
      </rPr>
      <t>重分类调整</t>
    </r>
    <phoneticPr fontId="31" type="noConversion"/>
  </si>
  <si>
    <r>
      <rPr>
        <b/>
        <sz val="10"/>
        <rFont val="宋体"/>
        <family val="3"/>
        <charset val="134"/>
      </rPr>
      <t>审定数</t>
    </r>
    <phoneticPr fontId="5" type="noConversion"/>
  </si>
  <si>
    <t>期初数</t>
    <phoneticPr fontId="5" type="noConversion"/>
  </si>
  <si>
    <r>
      <rPr>
        <b/>
        <sz val="10"/>
        <color theme="1"/>
        <rFont val="宋体"/>
        <family val="3"/>
        <charset val="134"/>
      </rPr>
      <t>本期增加</t>
    </r>
    <phoneticPr fontId="5" type="noConversion"/>
  </si>
  <si>
    <t>本期减少</t>
    <phoneticPr fontId="5" type="noConversion"/>
  </si>
  <si>
    <t>期末数</t>
    <phoneticPr fontId="5" type="noConversion"/>
  </si>
  <si>
    <r>
      <rPr>
        <b/>
        <sz val="10"/>
        <color theme="1"/>
        <rFont val="宋体"/>
        <family val="3"/>
        <charset val="134"/>
      </rPr>
      <t>账项调整</t>
    </r>
    <phoneticPr fontId="5" type="noConversion"/>
  </si>
  <si>
    <r>
      <rPr>
        <b/>
        <sz val="10"/>
        <color theme="1"/>
        <rFont val="宋体"/>
        <family val="3"/>
        <charset val="134"/>
      </rPr>
      <t>重分类调整</t>
    </r>
    <phoneticPr fontId="31" type="noConversion"/>
  </si>
  <si>
    <t>本期增加</t>
    <phoneticPr fontId="5" type="noConversion"/>
  </si>
  <si>
    <r>
      <rPr>
        <sz val="10"/>
        <rFont val="宋体"/>
        <family val="3"/>
        <charset val="134"/>
      </rPr>
      <t>其中：子公司</t>
    </r>
    <r>
      <rPr>
        <sz val="10"/>
        <color indexed="8"/>
        <rFont val="Arial Narrow"/>
        <family val="2"/>
      </rPr>
      <t>A</t>
    </r>
    <phoneticPr fontId="5" type="noConversion"/>
  </si>
  <si>
    <t>项目</t>
  </si>
  <si>
    <r>
      <rPr>
        <b/>
        <sz val="10"/>
        <rFont val="宋体"/>
        <family val="3"/>
        <charset val="134"/>
      </rPr>
      <t>期初数</t>
    </r>
    <phoneticPr fontId="5" type="noConversion"/>
  </si>
  <si>
    <r>
      <rPr>
        <b/>
        <sz val="10"/>
        <rFont val="宋体"/>
        <family val="3"/>
        <charset val="134"/>
      </rPr>
      <t>期末数</t>
    </r>
    <phoneticPr fontId="5" type="noConversion"/>
  </si>
  <si>
    <r>
      <rPr>
        <b/>
        <sz val="10"/>
        <color indexed="8"/>
        <rFont val="宋体"/>
        <family val="3"/>
        <charset val="134"/>
      </rPr>
      <t>本期审定数与上期
审定数的比较</t>
    </r>
    <phoneticPr fontId="5" type="noConversion"/>
  </si>
  <si>
    <r>
      <rPr>
        <b/>
        <sz val="10"/>
        <color indexed="8"/>
        <rFont val="宋体"/>
        <family val="3"/>
        <charset val="134"/>
      </rPr>
      <t>原因分析</t>
    </r>
    <phoneticPr fontId="5" type="noConversion"/>
  </si>
  <si>
    <r>
      <rPr>
        <b/>
        <sz val="10"/>
        <rFont val="宋体"/>
        <family val="3"/>
        <charset val="134"/>
      </rPr>
      <t>未审数</t>
    </r>
    <phoneticPr fontId="5" type="noConversion"/>
  </si>
  <si>
    <r>
      <rPr>
        <b/>
        <sz val="10"/>
        <rFont val="宋体"/>
        <family val="3"/>
        <charset val="134"/>
      </rPr>
      <t>账项调整</t>
    </r>
    <phoneticPr fontId="5" type="noConversion"/>
  </si>
  <si>
    <r>
      <rPr>
        <b/>
        <sz val="10"/>
        <rFont val="宋体"/>
        <family val="3"/>
        <charset val="134"/>
      </rPr>
      <t>重分类调整</t>
    </r>
    <phoneticPr fontId="5" type="noConversion"/>
  </si>
  <si>
    <r>
      <rPr>
        <b/>
        <sz val="10"/>
        <rFont val="宋体"/>
        <family val="3"/>
        <charset val="134"/>
      </rPr>
      <t>变动额</t>
    </r>
    <phoneticPr fontId="5" type="noConversion"/>
  </si>
  <si>
    <r>
      <rPr>
        <b/>
        <sz val="10"/>
        <color indexed="8"/>
        <rFont val="宋体"/>
        <family val="3"/>
        <charset val="134"/>
      </rPr>
      <t>变动率</t>
    </r>
    <phoneticPr fontId="5" type="noConversion"/>
  </si>
  <si>
    <t>合计</t>
    <phoneticPr fontId="5" type="noConversion"/>
  </si>
  <si>
    <r>
      <rPr>
        <sz val="10"/>
        <rFont val="宋体"/>
        <family val="3"/>
        <charset val="134"/>
      </rPr>
      <t>（</t>
    </r>
    <r>
      <rPr>
        <sz val="10"/>
        <rFont val="Arial Narrow"/>
        <family val="2"/>
      </rPr>
      <t>1</t>
    </r>
    <r>
      <rPr>
        <sz val="10"/>
        <rFont val="宋体"/>
        <family val="3"/>
        <charset val="134"/>
      </rPr>
      <t>）持有待售资产</t>
    </r>
    <r>
      <rPr>
        <sz val="10"/>
        <rFont val="Arial Narrow"/>
        <family val="2"/>
      </rPr>
      <t>/</t>
    </r>
    <r>
      <rPr>
        <sz val="10"/>
        <rFont val="宋体"/>
        <family val="3"/>
        <charset val="134"/>
      </rPr>
      <t>负债本期较上期增加（负数为减少）：</t>
    </r>
    <phoneticPr fontId="5"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</si>
  <si>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5" type="noConversion"/>
  </si>
  <si>
    <r>
      <rPr>
        <sz val="10"/>
        <rFont val="宋体"/>
        <family val="3"/>
        <charset val="134"/>
      </rPr>
      <t>（</t>
    </r>
    <r>
      <rPr>
        <sz val="10"/>
        <rFont val="Arial Narrow"/>
        <family val="2"/>
      </rPr>
      <t>2</t>
    </r>
    <r>
      <rPr>
        <sz val="10"/>
        <rFont val="宋体"/>
        <family val="3"/>
        <charset val="134"/>
      </rPr>
      <t>）情况说明。</t>
    </r>
    <phoneticPr fontId="5" type="noConversion"/>
  </si>
  <si>
    <r>
      <rPr>
        <b/>
        <sz val="12"/>
        <rFont val="宋体"/>
        <family val="3"/>
        <charset val="134"/>
      </rPr>
      <t>底稿开列时，可先在以下单元格填写有关内容，以便其他底稿引用有关数据：</t>
    </r>
    <phoneticPr fontId="5" type="noConversion"/>
  </si>
  <si>
    <r>
      <t xml:space="preserve">            </t>
    </r>
    <r>
      <rPr>
        <sz val="10"/>
        <rFont val="宋体"/>
        <family val="3"/>
        <charset val="134"/>
      </rPr>
      <t>分</t>
    </r>
    <r>
      <rPr>
        <sz val="10"/>
        <color indexed="8"/>
        <rFont val="宋体"/>
        <family val="3"/>
        <charset val="134"/>
      </rPr>
      <t>公司</t>
    </r>
    <r>
      <rPr>
        <sz val="10"/>
        <color indexed="8"/>
        <rFont val="Arial Narrow"/>
        <family val="2"/>
      </rPr>
      <t>B</t>
    </r>
    <phoneticPr fontId="5" type="noConversion"/>
  </si>
  <si>
    <t>非流动资产或处置组划分为持有待售类别，应当同时满足下列条件：根据类似交易中出售此类资产或处置组的惯例，在当前状况下即可立即出售；出售极可能发生，即企业已经就一项出售计划作出决议且获得确定的购买承诺，预计出售将在一年内完成。有关规定要求企业相关权力机构或者监管部门批准后方可出售的，应当已经获得批准。</t>
    <phoneticPr fontId="5" type="noConversion"/>
  </si>
  <si>
    <r>
      <rPr>
        <sz val="10"/>
        <color rgb="FF0000FF"/>
        <rFont val="宋体"/>
        <family val="3"/>
        <charset val="134"/>
      </rPr>
      <t>编制说明：</t>
    </r>
    <phoneticPr fontId="5" type="noConversion"/>
  </si>
  <si>
    <r>
      <rPr>
        <sz val="10"/>
        <color rgb="FF0000FF"/>
        <rFont val="宋体"/>
        <family val="3"/>
        <charset val="134"/>
      </rPr>
      <t>持有待售的资产包括单项资产和处置组。在特定情况下，处置组包括企业合并中取得的商誉等。</t>
    </r>
  </si>
  <si>
    <r>
      <rPr>
        <sz val="10"/>
        <color rgb="FF0000FF"/>
        <rFont val="宋体"/>
        <family val="3"/>
        <charset val="134"/>
      </rPr>
      <t>持有待售的非流动资产和持有待售的处置组</t>
    </r>
    <r>
      <rPr>
        <sz val="10"/>
        <color rgb="FF0000FF"/>
        <rFont val="Arial Narrow"/>
        <family val="2"/>
      </rPr>
      <t> </t>
    </r>
    <r>
      <rPr>
        <sz val="10"/>
        <color rgb="FF0000FF"/>
        <rFont val="宋体"/>
        <family val="3"/>
        <charset val="134"/>
      </rPr>
      <t>中的资产不计提折旧或进行摊销，按照账面价值与公允价值减去出售费用后的净额孰低进行计量，并列报为</t>
    </r>
    <r>
      <rPr>
        <sz val="10"/>
        <color rgb="FF0000FF"/>
        <rFont val="Arial Narrow"/>
        <family val="2"/>
      </rPr>
      <t>“</t>
    </r>
    <r>
      <rPr>
        <sz val="10"/>
        <color rgb="FF0000FF"/>
        <rFont val="宋体"/>
        <family val="3"/>
        <charset val="134"/>
      </rPr>
      <t>划分为持有待售的资产</t>
    </r>
    <r>
      <rPr>
        <sz val="10"/>
        <color rgb="FF0000FF"/>
        <rFont val="Arial Narrow"/>
        <family val="2"/>
      </rPr>
      <t>”</t>
    </r>
    <r>
      <rPr>
        <sz val="10"/>
        <color rgb="FF0000FF"/>
        <rFont val="宋体"/>
        <family val="3"/>
        <charset val="134"/>
      </rPr>
      <t>。持有待售的处置组中的负债，列报为</t>
    </r>
    <r>
      <rPr>
        <sz val="10"/>
        <color rgb="FF0000FF"/>
        <rFont val="Arial Narrow"/>
        <family val="2"/>
      </rPr>
      <t>“</t>
    </r>
    <r>
      <rPr>
        <sz val="10"/>
        <color rgb="FF0000FF"/>
        <rFont val="宋体"/>
        <family val="3"/>
        <charset val="134"/>
      </rPr>
      <t>划分为持有待售的负债</t>
    </r>
    <r>
      <rPr>
        <sz val="10"/>
        <color rgb="FF0000FF"/>
        <rFont val="Arial Narrow"/>
        <family val="2"/>
      </rPr>
      <t>”</t>
    </r>
    <r>
      <rPr>
        <sz val="10"/>
        <color rgb="FF0000FF"/>
        <rFont val="宋体"/>
        <family val="3"/>
        <charset val="134"/>
      </rPr>
      <t>。</t>
    </r>
    <phoneticPr fontId="5" type="noConversion"/>
  </si>
  <si>
    <r>
      <rPr>
        <sz val="10"/>
        <color rgb="FF0000FF"/>
        <rFont val="宋体"/>
        <family val="3"/>
        <charset val="134"/>
      </rPr>
      <t>某项非流动资产或处置组被划归为持有待售，但后来不再满足持有待售的非流动资产的确认条件，企业应当停止将其划归为持有待售，并按照下列两项金额中较低者计量：</t>
    </r>
  </si>
  <si>
    <r>
      <rPr>
        <sz val="10"/>
        <color rgb="FF0000FF"/>
        <rFont val="宋体"/>
        <family val="3"/>
        <charset val="134"/>
      </rPr>
      <t>②</t>
    </r>
    <r>
      <rPr>
        <sz val="10"/>
        <color rgb="FF0000FF"/>
        <rFont val="Arial Narrow"/>
        <family val="2"/>
      </rPr>
      <t xml:space="preserve"> </t>
    </r>
    <r>
      <rPr>
        <sz val="10"/>
        <color rgb="FF0000FF"/>
        <rFont val="宋体"/>
        <family val="3"/>
        <charset val="134"/>
      </rPr>
      <t>决定不再出售之日的可收回金额。</t>
    </r>
    <phoneticPr fontId="5" type="noConversion"/>
  </si>
  <si>
    <r>
      <rPr>
        <sz val="10"/>
        <color rgb="FF0000FF"/>
        <rFont val="宋体"/>
        <family val="3"/>
        <charset val="134"/>
      </rPr>
      <t>①</t>
    </r>
    <r>
      <rPr>
        <sz val="10"/>
        <color rgb="FF0000FF"/>
        <rFont val="Arial Narrow"/>
        <family val="2"/>
      </rPr>
      <t xml:space="preserve"> </t>
    </r>
    <r>
      <rPr>
        <sz val="10"/>
        <color rgb="FF0000FF"/>
        <rFont val="宋体"/>
        <family val="3"/>
        <charset val="134"/>
      </rPr>
      <t>划分为持有待售类别前的账面价值，按照假定不划分为持有待售类别情况下本应确认的折旧、摊销或减值等进行调整后的金额；</t>
    </r>
    <phoneticPr fontId="5" type="noConversion"/>
  </si>
  <si>
    <t>出售费用（资产处置的直接归属费用）</t>
    <phoneticPr fontId="5" type="noConversion"/>
  </si>
  <si>
    <t>公允价值减去出售费用后的净额</t>
    <phoneticPr fontId="5" type="noConversion"/>
  </si>
  <si>
    <t>根据类似交易中出售此类资产或处置组的惯例，在当前状况下即可立即出售</t>
    <phoneticPr fontId="5" type="noConversion"/>
  </si>
  <si>
    <t>预计出售时间（预计出售将在一年内完成）</t>
    <phoneticPr fontId="5" type="noConversion"/>
  </si>
  <si>
    <t>与受让方签订的不可撤销的具有法律约束力的购买协议
（索引）</t>
    <phoneticPr fontId="5" type="noConversion"/>
  </si>
  <si>
    <r>
      <rPr>
        <b/>
        <sz val="10"/>
        <rFont val="宋体"/>
        <family val="3"/>
        <charset val="134"/>
      </rPr>
      <t>不再满足持有待售的处置组中的负债：</t>
    </r>
    <phoneticPr fontId="5" type="noConversion"/>
  </si>
  <si>
    <t>决定不再出售之日的可收回金额</t>
    <phoneticPr fontId="5" type="noConversion"/>
  </si>
  <si>
    <t>与受让方之间签订的不再处置的协议等（索引）</t>
    <phoneticPr fontId="5" type="noConversion"/>
  </si>
  <si>
    <t>被审计单位不再处置该非流动资产或处置组的决议（索引）</t>
    <phoneticPr fontId="5" type="noConversion"/>
  </si>
  <si>
    <t>被审计单位就出售计划作出决议（索引）</t>
    <phoneticPr fontId="5" type="noConversion"/>
  </si>
  <si>
    <t>持有待售资产</t>
    <phoneticPr fontId="5" type="noConversion"/>
  </si>
  <si>
    <t>持有待售负债</t>
    <phoneticPr fontId="5" type="noConversion"/>
  </si>
  <si>
    <t>期末账面价值</t>
  </si>
  <si>
    <t>期末公允价值</t>
  </si>
  <si>
    <t>时间安排</t>
  </si>
  <si>
    <t>持有待售资产和负债明细表</t>
    <phoneticPr fontId="5" type="noConversion"/>
  </si>
  <si>
    <t>持有待售的非流动资产：</t>
    <phoneticPr fontId="5" type="noConversion"/>
  </si>
  <si>
    <t>持有待售的处置组中的资产：</t>
    <phoneticPr fontId="5" type="noConversion"/>
  </si>
  <si>
    <t>持有待售的处置组中的负债：</t>
    <phoneticPr fontId="5" type="noConversion"/>
  </si>
  <si>
    <t>持有待售的非流动资产：</t>
    <phoneticPr fontId="5" type="noConversion"/>
  </si>
  <si>
    <t>账面价值</t>
    <phoneticPr fontId="5" type="noConversion"/>
  </si>
  <si>
    <t>应计提减值准备</t>
    <phoneticPr fontId="5" type="noConversion"/>
  </si>
  <si>
    <t>账面期末减值准备</t>
    <phoneticPr fontId="5" type="noConversion"/>
  </si>
  <si>
    <t>应补提或转回的减值准备</t>
    <phoneticPr fontId="5" type="noConversion"/>
  </si>
  <si>
    <t>备注</t>
    <phoneticPr fontId="5" type="noConversion"/>
  </si>
  <si>
    <t>持有待售的处置组：</t>
    <phoneticPr fontId="5" type="noConversion"/>
  </si>
  <si>
    <r>
      <rPr>
        <sz val="10"/>
        <rFont val="宋体"/>
        <family val="3"/>
        <charset val="134"/>
      </rPr>
      <t>子公司</t>
    </r>
    <r>
      <rPr>
        <sz val="10"/>
        <rFont val="Arial Narrow"/>
        <family val="2"/>
      </rPr>
      <t>A</t>
    </r>
    <phoneticPr fontId="5" type="noConversion"/>
  </si>
  <si>
    <r>
      <rPr>
        <sz val="10"/>
        <rFont val="宋体"/>
        <family val="3"/>
        <charset val="134"/>
      </rPr>
      <t>分公司</t>
    </r>
    <r>
      <rPr>
        <sz val="10"/>
        <rFont val="Arial Narrow"/>
        <family val="2"/>
      </rPr>
      <t>B</t>
    </r>
    <phoneticPr fontId="31" type="noConversion"/>
  </si>
  <si>
    <t>应补提或转回的减值准备</t>
    <phoneticPr fontId="5" type="noConversion"/>
  </si>
  <si>
    <r>
      <rPr>
        <b/>
        <sz val="10"/>
        <rFont val="宋体"/>
        <family val="3"/>
        <charset val="134"/>
      </rPr>
      <t>项目</t>
    </r>
    <phoneticPr fontId="5" type="noConversion"/>
  </si>
  <si>
    <r>
      <t xml:space="preserve">    </t>
    </r>
    <r>
      <rPr>
        <sz val="10"/>
        <rFont val="宋体"/>
        <family val="3"/>
        <charset val="134"/>
      </rPr>
      <t>存货</t>
    </r>
    <phoneticPr fontId="5" type="noConversion"/>
  </si>
  <si>
    <t xml:space="preserve">  其他应收款</t>
    <phoneticPr fontId="5" type="noConversion"/>
  </si>
  <si>
    <r>
      <t xml:space="preserve">     </t>
    </r>
    <r>
      <rPr>
        <sz val="10"/>
        <rFont val="宋体"/>
        <family val="3"/>
        <charset val="134"/>
      </rPr>
      <t>预付账款</t>
    </r>
    <phoneticPr fontId="5" type="noConversion"/>
  </si>
  <si>
    <r>
      <t xml:space="preserve">     </t>
    </r>
    <r>
      <rPr>
        <sz val="10"/>
        <rFont val="宋体"/>
        <family val="3"/>
        <charset val="134"/>
      </rPr>
      <t>应收票据及应收账款</t>
    </r>
    <phoneticPr fontId="5" type="noConversion"/>
  </si>
  <si>
    <r>
      <t xml:space="preserve">     </t>
    </r>
    <r>
      <rPr>
        <sz val="10"/>
        <rFont val="宋体"/>
        <family val="3"/>
        <charset val="134"/>
      </rPr>
      <t>以公允价值计量且其变动计入当期损益的金融资产</t>
    </r>
    <phoneticPr fontId="5" type="noConversion"/>
  </si>
  <si>
    <r>
      <t xml:space="preserve">     </t>
    </r>
    <r>
      <rPr>
        <sz val="10"/>
        <rFont val="宋体"/>
        <family val="3"/>
        <charset val="134"/>
      </rPr>
      <t>货币资金</t>
    </r>
    <phoneticPr fontId="5" type="noConversion"/>
  </si>
  <si>
    <t>流动资产</t>
    <phoneticPr fontId="5" type="noConversion"/>
  </si>
  <si>
    <r>
      <rPr>
        <b/>
        <sz val="10"/>
        <rFont val="宋体"/>
        <family val="3"/>
        <charset val="134"/>
      </rPr>
      <t>资产类：</t>
    </r>
    <phoneticPr fontId="5" type="noConversion"/>
  </si>
  <si>
    <r>
      <t xml:space="preserve">    </t>
    </r>
    <r>
      <rPr>
        <sz val="10"/>
        <rFont val="宋体"/>
        <family val="3"/>
        <charset val="134"/>
      </rPr>
      <t>一年内到期的非流动资产</t>
    </r>
    <phoneticPr fontId="5" type="noConversion"/>
  </si>
  <si>
    <r>
      <t xml:space="preserve">    </t>
    </r>
    <r>
      <rPr>
        <sz val="10"/>
        <rFont val="宋体"/>
        <family val="3"/>
        <charset val="134"/>
      </rPr>
      <t>其他流动资产</t>
    </r>
    <phoneticPr fontId="5" type="noConversion"/>
  </si>
  <si>
    <t>非流动资产</t>
    <phoneticPr fontId="5" type="noConversion"/>
  </si>
  <si>
    <t>…</t>
    <phoneticPr fontId="5" type="noConversion"/>
  </si>
  <si>
    <t>资产负债表日
未分摊减值前的账面价值</t>
    <phoneticPr fontId="5" type="noConversion"/>
  </si>
  <si>
    <t>报表项目</t>
    <phoneticPr fontId="5" type="noConversion"/>
  </si>
  <si>
    <t>持有待售资产类合计</t>
    <phoneticPr fontId="5" type="noConversion"/>
  </si>
  <si>
    <r>
      <t xml:space="preserve">    </t>
    </r>
    <r>
      <rPr>
        <sz val="10"/>
        <rFont val="宋体"/>
        <family val="3"/>
        <charset val="134"/>
      </rPr>
      <t>应付票据及应付账款</t>
    </r>
    <phoneticPr fontId="5" type="noConversion"/>
  </si>
  <si>
    <t xml:space="preserve">  其他应付款</t>
    <phoneticPr fontId="5" type="noConversion"/>
  </si>
  <si>
    <r>
      <t xml:space="preserve">     </t>
    </r>
    <r>
      <rPr>
        <sz val="10"/>
        <rFont val="宋体"/>
        <family val="3"/>
        <charset val="134"/>
      </rPr>
      <t>预付负债</t>
    </r>
    <phoneticPr fontId="5" type="noConversion"/>
  </si>
  <si>
    <t>持有待售负债类合计</t>
    <phoneticPr fontId="5" type="noConversion"/>
  </si>
  <si>
    <t>流动负债：</t>
    <phoneticPr fontId="5" type="noConversion"/>
  </si>
  <si>
    <t>非流动负债；</t>
    <phoneticPr fontId="5" type="noConversion"/>
  </si>
  <si>
    <t xml:space="preserve">  应付职工薪酬</t>
    <phoneticPr fontId="5" type="noConversion"/>
  </si>
  <si>
    <t xml:space="preserve">  应交税费</t>
    <phoneticPr fontId="5" type="noConversion"/>
  </si>
  <si>
    <t>资产负债表日
分摊减值后的账面价值</t>
    <phoneticPr fontId="5" type="noConversion"/>
  </si>
  <si>
    <t>资产负债表日
未审账面价值</t>
    <phoneticPr fontId="5" type="noConversion"/>
  </si>
  <si>
    <t>应补提或转回的减值准备</t>
    <phoneticPr fontId="5" type="noConversion"/>
  </si>
  <si>
    <r>
      <t xml:space="preserve">    </t>
    </r>
    <r>
      <rPr>
        <sz val="10"/>
        <color rgb="FFFF0000"/>
        <rFont val="宋体"/>
        <family val="3"/>
        <charset val="134"/>
      </rPr>
      <t>长期股权投资</t>
    </r>
    <phoneticPr fontId="5" type="noConversion"/>
  </si>
  <si>
    <r>
      <t xml:space="preserve">    </t>
    </r>
    <r>
      <rPr>
        <sz val="10"/>
        <color rgb="FFFF0000"/>
        <rFont val="宋体"/>
        <family val="3"/>
        <charset val="134"/>
      </rPr>
      <t>投资性房地产</t>
    </r>
    <phoneticPr fontId="5" type="noConversion"/>
  </si>
  <si>
    <r>
      <t xml:space="preserve">    </t>
    </r>
    <r>
      <rPr>
        <sz val="10"/>
        <color rgb="FFFF0000"/>
        <rFont val="宋体"/>
        <family val="3"/>
        <charset val="134"/>
      </rPr>
      <t>固定资产</t>
    </r>
    <phoneticPr fontId="5" type="noConversion"/>
  </si>
  <si>
    <r>
      <t xml:space="preserve">    </t>
    </r>
    <r>
      <rPr>
        <sz val="10"/>
        <color rgb="FFFF0000"/>
        <rFont val="宋体"/>
        <family val="3"/>
        <charset val="134"/>
      </rPr>
      <t>无形资产</t>
    </r>
    <phoneticPr fontId="5" type="noConversion"/>
  </si>
  <si>
    <r>
      <t xml:space="preserve">   </t>
    </r>
    <r>
      <rPr>
        <sz val="10"/>
        <color rgb="FFFF0000"/>
        <rFont val="宋体"/>
        <family val="3"/>
        <charset val="134"/>
      </rPr>
      <t>在建工程</t>
    </r>
    <phoneticPr fontId="5" type="noConversion"/>
  </si>
  <si>
    <r>
      <t xml:space="preserve">   </t>
    </r>
    <r>
      <rPr>
        <sz val="10"/>
        <color rgb="FFFF0000"/>
        <rFont val="宋体"/>
        <family val="3"/>
        <charset val="134"/>
      </rPr>
      <t>开发支出</t>
    </r>
    <phoneticPr fontId="5" type="noConversion"/>
  </si>
  <si>
    <t xml:space="preserve">  商誉</t>
    <phoneticPr fontId="5" type="noConversion"/>
  </si>
  <si>
    <t>勾稽一致</t>
    <phoneticPr fontId="5" type="noConversion"/>
  </si>
  <si>
    <t>处置组减值的分摊</t>
    <phoneticPr fontId="5" type="noConversion"/>
  </si>
  <si>
    <t>持有待售的处置组中的资产：</t>
  </si>
  <si>
    <t>持有待售的处置组中的负债：</t>
  </si>
  <si>
    <r>
      <rPr>
        <sz val="10"/>
        <rFont val="宋体"/>
        <family val="3"/>
        <charset val="134"/>
      </rPr>
      <t>子公司</t>
    </r>
    <r>
      <rPr>
        <sz val="10"/>
        <rFont val="Arial Narrow"/>
        <family val="2"/>
      </rPr>
      <t>A</t>
    </r>
    <phoneticPr fontId="31" type="noConversion"/>
  </si>
  <si>
    <r>
      <rPr>
        <sz val="10"/>
        <rFont val="宋体"/>
        <family val="3"/>
        <charset val="134"/>
      </rPr>
      <t>分公司</t>
    </r>
    <r>
      <rPr>
        <sz val="10"/>
        <rFont val="Arial Narrow"/>
        <family val="2"/>
      </rPr>
      <t>B</t>
    </r>
    <phoneticPr fontId="31" type="noConversion"/>
  </si>
  <si>
    <t>负债合计</t>
    <phoneticPr fontId="31" type="noConversion"/>
  </si>
  <si>
    <t>货币资金</t>
    <phoneticPr fontId="31" type="noConversion"/>
  </si>
  <si>
    <t>固定资产</t>
    <phoneticPr fontId="31" type="noConversion"/>
  </si>
  <si>
    <r>
      <rPr>
        <sz val="10"/>
        <rFont val="宋体"/>
        <family val="3"/>
        <charset val="134"/>
      </rPr>
      <t>子公司</t>
    </r>
    <r>
      <rPr>
        <sz val="10"/>
        <rFont val="Arial Narrow"/>
        <family val="2"/>
      </rPr>
      <t>A</t>
    </r>
    <r>
      <rPr>
        <sz val="10"/>
        <rFont val="宋体"/>
        <family val="3"/>
        <charset val="134"/>
      </rPr>
      <t>：</t>
    </r>
    <phoneticPr fontId="5" type="noConversion"/>
  </si>
  <si>
    <r>
      <rPr>
        <sz val="10"/>
        <rFont val="宋体"/>
        <family val="3"/>
        <charset val="134"/>
      </rPr>
      <t>分公司</t>
    </r>
    <r>
      <rPr>
        <sz val="10"/>
        <rFont val="Arial Narrow"/>
        <family val="2"/>
      </rPr>
      <t>B</t>
    </r>
    <r>
      <rPr>
        <sz val="10"/>
        <rFont val="宋体"/>
        <family val="3"/>
        <charset val="134"/>
      </rPr>
      <t>：</t>
    </r>
    <phoneticPr fontId="31" type="noConversion"/>
  </si>
  <si>
    <t>应付票据及应付账款</t>
  </si>
  <si>
    <t>长期应付款</t>
  </si>
  <si>
    <t>致同会计师事务所</t>
    <phoneticPr fontId="5" type="noConversion"/>
  </si>
  <si>
    <t>持有待售的资产和负债实质性程序</t>
    <phoneticPr fontId="5" type="noConversion"/>
  </si>
  <si>
    <r>
      <rPr>
        <b/>
        <sz val="10"/>
        <rFont val="宋体"/>
        <family val="3"/>
        <charset val="134"/>
      </rPr>
      <t>财务报表的认定　</t>
    </r>
  </si>
  <si>
    <t>√</t>
    <phoneticPr fontId="5" type="noConversion"/>
  </si>
  <si>
    <t>三、计划实施的实质性程序</t>
    <phoneticPr fontId="5" type="noConversion"/>
  </si>
  <si>
    <t>常规★</t>
    <phoneticPr fontId="5" type="noConversion"/>
  </si>
  <si>
    <t>T1</t>
    <phoneticPr fontId="5" type="noConversion"/>
  </si>
  <si>
    <r>
      <rPr>
        <sz val="10"/>
        <color indexed="8"/>
        <rFont val="宋体"/>
        <family val="3"/>
        <charset val="134"/>
      </rPr>
      <t>索引号：</t>
    </r>
  </si>
  <si>
    <t>页次：</t>
  </si>
  <si>
    <t>调整事项说明</t>
    <phoneticPr fontId="5" type="noConversion"/>
  </si>
  <si>
    <t>类别（报表调整/账项调整/其他）</t>
    <phoneticPr fontId="5" type="noConversion"/>
  </si>
  <si>
    <t>科目名称</t>
    <phoneticPr fontId="5" type="noConversion"/>
  </si>
  <si>
    <t>附注项目</t>
    <phoneticPr fontId="5" type="noConversion"/>
  </si>
  <si>
    <t>……</t>
    <phoneticPr fontId="5" type="noConversion"/>
  </si>
  <si>
    <t>借方调整金额</t>
    <phoneticPr fontId="5" type="noConversion"/>
  </si>
  <si>
    <t>贷方调整金额</t>
    <phoneticPr fontId="5" type="noConversion"/>
  </si>
  <si>
    <t>索引</t>
    <phoneticPr fontId="5" type="noConversion"/>
  </si>
  <si>
    <t>持有待售资产和负债调整分录汇总表</t>
    <phoneticPr fontId="5" type="noConversion"/>
  </si>
  <si>
    <t>TB数据：</t>
    <phoneticPr fontId="5" type="noConversion"/>
  </si>
  <si>
    <t>差异：</t>
    <phoneticPr fontId="5" type="noConversion"/>
  </si>
  <si>
    <t>项  目</t>
  </si>
  <si>
    <t>上年年末数</t>
  </si>
  <si>
    <t>账面余额</t>
  </si>
  <si>
    <t>减值准备</t>
  </si>
  <si>
    <t>（一）持有待售非流动资产</t>
  </si>
  <si>
    <t>其中：固定资产</t>
  </si>
  <si>
    <t xml:space="preserve">      无形资产</t>
  </si>
  <si>
    <t xml:space="preserve">      ……</t>
  </si>
  <si>
    <t>（二）持有待售处置组中的资产</t>
  </si>
  <si>
    <t>其中：子公司A</t>
  </si>
  <si>
    <t xml:space="preserve">      分公司B</t>
  </si>
  <si>
    <t>合  计</t>
  </si>
  <si>
    <t>【提示：“持有待售资产”，反映资产负债表日划分为持有待售类别的非流动资产及划分为持有待售类别的处置组中的流动资产和非流动资产的期末账面价值。该项目应根据在资产类科目新设置的“持有待售资产”科目的期末余额，减去“持有待售资产减值准备”科目的期末余额后的金额填列。】</t>
  </si>
  <si>
    <t>【根据《企业会计准则第37号——金融工具列报》第三条，本准则适用于所有企业各种类型的金融工具。因此，如果是包含金融资产的处置组，则可以整体适用《企业会计准则第42号——持有待售的非流动资产、处置组和终止经营》的分类和列报要求（计量仍适用金融工具准则）；如果是单项金融工具，应该按《企业会计准则第37号——金融工具列报》进行处理。】</t>
  </si>
  <si>
    <t>持有待售负债：</t>
  </si>
  <si>
    <t>持有待售的处置组中的负债</t>
  </si>
  <si>
    <t>【提示：“持有待售负债”，反映资产负债表日处置组中与划分为持有待售类别的资产直接相关的负债的期末账面价值。该项目应根据在负债类科目新设置的“持有待售负债”科目的期末余额填列。】</t>
  </si>
  <si>
    <t>说明：（应当说明持有待售的非流动资产或处置组的出售原因、方式、分部及有关的综合收益累计金额。）</t>
  </si>
  <si>
    <t>【披露示例如下：</t>
  </si>
  <si>
    <t>2021年X月，本公司管理层因[描述出售原因]决定将其XX分部出售给XX公司。上述拟出售的XX分部作为[持有待售的处置组1]列报。</t>
  </si>
  <si>
    <t>本公司将[持有待售的处置组1]的账面价值减计至公允价值减去出售费用后的净额，确认减值损失人民币XX元，同时对[持有待售的处置组1]中[固定资产][、][无形资产][及其他处置组中的资产]分别计提减值准备人民币XX元[、][人民币XX元][及人民币XX元]。</t>
  </si>
  <si>
    <t>与[持有待售的处置组1]有关的其他综合收益累计金额为人民币XX元。】</t>
  </si>
  <si>
    <t>（1）持有待售资产减值准备</t>
  </si>
  <si>
    <t>本期增加</t>
  </si>
  <si>
    <t>本期减少</t>
  </si>
  <si>
    <t>本期转回</t>
  </si>
  <si>
    <t>本期出售</t>
  </si>
  <si>
    <t>（2）持有待售的非流动资产</t>
  </si>
  <si>
    <t>期末，持有待售资产的情况：</t>
  </si>
  <si>
    <t>预计出售费用</t>
  </si>
  <si>
    <t>（3）持有待售的处置组</t>
  </si>
  <si>
    <t>① 子公司A</t>
  </si>
  <si>
    <t>持有待售的处置组中的资产</t>
  </si>
  <si>
    <t>货币资金</t>
  </si>
  <si>
    <t>固定资产</t>
  </si>
  <si>
    <t>……</t>
  </si>
  <si>
    <t>应付票据</t>
  </si>
  <si>
    <t>应付账款</t>
  </si>
  <si>
    <t>② 分公司B</t>
  </si>
  <si>
    <t>说明：（如存在专为转售而取得的持有待售的子公司，需披露该子公司出售原因、方式和时间安排；列报该子公司的分部；该子公司确认的减值损失及其转回金额；与该子公司有关的其他综合收益累计金额；归属于母公司股东的持续经营损益和终止经营损益。）</t>
  </si>
  <si>
    <t>（如果子公司、共同经营、合营企业、联营企业以及部分对合营企业或联营企业的投资不再继续划分为持有待售类别或从持有待售的处置组中移除的，应在当期财务报表中相应调整各个划分为持有待售类别后可比会计期间的比较数据，且需披露改变非流动资产或处置组出售计划的原因及可比会计期间财务报表中受影响的项目名称和影响金额。）</t>
  </si>
  <si>
    <t>--</t>
  </si>
  <si>
    <t>致同会计师事务所</t>
  </si>
  <si>
    <t>附注披露信息（上市公司）</t>
    <phoneticPr fontId="5" type="noConversion"/>
  </si>
  <si>
    <t>持有待售资产和负债</t>
    <phoneticPr fontId="31" type="noConversion"/>
  </si>
  <si>
    <r>
      <t>C=A+B=</t>
    </r>
    <r>
      <rPr>
        <b/>
        <sz val="10"/>
        <color rgb="FF0000FF"/>
        <rFont val="宋体"/>
        <family val="3"/>
        <charset val="134"/>
      </rPr>
      <t>报表数</t>
    </r>
  </si>
  <si>
    <r>
      <t>A+B=</t>
    </r>
    <r>
      <rPr>
        <b/>
        <sz val="10"/>
        <color rgb="FFFF0000"/>
        <rFont val="宋体"/>
        <family val="3"/>
        <charset val="134"/>
      </rPr>
      <t>报表数</t>
    </r>
  </si>
  <si>
    <t>索引号：</t>
    <phoneticPr fontId="5" type="noConversion"/>
  </si>
  <si>
    <t>K6A</t>
  </si>
  <si>
    <t>K6-1</t>
  </si>
  <si>
    <t>K6-2</t>
  </si>
  <si>
    <t>K6-3</t>
  </si>
  <si>
    <t>K6-4</t>
  </si>
  <si>
    <r>
      <rPr>
        <sz val="10"/>
        <rFont val="宋体"/>
        <family val="3"/>
        <charset val="134"/>
      </rPr>
      <t>索引：</t>
    </r>
    <phoneticPr fontId="5" type="noConversion"/>
  </si>
  <si>
    <r>
      <rPr>
        <sz val="10"/>
        <rFont val="宋体"/>
        <family val="3"/>
        <charset val="134"/>
      </rPr>
      <t>页次：</t>
    </r>
    <phoneticPr fontId="5" type="noConversion"/>
  </si>
  <si>
    <t>索引：</t>
    <phoneticPr fontId="5" type="noConversion"/>
  </si>
  <si>
    <t>页次：</t>
    <phoneticPr fontId="5" type="noConversion"/>
  </si>
  <si>
    <t>索引号：</t>
    <phoneticPr fontId="5" type="noConversion"/>
  </si>
  <si>
    <t>索引号：</t>
    <phoneticPr fontId="5" type="noConversion"/>
  </si>
  <si>
    <t>索引号：</t>
    <phoneticPr fontId="5" type="noConversion"/>
  </si>
  <si>
    <t>一、本账户涉及的科目</t>
  </si>
  <si>
    <t>二、审计目标与认定的对应关系</t>
  </si>
  <si>
    <t>审计目标</t>
    <phoneticPr fontId="5" type="noConversion"/>
  </si>
  <si>
    <t>存在</t>
  </si>
  <si>
    <t>完整性</t>
  </si>
  <si>
    <t>权利和义务</t>
  </si>
  <si>
    <t>序号</t>
    <phoneticPr fontId="5" type="noConversion"/>
  </si>
  <si>
    <r>
      <rPr>
        <b/>
        <sz val="10"/>
        <rFont val="宋体"/>
        <family val="3"/>
        <charset val="134"/>
      </rPr>
      <t>程序分类</t>
    </r>
    <phoneticPr fontId="5" type="noConversion"/>
  </si>
  <si>
    <t>财务报表的认定</t>
    <phoneticPr fontId="5" type="noConversion"/>
  </si>
  <si>
    <t>底稿索引号</t>
    <phoneticPr fontId="5" type="noConversion"/>
  </si>
  <si>
    <t>存在</t>
    <phoneticPr fontId="5" type="noConversion"/>
  </si>
  <si>
    <t>完整性</t>
    <phoneticPr fontId="5" type="noConversion"/>
  </si>
  <si>
    <t>权利和
义务</t>
    <phoneticPr fontId="5" type="noConversion"/>
  </si>
  <si>
    <r>
      <rPr>
        <sz val="10"/>
        <color theme="1"/>
        <rFont val="宋体"/>
        <family val="3"/>
        <charset val="134"/>
      </rPr>
      <t>常规★</t>
    </r>
    <phoneticPr fontId="61" type="noConversion"/>
  </si>
  <si>
    <t>2</t>
  </si>
  <si>
    <t>常规★</t>
    <phoneticPr fontId="5" type="noConversion"/>
  </si>
  <si>
    <r>
      <rPr>
        <sz val="10"/>
        <rFont val="宋体"/>
        <family val="3"/>
        <charset val="134"/>
      </rPr>
      <t>备选</t>
    </r>
    <phoneticPr fontId="5" type="noConversion"/>
  </si>
  <si>
    <t>5</t>
  </si>
  <si>
    <t>6</t>
  </si>
  <si>
    <t>持有待售的资产、持有待售的负债</t>
    <phoneticPr fontId="5" type="noConversion"/>
  </si>
  <si>
    <t>准确性、计价和分摊</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</si>
  <si>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</si>
  <si>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关注会计政策、会计估计合理性、一贯性。关注其是否利用会计政策和会计估计及其变更操纵利润。</t>
    <phoneticPr fontId="5" type="noConversion"/>
  </si>
  <si>
    <t>8</t>
  </si>
  <si>
    <r>
      <rPr>
        <sz val="10"/>
        <rFont val="宋体"/>
        <family val="3"/>
        <charset val="134"/>
      </rPr>
      <t>备选</t>
    </r>
    <phoneticPr fontId="5" type="noConversion"/>
  </si>
  <si>
    <t>列报</t>
    <phoneticPr fontId="31" type="noConversion"/>
  </si>
  <si>
    <t>列报</t>
    <phoneticPr fontId="5" type="noConversion"/>
  </si>
  <si>
    <t>√</t>
    <phoneticPr fontId="5" type="noConversion"/>
  </si>
  <si>
    <t>√</t>
    <phoneticPr fontId="5" type="noConversion"/>
  </si>
  <si>
    <t>√</t>
    <phoneticPr fontId="5" type="noConversion"/>
  </si>
  <si>
    <r>
      <t>1.</t>
    </r>
    <r>
      <rPr>
        <sz val="10"/>
        <color indexed="8"/>
        <rFont val="宋体"/>
        <family val="3"/>
        <charset val="134"/>
      </rPr>
      <t>资产负债表中记录的持有待售的资产和负债是存在的，且已记录于恰当的账户；</t>
    </r>
    <phoneticPr fontId="5" type="noConversion"/>
  </si>
  <si>
    <r>
      <t>2.</t>
    </r>
    <r>
      <rPr>
        <sz val="10"/>
        <rFont val="宋体"/>
        <family val="3"/>
        <charset val="134"/>
      </rPr>
      <t>所有应记录的持有待售的资产和负债均已记录，所有应当包括在财务报表中的相关披露均已包括；</t>
    </r>
    <phoneticPr fontId="5" type="noConversion"/>
  </si>
  <si>
    <r>
      <t>3.</t>
    </r>
    <r>
      <rPr>
        <sz val="10"/>
        <rFont val="宋体"/>
        <family val="3"/>
        <charset val="134"/>
      </rPr>
      <t>持有待售的资产和负债以恰当的金额包括在财务报表中，与之相关的计价或分摊调整已恰当记录，相关披露已得到恰当计量和描述。</t>
    </r>
    <phoneticPr fontId="5" type="noConversion"/>
  </si>
  <si>
    <r>
      <t>2.</t>
    </r>
    <r>
      <rPr>
        <sz val="10"/>
        <color indexed="8"/>
        <rFont val="宋体"/>
        <family val="3"/>
        <charset val="134"/>
      </rPr>
      <t>检查划分为持有待售的非流动资产或处置组是否停止计提折旧</t>
    </r>
    <r>
      <rPr>
        <sz val="10"/>
        <color indexed="8"/>
        <rFont val="Arial Narrow"/>
        <family val="2"/>
      </rPr>
      <t>/</t>
    </r>
    <r>
      <rPr>
        <sz val="10"/>
        <color indexed="8"/>
        <rFont val="宋体"/>
        <family val="3"/>
        <charset val="134"/>
      </rPr>
      <t>折耗</t>
    </r>
    <r>
      <rPr>
        <sz val="10"/>
        <color indexed="8"/>
        <rFont val="Arial Narrow"/>
        <family val="2"/>
      </rPr>
      <t>/</t>
    </r>
    <r>
      <rPr>
        <sz val="10"/>
        <color indexed="8"/>
        <rFont val="宋体"/>
        <family val="3"/>
        <charset val="134"/>
      </rPr>
      <t>摊销，是否按照账面价值与公允价值减去出售费用后的净额孰低进行计量，公允价值确定是否合理。</t>
    </r>
    <phoneticPr fontId="31" type="noConversion"/>
  </si>
  <si>
    <r>
      <t>3.</t>
    </r>
    <r>
      <rPr>
        <sz val="10"/>
        <color indexed="8"/>
        <rFont val="宋体"/>
        <family val="3"/>
        <charset val="134"/>
      </rPr>
      <t>根据处置资产类别不同，与计入的不同损益项目勾稽，核对并复核计入金额是否准确。</t>
    </r>
    <phoneticPr fontId="31" type="noConversion"/>
  </si>
  <si>
    <r>
      <t>5.</t>
    </r>
    <r>
      <rPr>
        <sz val="10"/>
        <color indexed="8"/>
        <rFont val="宋体"/>
        <family val="3"/>
        <charset val="134"/>
      </rPr>
      <t>如果管理层聘请了专家来确定或者协助确定公允价值和出售费用，注册会计师也应该考虑利用专家工作。</t>
    </r>
    <phoneticPr fontId="31" type="noConversion"/>
  </si>
  <si>
    <r>
      <t>4.</t>
    </r>
    <r>
      <rPr>
        <sz val="10"/>
        <color indexed="8"/>
        <rFont val="宋体"/>
        <family val="3"/>
        <charset val="134"/>
      </rPr>
      <t>如果划分为持有待售的非流动资产或处置组不再满足持有待售确认条件的，询问被审计单位管理层不再处置的原因，并获取相关支持性证据，检查是否停止将其划归为持有待售，计价是否正确。</t>
    </r>
    <phoneticPr fontId="31" type="noConversion"/>
  </si>
  <si>
    <r>
      <t>6.</t>
    </r>
    <r>
      <rPr>
        <sz val="10"/>
        <color indexed="8"/>
        <rFont val="宋体"/>
        <family val="3"/>
        <charset val="134"/>
      </rPr>
      <t>结合关联方审计程序，关注与关联方签订的处置资产（或处置组）的协议的相关会计处理和披露是否符合企业会计准则要求。</t>
    </r>
    <phoneticPr fontId="31" type="noConversion"/>
  </si>
  <si>
    <t>持有待售的资产和负债以恰当的金额包括在财务报表中，与之相关的计价或分摊调整已恰当记录，相关披露已得到恰当计量和描述。</t>
    <phoneticPr fontId="5" type="noConversion"/>
  </si>
  <si>
    <t>报表项目</t>
    <phoneticPr fontId="5" type="noConversion"/>
  </si>
  <si>
    <r>
      <rPr>
        <sz val="10"/>
        <rFont val="宋体"/>
        <family val="3"/>
        <charset val="134"/>
      </rPr>
      <t>其中：</t>
    </r>
    <r>
      <rPr>
        <b/>
        <sz val="10"/>
        <rFont val="宋体"/>
        <family val="3"/>
        <charset val="134"/>
      </rPr>
      <t>子公司</t>
    </r>
    <r>
      <rPr>
        <b/>
        <sz val="10"/>
        <color indexed="8"/>
        <rFont val="Arial Narrow"/>
        <family val="2"/>
      </rPr>
      <t>A</t>
    </r>
    <phoneticPr fontId="5" type="noConversion"/>
  </si>
  <si>
    <r>
      <rPr>
        <b/>
        <sz val="10"/>
        <rFont val="宋体"/>
        <family val="3"/>
        <charset val="134"/>
      </rPr>
      <t>不再满足持有待售的处置组中的资产：</t>
    </r>
    <phoneticPr fontId="5" type="noConversion"/>
  </si>
  <si>
    <r>
      <rPr>
        <b/>
        <sz val="10"/>
        <rFont val="宋体"/>
        <family val="3"/>
        <charset val="134"/>
      </rPr>
      <t>不再满足持有待售的非流动资产：</t>
    </r>
    <phoneticPr fontId="5" type="noConversion"/>
  </si>
  <si>
    <r>
      <t xml:space="preserve">     </t>
    </r>
    <r>
      <rPr>
        <b/>
        <sz val="10"/>
        <rFont val="宋体"/>
        <family val="3"/>
        <charset val="134"/>
      </rPr>
      <t>分</t>
    </r>
    <r>
      <rPr>
        <b/>
        <sz val="10"/>
        <color indexed="8"/>
        <rFont val="宋体"/>
        <family val="3"/>
        <charset val="134"/>
      </rPr>
      <t>公司</t>
    </r>
    <r>
      <rPr>
        <b/>
        <sz val="10"/>
        <color indexed="8"/>
        <rFont val="Arial Narrow"/>
        <family val="2"/>
      </rPr>
      <t>B</t>
    </r>
    <phoneticPr fontId="5" type="noConversion"/>
  </si>
  <si>
    <r>
      <rPr>
        <b/>
        <sz val="10"/>
        <rFont val="宋体"/>
        <family val="3"/>
        <charset val="134"/>
      </rPr>
      <t>二、审计过程：</t>
    </r>
    <phoneticPr fontId="5" type="noConversion"/>
  </si>
  <si>
    <t>√</t>
    <phoneticPr fontId="5" type="noConversion"/>
  </si>
  <si>
    <t>√</t>
    <phoneticPr fontId="5" type="noConversion"/>
  </si>
  <si>
    <r>
      <t xml:space="preserve">     </t>
    </r>
    <r>
      <rPr>
        <sz val="10"/>
        <rFont val="宋体"/>
        <family val="3"/>
        <charset val="134"/>
      </rPr>
      <t>长期股权投资</t>
    </r>
    <r>
      <rPr>
        <sz val="10"/>
        <rFont val="Arial Narrow"/>
        <family val="2"/>
      </rPr>
      <t>-</t>
    </r>
    <r>
      <rPr>
        <sz val="10"/>
        <rFont val="宋体"/>
        <family val="3"/>
        <charset val="134"/>
      </rPr>
      <t>联营企业</t>
    </r>
    <phoneticPr fontId="5" type="noConversion"/>
  </si>
  <si>
    <r>
      <rPr>
        <b/>
        <sz val="10"/>
        <rFont val="宋体"/>
        <family val="3"/>
        <charset val="134"/>
      </rPr>
      <t>公允价值</t>
    </r>
    <phoneticPr fontId="5" type="noConversion"/>
  </si>
  <si>
    <t>出售费用</t>
    <phoneticPr fontId="5" type="noConversion"/>
  </si>
  <si>
    <t>公允价值确定依据</t>
    <phoneticPr fontId="5" type="noConversion"/>
  </si>
  <si>
    <r>
      <t xml:space="preserve">     </t>
    </r>
    <r>
      <rPr>
        <sz val="10"/>
        <rFont val="宋体"/>
        <family val="3"/>
        <charset val="134"/>
      </rPr>
      <t>长期股权投资</t>
    </r>
    <r>
      <rPr>
        <sz val="10"/>
        <rFont val="Arial Narrow"/>
        <family val="2"/>
      </rPr>
      <t>-</t>
    </r>
    <r>
      <rPr>
        <sz val="10"/>
        <rFont val="宋体"/>
        <family val="3"/>
        <charset val="134"/>
      </rPr>
      <t>合营企业</t>
    </r>
    <phoneticPr fontId="5" type="noConversion"/>
  </si>
  <si>
    <t>公允价值</t>
    <phoneticPr fontId="5" type="noConversion"/>
  </si>
  <si>
    <t>公允价值确定依据</t>
    <phoneticPr fontId="5" type="noConversion"/>
  </si>
  <si>
    <r>
      <t>2.</t>
    </r>
    <r>
      <rPr>
        <b/>
        <sz val="10"/>
        <rFont val="宋体"/>
        <family val="3"/>
        <charset val="134"/>
      </rPr>
      <t>审计结论</t>
    </r>
    <phoneticPr fontId="5" type="noConversion"/>
  </si>
  <si>
    <t>（一）持有待售的处置组的减值测算</t>
    <phoneticPr fontId="5" type="noConversion"/>
  </si>
  <si>
    <r>
      <rPr>
        <b/>
        <sz val="10"/>
        <rFont val="宋体"/>
        <family val="3"/>
        <charset val="134"/>
      </rPr>
      <t>（二）持有待售的处置组的减值损失的分摊</t>
    </r>
    <r>
      <rPr>
        <b/>
        <sz val="10"/>
        <rFont val="Arial Narrow"/>
        <family val="2"/>
      </rPr>
      <t>---XX</t>
    </r>
    <r>
      <rPr>
        <b/>
        <sz val="10"/>
        <rFont val="宋体"/>
        <family val="3"/>
        <charset val="134"/>
      </rPr>
      <t>子公司</t>
    </r>
    <phoneticPr fontId="5" type="noConversion"/>
  </si>
  <si>
    <r>
      <t>1.</t>
    </r>
    <r>
      <rPr>
        <b/>
        <sz val="10"/>
        <rFont val="宋体"/>
        <family val="3"/>
        <charset val="134"/>
      </rPr>
      <t>持有待售资产：</t>
    </r>
    <phoneticPr fontId="5" type="noConversion"/>
  </si>
  <si>
    <r>
      <t>2.</t>
    </r>
    <r>
      <rPr>
        <b/>
        <sz val="10"/>
        <rFont val="宋体"/>
        <family val="3"/>
        <charset val="134"/>
      </rPr>
      <t>持有待售负债：</t>
    </r>
    <phoneticPr fontId="5" type="noConversion"/>
  </si>
  <si>
    <t>是</t>
  </si>
  <si>
    <t>"请选择"</t>
  </si>
  <si>
    <r>
      <t>1.</t>
    </r>
    <r>
      <rPr>
        <sz val="10"/>
        <color indexed="8"/>
        <rFont val="宋体"/>
        <family val="3"/>
        <charset val="134"/>
      </rPr>
      <t>获取处置该非流动资产或处置组作出的决议、与受让方签订的不可撤销的转让协议等文件，分析该非流动资产或处置组是否在当前状况下仅根据出售此类非流动资产或处置组的惯常条款即可立即出售，是否出售将在一年内完成，确认该类非流动资产或处置组是否满足划分为持有待售的条件。</t>
    </r>
    <phoneticPr fontId="31" type="noConversion"/>
  </si>
  <si>
    <r>
      <rPr>
        <b/>
        <sz val="10"/>
        <color indexed="8"/>
        <rFont val="宋体"/>
        <family val="3"/>
        <charset val="134"/>
      </rPr>
      <t>内容</t>
    </r>
  </si>
  <si>
    <r>
      <rPr>
        <u/>
        <sz val="10"/>
        <color indexed="12"/>
        <rFont val="宋体"/>
        <family val="3"/>
        <charset val="134"/>
      </rPr>
      <t>实质性程序表</t>
    </r>
  </si>
  <si>
    <t>无需打印</t>
    <phoneticPr fontId="5" type="noConversion"/>
  </si>
  <si>
    <r>
      <rPr>
        <u/>
        <sz val="10"/>
        <color indexed="12"/>
        <rFont val="宋体"/>
        <family val="3"/>
        <charset val="134"/>
      </rPr>
      <t>审定表</t>
    </r>
    <phoneticPr fontId="31" type="noConversion"/>
  </si>
  <si>
    <r>
      <rPr>
        <u/>
        <sz val="10"/>
        <color indexed="12"/>
        <rFont val="宋体"/>
        <family val="3"/>
        <charset val="134"/>
      </rPr>
      <t>附注披露信息（上市公司）</t>
    </r>
    <phoneticPr fontId="31" type="noConversion"/>
  </si>
  <si>
    <r>
      <rPr>
        <u/>
        <sz val="10"/>
        <color indexed="12"/>
        <rFont val="宋体"/>
        <family val="3"/>
        <charset val="134"/>
      </rPr>
      <t>明细表</t>
    </r>
  </si>
  <si>
    <r>
      <rPr>
        <u/>
        <sz val="10"/>
        <color indexed="12"/>
        <rFont val="宋体"/>
        <family val="3"/>
        <charset val="134"/>
      </rPr>
      <t>调整分录汇总表</t>
    </r>
  </si>
  <si>
    <r>
      <rPr>
        <u/>
        <sz val="10"/>
        <color indexed="12"/>
        <rFont val="宋体"/>
        <family val="3"/>
        <charset val="134"/>
      </rPr>
      <t>初始确认检查表</t>
    </r>
  </si>
  <si>
    <t>K6-5</t>
  </si>
  <si>
    <t>K6-6</t>
  </si>
  <si>
    <t>K6-7</t>
  </si>
  <si>
    <r>
      <rPr>
        <u/>
        <sz val="10"/>
        <color indexed="12"/>
        <rFont val="宋体"/>
        <family val="3"/>
        <charset val="134"/>
      </rPr>
      <t>减值准备测试表（后续计量）</t>
    </r>
  </si>
  <si>
    <r>
      <rPr>
        <u/>
        <sz val="10"/>
        <color indexed="12"/>
        <rFont val="宋体"/>
        <family val="3"/>
        <charset val="134"/>
      </rPr>
      <t>处置组减值测试表（后续计量）</t>
    </r>
  </si>
  <si>
    <r>
      <rPr>
        <u/>
        <sz val="10"/>
        <color indexed="12"/>
        <rFont val="宋体"/>
        <family val="3"/>
        <charset val="134"/>
      </rPr>
      <t>检查表（不再满足持有待售）</t>
    </r>
  </si>
  <si>
    <r>
      <rPr>
        <u/>
        <sz val="10"/>
        <color indexed="12"/>
        <rFont val="宋体"/>
        <family val="3"/>
        <charset val="134"/>
      </rPr>
      <t>附注披露信息</t>
    </r>
    <r>
      <rPr>
        <u/>
        <sz val="10"/>
        <color indexed="12"/>
        <rFont val="Arial Narrow"/>
        <family val="2"/>
      </rPr>
      <t>(</t>
    </r>
    <r>
      <rPr>
        <u/>
        <sz val="10"/>
        <color indexed="12"/>
        <rFont val="宋体"/>
        <family val="3"/>
        <charset val="134"/>
      </rPr>
      <t>国企）</t>
    </r>
    <phoneticPr fontId="31" type="noConversion"/>
  </si>
  <si>
    <t>减值准备测试表（后续计量）</t>
    <phoneticPr fontId="5" type="noConversion"/>
  </si>
  <si>
    <t>处置组减值测试表（后续计量）</t>
    <phoneticPr fontId="5" type="noConversion"/>
  </si>
  <si>
    <t>检查表（不再满足持有待售）</t>
    <phoneticPr fontId="5" type="noConversion"/>
  </si>
  <si>
    <t>出售费用（资产处置的直接归属费用）</t>
    <phoneticPr fontId="5"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</si>
  <si>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61"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</si>
  <si>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61" type="noConversion"/>
  </si>
  <si>
    <r>
      <t>A1-1/</t>
    </r>
    <r>
      <rPr>
        <sz val="10"/>
        <color rgb="FFFF0000"/>
        <rFont val="Arial Narrow"/>
        <family val="2"/>
      </rPr>
      <t>A1-15 /A1-16</t>
    </r>
    <phoneticPr fontId="5" type="noConversion"/>
  </si>
  <si>
    <t>持有待售资产/负债审定表</t>
    <phoneticPr fontId="5" type="noConversion"/>
  </si>
  <si>
    <r>
      <t>1.</t>
    </r>
    <r>
      <rPr>
        <b/>
        <sz val="10"/>
        <rFont val="宋体"/>
        <family val="3"/>
        <charset val="134"/>
      </rPr>
      <t>审计说明</t>
    </r>
    <phoneticPr fontId="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</si>
  <si>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 type="noConversion"/>
  </si>
  <si>
    <r>
      <rPr>
        <sz val="10"/>
        <rFont val="宋体"/>
        <family val="3"/>
        <charset val="134"/>
      </rPr>
      <t>索引号：</t>
    </r>
    <phoneticPr fontId="31" type="noConversion"/>
  </si>
  <si>
    <r>
      <rPr>
        <sz val="10"/>
        <color rgb="FF0000FF"/>
        <rFont val="宋体"/>
        <family val="3"/>
        <charset val="134"/>
        <scheme val="minor"/>
      </rPr>
      <t>【注：</t>
    </r>
    <r>
      <rPr>
        <sz val="10"/>
        <color rgb="FF0000FF"/>
        <rFont val="Arial Narrow"/>
        <family val="2"/>
      </rPr>
      <t>1.</t>
    </r>
    <r>
      <rPr>
        <sz val="10"/>
        <color rgb="FF0000FF"/>
        <rFont val="宋体"/>
        <family val="3"/>
        <charset val="134"/>
        <scheme val="minor"/>
      </rPr>
      <t>应披露划分为持有待售的非流动资产或处置组的出售原因和方式；</t>
    </r>
  </si>
  <si>
    <r>
      <t>2.</t>
    </r>
    <r>
      <rPr>
        <sz val="10"/>
        <color rgb="FF0000FF"/>
        <rFont val="宋体"/>
        <family val="3"/>
        <charset val="134"/>
        <scheme val="minor"/>
      </rPr>
      <t>应披露持有待售的非流动资产或处置组的分部信息；</t>
    </r>
  </si>
  <si>
    <r>
      <t>3.</t>
    </r>
    <r>
      <rPr>
        <sz val="10"/>
        <color rgb="FF0000FF"/>
        <rFont val="宋体"/>
        <family val="3"/>
        <charset val="134"/>
        <scheme val="minor"/>
      </rPr>
      <t>应披露持有待售的非流动资产或持有待售的处置组中的资产确认的减值损失及其转回金额；</t>
    </r>
  </si>
  <si>
    <r>
      <t>4.</t>
    </r>
    <r>
      <rPr>
        <sz val="10"/>
        <color rgb="FF0000FF"/>
        <rFont val="宋体"/>
        <family val="3"/>
        <charset val="134"/>
        <scheme val="minor"/>
      </rPr>
      <t>应披露与持有待售的非流动资产或处置组有关的其他综合收益累计金额。】</t>
    </r>
  </si>
  <si>
    <r>
      <rPr>
        <b/>
        <sz val="10"/>
        <rFont val="宋体"/>
        <family val="3"/>
        <charset val="134"/>
        <scheme val="minor"/>
      </rPr>
      <t>项</t>
    </r>
    <r>
      <rPr>
        <b/>
        <sz val="10"/>
        <rFont val="Arial Narrow"/>
        <family val="2"/>
      </rPr>
      <t xml:space="preserve">  </t>
    </r>
    <r>
      <rPr>
        <b/>
        <sz val="10"/>
        <rFont val="宋体"/>
        <family val="3"/>
        <charset val="134"/>
        <scheme val="minor"/>
      </rPr>
      <t>目</t>
    </r>
  </si>
  <si>
    <r>
      <rPr>
        <b/>
        <sz val="10"/>
        <color rgb="FF000000"/>
        <rFont val="宋体"/>
        <family val="3"/>
        <charset val="134"/>
        <scheme val="minor"/>
      </rPr>
      <t>期末数</t>
    </r>
  </si>
  <si>
    <r>
      <rPr>
        <b/>
        <sz val="10"/>
        <rFont val="宋体"/>
        <family val="3"/>
        <charset val="134"/>
        <scheme val="minor"/>
      </rPr>
      <t>期初数</t>
    </r>
  </si>
  <si>
    <r>
      <rPr>
        <b/>
        <sz val="10"/>
        <color rgb="FF000000"/>
        <rFont val="宋体"/>
        <family val="3"/>
        <charset val="134"/>
        <scheme val="minor"/>
      </rPr>
      <t>账面余额</t>
    </r>
  </si>
  <si>
    <r>
      <rPr>
        <b/>
        <sz val="10"/>
        <color rgb="FF000000"/>
        <rFont val="宋体"/>
        <family val="3"/>
        <charset val="134"/>
        <scheme val="minor"/>
      </rPr>
      <t>减值准备</t>
    </r>
  </si>
  <si>
    <r>
      <rPr>
        <b/>
        <sz val="10"/>
        <color rgb="FF000000"/>
        <rFont val="宋体"/>
        <family val="3"/>
        <charset val="134"/>
        <scheme val="minor"/>
      </rPr>
      <t>账面价值</t>
    </r>
  </si>
  <si>
    <r>
      <rPr>
        <sz val="10"/>
        <rFont val="宋体"/>
        <family val="3"/>
        <charset val="134"/>
        <scheme val="minor"/>
      </rPr>
      <t>（一）持有待售非流动资产</t>
    </r>
  </si>
  <si>
    <r>
      <rPr>
        <sz val="10"/>
        <rFont val="宋体"/>
        <family val="3"/>
        <charset val="134"/>
        <scheme val="minor"/>
      </rPr>
      <t>其中：固定资产</t>
    </r>
  </si>
  <si>
    <r>
      <t xml:space="preserve">      </t>
    </r>
    <r>
      <rPr>
        <sz val="10"/>
        <rFont val="宋体"/>
        <family val="3"/>
        <charset val="134"/>
        <scheme val="minor"/>
      </rPr>
      <t>无形资产</t>
    </r>
  </si>
  <si>
    <r>
      <rPr>
        <sz val="10"/>
        <rFont val="宋体"/>
        <family val="3"/>
        <charset val="134"/>
        <scheme val="minor"/>
      </rPr>
      <t>（二）持有待售处置组中的资产</t>
    </r>
  </si>
  <si>
    <r>
      <rPr>
        <sz val="10"/>
        <rFont val="宋体"/>
        <family val="3"/>
        <charset val="134"/>
        <scheme val="minor"/>
      </rPr>
      <t>其中：子公司</t>
    </r>
    <r>
      <rPr>
        <sz val="10"/>
        <rFont val="Arial Narrow"/>
        <family val="2"/>
      </rPr>
      <t>A</t>
    </r>
  </si>
  <si>
    <r>
      <t xml:space="preserve">      </t>
    </r>
    <r>
      <rPr>
        <sz val="10"/>
        <rFont val="宋体"/>
        <family val="3"/>
        <charset val="134"/>
        <scheme val="minor"/>
      </rPr>
      <t>分公司</t>
    </r>
    <r>
      <rPr>
        <sz val="10"/>
        <rFont val="Arial Narrow"/>
        <family val="2"/>
      </rPr>
      <t>B</t>
    </r>
  </si>
  <si>
    <r>
      <rPr>
        <b/>
        <sz val="10"/>
        <rFont val="宋体"/>
        <family val="3"/>
        <charset val="134"/>
        <scheme val="minor"/>
      </rPr>
      <t>合</t>
    </r>
    <r>
      <rPr>
        <b/>
        <sz val="10"/>
        <rFont val="Arial Narrow"/>
        <family val="2"/>
      </rPr>
      <t xml:space="preserve">  </t>
    </r>
    <r>
      <rPr>
        <b/>
        <sz val="10"/>
        <rFont val="宋体"/>
        <family val="3"/>
        <charset val="134"/>
        <scheme val="minor"/>
      </rPr>
      <t>计</t>
    </r>
  </si>
  <si>
    <r>
      <rPr>
        <sz val="10"/>
        <color rgb="FF0000FF"/>
        <rFont val="宋体"/>
        <family val="3"/>
        <charset val="134"/>
        <scheme val="minor"/>
      </rPr>
      <t>【提示：</t>
    </r>
    <r>
      <rPr>
        <sz val="10"/>
        <color rgb="FF0000FF"/>
        <rFont val="Arial Narrow"/>
        <family val="2"/>
      </rPr>
      <t>“</t>
    </r>
    <r>
      <rPr>
        <sz val="10"/>
        <color rgb="FF0000FF"/>
        <rFont val="宋体"/>
        <family val="3"/>
        <charset val="134"/>
        <scheme val="minor"/>
      </rPr>
      <t>持有待售资产</t>
    </r>
    <r>
      <rPr>
        <sz val="10"/>
        <color rgb="FF0000FF"/>
        <rFont val="Arial Narrow"/>
        <family val="2"/>
      </rPr>
      <t>”</t>
    </r>
    <r>
      <rPr>
        <sz val="10"/>
        <color rgb="FF0000FF"/>
        <rFont val="宋体"/>
        <family val="3"/>
        <charset val="134"/>
        <scheme val="minor"/>
      </rPr>
      <t>，反映资产负债表日划分为持有待售类别的非流动资产及划分为持有待售类别的处置组中的流动资产和非流动资产的期末账面价值。该项目应根据在资产类科目新设置的</t>
    </r>
    <r>
      <rPr>
        <sz val="10"/>
        <color rgb="FF0000FF"/>
        <rFont val="Arial Narrow"/>
        <family val="2"/>
      </rPr>
      <t>“</t>
    </r>
    <r>
      <rPr>
        <sz val="10"/>
        <color rgb="FF0000FF"/>
        <rFont val="宋体"/>
        <family val="3"/>
        <charset val="134"/>
        <scheme val="minor"/>
      </rPr>
      <t>持有待售资产</t>
    </r>
    <r>
      <rPr>
        <sz val="10"/>
        <color rgb="FF0000FF"/>
        <rFont val="Arial Narrow"/>
        <family val="2"/>
      </rPr>
      <t>”</t>
    </r>
    <r>
      <rPr>
        <sz val="10"/>
        <color rgb="FF0000FF"/>
        <rFont val="宋体"/>
        <family val="3"/>
        <charset val="134"/>
        <scheme val="minor"/>
      </rPr>
      <t>科目的期末余额，减去</t>
    </r>
    <r>
      <rPr>
        <sz val="10"/>
        <color rgb="FF0000FF"/>
        <rFont val="Arial Narrow"/>
        <family val="2"/>
      </rPr>
      <t>“</t>
    </r>
    <r>
      <rPr>
        <sz val="10"/>
        <color rgb="FF0000FF"/>
        <rFont val="宋体"/>
        <family val="3"/>
        <charset val="134"/>
        <scheme val="minor"/>
      </rPr>
      <t>持有待售资产减值准备</t>
    </r>
    <r>
      <rPr>
        <sz val="10"/>
        <color rgb="FF0000FF"/>
        <rFont val="Arial Narrow"/>
        <family val="2"/>
      </rPr>
      <t>”</t>
    </r>
    <r>
      <rPr>
        <sz val="10"/>
        <color rgb="FF0000FF"/>
        <rFont val="宋体"/>
        <family val="3"/>
        <charset val="134"/>
        <scheme val="minor"/>
      </rPr>
      <t>科目的期末余额后的金额填列。】</t>
    </r>
  </si>
  <si>
    <r>
      <rPr>
        <sz val="10"/>
        <rFont val="宋体"/>
        <family val="3"/>
        <charset val="134"/>
        <scheme val="minor"/>
      </rPr>
      <t>（</t>
    </r>
    <r>
      <rPr>
        <sz val="10"/>
        <rFont val="Arial Narrow"/>
        <family val="2"/>
      </rPr>
      <t>1</t>
    </r>
    <r>
      <rPr>
        <sz val="10"/>
        <rFont val="宋体"/>
        <family val="3"/>
        <charset val="134"/>
        <scheme val="minor"/>
      </rPr>
      <t>）持有待售资产减值准备</t>
    </r>
  </si>
  <si>
    <r>
      <rPr>
        <b/>
        <sz val="10"/>
        <color rgb="FF000000"/>
        <rFont val="宋体"/>
        <family val="3"/>
        <charset val="134"/>
        <scheme val="minor"/>
      </rPr>
      <t>期初数</t>
    </r>
  </si>
  <si>
    <r>
      <rPr>
        <b/>
        <sz val="10"/>
        <color rgb="FF000000"/>
        <rFont val="宋体"/>
        <family val="3"/>
        <charset val="134"/>
        <scheme val="minor"/>
      </rPr>
      <t>本期增加</t>
    </r>
  </si>
  <si>
    <r>
      <rPr>
        <b/>
        <sz val="10"/>
        <color rgb="FF000000"/>
        <rFont val="宋体"/>
        <family val="3"/>
        <charset val="134"/>
        <scheme val="minor"/>
      </rPr>
      <t>本期减少</t>
    </r>
  </si>
  <si>
    <r>
      <rPr>
        <b/>
        <sz val="10"/>
        <color rgb="FF000000"/>
        <rFont val="宋体"/>
        <family val="3"/>
        <charset val="134"/>
        <scheme val="minor"/>
      </rPr>
      <t>本期转回</t>
    </r>
  </si>
  <si>
    <r>
      <rPr>
        <b/>
        <sz val="10"/>
        <color rgb="FF000000"/>
        <rFont val="宋体"/>
        <family val="3"/>
        <charset val="134"/>
        <scheme val="minor"/>
      </rPr>
      <t>本期出售</t>
    </r>
  </si>
  <si>
    <r>
      <rPr>
        <sz val="10"/>
        <rFont val="宋体"/>
        <family val="3"/>
        <charset val="134"/>
        <scheme val="minor"/>
      </rPr>
      <t>（</t>
    </r>
    <r>
      <rPr>
        <sz val="10"/>
        <rFont val="Arial Narrow"/>
        <family val="2"/>
      </rPr>
      <t>2</t>
    </r>
    <r>
      <rPr>
        <sz val="10"/>
        <rFont val="宋体"/>
        <family val="3"/>
        <charset val="134"/>
        <scheme val="minor"/>
      </rPr>
      <t>）持有待售非流动资产</t>
    </r>
  </si>
  <si>
    <r>
      <rPr>
        <b/>
        <sz val="10"/>
        <color rgb="FF000000"/>
        <rFont val="宋体"/>
        <family val="3"/>
        <charset val="134"/>
        <scheme val="minor"/>
      </rPr>
      <t>期末账面价值</t>
    </r>
  </si>
  <si>
    <r>
      <rPr>
        <b/>
        <sz val="10"/>
        <color rgb="FF000000"/>
        <rFont val="宋体"/>
        <family val="3"/>
        <charset val="134"/>
        <scheme val="minor"/>
      </rPr>
      <t>期末公允价值</t>
    </r>
  </si>
  <si>
    <r>
      <rPr>
        <b/>
        <sz val="10"/>
        <color rgb="FF000000"/>
        <rFont val="宋体"/>
        <family val="3"/>
        <charset val="134"/>
        <scheme val="minor"/>
      </rPr>
      <t>预计处置费用</t>
    </r>
  </si>
  <si>
    <r>
      <rPr>
        <b/>
        <sz val="10"/>
        <color rgb="FF000000"/>
        <rFont val="宋体"/>
        <family val="3"/>
        <charset val="134"/>
        <scheme val="minor"/>
      </rPr>
      <t>时间安排</t>
    </r>
  </si>
  <si>
    <r>
      <rPr>
        <sz val="10"/>
        <color rgb="FF0000FF"/>
        <rFont val="宋体"/>
        <family val="3"/>
        <charset val="134"/>
        <scheme val="minor"/>
      </rPr>
      <t>【提示：期末账面价值小于等于（期末公允价值</t>
    </r>
    <r>
      <rPr>
        <sz val="10"/>
        <color rgb="FF0000FF"/>
        <rFont val="Arial Narrow"/>
        <family val="2"/>
      </rPr>
      <t>-</t>
    </r>
    <r>
      <rPr>
        <sz val="10"/>
        <color rgb="FF0000FF"/>
        <rFont val="宋体"/>
        <family val="3"/>
        <charset val="134"/>
        <scheme val="minor"/>
      </rPr>
      <t>预计处置费用）】</t>
    </r>
  </si>
  <si>
    <r>
      <rPr>
        <sz val="10"/>
        <rFont val="宋体"/>
        <family val="3"/>
        <charset val="134"/>
        <scheme val="minor"/>
      </rPr>
      <t>（</t>
    </r>
    <r>
      <rPr>
        <sz val="10"/>
        <rFont val="Arial Narrow"/>
        <family val="2"/>
      </rPr>
      <t>3</t>
    </r>
    <r>
      <rPr>
        <sz val="10"/>
        <rFont val="宋体"/>
        <family val="3"/>
        <charset val="134"/>
        <scheme val="minor"/>
      </rPr>
      <t>）持有待售处置组中的资产</t>
    </r>
  </si>
  <si>
    <r>
      <rPr>
        <sz val="10"/>
        <rFont val="宋体"/>
        <family val="3"/>
        <charset val="134"/>
        <scheme val="minor"/>
      </rPr>
      <t>①子公司</t>
    </r>
    <r>
      <rPr>
        <sz val="10"/>
        <rFont val="Arial Narrow"/>
        <family val="2"/>
      </rPr>
      <t>A</t>
    </r>
  </si>
  <si>
    <r>
      <rPr>
        <b/>
        <sz val="10"/>
        <rFont val="宋体"/>
        <family val="3"/>
        <charset val="134"/>
        <scheme val="minor"/>
      </rPr>
      <t>持有待售负债附注</t>
    </r>
  </si>
  <si>
    <r>
      <rPr>
        <b/>
        <sz val="10"/>
        <rFont val="宋体"/>
        <family val="3"/>
        <charset val="134"/>
        <scheme val="minor"/>
      </rPr>
      <t>期末账面价值</t>
    </r>
  </si>
  <si>
    <r>
      <rPr>
        <b/>
        <sz val="10"/>
        <rFont val="宋体"/>
        <family val="3"/>
        <charset val="134"/>
        <scheme val="minor"/>
      </rPr>
      <t>期末公允价值</t>
    </r>
  </si>
  <si>
    <r>
      <rPr>
        <b/>
        <sz val="10"/>
        <rFont val="宋体"/>
        <family val="3"/>
        <charset val="134"/>
        <scheme val="minor"/>
      </rPr>
      <t>预计处置费用</t>
    </r>
  </si>
  <si>
    <r>
      <rPr>
        <b/>
        <sz val="10"/>
        <rFont val="宋体"/>
        <family val="3"/>
        <charset val="134"/>
        <scheme val="minor"/>
      </rPr>
      <t>时间安排</t>
    </r>
  </si>
  <si>
    <r>
      <rPr>
        <sz val="10"/>
        <color rgb="FF0000FF"/>
        <rFont val="宋体"/>
        <family val="3"/>
        <charset val="134"/>
        <scheme val="minor"/>
      </rPr>
      <t>注：</t>
    </r>
  </si>
  <si>
    <r>
      <rPr>
        <b/>
        <sz val="10"/>
        <rFont val="宋体"/>
        <family val="3"/>
        <charset val="134"/>
      </rPr>
      <t>致同会计师事务所</t>
    </r>
  </si>
  <si>
    <r>
      <rPr>
        <b/>
        <sz val="10"/>
        <rFont val="宋体"/>
        <family val="3"/>
        <charset val="134"/>
      </rPr>
      <t>附注披露信息</t>
    </r>
    <r>
      <rPr>
        <b/>
        <sz val="10"/>
        <rFont val="Arial Narrow"/>
        <family val="2"/>
      </rPr>
      <t>(</t>
    </r>
    <r>
      <rPr>
        <b/>
        <sz val="10"/>
        <rFont val="宋体"/>
        <family val="3"/>
        <charset val="134"/>
      </rPr>
      <t>国企</t>
    </r>
    <r>
      <rPr>
        <b/>
        <sz val="10"/>
        <rFont val="Arial Narrow"/>
        <family val="2"/>
      </rPr>
      <t>)</t>
    </r>
    <phoneticPr fontId="5" type="noConversion"/>
  </si>
  <si>
    <r>
      <rPr>
        <sz val="10"/>
        <rFont val="宋体"/>
        <family val="3"/>
        <charset val="134"/>
      </rPr>
      <t>页次：</t>
    </r>
    <phoneticPr fontId="31" type="noConversion"/>
  </si>
  <si>
    <r>
      <t>1.</t>
    </r>
    <r>
      <rPr>
        <sz val="10"/>
        <color rgb="FF0000FF"/>
        <rFont val="宋体"/>
        <family val="3"/>
        <charset val="134"/>
      </rPr>
      <t>应披露划分为持有待售的非流动负债或处置组的出售原因、方式和时间安排；</t>
    </r>
  </si>
  <si>
    <r>
      <t>2.</t>
    </r>
    <r>
      <rPr>
        <sz val="10"/>
        <color rgb="FF0000FF"/>
        <rFont val="宋体"/>
        <family val="3"/>
        <charset val="134"/>
      </rPr>
      <t>应披露持有待售的非流动负债或处置组的分部信息；</t>
    </r>
  </si>
  <si>
    <r>
      <t>3.</t>
    </r>
    <r>
      <rPr>
        <sz val="10"/>
        <color rgb="FF0000FF"/>
        <rFont val="宋体"/>
        <family val="3"/>
        <charset val="134"/>
      </rPr>
      <t>应披露与持有待售的非流动负债或处置组有关的其他综合收益累计金额。</t>
    </r>
  </si>
  <si>
    <t>提示：本底稿适用于调整分录较多、较复杂的项目，且仅列示与本报表项目相关的审计调整。项目组可根据项目实际情况选择是否使用该底稿。</t>
    <phoneticPr fontId="5" type="noConversion"/>
  </si>
  <si>
    <r>
      <t>1.</t>
    </r>
    <r>
      <rPr>
        <sz val="10"/>
        <color rgb="FFFF0000"/>
        <rFont val="宋体"/>
        <family val="3"/>
        <charset val="134"/>
      </rPr>
      <t>与资产减值损失科目勾稽核对一致，详见底稿</t>
    </r>
    <r>
      <rPr>
        <sz val="10"/>
        <color rgb="FFFF0000"/>
        <rFont val="Arial Narrow"/>
        <family val="2"/>
      </rPr>
      <t>JXXXX</t>
    </r>
    <phoneticPr fontId="31" type="noConversion"/>
  </si>
  <si>
    <r>
      <rPr>
        <sz val="10"/>
        <color rgb="FF0000FF"/>
        <rFont val="宋体"/>
        <family val="3"/>
        <charset val="134"/>
      </rPr>
      <t>编制说明：</t>
    </r>
    <phoneticPr fontId="5" type="noConversion"/>
  </si>
  <si>
    <r>
      <rPr>
        <sz val="10"/>
        <color rgb="FF0000FF"/>
        <rFont val="宋体"/>
        <family val="3"/>
        <charset val="134"/>
      </rPr>
      <t>同时满足下列条件的非流动资产（不包括金融资产及递延所得税资产）或处置组应当确认为持有待售</t>
    </r>
    <r>
      <rPr>
        <sz val="10"/>
        <color rgb="FF0000FF"/>
        <rFont val="Arial Narrow"/>
        <family val="2"/>
      </rPr>
      <t> </t>
    </r>
    <r>
      <rPr>
        <sz val="10"/>
        <color rgb="FF0000FF"/>
        <rFont val="宋体"/>
        <family val="3"/>
        <charset val="134"/>
      </rPr>
      <t>：该非流动资产或处置组必须在其当前状况下仅根据出售此类非流动资产或处置组的惯常条款即可立即出售；本集团已经就处置该非流动资产或处置组作出决议，如按规定需得到股东批准的，应当已经取得股东大会或相应权力机构的批准；本集团已经与受让方签订了不可撤销的转让协议；该项转让将在一年内完成。</t>
    </r>
  </si>
  <si>
    <r>
      <rPr>
        <sz val="10"/>
        <color rgb="FF0000FF"/>
        <rFont val="宋体"/>
        <family val="3"/>
        <charset val="134"/>
      </rPr>
      <t>持有待售的非流动资产和持有待售的处置组</t>
    </r>
    <r>
      <rPr>
        <sz val="10"/>
        <color rgb="FF0000FF"/>
        <rFont val="Arial Narrow"/>
        <family val="2"/>
      </rPr>
      <t> </t>
    </r>
    <r>
      <rPr>
        <sz val="10"/>
        <color rgb="FF0000FF"/>
        <rFont val="宋体"/>
        <family val="3"/>
        <charset val="134"/>
      </rPr>
      <t>中的资产不计提折旧或进行摊销，按照账面价值与公允价值减去处置费用后的净额孰低进行计量，并列报为</t>
    </r>
    <r>
      <rPr>
        <sz val="10"/>
        <color rgb="FF0000FF"/>
        <rFont val="Arial Narrow"/>
        <family val="2"/>
      </rPr>
      <t>“</t>
    </r>
    <r>
      <rPr>
        <sz val="10"/>
        <color rgb="FF0000FF"/>
        <rFont val="宋体"/>
        <family val="3"/>
        <charset val="134"/>
      </rPr>
      <t>划分为持有待售的资产</t>
    </r>
    <r>
      <rPr>
        <sz val="10"/>
        <color rgb="FF0000FF"/>
        <rFont val="Arial Narrow"/>
        <family val="2"/>
      </rPr>
      <t>”</t>
    </r>
    <r>
      <rPr>
        <sz val="10"/>
        <color rgb="FF0000FF"/>
        <rFont val="宋体"/>
        <family val="3"/>
        <charset val="134"/>
      </rPr>
      <t>。持有待售的处置组中的负债，列报为</t>
    </r>
    <r>
      <rPr>
        <sz val="10"/>
        <color rgb="FF0000FF"/>
        <rFont val="Arial Narrow"/>
        <family val="2"/>
      </rPr>
      <t>“</t>
    </r>
    <r>
      <rPr>
        <sz val="10"/>
        <color rgb="FF0000FF"/>
        <rFont val="宋体"/>
        <family val="3"/>
        <charset val="134"/>
      </rPr>
      <t>划分为持有待售的负债</t>
    </r>
    <r>
      <rPr>
        <sz val="10"/>
        <color rgb="FF0000FF"/>
        <rFont val="Arial Narrow"/>
        <family val="2"/>
      </rPr>
      <t>”</t>
    </r>
    <r>
      <rPr>
        <sz val="10"/>
        <color rgb="FF0000FF"/>
        <rFont val="宋体"/>
        <family val="3"/>
        <charset val="134"/>
      </rPr>
      <t>。</t>
    </r>
  </si>
  <si>
    <r>
      <rPr>
        <sz val="10"/>
        <color rgb="FF0000FF"/>
        <rFont val="宋体"/>
        <family val="3"/>
        <charset val="134"/>
      </rPr>
      <t>①</t>
    </r>
    <r>
      <rPr>
        <sz val="10"/>
        <color rgb="FF0000FF"/>
        <rFont val="Arial Narrow"/>
        <family val="2"/>
      </rPr>
      <t xml:space="preserve"> </t>
    </r>
    <r>
      <rPr>
        <sz val="10"/>
        <color rgb="FF0000FF"/>
        <rFont val="宋体"/>
        <family val="3"/>
        <charset val="134"/>
      </rPr>
      <t>该资产或处置组被划归为持有待售之前的账面价值，按照其假定在没有被划归为持有待售的情况下原应确认的折旧、摊销或减值进行调整后的金额；</t>
    </r>
  </si>
  <si>
    <r>
      <rPr>
        <sz val="10"/>
        <color rgb="FF0000FF"/>
        <rFont val="宋体"/>
        <family val="3"/>
        <charset val="134"/>
      </rPr>
      <t>②</t>
    </r>
    <r>
      <rPr>
        <sz val="10"/>
        <color rgb="FF0000FF"/>
        <rFont val="Arial Narrow"/>
        <family val="2"/>
      </rPr>
      <t xml:space="preserve"> </t>
    </r>
    <r>
      <rPr>
        <sz val="10"/>
        <color rgb="FF0000FF"/>
        <rFont val="宋体"/>
        <family val="3"/>
        <charset val="134"/>
      </rPr>
      <t>决定不再出售之日的可收回金额。</t>
    </r>
    <phoneticPr fontId="5" type="noConversion"/>
  </si>
  <si>
    <r>
      <rPr>
        <sz val="10"/>
        <color rgb="FF0000FF"/>
        <rFont val="宋体"/>
        <family val="3"/>
        <charset val="134"/>
      </rPr>
      <t>持有待售及终止经营的会计政策（不适用的删除）</t>
    </r>
    <phoneticPr fontId="5" type="noConversion"/>
  </si>
  <si>
    <t>依据</t>
    <phoneticPr fontId="5" type="noConversion"/>
  </si>
  <si>
    <t>依据</t>
    <phoneticPr fontId="5" type="noConversion"/>
  </si>
  <si>
    <r>
      <t xml:space="preserve">A. </t>
    </r>
    <r>
      <rPr>
        <sz val="10"/>
        <rFont val="宋体"/>
        <family val="3"/>
        <charset val="134"/>
      </rPr>
      <t>资产负债表中记录的持有待售的资产和负债是存在的，且已记录于恰当的账户</t>
    </r>
    <phoneticPr fontId="5" type="noConversion"/>
  </si>
  <si>
    <r>
      <t xml:space="preserve">B. </t>
    </r>
    <r>
      <rPr>
        <sz val="10"/>
        <rFont val="宋体"/>
        <family val="3"/>
        <charset val="134"/>
      </rPr>
      <t>所有应记录的持有待售的资产和负债均已记录，所有应当包括在财务报表中的相关披露均已包括</t>
    </r>
    <phoneticPr fontId="5" type="noConversion"/>
  </si>
  <si>
    <r>
      <rPr>
        <sz val="10"/>
        <rFont val="宋体"/>
        <family val="3"/>
        <charset val="134"/>
      </rPr>
      <t>获取或编制明细表、执行下列程序，并编制审定表：
（</t>
    </r>
    <r>
      <rPr>
        <sz val="10"/>
        <rFont val="Arial Narrow"/>
        <family val="2"/>
      </rPr>
      <t>1</t>
    </r>
    <r>
      <rPr>
        <sz val="10"/>
        <rFont val="宋体"/>
        <family val="3"/>
        <charset val="134"/>
      </rPr>
      <t>）复核加计正确，并与总账数和明细账合计数核对是否相符，期初余额与上期审定期末余额是否相符；
（</t>
    </r>
    <r>
      <rPr>
        <sz val="10"/>
        <rFont val="Arial Narrow"/>
        <family val="2"/>
      </rPr>
      <t>2</t>
    </r>
    <r>
      <rPr>
        <sz val="10"/>
        <rFont val="宋体"/>
        <family val="3"/>
        <charset val="134"/>
      </rPr>
      <t>）根据终止经营项目判断是否满足持有待售条件，是否应纳入持有待售进行核算。</t>
    </r>
    <phoneticPr fontId="31" type="noConversion"/>
  </si>
  <si>
    <t>√</t>
    <phoneticPr fontId="5" type="noConversion"/>
  </si>
  <si>
    <t>√</t>
    <phoneticPr fontId="5" type="noConversion"/>
  </si>
  <si>
    <r>
      <t>获取上期期末的持有待售资产和负债明细，复核加计正确，总账与明细账核对一致；了解持有待售项目的情况；对重大持有待售项目检查期初余额形成的支持性证据，检查在本期出售等情况。</t>
    </r>
    <r>
      <rPr>
        <sz val="10"/>
        <color rgb="FFFF0000"/>
        <rFont val="宋体"/>
        <family val="3"/>
        <charset val="134"/>
      </rPr>
      <t>（适用于首次承接）</t>
    </r>
    <phoneticPr fontId="5" type="noConversion"/>
  </si>
  <si>
    <r>
      <rPr>
        <sz val="10"/>
        <rFont val="宋体"/>
        <family val="3"/>
        <charset val="134"/>
      </rPr>
      <t>对于终止经营满足持有待售条件，计入持有待售资产和负债的：
（</t>
    </r>
    <r>
      <rPr>
        <sz val="10"/>
        <rFont val="Arial Narrow"/>
        <family val="2"/>
      </rPr>
      <t>1</t>
    </r>
    <r>
      <rPr>
        <sz val="10"/>
        <rFont val="宋体"/>
        <family val="3"/>
        <charset val="134"/>
      </rPr>
      <t>）获取被审计单位就处置该非流动资产或处置组作出的决议、企业相关权力机构或监管部门的批准文件、与受让方签订的不可撤销的转让协议等文件，分析该非流动资产或处置组是否在当前状况下仅根据出售此类非流动资产或处置组的惯常条款即可立即出售，是否在一年内转让，确认该类非流动资产或处置组是否满足划分为持有待售的条件；
（</t>
    </r>
    <r>
      <rPr>
        <sz val="10"/>
        <rFont val="Arial Narrow"/>
        <family val="2"/>
      </rPr>
      <t>2</t>
    </r>
    <r>
      <rPr>
        <sz val="10"/>
        <rFont val="宋体"/>
        <family val="3"/>
        <charset val="134"/>
      </rPr>
      <t>）针对专为转售而取得的非流动资产或处置组，取得内部决议、审批文件、董事会会议纪要、转让协议等，分析取得日是否满足“预计出售将在一年内完成”的规定条件，且短期（通常为</t>
    </r>
    <r>
      <rPr>
        <sz val="10"/>
        <rFont val="Arial Narrow"/>
        <family val="2"/>
      </rPr>
      <t>3</t>
    </r>
    <r>
      <rPr>
        <sz val="10"/>
        <rFont val="宋体"/>
        <family val="3"/>
        <charset val="134"/>
      </rPr>
      <t>个月）内很可能满足持有待售类别的其他划分条件；
（</t>
    </r>
    <r>
      <rPr>
        <sz val="10"/>
        <rFont val="Arial Narrow"/>
        <family val="2"/>
      </rPr>
      <t>3</t>
    </r>
    <r>
      <rPr>
        <sz val="10"/>
        <rFont val="宋体"/>
        <family val="3"/>
        <charset val="134"/>
      </rPr>
      <t>）检查划分为持有待售的非流动资产或处置组的计量是否适当，是否停止计提折旧</t>
    </r>
    <r>
      <rPr>
        <sz val="10"/>
        <rFont val="Arial Narrow"/>
        <family val="2"/>
      </rPr>
      <t>/</t>
    </r>
    <r>
      <rPr>
        <sz val="10"/>
        <rFont val="宋体"/>
        <family val="3"/>
        <charset val="134"/>
      </rPr>
      <t>折耗</t>
    </r>
    <r>
      <rPr>
        <sz val="10"/>
        <rFont val="Arial Narrow"/>
        <family val="2"/>
      </rPr>
      <t>/</t>
    </r>
    <r>
      <rPr>
        <sz val="10"/>
        <rFont val="宋体"/>
        <family val="3"/>
        <charset val="134"/>
      </rPr>
      <t>摊销，是否按照账面价值与公允价值减去出售费用后的净额孰低进行计量，公允价值确定是否合理，资产减值损失计量是否适当；
（</t>
    </r>
    <r>
      <rPr>
        <sz val="10"/>
        <rFont val="Arial Narrow"/>
        <family val="2"/>
      </rPr>
      <t>4</t>
    </r>
    <r>
      <rPr>
        <sz val="10"/>
        <rFont val="宋体"/>
        <family val="3"/>
        <charset val="134"/>
      </rPr>
      <t>）如果划分为持有待售的非流动资产或处置组相关交易未能在一年内完成，应了解交易未能完成是否由于企业自身原因导致，还是买方或其他方意外设定导致出售延期或者由其他罕见情况导致，判断其是否继续满足持有待售的条件；
（</t>
    </r>
    <r>
      <rPr>
        <sz val="10"/>
        <rFont val="Arial Narrow"/>
        <family val="2"/>
      </rPr>
      <t>5</t>
    </r>
    <r>
      <rPr>
        <sz val="10"/>
        <rFont val="宋体"/>
        <family val="3"/>
        <charset val="134"/>
      </rPr>
      <t>）如果划分为持有待售的非流动资产或处置组不再满足持有待售确认条件的，询问被审计单位管理层不再处置的原因，并获取相关支持性证据，检查是否停止将其划归为持有待售，计价是否正确。</t>
    </r>
    <phoneticPr fontId="31" type="noConversion"/>
  </si>
  <si>
    <t>对于未在持有待售资产和负债列报的终止经营：
（1）对于其中已被企业处置的组成部分，了解被审计单位终止经营的原因、内容、性质等，并取得相关的支持性文件；
（2）确认满足终止经营的组成部分是否按照企业会计准则的规定进行了恰当列报和披露。</t>
    <phoneticPr fontId="31" type="noConversion"/>
  </si>
  <si>
    <t>考虑是否存在超出被审计单位正常经营活动的重大、异常交易等，根据评估的舞弊风险等因素增加的审计程序。</t>
    <phoneticPr fontId="5" type="noConversion"/>
  </si>
  <si>
    <t>检查持有待售资产和负债、终止经营是否已按企业会计准则或其他适用的规定在财务报表中做出恰当列报和披露。</t>
    <phoneticPr fontId="5" type="noConversion"/>
  </si>
  <si>
    <t>1</t>
    <phoneticPr fontId="31" type="noConversion"/>
  </si>
  <si>
    <t>3</t>
  </si>
  <si>
    <t>4</t>
  </si>
  <si>
    <t>7</t>
  </si>
  <si>
    <t>IPO/上市/新三板/重组/舞弊应对</t>
    <phoneticPr fontId="61" type="noConversion"/>
  </si>
  <si>
    <t>K6-1
/K6-2</t>
    <phoneticPr fontId="31" type="noConversion"/>
  </si>
  <si>
    <t>K6-4
/K6-5
/K6-6
/K6-7</t>
    <phoneticPr fontId="31" type="noConversion"/>
  </si>
  <si>
    <t>持有待售资产和负债初始确认检查表</t>
    <phoneticPr fontId="5" type="noConversion"/>
  </si>
  <si>
    <r>
      <rPr>
        <b/>
        <sz val="10"/>
        <rFont val="宋体"/>
        <family val="3"/>
        <charset val="134"/>
      </rPr>
      <t>小计</t>
    </r>
    <phoneticPr fontId="5" type="noConversion"/>
  </si>
  <si>
    <r>
      <rPr>
        <b/>
        <sz val="10"/>
        <rFont val="宋体"/>
        <family val="3"/>
        <charset val="134"/>
      </rPr>
      <t>资产合计</t>
    </r>
    <phoneticPr fontId="5" type="noConversion"/>
  </si>
  <si>
    <t>假定在没有被划归为持有待售的情况下原应确认的折旧、摊销
②</t>
    <phoneticPr fontId="5" type="noConversion"/>
  </si>
  <si>
    <t>假定在没有被划归为持有待售的情况下原应确认的减值准备
③</t>
    <phoneticPr fontId="5" type="noConversion"/>
  </si>
  <si>
    <r>
      <t>3.</t>
    </r>
    <r>
      <rPr>
        <sz val="10"/>
        <rFont val="宋体"/>
        <family val="3"/>
        <charset val="134"/>
      </rPr>
      <t>持有待售的资产和负债以恰当的金额包括在财务报表中，与之相关的计价或分摊调整已恰当记录，相关披露已得到恰当计量和描述</t>
    </r>
    <phoneticPr fontId="5" type="noConversion"/>
  </si>
  <si>
    <r>
      <t>1.</t>
    </r>
    <r>
      <rPr>
        <sz val="10"/>
        <color indexed="8"/>
        <rFont val="宋体"/>
        <family val="3"/>
        <charset val="134"/>
      </rPr>
      <t>资产负债表中记录的持有待售的资产和负债是存在的，且已记录于恰当的账户；</t>
    </r>
    <phoneticPr fontId="31" type="noConversion"/>
  </si>
  <si>
    <r>
      <t>2.</t>
    </r>
    <r>
      <rPr>
        <sz val="10"/>
        <rFont val="宋体"/>
        <family val="3"/>
        <charset val="134"/>
      </rPr>
      <t>记录的持有待售资产由被审计单位拥有或控制；记录的持有待售负债是被审计单位应当履行的偿还义务；</t>
    </r>
    <phoneticPr fontId="31" type="noConversion"/>
  </si>
  <si>
    <t>页  次：</t>
    <phoneticPr fontId="5" type="noConversion"/>
  </si>
  <si>
    <t>页  次：</t>
    <phoneticPr fontId="5" type="noConversion"/>
  </si>
  <si>
    <t>页  次：</t>
    <phoneticPr fontId="5" type="noConversion"/>
  </si>
  <si>
    <t>页  次：</t>
    <phoneticPr fontId="31" type="noConversion"/>
  </si>
  <si>
    <r>
      <t xml:space="preserve">C. </t>
    </r>
    <r>
      <rPr>
        <sz val="10"/>
        <rFont val="宋体"/>
        <family val="3"/>
        <charset val="134"/>
      </rPr>
      <t>记录的持有待售资产由被审计单位拥有或控制；记录的持有待售负债是被审计单位应当履行的偿还义务</t>
    </r>
    <phoneticPr fontId="5" type="noConversion"/>
  </si>
  <si>
    <r>
      <t xml:space="preserve">D. </t>
    </r>
    <r>
      <rPr>
        <sz val="10"/>
        <rFont val="宋体"/>
        <family val="3"/>
        <charset val="134"/>
      </rPr>
      <t>持有待售的资产和负债以恰当的金额包括在财务报表中，与之相关的计价或分摊调整已恰当记录，相关披露已得到恰当计量和描述</t>
    </r>
    <phoneticPr fontId="5" type="noConversion"/>
  </si>
  <si>
    <r>
      <t xml:space="preserve">E. </t>
    </r>
    <r>
      <rPr>
        <sz val="10"/>
        <rFont val="宋体"/>
        <family val="3"/>
        <charset val="134"/>
      </rPr>
      <t>持有待售的资产和负债已被恰当地汇总或分解且表述清楚，相关披露在按照企业会计准则的编制基础下是相关的、可理解的</t>
    </r>
    <phoneticPr fontId="5" type="noConversion"/>
  </si>
  <si>
    <r>
      <rPr>
        <sz val="10"/>
        <rFont val="宋体"/>
        <family val="3"/>
        <charset val="134"/>
      </rPr>
      <t>被审计单位：</t>
    </r>
    <r>
      <rPr>
        <sz val="10"/>
        <rFont val="Arial Narrow"/>
        <family val="2"/>
      </rPr>
      <t/>
    </r>
    <phoneticPr fontId="5" type="noConversion"/>
  </si>
  <si>
    <t>编制人：</t>
    <phoneticPr fontId="5" type="noConversion"/>
  </si>
  <si>
    <t>编制日期：</t>
    <phoneticPr fontId="5" type="noConversion"/>
  </si>
  <si>
    <t>复核人：</t>
    <phoneticPr fontId="5" type="noConversion"/>
  </si>
  <si>
    <t>复核日期：</t>
    <phoneticPr fontId="5" type="noConversion"/>
  </si>
  <si>
    <t>关于工作底稿与审计程序索引号对应的说明</t>
    <phoneticPr fontId="5"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</si>
  <si>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5"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</si>
  <si>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5"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</si>
  <si>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5" type="noConversion"/>
  </si>
  <si>
    <t>根据被审计单位实际情况和风险评估情况裁剪、修改或增加审计程序</t>
    <phoneticPr fontId="5" type="noConversion"/>
  </si>
  <si>
    <t>审计程序</t>
    <phoneticPr fontId="6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</si>
</sst>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_ "/>
    <numFmt numFmtId="195" formatCode="0.0%"/>
    <numFmt numFmtId="196" formatCode="_ * #,##0_ ;_ * \-#,##0_ ;_ * &quot;-&quot;??_ ;_ @_ "/>
    <numFmt numFmtId="197" formatCode="_(* #,##0.00_);_(* \(#,##0.00\);_(* &quot;-&quot;??_);_(@_)"/>
  </numFmts>
  <fonts count="84">
    <font>
      <sz val="10"/>
      <color theme="1"/>
      <name val="宋体"/>
      <family val="3"/>
      <charset val="134"/>
      <scheme val="minor"/>
    </font>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3"/>
      <charset val="134"/>
    </font>
    <font>
      <b/>
      <sz val="10"/>
      <name val="Arial Narrow"/>
      <family val="2"/>
    </font>
    <font>
      <sz val="12"/>
      <name val="Arial Narrow"/>
      <family val="2"/>
    </font>
    <font>
      <b/>
      <sz val="12"/>
      <name val="宋体"/>
      <family val="3"/>
      <charset val="134"/>
    </font>
    <font>
      <b/>
      <sz val="12"/>
      <name val="Arial Narrow"/>
      <family val="2"/>
    </font>
    <font>
      <sz val="10"/>
      <name val="Arial Narrow"/>
      <family val="2"/>
    </font>
    <font>
      <sz val="10"/>
      <name val="宋体"/>
      <family val="3"/>
      <charset val="134"/>
    </font>
    <font>
      <u/>
      <sz val="12"/>
      <color indexed="12"/>
      <name val="宋体"/>
      <family val="3"/>
      <charset val="134"/>
    </font>
    <font>
      <sz val="12"/>
      <name val="Times New Roman"/>
      <family val="1"/>
    </font>
    <font>
      <u/>
      <sz val="10"/>
      <name val="Arial Narrow"/>
      <family val="2"/>
    </font>
    <font>
      <sz val="10"/>
      <color indexed="10"/>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宋体"/>
      <family val="3"/>
      <charset val="134"/>
    </font>
    <font>
      <sz val="9"/>
      <name val="宋体"/>
      <family val="3"/>
      <charset val="134"/>
      <scheme val="minor"/>
    </font>
    <font>
      <sz val="12"/>
      <name val="仿宋_GB2312"/>
      <family val="3"/>
      <charset val="134"/>
    </font>
    <font>
      <sz val="12"/>
      <color indexed="12"/>
      <name val="仿宋_GB2312"/>
      <family val="3"/>
      <charset val="134"/>
    </font>
    <font>
      <b/>
      <sz val="12"/>
      <color indexed="8"/>
      <name val="Arial Narrow"/>
      <family val="2"/>
    </font>
    <font>
      <sz val="10.5"/>
      <name val="Arial Narrow"/>
      <family val="2"/>
    </font>
    <font>
      <sz val="10"/>
      <color theme="1"/>
      <name val="宋体"/>
      <family val="3"/>
      <charset val="134"/>
    </font>
    <font>
      <b/>
      <sz val="10"/>
      <color indexed="8"/>
      <name val="Arial Narrow"/>
      <family val="2"/>
    </font>
    <font>
      <sz val="10"/>
      <color indexed="8"/>
      <name val="Arial Narrow"/>
      <family val="2"/>
    </font>
    <font>
      <b/>
      <u/>
      <sz val="10"/>
      <color indexed="10"/>
      <name val="Arial Narrow"/>
      <family val="2"/>
    </font>
    <font>
      <b/>
      <sz val="10"/>
      <color theme="1"/>
      <name val="宋体"/>
      <family val="3"/>
      <charset val="134"/>
    </font>
    <font>
      <b/>
      <sz val="10"/>
      <color theme="1"/>
      <name val="Arial Narrow"/>
      <family val="2"/>
    </font>
    <font>
      <u/>
      <sz val="10"/>
      <color indexed="12"/>
      <name val="宋体"/>
      <family val="3"/>
      <charset val="134"/>
    </font>
    <font>
      <sz val="10"/>
      <color theme="1"/>
      <name val="Arial Narrow"/>
      <family val="2"/>
    </font>
    <font>
      <sz val="10"/>
      <color indexed="8"/>
      <name val="宋体"/>
      <family val="3"/>
      <charset val="134"/>
    </font>
    <font>
      <i/>
      <u/>
      <sz val="10"/>
      <color indexed="12"/>
      <name val="Arial Narrow"/>
      <family val="2"/>
    </font>
    <font>
      <sz val="10"/>
      <color indexed="10"/>
      <name val="Arial Narrow"/>
      <family val="2"/>
    </font>
    <font>
      <u/>
      <sz val="10"/>
      <color indexed="12"/>
      <name val="Arial Narrow"/>
      <family val="2"/>
    </font>
    <font>
      <sz val="10"/>
      <color rgb="FF0000FF"/>
      <name val="Arial Narrow"/>
      <family val="2"/>
    </font>
    <font>
      <sz val="10"/>
      <color rgb="FF0000FF"/>
      <name val="宋体"/>
      <family val="3"/>
      <charset val="134"/>
    </font>
    <font>
      <sz val="10"/>
      <color rgb="FF0000FF"/>
      <name val="宋体"/>
      <family val="3"/>
      <charset val="134"/>
      <scheme val="minor"/>
    </font>
    <font>
      <sz val="9"/>
      <color indexed="81"/>
      <name val="宋体"/>
      <family val="3"/>
      <charset val="134"/>
    </font>
    <font>
      <b/>
      <sz val="9"/>
      <color indexed="81"/>
      <name val="宋体"/>
      <family val="3"/>
      <charset val="134"/>
    </font>
    <font>
      <sz val="10"/>
      <color rgb="FFFF0000"/>
      <name val="Arial Narrow"/>
      <family val="2"/>
    </font>
    <font>
      <sz val="10"/>
      <color rgb="FFFF0000"/>
      <name val="宋体"/>
      <family val="3"/>
      <charset val="134"/>
    </font>
    <font>
      <sz val="10"/>
      <color rgb="FFFF0000"/>
      <name val="宋体"/>
      <family val="3"/>
      <charset val="134"/>
      <scheme val="minor"/>
    </font>
    <font>
      <b/>
      <sz val="14"/>
      <name val="宋体"/>
      <family val="3"/>
      <charset val="134"/>
    </font>
    <font>
      <b/>
      <sz val="10"/>
      <color theme="0" tint="-0.499984740745262"/>
      <name val="Arial Narrow"/>
      <family val="2"/>
    </font>
    <font>
      <sz val="11"/>
      <color theme="1"/>
      <name val="Arial Narrow"/>
      <family val="2"/>
    </font>
    <font>
      <sz val="10"/>
      <name val="Arial Narrow"/>
      <family val="3"/>
      <charset val="134"/>
    </font>
    <font>
      <b/>
      <sz val="10"/>
      <name val="Arial"/>
      <family val="2"/>
    </font>
    <font>
      <sz val="9"/>
      <name val="宋体"/>
      <family val="2"/>
      <charset val="134"/>
      <scheme val="minor"/>
    </font>
    <font>
      <sz val="11"/>
      <color theme="1"/>
      <name val="宋体"/>
      <family val="3"/>
      <charset val="134"/>
      <scheme val="minor"/>
    </font>
    <font>
      <b/>
      <sz val="10"/>
      <color indexed="10"/>
      <name val="Arial Narrow"/>
      <family val="2"/>
    </font>
    <font>
      <b/>
      <sz val="10"/>
      <color rgb="FFE92841"/>
      <name val="Arial Narrow"/>
      <family val="2"/>
    </font>
    <font>
      <b/>
      <sz val="10"/>
      <color rgb="FF000000"/>
      <name val="宋体"/>
      <family val="2"/>
      <charset val="134"/>
    </font>
    <font>
      <sz val="10"/>
      <name val="仿宋_GB2312"/>
      <family val="3"/>
      <charset val="134"/>
    </font>
    <font>
      <sz val="10"/>
      <name val="宋体"/>
      <family val="3"/>
      <charset val="134"/>
      <scheme val="minor"/>
    </font>
    <font>
      <b/>
      <sz val="10"/>
      <name val="宋体"/>
      <family val="3"/>
      <charset val="134"/>
      <scheme val="minor"/>
    </font>
    <font>
      <b/>
      <sz val="10"/>
      <color rgb="FF000000"/>
      <name val="宋体"/>
      <family val="3"/>
      <charset val="134"/>
      <scheme val="minor"/>
    </font>
    <font>
      <b/>
      <sz val="10"/>
      <color rgb="FF0000FF"/>
      <name val="Arial Narrow"/>
      <family val="2"/>
    </font>
    <font>
      <b/>
      <sz val="10"/>
      <color rgb="FF0000FF"/>
      <name val="宋体"/>
      <family val="3"/>
      <charset val="134"/>
    </font>
    <font>
      <b/>
      <sz val="10"/>
      <color rgb="FFFF0000"/>
      <name val="Arial Narrow"/>
      <family val="2"/>
    </font>
    <font>
      <b/>
      <sz val="10"/>
      <color rgb="FFFF0000"/>
      <name val="宋体"/>
      <family val="3"/>
      <charset val="134"/>
    </font>
    <font>
      <sz val="10"/>
      <color theme="1"/>
      <name val="Arial"/>
      <family val="2"/>
    </font>
    <font>
      <sz val="10"/>
      <color rgb="FF000000"/>
      <name val="宋体"/>
      <family val="3"/>
      <charset val="134"/>
    </font>
    <font>
      <sz val="9"/>
      <color rgb="FF0000FF"/>
      <name val="Arial Narrow"/>
      <family val="2"/>
    </font>
    <font>
      <sz val="9"/>
      <color rgb="FF0000FF"/>
      <name val="宋体"/>
      <family val="3"/>
      <charset val="134"/>
    </font>
    <font>
      <b/>
      <sz val="12"/>
      <name val="宋体"/>
      <family val="3"/>
      <charset val="134"/>
      <scheme val="minor"/>
    </font>
    <font>
      <b/>
      <sz val="14"/>
      <name val="宋体"/>
      <family val="3"/>
      <charset val="134"/>
      <scheme val="minor"/>
    </font>
    <font>
      <b/>
      <sz val="14"/>
      <name val="Arial Narrow"/>
      <family val="2"/>
    </font>
    <font>
      <b/>
      <sz val="10"/>
      <color rgb="FF000000"/>
      <name val="Arial Narrow"/>
      <family val="2"/>
    </font>
    <font>
      <b/>
      <u/>
      <sz val="10"/>
      <color indexed="12"/>
      <name val="Arial Narrow"/>
      <family val="2"/>
    </font>
    <font>
      <sz val="10"/>
      <color indexed="12"/>
      <name val="Arial Narrow"/>
      <family val="2"/>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14"/>
        <bgColor indexed="64"/>
      </patternFill>
    </fill>
    <fill>
      <patternFill patternType="solid">
        <fgColor theme="0" tint="-0.14999847407452621"/>
        <bgColor indexed="64"/>
      </patternFill>
    </fill>
    <fill>
      <patternFill patternType="solid">
        <fgColor rgb="FFE4DFEC"/>
        <bgColor indexed="64"/>
      </patternFill>
    </fill>
  </fills>
  <borders count="18">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right/>
      <top/>
      <bottom style="medium">
        <color indexed="64"/>
      </bottom>
      <diagonal/>
    </border>
    <border>
      <left/>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medium">
        <color indexed="64"/>
      </top>
      <bottom/>
      <diagonal/>
    </border>
    <border>
      <left/>
      <right/>
      <top/>
      <bottom style="thin">
        <color indexed="64"/>
      </bottom>
      <diagonal/>
    </border>
    <border>
      <left style="thin">
        <color indexed="55"/>
      </left>
      <right style="thin">
        <color indexed="55"/>
      </right>
      <top style="thin">
        <color indexed="55"/>
      </top>
      <bottom style="thin">
        <color indexed="55"/>
      </bottom>
      <diagonal/>
    </border>
    <border>
      <left/>
      <right style="thin">
        <color auto="1"/>
      </right>
      <top style="medium">
        <color auto="1"/>
      </top>
      <bottom/>
      <diagonal/>
    </border>
    <border>
      <left/>
      <right/>
      <top style="thin">
        <color indexed="64"/>
      </top>
      <bottom style="medium">
        <color indexed="64"/>
      </bottom>
      <diagonal/>
    </border>
    <border>
      <left style="hair">
        <color indexed="64"/>
      </left>
      <right style="hair">
        <color indexed="64"/>
      </right>
      <top/>
      <bottom/>
      <diagonal/>
    </border>
  </borders>
  <cellStyleXfs count="62">
    <xf numFmtId="0" fontId="0" fillId="0" borderId="0">
      <alignment vertical="center"/>
    </xf>
    <xf numFmtId="49" fontId="16" fillId="0" borderId="0" applyProtection="0">
      <alignment horizontal="left"/>
    </xf>
    <xf numFmtId="176" fontId="16" fillId="0" borderId="0" applyFill="0" applyBorder="0" applyProtection="0">
      <alignment horizontal="right"/>
    </xf>
    <xf numFmtId="177" fontId="16" fillId="0" borderId="0" applyFill="0" applyBorder="0" applyProtection="0">
      <alignment horizontal="right"/>
    </xf>
    <xf numFmtId="178" fontId="17" fillId="0" borderId="0" applyFill="0" applyBorder="0" applyProtection="0">
      <alignment horizontal="center"/>
    </xf>
    <xf numFmtId="179" fontId="17" fillId="0" borderId="0" applyFill="0" applyBorder="0" applyProtection="0">
      <alignment horizontal="center"/>
    </xf>
    <xf numFmtId="180" fontId="18" fillId="0" borderId="0" applyFill="0" applyBorder="0" applyProtection="0">
      <alignment horizontal="right"/>
    </xf>
    <xf numFmtId="181" fontId="16" fillId="0" borderId="0" applyFill="0" applyBorder="0" applyProtection="0">
      <alignment horizontal="right"/>
    </xf>
    <xf numFmtId="182" fontId="16" fillId="0" borderId="0" applyFill="0" applyBorder="0" applyProtection="0">
      <alignment horizontal="right"/>
    </xf>
    <xf numFmtId="183" fontId="16" fillId="0" borderId="0" applyFill="0" applyBorder="0" applyProtection="0">
      <alignment horizontal="right"/>
    </xf>
    <xf numFmtId="184" fontId="16" fillId="0" borderId="0" applyFill="0" applyBorder="0" applyProtection="0">
      <alignment horizontal="right"/>
    </xf>
    <xf numFmtId="3" fontId="19" fillId="0" borderId="0"/>
    <xf numFmtId="185" fontId="20" fillId="0" borderId="1" applyAlignment="0" applyProtection="0"/>
    <xf numFmtId="186" fontId="21" fillId="0" borderId="0" applyFont="0" applyFill="0" applyBorder="0" applyAlignment="0" applyProtection="0"/>
    <xf numFmtId="187" fontId="21" fillId="0" borderId="0" applyFont="0" applyFill="0" applyBorder="0" applyAlignment="0" applyProtection="0"/>
    <xf numFmtId="188" fontId="21" fillId="0" borderId="0" applyFont="0" applyFill="0" applyBorder="0" applyAlignment="0" applyProtection="0"/>
    <xf numFmtId="189" fontId="21" fillId="0" borderId="0" applyFont="0" applyFill="0" applyBorder="0" applyAlignment="0" applyProtection="0"/>
    <xf numFmtId="41" fontId="21" fillId="0" borderId="0" applyFont="0" applyFill="0" applyBorder="0" applyAlignment="0" applyProtection="0"/>
    <xf numFmtId="43" fontId="21" fillId="0" borderId="0" applyFont="0" applyFill="0" applyBorder="0" applyAlignment="0" applyProtection="0"/>
    <xf numFmtId="190" fontId="16" fillId="0" borderId="0" applyFont="0" applyFill="0" applyBorder="0" applyAlignment="0" applyProtection="0"/>
    <xf numFmtId="0" fontId="22" fillId="0" borderId="0" applyNumberFormat="0" applyFill="0" applyBorder="0" applyAlignment="0" applyProtection="0">
      <alignment vertical="top"/>
      <protection locked="0"/>
    </xf>
    <xf numFmtId="38" fontId="23" fillId="2" borderId="0" applyNumberFormat="0" applyBorder="0" applyAlignment="0" applyProtection="0"/>
    <xf numFmtId="0" fontId="24" fillId="0" borderId="0" applyNumberFormat="0" applyFill="0" applyBorder="0" applyAlignment="0" applyProtection="0">
      <alignment vertical="top"/>
      <protection locked="0"/>
    </xf>
    <xf numFmtId="10" fontId="23" fillId="3" borderId="2" applyNumberFormat="0" applyBorder="0" applyAlignment="0" applyProtection="0"/>
    <xf numFmtId="191" fontId="3" fillId="0" borderId="0" applyFont="0" applyFill="0" applyBorder="0" applyAlignment="0" applyProtection="0"/>
    <xf numFmtId="192" fontId="3" fillId="0" borderId="0" applyFont="0" applyFill="0" applyBorder="0" applyAlignment="0" applyProtection="0"/>
    <xf numFmtId="0" fontId="25" fillId="0" borderId="0"/>
    <xf numFmtId="193" fontId="3" fillId="0" borderId="0"/>
    <xf numFmtId="0" fontId="26" fillId="0" borderId="0"/>
    <xf numFmtId="10" fontId="21" fillId="0" borderId="0" applyFont="0" applyFill="0" applyBorder="0" applyAlignment="0" applyProtection="0"/>
    <xf numFmtId="3" fontId="27" fillId="0" borderId="0"/>
    <xf numFmtId="9" fontId="3" fillId="0" borderId="0" applyFont="0" applyFill="0" applyBorder="0" applyAlignment="0" applyProtection="0"/>
    <xf numFmtId="0" fontId="13" fillId="0" borderId="0"/>
    <xf numFmtId="0" fontId="3" fillId="0" borderId="0" applyFill="0" applyBorder="0"/>
    <xf numFmtId="0" fontId="12" fillId="0" borderId="0" applyNumberFormat="0" applyFill="0" applyBorder="0" applyAlignment="0" applyProtection="0">
      <alignment vertical="top"/>
      <protection locked="0"/>
    </xf>
    <xf numFmtId="0" fontId="28" fillId="0" borderId="0"/>
    <xf numFmtId="41" fontId="3" fillId="0" borderId="0" applyFont="0" applyFill="0" applyBorder="0" applyAlignment="0" applyProtection="0"/>
    <xf numFmtId="43" fontId="3" fillId="0" borderId="0" applyFont="0" applyFill="0" applyBorder="0" applyAlignment="0" applyProtection="0"/>
    <xf numFmtId="41"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0" fontId="3" fillId="0" borderId="0">
      <protection locked="0"/>
    </xf>
    <xf numFmtId="0" fontId="3" fillId="0" borderId="0">
      <alignment vertical="center"/>
    </xf>
    <xf numFmtId="0" fontId="3" fillId="0" borderId="0">
      <alignment vertical="center"/>
    </xf>
    <xf numFmtId="0" fontId="3" fillId="0" borderId="0">
      <protection locked="0"/>
    </xf>
    <xf numFmtId="190" fontId="3" fillId="0" borderId="0"/>
    <xf numFmtId="0" fontId="3" fillId="0" borderId="0">
      <alignment vertical="center"/>
    </xf>
    <xf numFmtId="0" fontId="3" fillId="0" borderId="0"/>
    <xf numFmtId="0" fontId="2" fillId="0" borderId="0"/>
    <xf numFmtId="0" fontId="3" fillId="0" borderId="0">
      <protection locked="0"/>
    </xf>
    <xf numFmtId="0" fontId="62" fillId="0" borderId="0">
      <alignment vertical="center"/>
    </xf>
    <xf numFmtId="190" fontId="62" fillId="0" borderId="0">
      <alignment vertical="center"/>
    </xf>
    <xf numFmtId="190" fontId="3" fillId="0" borderId="0"/>
    <xf numFmtId="0" fontId="12" fillId="0" borderId="0" applyNumberFormat="0" applyFill="0" applyBorder="0" applyAlignment="0" applyProtection="0">
      <alignment vertical="top"/>
      <protection locked="0"/>
    </xf>
    <xf numFmtId="9" fontId="3" fillId="0" borderId="0" applyFont="0" applyFill="0" applyBorder="0" applyAlignment="0" applyProtection="0"/>
    <xf numFmtId="0" fontId="11" fillId="0" borderId="0">
      <alignment vertical="center"/>
    </xf>
    <xf numFmtId="0" fontId="42" fillId="0" borderId="0">
      <alignment vertical="top"/>
      <protection locked="0"/>
    </xf>
    <xf numFmtId="197" fontId="11" fillId="0" borderId="0">
      <alignment vertical="center"/>
    </xf>
    <xf numFmtId="190" fontId="62" fillId="0" borderId="0">
      <alignment vertical="center"/>
    </xf>
    <xf numFmtId="190" fontId="3" fillId="0" borderId="0">
      <alignment vertical="center"/>
      <protection locked="0"/>
    </xf>
    <xf numFmtId="190" fontId="3" fillId="0" borderId="0">
      <protection locked="0"/>
    </xf>
    <xf numFmtId="190" fontId="1" fillId="0" borderId="0">
      <alignment vertical="center"/>
    </xf>
  </cellStyleXfs>
  <cellXfs count="389">
    <xf numFmtId="0" fontId="0" fillId="0" borderId="0" xfId="0">
      <alignment vertical="center"/>
    </xf>
    <xf numFmtId="43" fontId="7" fillId="0" borderId="0" xfId="33" applyNumberFormat="1" applyFont="1" applyBorder="1" applyAlignment="1">
      <alignment vertical="center"/>
    </xf>
    <xf numFmtId="43" fontId="10" fillId="0" borderId="0" xfId="33" applyNumberFormat="1" applyFont="1" applyBorder="1" applyAlignment="1">
      <alignment vertical="center"/>
    </xf>
    <xf numFmtId="43" fontId="10" fillId="0" borderId="0" xfId="33" applyNumberFormat="1" applyFont="1" applyBorder="1" applyAlignment="1">
      <alignment horizontal="left" vertical="center"/>
    </xf>
    <xf numFmtId="49" fontId="10" fillId="0" borderId="0" xfId="33" applyNumberFormat="1" applyFont="1" applyBorder="1" applyAlignment="1">
      <alignment vertical="center"/>
    </xf>
    <xf numFmtId="43" fontId="6" fillId="0" borderId="0" xfId="33" applyNumberFormat="1" applyFont="1" applyBorder="1" applyAlignment="1">
      <alignment vertical="center"/>
    </xf>
    <xf numFmtId="0" fontId="10" fillId="0" borderId="0" xfId="32" applyFont="1" applyAlignment="1">
      <alignment vertical="center"/>
    </xf>
    <xf numFmtId="0" fontId="7" fillId="0" borderId="0" xfId="42" applyFont="1">
      <alignment vertical="center"/>
    </xf>
    <xf numFmtId="0" fontId="10" fillId="0" borderId="0" xfId="41" applyFont="1" applyAlignment="1">
      <alignment vertical="center"/>
      <protection locked="0"/>
    </xf>
    <xf numFmtId="0" fontId="6" fillId="0" borderId="0" xfId="41" applyFont="1" applyAlignment="1">
      <alignment horizontal="center" vertical="center" wrapText="1"/>
      <protection locked="0"/>
    </xf>
    <xf numFmtId="43" fontId="6" fillId="0" borderId="6" xfId="40" applyFont="1" applyBorder="1" applyAlignment="1">
      <alignment vertical="center"/>
    </xf>
    <xf numFmtId="195" fontId="10" fillId="0" borderId="6" xfId="31" applyNumberFormat="1" applyFont="1" applyBorder="1" applyAlignment="1">
      <alignment horizontal="center" vertical="center"/>
    </xf>
    <xf numFmtId="43" fontId="10" fillId="0" borderId="6" xfId="40" applyFont="1" applyBorder="1" applyAlignment="1">
      <alignment vertical="center"/>
    </xf>
    <xf numFmtId="0" fontId="10" fillId="0" borderId="3" xfId="41" applyFont="1" applyBorder="1" applyAlignment="1">
      <alignment vertical="center"/>
      <protection locked="0"/>
    </xf>
    <xf numFmtId="0" fontId="7" fillId="0" borderId="0" xfId="41" applyFont="1" applyAlignment="1">
      <alignment vertical="center"/>
      <protection locked="0"/>
    </xf>
    <xf numFmtId="0" fontId="34" fillId="0" borderId="0" xfId="0" applyFont="1" applyAlignment="1">
      <alignment horizontal="left" vertical="center"/>
    </xf>
    <xf numFmtId="0" fontId="37" fillId="0" borderId="0" xfId="0" applyFont="1" applyAlignment="1">
      <alignment horizontal="left" vertical="center"/>
    </xf>
    <xf numFmtId="0" fontId="37" fillId="0" borderId="0" xfId="0" applyFont="1" applyAlignment="1">
      <alignment horizontal="center" vertical="center"/>
    </xf>
    <xf numFmtId="0" fontId="37" fillId="0" borderId="2" xfId="0" applyFont="1" applyBorder="1" applyAlignment="1">
      <alignment horizontal="center" vertical="center"/>
    </xf>
    <xf numFmtId="0" fontId="38" fillId="0" borderId="0" xfId="0" applyFont="1">
      <alignment vertical="center"/>
    </xf>
    <xf numFmtId="0" fontId="37" fillId="0" borderId="2" xfId="0" applyFont="1" applyBorder="1">
      <alignment vertical="center"/>
    </xf>
    <xf numFmtId="0" fontId="38" fillId="0" borderId="2" xfId="0" applyFont="1" applyBorder="1" applyAlignment="1">
      <alignment horizontal="center" vertical="center"/>
    </xf>
    <xf numFmtId="0" fontId="38" fillId="0" borderId="2" xfId="0" applyFont="1" applyBorder="1">
      <alignment vertical="center"/>
    </xf>
    <xf numFmtId="0" fontId="38" fillId="0" borderId="0" xfId="0" applyFont="1" applyAlignment="1">
      <alignment horizontal="center" vertical="center"/>
    </xf>
    <xf numFmtId="43" fontId="10" fillId="0" borderId="3" xfId="33" applyNumberFormat="1" applyFont="1" applyBorder="1" applyAlignment="1">
      <alignment horizontal="left" vertical="center"/>
    </xf>
    <xf numFmtId="43" fontId="10" fillId="0" borderId="3" xfId="33" applyNumberFormat="1" applyFont="1" applyBorder="1" applyAlignment="1">
      <alignment vertical="center"/>
    </xf>
    <xf numFmtId="43" fontId="6" fillId="0" borderId="0" xfId="33" applyNumberFormat="1" applyFont="1" applyFill="1" applyBorder="1" applyAlignment="1">
      <alignment vertical="center"/>
    </xf>
    <xf numFmtId="9" fontId="14" fillId="0" borderId="0" xfId="31" applyFont="1" applyBorder="1" applyAlignment="1">
      <alignment horizontal="left" vertical="center"/>
    </xf>
    <xf numFmtId="43" fontId="10" fillId="0" borderId="0" xfId="33" applyNumberFormat="1" applyFont="1" applyFill="1" applyBorder="1" applyAlignment="1">
      <alignment vertical="center"/>
    </xf>
    <xf numFmtId="0" fontId="10" fillId="0" borderId="0" xfId="32" applyFont="1" applyAlignment="1">
      <alignment horizontal="left" vertical="center"/>
    </xf>
    <xf numFmtId="0" fontId="37" fillId="0" borderId="0" xfId="41" applyFont="1" applyAlignment="1" applyProtection="1">
      <alignment vertical="center"/>
    </xf>
    <xf numFmtId="0" fontId="39" fillId="0" borderId="0" xfId="41" applyFont="1" applyAlignment="1" applyProtection="1">
      <alignment horizontal="center"/>
    </xf>
    <xf numFmtId="0" fontId="10" fillId="0" borderId="0" xfId="41" applyFont="1" applyAlignment="1">
      <alignment vertical="center" wrapText="1"/>
      <protection locked="0"/>
    </xf>
    <xf numFmtId="0" fontId="10" fillId="0" borderId="0" xfId="41" applyFont="1" applyAlignment="1">
      <alignment horizontal="right" vertical="center"/>
      <protection locked="0"/>
    </xf>
    <xf numFmtId="0" fontId="10" fillId="0" borderId="0" xfId="41" applyFont="1" applyAlignment="1">
      <alignment horizontal="justify" vertical="center" wrapText="1"/>
      <protection locked="0"/>
    </xf>
    <xf numFmtId="0" fontId="6" fillId="0" borderId="0" xfId="41" applyFont="1" applyAlignment="1" applyProtection="1">
      <alignment horizontal="left" vertical="center"/>
    </xf>
    <xf numFmtId="0" fontId="10" fillId="0" borderId="0" xfId="46" applyFont="1">
      <alignment vertical="center"/>
    </xf>
    <xf numFmtId="0" fontId="10" fillId="0" borderId="0" xfId="41" applyFont="1" applyAlignment="1" applyProtection="1">
      <alignment vertical="center"/>
    </xf>
    <xf numFmtId="43" fontId="6" fillId="4" borderId="6" xfId="40" applyFont="1" applyFill="1" applyBorder="1" applyAlignment="1">
      <alignment vertical="center"/>
    </xf>
    <xf numFmtId="195" fontId="10" fillId="4" borderId="6" xfId="31" applyNumberFormat="1" applyFont="1" applyFill="1" applyBorder="1" applyAlignment="1">
      <alignment horizontal="center" vertical="center"/>
    </xf>
    <xf numFmtId="43" fontId="10" fillId="4" borderId="6" xfId="40" applyFont="1" applyFill="1" applyBorder="1" applyAlignment="1">
      <alignment vertical="center"/>
    </xf>
    <xf numFmtId="195" fontId="10" fillId="4" borderId="6" xfId="40" applyNumberFormat="1" applyFont="1" applyFill="1" applyBorder="1" applyAlignment="1">
      <alignment vertical="center"/>
    </xf>
    <xf numFmtId="0" fontId="10" fillId="4" borderId="0" xfId="41" applyFont="1" applyFill="1" applyAlignment="1">
      <alignment vertical="center"/>
      <protection locked="0"/>
    </xf>
    <xf numFmtId="190" fontId="6" fillId="4" borderId="6" xfId="45" applyFont="1" applyFill="1" applyBorder="1" applyAlignment="1" applyProtection="1">
      <alignment horizontal="center" vertical="center"/>
      <protection locked="0"/>
    </xf>
    <xf numFmtId="190" fontId="37" fillId="4" borderId="7" xfId="45" applyFont="1" applyFill="1" applyBorder="1" applyAlignment="1" applyProtection="1">
      <alignment horizontal="center" vertical="center"/>
      <protection locked="0"/>
    </xf>
    <xf numFmtId="190" fontId="41" fillId="4" borderId="6" xfId="45" applyFont="1" applyFill="1" applyBorder="1" applyAlignment="1" applyProtection="1">
      <alignment horizontal="center" vertical="center"/>
      <protection locked="0"/>
    </xf>
    <xf numFmtId="195" fontId="10" fillId="4" borderId="8" xfId="31" applyNumberFormat="1" applyFont="1" applyFill="1" applyBorder="1" applyAlignment="1">
      <alignment horizontal="center" vertical="center"/>
    </xf>
    <xf numFmtId="43" fontId="38" fillId="4" borderId="8" xfId="40" applyFont="1" applyFill="1" applyBorder="1" applyAlignment="1">
      <alignment horizontal="right" vertical="center"/>
    </xf>
    <xf numFmtId="43" fontId="38" fillId="4" borderId="9" xfId="40" applyFont="1" applyFill="1" applyBorder="1" applyAlignment="1">
      <alignment horizontal="right" vertical="center"/>
    </xf>
    <xf numFmtId="43" fontId="10" fillId="4" borderId="8" xfId="40" applyFont="1" applyFill="1" applyBorder="1" applyAlignment="1">
      <alignment horizontal="center" vertical="center" shrinkToFit="1"/>
    </xf>
    <xf numFmtId="43" fontId="38" fillId="4" borderId="8" xfId="40" applyFont="1" applyFill="1" applyBorder="1" applyAlignment="1">
      <alignment horizontal="right" vertical="center" shrinkToFit="1"/>
    </xf>
    <xf numFmtId="43" fontId="38" fillId="4" borderId="9" xfId="40" applyFont="1" applyFill="1" applyBorder="1" applyAlignment="1">
      <alignment horizontal="right" vertical="center" shrinkToFit="1"/>
    </xf>
    <xf numFmtId="0" fontId="6" fillId="4" borderId="6" xfId="0" applyFont="1" applyFill="1" applyBorder="1" applyAlignment="1" applyProtection="1">
      <alignment horizontal="centerContinuous" vertical="center" wrapText="1"/>
      <protection locked="0"/>
    </xf>
    <xf numFmtId="0" fontId="10" fillId="4" borderId="6" xfId="0" applyFont="1" applyFill="1" applyBorder="1" applyAlignment="1" applyProtection="1">
      <alignment horizontal="centerContinuous" vertical="center"/>
      <protection locked="0"/>
    </xf>
    <xf numFmtId="0" fontId="6" fillId="4" borderId="6" xfId="0" applyFont="1" applyFill="1" applyBorder="1" applyAlignment="1" applyProtection="1">
      <alignment horizontal="center" vertical="center" wrapText="1"/>
      <protection locked="0"/>
    </xf>
    <xf numFmtId="14" fontId="10" fillId="0" borderId="0" xfId="33" applyNumberFormat="1" applyFont="1" applyBorder="1" applyAlignment="1">
      <alignment horizontal="left" vertical="center"/>
    </xf>
    <xf numFmtId="14" fontId="10" fillId="0" borderId="0" xfId="33" applyNumberFormat="1" applyFont="1" applyBorder="1" applyAlignment="1">
      <alignment vertical="center"/>
    </xf>
    <xf numFmtId="14" fontId="10" fillId="0" borderId="0" xfId="41" applyNumberFormat="1" applyFont="1" applyAlignment="1">
      <alignment vertical="center"/>
      <protection locked="0"/>
    </xf>
    <xf numFmtId="0" fontId="10" fillId="0" borderId="0" xfId="43" applyFont="1">
      <alignment vertical="center"/>
    </xf>
    <xf numFmtId="0" fontId="6" fillId="4" borderId="6" xfId="41" applyFont="1" applyFill="1" applyBorder="1" applyAlignment="1">
      <alignment horizontal="center" vertical="center" wrapText="1"/>
      <protection locked="0"/>
    </xf>
    <xf numFmtId="194" fontId="10" fillId="0" borderId="6" xfId="43" applyNumberFormat="1" applyFont="1" applyBorder="1" applyAlignment="1">
      <alignment horizontal="left" vertical="center" shrinkToFit="1"/>
    </xf>
    <xf numFmtId="194" fontId="6" fillId="0" borderId="6" xfId="43" applyNumberFormat="1" applyFont="1" applyBorder="1" applyAlignment="1">
      <alignment horizontal="center" vertical="center" shrinkToFit="1"/>
    </xf>
    <xf numFmtId="194" fontId="10" fillId="4" borderId="6" xfId="43" applyNumberFormat="1" applyFont="1" applyFill="1" applyBorder="1" applyAlignment="1">
      <alignment horizontal="left" vertical="center" shrinkToFit="1"/>
    </xf>
    <xf numFmtId="0" fontId="6" fillId="0" borderId="6" xfId="41" applyFont="1" applyBorder="1" applyAlignment="1">
      <alignment horizontal="center" vertical="center"/>
      <protection locked="0"/>
    </xf>
    <xf numFmtId="194" fontId="6" fillId="4" borderId="6" xfId="43" applyNumberFormat="1" applyFont="1" applyFill="1" applyBorder="1" applyAlignment="1">
      <alignment horizontal="center" vertical="center" shrinkToFit="1"/>
    </xf>
    <xf numFmtId="0" fontId="6" fillId="0" borderId="3" xfId="41" applyFont="1" applyBorder="1" applyAlignment="1">
      <alignment vertical="center"/>
      <protection locked="0"/>
    </xf>
    <xf numFmtId="0" fontId="6" fillId="0" borderId="0" xfId="41" applyFont="1" applyAlignment="1">
      <alignment vertical="center"/>
      <protection locked="0"/>
    </xf>
    <xf numFmtId="0" fontId="35" fillId="0" borderId="0" xfId="41" applyFont="1" applyAlignment="1">
      <alignment wrapText="1" readingOrder="1"/>
      <protection locked="0"/>
    </xf>
    <xf numFmtId="14" fontId="10" fillId="0" borderId="0" xfId="43" applyNumberFormat="1" applyFont="1">
      <alignment vertical="center"/>
    </xf>
    <xf numFmtId="0" fontId="43" fillId="4" borderId="6" xfId="44" applyFont="1" applyFill="1" applyBorder="1" applyAlignment="1" applyProtection="1">
      <alignment horizontal="center" vertical="center"/>
    </xf>
    <xf numFmtId="0" fontId="43" fillId="0" borderId="6" xfId="44" applyFont="1" applyBorder="1" applyAlignment="1" applyProtection="1">
      <alignment horizontal="center" vertical="center"/>
    </xf>
    <xf numFmtId="0" fontId="10" fillId="0" borderId="0" xfId="41" applyFont="1" applyAlignment="1">
      <alignment vertical="center" wrapText="1" readingOrder="1"/>
      <protection locked="0"/>
    </xf>
    <xf numFmtId="0" fontId="35" fillId="0" borderId="0" xfId="41" applyFont="1" applyAlignment="1">
      <alignment horizontal="left" vertical="center" wrapText="1" readingOrder="1"/>
      <protection locked="0"/>
    </xf>
    <xf numFmtId="43" fontId="10" fillId="0" borderId="6" xfId="40" applyFont="1" applyFill="1" applyBorder="1" applyAlignment="1">
      <alignment horizontal="right" vertical="center" wrapText="1"/>
    </xf>
    <xf numFmtId="0" fontId="37" fillId="0" borderId="6" xfId="0" applyFont="1" applyBorder="1" applyAlignment="1">
      <alignment horizontal="center" vertical="center"/>
    </xf>
    <xf numFmtId="190" fontId="6" fillId="4" borderId="6" xfId="45" applyFont="1" applyFill="1" applyBorder="1" applyAlignment="1" applyProtection="1">
      <alignment horizontal="center" vertical="center" wrapText="1"/>
      <protection locked="0"/>
    </xf>
    <xf numFmtId="190" fontId="6" fillId="4" borderId="6" xfId="44" applyNumberFormat="1" applyFont="1" applyFill="1" applyBorder="1" applyAlignment="1">
      <alignment horizontal="center" vertical="center"/>
      <protection locked="0"/>
    </xf>
    <xf numFmtId="190" fontId="37" fillId="4" borderId="6" xfId="44" applyNumberFormat="1" applyFont="1" applyFill="1" applyBorder="1" applyAlignment="1">
      <alignment horizontal="center" vertical="center" wrapText="1"/>
      <protection locked="0"/>
    </xf>
    <xf numFmtId="43" fontId="45" fillId="0" borderId="3" xfId="34" applyNumberFormat="1" applyFont="1" applyBorder="1" applyAlignment="1" applyProtection="1">
      <alignment horizontal="center" vertical="center"/>
    </xf>
    <xf numFmtId="0" fontId="6" fillId="0" borderId="0" xfId="32" applyFont="1" applyAlignment="1">
      <alignment vertical="center"/>
    </xf>
    <xf numFmtId="43" fontId="45" fillId="0" borderId="0" xfId="34" applyNumberFormat="1" applyFont="1" applyBorder="1" applyAlignment="1" applyProtection="1">
      <alignment horizontal="center" vertical="center"/>
    </xf>
    <xf numFmtId="0" fontId="9" fillId="0" borderId="0" xfId="0" applyFont="1" applyProtection="1">
      <alignment vertical="center"/>
      <protection locked="0"/>
    </xf>
    <xf numFmtId="0" fontId="10" fillId="5" borderId="0" xfId="0" applyFont="1" applyFill="1" applyAlignment="1" applyProtection="1">
      <alignment horizontal="justify" vertical="center" wrapText="1"/>
      <protection locked="0"/>
    </xf>
    <xf numFmtId="0" fontId="47" fillId="0" borderId="2" xfId="34" applyFont="1" applyBorder="1" applyAlignment="1" applyProtection="1">
      <alignment vertical="center"/>
    </xf>
    <xf numFmtId="0" fontId="47" fillId="0" borderId="2" xfId="34" quotePrefix="1" applyFont="1" applyBorder="1" applyAlignment="1" applyProtection="1">
      <alignment vertical="center"/>
    </xf>
    <xf numFmtId="0" fontId="48" fillId="0" borderId="0" xfId="41" applyFont="1" applyAlignment="1">
      <alignment vertical="center" wrapText="1" readingOrder="1"/>
      <protection locked="0"/>
    </xf>
    <xf numFmtId="0" fontId="48" fillId="0" borderId="0" xfId="41" applyFont="1" applyAlignment="1">
      <alignment vertical="center"/>
      <protection locked="0"/>
    </xf>
    <xf numFmtId="0" fontId="4" fillId="4" borderId="6" xfId="0" applyFont="1" applyFill="1" applyBorder="1" applyAlignment="1" applyProtection="1">
      <alignment horizontal="centerContinuous" vertical="center" wrapText="1"/>
      <protection locked="0"/>
    </xf>
    <xf numFmtId="194" fontId="6" fillId="4" borderId="6" xfId="43" applyNumberFormat="1" applyFont="1" applyFill="1" applyBorder="1">
      <alignment vertical="center"/>
    </xf>
    <xf numFmtId="0" fontId="4" fillId="4" borderId="6" xfId="41" applyFont="1" applyFill="1" applyBorder="1" applyAlignment="1">
      <alignment horizontal="center" vertical="center" wrapText="1"/>
      <protection locked="0"/>
    </xf>
    <xf numFmtId="0" fontId="44" fillId="0" borderId="6" xfId="0" applyFont="1" applyBorder="1">
      <alignment vertical="center"/>
    </xf>
    <xf numFmtId="0" fontId="11" fillId="0" borderId="0" xfId="41" applyFont="1" applyAlignment="1" applyProtection="1">
      <alignment vertical="center"/>
    </xf>
    <xf numFmtId="194" fontId="4" fillId="4" borderId="7" xfId="43" applyNumberFormat="1" applyFont="1" applyFill="1" applyBorder="1" applyAlignment="1">
      <alignment horizontal="left" vertical="center" shrinkToFit="1"/>
    </xf>
    <xf numFmtId="194" fontId="4" fillId="4" borderId="6" xfId="43" applyNumberFormat="1" applyFont="1" applyFill="1" applyBorder="1">
      <alignment vertical="center"/>
    </xf>
    <xf numFmtId="0" fontId="6" fillId="0" borderId="6" xfId="47" applyFont="1" applyBorder="1" applyAlignment="1">
      <alignment horizontal="left" vertical="center"/>
    </xf>
    <xf numFmtId="43" fontId="10" fillId="0" borderId="6" xfId="40" applyFont="1" applyFill="1" applyBorder="1" applyAlignment="1">
      <alignment horizontal="center" vertical="center" wrapText="1"/>
    </xf>
    <xf numFmtId="0" fontId="10" fillId="0" borderId="6" xfId="47" applyFont="1" applyBorder="1" applyAlignment="1">
      <alignment vertical="center"/>
    </xf>
    <xf numFmtId="43" fontId="10" fillId="0" borderId="6" xfId="40" applyFont="1" applyFill="1" applyBorder="1" applyAlignment="1">
      <alignment vertical="center"/>
    </xf>
    <xf numFmtId="0" fontId="10" fillId="0" borderId="6" xfId="47" applyFont="1" applyBorder="1" applyAlignment="1">
      <alignment horizontal="center" vertical="center"/>
    </xf>
    <xf numFmtId="0" fontId="10" fillId="0" borderId="6" xfId="47" applyFont="1" applyBorder="1" applyAlignment="1">
      <alignment horizontal="left" vertical="center"/>
    </xf>
    <xf numFmtId="0" fontId="11" fillId="0" borderId="6" xfId="47" applyFont="1" applyBorder="1" applyAlignment="1">
      <alignment vertical="center"/>
    </xf>
    <xf numFmtId="0" fontId="4" fillId="4" borderId="6" xfId="47" applyFont="1" applyFill="1" applyBorder="1" applyAlignment="1">
      <alignment horizontal="center" vertical="center"/>
    </xf>
    <xf numFmtId="0" fontId="11" fillId="0" borderId="6" xfId="47" applyFont="1" applyBorder="1" applyAlignment="1">
      <alignment horizontal="left" vertical="center"/>
    </xf>
    <xf numFmtId="0" fontId="10" fillId="0" borderId="6" xfId="47" applyFont="1" applyBorder="1" applyAlignment="1">
      <alignment horizontal="left" vertical="center" wrapText="1"/>
    </xf>
    <xf numFmtId="0" fontId="6" fillId="0" borderId="6" xfId="47" applyFont="1" applyBorder="1" applyAlignment="1">
      <alignment vertical="center"/>
    </xf>
    <xf numFmtId="0" fontId="4" fillId="0" borderId="6" xfId="47" applyFont="1" applyBorder="1" applyAlignment="1">
      <alignment vertical="center"/>
    </xf>
    <xf numFmtId="0" fontId="4" fillId="0" borderId="6" xfId="47" applyFont="1" applyBorder="1" applyAlignment="1">
      <alignment horizontal="left" vertical="center"/>
    </xf>
    <xf numFmtId="0" fontId="4" fillId="4" borderId="6" xfId="47" applyFont="1" applyFill="1" applyBorder="1" applyAlignment="1">
      <alignment horizontal="center" vertical="center" wrapText="1"/>
    </xf>
    <xf numFmtId="0" fontId="4" fillId="0" borderId="6" xfId="47" applyFont="1" applyBorder="1" applyAlignment="1">
      <alignment horizontal="center" vertical="center"/>
    </xf>
    <xf numFmtId="0" fontId="53" fillId="0" borderId="6" xfId="47" applyFont="1" applyBorder="1" applyAlignment="1">
      <alignment horizontal="left" vertical="center"/>
    </xf>
    <xf numFmtId="0" fontId="54" fillId="0" borderId="6" xfId="47" applyFont="1" applyBorder="1" applyAlignment="1">
      <alignment horizontal="left" vertical="center"/>
    </xf>
    <xf numFmtId="0" fontId="55" fillId="0" borderId="0" xfId="41" applyFont="1" applyAlignment="1">
      <alignment horizontal="center" vertical="center"/>
      <protection locked="0"/>
    </xf>
    <xf numFmtId="43" fontId="38" fillId="0" borderId="3" xfId="40" applyFont="1" applyFill="1" applyBorder="1" applyAlignment="1">
      <alignment horizontal="right" vertical="center"/>
    </xf>
    <xf numFmtId="0" fontId="4" fillId="0" borderId="3" xfId="41" applyFont="1" applyBorder="1" applyAlignment="1">
      <alignment horizontal="center" vertical="center"/>
      <protection locked="0"/>
    </xf>
    <xf numFmtId="43" fontId="6" fillId="0" borderId="6" xfId="40" applyFont="1" applyFill="1" applyBorder="1" applyAlignment="1">
      <alignment vertical="center"/>
    </xf>
    <xf numFmtId="195" fontId="6" fillId="0" borderId="6" xfId="31" applyNumberFormat="1" applyFont="1" applyFill="1" applyBorder="1" applyAlignment="1">
      <alignment horizontal="center" vertical="center"/>
    </xf>
    <xf numFmtId="194" fontId="11" fillId="0" borderId="6" xfId="43" applyNumberFormat="1" applyFont="1" applyBorder="1" applyAlignment="1">
      <alignment horizontal="left" vertical="center" shrinkToFit="1"/>
    </xf>
    <xf numFmtId="43" fontId="38" fillId="0" borderId="6" xfId="40" applyFont="1" applyFill="1" applyBorder="1" applyAlignment="1">
      <alignment horizontal="right" vertical="center"/>
    </xf>
    <xf numFmtId="0" fontId="10" fillId="0" borderId="6" xfId="41" applyFont="1" applyBorder="1" applyAlignment="1">
      <alignment horizontal="left" vertical="center"/>
      <protection locked="0"/>
    </xf>
    <xf numFmtId="0" fontId="10" fillId="0" borderId="0" xfId="41" applyFont="1" applyAlignment="1">
      <alignment horizontal="left" vertical="center"/>
      <protection locked="0"/>
    </xf>
    <xf numFmtId="0" fontId="57" fillId="6" borderId="0" xfId="41" applyFont="1" applyFill="1" applyAlignment="1">
      <alignment horizontal="center" vertical="center"/>
      <protection locked="0"/>
    </xf>
    <xf numFmtId="0" fontId="10" fillId="0" borderId="0" xfId="41" applyFont="1" applyAlignment="1">
      <alignment horizontal="center" vertical="center"/>
      <protection locked="0"/>
    </xf>
    <xf numFmtId="0" fontId="10" fillId="6" borderId="0" xfId="41" applyFont="1" applyFill="1" applyAlignment="1">
      <alignment horizontal="left" vertical="center"/>
      <protection locked="0"/>
    </xf>
    <xf numFmtId="0" fontId="6" fillId="6" borderId="0" xfId="41" applyFont="1" applyFill="1" applyAlignment="1">
      <alignment vertical="center"/>
      <protection locked="0"/>
    </xf>
    <xf numFmtId="0" fontId="10" fillId="6" borderId="0" xfId="41" applyFont="1" applyFill="1" applyAlignment="1">
      <alignment vertical="center"/>
      <protection locked="0"/>
    </xf>
    <xf numFmtId="0" fontId="4" fillId="6" borderId="0" xfId="41" applyFont="1" applyFill="1" applyAlignment="1">
      <alignment vertical="center"/>
      <protection locked="0"/>
    </xf>
    <xf numFmtId="0" fontId="4" fillId="0" borderId="0" xfId="41" applyFont="1" applyAlignment="1">
      <alignment vertical="center"/>
      <protection locked="0"/>
    </xf>
    <xf numFmtId="49" fontId="10" fillId="0" borderId="0" xfId="46" applyNumberFormat="1" applyFont="1" applyAlignment="1">
      <alignment horizontal="left" vertical="center"/>
    </xf>
    <xf numFmtId="0" fontId="10" fillId="0" borderId="14" xfId="46" applyFont="1" applyBorder="1">
      <alignment vertical="center"/>
    </xf>
    <xf numFmtId="0" fontId="59" fillId="0" borderId="0" xfId="41" applyFont="1" applyAlignment="1">
      <alignment vertical="center"/>
      <protection locked="0"/>
    </xf>
    <xf numFmtId="0" fontId="60" fillId="0" borderId="0" xfId="46" applyFont="1">
      <alignment vertical="center"/>
    </xf>
    <xf numFmtId="0" fontId="3" fillId="0" borderId="0" xfId="49">
      <protection locked="0"/>
    </xf>
    <xf numFmtId="43" fontId="32" fillId="0" borderId="0" xfId="33" applyNumberFormat="1" applyFont="1" applyFill="1" applyBorder="1" applyAlignment="1">
      <alignment vertical="center"/>
    </xf>
    <xf numFmtId="14" fontId="38" fillId="0" borderId="0" xfId="50" applyNumberFormat="1" applyFont="1">
      <alignment vertical="center"/>
    </xf>
    <xf numFmtId="190" fontId="63" fillId="0" borderId="0" xfId="51" applyFont="1">
      <alignment vertical="center"/>
    </xf>
    <xf numFmtId="0" fontId="30" fillId="4" borderId="6" xfId="49" applyFont="1" applyFill="1" applyBorder="1" applyAlignment="1" applyProtection="1">
      <alignment vertical="center"/>
    </xf>
    <xf numFmtId="190" fontId="4" fillId="4" borderId="6" xfId="52" applyFont="1" applyFill="1" applyBorder="1" applyAlignment="1" applyProtection="1">
      <alignment horizontal="center" vertical="center" wrapText="1"/>
      <protection locked="0"/>
    </xf>
    <xf numFmtId="190" fontId="64" fillId="4" borderId="6" xfId="52" applyFont="1" applyFill="1" applyBorder="1" applyAlignment="1" applyProtection="1">
      <alignment horizontal="center" vertical="center" wrapText="1"/>
      <protection locked="0"/>
    </xf>
    <xf numFmtId="0" fontId="65" fillId="0" borderId="2" xfId="0" applyFont="1" applyBorder="1">
      <alignment vertical="center"/>
    </xf>
    <xf numFmtId="0" fontId="30" fillId="4" borderId="6" xfId="0" applyFont="1" applyFill="1" applyBorder="1" applyAlignment="1">
      <alignment horizontal="center" vertical="center"/>
    </xf>
    <xf numFmtId="0" fontId="8" fillId="0" borderId="0" xfId="55" applyFont="1">
      <alignment vertical="center"/>
    </xf>
    <xf numFmtId="0" fontId="3" fillId="0" borderId="0" xfId="55" applyFont="1">
      <alignment vertical="center"/>
    </xf>
    <xf numFmtId="0" fontId="3" fillId="0" borderId="0" xfId="55" applyFont="1" applyAlignment="1">
      <alignment horizontal="left" vertical="center"/>
    </xf>
    <xf numFmtId="43" fontId="66" fillId="0" borderId="0" xfId="55" applyNumberFormat="1" applyFont="1">
      <alignment vertical="center"/>
    </xf>
    <xf numFmtId="43" fontId="10" fillId="0" borderId="0" xfId="33" applyNumberFormat="1" applyFont="1" applyFill="1" applyBorder="1" applyAlignment="1">
      <alignment horizontal="left" vertical="center"/>
    </xf>
    <xf numFmtId="14" fontId="10" fillId="0" borderId="0" xfId="33" applyNumberFormat="1" applyFont="1" applyFill="1" applyBorder="1" applyAlignment="1">
      <alignment vertical="center"/>
    </xf>
    <xf numFmtId="43" fontId="67" fillId="0" borderId="0" xfId="33" applyNumberFormat="1" applyFont="1" applyFill="1" applyBorder="1" applyAlignment="1">
      <alignment horizontal="left" vertical="center"/>
    </xf>
    <xf numFmtId="14" fontId="67" fillId="0" borderId="0" xfId="33" applyNumberFormat="1" applyFont="1" applyFill="1" applyBorder="1" applyAlignment="1">
      <alignment vertical="center"/>
    </xf>
    <xf numFmtId="43" fontId="67" fillId="0" borderId="0" xfId="33" applyNumberFormat="1" applyFont="1" applyFill="1" applyBorder="1" applyAlignment="1">
      <alignment vertical="center"/>
    </xf>
    <xf numFmtId="0" fontId="67" fillId="0" borderId="0" xfId="0" applyFont="1" applyAlignment="1" applyProtection="1">
      <alignment horizontal="justify" vertical="center"/>
      <protection locked="0"/>
    </xf>
    <xf numFmtId="0" fontId="68" fillId="0" borderId="0" xfId="55" applyFont="1">
      <alignment vertical="center"/>
    </xf>
    <xf numFmtId="0" fontId="67" fillId="0" borderId="0" xfId="55" applyFont="1">
      <alignment vertical="center"/>
    </xf>
    <xf numFmtId="0" fontId="68" fillId="0" borderId="0" xfId="55" applyFont="1" applyAlignment="1">
      <alignment horizontal="center" vertical="center"/>
    </xf>
    <xf numFmtId="0" fontId="69" fillId="0" borderId="4" xfId="55" applyFont="1" applyBorder="1" applyAlignment="1">
      <alignment horizontal="right" vertical="center" wrapText="1"/>
    </xf>
    <xf numFmtId="0" fontId="67" fillId="0" borderId="0" xfId="55" applyFont="1" applyAlignment="1">
      <alignment horizontal="left" vertical="center" wrapText="1"/>
    </xf>
    <xf numFmtId="43" fontId="67" fillId="0" borderId="0" xfId="57" applyNumberFormat="1" applyFont="1">
      <alignment vertical="center"/>
    </xf>
    <xf numFmtId="43" fontId="55" fillId="0" borderId="0" xfId="57" applyNumberFormat="1" applyFont="1">
      <alignment vertical="center"/>
    </xf>
    <xf numFmtId="0" fontId="55" fillId="0" borderId="4" xfId="55" applyFont="1" applyBorder="1" applyAlignment="1">
      <alignment horizontal="left" vertical="center" wrapText="1"/>
    </xf>
    <xf numFmtId="0" fontId="68" fillId="0" borderId="4" xfId="55" applyFont="1" applyBorder="1" applyAlignment="1">
      <alignment horizontal="left" vertical="center" wrapText="1"/>
    </xf>
    <xf numFmtId="0" fontId="50" fillId="0" borderId="0" xfId="55" applyFont="1" applyAlignment="1">
      <alignment horizontal="left" vertical="center"/>
    </xf>
    <xf numFmtId="0" fontId="68" fillId="0" borderId="5" xfId="55" applyFont="1" applyBorder="1" applyAlignment="1">
      <alignment horizontal="left" vertical="center" wrapText="1"/>
    </xf>
    <xf numFmtId="0" fontId="69" fillId="0" borderId="5" xfId="55" applyFont="1" applyBorder="1" applyAlignment="1">
      <alignment horizontal="right" vertical="center" wrapText="1"/>
    </xf>
    <xf numFmtId="0" fontId="68" fillId="0" borderId="0" xfId="55" applyFont="1" applyAlignment="1">
      <alignment horizontal="left" vertical="center" wrapText="1"/>
    </xf>
    <xf numFmtId="43" fontId="67" fillId="0" borderId="0" xfId="55" applyNumberFormat="1" applyFont="1" applyAlignment="1">
      <alignment horizontal="left" vertical="center" wrapText="1"/>
    </xf>
    <xf numFmtId="0" fontId="67" fillId="0" borderId="13" xfId="55" applyFont="1" applyBorder="1" applyAlignment="1">
      <alignment horizontal="left" vertical="center" wrapText="1"/>
    </xf>
    <xf numFmtId="0" fontId="67" fillId="0" borderId="0" xfId="55" applyFont="1" applyAlignment="1">
      <alignment horizontal="left" vertical="center"/>
    </xf>
    <xf numFmtId="0" fontId="55" fillId="0" borderId="0" xfId="55" applyFont="1" applyAlignment="1">
      <alignment horizontal="left" vertical="center"/>
    </xf>
    <xf numFmtId="0" fontId="67" fillId="0" borderId="0" xfId="55" applyFont="1" applyAlignment="1">
      <alignment horizontal="center" vertical="center"/>
    </xf>
    <xf numFmtId="0" fontId="55" fillId="0" borderId="0" xfId="55" applyFont="1" applyAlignment="1">
      <alignment horizontal="left" vertical="center" wrapText="1"/>
    </xf>
    <xf numFmtId="0" fontId="68" fillId="0" borderId="5" xfId="55" applyFont="1" applyBorder="1" applyAlignment="1">
      <alignment horizontal="right" vertical="center" wrapText="1"/>
    </xf>
    <xf numFmtId="0" fontId="67" fillId="0" borderId="12" xfId="55" applyFont="1" applyBorder="1" applyAlignment="1">
      <alignment horizontal="left" vertical="center" wrapText="1"/>
    </xf>
    <xf numFmtId="0" fontId="50" fillId="0" borderId="0" xfId="55" applyFont="1" applyAlignment="1">
      <alignment horizontal="left" vertical="center" wrapText="1"/>
    </xf>
    <xf numFmtId="0" fontId="50" fillId="0" borderId="4" xfId="55" applyFont="1" applyBorder="1" applyAlignment="1">
      <alignment horizontal="left" vertical="center" wrapText="1"/>
    </xf>
    <xf numFmtId="43" fontId="10" fillId="0" borderId="0" xfId="57" applyNumberFormat="1" applyFont="1" applyAlignment="1">
      <alignment horizontal="right" vertical="center" wrapText="1"/>
    </xf>
    <xf numFmtId="43" fontId="48" fillId="0" borderId="0" xfId="57" applyNumberFormat="1" applyFont="1" applyAlignment="1">
      <alignment horizontal="right" vertical="center" wrapText="1"/>
    </xf>
    <xf numFmtId="43" fontId="10" fillId="0" borderId="4" xfId="57" applyNumberFormat="1" applyFont="1" applyBorder="1" applyAlignment="1">
      <alignment horizontal="right" vertical="center" wrapText="1"/>
    </xf>
    <xf numFmtId="43" fontId="6" fillId="0" borderId="4" xfId="55" applyNumberFormat="1" applyFont="1" applyBorder="1" applyAlignment="1">
      <alignment horizontal="right" vertical="center" wrapText="1"/>
    </xf>
    <xf numFmtId="0" fontId="70" fillId="0" borderId="5" xfId="55" applyFont="1" applyBorder="1" applyAlignment="1">
      <alignment horizontal="right" vertical="center" wrapText="1"/>
    </xf>
    <xf numFmtId="0" fontId="10" fillId="0" borderId="0" xfId="55" applyFont="1" applyAlignment="1">
      <alignment horizontal="right" vertical="center" wrapText="1"/>
    </xf>
    <xf numFmtId="43" fontId="10" fillId="0" borderId="0" xfId="55" applyNumberFormat="1" applyFont="1" applyAlignment="1">
      <alignment horizontal="right" vertical="center" wrapText="1"/>
    </xf>
    <xf numFmtId="43" fontId="10" fillId="0" borderId="13" xfId="55" applyNumberFormat="1" applyFont="1" applyBorder="1" applyAlignment="1">
      <alignment horizontal="right" vertical="center" wrapText="1"/>
    </xf>
    <xf numFmtId="43" fontId="6" fillId="0" borderId="4" xfId="57" applyNumberFormat="1" applyFont="1" applyBorder="1" applyAlignment="1">
      <alignment horizontal="right" vertical="center" wrapText="1"/>
    </xf>
    <xf numFmtId="43" fontId="10" fillId="0" borderId="5" xfId="57" applyNumberFormat="1" applyFont="1" applyBorder="1" applyAlignment="1">
      <alignment horizontal="right" vertical="center" wrapText="1"/>
    </xf>
    <xf numFmtId="43" fontId="10" fillId="0" borderId="12" xfId="55" applyNumberFormat="1" applyFont="1" applyBorder="1" applyAlignment="1">
      <alignment horizontal="right" vertical="center" wrapText="1"/>
    </xf>
    <xf numFmtId="43" fontId="10" fillId="0" borderId="12" xfId="40" applyFont="1" applyBorder="1" applyAlignment="1">
      <alignment horizontal="right" vertical="center" wrapText="1"/>
    </xf>
    <xf numFmtId="43" fontId="10" fillId="0" borderId="0" xfId="40" applyFont="1" applyBorder="1" applyAlignment="1">
      <alignment horizontal="right" vertical="center" wrapText="1"/>
    </xf>
    <xf numFmtId="43" fontId="10" fillId="0" borderId="13" xfId="40" applyFont="1" applyBorder="1" applyAlignment="1">
      <alignment horizontal="right" vertical="center" wrapText="1"/>
    </xf>
    <xf numFmtId="43" fontId="70" fillId="0" borderId="4" xfId="57" applyNumberFormat="1" applyFont="1" applyBorder="1" applyAlignment="1">
      <alignment horizontal="right" vertical="center" wrapText="1"/>
    </xf>
    <xf numFmtId="0" fontId="6" fillId="0" borderId="4" xfId="55" applyFont="1" applyBorder="1" applyAlignment="1">
      <alignment horizontal="right" vertical="center" wrapText="1"/>
    </xf>
    <xf numFmtId="43" fontId="6" fillId="0" borderId="0" xfId="57" applyNumberFormat="1" applyFont="1" applyAlignment="1">
      <alignment horizontal="right" vertical="center" wrapText="1"/>
    </xf>
    <xf numFmtId="0" fontId="6" fillId="0" borderId="0" xfId="55" applyFont="1" applyAlignment="1">
      <alignment horizontal="right" vertical="center" wrapText="1"/>
    </xf>
    <xf numFmtId="0" fontId="10" fillId="0" borderId="4" xfId="55" applyFont="1" applyBorder="1" applyAlignment="1">
      <alignment horizontal="right" vertical="center" wrapText="1"/>
    </xf>
    <xf numFmtId="43" fontId="50" fillId="0" borderId="0" xfId="0" applyNumberFormat="1" applyFont="1">
      <alignment vertical="center"/>
    </xf>
    <xf numFmtId="43" fontId="72" fillId="0" borderId="5" xfId="55" applyNumberFormat="1" applyFont="1" applyBorder="1" applyAlignment="1">
      <alignment horizontal="right" vertical="center" wrapText="1"/>
    </xf>
    <xf numFmtId="43" fontId="10" fillId="0" borderId="4" xfId="55" applyNumberFormat="1" applyFont="1" applyBorder="1" applyAlignment="1">
      <alignment horizontal="right" vertical="center" wrapText="1"/>
    </xf>
    <xf numFmtId="43" fontId="72" fillId="0" borderId="16" xfId="55" applyNumberFormat="1" applyFont="1" applyBorder="1" applyAlignment="1">
      <alignment horizontal="right" vertical="center" wrapText="1"/>
    </xf>
    <xf numFmtId="43" fontId="6" fillId="0" borderId="16" xfId="55" applyNumberFormat="1" applyFont="1" applyBorder="1" applyAlignment="1">
      <alignment horizontal="right" vertical="center" wrapText="1"/>
    </xf>
    <xf numFmtId="43" fontId="10" fillId="0" borderId="0" xfId="0" applyNumberFormat="1" applyFont="1" applyAlignment="1">
      <alignment horizontal="right" vertical="center" wrapText="1"/>
    </xf>
    <xf numFmtId="43" fontId="10" fillId="0" borderId="4" xfId="0" applyNumberFormat="1" applyFont="1" applyBorder="1" applyAlignment="1">
      <alignment horizontal="right" vertical="center" wrapText="1"/>
    </xf>
    <xf numFmtId="43" fontId="6" fillId="0" borderId="4" xfId="0" applyNumberFormat="1" applyFont="1" applyBorder="1" applyAlignment="1">
      <alignment horizontal="right" vertical="center" wrapText="1"/>
    </xf>
    <xf numFmtId="0" fontId="11" fillId="0" borderId="0" xfId="41" applyFont="1" applyAlignment="1">
      <alignment vertical="center"/>
      <protection locked="0"/>
    </xf>
    <xf numFmtId="0" fontId="11" fillId="0" borderId="0" xfId="41" applyFont="1" applyAlignment="1">
      <alignment horizontal="right" vertical="center"/>
      <protection locked="0"/>
    </xf>
    <xf numFmtId="43" fontId="38" fillId="7" borderId="6" xfId="40" applyFont="1" applyFill="1" applyBorder="1" applyAlignment="1">
      <alignment horizontal="right" vertical="center"/>
    </xf>
    <xf numFmtId="43" fontId="10" fillId="7" borderId="6" xfId="40" applyFont="1" applyFill="1" applyBorder="1" applyAlignment="1">
      <alignment horizontal="right" vertical="center" wrapText="1"/>
    </xf>
    <xf numFmtId="10" fontId="10" fillId="7" borderId="6" xfId="31" applyNumberFormat="1" applyFont="1" applyFill="1" applyBorder="1" applyAlignment="1">
      <alignment horizontal="right" vertical="center" wrapText="1"/>
    </xf>
    <xf numFmtId="43" fontId="37" fillId="7" borderId="6" xfId="40" applyFont="1" applyFill="1" applyBorder="1" applyAlignment="1">
      <alignment horizontal="right" vertical="center"/>
    </xf>
    <xf numFmtId="49" fontId="10" fillId="0" borderId="0" xfId="33" applyNumberFormat="1" applyFont="1" applyBorder="1" applyAlignment="1">
      <alignment horizontal="left" vertical="center"/>
    </xf>
    <xf numFmtId="43" fontId="10" fillId="0" borderId="0" xfId="33" applyNumberFormat="1" applyFont="1" applyBorder="1" applyAlignment="1">
      <alignment horizontal="right" vertical="center"/>
    </xf>
    <xf numFmtId="43" fontId="11" fillId="0" borderId="0" xfId="33" applyNumberFormat="1" applyFont="1" applyFill="1" applyBorder="1" applyAlignment="1">
      <alignment horizontal="right" vertical="center"/>
    </xf>
    <xf numFmtId="49" fontId="10" fillId="0" borderId="0" xfId="33" applyNumberFormat="1" applyFont="1" applyFill="1" applyBorder="1" applyAlignment="1">
      <alignment vertical="center"/>
    </xf>
    <xf numFmtId="43" fontId="38" fillId="7" borderId="6" xfId="40" applyFont="1" applyFill="1" applyBorder="1" applyAlignment="1">
      <alignment horizontal="right" vertical="center" shrinkToFit="1"/>
    </xf>
    <xf numFmtId="43" fontId="6" fillId="7" borderId="6" xfId="40" applyFont="1" applyFill="1" applyBorder="1" applyAlignment="1">
      <alignment vertical="center"/>
    </xf>
    <xf numFmtId="0" fontId="43" fillId="7" borderId="6" xfId="44" applyFont="1" applyFill="1" applyBorder="1" applyAlignment="1" applyProtection="1">
      <alignment horizontal="center" vertical="center"/>
    </xf>
    <xf numFmtId="195" fontId="10" fillId="7" borderId="6" xfId="31" applyNumberFormat="1" applyFont="1" applyFill="1" applyBorder="1" applyAlignment="1">
      <alignment horizontal="center" vertical="center"/>
    </xf>
    <xf numFmtId="196" fontId="10" fillId="7" borderId="6" xfId="40" applyNumberFormat="1" applyFont="1" applyFill="1" applyBorder="1" applyAlignment="1">
      <alignment vertical="center"/>
    </xf>
    <xf numFmtId="195" fontId="6" fillId="7" borderId="6" xfId="31" applyNumberFormat="1" applyFont="1" applyFill="1" applyBorder="1" applyAlignment="1">
      <alignment horizontal="center" vertical="center"/>
    </xf>
    <xf numFmtId="43" fontId="6" fillId="7" borderId="3" xfId="40" applyFont="1" applyFill="1" applyBorder="1" applyAlignment="1">
      <alignment vertical="center"/>
    </xf>
    <xf numFmtId="195" fontId="6" fillId="7" borderId="3" xfId="31" applyNumberFormat="1" applyFont="1" applyFill="1" applyBorder="1" applyAlignment="1">
      <alignment horizontal="center" vertical="center"/>
    </xf>
    <xf numFmtId="43" fontId="10" fillId="7" borderId="6" xfId="40" applyFont="1" applyFill="1" applyBorder="1" applyAlignment="1">
      <alignment vertical="center"/>
    </xf>
    <xf numFmtId="0" fontId="30" fillId="4" borderId="6" xfId="49" applyFont="1" applyFill="1" applyBorder="1" applyAlignment="1" applyProtection="1">
      <alignment vertical="center" wrapText="1"/>
    </xf>
    <xf numFmtId="0" fontId="11" fillId="0" borderId="6" xfId="49" applyFont="1" applyBorder="1" applyAlignment="1">
      <alignment horizontal="center" vertical="center" wrapText="1"/>
      <protection locked="0"/>
    </xf>
    <xf numFmtId="0" fontId="10" fillId="0" borderId="0" xfId="41" applyFont="1" applyBorder="1" applyAlignment="1">
      <alignment vertical="center"/>
      <protection locked="0"/>
    </xf>
    <xf numFmtId="0" fontId="10" fillId="0" borderId="0" xfId="41" applyFont="1" applyBorder="1" applyAlignment="1">
      <alignment vertical="center" wrapText="1"/>
      <protection locked="0"/>
    </xf>
    <xf numFmtId="49" fontId="4" fillId="0" borderId="0" xfId="49" applyNumberFormat="1" applyFont="1" applyBorder="1" applyAlignment="1">
      <alignment horizontal="left" vertical="center"/>
      <protection locked="0"/>
    </xf>
    <xf numFmtId="0" fontId="6" fillId="0" borderId="0" xfId="49" applyFont="1" applyBorder="1" applyAlignment="1">
      <alignment horizontal="left" vertical="center"/>
      <protection locked="0"/>
    </xf>
    <xf numFmtId="0" fontId="6" fillId="0" borderId="0" xfId="49" applyFont="1" applyBorder="1" applyAlignment="1">
      <alignment horizontal="justify" vertical="center"/>
      <protection locked="0"/>
    </xf>
    <xf numFmtId="0" fontId="4" fillId="4" borderId="6" xfId="50" applyFont="1" applyFill="1" applyBorder="1" applyAlignment="1" applyProtection="1">
      <alignment horizontal="center" vertical="center"/>
      <protection locked="0"/>
    </xf>
    <xf numFmtId="0" fontId="4" fillId="4" borderId="6" xfId="50" applyFont="1" applyFill="1" applyBorder="1" applyAlignment="1" applyProtection="1">
      <alignment horizontal="center" vertical="center" wrapText="1"/>
      <protection locked="0"/>
    </xf>
    <xf numFmtId="0" fontId="10" fillId="0" borderId="6" xfId="41" applyFont="1" applyFill="1" applyBorder="1" applyAlignment="1">
      <alignment vertical="center" wrapText="1"/>
      <protection locked="0"/>
    </xf>
    <xf numFmtId="0" fontId="10" fillId="0" borderId="6" xfId="41" applyFont="1" applyFill="1" applyBorder="1" applyAlignment="1">
      <alignment horizontal="center" vertical="center" wrapText="1"/>
      <protection locked="0"/>
    </xf>
    <xf numFmtId="49" fontId="10" fillId="0" borderId="6" xfId="46" applyNumberFormat="1" applyFont="1" applyFill="1" applyBorder="1" applyAlignment="1">
      <alignment horizontal="center" vertical="center"/>
    </xf>
    <xf numFmtId="0" fontId="11" fillId="0" borderId="6" xfId="41" applyFont="1" applyFill="1" applyBorder="1" applyAlignment="1">
      <alignment horizontal="left" vertical="center" wrapText="1"/>
      <protection locked="0"/>
    </xf>
    <xf numFmtId="0" fontId="10" fillId="0" borderId="6" xfId="41" applyFont="1" applyFill="1" applyBorder="1" applyAlignment="1">
      <alignment horizontal="left" vertical="center" wrapText="1"/>
      <protection locked="0"/>
    </xf>
    <xf numFmtId="0" fontId="11" fillId="0" borderId="6" xfId="49" applyFont="1" applyFill="1" applyBorder="1" applyAlignment="1">
      <alignment horizontal="left" vertical="center" wrapText="1"/>
      <protection locked="0"/>
    </xf>
    <xf numFmtId="0" fontId="74" fillId="0" borderId="7" xfId="48" applyFont="1" applyFill="1" applyBorder="1" applyAlignment="1">
      <alignment horizontal="center" vertical="center" wrapText="1"/>
    </xf>
    <xf numFmtId="0" fontId="4" fillId="0" borderId="7" xfId="41" applyFont="1" applyFill="1" applyBorder="1" applyAlignment="1">
      <alignment horizontal="center" vertical="center" wrapText="1"/>
      <protection locked="0"/>
    </xf>
    <xf numFmtId="0" fontId="11" fillId="0" borderId="7" xfId="41" applyFont="1" applyFill="1" applyBorder="1" applyAlignment="1">
      <alignment horizontal="center" vertical="center" wrapText="1"/>
      <protection locked="0"/>
    </xf>
    <xf numFmtId="0" fontId="11" fillId="0" borderId="7" xfId="49" applyFont="1" applyFill="1" applyBorder="1" applyAlignment="1">
      <alignment horizontal="center" vertical="center" wrapText="1" shrinkToFit="1"/>
      <protection locked="0"/>
    </xf>
    <xf numFmtId="0" fontId="43" fillId="0" borderId="6" xfId="50" applyFont="1" applyFill="1" applyBorder="1" applyAlignment="1">
      <alignment horizontal="center" vertical="center" wrapText="1"/>
    </xf>
    <xf numFmtId="0" fontId="36" fillId="0" borderId="6" xfId="50" applyFont="1" applyFill="1" applyBorder="1" applyAlignment="1">
      <alignment horizontal="center" vertical="center" wrapText="1"/>
    </xf>
    <xf numFmtId="0" fontId="21" fillId="0" borderId="6" xfId="48" applyFont="1" applyFill="1" applyBorder="1" applyAlignment="1" applyProtection="1">
      <alignment horizontal="center" vertical="center" wrapText="1"/>
      <protection locked="0"/>
    </xf>
    <xf numFmtId="0" fontId="11" fillId="0" borderId="6" xfId="50" applyFont="1" applyFill="1" applyBorder="1" applyAlignment="1" applyProtection="1">
      <alignment horizontal="center" vertical="center"/>
      <protection locked="0"/>
    </xf>
    <xf numFmtId="0" fontId="4" fillId="0" borderId="6" xfId="50" applyFont="1" applyFill="1" applyBorder="1" applyAlignment="1" applyProtection="1">
      <alignment horizontal="center" vertical="center"/>
      <protection locked="0"/>
    </xf>
    <xf numFmtId="0" fontId="11" fillId="0" borderId="6" xfId="50" applyFont="1" applyFill="1" applyBorder="1" applyAlignment="1" applyProtection="1">
      <alignment horizontal="center" vertical="center" wrapText="1"/>
      <protection locked="0"/>
    </xf>
    <xf numFmtId="0" fontId="40" fillId="0" borderId="6" xfId="50" applyFont="1" applyFill="1" applyBorder="1" applyAlignment="1">
      <alignment horizontal="center" vertical="center" wrapText="1"/>
    </xf>
    <xf numFmtId="0" fontId="10" fillId="0" borderId="6" xfId="49" applyFont="1" applyBorder="1" applyAlignment="1">
      <alignment horizontal="center" vertical="center" wrapText="1"/>
      <protection locked="0"/>
    </xf>
    <xf numFmtId="0" fontId="38" fillId="0" borderId="0" xfId="41" applyFont="1" applyAlignment="1" applyProtection="1">
      <alignment vertical="center"/>
    </xf>
    <xf numFmtId="49" fontId="6" fillId="0" borderId="0" xfId="41" applyNumberFormat="1" applyFont="1" applyAlignment="1" applyProtection="1">
      <alignment horizontal="left" vertical="center"/>
    </xf>
    <xf numFmtId="0" fontId="38" fillId="0" borderId="6" xfId="49" applyFont="1" applyBorder="1" applyAlignment="1" applyProtection="1">
      <alignment vertical="center"/>
    </xf>
    <xf numFmtId="0" fontId="11" fillId="0" borderId="0" xfId="41" applyFont="1" applyBorder="1" applyAlignment="1">
      <alignment horizontal="left" vertical="center"/>
      <protection locked="0"/>
    </xf>
    <xf numFmtId="0" fontId="11" fillId="0" borderId="6" xfId="41" applyFont="1" applyBorder="1" applyAlignment="1">
      <alignment horizontal="left" vertical="center"/>
      <protection locked="0"/>
    </xf>
    <xf numFmtId="0" fontId="4" fillId="4" borderId="10" xfId="41" applyFont="1" applyFill="1" applyBorder="1" applyAlignment="1">
      <alignment horizontal="center" vertical="center" wrapText="1"/>
      <protection locked="0"/>
    </xf>
    <xf numFmtId="49" fontId="4" fillId="0" borderId="0" xfId="41" applyNumberFormat="1" applyFont="1" applyAlignment="1" applyProtection="1">
      <alignment horizontal="left" vertical="center"/>
    </xf>
    <xf numFmtId="43" fontId="38" fillId="0" borderId="6" xfId="40" applyFont="1" applyFill="1" applyBorder="1" applyAlignment="1">
      <alignment horizontal="right" vertical="center" shrinkToFit="1"/>
    </xf>
    <xf numFmtId="195" fontId="10" fillId="0" borderId="6" xfId="40" applyNumberFormat="1" applyFont="1" applyBorder="1" applyAlignment="1">
      <alignment horizontal="center" vertical="center"/>
    </xf>
    <xf numFmtId="0" fontId="53" fillId="0" borderId="0" xfId="41" applyFont="1" applyBorder="1" applyAlignment="1">
      <alignment vertical="center"/>
      <protection locked="0"/>
    </xf>
    <xf numFmtId="43" fontId="53" fillId="0" borderId="0" xfId="41" applyNumberFormat="1" applyFont="1" applyAlignment="1">
      <alignment vertical="center"/>
      <protection locked="0"/>
    </xf>
    <xf numFmtId="190" fontId="38" fillId="0" borderId="6" xfId="59" applyFont="1" applyFill="1" applyBorder="1" applyAlignment="1" applyProtection="1">
      <alignment vertical="center"/>
    </xf>
    <xf numFmtId="43" fontId="38" fillId="0" borderId="6" xfId="40" applyFont="1" applyFill="1" applyBorder="1" applyAlignment="1" applyProtection="1">
      <alignment vertical="center"/>
    </xf>
    <xf numFmtId="190" fontId="38" fillId="0" borderId="6" xfId="59" applyFont="1" applyFill="1" applyBorder="1" applyAlignment="1" applyProtection="1">
      <alignment horizontal="center" vertical="center"/>
    </xf>
    <xf numFmtId="0" fontId="11" fillId="0" borderId="0" xfId="0" applyFont="1" applyAlignment="1" applyProtection="1">
      <alignment vertical="center"/>
      <protection locked="0"/>
    </xf>
    <xf numFmtId="0" fontId="75" fillId="0" borderId="2" xfId="0" applyFont="1" applyBorder="1">
      <alignment vertical="center"/>
    </xf>
    <xf numFmtId="0" fontId="76" fillId="6" borderId="0" xfId="50" applyFont="1" applyFill="1" applyAlignment="1" applyProtection="1">
      <alignment horizontal="left" vertical="top" wrapText="1"/>
      <protection locked="0"/>
    </xf>
    <xf numFmtId="0" fontId="76" fillId="6" borderId="0" xfId="50" applyFont="1" applyFill="1" applyAlignment="1" applyProtection="1">
      <alignment horizontal="left" vertical="center" wrapText="1"/>
      <protection locked="0"/>
    </xf>
    <xf numFmtId="0" fontId="68" fillId="0" borderId="0" xfId="41" applyFont="1" applyAlignment="1" applyProtection="1">
      <alignment horizontal="left" vertical="center"/>
    </xf>
    <xf numFmtId="43" fontId="6" fillId="0" borderId="0" xfId="55" applyNumberFormat="1" applyFont="1">
      <alignment vertical="center"/>
    </xf>
    <xf numFmtId="43" fontId="10" fillId="0" borderId="0" xfId="33" applyNumberFormat="1" applyFont="1" applyFill="1" applyBorder="1" applyAlignment="1">
      <alignment horizontal="right" vertical="center"/>
    </xf>
    <xf numFmtId="43" fontId="48" fillId="0" borderId="0" xfId="55" applyNumberFormat="1" applyFont="1">
      <alignment vertical="center"/>
    </xf>
    <xf numFmtId="43" fontId="10" fillId="0" borderId="0" xfId="55" applyNumberFormat="1" applyFont="1">
      <alignment vertical="center"/>
    </xf>
    <xf numFmtId="43" fontId="81" fillId="0" borderId="4" xfId="55" applyNumberFormat="1" applyFont="1" applyBorder="1" applyAlignment="1">
      <alignment horizontal="right" vertical="center" wrapText="1"/>
    </xf>
    <xf numFmtId="43" fontId="10" fillId="0" borderId="0" xfId="55" applyNumberFormat="1" applyFont="1" applyAlignment="1">
      <alignment horizontal="justify" vertical="center" wrapText="1"/>
    </xf>
    <xf numFmtId="43" fontId="10" fillId="0" borderId="4" xfId="55" applyNumberFormat="1" applyFont="1" applyBorder="1" applyAlignment="1">
      <alignment horizontal="justify" vertical="center" wrapText="1"/>
    </xf>
    <xf numFmtId="43" fontId="6" fillId="0" borderId="4" xfId="55" applyNumberFormat="1" applyFont="1" applyBorder="1" applyAlignment="1">
      <alignment horizontal="justify" vertical="center" wrapText="1"/>
    </xf>
    <xf numFmtId="43" fontId="10" fillId="0" borderId="0" xfId="55" applyNumberFormat="1" applyFont="1" applyAlignment="1">
      <alignment horizontal="justify" vertical="center"/>
    </xf>
    <xf numFmtId="43" fontId="6" fillId="0" borderId="5" xfId="55" applyNumberFormat="1" applyFont="1" applyBorder="1" applyAlignment="1">
      <alignment horizontal="justify" vertical="center" wrapText="1"/>
    </xf>
    <xf numFmtId="43" fontId="81" fillId="0" borderId="5" xfId="55" applyNumberFormat="1" applyFont="1" applyBorder="1" applyAlignment="1">
      <alignment horizontal="right" vertical="center" wrapText="1"/>
    </xf>
    <xf numFmtId="43" fontId="6" fillId="0" borderId="16" xfId="55" applyNumberFormat="1" applyFont="1" applyBorder="1" applyAlignment="1">
      <alignment horizontal="justify" vertical="center" wrapText="1"/>
    </xf>
    <xf numFmtId="43" fontId="6" fillId="0" borderId="0" xfId="0" applyNumberFormat="1" applyFont="1">
      <alignment vertical="center"/>
    </xf>
    <xf numFmtId="43" fontId="82" fillId="0" borderId="0" xfId="56" applyNumberFormat="1" applyFont="1" applyAlignment="1" applyProtection="1">
      <alignment horizontal="center" vertical="center"/>
    </xf>
    <xf numFmtId="43" fontId="47" fillId="0" borderId="0" xfId="56" applyNumberFormat="1" applyFont="1" applyAlignment="1" applyProtection="1">
      <alignment horizontal="center" vertical="center"/>
    </xf>
    <xf numFmtId="43" fontId="6" fillId="0" borderId="5" xfId="0" applyNumberFormat="1" applyFont="1" applyBorder="1" applyAlignment="1">
      <alignment horizontal="justify" vertical="center" wrapText="1"/>
    </xf>
    <xf numFmtId="43" fontId="6" fillId="0" borderId="5" xfId="0" applyNumberFormat="1" applyFont="1" applyBorder="1" applyAlignment="1">
      <alignment horizontal="right" vertical="center" wrapText="1"/>
    </xf>
    <xf numFmtId="43" fontId="43" fillId="0" borderId="0" xfId="0" applyNumberFormat="1" applyFont="1">
      <alignment vertical="center"/>
    </xf>
    <xf numFmtId="43" fontId="10" fillId="0" borderId="0" xfId="0" applyNumberFormat="1" applyFont="1" applyAlignment="1">
      <alignment horizontal="justify" vertical="center" wrapText="1"/>
    </xf>
    <xf numFmtId="43" fontId="10" fillId="0" borderId="4" xfId="0" applyNumberFormat="1" applyFont="1" applyBorder="1" applyAlignment="1">
      <alignment horizontal="justify" vertical="center" wrapText="1"/>
    </xf>
    <xf numFmtId="43" fontId="6" fillId="0" borderId="4" xfId="0" applyNumberFormat="1" applyFont="1" applyBorder="1" applyAlignment="1">
      <alignment horizontal="justify" vertical="center" wrapText="1"/>
    </xf>
    <xf numFmtId="43" fontId="48" fillId="0" borderId="0" xfId="0" applyNumberFormat="1" applyFont="1">
      <alignment vertical="center"/>
    </xf>
    <xf numFmtId="0" fontId="68" fillId="4" borderId="6" xfId="0" applyFont="1" applyFill="1" applyBorder="1" applyAlignment="1" applyProtection="1">
      <alignment horizontal="center" vertical="center" wrapText="1"/>
      <protection locked="0"/>
    </xf>
    <xf numFmtId="0" fontId="68" fillId="0" borderId="3" xfId="41" applyFont="1" applyBorder="1" applyAlignment="1">
      <alignment horizontal="left" vertical="center"/>
      <protection locked="0"/>
    </xf>
    <xf numFmtId="0" fontId="6" fillId="0" borderId="6" xfId="41" applyFont="1" applyBorder="1" applyAlignment="1">
      <alignment horizontal="center" vertical="center"/>
      <protection locked="0"/>
    </xf>
    <xf numFmtId="0" fontId="6" fillId="4" borderId="10" xfId="41" applyFont="1" applyFill="1" applyBorder="1" applyAlignment="1">
      <alignment horizontal="center" vertical="center" wrapText="1"/>
      <protection locked="0"/>
    </xf>
    <xf numFmtId="0" fontId="4" fillId="4" borderId="10" xfId="41" applyFont="1" applyFill="1" applyBorder="1" applyAlignment="1">
      <alignment horizontal="center" vertical="center" wrapText="1"/>
      <protection locked="0"/>
    </xf>
    <xf numFmtId="0" fontId="34" fillId="0" borderId="0" xfId="0" applyFont="1" applyAlignment="1">
      <alignment vertical="center"/>
    </xf>
    <xf numFmtId="0" fontId="11" fillId="0" borderId="0" xfId="41" applyFont="1" applyBorder="1" applyAlignment="1">
      <alignment vertical="center"/>
      <protection locked="0"/>
    </xf>
    <xf numFmtId="0" fontId="57" fillId="6" borderId="0" xfId="41" applyFont="1" applyFill="1" applyBorder="1" applyAlignment="1">
      <alignment horizontal="centerContinuous" vertical="center"/>
      <protection locked="0"/>
    </xf>
    <xf numFmtId="0" fontId="58" fillId="6" borderId="0" xfId="41" applyFont="1" applyFill="1" applyBorder="1" applyAlignment="1" applyProtection="1">
      <alignment horizontal="centerContinuous" vertical="center"/>
    </xf>
    <xf numFmtId="190" fontId="11" fillId="0" borderId="6" xfId="60" applyFont="1" applyBorder="1" applyAlignment="1">
      <alignment horizontal="left" vertical="center" wrapText="1"/>
      <protection locked="0"/>
    </xf>
    <xf numFmtId="43" fontId="38" fillId="4" borderId="6" xfId="40" applyFont="1" applyFill="1" applyBorder="1" applyAlignment="1">
      <alignment horizontal="right" vertical="center"/>
    </xf>
    <xf numFmtId="0" fontId="11" fillId="0" borderId="0" xfId="46" applyFont="1">
      <alignment vertical="center"/>
    </xf>
    <xf numFmtId="43" fontId="37" fillId="7" borderId="3" xfId="40" applyFont="1" applyFill="1" applyBorder="1" applyAlignment="1">
      <alignment horizontal="right" vertical="center"/>
    </xf>
    <xf numFmtId="0" fontId="41" fillId="7" borderId="3" xfId="44" applyFont="1" applyFill="1" applyBorder="1" applyAlignment="1" applyProtection="1">
      <alignment horizontal="center" vertical="center"/>
    </xf>
    <xf numFmtId="0" fontId="41" fillId="7" borderId="6" xfId="44" applyFont="1" applyFill="1" applyBorder="1" applyAlignment="1" applyProtection="1">
      <alignment horizontal="center" vertical="center"/>
    </xf>
    <xf numFmtId="0" fontId="83" fillId="0" borderId="0" xfId="34" applyFont="1" applyAlignment="1">
      <alignment vertical="center"/>
      <protection locked="0"/>
    </xf>
    <xf numFmtId="194" fontId="10" fillId="0" borderId="6" xfId="43" applyNumberFormat="1" applyFont="1" applyFill="1" applyBorder="1" applyAlignment="1">
      <alignment horizontal="left" vertical="center" shrinkToFit="1"/>
    </xf>
    <xf numFmtId="43" fontId="37" fillId="4" borderId="6" xfId="40" applyFont="1" applyFill="1" applyBorder="1" applyAlignment="1">
      <alignment horizontal="right" vertical="center"/>
    </xf>
    <xf numFmtId="0" fontId="6" fillId="4" borderId="17" xfId="41" applyFont="1" applyFill="1" applyBorder="1" applyAlignment="1">
      <alignment horizontal="center" vertical="center" wrapText="1"/>
      <protection locked="0"/>
    </xf>
    <xf numFmtId="0" fontId="4" fillId="4" borderId="17" xfId="41" applyFont="1" applyFill="1" applyBorder="1" applyAlignment="1">
      <alignment horizontal="center" vertical="center" wrapText="1"/>
      <protection locked="0"/>
    </xf>
    <xf numFmtId="43" fontId="10" fillId="4" borderId="6" xfId="40" applyFont="1" applyFill="1" applyBorder="1" applyAlignment="1">
      <alignment horizontal="right" vertical="center"/>
    </xf>
    <xf numFmtId="0" fontId="6" fillId="0" borderId="8" xfId="41" applyFont="1" applyBorder="1" applyAlignment="1">
      <alignment horizontal="justify" vertical="center"/>
      <protection locked="0"/>
    </xf>
    <xf numFmtId="0" fontId="10" fillId="0" borderId="8" xfId="41" applyFont="1" applyBorder="1" applyAlignment="1">
      <alignment vertical="center"/>
      <protection locked="0"/>
    </xf>
    <xf numFmtId="0" fontId="10" fillId="0" borderId="8" xfId="41" applyFont="1" applyBorder="1" applyAlignment="1">
      <alignment horizontal="center" vertical="center"/>
      <protection locked="0"/>
    </xf>
    <xf numFmtId="0" fontId="11" fillId="5" borderId="0" xfId="0" applyFont="1" applyFill="1" applyAlignment="1" applyProtection="1">
      <alignment horizontal="justify" vertical="center" wrapText="1"/>
      <protection locked="0"/>
    </xf>
    <xf numFmtId="0" fontId="56" fillId="0" borderId="0" xfId="0" applyFont="1" applyAlignment="1" applyProtection="1">
      <alignment horizontal="center" vertical="center"/>
      <protection locked="0"/>
    </xf>
    <xf numFmtId="190" fontId="49" fillId="0" borderId="0" xfId="61" applyFont="1" applyFill="1" applyAlignment="1">
      <alignment horizontal="left" vertical="center"/>
    </xf>
    <xf numFmtId="0" fontId="9" fillId="0" borderId="0" xfId="0" applyFont="1" applyAlignment="1" applyProtection="1">
      <alignment horizontal="left" vertical="center" wrapText="1"/>
      <protection locked="0"/>
    </xf>
    <xf numFmtId="0" fontId="7" fillId="0" borderId="0" xfId="0" applyFont="1" applyAlignment="1" applyProtection="1">
      <alignment horizontal="left" vertical="center" wrapText="1"/>
      <protection locked="0"/>
    </xf>
    <xf numFmtId="0" fontId="4" fillId="4" borderId="6" xfId="49" applyFont="1" applyFill="1" applyBorder="1" applyAlignment="1">
      <alignment horizontal="center" vertical="center" wrapText="1"/>
      <protection locked="0"/>
    </xf>
    <xf numFmtId="0" fontId="4" fillId="0" borderId="8" xfId="41" applyFont="1" applyBorder="1" applyAlignment="1">
      <alignment horizontal="left" vertical="center"/>
      <protection locked="0"/>
    </xf>
    <xf numFmtId="0" fontId="6" fillId="0" borderId="8" xfId="41" applyFont="1" applyBorder="1" applyAlignment="1">
      <alignment horizontal="left" vertical="center"/>
      <protection locked="0"/>
    </xf>
    <xf numFmtId="0" fontId="4" fillId="4" borderId="6" xfId="50" applyFont="1" applyFill="1" applyBorder="1" applyAlignment="1" applyProtection="1">
      <alignment horizontal="center" vertical="center"/>
      <protection locked="0"/>
    </xf>
    <xf numFmtId="0" fontId="6" fillId="4" borderId="6" xfId="50" applyFont="1" applyFill="1" applyBorder="1" applyAlignment="1" applyProtection="1">
      <alignment horizontal="center" vertical="center"/>
      <protection locked="0"/>
    </xf>
    <xf numFmtId="49" fontId="4" fillId="4" borderId="10" xfId="49" applyNumberFormat="1" applyFont="1" applyFill="1" applyBorder="1" applyAlignment="1">
      <alignment horizontal="center" vertical="center"/>
      <protection locked="0"/>
    </xf>
    <xf numFmtId="49" fontId="4" fillId="4" borderId="11" xfId="49" applyNumberFormat="1" applyFont="1" applyFill="1" applyBorder="1" applyAlignment="1">
      <alignment horizontal="center" vertical="center"/>
      <protection locked="0"/>
    </xf>
    <xf numFmtId="0" fontId="4" fillId="4" borderId="6" xfId="50" applyFont="1" applyFill="1" applyBorder="1" applyAlignment="1" applyProtection="1">
      <alignment horizontal="center" vertical="center" wrapText="1"/>
      <protection locked="0"/>
    </xf>
    <xf numFmtId="0" fontId="6" fillId="4" borderId="10" xfId="49" applyFont="1" applyFill="1" applyBorder="1" applyAlignment="1">
      <alignment horizontal="center" vertical="center" wrapText="1"/>
      <protection locked="0"/>
    </xf>
    <xf numFmtId="0" fontId="6" fillId="4" borderId="11" xfId="49" applyFont="1" applyFill="1" applyBorder="1" applyAlignment="1">
      <alignment horizontal="center" vertical="center" wrapText="1"/>
      <protection locked="0"/>
    </xf>
    <xf numFmtId="0" fontId="8" fillId="0" borderId="0" xfId="42" applyFont="1" applyAlignment="1">
      <alignment horizontal="center" vertical="center"/>
    </xf>
    <xf numFmtId="0" fontId="56" fillId="0" borderId="0" xfId="42" applyFont="1" applyAlignment="1">
      <alignment horizontal="center" vertical="center"/>
    </xf>
    <xf numFmtId="0" fontId="4" fillId="0" borderId="0" xfId="49" applyFont="1" applyAlignment="1">
      <alignment horizontal="left" vertical="center"/>
      <protection locked="0"/>
    </xf>
    <xf numFmtId="0" fontId="6" fillId="4" borderId="6" xfId="49" applyFont="1" applyFill="1" applyBorder="1" applyAlignment="1">
      <alignment horizontal="center" vertical="center" wrapText="1"/>
      <protection locked="0"/>
    </xf>
    <xf numFmtId="0" fontId="11" fillId="0" borderId="6" xfId="49" applyFont="1" applyBorder="1" applyAlignment="1">
      <alignment horizontal="center" vertical="center" wrapText="1"/>
      <protection locked="0"/>
    </xf>
    <xf numFmtId="0" fontId="10" fillId="0" borderId="6" xfId="49" applyFont="1" applyFill="1" applyBorder="1" applyAlignment="1">
      <alignment horizontal="left" vertical="center" wrapText="1"/>
      <protection locked="0"/>
    </xf>
    <xf numFmtId="10" fontId="14" fillId="0" borderId="0" xfId="31" applyNumberFormat="1" applyFont="1" applyBorder="1" applyAlignment="1">
      <alignment horizontal="left" vertical="center"/>
    </xf>
    <xf numFmtId="0" fontId="37" fillId="4" borderId="6" xfId="0" applyFont="1" applyFill="1" applyBorder="1" applyAlignment="1">
      <alignment horizontal="center" vertical="center"/>
    </xf>
    <xf numFmtId="0" fontId="37" fillId="4" borderId="6" xfId="0" applyFont="1" applyFill="1" applyBorder="1">
      <alignment vertical="center"/>
    </xf>
    <xf numFmtId="190" fontId="6" fillId="4" borderId="7" xfId="45" applyFont="1" applyFill="1" applyBorder="1" applyAlignment="1" applyProtection="1">
      <alignment horizontal="center" vertical="center" wrapText="1"/>
      <protection locked="0"/>
    </xf>
    <xf numFmtId="190" fontId="6" fillId="4" borderId="8" xfId="45" applyFont="1" applyFill="1" applyBorder="1" applyAlignment="1" applyProtection="1">
      <alignment horizontal="center" vertical="center" wrapText="1"/>
      <protection locked="0"/>
    </xf>
    <xf numFmtId="190" fontId="6" fillId="4" borderId="9" xfId="45" applyFont="1" applyFill="1" applyBorder="1" applyAlignment="1" applyProtection="1">
      <alignment horizontal="center" vertical="center" wrapText="1"/>
      <protection locked="0"/>
    </xf>
    <xf numFmtId="43" fontId="78" fillId="0" borderId="0" xfId="33" applyNumberFormat="1" applyFont="1" applyBorder="1" applyAlignment="1">
      <alignment horizontal="center" vertical="center"/>
    </xf>
    <xf numFmtId="43" fontId="79" fillId="0" borderId="0" xfId="33" applyNumberFormat="1" applyFont="1" applyBorder="1" applyAlignment="1">
      <alignment horizontal="center" vertical="center"/>
    </xf>
    <xf numFmtId="190" fontId="37" fillId="4" borderId="6" xfId="44" applyNumberFormat="1" applyFont="1" applyFill="1" applyBorder="1" applyAlignment="1">
      <alignment horizontal="center" vertical="center" wrapText="1"/>
      <protection locked="0"/>
    </xf>
    <xf numFmtId="0" fontId="6" fillId="4" borderId="6" xfId="44" applyFont="1" applyFill="1" applyBorder="1" applyAlignment="1">
      <alignment horizontal="center" vertical="center" wrapText="1"/>
      <protection locked="0"/>
    </xf>
    <xf numFmtId="0" fontId="38" fillId="4" borderId="6" xfId="0" applyFont="1" applyFill="1" applyBorder="1">
      <alignment vertical="center"/>
    </xf>
    <xf numFmtId="0" fontId="68" fillId="0" borderId="5" xfId="55" applyFont="1" applyBorder="1" applyAlignment="1">
      <alignment horizontal="left" vertical="center" wrapText="1"/>
    </xf>
    <xf numFmtId="0" fontId="67" fillId="0" borderId="4" xfId="55" applyFont="1" applyBorder="1" applyAlignment="1"/>
    <xf numFmtId="0" fontId="69" fillId="0" borderId="5" xfId="55" applyFont="1" applyBorder="1" applyAlignment="1">
      <alignment horizontal="right" vertical="center" wrapText="1"/>
    </xf>
    <xf numFmtId="0" fontId="69" fillId="0" borderId="12" xfId="55" applyFont="1" applyBorder="1" applyAlignment="1">
      <alignment horizontal="center" vertical="center" wrapText="1"/>
    </xf>
    <xf numFmtId="0" fontId="67" fillId="0" borderId="12" xfId="55" applyFont="1" applyBorder="1" applyAlignment="1"/>
    <xf numFmtId="0" fontId="69" fillId="0" borderId="5" xfId="55" applyFont="1" applyBorder="1" applyAlignment="1">
      <alignment horizontal="left" vertical="center" wrapText="1"/>
    </xf>
    <xf numFmtId="0" fontId="69" fillId="0" borderId="15" xfId="55" applyFont="1" applyBorder="1" applyAlignment="1">
      <alignment horizontal="center" vertical="center" wrapText="1"/>
    </xf>
    <xf numFmtId="0" fontId="67" fillId="0" borderId="15" xfId="55" applyFont="1" applyBorder="1" applyAlignment="1"/>
    <xf numFmtId="0" fontId="8" fillId="0" borderId="0" xfId="32" applyFont="1" applyAlignment="1">
      <alignment horizontal="center" vertical="center"/>
    </xf>
    <xf numFmtId="43" fontId="56" fillId="0" borderId="0" xfId="33" applyNumberFormat="1" applyFont="1" applyFill="1" applyBorder="1" applyAlignment="1">
      <alignment horizontal="center" vertical="center"/>
    </xf>
    <xf numFmtId="43" fontId="6" fillId="0" borderId="5" xfId="55" applyNumberFormat="1" applyFont="1" applyBorder="1" applyAlignment="1">
      <alignment horizontal="justify" vertical="center" wrapText="1"/>
    </xf>
    <xf numFmtId="0" fontId="10" fillId="0" borderId="4" xfId="55" applyFont="1" applyBorder="1" applyAlignment="1"/>
    <xf numFmtId="43" fontId="81" fillId="0" borderId="5" xfId="55" applyNumberFormat="1" applyFont="1" applyBorder="1" applyAlignment="1">
      <alignment horizontal="right" vertical="center" wrapText="1"/>
    </xf>
    <xf numFmtId="43" fontId="81" fillId="0" borderId="12" xfId="55" applyNumberFormat="1" applyFont="1" applyBorder="1" applyAlignment="1">
      <alignment horizontal="center" vertical="center" wrapText="1"/>
    </xf>
    <xf numFmtId="0" fontId="10" fillId="0" borderId="12" xfId="55" applyFont="1" applyBorder="1" applyAlignment="1"/>
    <xf numFmtId="43" fontId="6" fillId="0" borderId="12" xfId="55" applyNumberFormat="1" applyFont="1" applyBorder="1" applyAlignment="1">
      <alignment horizontal="center" vertical="center" wrapText="1"/>
    </xf>
    <xf numFmtId="0" fontId="6" fillId="0" borderId="0" xfId="32" applyFont="1" applyAlignment="1">
      <alignment horizontal="center" vertical="center"/>
    </xf>
    <xf numFmtId="43" fontId="6" fillId="0" borderId="0" xfId="33" applyNumberFormat="1" applyFont="1" applyFill="1" applyBorder="1" applyAlignment="1">
      <alignment horizontal="center" vertical="center"/>
    </xf>
    <xf numFmtId="0" fontId="48" fillId="0" borderId="0" xfId="41" applyFont="1" applyAlignment="1">
      <alignment horizontal="left" vertical="center" wrapText="1" readingOrder="1"/>
      <protection locked="0"/>
    </xf>
    <xf numFmtId="0" fontId="50" fillId="0" borderId="0" xfId="0" applyFont="1">
      <alignment vertical="center"/>
    </xf>
    <xf numFmtId="0" fontId="49" fillId="0" borderId="0" xfId="41" applyFont="1" applyAlignment="1">
      <alignment horizontal="left" vertical="center" wrapText="1" readingOrder="1"/>
      <protection locked="0"/>
    </xf>
    <xf numFmtId="0" fontId="50" fillId="0" borderId="0" xfId="0" applyFont="1" applyAlignment="1">
      <alignment vertical="center" readingOrder="1"/>
    </xf>
    <xf numFmtId="190" fontId="37" fillId="4" borderId="7" xfId="45" applyFont="1" applyFill="1" applyBorder="1" applyAlignment="1" applyProtection="1">
      <alignment horizontal="center" vertical="center"/>
      <protection locked="0"/>
    </xf>
    <xf numFmtId="190" fontId="37" fillId="4" borderId="8" xfId="45" applyFont="1" applyFill="1" applyBorder="1" applyAlignment="1" applyProtection="1">
      <alignment horizontal="center" vertical="center"/>
      <protection locked="0"/>
    </xf>
    <xf numFmtId="190" fontId="6" fillId="4" borderId="7" xfId="45" applyFont="1" applyFill="1" applyBorder="1" applyAlignment="1" applyProtection="1">
      <alignment horizontal="center" vertical="center"/>
      <protection locked="0"/>
    </xf>
    <xf numFmtId="190" fontId="6" fillId="4" borderId="8" xfId="45" applyFont="1" applyFill="1" applyBorder="1" applyAlignment="1" applyProtection="1">
      <alignment horizontal="center" vertical="center"/>
      <protection locked="0"/>
    </xf>
    <xf numFmtId="190" fontId="6" fillId="4" borderId="9" xfId="45" applyFont="1" applyFill="1" applyBorder="1" applyAlignment="1" applyProtection="1">
      <alignment horizontal="center" vertical="center"/>
      <protection locked="0"/>
    </xf>
    <xf numFmtId="0" fontId="6" fillId="4" borderId="10" xfId="41" applyFont="1" applyFill="1" applyBorder="1" applyAlignment="1">
      <alignment horizontal="center" vertical="center" wrapText="1"/>
      <protection locked="0"/>
    </xf>
    <xf numFmtId="0" fontId="6" fillId="4" borderId="11" xfId="41" applyFont="1" applyFill="1" applyBorder="1" applyAlignment="1">
      <alignment horizontal="center" vertical="center" wrapText="1"/>
      <protection locked="0"/>
    </xf>
    <xf numFmtId="0" fontId="78" fillId="0" borderId="0" xfId="42" applyFont="1" applyAlignment="1">
      <alignment horizontal="center" vertical="center"/>
    </xf>
    <xf numFmtId="0" fontId="80" fillId="0" borderId="0" xfId="42" applyFont="1" applyAlignment="1">
      <alignment horizontal="center" vertical="center"/>
    </xf>
    <xf numFmtId="0" fontId="41" fillId="4" borderId="7" xfId="0" applyFont="1" applyFill="1" applyBorder="1" applyAlignment="1">
      <alignment horizontal="center" vertical="center"/>
    </xf>
    <xf numFmtId="0" fontId="41" fillId="4" borderId="8" xfId="0" applyFont="1" applyFill="1" applyBorder="1" applyAlignment="1">
      <alignment horizontal="center" vertical="center"/>
    </xf>
    <xf numFmtId="0" fontId="41" fillId="4" borderId="9" xfId="0" applyFont="1" applyFill="1" applyBorder="1" applyAlignment="1">
      <alignment horizontal="center" vertical="center"/>
    </xf>
    <xf numFmtId="190" fontId="37" fillId="4" borderId="6" xfId="45" applyFont="1" applyFill="1" applyBorder="1" applyAlignment="1" applyProtection="1">
      <alignment horizontal="center" vertical="center"/>
      <protection locked="0"/>
    </xf>
    <xf numFmtId="43" fontId="56" fillId="0" borderId="0" xfId="33" applyNumberFormat="1" applyFont="1" applyBorder="1" applyAlignment="1">
      <alignment horizontal="center" vertical="center"/>
    </xf>
    <xf numFmtId="43" fontId="80" fillId="0" borderId="0" xfId="33" applyNumberFormat="1" applyFont="1" applyBorder="1" applyAlignment="1">
      <alignment horizontal="center" vertical="center"/>
    </xf>
    <xf numFmtId="0" fontId="33" fillId="0" borderId="0" xfId="49" applyFont="1" applyAlignment="1">
      <alignment horizontal="left" vertical="center" wrapText="1"/>
      <protection locked="0"/>
    </xf>
    <xf numFmtId="0" fontId="7" fillId="0" borderId="0" xfId="49" applyFont="1" applyAlignment="1">
      <alignment horizontal="left" vertical="center" wrapText="1"/>
      <protection locked="0"/>
    </xf>
    <xf numFmtId="0" fontId="35" fillId="0" borderId="0" xfId="41" applyFont="1" applyAlignment="1">
      <alignment horizontal="left" vertical="center" wrapText="1" readingOrder="1"/>
      <protection locked="0"/>
    </xf>
    <xf numFmtId="0" fontId="4" fillId="4" borderId="10" xfId="41" applyFont="1" applyFill="1" applyBorder="1" applyAlignment="1">
      <alignment horizontal="center" vertical="center" wrapText="1"/>
      <protection locked="0"/>
    </xf>
    <xf numFmtId="0" fontId="4" fillId="4" borderId="10" xfId="0" applyFont="1" applyFill="1" applyBorder="1" applyAlignment="1" applyProtection="1">
      <alignment horizontal="center" vertical="center" wrapText="1"/>
      <protection locked="0"/>
    </xf>
    <xf numFmtId="0" fontId="4" fillId="4" borderId="11" xfId="0" applyFont="1" applyFill="1" applyBorder="1" applyAlignment="1" applyProtection="1">
      <alignment horizontal="center" vertical="center" wrapText="1"/>
      <protection locked="0"/>
    </xf>
    <xf numFmtId="0" fontId="38" fillId="0" borderId="0" xfId="41" applyFont="1" applyAlignment="1" applyProtection="1">
      <alignment horizontal="left" vertical="center" wrapText="1"/>
    </xf>
    <xf numFmtId="0" fontId="79" fillId="0" borderId="0" xfId="42" applyFont="1" applyAlignment="1">
      <alignment horizontal="center" vertical="center"/>
    </xf>
    <xf numFmtId="0" fontId="48" fillId="0" borderId="0" xfId="41" applyFont="1" applyAlignment="1">
      <alignment vertical="center" wrapText="1" readingOrder="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xfId="54"/>
    <cellStyle name="常规" xfId="0" builtinId="0"/>
    <cellStyle name="常规 11 5" xfId="61"/>
    <cellStyle name="常规 2" xfId="41"/>
    <cellStyle name="常规 2 2" xfId="59"/>
    <cellStyle name="常规 2 3" xfId="48"/>
    <cellStyle name="常规 2 8" xfId="49"/>
    <cellStyle name="常规 2 8 2" xfId="60"/>
    <cellStyle name="常规 3" xfId="44"/>
    <cellStyle name="常规 4" xfId="45"/>
    <cellStyle name="常规 4 2" xfId="51"/>
    <cellStyle name="常规 4 2 2" xfId="52"/>
    <cellStyle name="常规 5" xfId="55"/>
    <cellStyle name="常规 7" xfId="50"/>
    <cellStyle name="常规 7 2" xfId="58"/>
    <cellStyle name="常规_2-1项目审定表－模板" xfId="43"/>
    <cellStyle name="常规_B1长期股权投资" xfId="47"/>
    <cellStyle name="常规_Book1" xfId="42"/>
    <cellStyle name="常规_c-资产类" xfId="32"/>
    <cellStyle name="常规_新审定表" xfId="33"/>
    <cellStyle name="常规_制造费用" xfId="46"/>
    <cellStyle name="超链接" xfId="34" builtinId="8"/>
    <cellStyle name="超链接 2" xfId="56"/>
    <cellStyle name="超链接 3 2" xfId="53"/>
    <cellStyle name="普通_ 外G9(3)" xfId="35"/>
    <cellStyle name="千分位[0]_宁波" xfId="36"/>
    <cellStyle name="千分位_宁波" xfId="37"/>
    <cellStyle name="千位[0]_laroux" xfId="38"/>
    <cellStyle name="千位_laroux" xfId="39"/>
    <cellStyle name="千位分隔" xfId="40" builtinId="3"/>
    <cellStyle name="千位分隔 2" xfId="57"/>
  </cellStyles>
  <dxfs count="5">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s>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601980</xdr:colOff>
          <xdr:row>34</xdr:row>
          <xdr:rowOff>30480</xdr:rowOff>
        </xdr:from>
        <xdr:to>
          <xdr:col>14</xdr:col>
          <xdr:colOff>7620</xdr:colOff>
          <xdr:row>37</xdr:row>
          <xdr:rowOff>198120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package" Target="../embeddings/Microsoft_Word___.docx"/></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0"/>
  <sheetViews>
    <sheetView tabSelected="1" workbookViewId="0"/>
  </sheetViews>
  <sheetFormatPr defaultColWidth="9.109375" defaultRowHeight="13.8"/>
  <cols>
    <col min="1" max="1" width="93.88671875" style="19" bestFit="1" customWidth="1"/>
    <col min="2" max="2" width="5.6640625" style="23" bestFit="1" customWidth="1"/>
    <col min="3" max="3" width="42.33203125" style="19" customWidth="1"/>
    <col min="4" max="4" width="7.6640625" style="19" bestFit="1" customWidth="1"/>
    <col min="5" max="5" width="8.6640625" style="19" customWidth="1"/>
    <col min="6" max="16384" width="9.109375" style="19"/>
  </cols>
  <sheetData>
    <row r="1" spans="1:6" s="15" customFormat="1" ht="22.5" customHeight="1">
      <c r="A1" s="81" t="s">
        <v>58</v>
      </c>
    </row>
    <row r="2" spans="1:6" s="16" customFormat="1" ht="22.5" customHeight="1">
      <c r="A2" s="82" t="s">
        <v>397</v>
      </c>
      <c r="B2" s="292"/>
      <c r="C2" s="292"/>
      <c r="D2" s="292"/>
      <c r="E2" s="292"/>
    </row>
    <row r="3" spans="1:6" s="17" customFormat="1" ht="22.5" customHeight="1">
      <c r="A3" s="82" t="s">
        <v>309</v>
      </c>
    </row>
    <row r="4" spans="1:6" ht="22.5" customHeight="1">
      <c r="A4" s="311" t="s">
        <v>398</v>
      </c>
      <c r="B4" s="18" t="s">
        <v>4</v>
      </c>
      <c r="C4" s="18" t="s">
        <v>285</v>
      </c>
      <c r="D4" s="18" t="s">
        <v>5</v>
      </c>
      <c r="E4" s="18" t="s">
        <v>6</v>
      </c>
    </row>
    <row r="5" spans="1:6" ht="20.399999999999999" customHeight="1">
      <c r="A5" s="311" t="s">
        <v>399</v>
      </c>
      <c r="B5" s="21">
        <v>1</v>
      </c>
      <c r="C5" s="83" t="s">
        <v>286</v>
      </c>
      <c r="D5" s="21" t="s">
        <v>211</v>
      </c>
      <c r="E5" s="22"/>
    </row>
    <row r="6" spans="1:6" ht="20.399999999999999" customHeight="1">
      <c r="A6" s="311" t="s">
        <v>400</v>
      </c>
      <c r="B6" s="21">
        <v>2</v>
      </c>
      <c r="C6" s="83" t="s">
        <v>288</v>
      </c>
      <c r="D6" s="21" t="s">
        <v>212</v>
      </c>
      <c r="E6" s="20"/>
    </row>
    <row r="7" spans="1:6" ht="20.399999999999999" customHeight="1">
      <c r="A7" s="311" t="s">
        <v>401</v>
      </c>
      <c r="B7" s="21">
        <v>3</v>
      </c>
      <c r="C7" s="84" t="s">
        <v>289</v>
      </c>
      <c r="D7" s="21"/>
      <c r="E7" s="22"/>
      <c r="F7" s="260" t="s">
        <v>287</v>
      </c>
    </row>
    <row r="8" spans="1:6" ht="20.399999999999999" customHeight="1">
      <c r="A8" s="82"/>
      <c r="B8" s="21">
        <v>4</v>
      </c>
      <c r="C8" s="84" t="s">
        <v>299</v>
      </c>
      <c r="D8" s="21"/>
      <c r="E8" s="22"/>
      <c r="F8" s="260" t="s">
        <v>287</v>
      </c>
    </row>
    <row r="9" spans="1:6" ht="20.399999999999999" customHeight="1">
      <c r="B9" s="21">
        <v>5</v>
      </c>
      <c r="C9" s="84" t="s">
        <v>290</v>
      </c>
      <c r="D9" s="21" t="s">
        <v>213</v>
      </c>
      <c r="E9" s="22"/>
    </row>
    <row r="10" spans="1:6" ht="20.399999999999999" customHeight="1">
      <c r="A10" s="312" t="s">
        <v>402</v>
      </c>
      <c r="B10" s="21">
        <v>6</v>
      </c>
      <c r="C10" s="84" t="s">
        <v>291</v>
      </c>
      <c r="D10" s="21" t="s">
        <v>214</v>
      </c>
      <c r="E10" s="261"/>
    </row>
    <row r="11" spans="1:6" ht="20.399999999999999" customHeight="1">
      <c r="A11" s="314" t="s">
        <v>403</v>
      </c>
      <c r="B11" s="21">
        <v>7</v>
      </c>
      <c r="C11" s="84" t="s">
        <v>292</v>
      </c>
      <c r="D11" s="21" t="s">
        <v>215</v>
      </c>
      <c r="E11" s="20"/>
    </row>
    <row r="12" spans="1:6" ht="20.399999999999999" customHeight="1">
      <c r="A12" s="314"/>
      <c r="B12" s="21">
        <v>8</v>
      </c>
      <c r="C12" s="84" t="s">
        <v>296</v>
      </c>
      <c r="D12" s="21" t="s">
        <v>293</v>
      </c>
      <c r="E12" s="138"/>
    </row>
    <row r="13" spans="1:6" ht="20.399999999999999" customHeight="1">
      <c r="A13" s="314"/>
      <c r="B13" s="21">
        <v>9</v>
      </c>
      <c r="C13" s="84" t="s">
        <v>297</v>
      </c>
      <c r="D13" s="21" t="s">
        <v>294</v>
      </c>
      <c r="E13" s="20"/>
    </row>
    <row r="14" spans="1:6" ht="20.399999999999999" customHeight="1">
      <c r="A14" s="314"/>
      <c r="B14" s="21">
        <v>10</v>
      </c>
      <c r="C14" s="84" t="s">
        <v>298</v>
      </c>
      <c r="D14" s="21" t="s">
        <v>295</v>
      </c>
      <c r="E14" s="20"/>
    </row>
    <row r="15" spans="1:6">
      <c r="A15" s="314" t="s">
        <v>404</v>
      </c>
    </row>
    <row r="16" spans="1:6">
      <c r="A16" s="314"/>
    </row>
    <row r="17" spans="1:1">
      <c r="A17" s="314"/>
    </row>
    <row r="18" spans="1:1">
      <c r="A18" s="315" t="s">
        <v>405</v>
      </c>
    </row>
    <row r="19" spans="1:1">
      <c r="A19" s="315"/>
    </row>
    <row r="20" spans="1:1">
      <c r="A20" s="315"/>
    </row>
  </sheetData>
  <mergeCells count="3">
    <mergeCell ref="A11:A14"/>
    <mergeCell ref="A15:A17"/>
    <mergeCell ref="A18:A20"/>
  </mergeCells>
  <phoneticPr fontId="31" type="noConversion"/>
  <hyperlinks>
    <hyperlink ref="C6" location="'审定表 K6-1'!Print_Area" display="审定表"/>
    <hyperlink ref="C9" location="'明细表K6-2'!Print_Area" display="明细表"/>
    <hyperlink ref="C10" location="'调整分录汇总 K6-3'!Print_Area" display="调整分录汇总表"/>
    <hyperlink ref="C11" location="'初始确认检查表K6-4'!Print_Titles" display="初始确认检查表"/>
    <hyperlink ref="C13" location="'处置组减值测试表（后续计量） K6-6'!Print_Area" display="处置组减值测试表（后续计量）"/>
    <hyperlink ref="C5" location="'实质性程序表 K6A'!Print_Area" display="实质性程序表"/>
    <hyperlink ref="C14" location="'检查表（不再满足持有待售）K6-7'!Print_Area" display="检查表（不再满足持有待售）"/>
    <hyperlink ref="C8" location="'附注披露信息(国企）'!Print_Area" display="附注披露信息(国企）"/>
    <hyperlink ref="C7" location="'附注披露信息（上市公司）'!Print_Area" display="附注披露信息（上市公司）"/>
    <hyperlink ref="C12" location="'减值准备测试表（后续计量） K6-5'!Print_Area" display="减值准备测试表（后续计量）"/>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M207"/>
  <sheetViews>
    <sheetView view="pageBreakPreview" zoomScaleNormal="115" zoomScaleSheetLayoutView="100" workbookViewId="0">
      <selection sqref="A1:I1"/>
    </sheetView>
  </sheetViews>
  <sheetFormatPr defaultRowHeight="13.8"/>
  <cols>
    <col min="1" max="1" width="5.5546875" style="127" customWidth="1"/>
    <col min="2" max="2" width="77.21875" style="128" customWidth="1"/>
    <col min="3" max="3" width="11.44140625" style="36" customWidth="1"/>
    <col min="4" max="4" width="6" style="36" customWidth="1"/>
    <col min="5" max="5" width="6.44140625" style="36" customWidth="1"/>
    <col min="6" max="6" width="7" style="36" customWidth="1"/>
    <col min="7" max="7" width="7.77734375" style="36" customWidth="1"/>
    <col min="8" max="8" width="6" style="36" customWidth="1"/>
    <col min="9" max="9" width="7.44140625" style="36" customWidth="1"/>
    <col min="10" max="10" width="66.77734375" style="36" customWidth="1"/>
    <col min="11" max="254" width="9.109375" style="36"/>
    <col min="255" max="255" width="9.6640625" style="36" customWidth="1"/>
    <col min="256" max="256" width="107.109375" style="36" customWidth="1"/>
    <col min="257" max="257" width="0" style="36" hidden="1" customWidth="1"/>
    <col min="258" max="258" width="13.44140625" style="36" customWidth="1"/>
    <col min="259" max="259" width="15.44140625" style="36" customWidth="1"/>
    <col min="260" max="260" width="6.88671875" style="36" customWidth="1"/>
    <col min="261" max="261" width="6.44140625" style="36" customWidth="1"/>
    <col min="262" max="262" width="5.33203125" style="36" customWidth="1"/>
    <col min="263" max="263" width="6.33203125" style="36" customWidth="1"/>
    <col min="264" max="264" width="16" style="36" customWidth="1"/>
    <col min="265" max="265" width="12.109375" style="36" customWidth="1"/>
    <col min="266" max="266" width="36.109375" style="36" bestFit="1" customWidth="1"/>
    <col min="267" max="510" width="9.109375" style="36"/>
    <col min="511" max="511" width="9.6640625" style="36" customWidth="1"/>
    <col min="512" max="512" width="107.109375" style="36" customWidth="1"/>
    <col min="513" max="513" width="0" style="36" hidden="1" customWidth="1"/>
    <col min="514" max="514" width="13.44140625" style="36" customWidth="1"/>
    <col min="515" max="515" width="15.44140625" style="36" customWidth="1"/>
    <col min="516" max="516" width="6.88671875" style="36" customWidth="1"/>
    <col min="517" max="517" width="6.44140625" style="36" customWidth="1"/>
    <col min="518" max="518" width="5.33203125" style="36" customWidth="1"/>
    <col min="519" max="519" width="6.33203125" style="36" customWidth="1"/>
    <col min="520" max="520" width="16" style="36" customWidth="1"/>
    <col min="521" max="521" width="12.109375" style="36" customWidth="1"/>
    <col min="522" max="522" width="36.109375" style="36" bestFit="1" customWidth="1"/>
    <col min="523" max="766" width="9.109375" style="36"/>
    <col min="767" max="767" width="9.6640625" style="36" customWidth="1"/>
    <col min="768" max="768" width="107.109375" style="36" customWidth="1"/>
    <col min="769" max="769" width="0" style="36" hidden="1" customWidth="1"/>
    <col min="770" max="770" width="13.44140625" style="36" customWidth="1"/>
    <col min="771" max="771" width="15.44140625" style="36" customWidth="1"/>
    <col min="772" max="772" width="6.88671875" style="36" customWidth="1"/>
    <col min="773" max="773" width="6.44140625" style="36" customWidth="1"/>
    <col min="774" max="774" width="5.33203125" style="36" customWidth="1"/>
    <col min="775" max="775" width="6.33203125" style="36" customWidth="1"/>
    <col min="776" max="776" width="16" style="36" customWidth="1"/>
    <col min="777" max="777" width="12.109375" style="36" customWidth="1"/>
    <col min="778" max="778" width="36.109375" style="36" bestFit="1" customWidth="1"/>
    <col min="779" max="1022" width="9.109375" style="36"/>
    <col min="1023" max="1023" width="9.6640625" style="36" customWidth="1"/>
    <col min="1024" max="1024" width="107.109375" style="36" customWidth="1"/>
    <col min="1025" max="1025" width="0" style="36" hidden="1" customWidth="1"/>
    <col min="1026" max="1026" width="13.44140625" style="36" customWidth="1"/>
    <col min="1027" max="1027" width="15.44140625" style="36" customWidth="1"/>
    <col min="1028" max="1028" width="6.88671875" style="36" customWidth="1"/>
    <col min="1029" max="1029" width="6.44140625" style="36" customWidth="1"/>
    <col min="1030" max="1030" width="5.33203125" style="36" customWidth="1"/>
    <col min="1031" max="1031" width="6.33203125" style="36" customWidth="1"/>
    <col min="1032" max="1032" width="16" style="36" customWidth="1"/>
    <col min="1033" max="1033" width="12.109375" style="36" customWidth="1"/>
    <col min="1034" max="1034" width="36.109375" style="36" bestFit="1" customWidth="1"/>
    <col min="1035" max="1278" width="9.109375" style="36"/>
    <col min="1279" max="1279" width="9.6640625" style="36" customWidth="1"/>
    <col min="1280" max="1280" width="107.109375" style="36" customWidth="1"/>
    <col min="1281" max="1281" width="0" style="36" hidden="1" customWidth="1"/>
    <col min="1282" max="1282" width="13.44140625" style="36" customWidth="1"/>
    <col min="1283" max="1283" width="15.44140625" style="36" customWidth="1"/>
    <col min="1284" max="1284" width="6.88671875" style="36" customWidth="1"/>
    <col min="1285" max="1285" width="6.44140625" style="36" customWidth="1"/>
    <col min="1286" max="1286" width="5.33203125" style="36" customWidth="1"/>
    <col min="1287" max="1287" width="6.33203125" style="36" customWidth="1"/>
    <col min="1288" max="1288" width="16" style="36" customWidth="1"/>
    <col min="1289" max="1289" width="12.109375" style="36" customWidth="1"/>
    <col min="1290" max="1290" width="36.109375" style="36" bestFit="1" customWidth="1"/>
    <col min="1291" max="1534" width="9.109375" style="36"/>
    <col min="1535" max="1535" width="9.6640625" style="36" customWidth="1"/>
    <col min="1536" max="1536" width="107.109375" style="36" customWidth="1"/>
    <col min="1537" max="1537" width="0" style="36" hidden="1" customWidth="1"/>
    <col min="1538" max="1538" width="13.44140625" style="36" customWidth="1"/>
    <col min="1539" max="1539" width="15.44140625" style="36" customWidth="1"/>
    <col min="1540" max="1540" width="6.88671875" style="36" customWidth="1"/>
    <col min="1541" max="1541" width="6.44140625" style="36" customWidth="1"/>
    <col min="1542" max="1542" width="5.33203125" style="36" customWidth="1"/>
    <col min="1543" max="1543" width="6.33203125" style="36" customWidth="1"/>
    <col min="1544" max="1544" width="16" style="36" customWidth="1"/>
    <col min="1545" max="1545" width="12.109375" style="36" customWidth="1"/>
    <col min="1546" max="1546" width="36.109375" style="36" bestFit="1" customWidth="1"/>
    <col min="1547" max="1790" width="9.109375" style="36"/>
    <col min="1791" max="1791" width="9.6640625" style="36" customWidth="1"/>
    <col min="1792" max="1792" width="107.109375" style="36" customWidth="1"/>
    <col min="1793" max="1793" width="0" style="36" hidden="1" customWidth="1"/>
    <col min="1794" max="1794" width="13.44140625" style="36" customWidth="1"/>
    <col min="1795" max="1795" width="15.44140625" style="36" customWidth="1"/>
    <col min="1796" max="1796" width="6.88671875" style="36" customWidth="1"/>
    <col min="1797" max="1797" width="6.44140625" style="36" customWidth="1"/>
    <col min="1798" max="1798" width="5.33203125" style="36" customWidth="1"/>
    <col min="1799" max="1799" width="6.33203125" style="36" customWidth="1"/>
    <col min="1800" max="1800" width="16" style="36" customWidth="1"/>
    <col min="1801" max="1801" width="12.109375" style="36" customWidth="1"/>
    <col min="1802" max="1802" width="36.109375" style="36" bestFit="1" customWidth="1"/>
    <col min="1803" max="2046" width="9.109375" style="36"/>
    <col min="2047" max="2047" width="9.6640625" style="36" customWidth="1"/>
    <col min="2048" max="2048" width="107.109375" style="36" customWidth="1"/>
    <col min="2049" max="2049" width="0" style="36" hidden="1" customWidth="1"/>
    <col min="2050" max="2050" width="13.44140625" style="36" customWidth="1"/>
    <col min="2051" max="2051" width="15.44140625" style="36" customWidth="1"/>
    <col min="2052" max="2052" width="6.88671875" style="36" customWidth="1"/>
    <col min="2053" max="2053" width="6.44140625" style="36" customWidth="1"/>
    <col min="2054" max="2054" width="5.33203125" style="36" customWidth="1"/>
    <col min="2055" max="2055" width="6.33203125" style="36" customWidth="1"/>
    <col min="2056" max="2056" width="16" style="36" customWidth="1"/>
    <col min="2057" max="2057" width="12.109375" style="36" customWidth="1"/>
    <col min="2058" max="2058" width="36.109375" style="36" bestFit="1" customWidth="1"/>
    <col min="2059" max="2302" width="9.109375" style="36"/>
    <col min="2303" max="2303" width="9.6640625" style="36" customWidth="1"/>
    <col min="2304" max="2304" width="107.109375" style="36" customWidth="1"/>
    <col min="2305" max="2305" width="0" style="36" hidden="1" customWidth="1"/>
    <col min="2306" max="2306" width="13.44140625" style="36" customWidth="1"/>
    <col min="2307" max="2307" width="15.44140625" style="36" customWidth="1"/>
    <col min="2308" max="2308" width="6.88671875" style="36" customWidth="1"/>
    <col min="2309" max="2309" width="6.44140625" style="36" customWidth="1"/>
    <col min="2310" max="2310" width="5.33203125" style="36" customWidth="1"/>
    <col min="2311" max="2311" width="6.33203125" style="36" customWidth="1"/>
    <col min="2312" max="2312" width="16" style="36" customWidth="1"/>
    <col min="2313" max="2313" width="12.109375" style="36" customWidth="1"/>
    <col min="2314" max="2314" width="36.109375" style="36" bestFit="1" customWidth="1"/>
    <col min="2315" max="2558" width="9.109375" style="36"/>
    <col min="2559" max="2559" width="9.6640625" style="36" customWidth="1"/>
    <col min="2560" max="2560" width="107.109375" style="36" customWidth="1"/>
    <col min="2561" max="2561" width="0" style="36" hidden="1" customWidth="1"/>
    <col min="2562" max="2562" width="13.44140625" style="36" customWidth="1"/>
    <col min="2563" max="2563" width="15.44140625" style="36" customWidth="1"/>
    <col min="2564" max="2564" width="6.88671875" style="36" customWidth="1"/>
    <col min="2565" max="2565" width="6.44140625" style="36" customWidth="1"/>
    <col min="2566" max="2566" width="5.33203125" style="36" customWidth="1"/>
    <col min="2567" max="2567" width="6.33203125" style="36" customWidth="1"/>
    <col min="2568" max="2568" width="16" style="36" customWidth="1"/>
    <col min="2569" max="2569" width="12.109375" style="36" customWidth="1"/>
    <col min="2570" max="2570" width="36.109375" style="36" bestFit="1" customWidth="1"/>
    <col min="2571" max="2814" width="9.109375" style="36"/>
    <col min="2815" max="2815" width="9.6640625" style="36" customWidth="1"/>
    <col min="2816" max="2816" width="107.109375" style="36" customWidth="1"/>
    <col min="2817" max="2817" width="0" style="36" hidden="1" customWidth="1"/>
    <col min="2818" max="2818" width="13.44140625" style="36" customWidth="1"/>
    <col min="2819" max="2819" width="15.44140625" style="36" customWidth="1"/>
    <col min="2820" max="2820" width="6.88671875" style="36" customWidth="1"/>
    <col min="2821" max="2821" width="6.44140625" style="36" customWidth="1"/>
    <col min="2822" max="2822" width="5.33203125" style="36" customWidth="1"/>
    <col min="2823" max="2823" width="6.33203125" style="36" customWidth="1"/>
    <col min="2824" max="2824" width="16" style="36" customWidth="1"/>
    <col min="2825" max="2825" width="12.109375" style="36" customWidth="1"/>
    <col min="2826" max="2826" width="36.109375" style="36" bestFit="1" customWidth="1"/>
    <col min="2827" max="3070" width="9.109375" style="36"/>
    <col min="3071" max="3071" width="9.6640625" style="36" customWidth="1"/>
    <col min="3072" max="3072" width="107.109375" style="36" customWidth="1"/>
    <col min="3073" max="3073" width="0" style="36" hidden="1" customWidth="1"/>
    <col min="3074" max="3074" width="13.44140625" style="36" customWidth="1"/>
    <col min="3075" max="3075" width="15.44140625" style="36" customWidth="1"/>
    <col min="3076" max="3076" width="6.88671875" style="36" customWidth="1"/>
    <col min="3077" max="3077" width="6.44140625" style="36" customWidth="1"/>
    <col min="3078" max="3078" width="5.33203125" style="36" customWidth="1"/>
    <col min="3079" max="3079" width="6.33203125" style="36" customWidth="1"/>
    <col min="3080" max="3080" width="16" style="36" customWidth="1"/>
    <col min="3081" max="3081" width="12.109375" style="36" customWidth="1"/>
    <col min="3082" max="3082" width="36.109375" style="36" bestFit="1" customWidth="1"/>
    <col min="3083" max="3326" width="9.109375" style="36"/>
    <col min="3327" max="3327" width="9.6640625" style="36" customWidth="1"/>
    <col min="3328" max="3328" width="107.109375" style="36" customWidth="1"/>
    <col min="3329" max="3329" width="0" style="36" hidden="1" customWidth="1"/>
    <col min="3330" max="3330" width="13.44140625" style="36" customWidth="1"/>
    <col min="3331" max="3331" width="15.44140625" style="36" customWidth="1"/>
    <col min="3332" max="3332" width="6.88671875" style="36" customWidth="1"/>
    <col min="3333" max="3333" width="6.44140625" style="36" customWidth="1"/>
    <col min="3334" max="3334" width="5.33203125" style="36" customWidth="1"/>
    <col min="3335" max="3335" width="6.33203125" style="36" customWidth="1"/>
    <col min="3336" max="3336" width="16" style="36" customWidth="1"/>
    <col min="3337" max="3337" width="12.109375" style="36" customWidth="1"/>
    <col min="3338" max="3338" width="36.109375" style="36" bestFit="1" customWidth="1"/>
    <col min="3339" max="3582" width="9.109375" style="36"/>
    <col min="3583" max="3583" width="9.6640625" style="36" customWidth="1"/>
    <col min="3584" max="3584" width="107.109375" style="36" customWidth="1"/>
    <col min="3585" max="3585" width="0" style="36" hidden="1" customWidth="1"/>
    <col min="3586" max="3586" width="13.44140625" style="36" customWidth="1"/>
    <col min="3587" max="3587" width="15.44140625" style="36" customWidth="1"/>
    <col min="3588" max="3588" width="6.88671875" style="36" customWidth="1"/>
    <col min="3589" max="3589" width="6.44140625" style="36" customWidth="1"/>
    <col min="3590" max="3590" width="5.33203125" style="36" customWidth="1"/>
    <col min="3591" max="3591" width="6.33203125" style="36" customWidth="1"/>
    <col min="3592" max="3592" width="16" style="36" customWidth="1"/>
    <col min="3593" max="3593" width="12.109375" style="36" customWidth="1"/>
    <col min="3594" max="3594" width="36.109375" style="36" bestFit="1" customWidth="1"/>
    <col min="3595" max="3838" width="9.109375" style="36"/>
    <col min="3839" max="3839" width="9.6640625" style="36" customWidth="1"/>
    <col min="3840" max="3840" width="107.109375" style="36" customWidth="1"/>
    <col min="3841" max="3841" width="0" style="36" hidden="1" customWidth="1"/>
    <col min="3842" max="3842" width="13.44140625" style="36" customWidth="1"/>
    <col min="3843" max="3843" width="15.44140625" style="36" customWidth="1"/>
    <col min="3844" max="3844" width="6.88671875" style="36" customWidth="1"/>
    <col min="3845" max="3845" width="6.44140625" style="36" customWidth="1"/>
    <col min="3846" max="3846" width="5.33203125" style="36" customWidth="1"/>
    <col min="3847" max="3847" width="6.33203125" style="36" customWidth="1"/>
    <col min="3848" max="3848" width="16" style="36" customWidth="1"/>
    <col min="3849" max="3849" width="12.109375" style="36" customWidth="1"/>
    <col min="3850" max="3850" width="36.109375" style="36" bestFit="1" customWidth="1"/>
    <col min="3851" max="4094" width="9.109375" style="36"/>
    <col min="4095" max="4095" width="9.6640625" style="36" customWidth="1"/>
    <col min="4096" max="4096" width="107.109375" style="36" customWidth="1"/>
    <col min="4097" max="4097" width="0" style="36" hidden="1" customWidth="1"/>
    <col min="4098" max="4098" width="13.44140625" style="36" customWidth="1"/>
    <col min="4099" max="4099" width="15.44140625" style="36" customWidth="1"/>
    <col min="4100" max="4100" width="6.88671875" style="36" customWidth="1"/>
    <col min="4101" max="4101" width="6.44140625" style="36" customWidth="1"/>
    <col min="4102" max="4102" width="5.33203125" style="36" customWidth="1"/>
    <col min="4103" max="4103" width="6.33203125" style="36" customWidth="1"/>
    <col min="4104" max="4104" width="16" style="36" customWidth="1"/>
    <col min="4105" max="4105" width="12.109375" style="36" customWidth="1"/>
    <col min="4106" max="4106" width="36.109375" style="36" bestFit="1" customWidth="1"/>
    <col min="4107" max="4350" width="9.109375" style="36"/>
    <col min="4351" max="4351" width="9.6640625" style="36" customWidth="1"/>
    <col min="4352" max="4352" width="107.109375" style="36" customWidth="1"/>
    <col min="4353" max="4353" width="0" style="36" hidden="1" customWidth="1"/>
    <col min="4354" max="4354" width="13.44140625" style="36" customWidth="1"/>
    <col min="4355" max="4355" width="15.44140625" style="36" customWidth="1"/>
    <col min="4356" max="4356" width="6.88671875" style="36" customWidth="1"/>
    <col min="4357" max="4357" width="6.44140625" style="36" customWidth="1"/>
    <col min="4358" max="4358" width="5.33203125" style="36" customWidth="1"/>
    <col min="4359" max="4359" width="6.33203125" style="36" customWidth="1"/>
    <col min="4360" max="4360" width="16" style="36" customWidth="1"/>
    <col min="4361" max="4361" width="12.109375" style="36" customWidth="1"/>
    <col min="4362" max="4362" width="36.109375" style="36" bestFit="1" customWidth="1"/>
    <col min="4363" max="4606" width="9.109375" style="36"/>
    <col min="4607" max="4607" width="9.6640625" style="36" customWidth="1"/>
    <col min="4608" max="4608" width="107.109375" style="36" customWidth="1"/>
    <col min="4609" max="4609" width="0" style="36" hidden="1" customWidth="1"/>
    <col min="4610" max="4610" width="13.44140625" style="36" customWidth="1"/>
    <col min="4611" max="4611" width="15.44140625" style="36" customWidth="1"/>
    <col min="4612" max="4612" width="6.88671875" style="36" customWidth="1"/>
    <col min="4613" max="4613" width="6.44140625" style="36" customWidth="1"/>
    <col min="4614" max="4614" width="5.33203125" style="36" customWidth="1"/>
    <col min="4615" max="4615" width="6.33203125" style="36" customWidth="1"/>
    <col min="4616" max="4616" width="16" style="36" customWidth="1"/>
    <col min="4617" max="4617" width="12.109375" style="36" customWidth="1"/>
    <col min="4618" max="4618" width="36.109375" style="36" bestFit="1" customWidth="1"/>
    <col min="4619" max="4862" width="9.109375" style="36"/>
    <col min="4863" max="4863" width="9.6640625" style="36" customWidth="1"/>
    <col min="4864" max="4864" width="107.109375" style="36" customWidth="1"/>
    <col min="4865" max="4865" width="0" style="36" hidden="1" customWidth="1"/>
    <col min="4866" max="4866" width="13.44140625" style="36" customWidth="1"/>
    <col min="4867" max="4867" width="15.44140625" style="36" customWidth="1"/>
    <col min="4868" max="4868" width="6.88671875" style="36" customWidth="1"/>
    <col min="4869" max="4869" width="6.44140625" style="36" customWidth="1"/>
    <col min="4870" max="4870" width="5.33203125" style="36" customWidth="1"/>
    <col min="4871" max="4871" width="6.33203125" style="36" customWidth="1"/>
    <col min="4872" max="4872" width="16" style="36" customWidth="1"/>
    <col min="4873" max="4873" width="12.109375" style="36" customWidth="1"/>
    <col min="4874" max="4874" width="36.109375" style="36" bestFit="1" customWidth="1"/>
    <col min="4875" max="5118" width="9.109375" style="36"/>
    <col min="5119" max="5119" width="9.6640625" style="36" customWidth="1"/>
    <col min="5120" max="5120" width="107.109375" style="36" customWidth="1"/>
    <col min="5121" max="5121" width="0" style="36" hidden="1" customWidth="1"/>
    <col min="5122" max="5122" width="13.44140625" style="36" customWidth="1"/>
    <col min="5123" max="5123" width="15.44140625" style="36" customWidth="1"/>
    <col min="5124" max="5124" width="6.88671875" style="36" customWidth="1"/>
    <col min="5125" max="5125" width="6.44140625" style="36" customWidth="1"/>
    <col min="5126" max="5126" width="5.33203125" style="36" customWidth="1"/>
    <col min="5127" max="5127" width="6.33203125" style="36" customWidth="1"/>
    <col min="5128" max="5128" width="16" style="36" customWidth="1"/>
    <col min="5129" max="5129" width="12.109375" style="36" customWidth="1"/>
    <col min="5130" max="5130" width="36.109375" style="36" bestFit="1" customWidth="1"/>
    <col min="5131" max="5374" width="9.109375" style="36"/>
    <col min="5375" max="5375" width="9.6640625" style="36" customWidth="1"/>
    <col min="5376" max="5376" width="107.109375" style="36" customWidth="1"/>
    <col min="5377" max="5377" width="0" style="36" hidden="1" customWidth="1"/>
    <col min="5378" max="5378" width="13.44140625" style="36" customWidth="1"/>
    <col min="5379" max="5379" width="15.44140625" style="36" customWidth="1"/>
    <col min="5380" max="5380" width="6.88671875" style="36" customWidth="1"/>
    <col min="5381" max="5381" width="6.44140625" style="36" customWidth="1"/>
    <col min="5382" max="5382" width="5.33203125" style="36" customWidth="1"/>
    <col min="5383" max="5383" width="6.33203125" style="36" customWidth="1"/>
    <col min="5384" max="5384" width="16" style="36" customWidth="1"/>
    <col min="5385" max="5385" width="12.109375" style="36" customWidth="1"/>
    <col min="5386" max="5386" width="36.109375" style="36" bestFit="1" customWidth="1"/>
    <col min="5387" max="5630" width="9.109375" style="36"/>
    <col min="5631" max="5631" width="9.6640625" style="36" customWidth="1"/>
    <col min="5632" max="5632" width="107.109375" style="36" customWidth="1"/>
    <col min="5633" max="5633" width="0" style="36" hidden="1" customWidth="1"/>
    <col min="5634" max="5634" width="13.44140625" style="36" customWidth="1"/>
    <col min="5635" max="5635" width="15.44140625" style="36" customWidth="1"/>
    <col min="5636" max="5636" width="6.88671875" style="36" customWidth="1"/>
    <col min="5637" max="5637" width="6.44140625" style="36" customWidth="1"/>
    <col min="5638" max="5638" width="5.33203125" style="36" customWidth="1"/>
    <col min="5639" max="5639" width="6.33203125" style="36" customWidth="1"/>
    <col min="5640" max="5640" width="16" style="36" customWidth="1"/>
    <col min="5641" max="5641" width="12.109375" style="36" customWidth="1"/>
    <col min="5642" max="5642" width="36.109375" style="36" bestFit="1" customWidth="1"/>
    <col min="5643" max="5886" width="9.109375" style="36"/>
    <col min="5887" max="5887" width="9.6640625" style="36" customWidth="1"/>
    <col min="5888" max="5888" width="107.109375" style="36" customWidth="1"/>
    <col min="5889" max="5889" width="0" style="36" hidden="1" customWidth="1"/>
    <col min="5890" max="5890" width="13.44140625" style="36" customWidth="1"/>
    <col min="5891" max="5891" width="15.44140625" style="36" customWidth="1"/>
    <col min="5892" max="5892" width="6.88671875" style="36" customWidth="1"/>
    <col min="5893" max="5893" width="6.44140625" style="36" customWidth="1"/>
    <col min="5894" max="5894" width="5.33203125" style="36" customWidth="1"/>
    <col min="5895" max="5895" width="6.33203125" style="36" customWidth="1"/>
    <col min="5896" max="5896" width="16" style="36" customWidth="1"/>
    <col min="5897" max="5897" width="12.109375" style="36" customWidth="1"/>
    <col min="5898" max="5898" width="36.109375" style="36" bestFit="1" customWidth="1"/>
    <col min="5899" max="6142" width="9.109375" style="36"/>
    <col min="6143" max="6143" width="9.6640625" style="36" customWidth="1"/>
    <col min="6144" max="6144" width="107.109375" style="36" customWidth="1"/>
    <col min="6145" max="6145" width="0" style="36" hidden="1" customWidth="1"/>
    <col min="6146" max="6146" width="13.44140625" style="36" customWidth="1"/>
    <col min="6147" max="6147" width="15.44140625" style="36" customWidth="1"/>
    <col min="6148" max="6148" width="6.88671875" style="36" customWidth="1"/>
    <col min="6149" max="6149" width="6.44140625" style="36" customWidth="1"/>
    <col min="6150" max="6150" width="5.33203125" style="36" customWidth="1"/>
    <col min="6151" max="6151" width="6.33203125" style="36" customWidth="1"/>
    <col min="6152" max="6152" width="16" style="36" customWidth="1"/>
    <col min="6153" max="6153" width="12.109375" style="36" customWidth="1"/>
    <col min="6154" max="6154" width="36.109375" style="36" bestFit="1" customWidth="1"/>
    <col min="6155" max="6398" width="9.109375" style="36"/>
    <col min="6399" max="6399" width="9.6640625" style="36" customWidth="1"/>
    <col min="6400" max="6400" width="107.109375" style="36" customWidth="1"/>
    <col min="6401" max="6401" width="0" style="36" hidden="1" customWidth="1"/>
    <col min="6402" max="6402" width="13.44140625" style="36" customWidth="1"/>
    <col min="6403" max="6403" width="15.44140625" style="36" customWidth="1"/>
    <col min="6404" max="6404" width="6.88671875" style="36" customWidth="1"/>
    <col min="6405" max="6405" width="6.44140625" style="36" customWidth="1"/>
    <col min="6406" max="6406" width="5.33203125" style="36" customWidth="1"/>
    <col min="6407" max="6407" width="6.33203125" style="36" customWidth="1"/>
    <col min="6408" max="6408" width="16" style="36" customWidth="1"/>
    <col min="6409" max="6409" width="12.109375" style="36" customWidth="1"/>
    <col min="6410" max="6410" width="36.109375" style="36" bestFit="1" customWidth="1"/>
    <col min="6411" max="6654" width="9.109375" style="36"/>
    <col min="6655" max="6655" width="9.6640625" style="36" customWidth="1"/>
    <col min="6656" max="6656" width="107.109375" style="36" customWidth="1"/>
    <col min="6657" max="6657" width="0" style="36" hidden="1" customWidth="1"/>
    <col min="6658" max="6658" width="13.44140625" style="36" customWidth="1"/>
    <col min="6659" max="6659" width="15.44140625" style="36" customWidth="1"/>
    <col min="6660" max="6660" width="6.88671875" style="36" customWidth="1"/>
    <col min="6661" max="6661" width="6.44140625" style="36" customWidth="1"/>
    <col min="6662" max="6662" width="5.33203125" style="36" customWidth="1"/>
    <col min="6663" max="6663" width="6.33203125" style="36" customWidth="1"/>
    <col min="6664" max="6664" width="16" style="36" customWidth="1"/>
    <col min="6665" max="6665" width="12.109375" style="36" customWidth="1"/>
    <col min="6666" max="6666" width="36.109375" style="36" bestFit="1" customWidth="1"/>
    <col min="6667" max="6910" width="9.109375" style="36"/>
    <col min="6911" max="6911" width="9.6640625" style="36" customWidth="1"/>
    <col min="6912" max="6912" width="107.109375" style="36" customWidth="1"/>
    <col min="6913" max="6913" width="0" style="36" hidden="1" customWidth="1"/>
    <col min="6914" max="6914" width="13.44140625" style="36" customWidth="1"/>
    <col min="6915" max="6915" width="15.44140625" style="36" customWidth="1"/>
    <col min="6916" max="6916" width="6.88671875" style="36" customWidth="1"/>
    <col min="6917" max="6917" width="6.44140625" style="36" customWidth="1"/>
    <col min="6918" max="6918" width="5.33203125" style="36" customWidth="1"/>
    <col min="6919" max="6919" width="6.33203125" style="36" customWidth="1"/>
    <col min="6920" max="6920" width="16" style="36" customWidth="1"/>
    <col min="6921" max="6921" width="12.109375" style="36" customWidth="1"/>
    <col min="6922" max="6922" width="36.109375" style="36" bestFit="1" customWidth="1"/>
    <col min="6923" max="7166" width="9.109375" style="36"/>
    <col min="7167" max="7167" width="9.6640625" style="36" customWidth="1"/>
    <col min="7168" max="7168" width="107.109375" style="36" customWidth="1"/>
    <col min="7169" max="7169" width="0" style="36" hidden="1" customWidth="1"/>
    <col min="7170" max="7170" width="13.44140625" style="36" customWidth="1"/>
    <col min="7171" max="7171" width="15.44140625" style="36" customWidth="1"/>
    <col min="7172" max="7172" width="6.88671875" style="36" customWidth="1"/>
    <col min="7173" max="7173" width="6.44140625" style="36" customWidth="1"/>
    <col min="7174" max="7174" width="5.33203125" style="36" customWidth="1"/>
    <col min="7175" max="7175" width="6.33203125" style="36" customWidth="1"/>
    <col min="7176" max="7176" width="16" style="36" customWidth="1"/>
    <col min="7177" max="7177" width="12.109375" style="36" customWidth="1"/>
    <col min="7178" max="7178" width="36.109375" style="36" bestFit="1" customWidth="1"/>
    <col min="7179" max="7422" width="9.109375" style="36"/>
    <col min="7423" max="7423" width="9.6640625" style="36" customWidth="1"/>
    <col min="7424" max="7424" width="107.109375" style="36" customWidth="1"/>
    <col min="7425" max="7425" width="0" style="36" hidden="1" customWidth="1"/>
    <col min="7426" max="7426" width="13.44140625" style="36" customWidth="1"/>
    <col min="7427" max="7427" width="15.44140625" style="36" customWidth="1"/>
    <col min="7428" max="7428" width="6.88671875" style="36" customWidth="1"/>
    <col min="7429" max="7429" width="6.44140625" style="36" customWidth="1"/>
    <col min="7430" max="7430" width="5.33203125" style="36" customWidth="1"/>
    <col min="7431" max="7431" width="6.33203125" style="36" customWidth="1"/>
    <col min="7432" max="7432" width="16" style="36" customWidth="1"/>
    <col min="7433" max="7433" width="12.109375" style="36" customWidth="1"/>
    <col min="7434" max="7434" width="36.109375" style="36" bestFit="1" customWidth="1"/>
    <col min="7435" max="7678" width="9.109375" style="36"/>
    <col min="7679" max="7679" width="9.6640625" style="36" customWidth="1"/>
    <col min="7680" max="7680" width="107.109375" style="36" customWidth="1"/>
    <col min="7681" max="7681" width="0" style="36" hidden="1" customWidth="1"/>
    <col min="7682" max="7682" width="13.44140625" style="36" customWidth="1"/>
    <col min="7683" max="7683" width="15.44140625" style="36" customWidth="1"/>
    <col min="7684" max="7684" width="6.88671875" style="36" customWidth="1"/>
    <col min="7685" max="7685" width="6.44140625" style="36" customWidth="1"/>
    <col min="7686" max="7686" width="5.33203125" style="36" customWidth="1"/>
    <col min="7687" max="7687" width="6.33203125" style="36" customWidth="1"/>
    <col min="7688" max="7688" width="16" style="36" customWidth="1"/>
    <col min="7689" max="7689" width="12.109375" style="36" customWidth="1"/>
    <col min="7690" max="7690" width="36.109375" style="36" bestFit="1" customWidth="1"/>
    <col min="7691" max="7934" width="9.109375" style="36"/>
    <col min="7935" max="7935" width="9.6640625" style="36" customWidth="1"/>
    <col min="7936" max="7936" width="107.109375" style="36" customWidth="1"/>
    <col min="7937" max="7937" width="0" style="36" hidden="1" customWidth="1"/>
    <col min="7938" max="7938" width="13.44140625" style="36" customWidth="1"/>
    <col min="7939" max="7939" width="15.44140625" style="36" customWidth="1"/>
    <col min="7940" max="7940" width="6.88671875" style="36" customWidth="1"/>
    <col min="7941" max="7941" width="6.44140625" style="36" customWidth="1"/>
    <col min="7942" max="7942" width="5.33203125" style="36" customWidth="1"/>
    <col min="7943" max="7943" width="6.33203125" style="36" customWidth="1"/>
    <col min="7944" max="7944" width="16" style="36" customWidth="1"/>
    <col min="7945" max="7945" width="12.109375" style="36" customWidth="1"/>
    <col min="7946" max="7946" width="36.109375" style="36" bestFit="1" customWidth="1"/>
    <col min="7947" max="8190" width="9.109375" style="36"/>
    <col min="8191" max="8191" width="9.6640625" style="36" customWidth="1"/>
    <col min="8192" max="8192" width="107.109375" style="36" customWidth="1"/>
    <col min="8193" max="8193" width="0" style="36" hidden="1" customWidth="1"/>
    <col min="8194" max="8194" width="13.44140625" style="36" customWidth="1"/>
    <col min="8195" max="8195" width="15.44140625" style="36" customWidth="1"/>
    <col min="8196" max="8196" width="6.88671875" style="36" customWidth="1"/>
    <col min="8197" max="8197" width="6.44140625" style="36" customWidth="1"/>
    <col min="8198" max="8198" width="5.33203125" style="36" customWidth="1"/>
    <col min="8199" max="8199" width="6.33203125" style="36" customWidth="1"/>
    <col min="8200" max="8200" width="16" style="36" customWidth="1"/>
    <col min="8201" max="8201" width="12.109375" style="36" customWidth="1"/>
    <col min="8202" max="8202" width="36.109375" style="36" bestFit="1" customWidth="1"/>
    <col min="8203" max="8446" width="9.109375" style="36"/>
    <col min="8447" max="8447" width="9.6640625" style="36" customWidth="1"/>
    <col min="8448" max="8448" width="107.109375" style="36" customWidth="1"/>
    <col min="8449" max="8449" width="0" style="36" hidden="1" customWidth="1"/>
    <col min="8450" max="8450" width="13.44140625" style="36" customWidth="1"/>
    <col min="8451" max="8451" width="15.44140625" style="36" customWidth="1"/>
    <col min="8452" max="8452" width="6.88671875" style="36" customWidth="1"/>
    <col min="8453" max="8453" width="6.44140625" style="36" customWidth="1"/>
    <col min="8454" max="8454" width="5.33203125" style="36" customWidth="1"/>
    <col min="8455" max="8455" width="6.33203125" style="36" customWidth="1"/>
    <col min="8456" max="8456" width="16" style="36" customWidth="1"/>
    <col min="8457" max="8457" width="12.109375" style="36" customWidth="1"/>
    <col min="8458" max="8458" width="36.109375" style="36" bestFit="1" customWidth="1"/>
    <col min="8459" max="8702" width="9.109375" style="36"/>
    <col min="8703" max="8703" width="9.6640625" style="36" customWidth="1"/>
    <col min="8704" max="8704" width="107.109375" style="36" customWidth="1"/>
    <col min="8705" max="8705" width="0" style="36" hidden="1" customWidth="1"/>
    <col min="8706" max="8706" width="13.44140625" style="36" customWidth="1"/>
    <col min="8707" max="8707" width="15.44140625" style="36" customWidth="1"/>
    <col min="8708" max="8708" width="6.88671875" style="36" customWidth="1"/>
    <col min="8709" max="8709" width="6.44140625" style="36" customWidth="1"/>
    <col min="8710" max="8710" width="5.33203125" style="36" customWidth="1"/>
    <col min="8711" max="8711" width="6.33203125" style="36" customWidth="1"/>
    <col min="8712" max="8712" width="16" style="36" customWidth="1"/>
    <col min="8713" max="8713" width="12.109375" style="36" customWidth="1"/>
    <col min="8714" max="8714" width="36.109375" style="36" bestFit="1" customWidth="1"/>
    <col min="8715" max="8958" width="9.109375" style="36"/>
    <col min="8959" max="8959" width="9.6640625" style="36" customWidth="1"/>
    <col min="8960" max="8960" width="107.109375" style="36" customWidth="1"/>
    <col min="8961" max="8961" width="0" style="36" hidden="1" customWidth="1"/>
    <col min="8962" max="8962" width="13.44140625" style="36" customWidth="1"/>
    <col min="8963" max="8963" width="15.44140625" style="36" customWidth="1"/>
    <col min="8964" max="8964" width="6.88671875" style="36" customWidth="1"/>
    <col min="8965" max="8965" width="6.44140625" style="36" customWidth="1"/>
    <col min="8966" max="8966" width="5.33203125" style="36" customWidth="1"/>
    <col min="8967" max="8967" width="6.33203125" style="36" customWidth="1"/>
    <col min="8968" max="8968" width="16" style="36" customWidth="1"/>
    <col min="8969" max="8969" width="12.109375" style="36" customWidth="1"/>
    <col min="8970" max="8970" width="36.109375" style="36" bestFit="1" customWidth="1"/>
    <col min="8971" max="9214" width="9.109375" style="36"/>
    <col min="9215" max="9215" width="9.6640625" style="36" customWidth="1"/>
    <col min="9216" max="9216" width="107.109375" style="36" customWidth="1"/>
    <col min="9217" max="9217" width="0" style="36" hidden="1" customWidth="1"/>
    <col min="9218" max="9218" width="13.44140625" style="36" customWidth="1"/>
    <col min="9219" max="9219" width="15.44140625" style="36" customWidth="1"/>
    <col min="9220" max="9220" width="6.88671875" style="36" customWidth="1"/>
    <col min="9221" max="9221" width="6.44140625" style="36" customWidth="1"/>
    <col min="9222" max="9222" width="5.33203125" style="36" customWidth="1"/>
    <col min="9223" max="9223" width="6.33203125" style="36" customWidth="1"/>
    <col min="9224" max="9224" width="16" style="36" customWidth="1"/>
    <col min="9225" max="9225" width="12.109375" style="36" customWidth="1"/>
    <col min="9226" max="9226" width="36.109375" style="36" bestFit="1" customWidth="1"/>
    <col min="9227" max="9470" width="9.109375" style="36"/>
    <col min="9471" max="9471" width="9.6640625" style="36" customWidth="1"/>
    <col min="9472" max="9472" width="107.109375" style="36" customWidth="1"/>
    <col min="9473" max="9473" width="0" style="36" hidden="1" customWidth="1"/>
    <col min="9474" max="9474" width="13.44140625" style="36" customWidth="1"/>
    <col min="9475" max="9475" width="15.44140625" style="36" customWidth="1"/>
    <col min="9476" max="9476" width="6.88671875" style="36" customWidth="1"/>
    <col min="9477" max="9477" width="6.44140625" style="36" customWidth="1"/>
    <col min="9478" max="9478" width="5.33203125" style="36" customWidth="1"/>
    <col min="9479" max="9479" width="6.33203125" style="36" customWidth="1"/>
    <col min="9480" max="9480" width="16" style="36" customWidth="1"/>
    <col min="9481" max="9481" width="12.109375" style="36" customWidth="1"/>
    <col min="9482" max="9482" width="36.109375" style="36" bestFit="1" customWidth="1"/>
    <col min="9483" max="9726" width="9.109375" style="36"/>
    <col min="9727" max="9727" width="9.6640625" style="36" customWidth="1"/>
    <col min="9728" max="9728" width="107.109375" style="36" customWidth="1"/>
    <col min="9729" max="9729" width="0" style="36" hidden="1" customWidth="1"/>
    <col min="9730" max="9730" width="13.44140625" style="36" customWidth="1"/>
    <col min="9731" max="9731" width="15.44140625" style="36" customWidth="1"/>
    <col min="9732" max="9732" width="6.88671875" style="36" customWidth="1"/>
    <col min="9733" max="9733" width="6.44140625" style="36" customWidth="1"/>
    <col min="9734" max="9734" width="5.33203125" style="36" customWidth="1"/>
    <col min="9735" max="9735" width="6.33203125" style="36" customWidth="1"/>
    <col min="9736" max="9736" width="16" style="36" customWidth="1"/>
    <col min="9737" max="9737" width="12.109375" style="36" customWidth="1"/>
    <col min="9738" max="9738" width="36.109375" style="36" bestFit="1" customWidth="1"/>
    <col min="9739" max="9982" width="9.109375" style="36"/>
    <col min="9983" max="9983" width="9.6640625" style="36" customWidth="1"/>
    <col min="9984" max="9984" width="107.109375" style="36" customWidth="1"/>
    <col min="9985" max="9985" width="0" style="36" hidden="1" customWidth="1"/>
    <col min="9986" max="9986" width="13.44140625" style="36" customWidth="1"/>
    <col min="9987" max="9987" width="15.44140625" style="36" customWidth="1"/>
    <col min="9988" max="9988" width="6.88671875" style="36" customWidth="1"/>
    <col min="9989" max="9989" width="6.44140625" style="36" customWidth="1"/>
    <col min="9990" max="9990" width="5.33203125" style="36" customWidth="1"/>
    <col min="9991" max="9991" width="6.33203125" style="36" customWidth="1"/>
    <col min="9992" max="9992" width="16" style="36" customWidth="1"/>
    <col min="9993" max="9993" width="12.109375" style="36" customWidth="1"/>
    <col min="9994" max="9994" width="36.109375" style="36" bestFit="1" customWidth="1"/>
    <col min="9995" max="10238" width="9.109375" style="36"/>
    <col min="10239" max="10239" width="9.6640625" style="36" customWidth="1"/>
    <col min="10240" max="10240" width="107.109375" style="36" customWidth="1"/>
    <col min="10241" max="10241" width="0" style="36" hidden="1" customWidth="1"/>
    <col min="10242" max="10242" width="13.44140625" style="36" customWidth="1"/>
    <col min="10243" max="10243" width="15.44140625" style="36" customWidth="1"/>
    <col min="10244" max="10244" width="6.88671875" style="36" customWidth="1"/>
    <col min="10245" max="10245" width="6.44140625" style="36" customWidth="1"/>
    <col min="10246" max="10246" width="5.33203125" style="36" customWidth="1"/>
    <col min="10247" max="10247" width="6.33203125" style="36" customWidth="1"/>
    <col min="10248" max="10248" width="16" style="36" customWidth="1"/>
    <col min="10249" max="10249" width="12.109375" style="36" customWidth="1"/>
    <col min="10250" max="10250" width="36.109375" style="36" bestFit="1" customWidth="1"/>
    <col min="10251" max="10494" width="9.109375" style="36"/>
    <col min="10495" max="10495" width="9.6640625" style="36" customWidth="1"/>
    <col min="10496" max="10496" width="107.109375" style="36" customWidth="1"/>
    <col min="10497" max="10497" width="0" style="36" hidden="1" customWidth="1"/>
    <col min="10498" max="10498" width="13.44140625" style="36" customWidth="1"/>
    <col min="10499" max="10499" width="15.44140625" style="36" customWidth="1"/>
    <col min="10500" max="10500" width="6.88671875" style="36" customWidth="1"/>
    <col min="10501" max="10501" width="6.44140625" style="36" customWidth="1"/>
    <col min="10502" max="10502" width="5.33203125" style="36" customWidth="1"/>
    <col min="10503" max="10503" width="6.33203125" style="36" customWidth="1"/>
    <col min="10504" max="10504" width="16" style="36" customWidth="1"/>
    <col min="10505" max="10505" width="12.109375" style="36" customWidth="1"/>
    <col min="10506" max="10506" width="36.109375" style="36" bestFit="1" customWidth="1"/>
    <col min="10507" max="10750" width="9.109375" style="36"/>
    <col min="10751" max="10751" width="9.6640625" style="36" customWidth="1"/>
    <col min="10752" max="10752" width="107.109375" style="36" customWidth="1"/>
    <col min="10753" max="10753" width="0" style="36" hidden="1" customWidth="1"/>
    <col min="10754" max="10754" width="13.44140625" style="36" customWidth="1"/>
    <col min="10755" max="10755" width="15.44140625" style="36" customWidth="1"/>
    <col min="10756" max="10756" width="6.88671875" style="36" customWidth="1"/>
    <col min="10757" max="10757" width="6.44140625" style="36" customWidth="1"/>
    <col min="10758" max="10758" width="5.33203125" style="36" customWidth="1"/>
    <col min="10759" max="10759" width="6.33203125" style="36" customWidth="1"/>
    <col min="10760" max="10760" width="16" style="36" customWidth="1"/>
    <col min="10761" max="10761" width="12.109375" style="36" customWidth="1"/>
    <col min="10762" max="10762" width="36.109375" style="36" bestFit="1" customWidth="1"/>
    <col min="10763" max="11006" width="9.109375" style="36"/>
    <col min="11007" max="11007" width="9.6640625" style="36" customWidth="1"/>
    <col min="11008" max="11008" width="107.109375" style="36" customWidth="1"/>
    <col min="11009" max="11009" width="0" style="36" hidden="1" customWidth="1"/>
    <col min="11010" max="11010" width="13.44140625" style="36" customWidth="1"/>
    <col min="11011" max="11011" width="15.44140625" style="36" customWidth="1"/>
    <col min="11012" max="11012" width="6.88671875" style="36" customWidth="1"/>
    <col min="11013" max="11013" width="6.44140625" style="36" customWidth="1"/>
    <col min="11014" max="11014" width="5.33203125" style="36" customWidth="1"/>
    <col min="11015" max="11015" width="6.33203125" style="36" customWidth="1"/>
    <col min="11016" max="11016" width="16" style="36" customWidth="1"/>
    <col min="11017" max="11017" width="12.109375" style="36" customWidth="1"/>
    <col min="11018" max="11018" width="36.109375" style="36" bestFit="1" customWidth="1"/>
    <col min="11019" max="11262" width="9.109375" style="36"/>
    <col min="11263" max="11263" width="9.6640625" style="36" customWidth="1"/>
    <col min="11264" max="11264" width="107.109375" style="36" customWidth="1"/>
    <col min="11265" max="11265" width="0" style="36" hidden="1" customWidth="1"/>
    <col min="11266" max="11266" width="13.44140625" style="36" customWidth="1"/>
    <col min="11267" max="11267" width="15.44140625" style="36" customWidth="1"/>
    <col min="11268" max="11268" width="6.88671875" style="36" customWidth="1"/>
    <col min="11269" max="11269" width="6.44140625" style="36" customWidth="1"/>
    <col min="11270" max="11270" width="5.33203125" style="36" customWidth="1"/>
    <col min="11271" max="11271" width="6.33203125" style="36" customWidth="1"/>
    <col min="11272" max="11272" width="16" style="36" customWidth="1"/>
    <col min="11273" max="11273" width="12.109375" style="36" customWidth="1"/>
    <col min="11274" max="11274" width="36.109375" style="36" bestFit="1" customWidth="1"/>
    <col min="11275" max="11518" width="9.109375" style="36"/>
    <col min="11519" max="11519" width="9.6640625" style="36" customWidth="1"/>
    <col min="11520" max="11520" width="107.109375" style="36" customWidth="1"/>
    <col min="11521" max="11521" width="0" style="36" hidden="1" customWidth="1"/>
    <col min="11522" max="11522" width="13.44140625" style="36" customWidth="1"/>
    <col min="11523" max="11523" width="15.44140625" style="36" customWidth="1"/>
    <col min="11524" max="11524" width="6.88671875" style="36" customWidth="1"/>
    <col min="11525" max="11525" width="6.44140625" style="36" customWidth="1"/>
    <col min="11526" max="11526" width="5.33203125" style="36" customWidth="1"/>
    <col min="11527" max="11527" width="6.33203125" style="36" customWidth="1"/>
    <col min="11528" max="11528" width="16" style="36" customWidth="1"/>
    <col min="11529" max="11529" width="12.109375" style="36" customWidth="1"/>
    <col min="11530" max="11530" width="36.109375" style="36" bestFit="1" customWidth="1"/>
    <col min="11531" max="11774" width="9.109375" style="36"/>
    <col min="11775" max="11775" width="9.6640625" style="36" customWidth="1"/>
    <col min="11776" max="11776" width="107.109375" style="36" customWidth="1"/>
    <col min="11777" max="11777" width="0" style="36" hidden="1" customWidth="1"/>
    <col min="11778" max="11778" width="13.44140625" style="36" customWidth="1"/>
    <col min="11779" max="11779" width="15.44140625" style="36" customWidth="1"/>
    <col min="11780" max="11780" width="6.88671875" style="36" customWidth="1"/>
    <col min="11781" max="11781" width="6.44140625" style="36" customWidth="1"/>
    <col min="11782" max="11782" width="5.33203125" style="36" customWidth="1"/>
    <col min="11783" max="11783" width="6.33203125" style="36" customWidth="1"/>
    <col min="11784" max="11784" width="16" style="36" customWidth="1"/>
    <col min="11785" max="11785" width="12.109375" style="36" customWidth="1"/>
    <col min="11786" max="11786" width="36.109375" style="36" bestFit="1" customWidth="1"/>
    <col min="11787" max="12030" width="9.109375" style="36"/>
    <col min="12031" max="12031" width="9.6640625" style="36" customWidth="1"/>
    <col min="12032" max="12032" width="107.109375" style="36" customWidth="1"/>
    <col min="12033" max="12033" width="0" style="36" hidden="1" customWidth="1"/>
    <col min="12034" max="12034" width="13.44140625" style="36" customWidth="1"/>
    <col min="12035" max="12035" width="15.44140625" style="36" customWidth="1"/>
    <col min="12036" max="12036" width="6.88671875" style="36" customWidth="1"/>
    <col min="12037" max="12037" width="6.44140625" style="36" customWidth="1"/>
    <col min="12038" max="12038" width="5.33203125" style="36" customWidth="1"/>
    <col min="12039" max="12039" width="6.33203125" style="36" customWidth="1"/>
    <col min="12040" max="12040" width="16" style="36" customWidth="1"/>
    <col min="12041" max="12041" width="12.109375" style="36" customWidth="1"/>
    <col min="12042" max="12042" width="36.109375" style="36" bestFit="1" customWidth="1"/>
    <col min="12043" max="12286" width="9.109375" style="36"/>
    <col min="12287" max="12287" width="9.6640625" style="36" customWidth="1"/>
    <col min="12288" max="12288" width="107.109375" style="36" customWidth="1"/>
    <col min="12289" max="12289" width="0" style="36" hidden="1" customWidth="1"/>
    <col min="12290" max="12290" width="13.44140625" style="36" customWidth="1"/>
    <col min="12291" max="12291" width="15.44140625" style="36" customWidth="1"/>
    <col min="12292" max="12292" width="6.88671875" style="36" customWidth="1"/>
    <col min="12293" max="12293" width="6.44140625" style="36" customWidth="1"/>
    <col min="12294" max="12294" width="5.33203125" style="36" customWidth="1"/>
    <col min="12295" max="12295" width="6.33203125" style="36" customWidth="1"/>
    <col min="12296" max="12296" width="16" style="36" customWidth="1"/>
    <col min="12297" max="12297" width="12.109375" style="36" customWidth="1"/>
    <col min="12298" max="12298" width="36.109375" style="36" bestFit="1" customWidth="1"/>
    <col min="12299" max="12542" width="9.109375" style="36"/>
    <col min="12543" max="12543" width="9.6640625" style="36" customWidth="1"/>
    <col min="12544" max="12544" width="107.109375" style="36" customWidth="1"/>
    <col min="12545" max="12545" width="0" style="36" hidden="1" customWidth="1"/>
    <col min="12546" max="12546" width="13.44140625" style="36" customWidth="1"/>
    <col min="12547" max="12547" width="15.44140625" style="36" customWidth="1"/>
    <col min="12548" max="12548" width="6.88671875" style="36" customWidth="1"/>
    <col min="12549" max="12549" width="6.44140625" style="36" customWidth="1"/>
    <col min="12550" max="12550" width="5.33203125" style="36" customWidth="1"/>
    <col min="12551" max="12551" width="6.33203125" style="36" customWidth="1"/>
    <col min="12552" max="12552" width="16" style="36" customWidth="1"/>
    <col min="12553" max="12553" width="12.109375" style="36" customWidth="1"/>
    <col min="12554" max="12554" width="36.109375" style="36" bestFit="1" customWidth="1"/>
    <col min="12555" max="12798" width="9.109375" style="36"/>
    <col min="12799" max="12799" width="9.6640625" style="36" customWidth="1"/>
    <col min="12800" max="12800" width="107.109375" style="36" customWidth="1"/>
    <col min="12801" max="12801" width="0" style="36" hidden="1" customWidth="1"/>
    <col min="12802" max="12802" width="13.44140625" style="36" customWidth="1"/>
    <col min="12803" max="12803" width="15.44140625" style="36" customWidth="1"/>
    <col min="12804" max="12804" width="6.88671875" style="36" customWidth="1"/>
    <col min="12805" max="12805" width="6.44140625" style="36" customWidth="1"/>
    <col min="12806" max="12806" width="5.33203125" style="36" customWidth="1"/>
    <col min="12807" max="12807" width="6.33203125" style="36" customWidth="1"/>
    <col min="12808" max="12808" width="16" style="36" customWidth="1"/>
    <col min="12809" max="12809" width="12.109375" style="36" customWidth="1"/>
    <col min="12810" max="12810" width="36.109375" style="36" bestFit="1" customWidth="1"/>
    <col min="12811" max="13054" width="9.109375" style="36"/>
    <col min="13055" max="13055" width="9.6640625" style="36" customWidth="1"/>
    <col min="13056" max="13056" width="107.109375" style="36" customWidth="1"/>
    <col min="13057" max="13057" width="0" style="36" hidden="1" customWidth="1"/>
    <col min="13058" max="13058" width="13.44140625" style="36" customWidth="1"/>
    <col min="13059" max="13059" width="15.44140625" style="36" customWidth="1"/>
    <col min="13060" max="13060" width="6.88671875" style="36" customWidth="1"/>
    <col min="13061" max="13061" width="6.44140625" style="36" customWidth="1"/>
    <col min="13062" max="13062" width="5.33203125" style="36" customWidth="1"/>
    <col min="13063" max="13063" width="6.33203125" style="36" customWidth="1"/>
    <col min="13064" max="13064" width="16" style="36" customWidth="1"/>
    <col min="13065" max="13065" width="12.109375" style="36" customWidth="1"/>
    <col min="13066" max="13066" width="36.109375" style="36" bestFit="1" customWidth="1"/>
    <col min="13067" max="13310" width="9.109375" style="36"/>
    <col min="13311" max="13311" width="9.6640625" style="36" customWidth="1"/>
    <col min="13312" max="13312" width="107.109375" style="36" customWidth="1"/>
    <col min="13313" max="13313" width="0" style="36" hidden="1" customWidth="1"/>
    <col min="13314" max="13314" width="13.44140625" style="36" customWidth="1"/>
    <col min="13315" max="13315" width="15.44140625" style="36" customWidth="1"/>
    <col min="13316" max="13316" width="6.88671875" style="36" customWidth="1"/>
    <col min="13317" max="13317" width="6.44140625" style="36" customWidth="1"/>
    <col min="13318" max="13318" width="5.33203125" style="36" customWidth="1"/>
    <col min="13319" max="13319" width="6.33203125" style="36" customWidth="1"/>
    <col min="13320" max="13320" width="16" style="36" customWidth="1"/>
    <col min="13321" max="13321" width="12.109375" style="36" customWidth="1"/>
    <col min="13322" max="13322" width="36.109375" style="36" bestFit="1" customWidth="1"/>
    <col min="13323" max="13566" width="9.109375" style="36"/>
    <col min="13567" max="13567" width="9.6640625" style="36" customWidth="1"/>
    <col min="13568" max="13568" width="107.109375" style="36" customWidth="1"/>
    <col min="13569" max="13569" width="0" style="36" hidden="1" customWidth="1"/>
    <col min="13570" max="13570" width="13.44140625" style="36" customWidth="1"/>
    <col min="13571" max="13571" width="15.44140625" style="36" customWidth="1"/>
    <col min="13572" max="13572" width="6.88671875" style="36" customWidth="1"/>
    <col min="13573" max="13573" width="6.44140625" style="36" customWidth="1"/>
    <col min="13574" max="13574" width="5.33203125" style="36" customWidth="1"/>
    <col min="13575" max="13575" width="6.33203125" style="36" customWidth="1"/>
    <col min="13576" max="13576" width="16" style="36" customWidth="1"/>
    <col min="13577" max="13577" width="12.109375" style="36" customWidth="1"/>
    <col min="13578" max="13578" width="36.109375" style="36" bestFit="1" customWidth="1"/>
    <col min="13579" max="13822" width="9.109375" style="36"/>
    <col min="13823" max="13823" width="9.6640625" style="36" customWidth="1"/>
    <col min="13824" max="13824" width="107.109375" style="36" customWidth="1"/>
    <col min="13825" max="13825" width="0" style="36" hidden="1" customWidth="1"/>
    <col min="13826" max="13826" width="13.44140625" style="36" customWidth="1"/>
    <col min="13827" max="13827" width="15.44140625" style="36" customWidth="1"/>
    <col min="13828" max="13828" width="6.88671875" style="36" customWidth="1"/>
    <col min="13829" max="13829" width="6.44140625" style="36" customWidth="1"/>
    <col min="13830" max="13830" width="5.33203125" style="36" customWidth="1"/>
    <col min="13831" max="13831" width="6.33203125" style="36" customWidth="1"/>
    <col min="13832" max="13832" width="16" style="36" customWidth="1"/>
    <col min="13833" max="13833" width="12.109375" style="36" customWidth="1"/>
    <col min="13834" max="13834" width="36.109375" style="36" bestFit="1" customWidth="1"/>
    <col min="13835" max="14078" width="9.109375" style="36"/>
    <col min="14079" max="14079" width="9.6640625" style="36" customWidth="1"/>
    <col min="14080" max="14080" width="107.109375" style="36" customWidth="1"/>
    <col min="14081" max="14081" width="0" style="36" hidden="1" customWidth="1"/>
    <col min="14082" max="14082" width="13.44140625" style="36" customWidth="1"/>
    <col min="14083" max="14083" width="15.44140625" style="36" customWidth="1"/>
    <col min="14084" max="14084" width="6.88671875" style="36" customWidth="1"/>
    <col min="14085" max="14085" width="6.44140625" style="36" customWidth="1"/>
    <col min="14086" max="14086" width="5.33203125" style="36" customWidth="1"/>
    <col min="14087" max="14087" width="6.33203125" style="36" customWidth="1"/>
    <col min="14088" max="14088" width="16" style="36" customWidth="1"/>
    <col min="14089" max="14089" width="12.109375" style="36" customWidth="1"/>
    <col min="14090" max="14090" width="36.109375" style="36" bestFit="1" customWidth="1"/>
    <col min="14091" max="14334" width="9.109375" style="36"/>
    <col min="14335" max="14335" width="9.6640625" style="36" customWidth="1"/>
    <col min="14336" max="14336" width="107.109375" style="36" customWidth="1"/>
    <col min="14337" max="14337" width="0" style="36" hidden="1" customWidth="1"/>
    <col min="14338" max="14338" width="13.44140625" style="36" customWidth="1"/>
    <col min="14339" max="14339" width="15.44140625" style="36" customWidth="1"/>
    <col min="14340" max="14340" width="6.88671875" style="36" customWidth="1"/>
    <col min="14341" max="14341" width="6.44140625" style="36" customWidth="1"/>
    <col min="14342" max="14342" width="5.33203125" style="36" customWidth="1"/>
    <col min="14343" max="14343" width="6.33203125" style="36" customWidth="1"/>
    <col min="14344" max="14344" width="16" style="36" customWidth="1"/>
    <col min="14345" max="14345" width="12.109375" style="36" customWidth="1"/>
    <col min="14346" max="14346" width="36.109375" style="36" bestFit="1" customWidth="1"/>
    <col min="14347" max="14590" width="9.109375" style="36"/>
    <col min="14591" max="14591" width="9.6640625" style="36" customWidth="1"/>
    <col min="14592" max="14592" width="107.109375" style="36" customWidth="1"/>
    <col min="14593" max="14593" width="0" style="36" hidden="1" customWidth="1"/>
    <col min="14594" max="14594" width="13.44140625" style="36" customWidth="1"/>
    <col min="14595" max="14595" width="15.44140625" style="36" customWidth="1"/>
    <col min="14596" max="14596" width="6.88671875" style="36" customWidth="1"/>
    <col min="14597" max="14597" width="6.44140625" style="36" customWidth="1"/>
    <col min="14598" max="14598" width="5.33203125" style="36" customWidth="1"/>
    <col min="14599" max="14599" width="6.33203125" style="36" customWidth="1"/>
    <col min="14600" max="14600" width="16" style="36" customWidth="1"/>
    <col min="14601" max="14601" width="12.109375" style="36" customWidth="1"/>
    <col min="14602" max="14602" width="36.109375" style="36" bestFit="1" customWidth="1"/>
    <col min="14603" max="14846" width="9.109375" style="36"/>
    <col min="14847" max="14847" width="9.6640625" style="36" customWidth="1"/>
    <col min="14848" max="14848" width="107.109375" style="36" customWidth="1"/>
    <col min="14849" max="14849" width="0" style="36" hidden="1" customWidth="1"/>
    <col min="14850" max="14850" width="13.44140625" style="36" customWidth="1"/>
    <col min="14851" max="14851" width="15.44140625" style="36" customWidth="1"/>
    <col min="14852" max="14852" width="6.88671875" style="36" customWidth="1"/>
    <col min="14853" max="14853" width="6.44140625" style="36" customWidth="1"/>
    <col min="14854" max="14854" width="5.33203125" style="36" customWidth="1"/>
    <col min="14855" max="14855" width="6.33203125" style="36" customWidth="1"/>
    <col min="14856" max="14856" width="16" style="36" customWidth="1"/>
    <col min="14857" max="14857" width="12.109375" style="36" customWidth="1"/>
    <col min="14858" max="14858" width="36.109375" style="36" bestFit="1" customWidth="1"/>
    <col min="14859" max="15102" width="9.109375" style="36"/>
    <col min="15103" max="15103" width="9.6640625" style="36" customWidth="1"/>
    <col min="15104" max="15104" width="107.109375" style="36" customWidth="1"/>
    <col min="15105" max="15105" width="0" style="36" hidden="1" customWidth="1"/>
    <col min="15106" max="15106" width="13.44140625" style="36" customWidth="1"/>
    <col min="15107" max="15107" width="15.44140625" style="36" customWidth="1"/>
    <col min="15108" max="15108" width="6.88671875" style="36" customWidth="1"/>
    <col min="15109" max="15109" width="6.44140625" style="36" customWidth="1"/>
    <col min="15110" max="15110" width="5.33203125" style="36" customWidth="1"/>
    <col min="15111" max="15111" width="6.33203125" style="36" customWidth="1"/>
    <col min="15112" max="15112" width="16" style="36" customWidth="1"/>
    <col min="15113" max="15113" width="12.109375" style="36" customWidth="1"/>
    <col min="15114" max="15114" width="36.109375" style="36" bestFit="1" customWidth="1"/>
    <col min="15115" max="15358" width="9.109375" style="36"/>
    <col min="15359" max="15359" width="9.6640625" style="36" customWidth="1"/>
    <col min="15360" max="15360" width="107.109375" style="36" customWidth="1"/>
    <col min="15361" max="15361" width="0" style="36" hidden="1" customWidth="1"/>
    <col min="15362" max="15362" width="13.44140625" style="36" customWidth="1"/>
    <col min="15363" max="15363" width="15.44140625" style="36" customWidth="1"/>
    <col min="15364" max="15364" width="6.88671875" style="36" customWidth="1"/>
    <col min="15365" max="15365" width="6.44140625" style="36" customWidth="1"/>
    <col min="15366" max="15366" width="5.33203125" style="36" customWidth="1"/>
    <col min="15367" max="15367" width="6.33203125" style="36" customWidth="1"/>
    <col min="15368" max="15368" width="16" style="36" customWidth="1"/>
    <col min="15369" max="15369" width="12.109375" style="36" customWidth="1"/>
    <col min="15370" max="15370" width="36.109375" style="36" bestFit="1" customWidth="1"/>
    <col min="15371" max="15614" width="9.109375" style="36"/>
    <col min="15615" max="15615" width="9.6640625" style="36" customWidth="1"/>
    <col min="15616" max="15616" width="107.109375" style="36" customWidth="1"/>
    <col min="15617" max="15617" width="0" style="36" hidden="1" customWidth="1"/>
    <col min="15618" max="15618" width="13.44140625" style="36" customWidth="1"/>
    <col min="15619" max="15619" width="15.44140625" style="36" customWidth="1"/>
    <col min="15620" max="15620" width="6.88671875" style="36" customWidth="1"/>
    <col min="15621" max="15621" width="6.44140625" style="36" customWidth="1"/>
    <col min="15622" max="15622" width="5.33203125" style="36" customWidth="1"/>
    <col min="15623" max="15623" width="6.33203125" style="36" customWidth="1"/>
    <col min="15624" max="15624" width="16" style="36" customWidth="1"/>
    <col min="15625" max="15625" width="12.109375" style="36" customWidth="1"/>
    <col min="15626" max="15626" width="36.109375" style="36" bestFit="1" customWidth="1"/>
    <col min="15627" max="15870" width="9.109375" style="36"/>
    <col min="15871" max="15871" width="9.6640625" style="36" customWidth="1"/>
    <col min="15872" max="15872" width="107.109375" style="36" customWidth="1"/>
    <col min="15873" max="15873" width="0" style="36" hidden="1" customWidth="1"/>
    <col min="15874" max="15874" width="13.44140625" style="36" customWidth="1"/>
    <col min="15875" max="15875" width="15.44140625" style="36" customWidth="1"/>
    <col min="15876" max="15876" width="6.88671875" style="36" customWidth="1"/>
    <col min="15877" max="15877" width="6.44140625" style="36" customWidth="1"/>
    <col min="15878" max="15878" width="5.33203125" style="36" customWidth="1"/>
    <col min="15879" max="15879" width="6.33203125" style="36" customWidth="1"/>
    <col min="15880" max="15880" width="16" style="36" customWidth="1"/>
    <col min="15881" max="15881" width="12.109375" style="36" customWidth="1"/>
    <col min="15882" max="15882" width="36.109375" style="36" bestFit="1" customWidth="1"/>
    <col min="15883" max="16126" width="9.109375" style="36"/>
    <col min="16127" max="16127" width="9.6640625" style="36" customWidth="1"/>
    <col min="16128" max="16128" width="107.109375" style="36" customWidth="1"/>
    <col min="16129" max="16129" width="0" style="36" hidden="1" customWidth="1"/>
    <col min="16130" max="16130" width="13.44140625" style="36" customWidth="1"/>
    <col min="16131" max="16131" width="15.44140625" style="36" customWidth="1"/>
    <col min="16132" max="16132" width="6.88671875" style="36" customWidth="1"/>
    <col min="16133" max="16133" width="6.44140625" style="36" customWidth="1"/>
    <col min="16134" max="16134" width="5.33203125" style="36" customWidth="1"/>
    <col min="16135" max="16135" width="6.33203125" style="36" customWidth="1"/>
    <col min="16136" max="16136" width="16" style="36" customWidth="1"/>
    <col min="16137" max="16137" width="12.109375" style="36" customWidth="1"/>
    <col min="16138" max="16138" width="36.109375" style="36" bestFit="1" customWidth="1"/>
    <col min="16139" max="16382" width="9.109375" style="36"/>
    <col min="16383" max="16384" width="9.109375" style="36" customWidth="1"/>
  </cols>
  <sheetData>
    <row r="1" spans="1:12" s="7" customFormat="1" ht="19.95" customHeight="1">
      <c r="A1" s="326" t="s">
        <v>143</v>
      </c>
      <c r="B1" s="326"/>
      <c r="C1" s="326"/>
      <c r="D1" s="326"/>
      <c r="E1" s="326"/>
      <c r="F1" s="326"/>
      <c r="G1" s="326"/>
      <c r="H1" s="326"/>
      <c r="I1" s="326"/>
    </row>
    <row r="2" spans="1:12" s="7" customFormat="1" ht="19.95" customHeight="1">
      <c r="A2" s="327" t="s">
        <v>144</v>
      </c>
      <c r="B2" s="327"/>
      <c r="C2" s="327"/>
      <c r="D2" s="327"/>
      <c r="E2" s="327"/>
      <c r="F2" s="327"/>
      <c r="G2" s="327"/>
      <c r="H2" s="327"/>
      <c r="I2" s="327"/>
    </row>
    <row r="3" spans="1:12" s="8" customFormat="1" ht="19.95" customHeight="1">
      <c r="A3" s="8" t="str">
        <f>底稿目录!A2</f>
        <v>被审计单位：</v>
      </c>
      <c r="C3" s="8" t="str">
        <f>底稿目录!A4</f>
        <v>编制人：</v>
      </c>
      <c r="E3" s="8" t="str">
        <f>底稿目录!A5</f>
        <v>编制日期：</v>
      </c>
      <c r="H3" s="201" t="s">
        <v>210</v>
      </c>
      <c r="I3" s="302" t="str">
        <f>底稿目录!D5</f>
        <v>K6A</v>
      </c>
    </row>
    <row r="4" spans="1:12" s="8" customFormat="1" ht="19.95" customHeight="1">
      <c r="A4" s="8" t="str">
        <f>底稿目录!A3</f>
        <v>截止日：202X年12月31日</v>
      </c>
      <c r="C4" s="129" t="str">
        <f>底稿目录!A6</f>
        <v>复核人：</v>
      </c>
      <c r="E4" s="8" t="str">
        <f>底稿目录!A7</f>
        <v>复核日期：</v>
      </c>
      <c r="H4" s="33" t="s">
        <v>7</v>
      </c>
      <c r="I4" s="119"/>
    </row>
    <row r="5" spans="1:12" ht="19.95" customHeight="1">
      <c r="A5" s="328" t="s">
        <v>223</v>
      </c>
      <c r="B5" s="328"/>
    </row>
    <row r="6" spans="1:12" ht="19.95" customHeight="1">
      <c r="A6" s="293" t="s">
        <v>242</v>
      </c>
      <c r="B6" s="222"/>
      <c r="C6" s="222"/>
      <c r="D6" s="222"/>
      <c r="E6" s="222"/>
      <c r="F6" s="222"/>
      <c r="G6" s="222"/>
      <c r="H6" s="222"/>
      <c r="I6" s="222"/>
    </row>
    <row r="7" spans="1:12" s="8" customFormat="1" ht="19.95" customHeight="1">
      <c r="A7" s="223" t="s">
        <v>224</v>
      </c>
      <c r="B7" s="224"/>
      <c r="C7" s="225"/>
      <c r="D7" s="221"/>
      <c r="E7" s="221"/>
      <c r="F7" s="221"/>
      <c r="G7" s="221"/>
      <c r="H7" s="221"/>
      <c r="I7" s="221"/>
    </row>
    <row r="8" spans="1:12" s="8" customFormat="1" ht="19.95" customHeight="1">
      <c r="A8" s="316" t="s">
        <v>225</v>
      </c>
      <c r="B8" s="316"/>
      <c r="C8" s="316"/>
      <c r="D8" s="316"/>
      <c r="E8" s="316"/>
      <c r="F8" s="316"/>
      <c r="G8" s="329" t="s">
        <v>145</v>
      </c>
      <c r="H8" s="329"/>
      <c r="I8" s="329"/>
    </row>
    <row r="9" spans="1:12" s="8" customFormat="1" ht="19.95" customHeight="1">
      <c r="A9" s="331" t="s">
        <v>365</v>
      </c>
      <c r="B9" s="331"/>
      <c r="C9" s="331"/>
      <c r="D9" s="331"/>
      <c r="E9" s="331"/>
      <c r="F9" s="331"/>
      <c r="G9" s="330" t="s">
        <v>226</v>
      </c>
      <c r="H9" s="330"/>
      <c r="I9" s="330"/>
    </row>
    <row r="10" spans="1:12" s="8" customFormat="1" ht="19.95" customHeight="1">
      <c r="A10" s="331" t="s">
        <v>366</v>
      </c>
      <c r="B10" s="331"/>
      <c r="C10" s="331"/>
      <c r="D10" s="331"/>
      <c r="E10" s="331"/>
      <c r="F10" s="331"/>
      <c r="G10" s="330" t="s">
        <v>227</v>
      </c>
      <c r="H10" s="330"/>
      <c r="I10" s="330"/>
    </row>
    <row r="11" spans="1:12" s="8" customFormat="1" ht="19.95" customHeight="1">
      <c r="A11" s="331" t="s">
        <v>394</v>
      </c>
      <c r="B11" s="331"/>
      <c r="C11" s="331"/>
      <c r="D11" s="331"/>
      <c r="E11" s="331"/>
      <c r="F11" s="331"/>
      <c r="G11" s="330" t="s">
        <v>228</v>
      </c>
      <c r="H11" s="330"/>
      <c r="I11" s="330"/>
    </row>
    <row r="12" spans="1:12" s="8" customFormat="1" ht="19.95" customHeight="1">
      <c r="A12" s="331" t="s">
        <v>395</v>
      </c>
      <c r="B12" s="331"/>
      <c r="C12" s="331"/>
      <c r="D12" s="331"/>
      <c r="E12" s="331"/>
      <c r="F12" s="331"/>
      <c r="G12" s="330" t="s">
        <v>243</v>
      </c>
      <c r="H12" s="330"/>
      <c r="I12" s="330"/>
    </row>
    <row r="13" spans="1:12" s="8" customFormat="1" ht="19.95" customHeight="1">
      <c r="A13" s="331" t="s">
        <v>396</v>
      </c>
      <c r="B13" s="331"/>
      <c r="C13" s="331"/>
      <c r="D13" s="331"/>
      <c r="E13" s="331"/>
      <c r="F13" s="331"/>
      <c r="G13" s="330" t="s">
        <v>248</v>
      </c>
      <c r="H13" s="330"/>
      <c r="I13" s="330"/>
    </row>
    <row r="14" spans="1:12" s="8" customFormat="1" ht="19.95" customHeight="1">
      <c r="A14" s="317" t="s">
        <v>147</v>
      </c>
      <c r="B14" s="318"/>
      <c r="C14" s="308"/>
      <c r="D14" s="309"/>
      <c r="E14" s="309"/>
      <c r="F14" s="309"/>
      <c r="G14" s="310"/>
      <c r="H14" s="309"/>
      <c r="I14" s="309"/>
      <c r="J14" s="294"/>
      <c r="K14" s="295"/>
      <c r="L14" s="295"/>
    </row>
    <row r="15" spans="1:12" s="121" customFormat="1" ht="22.2" customHeight="1">
      <c r="A15" s="321" t="s">
        <v>229</v>
      </c>
      <c r="B15" s="323" t="s">
        <v>407</v>
      </c>
      <c r="C15" s="324" t="s">
        <v>230</v>
      </c>
      <c r="D15" s="319" t="s">
        <v>231</v>
      </c>
      <c r="E15" s="320"/>
      <c r="F15" s="320"/>
      <c r="G15" s="320"/>
      <c r="H15" s="320"/>
      <c r="I15" s="316" t="s">
        <v>232</v>
      </c>
      <c r="J15" s="120"/>
      <c r="K15" s="120"/>
      <c r="L15" s="120"/>
    </row>
    <row r="16" spans="1:12" s="121" customFormat="1" ht="33.6" customHeight="1">
      <c r="A16" s="322"/>
      <c r="B16" s="323"/>
      <c r="C16" s="325"/>
      <c r="D16" s="226" t="s">
        <v>233</v>
      </c>
      <c r="E16" s="226" t="s">
        <v>234</v>
      </c>
      <c r="F16" s="227" t="s">
        <v>235</v>
      </c>
      <c r="G16" s="227" t="s">
        <v>243</v>
      </c>
      <c r="H16" s="227" t="s">
        <v>249</v>
      </c>
      <c r="I16" s="316"/>
      <c r="J16" s="313" t="s">
        <v>406</v>
      </c>
      <c r="K16" s="120"/>
      <c r="L16" s="120"/>
    </row>
    <row r="17" spans="1:13" s="123" customFormat="1" ht="52.2" customHeight="1">
      <c r="A17" s="230" t="s">
        <v>375</v>
      </c>
      <c r="B17" s="232" t="s">
        <v>367</v>
      </c>
      <c r="C17" s="234" t="s">
        <v>236</v>
      </c>
      <c r="D17" s="239" t="s">
        <v>368</v>
      </c>
      <c r="E17" s="239" t="s">
        <v>146</v>
      </c>
      <c r="F17" s="238"/>
      <c r="G17" s="244" t="s">
        <v>368</v>
      </c>
      <c r="H17" s="238"/>
      <c r="I17" s="229" t="s">
        <v>380</v>
      </c>
      <c r="J17" s="122"/>
      <c r="L17" s="124"/>
      <c r="M17" s="125"/>
    </row>
    <row r="18" spans="1:13" s="130" customFormat="1" ht="49.8" customHeight="1">
      <c r="A18" s="230" t="s">
        <v>237</v>
      </c>
      <c r="B18" s="233" t="s">
        <v>244</v>
      </c>
      <c r="C18" s="234" t="s">
        <v>236</v>
      </c>
      <c r="D18" s="241"/>
      <c r="E18" s="242" t="s">
        <v>251</v>
      </c>
      <c r="F18" s="241"/>
      <c r="G18" s="239" t="s">
        <v>251</v>
      </c>
      <c r="H18" s="243"/>
      <c r="I18" s="240" t="s">
        <v>149</v>
      </c>
      <c r="J18" s="262" t="s">
        <v>304</v>
      </c>
    </row>
    <row r="19" spans="1:13" ht="49.8" customHeight="1">
      <c r="A19" s="230" t="s">
        <v>376</v>
      </c>
      <c r="B19" s="233" t="s">
        <v>370</v>
      </c>
      <c r="C19" s="237" t="s">
        <v>247</v>
      </c>
      <c r="D19" s="244" t="s">
        <v>146</v>
      </c>
      <c r="E19" s="239" t="s">
        <v>146</v>
      </c>
      <c r="F19" s="239"/>
      <c r="G19" s="239" t="s">
        <v>369</v>
      </c>
      <c r="H19" s="243"/>
      <c r="I19" s="229"/>
      <c r="J19" s="263" t="s">
        <v>305</v>
      </c>
      <c r="L19" s="124"/>
      <c r="M19" s="126"/>
    </row>
    <row r="20" spans="1:13" ht="28.8" customHeight="1">
      <c r="A20" s="230" t="s">
        <v>377</v>
      </c>
      <c r="B20" s="233" t="s">
        <v>245</v>
      </c>
      <c r="C20" s="237" t="s">
        <v>148</v>
      </c>
      <c r="D20" s="239" t="s">
        <v>252</v>
      </c>
      <c r="E20" s="239" t="s">
        <v>252</v>
      </c>
      <c r="F20" s="238"/>
      <c r="G20" s="239" t="s">
        <v>252</v>
      </c>
      <c r="H20" s="238"/>
      <c r="I20" s="229" t="s">
        <v>380</v>
      </c>
      <c r="J20" s="122"/>
      <c r="L20" s="124"/>
      <c r="M20" s="126"/>
    </row>
    <row r="21" spans="1:13" s="123" customFormat="1" ht="228" customHeight="1">
      <c r="A21" s="230" t="s">
        <v>240</v>
      </c>
      <c r="B21" s="232" t="s">
        <v>371</v>
      </c>
      <c r="C21" s="234" t="s">
        <v>236</v>
      </c>
      <c r="D21" s="244" t="s">
        <v>250</v>
      </c>
      <c r="E21" s="239"/>
      <c r="F21" s="239" t="s">
        <v>250</v>
      </c>
      <c r="G21" s="244" t="s">
        <v>250</v>
      </c>
      <c r="H21" s="238"/>
      <c r="I21" s="229" t="s">
        <v>381</v>
      </c>
      <c r="J21" s="122"/>
      <c r="L21" s="124"/>
      <c r="M21" s="125"/>
    </row>
    <row r="22" spans="1:13" ht="53.4" customHeight="1">
      <c r="A22" s="230" t="s">
        <v>241</v>
      </c>
      <c r="B22" s="231" t="s">
        <v>372</v>
      </c>
      <c r="C22" s="235" t="s">
        <v>239</v>
      </c>
      <c r="D22" s="239" t="s">
        <v>250</v>
      </c>
      <c r="E22" s="228"/>
      <c r="F22" s="239" t="s">
        <v>146</v>
      </c>
      <c r="G22" s="239" t="s">
        <v>268</v>
      </c>
      <c r="H22" s="239" t="s">
        <v>146</v>
      </c>
      <c r="I22" s="229"/>
      <c r="J22" s="122"/>
      <c r="L22" s="124"/>
      <c r="M22" s="126"/>
    </row>
    <row r="23" spans="1:13" ht="39" customHeight="1">
      <c r="A23" s="230" t="s">
        <v>378</v>
      </c>
      <c r="B23" s="296" t="s">
        <v>373</v>
      </c>
      <c r="C23" s="239" t="s">
        <v>379</v>
      </c>
      <c r="D23" s="220"/>
      <c r="E23" s="220"/>
      <c r="F23" s="220"/>
      <c r="G23" s="220"/>
      <c r="H23" s="245"/>
      <c r="I23" s="229"/>
      <c r="J23" s="122"/>
      <c r="L23" s="124"/>
      <c r="M23" s="126"/>
    </row>
    <row r="24" spans="1:13" s="124" customFormat="1" ht="39.6" customHeight="1">
      <c r="A24" s="230" t="s">
        <v>246</v>
      </c>
      <c r="B24" s="296" t="s">
        <v>374</v>
      </c>
      <c r="C24" s="236" t="s">
        <v>238</v>
      </c>
      <c r="D24" s="228"/>
      <c r="E24" s="228"/>
      <c r="F24" s="228"/>
      <c r="G24" s="228"/>
      <c r="H24" s="239" t="s">
        <v>269</v>
      </c>
      <c r="I24" s="245" t="s">
        <v>306</v>
      </c>
      <c r="M24" s="125"/>
    </row>
    <row r="25" spans="1:13">
      <c r="B25" s="36"/>
    </row>
    <row r="26" spans="1:13">
      <c r="B26" s="36"/>
    </row>
    <row r="27" spans="1:13">
      <c r="B27" s="36"/>
    </row>
    <row r="28" spans="1:13">
      <c r="B28" s="36"/>
    </row>
    <row r="29" spans="1:13">
      <c r="B29" s="36"/>
    </row>
    <row r="30" spans="1:13">
      <c r="B30" s="36"/>
    </row>
    <row r="31" spans="1:13">
      <c r="B31" s="36"/>
    </row>
    <row r="32" spans="1:13">
      <c r="B32" s="36"/>
    </row>
    <row r="33" spans="2:2">
      <c r="B33" s="36"/>
    </row>
    <row r="34" spans="2:2">
      <c r="B34" s="36"/>
    </row>
    <row r="35" spans="2:2">
      <c r="B35" s="36"/>
    </row>
    <row r="36" spans="2:2">
      <c r="B36" s="36"/>
    </row>
    <row r="37" spans="2:2">
      <c r="B37" s="36"/>
    </row>
    <row r="38" spans="2:2">
      <c r="B38" s="36"/>
    </row>
    <row r="39" spans="2:2">
      <c r="B39" s="36"/>
    </row>
    <row r="40" spans="2:2">
      <c r="B40" s="36"/>
    </row>
    <row r="41" spans="2:2">
      <c r="B41" s="36"/>
    </row>
    <row r="42" spans="2:2">
      <c r="B42" s="36"/>
    </row>
    <row r="43" spans="2:2">
      <c r="B43" s="36"/>
    </row>
    <row r="44" spans="2:2">
      <c r="B44" s="36"/>
    </row>
    <row r="45" spans="2:2">
      <c r="B45" s="36"/>
    </row>
    <row r="46" spans="2:2">
      <c r="B46" s="36"/>
    </row>
    <row r="47" spans="2:2">
      <c r="B47" s="36"/>
    </row>
    <row r="48" spans="2:2">
      <c r="B48" s="36"/>
    </row>
    <row r="49" spans="2:2">
      <c r="B49" s="36"/>
    </row>
    <row r="50" spans="2:2">
      <c r="B50" s="36"/>
    </row>
    <row r="51" spans="2:2">
      <c r="B51" s="36"/>
    </row>
    <row r="52" spans="2:2">
      <c r="B52" s="36"/>
    </row>
    <row r="53" spans="2:2">
      <c r="B53" s="36"/>
    </row>
    <row r="54" spans="2:2">
      <c r="B54" s="36"/>
    </row>
    <row r="55" spans="2:2">
      <c r="B55" s="36"/>
    </row>
    <row r="56" spans="2:2">
      <c r="B56" s="36"/>
    </row>
    <row r="57" spans="2:2">
      <c r="B57" s="36"/>
    </row>
    <row r="58" spans="2:2">
      <c r="B58" s="36"/>
    </row>
    <row r="59" spans="2:2">
      <c r="B59" s="36"/>
    </row>
    <row r="60" spans="2:2">
      <c r="B60" s="36"/>
    </row>
    <row r="61" spans="2:2">
      <c r="B61" s="36"/>
    </row>
    <row r="62" spans="2:2">
      <c r="B62" s="36"/>
    </row>
    <row r="63" spans="2:2">
      <c r="B63" s="36"/>
    </row>
    <row r="64" spans="2:2">
      <c r="B64" s="36"/>
    </row>
    <row r="65" spans="2:2">
      <c r="B65" s="36"/>
    </row>
    <row r="66" spans="2:2">
      <c r="B66" s="36"/>
    </row>
    <row r="67" spans="2:2">
      <c r="B67" s="36"/>
    </row>
    <row r="68" spans="2:2">
      <c r="B68" s="36"/>
    </row>
    <row r="69" spans="2:2">
      <c r="B69" s="36"/>
    </row>
    <row r="70" spans="2:2">
      <c r="B70" s="36"/>
    </row>
    <row r="71" spans="2:2">
      <c r="B71" s="36"/>
    </row>
    <row r="72" spans="2:2">
      <c r="B72" s="36"/>
    </row>
    <row r="73" spans="2:2">
      <c r="B73" s="36"/>
    </row>
    <row r="74" spans="2:2">
      <c r="B74" s="36"/>
    </row>
    <row r="75" spans="2:2">
      <c r="B75" s="36"/>
    </row>
    <row r="76" spans="2:2">
      <c r="B76" s="36"/>
    </row>
    <row r="77" spans="2:2">
      <c r="B77" s="36"/>
    </row>
    <row r="78" spans="2:2">
      <c r="B78" s="36"/>
    </row>
    <row r="79" spans="2:2">
      <c r="B79" s="36"/>
    </row>
    <row r="80" spans="2:2">
      <c r="B80" s="36"/>
    </row>
    <row r="81" spans="2:2">
      <c r="B81" s="36"/>
    </row>
    <row r="82" spans="2:2">
      <c r="B82" s="36"/>
    </row>
    <row r="83" spans="2:2">
      <c r="B83" s="36"/>
    </row>
    <row r="84" spans="2:2">
      <c r="B84" s="36"/>
    </row>
    <row r="85" spans="2:2">
      <c r="B85" s="36"/>
    </row>
    <row r="86" spans="2:2">
      <c r="B86" s="36"/>
    </row>
    <row r="87" spans="2:2">
      <c r="B87" s="36"/>
    </row>
    <row r="88" spans="2:2">
      <c r="B88" s="36"/>
    </row>
    <row r="89" spans="2:2">
      <c r="B89" s="36"/>
    </row>
    <row r="90" spans="2:2">
      <c r="B90" s="36"/>
    </row>
    <row r="91" spans="2:2">
      <c r="B91" s="36"/>
    </row>
    <row r="92" spans="2:2">
      <c r="B92" s="36"/>
    </row>
    <row r="93" spans="2:2">
      <c r="B93" s="36"/>
    </row>
    <row r="94" spans="2:2">
      <c r="B94" s="36"/>
    </row>
    <row r="95" spans="2:2">
      <c r="B95" s="36"/>
    </row>
    <row r="96" spans="2:2">
      <c r="B96" s="36"/>
    </row>
    <row r="97" spans="2:2">
      <c r="B97" s="36"/>
    </row>
    <row r="98" spans="2:2">
      <c r="B98" s="36"/>
    </row>
    <row r="99" spans="2:2">
      <c r="B99" s="36"/>
    </row>
    <row r="100" spans="2:2">
      <c r="B100" s="36"/>
    </row>
    <row r="101" spans="2:2">
      <c r="B101" s="36"/>
    </row>
    <row r="102" spans="2:2">
      <c r="B102" s="36"/>
    </row>
    <row r="103" spans="2:2">
      <c r="B103" s="36"/>
    </row>
    <row r="104" spans="2:2">
      <c r="B104" s="36"/>
    </row>
    <row r="105" spans="2:2">
      <c r="B105" s="36"/>
    </row>
    <row r="106" spans="2:2">
      <c r="B106" s="36"/>
    </row>
    <row r="107" spans="2:2">
      <c r="B107" s="36"/>
    </row>
    <row r="108" spans="2:2">
      <c r="B108" s="36"/>
    </row>
    <row r="109" spans="2:2">
      <c r="B109" s="36"/>
    </row>
    <row r="110" spans="2:2">
      <c r="B110" s="36"/>
    </row>
    <row r="111" spans="2:2">
      <c r="B111" s="36"/>
    </row>
    <row r="112" spans="2:2">
      <c r="B112" s="36"/>
    </row>
    <row r="113" spans="2:2">
      <c r="B113" s="36"/>
    </row>
    <row r="114" spans="2:2">
      <c r="B114" s="36"/>
    </row>
    <row r="115" spans="2:2">
      <c r="B115" s="36"/>
    </row>
    <row r="116" spans="2:2">
      <c r="B116" s="36"/>
    </row>
    <row r="117" spans="2:2">
      <c r="B117" s="36"/>
    </row>
    <row r="118" spans="2:2">
      <c r="B118" s="36"/>
    </row>
    <row r="119" spans="2:2">
      <c r="B119" s="36"/>
    </row>
    <row r="120" spans="2:2">
      <c r="B120" s="36"/>
    </row>
    <row r="121" spans="2:2">
      <c r="B121" s="36"/>
    </row>
    <row r="122" spans="2:2">
      <c r="B122" s="36"/>
    </row>
    <row r="123" spans="2:2">
      <c r="B123" s="36"/>
    </row>
    <row r="124" spans="2:2">
      <c r="B124" s="36"/>
    </row>
    <row r="125" spans="2:2">
      <c r="B125" s="36"/>
    </row>
    <row r="126" spans="2:2">
      <c r="B126" s="36"/>
    </row>
    <row r="127" spans="2:2">
      <c r="B127" s="36"/>
    </row>
    <row r="128" spans="2:2">
      <c r="B128" s="36"/>
    </row>
    <row r="129" spans="2:2">
      <c r="B129" s="36"/>
    </row>
    <row r="130" spans="2:2">
      <c r="B130" s="36"/>
    </row>
    <row r="131" spans="2:2">
      <c r="B131" s="36"/>
    </row>
    <row r="132" spans="2:2">
      <c r="B132" s="36"/>
    </row>
    <row r="133" spans="2:2">
      <c r="B133" s="36"/>
    </row>
    <row r="134" spans="2:2">
      <c r="B134" s="36"/>
    </row>
    <row r="135" spans="2:2">
      <c r="B135" s="36"/>
    </row>
    <row r="136" spans="2:2">
      <c r="B136" s="36"/>
    </row>
    <row r="137" spans="2:2">
      <c r="B137" s="36"/>
    </row>
    <row r="138" spans="2:2">
      <c r="B138" s="36"/>
    </row>
    <row r="139" spans="2:2">
      <c r="B139" s="36"/>
    </row>
    <row r="140" spans="2:2">
      <c r="B140" s="36"/>
    </row>
    <row r="141" spans="2:2">
      <c r="B141" s="36"/>
    </row>
    <row r="142" spans="2:2">
      <c r="B142" s="36"/>
    </row>
    <row r="143" spans="2:2">
      <c r="B143" s="36"/>
    </row>
    <row r="144" spans="2:2">
      <c r="B144" s="36"/>
    </row>
    <row r="145" spans="2:2">
      <c r="B145" s="36"/>
    </row>
    <row r="146" spans="2:2">
      <c r="B146" s="36"/>
    </row>
    <row r="147" spans="2:2">
      <c r="B147" s="36"/>
    </row>
    <row r="148" spans="2:2">
      <c r="B148" s="36"/>
    </row>
    <row r="149" spans="2:2">
      <c r="B149" s="36"/>
    </row>
    <row r="150" spans="2:2">
      <c r="B150" s="36"/>
    </row>
    <row r="151" spans="2:2">
      <c r="B151" s="36"/>
    </row>
    <row r="152" spans="2:2">
      <c r="B152" s="36"/>
    </row>
    <row r="153" spans="2:2">
      <c r="B153" s="36"/>
    </row>
    <row r="154" spans="2:2">
      <c r="B154" s="36"/>
    </row>
    <row r="155" spans="2:2">
      <c r="B155" s="36"/>
    </row>
    <row r="156" spans="2:2">
      <c r="B156" s="36"/>
    </row>
    <row r="157" spans="2:2">
      <c r="B157" s="36"/>
    </row>
    <row r="158" spans="2:2">
      <c r="B158" s="36"/>
    </row>
    <row r="159" spans="2:2">
      <c r="B159" s="36"/>
    </row>
    <row r="160" spans="2:2">
      <c r="B160" s="36"/>
    </row>
    <row r="161" spans="2:2">
      <c r="B161" s="36"/>
    </row>
    <row r="162" spans="2:2">
      <c r="B162" s="36"/>
    </row>
    <row r="163" spans="2:2">
      <c r="B163" s="36"/>
    </row>
    <row r="164" spans="2:2">
      <c r="B164" s="36"/>
    </row>
    <row r="165" spans="2:2">
      <c r="B165" s="36"/>
    </row>
    <row r="166" spans="2:2">
      <c r="B166" s="36"/>
    </row>
    <row r="167" spans="2:2">
      <c r="B167" s="36"/>
    </row>
    <row r="168" spans="2:2">
      <c r="B168" s="36"/>
    </row>
    <row r="169" spans="2:2">
      <c r="B169" s="36"/>
    </row>
    <row r="170" spans="2:2">
      <c r="B170" s="36"/>
    </row>
    <row r="171" spans="2:2">
      <c r="B171" s="36"/>
    </row>
    <row r="172" spans="2:2">
      <c r="B172" s="36"/>
    </row>
    <row r="173" spans="2:2">
      <c r="B173" s="36"/>
    </row>
    <row r="174" spans="2:2">
      <c r="B174" s="36"/>
    </row>
    <row r="175" spans="2:2">
      <c r="B175" s="36"/>
    </row>
    <row r="176" spans="2:2">
      <c r="B176" s="36"/>
    </row>
    <row r="177" spans="2:2">
      <c r="B177" s="36"/>
    </row>
    <row r="178" spans="2:2">
      <c r="B178" s="36"/>
    </row>
    <row r="179" spans="2:2">
      <c r="B179" s="36"/>
    </row>
    <row r="180" spans="2:2">
      <c r="B180" s="36"/>
    </row>
    <row r="181" spans="2:2">
      <c r="B181" s="36"/>
    </row>
    <row r="182" spans="2:2">
      <c r="B182" s="36"/>
    </row>
    <row r="183" spans="2:2">
      <c r="B183" s="36"/>
    </row>
    <row r="184" spans="2:2">
      <c r="B184" s="36"/>
    </row>
    <row r="185" spans="2:2">
      <c r="B185" s="36"/>
    </row>
    <row r="186" spans="2:2">
      <c r="B186" s="36"/>
    </row>
    <row r="187" spans="2:2">
      <c r="B187" s="36"/>
    </row>
    <row r="188" spans="2:2">
      <c r="B188" s="36"/>
    </row>
    <row r="189" spans="2:2">
      <c r="B189" s="36"/>
    </row>
    <row r="190" spans="2:2">
      <c r="B190" s="36"/>
    </row>
    <row r="191" spans="2:2">
      <c r="B191" s="36"/>
    </row>
    <row r="192" spans="2:2">
      <c r="B192" s="36"/>
    </row>
    <row r="193" spans="2:2">
      <c r="B193" s="36"/>
    </row>
    <row r="194" spans="2:2">
      <c r="B194" s="36"/>
    </row>
    <row r="195" spans="2:2">
      <c r="B195" s="36"/>
    </row>
    <row r="196" spans="2:2">
      <c r="B196" s="36"/>
    </row>
    <row r="197" spans="2:2">
      <c r="B197" s="36"/>
    </row>
    <row r="198" spans="2:2">
      <c r="B198" s="36"/>
    </row>
    <row r="199" spans="2:2">
      <c r="B199" s="36"/>
    </row>
    <row r="200" spans="2:2">
      <c r="B200" s="36"/>
    </row>
    <row r="201" spans="2:2">
      <c r="B201" s="36"/>
    </row>
    <row r="202" spans="2:2">
      <c r="B202" s="36"/>
    </row>
    <row r="203" spans="2:2">
      <c r="B203" s="36"/>
    </row>
    <row r="204" spans="2:2">
      <c r="B204" s="36"/>
    </row>
    <row r="205" spans="2:2">
      <c r="B205" s="36"/>
    </row>
    <row r="206" spans="2:2">
      <c r="B206" s="36"/>
    </row>
    <row r="207" spans="2:2">
      <c r="B207" s="36"/>
    </row>
  </sheetData>
  <mergeCells count="21">
    <mergeCell ref="G12:I12"/>
    <mergeCell ref="G13:I13"/>
    <mergeCell ref="A8:F8"/>
    <mergeCell ref="A9:F9"/>
    <mergeCell ref="A10:F10"/>
    <mergeCell ref="A11:F11"/>
    <mergeCell ref="A12:F12"/>
    <mergeCell ref="A13:F13"/>
    <mergeCell ref="G10:I10"/>
    <mergeCell ref="G11:I11"/>
    <mergeCell ref="A1:I1"/>
    <mergeCell ref="A2:I2"/>
    <mergeCell ref="A5:B5"/>
    <mergeCell ref="G8:I8"/>
    <mergeCell ref="G9:I9"/>
    <mergeCell ref="I15:I16"/>
    <mergeCell ref="A14:B14"/>
    <mergeCell ref="D15:H15"/>
    <mergeCell ref="A15:A16"/>
    <mergeCell ref="B15:B16"/>
    <mergeCell ref="C15:C16"/>
  </mergeCells>
  <phoneticPr fontId="31" type="noConversion"/>
  <hyperlinks>
    <hyperlink ref="I3" location="底稿目录!A1" display="底稿目录!A1"/>
  </hyperlinks>
  <printOptions horizontalCentered="1"/>
  <pageMargins left="0.7" right="0.7" top="0.75" bottom="0.75" header="0.3" footer="0.3"/>
  <pageSetup paperSize="9" scale="70" fitToHeight="50" orientation="portrait" blackAndWhite="1" cellComments="atEnd" horizontalDpi="3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22"/>
  <sheetViews>
    <sheetView view="pageBreakPreview" zoomScaleNormal="130" zoomScaleSheetLayoutView="100" workbookViewId="0">
      <selection sqref="A1:L1"/>
    </sheetView>
  </sheetViews>
  <sheetFormatPr defaultColWidth="9.109375" defaultRowHeight="23.25" customHeight="1"/>
  <cols>
    <col min="1" max="1" width="24.109375" style="2" customWidth="1"/>
    <col min="2" max="9" width="10.6640625" style="2" customWidth="1"/>
    <col min="10" max="11" width="9.109375" style="2"/>
    <col min="12" max="12" width="9" style="2" customWidth="1"/>
    <col min="13" max="16384" width="9.109375" style="2"/>
  </cols>
  <sheetData>
    <row r="1" spans="1:14" s="1" customFormat="1" ht="19.95" customHeight="1">
      <c r="A1" s="338" t="s">
        <v>205</v>
      </c>
      <c r="B1" s="338"/>
      <c r="C1" s="338"/>
      <c r="D1" s="338"/>
      <c r="E1" s="338"/>
      <c r="F1" s="338"/>
      <c r="G1" s="338"/>
      <c r="H1" s="338"/>
      <c r="I1" s="338"/>
      <c r="J1" s="338"/>
      <c r="K1" s="338"/>
      <c r="L1" s="338"/>
    </row>
    <row r="2" spans="1:14" s="1" customFormat="1" ht="19.95" customHeight="1">
      <c r="A2" s="339" t="s">
        <v>307</v>
      </c>
      <c r="B2" s="339"/>
      <c r="C2" s="339"/>
      <c r="D2" s="339"/>
      <c r="E2" s="339"/>
      <c r="F2" s="339"/>
      <c r="G2" s="339"/>
      <c r="H2" s="339"/>
      <c r="I2" s="339"/>
      <c r="J2" s="339"/>
      <c r="K2" s="339"/>
      <c r="L2" s="339"/>
    </row>
    <row r="3" spans="1:14" ht="19.95" customHeight="1">
      <c r="A3" s="2" t="str">
        <f>底稿目录!A2</f>
        <v>被审计单位：</v>
      </c>
      <c r="D3" s="3" t="str">
        <f>底稿目录!A4</f>
        <v>编制人：</v>
      </c>
      <c r="H3" s="55" t="str">
        <f>底稿目录!A5</f>
        <v>编制日期：</v>
      </c>
      <c r="K3" s="207" t="s">
        <v>216</v>
      </c>
      <c r="L3" s="302" t="str">
        <f>底稿目录!D6</f>
        <v>K6-1</v>
      </c>
    </row>
    <row r="4" spans="1:14" ht="19.95" customHeight="1">
      <c r="A4" s="2" t="str">
        <f>底稿目录!A3</f>
        <v>截止日：202X年12月31日</v>
      </c>
      <c r="B4" s="4"/>
      <c r="D4" s="3" t="str">
        <f>底稿目录!A6</f>
        <v>复核人：</v>
      </c>
      <c r="H4" s="55" t="str">
        <f>底稿目录!A7</f>
        <v>复核日期：</v>
      </c>
      <c r="K4" s="207" t="s">
        <v>217</v>
      </c>
      <c r="L4" s="206"/>
    </row>
    <row r="5" spans="1:14" ht="33.6" customHeight="1">
      <c r="A5" s="333" t="s">
        <v>44</v>
      </c>
      <c r="B5" s="335" t="s">
        <v>45</v>
      </c>
      <c r="C5" s="336"/>
      <c r="D5" s="336"/>
      <c r="E5" s="337"/>
      <c r="F5" s="335" t="s">
        <v>46</v>
      </c>
      <c r="G5" s="336"/>
      <c r="H5" s="336"/>
      <c r="I5" s="337"/>
      <c r="J5" s="340" t="s">
        <v>47</v>
      </c>
      <c r="K5" s="341"/>
      <c r="L5" s="333" t="s">
        <v>48</v>
      </c>
    </row>
    <row r="6" spans="1:14" ht="19.95" customHeight="1">
      <c r="A6" s="334"/>
      <c r="B6" s="75" t="s">
        <v>49</v>
      </c>
      <c r="C6" s="75" t="s">
        <v>50</v>
      </c>
      <c r="D6" s="75" t="s">
        <v>51</v>
      </c>
      <c r="E6" s="75" t="s">
        <v>35</v>
      </c>
      <c r="F6" s="75" t="s">
        <v>49</v>
      </c>
      <c r="G6" s="75" t="s">
        <v>50</v>
      </c>
      <c r="H6" s="75" t="s">
        <v>51</v>
      </c>
      <c r="I6" s="75" t="s">
        <v>35</v>
      </c>
      <c r="J6" s="76" t="s">
        <v>52</v>
      </c>
      <c r="K6" s="77" t="s">
        <v>53</v>
      </c>
      <c r="L6" s="342"/>
    </row>
    <row r="7" spans="1:14" s="5" customFormat="1" ht="19.95" customHeight="1">
      <c r="A7" s="90" t="s">
        <v>77</v>
      </c>
      <c r="B7" s="202">
        <f>'明细表K6-2'!B16+'明细表K6-2'!B20</f>
        <v>0</v>
      </c>
      <c r="C7" s="202">
        <f>'明细表K6-2'!F16+'明细表K6-2'!F20</f>
        <v>0</v>
      </c>
      <c r="D7" s="202">
        <f>'明细表K6-2'!G16+'明细表K6-2'!G20</f>
        <v>0</v>
      </c>
      <c r="E7" s="202">
        <f>'明细表K6-2'!L16+'明细表K6-2'!L20</f>
        <v>0</v>
      </c>
      <c r="F7" s="202">
        <f>'明细表K6-2'!E16+'明细表K6-2'!E20</f>
        <v>0</v>
      </c>
      <c r="G7" s="202">
        <f>'明细表K6-2'!F16+'明细表K6-2'!F20+'明细表K6-2'!H16+'明细表K6-2'!H20-'明细表K6-2'!I16-'明细表K6-2'!I20</f>
        <v>0</v>
      </c>
      <c r="H7" s="202">
        <f>'明细表K6-2'!G16+'明细表K6-2'!G20+'明细表K6-2'!J16+'明细表K6-2'!J20-'明细表K6-2'!K16-'明细表K6-2'!K20</f>
        <v>0</v>
      </c>
      <c r="I7" s="202">
        <f>'明细表K6-2'!O16+'明细表K6-2'!O20</f>
        <v>0</v>
      </c>
      <c r="J7" s="203">
        <f>I7-E7</f>
        <v>0</v>
      </c>
      <c r="K7" s="204">
        <f>IF(AND(E7=0,I7=0),0,IF(AND(E7=0,I7&gt;0),1,J7/E7))</f>
        <v>0</v>
      </c>
      <c r="L7" s="73"/>
    </row>
    <row r="8" spans="1:14" s="5" customFormat="1" ht="19.95" customHeight="1">
      <c r="A8" s="90" t="s">
        <v>78</v>
      </c>
      <c r="B8" s="202">
        <f>'明细表K6-2'!B24</f>
        <v>0</v>
      </c>
      <c r="C8" s="202">
        <f>'明细表K6-2'!F24</f>
        <v>0</v>
      </c>
      <c r="D8" s="202">
        <f>'明细表K6-2'!G24</f>
        <v>0</v>
      </c>
      <c r="E8" s="202">
        <f>'明细表K6-2'!L24</f>
        <v>0</v>
      </c>
      <c r="F8" s="202">
        <f>'明细表K6-2'!E24</f>
        <v>0</v>
      </c>
      <c r="G8" s="202">
        <f>'明细表K6-2'!F24+'明细表K6-2'!H24-'明细表K6-2'!I24</f>
        <v>0</v>
      </c>
      <c r="H8" s="202">
        <f>'明细表K6-2'!G24+'明细表K6-2'!J24-'明细表K6-2'!K24</f>
        <v>0</v>
      </c>
      <c r="I8" s="202">
        <f>'明细表K6-2'!O24</f>
        <v>0</v>
      </c>
      <c r="J8" s="203">
        <f>I8-E8</f>
        <v>0</v>
      </c>
      <c r="K8" s="204">
        <f>IF(AND(E8=0,I8=0),0,IF(AND(E8=0,I8&gt;0),1,J8/E8))</f>
        <v>0</v>
      </c>
      <c r="L8" s="73"/>
    </row>
    <row r="9" spans="1:14" s="5" customFormat="1" ht="19.95" customHeight="1">
      <c r="A9" s="74" t="s">
        <v>54</v>
      </c>
      <c r="B9" s="205">
        <f t="shared" ref="B9:I9" si="0">SUM(B7:B7)</f>
        <v>0</v>
      </c>
      <c r="C9" s="205">
        <f t="shared" si="0"/>
        <v>0</v>
      </c>
      <c r="D9" s="205">
        <f t="shared" si="0"/>
        <v>0</v>
      </c>
      <c r="E9" s="205">
        <f t="shared" si="0"/>
        <v>0</v>
      </c>
      <c r="F9" s="205">
        <f t="shared" si="0"/>
        <v>0</v>
      </c>
      <c r="G9" s="205">
        <f t="shared" si="0"/>
        <v>0</v>
      </c>
      <c r="H9" s="205">
        <f t="shared" si="0"/>
        <v>0</v>
      </c>
      <c r="I9" s="205">
        <f t="shared" si="0"/>
        <v>0</v>
      </c>
      <c r="J9" s="203">
        <f t="shared" ref="J9" si="1">I9-E9</f>
        <v>0</v>
      </c>
      <c r="K9" s="204">
        <f>IF(AND(E9=0,I9=0),0,IF(AND(E9=0,I9&gt;0),1,J9/E9))</f>
        <v>0</v>
      </c>
      <c r="L9" s="73"/>
    </row>
    <row r="10" spans="1:14" s="5" customFormat="1" ht="19.95" customHeight="1">
      <c r="A10" s="139" t="s">
        <v>161</v>
      </c>
      <c r="B10" s="117"/>
      <c r="C10" s="117"/>
      <c r="D10" s="117"/>
      <c r="E10" s="117"/>
      <c r="F10" s="117"/>
      <c r="G10" s="117"/>
      <c r="H10" s="117"/>
      <c r="I10" s="117"/>
      <c r="J10" s="117"/>
      <c r="K10" s="117"/>
      <c r="L10" s="117"/>
    </row>
    <row r="11" spans="1:14" s="5" customFormat="1" ht="19.95" customHeight="1">
      <c r="A11" s="139" t="s">
        <v>162</v>
      </c>
      <c r="B11" s="202">
        <f>B9-B10</f>
        <v>0</v>
      </c>
      <c r="C11" s="202">
        <f t="shared" ref="C11:I11" si="2">C9-C10</f>
        <v>0</v>
      </c>
      <c r="D11" s="202">
        <f t="shared" si="2"/>
        <v>0</v>
      </c>
      <c r="E11" s="202">
        <f t="shared" si="2"/>
        <v>0</v>
      </c>
      <c r="F11" s="202">
        <f t="shared" si="2"/>
        <v>0</v>
      </c>
      <c r="G11" s="202">
        <f t="shared" si="2"/>
        <v>0</v>
      </c>
      <c r="H11" s="202">
        <f t="shared" si="2"/>
        <v>0</v>
      </c>
      <c r="I11" s="202">
        <f t="shared" si="2"/>
        <v>0</v>
      </c>
      <c r="J11" s="297"/>
      <c r="K11" s="297"/>
      <c r="L11" s="297"/>
    </row>
    <row r="12" spans="1:14" s="26" customFormat="1" ht="19.95" customHeight="1">
      <c r="A12" s="79" t="s">
        <v>308</v>
      </c>
      <c r="B12" s="24"/>
      <c r="C12" s="24"/>
      <c r="D12" s="24"/>
      <c r="E12" s="24"/>
      <c r="F12" s="78"/>
      <c r="G12" s="78"/>
      <c r="H12" s="24"/>
      <c r="I12" s="25"/>
      <c r="J12" s="25"/>
      <c r="K12" s="2"/>
      <c r="L12" s="2"/>
      <c r="M12" s="2"/>
      <c r="N12" s="2"/>
    </row>
    <row r="13" spans="1:14" s="28" customFormat="1" ht="19.95" customHeight="1">
      <c r="A13" s="6" t="s">
        <v>55</v>
      </c>
      <c r="B13" s="6"/>
      <c r="C13" s="6"/>
      <c r="D13" s="27"/>
      <c r="E13" s="27"/>
      <c r="F13" s="332"/>
      <c r="G13" s="332"/>
      <c r="H13" s="332"/>
      <c r="I13" s="2"/>
      <c r="J13" s="2"/>
      <c r="K13" s="2"/>
      <c r="L13" s="2"/>
      <c r="M13" s="2"/>
      <c r="N13" s="2"/>
    </row>
    <row r="14" spans="1:14" s="26" customFormat="1" ht="19.95" customHeight="1">
      <c r="A14" s="6" t="s">
        <v>56</v>
      </c>
      <c r="B14" s="6"/>
      <c r="C14" s="6"/>
      <c r="D14" s="6"/>
      <c r="E14" s="6"/>
      <c r="F14" s="6"/>
      <c r="G14" s="6"/>
      <c r="H14" s="6"/>
      <c r="I14" s="2"/>
      <c r="J14" s="2"/>
      <c r="K14" s="2"/>
      <c r="L14" s="2"/>
      <c r="M14" s="2"/>
      <c r="N14" s="2"/>
    </row>
    <row r="15" spans="1:14" s="28" customFormat="1" ht="19.95" customHeight="1">
      <c r="A15" s="6"/>
      <c r="B15" s="6"/>
      <c r="C15" s="6"/>
      <c r="D15" s="6"/>
      <c r="E15" s="6"/>
      <c r="F15" s="6"/>
      <c r="G15" s="6"/>
      <c r="H15" s="6"/>
      <c r="I15" s="2"/>
      <c r="J15" s="2"/>
      <c r="K15" s="2"/>
      <c r="L15" s="2"/>
      <c r="M15" s="2"/>
      <c r="N15" s="2"/>
    </row>
    <row r="16" spans="1:14" s="28" customFormat="1" ht="19.95" customHeight="1">
      <c r="A16" s="29" t="s">
        <v>57</v>
      </c>
      <c r="B16" s="6"/>
      <c r="C16" s="6"/>
      <c r="D16" s="6"/>
      <c r="E16" s="6"/>
      <c r="F16" s="6"/>
      <c r="G16" s="6"/>
      <c r="H16" s="6"/>
      <c r="I16" s="2"/>
      <c r="J16" s="2"/>
      <c r="K16" s="2"/>
      <c r="L16" s="2"/>
      <c r="M16" s="2"/>
      <c r="N16" s="2"/>
    </row>
    <row r="17" spans="1:14" s="28" customFormat="1" ht="19.95" customHeight="1">
      <c r="B17" s="29"/>
      <c r="C17" s="29"/>
      <c r="D17" s="29"/>
      <c r="E17" s="29"/>
      <c r="F17" s="29"/>
      <c r="G17" s="29"/>
      <c r="H17" s="29"/>
      <c r="I17" s="2"/>
      <c r="J17" s="2"/>
      <c r="K17" s="2"/>
      <c r="L17" s="2"/>
      <c r="M17" s="2"/>
      <c r="N17" s="2"/>
    </row>
    <row r="18" spans="1:14" ht="19.95" customHeight="1">
      <c r="A18" s="79" t="s">
        <v>277</v>
      </c>
      <c r="B18" s="29"/>
      <c r="C18" s="29"/>
      <c r="D18" s="29"/>
      <c r="E18" s="29"/>
      <c r="F18" s="29"/>
      <c r="G18" s="29"/>
      <c r="H18" s="29"/>
    </row>
    <row r="19" spans="1:14" ht="19.95" customHeight="1">
      <c r="A19" s="6"/>
      <c r="B19" s="6"/>
      <c r="C19" s="6"/>
      <c r="D19" s="6"/>
      <c r="E19" s="6"/>
      <c r="F19" s="6"/>
      <c r="G19" s="6"/>
      <c r="H19" s="6"/>
    </row>
    <row r="20" spans="1:14" ht="20.100000000000001" customHeight="1">
      <c r="B20" s="6"/>
      <c r="C20" s="6"/>
      <c r="D20" s="6"/>
      <c r="E20" s="6"/>
      <c r="F20" s="80"/>
      <c r="G20" s="80"/>
      <c r="H20" s="6"/>
    </row>
    <row r="21" spans="1:14" ht="20.100000000000001" customHeight="1">
      <c r="A21" s="79"/>
      <c r="B21" s="6"/>
      <c r="C21" s="6"/>
      <c r="D21" s="6"/>
      <c r="E21" s="6"/>
      <c r="F21" s="6"/>
      <c r="G21" s="6"/>
      <c r="H21" s="6"/>
    </row>
    <row r="22" spans="1:14" ht="20.100000000000001" customHeight="1">
      <c r="A22" s="79"/>
      <c r="B22" s="6"/>
      <c r="C22" s="6"/>
      <c r="D22" s="6"/>
      <c r="E22" s="6"/>
      <c r="F22" s="6"/>
      <c r="G22" s="6"/>
      <c r="H22" s="6"/>
    </row>
  </sheetData>
  <mergeCells count="8">
    <mergeCell ref="F13:H13"/>
    <mergeCell ref="A5:A6"/>
    <mergeCell ref="B5:E5"/>
    <mergeCell ref="A1:L1"/>
    <mergeCell ref="A2:L2"/>
    <mergeCell ref="F5:I5"/>
    <mergeCell ref="J5:K5"/>
    <mergeCell ref="L5:L6"/>
  </mergeCells>
  <phoneticPr fontId="5" type="noConversion"/>
  <hyperlinks>
    <hyperlink ref="L3" location="底稿目录!A1" display="底稿目录!A1"/>
  </hyperlinks>
  <printOptions horizontalCentered="1"/>
  <pageMargins left="0.74803149606299213" right="0.35433070866141736" top="0.59055118110236227" bottom="0.27559055118110237" header="0.51181102362204722" footer="0.19685039370078741"/>
  <pageSetup paperSize="9" scale="94"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79"/>
  <sheetViews>
    <sheetView view="pageBreakPreview" topLeftCell="A70" zoomScaleNormal="100" zoomScaleSheetLayoutView="100" workbookViewId="0">
      <selection activeCell="C12" sqref="C12"/>
    </sheetView>
  </sheetViews>
  <sheetFormatPr defaultColWidth="9.109375" defaultRowHeight="15.6"/>
  <cols>
    <col min="1" max="1" width="32.44140625" style="142" customWidth="1"/>
    <col min="2" max="3" width="16.109375" style="141" customWidth="1"/>
    <col min="4" max="4" width="19.109375" style="141" customWidth="1"/>
    <col min="5" max="5" width="16.109375" style="141" customWidth="1"/>
    <col min="6" max="7" width="14.88671875" style="141" customWidth="1"/>
    <col min="8" max="8" width="9.109375" style="141" customWidth="1"/>
    <col min="9" max="16384" width="9.109375" style="141"/>
  </cols>
  <sheetData>
    <row r="1" spans="1:11" ht="19.95" customHeight="1">
      <c r="A1" s="351" t="s">
        <v>205</v>
      </c>
      <c r="B1" s="351"/>
      <c r="C1" s="351"/>
      <c r="D1" s="351"/>
      <c r="E1" s="351"/>
      <c r="F1" s="351"/>
      <c r="G1" s="351"/>
      <c r="H1" s="140"/>
      <c r="I1" s="140"/>
      <c r="J1" s="140"/>
      <c r="K1" s="140"/>
    </row>
    <row r="2" spans="1:11" ht="19.95" customHeight="1">
      <c r="A2" s="352" t="s">
        <v>206</v>
      </c>
      <c r="B2" s="352"/>
      <c r="C2" s="352"/>
      <c r="D2" s="352"/>
      <c r="E2" s="352"/>
      <c r="F2" s="352"/>
      <c r="G2" s="352"/>
      <c r="H2" s="140"/>
      <c r="I2" s="140"/>
      <c r="J2" s="140"/>
      <c r="K2" s="140"/>
    </row>
    <row r="3" spans="1:11" ht="19.95" customHeight="1">
      <c r="A3" s="28" t="str">
        <f>底稿目录!A2</f>
        <v>被审计单位：</v>
      </c>
      <c r="B3" s="28"/>
      <c r="C3" s="28" t="str">
        <f>底稿目录!A4</f>
        <v>编制人：</v>
      </c>
      <c r="D3" s="28" t="str">
        <f>底稿目录!A5</f>
        <v>编制日期：</v>
      </c>
      <c r="F3" s="208" t="s">
        <v>218</v>
      </c>
      <c r="G3" s="28">
        <f>底稿目录!D7</f>
        <v>0</v>
      </c>
      <c r="H3" s="140"/>
      <c r="I3" s="140"/>
      <c r="J3" s="140"/>
      <c r="K3" s="140"/>
    </row>
    <row r="4" spans="1:11" ht="19.95" customHeight="1">
      <c r="A4" s="28" t="str">
        <f>底稿目录!A3</f>
        <v>截止日：202X年12月31日</v>
      </c>
      <c r="B4" s="28"/>
      <c r="C4" s="28" t="str">
        <f>底稿目录!A6</f>
        <v>复核人：</v>
      </c>
      <c r="D4" s="28" t="str">
        <f>底稿目录!A7</f>
        <v>复核日期：</v>
      </c>
      <c r="F4" s="208" t="s">
        <v>219</v>
      </c>
      <c r="G4" s="209">
        <v>1</v>
      </c>
      <c r="H4" s="140"/>
      <c r="I4" s="140"/>
      <c r="J4" s="140"/>
      <c r="K4" s="140"/>
    </row>
    <row r="5" spans="1:11" s="151" customFormat="1" ht="19.95" customHeight="1" thickBot="1">
      <c r="A5" s="149" t="s">
        <v>207</v>
      </c>
      <c r="B5" s="146"/>
      <c r="C5" s="147"/>
      <c r="D5" s="147"/>
      <c r="E5" s="148"/>
      <c r="F5" s="150"/>
      <c r="G5" s="150"/>
      <c r="H5" s="150"/>
      <c r="I5" s="150"/>
      <c r="J5" s="150"/>
      <c r="K5" s="150"/>
    </row>
    <row r="6" spans="1:11" s="152" customFormat="1" ht="19.95" customHeight="1" thickBot="1">
      <c r="A6" s="348" t="s">
        <v>163</v>
      </c>
      <c r="B6" s="346" t="s">
        <v>0</v>
      </c>
      <c r="C6" s="347"/>
      <c r="D6" s="347"/>
      <c r="E6" s="349" t="s">
        <v>164</v>
      </c>
      <c r="F6" s="347"/>
      <c r="G6" s="350"/>
    </row>
    <row r="7" spans="1:11" s="151" customFormat="1" ht="19.95" customHeight="1" thickBot="1">
      <c r="A7" s="344"/>
      <c r="B7" s="153" t="s">
        <v>165</v>
      </c>
      <c r="C7" s="153" t="s">
        <v>166</v>
      </c>
      <c r="D7" s="153" t="s">
        <v>1</v>
      </c>
      <c r="E7" s="153" t="s">
        <v>165</v>
      </c>
      <c r="F7" s="153" t="s">
        <v>166</v>
      </c>
      <c r="G7" s="153" t="s">
        <v>1</v>
      </c>
    </row>
    <row r="8" spans="1:11" s="151" customFormat="1" ht="19.95" customHeight="1">
      <c r="A8" s="154" t="s">
        <v>167</v>
      </c>
      <c r="B8" s="173">
        <f>SUM(B9:B11)</f>
        <v>0</v>
      </c>
      <c r="C8" s="173"/>
      <c r="D8" s="174">
        <f t="shared" ref="D8:D15" si="0">B8-C8</f>
        <v>0</v>
      </c>
      <c r="E8" s="173">
        <f>'明细表K6-2'!L12</f>
        <v>0</v>
      </c>
      <c r="F8" s="173"/>
      <c r="G8" s="174">
        <f>E8-F8</f>
        <v>0</v>
      </c>
    </row>
    <row r="9" spans="1:11" s="151" customFormat="1" ht="19.95" customHeight="1">
      <c r="A9" s="154" t="str">
        <f>'明细表K6-2'!A12</f>
        <v>其中：固定资产</v>
      </c>
      <c r="B9" s="173">
        <f>'明细表K6-2'!O12</f>
        <v>0</v>
      </c>
      <c r="C9" s="173"/>
      <c r="D9" s="174">
        <f t="shared" si="0"/>
        <v>0</v>
      </c>
      <c r="E9" s="173">
        <f>'明细表K6-2'!L13</f>
        <v>0</v>
      </c>
      <c r="F9" s="173"/>
      <c r="G9" s="174">
        <f t="shared" ref="G9:G15" si="1">E9-F9</f>
        <v>0</v>
      </c>
    </row>
    <row r="10" spans="1:11" s="151" customFormat="1" ht="19.95" customHeight="1">
      <c r="A10" s="154" t="str">
        <f>'明细表K6-2'!A13</f>
        <v xml:space="preserve">     长期股权投资-联营企业</v>
      </c>
      <c r="B10" s="173">
        <f>'明细表K6-2'!O13</f>
        <v>0</v>
      </c>
      <c r="C10" s="173"/>
      <c r="D10" s="174">
        <f t="shared" si="0"/>
        <v>0</v>
      </c>
      <c r="E10" s="173">
        <f>'明细表K6-2'!L14</f>
        <v>0</v>
      </c>
      <c r="F10" s="173"/>
      <c r="G10" s="174">
        <f t="shared" si="1"/>
        <v>0</v>
      </c>
    </row>
    <row r="11" spans="1:11" s="151" customFormat="1" ht="19.95" customHeight="1">
      <c r="A11" s="154" t="str">
        <f>'明细表K6-2'!A14</f>
        <v xml:space="preserve">     长期股权投资-合营企业</v>
      </c>
      <c r="B11" s="173">
        <f>'明细表K6-2'!O14</f>
        <v>0</v>
      </c>
      <c r="C11" s="173"/>
      <c r="D11" s="174">
        <f t="shared" si="0"/>
        <v>0</v>
      </c>
      <c r="E11" s="173">
        <f>'明细表K6-2'!L15</f>
        <v>0</v>
      </c>
      <c r="F11" s="173"/>
      <c r="G11" s="174">
        <f t="shared" si="1"/>
        <v>0</v>
      </c>
    </row>
    <row r="12" spans="1:11" s="151" customFormat="1" ht="19.95" customHeight="1">
      <c r="A12" s="154" t="s">
        <v>171</v>
      </c>
      <c r="B12" s="173">
        <f>SUM(B13:B15)</f>
        <v>0</v>
      </c>
      <c r="C12" s="173"/>
      <c r="D12" s="174">
        <f t="shared" si="0"/>
        <v>0</v>
      </c>
      <c r="E12" s="173">
        <f>SUM(E13:E15)</f>
        <v>0</v>
      </c>
      <c r="F12" s="173"/>
      <c r="G12" s="174">
        <f t="shared" si="1"/>
        <v>0</v>
      </c>
    </row>
    <row r="13" spans="1:11" s="155" customFormat="1" ht="19.95" customHeight="1">
      <c r="A13" s="154" t="str">
        <f>'明细表K6-2'!A18</f>
        <v>其中：子公司A</v>
      </c>
      <c r="B13" s="173">
        <f>'明细表K6-2'!O18</f>
        <v>0</v>
      </c>
      <c r="C13" s="173"/>
      <c r="D13" s="174">
        <f t="shared" si="0"/>
        <v>0</v>
      </c>
      <c r="E13" s="173">
        <f>'明细表K6-2'!L18</f>
        <v>0</v>
      </c>
      <c r="F13" s="173"/>
      <c r="G13" s="174">
        <f t="shared" si="1"/>
        <v>0</v>
      </c>
    </row>
    <row r="14" spans="1:11" s="156" customFormat="1" ht="19.95" customHeight="1">
      <c r="A14" s="154" t="str">
        <f>'明细表K6-2'!A19</f>
        <v xml:space="preserve">            分公司B</v>
      </c>
      <c r="B14" s="173">
        <f>'明细表K6-2'!O19</f>
        <v>0</v>
      </c>
      <c r="C14" s="173"/>
      <c r="D14" s="174">
        <f t="shared" si="0"/>
        <v>0</v>
      </c>
      <c r="E14" s="173">
        <f>'明细表K6-2'!L19</f>
        <v>0</v>
      </c>
      <c r="F14" s="173"/>
      <c r="G14" s="174">
        <f t="shared" si="1"/>
        <v>0</v>
      </c>
    </row>
    <row r="15" spans="1:11" s="156" customFormat="1" ht="19.95" customHeight="1" thickBot="1">
      <c r="A15" s="157" t="s">
        <v>170</v>
      </c>
      <c r="B15" s="175"/>
      <c r="C15" s="175"/>
      <c r="D15" s="174">
        <f t="shared" si="0"/>
        <v>0</v>
      </c>
      <c r="E15" s="175"/>
      <c r="F15" s="175"/>
      <c r="G15" s="174">
        <f t="shared" si="1"/>
        <v>0</v>
      </c>
    </row>
    <row r="16" spans="1:11" s="152" customFormat="1" ht="19.95" customHeight="1" thickBot="1">
      <c r="A16" s="158" t="s">
        <v>174</v>
      </c>
      <c r="B16" s="176">
        <f>B12+B8</f>
        <v>0</v>
      </c>
      <c r="C16" s="176">
        <f>C12+C8</f>
        <v>0</v>
      </c>
      <c r="D16" s="177" t="s">
        <v>208</v>
      </c>
      <c r="E16" s="176">
        <f>E12+E8</f>
        <v>0</v>
      </c>
      <c r="F16" s="176">
        <f>F12+F8</f>
        <v>0</v>
      </c>
      <c r="G16" s="177"/>
    </row>
    <row r="17" spans="1:7" s="151" customFormat="1" ht="19.95" customHeight="1">
      <c r="A17" s="159" t="s">
        <v>175</v>
      </c>
    </row>
    <row r="18" spans="1:7" s="151" customFormat="1" ht="19.95" customHeight="1" thickBot="1">
      <c r="A18" s="159" t="s">
        <v>176</v>
      </c>
    </row>
    <row r="19" spans="1:7" s="151" customFormat="1" ht="19.95" customHeight="1" thickBot="1">
      <c r="A19" s="160" t="s">
        <v>163</v>
      </c>
      <c r="B19" s="161" t="s">
        <v>0</v>
      </c>
      <c r="C19" s="161" t="s">
        <v>164</v>
      </c>
    </row>
    <row r="20" spans="1:7" s="151" customFormat="1" ht="19.95" customHeight="1">
      <c r="A20" s="162" t="s">
        <v>177</v>
      </c>
      <c r="B20" s="178"/>
      <c r="C20" s="178"/>
    </row>
    <row r="21" spans="1:7" s="151" customFormat="1" ht="19.95" customHeight="1">
      <c r="A21" s="154" t="s">
        <v>178</v>
      </c>
      <c r="B21" s="173">
        <f>SUM(B22:B23)</f>
        <v>0</v>
      </c>
      <c r="C21" s="173">
        <f>SUM(C22:C23)</f>
        <v>0</v>
      </c>
    </row>
    <row r="22" spans="1:7" s="155" customFormat="1" ht="19.95" customHeight="1">
      <c r="A22" s="163" t="str">
        <f>'明细表K6-2'!A22</f>
        <v>其中：子公司A</v>
      </c>
      <c r="B22" s="179">
        <f>'明细表K6-2'!O22</f>
        <v>0</v>
      </c>
      <c r="C22" s="179">
        <f>'明细表K6-2'!L22</f>
        <v>0</v>
      </c>
      <c r="D22" s="151"/>
      <c r="E22" s="151"/>
      <c r="F22" s="151"/>
      <c r="G22" s="151"/>
    </row>
    <row r="23" spans="1:7" s="156" customFormat="1" ht="19.95" customHeight="1">
      <c r="A23" s="164" t="str">
        <f>'明细表K6-2'!A23</f>
        <v xml:space="preserve">            分公司B</v>
      </c>
      <c r="B23" s="180">
        <f>'明细表K6-2'!O23</f>
        <v>0</v>
      </c>
      <c r="C23" s="180">
        <f>'明细表K6-2'!L23</f>
        <v>0</v>
      </c>
      <c r="D23" s="151"/>
      <c r="E23" s="151"/>
      <c r="F23" s="151"/>
      <c r="G23" s="151"/>
    </row>
    <row r="24" spans="1:7" s="156" customFormat="1" ht="19.95" customHeight="1" thickBot="1">
      <c r="A24" s="158" t="s">
        <v>174</v>
      </c>
      <c r="B24" s="181">
        <f>B20+B21</f>
        <v>0</v>
      </c>
      <c r="C24" s="181">
        <f>C20+C21</f>
        <v>0</v>
      </c>
      <c r="D24" s="151"/>
      <c r="E24" s="151"/>
      <c r="F24" s="151"/>
      <c r="G24" s="151"/>
    </row>
    <row r="25" spans="1:7" s="151" customFormat="1" ht="19.95" customHeight="1">
      <c r="A25" s="159" t="s">
        <v>179</v>
      </c>
    </row>
    <row r="26" spans="1:7" s="151" customFormat="1" ht="19.95" customHeight="1">
      <c r="A26" s="165" t="s">
        <v>180</v>
      </c>
    </row>
    <row r="27" spans="1:7" s="151" customFormat="1" ht="19.95" customHeight="1">
      <c r="A27" s="159" t="s">
        <v>181</v>
      </c>
    </row>
    <row r="28" spans="1:7" s="167" customFormat="1" ht="19.95" customHeight="1">
      <c r="A28" s="166" t="s">
        <v>182</v>
      </c>
      <c r="B28" s="151"/>
      <c r="C28" s="151"/>
      <c r="D28" s="151"/>
      <c r="E28" s="151"/>
      <c r="F28" s="151"/>
      <c r="G28" s="151"/>
    </row>
    <row r="29" spans="1:7" s="151" customFormat="1" ht="19.95" customHeight="1">
      <c r="A29" s="166" t="s">
        <v>183</v>
      </c>
    </row>
    <row r="30" spans="1:7" s="151" customFormat="1" ht="19.95" customHeight="1">
      <c r="A30" s="166" t="s">
        <v>184</v>
      </c>
    </row>
    <row r="31" spans="1:7" s="151" customFormat="1" ht="19.95" customHeight="1" thickBot="1">
      <c r="A31" s="165" t="s">
        <v>185</v>
      </c>
    </row>
    <row r="32" spans="1:7" s="151" customFormat="1" ht="19.95" customHeight="1" thickBot="1">
      <c r="A32" s="343" t="s">
        <v>163</v>
      </c>
      <c r="B32" s="345" t="s">
        <v>164</v>
      </c>
      <c r="C32" s="345" t="s">
        <v>186</v>
      </c>
      <c r="D32" s="346" t="s">
        <v>187</v>
      </c>
      <c r="E32" s="347"/>
      <c r="F32" s="345" t="s">
        <v>0</v>
      </c>
    </row>
    <row r="33" spans="1:7" s="151" customFormat="1" ht="19.95" customHeight="1" thickBot="1">
      <c r="A33" s="344"/>
      <c r="B33" s="344"/>
      <c r="C33" s="344"/>
      <c r="D33" s="153" t="s">
        <v>188</v>
      </c>
      <c r="E33" s="153" t="s">
        <v>189</v>
      </c>
      <c r="F33" s="344"/>
    </row>
    <row r="34" spans="1:7" s="151" customFormat="1" ht="19.95" customHeight="1">
      <c r="A34" s="154" t="s">
        <v>167</v>
      </c>
      <c r="B34" s="173">
        <f>SUM(B35:B37)</f>
        <v>0</v>
      </c>
      <c r="C34" s="173">
        <f>SUM(C35:C37)</f>
        <v>0</v>
      </c>
      <c r="D34" s="173">
        <f>SUM(D35:D37)</f>
        <v>0</v>
      </c>
      <c r="E34" s="173">
        <f>SUM(E35:E37)</f>
        <v>0</v>
      </c>
      <c r="F34" s="173">
        <f t="shared" ref="F34:F42" si="2">B34+C34-D34-E34</f>
        <v>0</v>
      </c>
    </row>
    <row r="35" spans="1:7" s="151" customFormat="1" ht="19.95" customHeight="1">
      <c r="A35" s="154" t="s">
        <v>168</v>
      </c>
      <c r="B35" s="173"/>
      <c r="C35" s="173"/>
      <c r="D35" s="173"/>
      <c r="E35" s="173"/>
      <c r="F35" s="173">
        <f t="shared" si="2"/>
        <v>0</v>
      </c>
    </row>
    <row r="36" spans="1:7" s="167" customFormat="1" ht="19.95" customHeight="1">
      <c r="A36" s="168" t="s">
        <v>169</v>
      </c>
      <c r="B36" s="173"/>
      <c r="C36" s="173"/>
      <c r="D36" s="173"/>
      <c r="E36" s="173"/>
      <c r="F36" s="173">
        <f t="shared" si="2"/>
        <v>0</v>
      </c>
      <c r="G36" s="151"/>
    </row>
    <row r="37" spans="1:7" s="151" customFormat="1" ht="19.95" customHeight="1">
      <c r="A37" s="168" t="s">
        <v>170</v>
      </c>
      <c r="B37" s="173"/>
      <c r="C37" s="173"/>
      <c r="D37" s="173"/>
      <c r="E37" s="173"/>
      <c r="F37" s="173">
        <f t="shared" si="2"/>
        <v>0</v>
      </c>
    </row>
    <row r="38" spans="1:7" s="151" customFormat="1" ht="19.95" customHeight="1">
      <c r="A38" s="154" t="s">
        <v>171</v>
      </c>
      <c r="B38" s="173">
        <f>SUM(B39:B41)</f>
        <v>0</v>
      </c>
      <c r="C38" s="173">
        <f>SUM(C39:C41)</f>
        <v>0</v>
      </c>
      <c r="D38" s="173">
        <f>SUM(D39:D41)</f>
        <v>0</v>
      </c>
      <c r="E38" s="173">
        <f>SUM(E39:E41)</f>
        <v>0</v>
      </c>
      <c r="F38" s="173">
        <f t="shared" si="2"/>
        <v>0</v>
      </c>
    </row>
    <row r="39" spans="1:7" s="151" customFormat="1" ht="19.95" customHeight="1">
      <c r="A39" s="154" t="s">
        <v>172</v>
      </c>
      <c r="B39" s="173"/>
      <c r="C39" s="173"/>
      <c r="D39" s="173"/>
      <c r="E39" s="173"/>
      <c r="F39" s="173">
        <f t="shared" si="2"/>
        <v>0</v>
      </c>
    </row>
    <row r="40" spans="1:7" s="151" customFormat="1" ht="19.95" customHeight="1">
      <c r="A40" s="168" t="s">
        <v>173</v>
      </c>
      <c r="B40" s="173"/>
      <c r="C40" s="173"/>
      <c r="D40" s="173"/>
      <c r="E40" s="173"/>
      <c r="F40" s="173">
        <f t="shared" si="2"/>
        <v>0</v>
      </c>
    </row>
    <row r="41" spans="1:7" s="151" customFormat="1" ht="19.95" customHeight="1" thickBot="1">
      <c r="A41" s="157" t="s">
        <v>170</v>
      </c>
      <c r="B41" s="175"/>
      <c r="C41" s="175"/>
      <c r="D41" s="175"/>
      <c r="E41" s="175"/>
      <c r="F41" s="173">
        <f t="shared" si="2"/>
        <v>0</v>
      </c>
    </row>
    <row r="42" spans="1:7" s="151" customFormat="1" ht="19.95" customHeight="1" thickBot="1">
      <c r="A42" s="158" t="s">
        <v>174</v>
      </c>
      <c r="B42" s="176">
        <f>B38+B34</f>
        <v>0</v>
      </c>
      <c r="C42" s="176">
        <f>C38+C34</f>
        <v>0</v>
      </c>
      <c r="D42" s="176">
        <f>D38+D34</f>
        <v>0</v>
      </c>
      <c r="E42" s="176">
        <f>E38+E34</f>
        <v>0</v>
      </c>
      <c r="F42" s="182">
        <f t="shared" si="2"/>
        <v>0</v>
      </c>
    </row>
    <row r="43" spans="1:7" s="151" customFormat="1" ht="19.95" customHeight="1">
      <c r="A43" s="165" t="s">
        <v>190</v>
      </c>
    </row>
    <row r="44" spans="1:7" s="151" customFormat="1" ht="19.95" customHeight="1" thickBot="1">
      <c r="A44" s="165" t="s">
        <v>191</v>
      </c>
    </row>
    <row r="45" spans="1:7" s="151" customFormat="1" ht="19.95" customHeight="1" thickBot="1">
      <c r="A45" s="160" t="s">
        <v>163</v>
      </c>
      <c r="B45" s="169" t="s">
        <v>79</v>
      </c>
      <c r="C45" s="169" t="s">
        <v>80</v>
      </c>
      <c r="D45" s="169" t="s">
        <v>192</v>
      </c>
      <c r="E45" s="169" t="s">
        <v>81</v>
      </c>
    </row>
    <row r="46" spans="1:7" s="151" customFormat="1" ht="19.95" customHeight="1">
      <c r="A46" s="170" t="str">
        <f>'初始确认检查表K6-4'!A18</f>
        <v>其中：固定资产</v>
      </c>
      <c r="B46" s="183">
        <f>'初始确认检查表K6-4'!B18</f>
        <v>0</v>
      </c>
      <c r="C46" s="184">
        <f>'初始确认检查表K6-4'!I18</f>
        <v>0</v>
      </c>
      <c r="D46" s="184">
        <f>'初始确认检查表K6-4'!J18</f>
        <v>0</v>
      </c>
      <c r="E46" s="184">
        <f>'初始确认检查表K6-4'!L18</f>
        <v>0</v>
      </c>
    </row>
    <row r="47" spans="1:7" s="151" customFormat="1" ht="19.95" customHeight="1">
      <c r="A47" s="154" t="str">
        <f>'初始确认检查表K6-4'!A19</f>
        <v xml:space="preserve">     长期股权投资-联营企业</v>
      </c>
      <c r="B47" s="179">
        <f>'初始确认检查表K6-4'!B19</f>
        <v>0</v>
      </c>
      <c r="C47" s="185">
        <f>'初始确认检查表K6-4'!I19</f>
        <v>0</v>
      </c>
      <c r="D47" s="185">
        <f>'初始确认检查表K6-4'!J19</f>
        <v>0</v>
      </c>
      <c r="E47" s="185">
        <f>'初始确认检查表K6-4'!L19</f>
        <v>0</v>
      </c>
    </row>
    <row r="48" spans="1:7" s="167" customFormat="1" ht="19.95" customHeight="1">
      <c r="A48" s="154" t="str">
        <f>'初始确认检查表K6-4'!A20</f>
        <v xml:space="preserve">     长期股权投资-合营企业</v>
      </c>
      <c r="B48" s="179">
        <f>'初始确认检查表K6-4'!B20</f>
        <v>0</v>
      </c>
      <c r="C48" s="185">
        <f>'初始确认检查表K6-4'!I20</f>
        <v>0</v>
      </c>
      <c r="D48" s="185">
        <f>'初始确认检查表K6-4'!J20</f>
        <v>0</v>
      </c>
      <c r="E48" s="185">
        <f>'初始确认检查表K6-4'!L20</f>
        <v>0</v>
      </c>
      <c r="F48" s="151"/>
      <c r="G48" s="151"/>
    </row>
    <row r="49" spans="1:5" s="151" customFormat="1" ht="19.95" customHeight="1">
      <c r="A49" s="164" t="str">
        <f>'初始确认检查表K6-4'!A21</f>
        <v xml:space="preserve">      ..</v>
      </c>
      <c r="B49" s="180">
        <f>'初始确认检查表K6-4'!B21</f>
        <v>0</v>
      </c>
      <c r="C49" s="186">
        <f>'初始确认检查表K6-4'!I21</f>
        <v>0</v>
      </c>
      <c r="D49" s="186">
        <f>'初始确认检查表K6-4'!J21</f>
        <v>0</v>
      </c>
      <c r="E49" s="186">
        <f>'初始确认检查表K6-4'!L21</f>
        <v>0</v>
      </c>
    </row>
    <row r="50" spans="1:5" s="151" customFormat="1" ht="19.95" customHeight="1" thickBot="1">
      <c r="A50" s="158" t="s">
        <v>174</v>
      </c>
      <c r="B50" s="187">
        <f>SUM(B46:B49)</f>
        <v>0</v>
      </c>
      <c r="C50" s="187">
        <f>SUM(C46:C49)</f>
        <v>0</v>
      </c>
      <c r="D50" s="187">
        <f>SUM(D46:D49)</f>
        <v>0</v>
      </c>
      <c r="E50" s="188"/>
    </row>
    <row r="51" spans="1:5" s="151" customFormat="1" ht="19.95" customHeight="1">
      <c r="A51" s="165" t="s">
        <v>193</v>
      </c>
    </row>
    <row r="52" spans="1:5" s="151" customFormat="1" ht="19.95" customHeight="1" thickBot="1">
      <c r="A52" s="165" t="s">
        <v>194</v>
      </c>
    </row>
    <row r="53" spans="1:5" s="151" customFormat="1" ht="19.95" customHeight="1" thickBot="1">
      <c r="A53" s="160" t="s">
        <v>163</v>
      </c>
      <c r="B53" s="169" t="s">
        <v>79</v>
      </c>
      <c r="C53" s="169" t="s">
        <v>80</v>
      </c>
      <c r="D53" s="169" t="s">
        <v>192</v>
      </c>
      <c r="E53" s="169" t="s">
        <v>81</v>
      </c>
    </row>
    <row r="54" spans="1:5" s="151" customFormat="1" ht="19.95" customHeight="1">
      <c r="A54" s="162" t="s">
        <v>195</v>
      </c>
      <c r="B54" s="189">
        <f>SUM(B55:B59)</f>
        <v>0</v>
      </c>
      <c r="C54" s="189">
        <f>SUM(C55:C59)</f>
        <v>0</v>
      </c>
      <c r="D54" s="189">
        <f>SUM(D55:D59)</f>
        <v>0</v>
      </c>
      <c r="E54" s="190"/>
    </row>
    <row r="55" spans="1:5" s="151" customFormat="1" ht="19.95" customHeight="1">
      <c r="A55" s="154" t="s">
        <v>196</v>
      </c>
      <c r="B55" s="179"/>
      <c r="C55" s="178"/>
      <c r="D55" s="178"/>
      <c r="E55" s="178"/>
    </row>
    <row r="56" spans="1:5" s="151" customFormat="1" ht="19.95" customHeight="1">
      <c r="A56" s="154"/>
      <c r="B56" s="178"/>
      <c r="C56" s="178"/>
      <c r="D56" s="178"/>
      <c r="E56" s="178"/>
    </row>
    <row r="57" spans="1:5" s="151" customFormat="1" ht="19.95" customHeight="1">
      <c r="A57" s="154" t="s">
        <v>197</v>
      </c>
      <c r="B57" s="178"/>
      <c r="C57" s="178"/>
      <c r="D57" s="178"/>
      <c r="E57" s="178"/>
    </row>
    <row r="58" spans="1:5" s="151" customFormat="1" ht="19.95" customHeight="1">
      <c r="A58" s="171" t="s">
        <v>198</v>
      </c>
      <c r="B58" s="178"/>
      <c r="C58" s="178"/>
      <c r="D58" s="178"/>
      <c r="E58" s="178"/>
    </row>
    <row r="59" spans="1:5" s="151" customFormat="1" ht="19.95" customHeight="1">
      <c r="A59" s="154"/>
      <c r="B59" s="178"/>
      <c r="C59" s="178"/>
      <c r="D59" s="178"/>
      <c r="E59" s="178"/>
    </row>
    <row r="60" spans="1:5" s="151" customFormat="1" ht="19.95" customHeight="1">
      <c r="A60" s="162" t="s">
        <v>178</v>
      </c>
      <c r="B60" s="189">
        <f>SUM(B61:B64)</f>
        <v>0</v>
      </c>
      <c r="C60" s="189">
        <f>SUM(C61:C64)</f>
        <v>0</v>
      </c>
      <c r="D60" s="189">
        <f>SUM(D61:D64)</f>
        <v>0</v>
      </c>
      <c r="E60" s="190"/>
    </row>
    <row r="61" spans="1:5" s="151" customFormat="1" ht="19.95" customHeight="1">
      <c r="A61" s="154" t="s">
        <v>199</v>
      </c>
      <c r="B61" s="178"/>
      <c r="C61" s="178"/>
      <c r="D61" s="178"/>
      <c r="E61" s="178"/>
    </row>
    <row r="62" spans="1:5" s="151" customFormat="1" ht="19.95" customHeight="1">
      <c r="A62" s="154" t="s">
        <v>200</v>
      </c>
      <c r="B62" s="178"/>
      <c r="C62" s="178"/>
      <c r="D62" s="178"/>
      <c r="E62" s="178"/>
    </row>
    <row r="63" spans="1:5" s="151" customFormat="1" ht="19.95" customHeight="1">
      <c r="A63" s="154" t="s">
        <v>142</v>
      </c>
      <c r="B63" s="178"/>
      <c r="C63" s="178"/>
      <c r="D63" s="178"/>
      <c r="E63" s="178"/>
    </row>
    <row r="64" spans="1:5" s="151" customFormat="1" ht="19.95" customHeight="1" thickBot="1">
      <c r="A64" s="172" t="s">
        <v>198</v>
      </c>
      <c r="B64" s="191"/>
      <c r="C64" s="191"/>
      <c r="D64" s="191"/>
      <c r="E64" s="191"/>
    </row>
    <row r="65" spans="1:5" s="151" customFormat="1" ht="19.95" customHeight="1" thickBot="1">
      <c r="A65" s="165" t="s">
        <v>201</v>
      </c>
    </row>
    <row r="66" spans="1:5" s="151" customFormat="1" ht="19.95" customHeight="1" thickBot="1">
      <c r="A66" s="160" t="s">
        <v>163</v>
      </c>
      <c r="B66" s="169" t="s">
        <v>79</v>
      </c>
      <c r="C66" s="169" t="s">
        <v>80</v>
      </c>
      <c r="D66" s="169" t="s">
        <v>192</v>
      </c>
      <c r="E66" s="169" t="s">
        <v>81</v>
      </c>
    </row>
    <row r="67" spans="1:5" s="151" customFormat="1" ht="19.95" customHeight="1">
      <c r="A67" s="162" t="s">
        <v>195</v>
      </c>
      <c r="B67" s="189">
        <f>SUM(B68:B72)</f>
        <v>0</v>
      </c>
      <c r="C67" s="189">
        <f>SUM(C68:C72)</f>
        <v>0</v>
      </c>
      <c r="D67" s="189">
        <f>SUM(D68:D72)</f>
        <v>0</v>
      </c>
      <c r="E67" s="190"/>
    </row>
    <row r="68" spans="1:5" s="151" customFormat="1" ht="19.95" customHeight="1">
      <c r="A68" s="154" t="s">
        <v>196</v>
      </c>
      <c r="B68" s="178"/>
      <c r="C68" s="178"/>
      <c r="D68" s="178"/>
      <c r="E68" s="178"/>
    </row>
    <row r="69" spans="1:5" s="151" customFormat="1" ht="19.95" customHeight="1">
      <c r="A69" s="154"/>
      <c r="B69" s="178"/>
      <c r="C69" s="178"/>
      <c r="D69" s="178"/>
      <c r="E69" s="178"/>
    </row>
    <row r="70" spans="1:5" s="151" customFormat="1" ht="19.95" customHeight="1">
      <c r="A70" s="154" t="s">
        <v>197</v>
      </c>
      <c r="B70" s="178"/>
      <c r="C70" s="178"/>
      <c r="D70" s="178"/>
      <c r="E70" s="178"/>
    </row>
    <row r="71" spans="1:5" s="151" customFormat="1" ht="19.95" customHeight="1">
      <c r="A71" s="171" t="s">
        <v>198</v>
      </c>
      <c r="B71" s="178"/>
      <c r="C71" s="178"/>
      <c r="D71" s="178"/>
      <c r="E71" s="178"/>
    </row>
    <row r="72" spans="1:5" s="151" customFormat="1" ht="19.95" customHeight="1">
      <c r="A72" s="154"/>
      <c r="B72" s="178"/>
      <c r="C72" s="178"/>
      <c r="D72" s="178"/>
      <c r="E72" s="178"/>
    </row>
    <row r="73" spans="1:5" s="151" customFormat="1" ht="19.95" customHeight="1">
      <c r="A73" s="162" t="s">
        <v>178</v>
      </c>
      <c r="B73" s="189">
        <f>SUM(B74:B77)</f>
        <v>0</v>
      </c>
      <c r="C73" s="189">
        <f>SUM(C74:C77)</f>
        <v>0</v>
      </c>
      <c r="D73" s="189">
        <f>SUM(D74:D77)</f>
        <v>0</v>
      </c>
      <c r="E73" s="190"/>
    </row>
    <row r="74" spans="1:5" s="151" customFormat="1" ht="19.95" customHeight="1">
      <c r="A74" s="154" t="s">
        <v>199</v>
      </c>
      <c r="B74" s="178"/>
      <c r="C74" s="178"/>
      <c r="D74" s="178"/>
      <c r="E74" s="178"/>
    </row>
    <row r="75" spans="1:5" s="151" customFormat="1" ht="19.95" customHeight="1">
      <c r="A75" s="154" t="s">
        <v>200</v>
      </c>
      <c r="B75" s="178"/>
      <c r="C75" s="178"/>
      <c r="D75" s="178"/>
      <c r="E75" s="178"/>
    </row>
    <row r="76" spans="1:5" s="151" customFormat="1" ht="19.95" customHeight="1">
      <c r="A76" s="154" t="s">
        <v>142</v>
      </c>
      <c r="B76" s="178"/>
      <c r="C76" s="178"/>
      <c r="D76" s="178"/>
      <c r="E76" s="178"/>
    </row>
    <row r="77" spans="1:5" s="151" customFormat="1" ht="19.95" customHeight="1" thickBot="1">
      <c r="A77" s="172" t="s">
        <v>198</v>
      </c>
      <c r="B77" s="191"/>
      <c r="C77" s="191"/>
      <c r="D77" s="191"/>
      <c r="E77" s="191"/>
    </row>
    <row r="78" spans="1:5" s="151" customFormat="1" ht="19.95" customHeight="1">
      <c r="A78" s="165" t="s">
        <v>202</v>
      </c>
    </row>
    <row r="79" spans="1:5" s="151" customFormat="1" ht="19.95" customHeight="1">
      <c r="A79" s="159" t="s">
        <v>203</v>
      </c>
    </row>
  </sheetData>
  <mergeCells count="10">
    <mergeCell ref="A6:A7"/>
    <mergeCell ref="B6:D6"/>
    <mergeCell ref="E6:G6"/>
    <mergeCell ref="A1:G1"/>
    <mergeCell ref="A2:G2"/>
    <mergeCell ref="A32:A33"/>
    <mergeCell ref="B32:B33"/>
    <mergeCell ref="C32:C33"/>
    <mergeCell ref="D32:E32"/>
    <mergeCell ref="F32:F33"/>
  </mergeCells>
  <phoneticPr fontId="5" type="noConversion"/>
  <pageMargins left="0.7" right="0.7" top="0.75" bottom="0.75" header="0.3" footer="0.3"/>
  <pageSetup paperSize="9" scale="7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61"/>
  <sheetViews>
    <sheetView showGridLines="0" view="pageBreakPreview" zoomScaleNormal="100" zoomScaleSheetLayoutView="100" workbookViewId="0">
      <selection activeCell="A58" sqref="A58"/>
    </sheetView>
  </sheetViews>
  <sheetFormatPr defaultColWidth="11.21875" defaultRowHeight="12"/>
  <cols>
    <col min="1" max="1" width="32.44140625" style="143" customWidth="1"/>
    <col min="2" max="3" width="16.21875" style="143" customWidth="1"/>
    <col min="4" max="4" width="16" style="143" customWidth="1"/>
    <col min="5" max="5" width="16.21875" style="143" customWidth="1"/>
    <col min="6" max="17" width="14.5546875" style="143" customWidth="1"/>
    <col min="18" max="18" width="11.21875" style="143" customWidth="1"/>
    <col min="19" max="16384" width="11.21875" style="143"/>
  </cols>
  <sheetData>
    <row r="1" spans="1:8" s="265" customFormat="1" ht="19.95" customHeight="1">
      <c r="A1" s="359" t="s">
        <v>349</v>
      </c>
      <c r="B1" s="359"/>
      <c r="C1" s="359"/>
      <c r="D1" s="359"/>
      <c r="E1" s="359"/>
      <c r="F1" s="359"/>
      <c r="G1" s="359"/>
    </row>
    <row r="2" spans="1:8" s="265" customFormat="1" ht="19.95" customHeight="1">
      <c r="A2" s="360" t="s">
        <v>350</v>
      </c>
      <c r="B2" s="360"/>
      <c r="C2" s="360"/>
      <c r="D2" s="360"/>
      <c r="E2" s="360"/>
      <c r="F2" s="360"/>
      <c r="G2" s="360"/>
    </row>
    <row r="3" spans="1:8" s="265" customFormat="1" ht="19.95" customHeight="1">
      <c r="A3" s="28" t="str">
        <f>底稿目录!A2</f>
        <v>被审计单位：</v>
      </c>
      <c r="B3" s="144" t="str">
        <f>底稿目录!A4</f>
        <v>编制人：</v>
      </c>
      <c r="D3" s="145" t="str">
        <f>底稿目录!A5</f>
        <v>编制日期：</v>
      </c>
      <c r="F3" s="266" t="s">
        <v>310</v>
      </c>
      <c r="G3" s="28">
        <f>底稿目录!D8</f>
        <v>0</v>
      </c>
    </row>
    <row r="4" spans="1:8" s="265" customFormat="1" ht="19.95" customHeight="1">
      <c r="A4" s="28" t="str">
        <f>底稿目录!A3</f>
        <v>截止日：202X年12月31日</v>
      </c>
      <c r="B4" s="144" t="str">
        <f>底稿目录!A6</f>
        <v>复核人：</v>
      </c>
      <c r="D4" s="145" t="str">
        <f>底稿目录!A7</f>
        <v>复核日期：</v>
      </c>
      <c r="F4" s="266" t="s">
        <v>351</v>
      </c>
      <c r="G4" s="28"/>
    </row>
    <row r="5" spans="1:8" s="268" customFormat="1" ht="19.95" customHeight="1">
      <c r="A5" s="267" t="s">
        <v>311</v>
      </c>
      <c r="D5" s="267"/>
      <c r="G5" s="267"/>
      <c r="H5" s="267"/>
    </row>
    <row r="6" spans="1:8" s="268" customFormat="1" ht="19.95" customHeight="1">
      <c r="A6" s="267" t="s">
        <v>312</v>
      </c>
      <c r="D6" s="267"/>
      <c r="G6" s="267"/>
      <c r="H6" s="267"/>
    </row>
    <row r="7" spans="1:8" s="268" customFormat="1" ht="19.95" customHeight="1">
      <c r="A7" s="267" t="s">
        <v>313</v>
      </c>
      <c r="D7" s="267"/>
      <c r="G7" s="267"/>
      <c r="H7" s="267"/>
    </row>
    <row r="8" spans="1:8" s="268" customFormat="1" ht="19.95" customHeight="1" thickBot="1">
      <c r="A8" s="267" t="s">
        <v>314</v>
      </c>
      <c r="D8" s="267"/>
      <c r="G8" s="267"/>
      <c r="H8" s="267"/>
    </row>
    <row r="9" spans="1:8" s="268" customFormat="1" ht="19.95" customHeight="1" thickBot="1">
      <c r="A9" s="353" t="s">
        <v>315</v>
      </c>
      <c r="B9" s="356" t="s">
        <v>316</v>
      </c>
      <c r="C9" s="357"/>
      <c r="D9" s="357"/>
      <c r="E9" s="358" t="s">
        <v>317</v>
      </c>
      <c r="F9" s="357"/>
      <c r="G9" s="357"/>
    </row>
    <row r="10" spans="1:8" s="268" customFormat="1" ht="19.95" customHeight="1" thickBot="1">
      <c r="A10" s="354"/>
      <c r="B10" s="269" t="s">
        <v>318</v>
      </c>
      <c r="C10" s="269" t="s">
        <v>319</v>
      </c>
      <c r="D10" s="269" t="s">
        <v>320</v>
      </c>
      <c r="E10" s="269" t="s">
        <v>318</v>
      </c>
      <c r="F10" s="269" t="s">
        <v>319</v>
      </c>
      <c r="G10" s="269" t="s">
        <v>320</v>
      </c>
    </row>
    <row r="11" spans="1:8" s="268" customFormat="1" ht="19.95" customHeight="1">
      <c r="A11" s="270" t="s">
        <v>321</v>
      </c>
      <c r="B11" s="173">
        <f>SUM(B12:B14)</f>
        <v>0</v>
      </c>
      <c r="C11" s="173"/>
      <c r="D11" s="174">
        <f t="shared" ref="D11:D18" si="0">B11-C11</f>
        <v>0</v>
      </c>
      <c r="E11" s="173">
        <f>'明细表K6-2'!L12</f>
        <v>0</v>
      </c>
      <c r="F11" s="173"/>
      <c r="G11" s="174">
        <f>E11-F11</f>
        <v>0</v>
      </c>
    </row>
    <row r="12" spans="1:8" s="268" customFormat="1" ht="19.95" customHeight="1">
      <c r="A12" s="270" t="s">
        <v>322</v>
      </c>
      <c r="B12" s="173">
        <f>'明细表K6-2'!O12</f>
        <v>0</v>
      </c>
      <c r="C12" s="173"/>
      <c r="D12" s="174">
        <f t="shared" si="0"/>
        <v>0</v>
      </c>
      <c r="E12" s="173">
        <f>'明细表K6-2'!L13</f>
        <v>0</v>
      </c>
      <c r="F12" s="173"/>
      <c r="G12" s="174">
        <f t="shared" ref="G12:G18" si="1">E12-F12</f>
        <v>0</v>
      </c>
    </row>
    <row r="13" spans="1:8" s="268" customFormat="1" ht="19.95" customHeight="1">
      <c r="A13" s="270" t="s">
        <v>323</v>
      </c>
      <c r="B13" s="173">
        <f>'明细表K6-2'!O13</f>
        <v>0</v>
      </c>
      <c r="C13" s="173"/>
      <c r="D13" s="174">
        <f t="shared" si="0"/>
        <v>0</v>
      </c>
      <c r="E13" s="173">
        <f>'明细表K6-2'!L14</f>
        <v>0</v>
      </c>
      <c r="F13" s="173"/>
      <c r="G13" s="174">
        <f t="shared" si="1"/>
        <v>0</v>
      </c>
    </row>
    <row r="14" spans="1:8" s="268" customFormat="1" ht="19.95" customHeight="1">
      <c r="A14" s="270" t="s">
        <v>170</v>
      </c>
      <c r="B14" s="173">
        <f>'明细表K6-2'!O14</f>
        <v>0</v>
      </c>
      <c r="C14" s="173"/>
      <c r="D14" s="174">
        <f t="shared" si="0"/>
        <v>0</v>
      </c>
      <c r="E14" s="173">
        <f>'明细表K6-2'!L15</f>
        <v>0</v>
      </c>
      <c r="F14" s="173"/>
      <c r="G14" s="174">
        <f t="shared" si="1"/>
        <v>0</v>
      </c>
    </row>
    <row r="15" spans="1:8" s="268" customFormat="1" ht="19.95" customHeight="1">
      <c r="A15" s="270" t="s">
        <v>324</v>
      </c>
      <c r="B15" s="173">
        <f>SUM(B16:B18)</f>
        <v>0</v>
      </c>
      <c r="C15" s="173"/>
      <c r="D15" s="174">
        <f t="shared" si="0"/>
        <v>0</v>
      </c>
      <c r="E15" s="173">
        <f>SUM(E16:E18)</f>
        <v>0</v>
      </c>
      <c r="F15" s="173"/>
      <c r="G15" s="174">
        <f t="shared" si="1"/>
        <v>0</v>
      </c>
    </row>
    <row r="16" spans="1:8" s="268" customFormat="1" ht="19.95" customHeight="1">
      <c r="A16" s="270" t="s">
        <v>325</v>
      </c>
      <c r="B16" s="173">
        <f>'明细表K6-2'!O18</f>
        <v>0</v>
      </c>
      <c r="C16" s="173"/>
      <c r="D16" s="174">
        <f t="shared" si="0"/>
        <v>0</v>
      </c>
      <c r="E16" s="173">
        <f>'明细表K6-2'!L18</f>
        <v>0</v>
      </c>
      <c r="F16" s="173"/>
      <c r="G16" s="173">
        <f t="shared" si="1"/>
        <v>0</v>
      </c>
    </row>
    <row r="17" spans="1:7" s="268" customFormat="1" ht="19.95" customHeight="1">
      <c r="A17" s="270" t="s">
        <v>326</v>
      </c>
      <c r="B17" s="173">
        <f>'明细表K6-2'!O19</f>
        <v>0</v>
      </c>
      <c r="C17" s="173"/>
      <c r="D17" s="174">
        <f t="shared" si="0"/>
        <v>0</v>
      </c>
      <c r="E17" s="173">
        <f>'明细表K6-2'!L19</f>
        <v>0</v>
      </c>
      <c r="F17" s="173"/>
      <c r="G17" s="173">
        <f t="shared" si="1"/>
        <v>0</v>
      </c>
    </row>
    <row r="18" spans="1:7" s="268" customFormat="1" ht="19.95" customHeight="1" thickBot="1">
      <c r="A18" s="271" t="s">
        <v>170</v>
      </c>
      <c r="B18" s="175"/>
      <c r="C18" s="175"/>
      <c r="D18" s="174">
        <f t="shared" si="0"/>
        <v>0</v>
      </c>
      <c r="E18" s="175"/>
      <c r="F18" s="175"/>
      <c r="G18" s="175">
        <f t="shared" si="1"/>
        <v>0</v>
      </c>
    </row>
    <row r="19" spans="1:7" s="268" customFormat="1" ht="19.95" customHeight="1" thickBot="1">
      <c r="A19" s="272" t="s">
        <v>327</v>
      </c>
      <c r="B19" s="176">
        <f>B11+B15</f>
        <v>0</v>
      </c>
      <c r="C19" s="176">
        <f>C11+C15</f>
        <v>0</v>
      </c>
      <c r="D19" s="193" t="s">
        <v>209</v>
      </c>
      <c r="E19" s="176">
        <f>E11+E15</f>
        <v>0</v>
      </c>
      <c r="F19" s="176">
        <f>F11+F15</f>
        <v>0</v>
      </c>
      <c r="G19" s="176">
        <f>G11+G15</f>
        <v>0</v>
      </c>
    </row>
    <row r="20" spans="1:7" s="268" customFormat="1" ht="19.95" customHeight="1">
      <c r="A20" s="267" t="s">
        <v>328</v>
      </c>
    </row>
    <row r="21" spans="1:7" s="268" customFormat="1" ht="19.95" customHeight="1" thickBot="1">
      <c r="A21" s="273" t="s">
        <v>329</v>
      </c>
    </row>
    <row r="22" spans="1:7" s="268" customFormat="1" ht="19.95" customHeight="1" thickBot="1">
      <c r="A22" s="353" t="s">
        <v>315</v>
      </c>
      <c r="B22" s="355" t="s">
        <v>330</v>
      </c>
      <c r="C22" s="355" t="s">
        <v>331</v>
      </c>
      <c r="D22" s="356" t="s">
        <v>332</v>
      </c>
      <c r="E22" s="357"/>
      <c r="F22" s="355" t="s">
        <v>316</v>
      </c>
    </row>
    <row r="23" spans="1:7" s="268" customFormat="1" ht="19.95" customHeight="1" thickBot="1">
      <c r="A23" s="354"/>
      <c r="B23" s="354"/>
      <c r="C23" s="354"/>
      <c r="D23" s="269" t="s">
        <v>333</v>
      </c>
      <c r="E23" s="269" t="s">
        <v>334</v>
      </c>
      <c r="F23" s="354"/>
    </row>
    <row r="24" spans="1:7" s="268" customFormat="1" ht="19.95" customHeight="1">
      <c r="A24" s="270" t="s">
        <v>321</v>
      </c>
      <c r="B24" s="179">
        <f>SUM(B25:B27)</f>
        <v>0</v>
      </c>
      <c r="C24" s="179">
        <f>SUM(C25:C27)</f>
        <v>0</v>
      </c>
      <c r="D24" s="179">
        <f>SUM(D25:D27)</f>
        <v>0</v>
      </c>
      <c r="E24" s="179">
        <f>SUM(E25:E27)</f>
        <v>0</v>
      </c>
      <c r="F24" s="179">
        <f t="shared" ref="F24:F32" si="2">B24+C24-D24-E24</f>
        <v>0</v>
      </c>
    </row>
    <row r="25" spans="1:7" s="268" customFormat="1" ht="19.95" customHeight="1">
      <c r="A25" s="270" t="s">
        <v>322</v>
      </c>
      <c r="B25" s="179"/>
      <c r="C25" s="179"/>
      <c r="D25" s="179"/>
      <c r="E25" s="179"/>
      <c r="F25" s="179">
        <f t="shared" si="2"/>
        <v>0</v>
      </c>
    </row>
    <row r="26" spans="1:7" s="268" customFormat="1" ht="19.95" customHeight="1">
      <c r="A26" s="270" t="s">
        <v>323</v>
      </c>
      <c r="B26" s="179"/>
      <c r="C26" s="179"/>
      <c r="D26" s="179"/>
      <c r="E26" s="179"/>
      <c r="F26" s="179">
        <f t="shared" si="2"/>
        <v>0</v>
      </c>
    </row>
    <row r="27" spans="1:7" s="268" customFormat="1" ht="19.95" customHeight="1">
      <c r="A27" s="270" t="s">
        <v>170</v>
      </c>
      <c r="B27" s="179"/>
      <c r="C27" s="179"/>
      <c r="D27" s="179"/>
      <c r="E27" s="179"/>
      <c r="F27" s="179">
        <f t="shared" si="2"/>
        <v>0</v>
      </c>
    </row>
    <row r="28" spans="1:7" s="268" customFormat="1" ht="19.95" customHeight="1">
      <c r="A28" s="270" t="s">
        <v>324</v>
      </c>
      <c r="B28" s="179">
        <f>SUM(B29:B31)</f>
        <v>0</v>
      </c>
      <c r="C28" s="179">
        <f>SUM(C29:C31)</f>
        <v>0</v>
      </c>
      <c r="D28" s="179">
        <f>SUM(D29:D31)</f>
        <v>0</v>
      </c>
      <c r="E28" s="179">
        <f>SUM(E29:E31)</f>
        <v>0</v>
      </c>
      <c r="F28" s="179">
        <f t="shared" si="2"/>
        <v>0</v>
      </c>
    </row>
    <row r="29" spans="1:7" s="268" customFormat="1" ht="19.95" customHeight="1">
      <c r="A29" s="270" t="s">
        <v>325</v>
      </c>
      <c r="B29" s="179"/>
      <c r="C29" s="179"/>
      <c r="D29" s="179"/>
      <c r="E29" s="179"/>
      <c r="F29" s="179">
        <f t="shared" si="2"/>
        <v>0</v>
      </c>
    </row>
    <row r="30" spans="1:7" s="268" customFormat="1" ht="19.95" customHeight="1">
      <c r="A30" s="270" t="s">
        <v>326</v>
      </c>
      <c r="B30" s="179"/>
      <c r="C30" s="179"/>
      <c r="D30" s="179"/>
      <c r="E30" s="179"/>
      <c r="F30" s="179">
        <f t="shared" si="2"/>
        <v>0</v>
      </c>
    </row>
    <row r="31" spans="1:7" s="268" customFormat="1" ht="19.95" customHeight="1" thickBot="1">
      <c r="A31" s="271" t="s">
        <v>170</v>
      </c>
      <c r="B31" s="194"/>
      <c r="C31" s="194"/>
      <c r="D31" s="194"/>
      <c r="E31" s="194"/>
      <c r="F31" s="194">
        <f t="shared" si="2"/>
        <v>0</v>
      </c>
    </row>
    <row r="32" spans="1:7" s="268" customFormat="1" ht="19.95" customHeight="1" thickBot="1">
      <c r="A32" s="272" t="s">
        <v>327</v>
      </c>
      <c r="B32" s="176">
        <f>B24+B28</f>
        <v>0</v>
      </c>
      <c r="C32" s="176">
        <f>C24+C28</f>
        <v>0</v>
      </c>
      <c r="D32" s="176">
        <f>D24+D28</f>
        <v>0</v>
      </c>
      <c r="E32" s="176">
        <f>E24+E28</f>
        <v>0</v>
      </c>
      <c r="F32" s="194">
        <f t="shared" si="2"/>
        <v>0</v>
      </c>
    </row>
    <row r="33" spans="1:5" s="268" customFormat="1" ht="19.95" customHeight="1" thickBot="1">
      <c r="A33" s="273" t="s">
        <v>335</v>
      </c>
    </row>
    <row r="34" spans="1:5" s="268" customFormat="1" ht="19.95" customHeight="1" thickBot="1">
      <c r="A34" s="274" t="s">
        <v>315</v>
      </c>
      <c r="B34" s="275" t="s">
        <v>336</v>
      </c>
      <c r="C34" s="275" t="s">
        <v>337</v>
      </c>
      <c r="D34" s="275" t="s">
        <v>338</v>
      </c>
      <c r="E34" s="275" t="s">
        <v>339</v>
      </c>
    </row>
    <row r="35" spans="1:5" s="268" customFormat="1" ht="19.95" customHeight="1">
      <c r="A35" s="270" t="str">
        <f>'初始确认检查表K6-4'!A18</f>
        <v>其中：固定资产</v>
      </c>
      <c r="B35" s="179">
        <f>'初始确认检查表K6-4'!B18</f>
        <v>0</v>
      </c>
      <c r="C35" s="179">
        <f>'初始确认检查表K6-4'!I18</f>
        <v>0</v>
      </c>
      <c r="D35" s="179">
        <f>'初始确认检查表K6-4'!J18</f>
        <v>0</v>
      </c>
      <c r="E35" s="179">
        <f>'初始确认检查表K6-4'!L18</f>
        <v>0</v>
      </c>
    </row>
    <row r="36" spans="1:5" s="268" customFormat="1" ht="19.95" customHeight="1">
      <c r="A36" s="270" t="str">
        <f>'初始确认检查表K6-4'!A19</f>
        <v xml:space="preserve">     长期股权投资-联营企业</v>
      </c>
      <c r="B36" s="179">
        <f>'初始确认检查表K6-4'!B19</f>
        <v>0</v>
      </c>
      <c r="C36" s="179">
        <f>'初始确认检查表K6-4'!I19</f>
        <v>0</v>
      </c>
      <c r="D36" s="179">
        <f>'初始确认检查表K6-4'!J19</f>
        <v>0</v>
      </c>
      <c r="E36" s="179">
        <f>'初始确认检查表K6-4'!L19</f>
        <v>0</v>
      </c>
    </row>
    <row r="37" spans="1:5" s="268" customFormat="1" ht="19.95" customHeight="1">
      <c r="A37" s="270" t="str">
        <f>'初始确认检查表K6-4'!A20</f>
        <v xml:space="preserve">     长期股权投资-合营企业</v>
      </c>
      <c r="B37" s="179">
        <f>'初始确认检查表K6-4'!B20</f>
        <v>0</v>
      </c>
      <c r="C37" s="179">
        <f>'初始确认检查表K6-4'!I20</f>
        <v>0</v>
      </c>
      <c r="D37" s="179">
        <f>'初始确认检查表K6-4'!J20</f>
        <v>0</v>
      </c>
      <c r="E37" s="179">
        <f>'初始确认检查表K6-4'!L20</f>
        <v>0</v>
      </c>
    </row>
    <row r="38" spans="1:5" s="268" customFormat="1" ht="19.95" customHeight="1">
      <c r="A38" s="270" t="str">
        <f>'初始确认检查表K6-4'!A21</f>
        <v xml:space="preserve">      ..</v>
      </c>
      <c r="B38" s="179">
        <f>'初始确认检查表K6-4'!B21</f>
        <v>0</v>
      </c>
      <c r="C38" s="179">
        <f>'初始确认检查表K6-4'!I21</f>
        <v>0</v>
      </c>
      <c r="D38" s="179">
        <f>'初始确认检查表K6-4'!J21</f>
        <v>0</v>
      </c>
      <c r="E38" s="179">
        <f>'初始确认检查表K6-4'!L21</f>
        <v>0</v>
      </c>
    </row>
    <row r="39" spans="1:5" s="268" customFormat="1" ht="19.95" customHeight="1" thickBot="1">
      <c r="A39" s="276" t="s">
        <v>327</v>
      </c>
      <c r="B39" s="195">
        <f>SUM(B35:B38)</f>
        <v>0</v>
      </c>
      <c r="C39" s="195">
        <f>SUM(C35:C38)</f>
        <v>0</v>
      </c>
      <c r="D39" s="195">
        <f>SUM(D35:D38)</f>
        <v>0</v>
      </c>
      <c r="E39" s="196"/>
    </row>
    <row r="40" spans="1:5" s="268" customFormat="1" ht="19.95" customHeight="1">
      <c r="A40" s="267" t="s">
        <v>340</v>
      </c>
    </row>
    <row r="41" spans="1:5" s="268" customFormat="1" ht="19.95" customHeight="1">
      <c r="A41" s="268" t="s">
        <v>341</v>
      </c>
    </row>
    <row r="42" spans="1:5" s="268" customFormat="1" ht="19.95" customHeight="1" thickBot="1">
      <c r="A42" s="273" t="s">
        <v>342</v>
      </c>
    </row>
    <row r="43" spans="1:5" s="268" customFormat="1" ht="19.95" customHeight="1" thickBot="1">
      <c r="A43" s="274" t="s">
        <v>315</v>
      </c>
      <c r="B43" s="275" t="s">
        <v>336</v>
      </c>
      <c r="C43" s="275" t="s">
        <v>337</v>
      </c>
      <c r="D43" s="275" t="s">
        <v>338</v>
      </c>
      <c r="E43" s="275" t="s">
        <v>339</v>
      </c>
    </row>
    <row r="44" spans="1:5" s="268" customFormat="1" ht="19.95" customHeight="1">
      <c r="A44" s="270"/>
      <c r="B44" s="179"/>
      <c r="C44" s="179"/>
      <c r="D44" s="179"/>
      <c r="E44" s="179"/>
    </row>
    <row r="45" spans="1:5" s="268" customFormat="1" ht="19.95" customHeight="1">
      <c r="A45" s="270"/>
      <c r="B45" s="179" t="s">
        <v>204</v>
      </c>
      <c r="C45" s="179"/>
      <c r="D45" s="179"/>
      <c r="E45" s="179" t="s">
        <v>204</v>
      </c>
    </row>
    <row r="46" spans="1:5" s="268" customFormat="1" ht="19.95" customHeight="1" thickBot="1">
      <c r="A46" s="271"/>
      <c r="B46" s="194"/>
      <c r="C46" s="194"/>
      <c r="D46" s="194"/>
      <c r="E46" s="194"/>
    </row>
    <row r="47" spans="1:5" s="268" customFormat="1" ht="19.95" customHeight="1" thickBot="1">
      <c r="A47" s="272" t="s">
        <v>327</v>
      </c>
      <c r="B47" s="176">
        <f>SUM(B44:B46)</f>
        <v>0</v>
      </c>
      <c r="C47" s="176">
        <f>SUM(C44:C46)</f>
        <v>0</v>
      </c>
      <c r="D47" s="176">
        <f>SUM(D44:D46)</f>
        <v>0</v>
      </c>
      <c r="E47" s="176"/>
    </row>
    <row r="48" spans="1:5" s="268" customFormat="1" ht="19.95" customHeight="1"/>
    <row r="49" spans="1:5" s="268" customFormat="1" ht="19.95" customHeight="1"/>
    <row r="50" spans="1:5" s="277" customFormat="1" ht="19.95" customHeight="1" thickBot="1">
      <c r="A50" s="277" t="s">
        <v>343</v>
      </c>
      <c r="D50" s="278"/>
      <c r="E50" s="279"/>
    </row>
    <row r="51" spans="1:5" s="282" customFormat="1" ht="19.95" customHeight="1" thickBot="1">
      <c r="A51" s="280" t="s">
        <v>315</v>
      </c>
      <c r="B51" s="281" t="s">
        <v>344</v>
      </c>
      <c r="C51" s="281" t="s">
        <v>345</v>
      </c>
      <c r="D51" s="281" t="s">
        <v>346</v>
      </c>
      <c r="E51" s="281" t="s">
        <v>347</v>
      </c>
    </row>
    <row r="52" spans="1:5" s="282" customFormat="1" ht="19.95" customHeight="1">
      <c r="A52" s="283"/>
      <c r="B52" s="197"/>
      <c r="C52" s="197"/>
      <c r="D52" s="197"/>
      <c r="E52" s="197"/>
    </row>
    <row r="53" spans="1:5" s="282" customFormat="1" ht="19.95" customHeight="1">
      <c r="A53" s="283"/>
      <c r="B53" s="197"/>
      <c r="C53" s="197"/>
      <c r="D53" s="197"/>
      <c r="E53" s="197"/>
    </row>
    <row r="54" spans="1:5" s="282" customFormat="1" ht="19.95" customHeight="1">
      <c r="A54" s="283" t="s">
        <v>198</v>
      </c>
      <c r="B54" s="197"/>
      <c r="C54" s="197"/>
      <c r="D54" s="197"/>
      <c r="E54" s="197"/>
    </row>
    <row r="55" spans="1:5" s="282" customFormat="1" ht="19.95" customHeight="1" thickBot="1">
      <c r="A55" s="284"/>
      <c r="B55" s="198"/>
      <c r="C55" s="198"/>
      <c r="D55" s="198"/>
      <c r="E55" s="198"/>
    </row>
    <row r="56" spans="1:5" s="282" customFormat="1" ht="19.95" customHeight="1" thickBot="1">
      <c r="A56" s="285" t="s">
        <v>327</v>
      </c>
      <c r="B56" s="199">
        <f>SUM(B52:B55)</f>
        <v>0</v>
      </c>
      <c r="C56" s="199">
        <f>SUM(C52:C55)</f>
        <v>0</v>
      </c>
      <c r="D56" s="199">
        <f>SUM(D52:D55)</f>
        <v>0</v>
      </c>
      <c r="E56" s="199"/>
    </row>
    <row r="57" spans="1:5" s="282" customFormat="1" ht="19.95" customHeight="1">
      <c r="A57" s="192" t="s">
        <v>179</v>
      </c>
    </row>
    <row r="58" spans="1:5" s="282" customFormat="1" ht="19.95" customHeight="1">
      <c r="A58" s="286" t="s">
        <v>348</v>
      </c>
    </row>
    <row r="59" spans="1:5" s="282" customFormat="1" ht="19.95" customHeight="1">
      <c r="A59" s="286" t="s">
        <v>352</v>
      </c>
    </row>
    <row r="60" spans="1:5" s="282" customFormat="1" ht="19.95" customHeight="1">
      <c r="A60" s="286" t="s">
        <v>353</v>
      </c>
    </row>
    <row r="61" spans="1:5" s="282" customFormat="1" ht="19.95" customHeight="1">
      <c r="A61" s="286" t="s">
        <v>354</v>
      </c>
    </row>
  </sheetData>
  <mergeCells count="10">
    <mergeCell ref="A9:A10"/>
    <mergeCell ref="B9:D9"/>
    <mergeCell ref="E9:G9"/>
    <mergeCell ref="A1:G1"/>
    <mergeCell ref="A2:G2"/>
    <mergeCell ref="A22:A23"/>
    <mergeCell ref="B22:B23"/>
    <mergeCell ref="C22:C23"/>
    <mergeCell ref="D22:E22"/>
    <mergeCell ref="F22:F23"/>
  </mergeCells>
  <phoneticPr fontId="31" type="noConversion"/>
  <pageMargins left="0.7" right="0.7" top="0.75" bottom="0.75" header="0.3" footer="0.3"/>
  <pageSetup paperSize="9" scale="77"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O40"/>
  <sheetViews>
    <sheetView view="pageBreakPreview" zoomScaleSheetLayoutView="100" workbookViewId="0">
      <selection sqref="A1:O1"/>
    </sheetView>
  </sheetViews>
  <sheetFormatPr defaultColWidth="9.109375" defaultRowHeight="15.6"/>
  <cols>
    <col min="1" max="1" width="35.5546875" style="14" customWidth="1"/>
    <col min="2" max="15" width="11.109375" style="14" customWidth="1"/>
    <col min="16" max="16384" width="9.109375" style="14"/>
  </cols>
  <sheetData>
    <row r="1" spans="1:15" s="7" customFormat="1" ht="19.95" customHeight="1">
      <c r="A1" s="372" t="s">
        <v>205</v>
      </c>
      <c r="B1" s="372"/>
      <c r="C1" s="372"/>
      <c r="D1" s="372"/>
      <c r="E1" s="372"/>
      <c r="F1" s="372"/>
      <c r="G1" s="372"/>
      <c r="H1" s="372"/>
      <c r="I1" s="372"/>
      <c r="J1" s="372"/>
      <c r="K1" s="372"/>
      <c r="L1" s="372"/>
      <c r="M1" s="372"/>
      <c r="N1" s="372"/>
      <c r="O1" s="372"/>
    </row>
    <row r="2" spans="1:15" s="7" customFormat="1" ht="19.95" customHeight="1">
      <c r="A2" s="327" t="s">
        <v>82</v>
      </c>
      <c r="B2" s="373"/>
      <c r="C2" s="373"/>
      <c r="D2" s="373"/>
      <c r="E2" s="373"/>
      <c r="F2" s="373"/>
      <c r="G2" s="373"/>
      <c r="H2" s="373"/>
      <c r="I2" s="373"/>
      <c r="J2" s="373"/>
      <c r="K2" s="373"/>
      <c r="L2" s="373"/>
      <c r="M2" s="373"/>
      <c r="N2" s="373"/>
      <c r="O2" s="373"/>
    </row>
    <row r="3" spans="1:15" s="8" customFormat="1" ht="19.95" customHeight="1">
      <c r="A3" s="2" t="str">
        <f>底稿目录!A2</f>
        <v>被审计单位：</v>
      </c>
      <c r="D3" s="3" t="str">
        <f>底稿目录!A4</f>
        <v>编制人：</v>
      </c>
      <c r="E3" s="58"/>
      <c r="G3" s="58"/>
      <c r="H3" s="58"/>
      <c r="J3" s="56" t="str">
        <f>底稿目录!A5</f>
        <v>编制日期：</v>
      </c>
      <c r="K3" s="57"/>
      <c r="N3" s="200" t="s">
        <v>220</v>
      </c>
      <c r="O3" s="302" t="str">
        <f>底稿目录!D9</f>
        <v>K6-2</v>
      </c>
    </row>
    <row r="4" spans="1:15" s="8" customFormat="1" ht="19.95" customHeight="1">
      <c r="A4" s="2" t="str">
        <f>底稿目录!A3</f>
        <v>截止日：202X年12月31日</v>
      </c>
      <c r="D4" s="3" t="str">
        <f>底稿目录!A6</f>
        <v>复核人：</v>
      </c>
      <c r="E4" s="58"/>
      <c r="G4" s="58"/>
      <c r="H4" s="58"/>
      <c r="J4" s="56" t="str">
        <f>底稿目录!A7</f>
        <v>复核日期：</v>
      </c>
      <c r="K4" s="57"/>
      <c r="N4" s="200" t="s">
        <v>390</v>
      </c>
    </row>
    <row r="5" spans="1:15" s="8" customFormat="1" ht="19.95" customHeight="1">
      <c r="A5" s="30" t="s">
        <v>8</v>
      </c>
      <c r="B5" s="31"/>
      <c r="F5" s="32"/>
      <c r="J5" s="33"/>
      <c r="M5" s="34"/>
    </row>
    <row r="6" spans="1:15" s="8" customFormat="1" ht="19.95" customHeight="1">
      <c r="A6" s="246" t="s">
        <v>253</v>
      </c>
      <c r="B6" s="31"/>
      <c r="F6" s="32"/>
      <c r="G6" s="8" t="s">
        <v>254</v>
      </c>
      <c r="J6" s="33"/>
      <c r="M6" s="34"/>
    </row>
    <row r="7" spans="1:15" s="8" customFormat="1" ht="19.95" customHeight="1">
      <c r="A7" s="246" t="s">
        <v>255</v>
      </c>
      <c r="B7" s="246"/>
      <c r="F7" s="32"/>
      <c r="J7" s="33"/>
      <c r="M7" s="34"/>
    </row>
    <row r="8" spans="1:15" s="8" customFormat="1" ht="19.95" customHeight="1">
      <c r="A8" s="35" t="s">
        <v>9</v>
      </c>
      <c r="F8" s="36"/>
      <c r="J8" s="33"/>
      <c r="M8" s="34"/>
    </row>
    <row r="9" spans="1:15" s="9" customFormat="1" ht="19.95" customHeight="1">
      <c r="A9" s="370" t="s">
        <v>10</v>
      </c>
      <c r="B9" s="374" t="s">
        <v>31</v>
      </c>
      <c r="C9" s="375"/>
      <c r="D9" s="375"/>
      <c r="E9" s="376"/>
      <c r="F9" s="377" t="s">
        <v>32</v>
      </c>
      <c r="G9" s="377"/>
      <c r="H9" s="377" t="s">
        <v>33</v>
      </c>
      <c r="I9" s="377"/>
      <c r="J9" s="365" t="s">
        <v>34</v>
      </c>
      <c r="K9" s="366"/>
      <c r="L9" s="367" t="s">
        <v>35</v>
      </c>
      <c r="M9" s="368"/>
      <c r="N9" s="368"/>
      <c r="O9" s="369"/>
    </row>
    <row r="10" spans="1:15" s="42" customFormat="1" ht="19.95" customHeight="1">
      <c r="A10" s="371"/>
      <c r="B10" s="45" t="s">
        <v>36</v>
      </c>
      <c r="C10" s="45" t="s">
        <v>37</v>
      </c>
      <c r="D10" s="45" t="s">
        <v>38</v>
      </c>
      <c r="E10" s="45" t="s">
        <v>39</v>
      </c>
      <c r="F10" s="45" t="s">
        <v>40</v>
      </c>
      <c r="G10" s="45" t="s">
        <v>41</v>
      </c>
      <c r="H10" s="45" t="s">
        <v>42</v>
      </c>
      <c r="I10" s="45" t="s">
        <v>38</v>
      </c>
      <c r="J10" s="44" t="s">
        <v>42</v>
      </c>
      <c r="K10" s="44" t="s">
        <v>38</v>
      </c>
      <c r="L10" s="43" t="s">
        <v>36</v>
      </c>
      <c r="M10" s="43" t="s">
        <v>42</v>
      </c>
      <c r="N10" s="43" t="s">
        <v>38</v>
      </c>
      <c r="O10" s="43" t="s">
        <v>39</v>
      </c>
    </row>
    <row r="11" spans="1:15" s="42" customFormat="1" ht="19.95" customHeight="1">
      <c r="A11" s="92" t="s">
        <v>83</v>
      </c>
      <c r="B11" s="46"/>
      <c r="C11" s="46"/>
      <c r="D11" s="46"/>
      <c r="E11" s="46"/>
      <c r="F11" s="46"/>
      <c r="G11" s="46"/>
      <c r="H11" s="46"/>
      <c r="I11" s="46"/>
      <c r="J11" s="46"/>
      <c r="K11" s="46"/>
      <c r="L11" s="47"/>
      <c r="M11" s="47"/>
      <c r="N11" s="47"/>
      <c r="O11" s="48"/>
    </row>
    <row r="12" spans="1:15" s="8" customFormat="1" ht="19.95" customHeight="1">
      <c r="A12" s="60" t="s">
        <v>14</v>
      </c>
      <c r="B12" s="253"/>
      <c r="C12" s="253"/>
      <c r="D12" s="253"/>
      <c r="E12" s="210">
        <f>B12+C12-D12</f>
        <v>0</v>
      </c>
      <c r="F12" s="253"/>
      <c r="G12" s="253"/>
      <c r="H12" s="253"/>
      <c r="I12" s="253"/>
      <c r="J12" s="253"/>
      <c r="K12" s="253"/>
      <c r="L12" s="210">
        <f>B12+F12+G12</f>
        <v>0</v>
      </c>
      <c r="M12" s="210">
        <f>C12+H12+J12</f>
        <v>0</v>
      </c>
      <c r="N12" s="210">
        <f>D12+I12+K12</f>
        <v>0</v>
      </c>
      <c r="O12" s="210">
        <f>L12+M12-N12</f>
        <v>0</v>
      </c>
    </row>
    <row r="13" spans="1:15" s="8" customFormat="1" ht="19.95" customHeight="1">
      <c r="A13" s="303" t="s">
        <v>270</v>
      </c>
      <c r="B13" s="253"/>
      <c r="C13" s="253"/>
      <c r="D13" s="253"/>
      <c r="E13" s="210">
        <f t="shared" ref="E13:E15" si="0">B13+C13-D13</f>
        <v>0</v>
      </c>
      <c r="F13" s="253"/>
      <c r="G13" s="253"/>
      <c r="H13" s="253"/>
      <c r="I13" s="253"/>
      <c r="J13" s="253"/>
      <c r="K13" s="253"/>
      <c r="L13" s="210">
        <f t="shared" ref="L13" si="1">B13+F13+G13</f>
        <v>0</v>
      </c>
      <c r="M13" s="210">
        <f t="shared" ref="M13:N13" si="2">C13+H13+J13</f>
        <v>0</v>
      </c>
      <c r="N13" s="210">
        <f t="shared" si="2"/>
        <v>0</v>
      </c>
      <c r="O13" s="210">
        <f t="shared" ref="O13" si="3">L13+M13-N13</f>
        <v>0</v>
      </c>
    </row>
    <row r="14" spans="1:15" s="8" customFormat="1" ht="19.95" customHeight="1">
      <c r="A14" s="303" t="s">
        <v>274</v>
      </c>
      <c r="B14" s="253"/>
      <c r="C14" s="253"/>
      <c r="D14" s="253"/>
      <c r="E14" s="210">
        <f t="shared" si="0"/>
        <v>0</v>
      </c>
      <c r="F14" s="253"/>
      <c r="G14" s="253"/>
      <c r="H14" s="253"/>
      <c r="I14" s="253"/>
      <c r="J14" s="253"/>
      <c r="K14" s="253"/>
      <c r="L14" s="210">
        <f t="shared" ref="L14:L23" si="4">B14+F14+G14</f>
        <v>0</v>
      </c>
      <c r="M14" s="210">
        <f t="shared" ref="M14:M23" si="5">C14+H14+J14</f>
        <v>0</v>
      </c>
      <c r="N14" s="210">
        <f t="shared" ref="N14:N23" si="6">D14+I14+K14</f>
        <v>0</v>
      </c>
      <c r="O14" s="210">
        <f t="shared" ref="O14:O23" si="7">L14+M14-N14</f>
        <v>0</v>
      </c>
    </row>
    <row r="15" spans="1:15" s="8" customFormat="1" ht="19.95" customHeight="1">
      <c r="A15" s="60" t="s">
        <v>2</v>
      </c>
      <c r="B15" s="253"/>
      <c r="C15" s="253"/>
      <c r="D15" s="253"/>
      <c r="E15" s="210">
        <f t="shared" si="0"/>
        <v>0</v>
      </c>
      <c r="F15" s="253"/>
      <c r="G15" s="253"/>
      <c r="H15" s="253"/>
      <c r="I15" s="253"/>
      <c r="J15" s="253"/>
      <c r="K15" s="253"/>
      <c r="L15" s="210">
        <f t="shared" si="4"/>
        <v>0</v>
      </c>
      <c r="M15" s="210">
        <f t="shared" si="5"/>
        <v>0</v>
      </c>
      <c r="N15" s="210">
        <f t="shared" si="6"/>
        <v>0</v>
      </c>
      <c r="O15" s="210">
        <f t="shared" si="7"/>
        <v>0</v>
      </c>
    </row>
    <row r="16" spans="1:15" s="42" customFormat="1" ht="19.95" customHeight="1">
      <c r="A16" s="61" t="s">
        <v>15</v>
      </c>
      <c r="B16" s="210">
        <f>SUM(B12:B15)</f>
        <v>0</v>
      </c>
      <c r="C16" s="210">
        <f t="shared" ref="C16:O16" si="8">SUM(C12:C15)</f>
        <v>0</v>
      </c>
      <c r="D16" s="210">
        <f t="shared" si="8"/>
        <v>0</v>
      </c>
      <c r="E16" s="210">
        <f t="shared" si="8"/>
        <v>0</v>
      </c>
      <c r="F16" s="210">
        <f t="shared" si="8"/>
        <v>0</v>
      </c>
      <c r="G16" s="210">
        <f t="shared" si="8"/>
        <v>0</v>
      </c>
      <c r="H16" s="210">
        <f t="shared" si="8"/>
        <v>0</v>
      </c>
      <c r="I16" s="210">
        <f t="shared" si="8"/>
        <v>0</v>
      </c>
      <c r="J16" s="210">
        <f t="shared" si="8"/>
        <v>0</v>
      </c>
      <c r="K16" s="210">
        <f t="shared" si="8"/>
        <v>0</v>
      </c>
      <c r="L16" s="210">
        <f t="shared" si="8"/>
        <v>0</v>
      </c>
      <c r="M16" s="210">
        <f t="shared" si="8"/>
        <v>0</v>
      </c>
      <c r="N16" s="210">
        <f t="shared" si="8"/>
        <v>0</v>
      </c>
      <c r="O16" s="210">
        <f t="shared" si="8"/>
        <v>0</v>
      </c>
    </row>
    <row r="17" spans="1:15" s="42" customFormat="1" ht="19.95" customHeight="1">
      <c r="A17" s="92" t="s">
        <v>84</v>
      </c>
      <c r="B17" s="49"/>
      <c r="C17" s="49"/>
      <c r="D17" s="49"/>
      <c r="E17" s="49"/>
      <c r="F17" s="49"/>
      <c r="G17" s="49"/>
      <c r="H17" s="49"/>
      <c r="I17" s="49"/>
      <c r="J17" s="49"/>
      <c r="K17" s="49"/>
      <c r="L17" s="50"/>
      <c r="M17" s="50"/>
      <c r="N17" s="50"/>
      <c r="O17" s="51"/>
    </row>
    <row r="18" spans="1:15" s="8" customFormat="1" ht="19.95" customHeight="1">
      <c r="A18" s="60" t="s">
        <v>43</v>
      </c>
      <c r="B18" s="253"/>
      <c r="C18" s="253"/>
      <c r="D18" s="253"/>
      <c r="E18" s="210">
        <f t="shared" ref="E18:E19" si="9">B18+C18-D18</f>
        <v>0</v>
      </c>
      <c r="F18" s="253"/>
      <c r="G18" s="253"/>
      <c r="H18" s="253"/>
      <c r="I18" s="253"/>
      <c r="J18" s="253"/>
      <c r="K18" s="253"/>
      <c r="L18" s="210">
        <f t="shared" si="4"/>
        <v>0</v>
      </c>
      <c r="M18" s="210">
        <f t="shared" si="5"/>
        <v>0</v>
      </c>
      <c r="N18" s="210">
        <f t="shared" si="6"/>
        <v>0</v>
      </c>
      <c r="O18" s="210">
        <f t="shared" si="7"/>
        <v>0</v>
      </c>
    </row>
    <row r="19" spans="1:15" s="8" customFormat="1" ht="19.95" customHeight="1">
      <c r="A19" s="60" t="s">
        <v>59</v>
      </c>
      <c r="B19" s="253"/>
      <c r="C19" s="253"/>
      <c r="D19" s="253"/>
      <c r="E19" s="210">
        <f t="shared" si="9"/>
        <v>0</v>
      </c>
      <c r="F19" s="253"/>
      <c r="G19" s="253"/>
      <c r="H19" s="253"/>
      <c r="I19" s="253"/>
      <c r="J19" s="253"/>
      <c r="K19" s="253"/>
      <c r="L19" s="210">
        <f t="shared" si="4"/>
        <v>0</v>
      </c>
      <c r="M19" s="210">
        <f t="shared" si="5"/>
        <v>0</v>
      </c>
      <c r="N19" s="210">
        <f t="shared" si="6"/>
        <v>0</v>
      </c>
      <c r="O19" s="210">
        <f t="shared" si="7"/>
        <v>0</v>
      </c>
    </row>
    <row r="20" spans="1:15" s="42" customFormat="1" ht="19.95" customHeight="1">
      <c r="A20" s="63" t="s">
        <v>19</v>
      </c>
      <c r="B20" s="210">
        <f t="shared" ref="B20:O20" si="10">SUM(B18:B19)</f>
        <v>0</v>
      </c>
      <c r="C20" s="210">
        <f t="shared" si="10"/>
        <v>0</v>
      </c>
      <c r="D20" s="210">
        <f t="shared" si="10"/>
        <v>0</v>
      </c>
      <c r="E20" s="210">
        <f t="shared" si="10"/>
        <v>0</v>
      </c>
      <c r="F20" s="210">
        <f t="shared" si="10"/>
        <v>0</v>
      </c>
      <c r="G20" s="210">
        <f t="shared" si="10"/>
        <v>0</v>
      </c>
      <c r="H20" s="210">
        <f t="shared" si="10"/>
        <v>0</v>
      </c>
      <c r="I20" s="210">
        <f t="shared" si="10"/>
        <v>0</v>
      </c>
      <c r="J20" s="210">
        <f t="shared" si="10"/>
        <v>0</v>
      </c>
      <c r="K20" s="210">
        <f t="shared" si="10"/>
        <v>0</v>
      </c>
      <c r="L20" s="210">
        <f t="shared" si="10"/>
        <v>0</v>
      </c>
      <c r="M20" s="210">
        <f t="shared" si="10"/>
        <v>0</v>
      </c>
      <c r="N20" s="210">
        <f t="shared" si="10"/>
        <v>0</v>
      </c>
      <c r="O20" s="210">
        <f t="shared" si="10"/>
        <v>0</v>
      </c>
    </row>
    <row r="21" spans="1:15" s="42" customFormat="1" ht="19.95" customHeight="1">
      <c r="A21" s="92" t="s">
        <v>85</v>
      </c>
      <c r="B21" s="49"/>
      <c r="C21" s="49"/>
      <c r="D21" s="49"/>
      <c r="E21" s="49"/>
      <c r="F21" s="49"/>
      <c r="G21" s="49"/>
      <c r="H21" s="49"/>
      <c r="I21" s="49"/>
      <c r="J21" s="49"/>
      <c r="K21" s="49"/>
      <c r="L21" s="50"/>
      <c r="M21" s="50"/>
      <c r="N21" s="50"/>
      <c r="O21" s="51"/>
    </row>
    <row r="22" spans="1:15" s="8" customFormat="1" ht="19.95" customHeight="1">
      <c r="A22" s="60" t="s">
        <v>43</v>
      </c>
      <c r="B22" s="253"/>
      <c r="C22" s="253"/>
      <c r="D22" s="253"/>
      <c r="E22" s="210">
        <f t="shared" ref="E22:E23" si="11">B22+C22-D22</f>
        <v>0</v>
      </c>
      <c r="F22" s="253"/>
      <c r="G22" s="253"/>
      <c r="H22" s="253"/>
      <c r="I22" s="253"/>
      <c r="J22" s="253"/>
      <c r="K22" s="253"/>
      <c r="L22" s="210">
        <f t="shared" si="4"/>
        <v>0</v>
      </c>
      <c r="M22" s="210">
        <f t="shared" si="5"/>
        <v>0</v>
      </c>
      <c r="N22" s="210">
        <f t="shared" si="6"/>
        <v>0</v>
      </c>
      <c r="O22" s="210">
        <f t="shared" si="7"/>
        <v>0</v>
      </c>
    </row>
    <row r="23" spans="1:15" s="8" customFormat="1" ht="19.95" customHeight="1">
      <c r="A23" s="60" t="s">
        <v>59</v>
      </c>
      <c r="B23" s="253"/>
      <c r="C23" s="253"/>
      <c r="D23" s="253"/>
      <c r="E23" s="210">
        <f t="shared" si="11"/>
        <v>0</v>
      </c>
      <c r="F23" s="253"/>
      <c r="G23" s="253"/>
      <c r="H23" s="253"/>
      <c r="I23" s="253"/>
      <c r="J23" s="253"/>
      <c r="K23" s="253"/>
      <c r="L23" s="210">
        <f t="shared" si="4"/>
        <v>0</v>
      </c>
      <c r="M23" s="210">
        <f t="shared" si="5"/>
        <v>0</v>
      </c>
      <c r="N23" s="210">
        <f t="shared" si="6"/>
        <v>0</v>
      </c>
      <c r="O23" s="210">
        <f t="shared" si="7"/>
        <v>0</v>
      </c>
    </row>
    <row r="24" spans="1:15" s="8" customFormat="1" ht="19.95" customHeight="1">
      <c r="A24" s="63" t="s">
        <v>22</v>
      </c>
      <c r="B24" s="210">
        <f>SUM(B22:B23)</f>
        <v>0</v>
      </c>
      <c r="C24" s="210">
        <f t="shared" ref="C24:O24" si="12">SUM(C22:C23)</f>
        <v>0</v>
      </c>
      <c r="D24" s="210">
        <f t="shared" si="12"/>
        <v>0</v>
      </c>
      <c r="E24" s="210">
        <f t="shared" si="12"/>
        <v>0</v>
      </c>
      <c r="F24" s="210">
        <f t="shared" si="12"/>
        <v>0</v>
      </c>
      <c r="G24" s="210">
        <f t="shared" si="12"/>
        <v>0</v>
      </c>
      <c r="H24" s="210">
        <f t="shared" si="12"/>
        <v>0</v>
      </c>
      <c r="I24" s="210">
        <f t="shared" si="12"/>
        <v>0</v>
      </c>
      <c r="J24" s="210">
        <f t="shared" si="12"/>
        <v>0</v>
      </c>
      <c r="K24" s="210">
        <f t="shared" si="12"/>
        <v>0</v>
      </c>
      <c r="L24" s="210">
        <f t="shared" si="12"/>
        <v>0</v>
      </c>
      <c r="M24" s="210">
        <f t="shared" si="12"/>
        <v>0</v>
      </c>
      <c r="N24" s="210">
        <f t="shared" si="12"/>
        <v>0</v>
      </c>
      <c r="O24" s="210">
        <f t="shared" si="12"/>
        <v>0</v>
      </c>
    </row>
    <row r="25" spans="1:15" s="8" customFormat="1" ht="19.95" customHeight="1">
      <c r="A25" s="65" t="s">
        <v>23</v>
      </c>
    </row>
    <row r="26" spans="1:15" s="8" customFormat="1" ht="19.95" customHeight="1"/>
    <row r="27" spans="1:15" s="8" customFormat="1" ht="19.95" customHeight="1">
      <c r="A27" s="66" t="s">
        <v>24</v>
      </c>
    </row>
    <row r="28" spans="1:15" s="8" customFormat="1" ht="19.95" customHeight="1"/>
    <row r="29" spans="1:15" s="8" customFormat="1" ht="13.8"/>
    <row r="30" spans="1:15" s="8" customFormat="1" ht="13.8">
      <c r="B30" s="71"/>
      <c r="C30" s="71"/>
    </row>
    <row r="31" spans="1:15" s="8" customFormat="1" ht="24" customHeight="1">
      <c r="A31" s="85" t="s">
        <v>61</v>
      </c>
      <c r="B31" s="85"/>
      <c r="C31" s="85"/>
      <c r="D31" s="86"/>
      <c r="E31" s="86"/>
      <c r="F31" s="86"/>
      <c r="G31" s="86"/>
      <c r="H31" s="86"/>
      <c r="I31" s="86"/>
      <c r="J31" s="86"/>
      <c r="K31" s="86"/>
      <c r="L31" s="86"/>
      <c r="M31" s="86"/>
      <c r="N31" s="86"/>
      <c r="O31" s="86"/>
    </row>
    <row r="32" spans="1:15" s="8" customFormat="1" ht="38.25" customHeight="1">
      <c r="A32" s="363" t="s">
        <v>60</v>
      </c>
      <c r="B32" s="364"/>
      <c r="C32" s="364"/>
      <c r="D32" s="364"/>
      <c r="E32" s="364"/>
      <c r="F32" s="364"/>
      <c r="G32" s="364"/>
      <c r="H32" s="364"/>
      <c r="I32" s="364"/>
      <c r="J32" s="364"/>
      <c r="K32" s="364"/>
      <c r="L32" s="364"/>
      <c r="M32" s="364"/>
      <c r="N32" s="364"/>
      <c r="O32" s="364"/>
    </row>
    <row r="33" spans="1:15" s="8" customFormat="1" ht="27" customHeight="1">
      <c r="A33" s="361" t="s">
        <v>62</v>
      </c>
      <c r="B33" s="362"/>
      <c r="C33" s="362"/>
      <c r="D33" s="362"/>
      <c r="E33" s="362"/>
      <c r="F33" s="362"/>
      <c r="G33" s="362"/>
      <c r="H33" s="362"/>
      <c r="I33" s="362"/>
      <c r="J33" s="362"/>
      <c r="K33" s="362"/>
      <c r="L33" s="362"/>
      <c r="M33" s="362"/>
      <c r="N33" s="362"/>
      <c r="O33" s="362"/>
    </row>
    <row r="34" spans="1:15" s="8" customFormat="1" ht="38.25" customHeight="1">
      <c r="A34" s="361" t="s">
        <v>63</v>
      </c>
      <c r="B34" s="362"/>
      <c r="C34" s="362"/>
      <c r="D34" s="362"/>
      <c r="E34" s="362"/>
      <c r="F34" s="362"/>
      <c r="G34" s="362"/>
      <c r="H34" s="362"/>
      <c r="I34" s="362"/>
      <c r="J34" s="362"/>
      <c r="K34" s="362"/>
      <c r="L34" s="362"/>
      <c r="M34" s="362"/>
      <c r="N34" s="362"/>
      <c r="O34" s="362"/>
    </row>
    <row r="35" spans="1:15" ht="28.5" customHeight="1">
      <c r="A35" s="361" t="s">
        <v>64</v>
      </c>
      <c r="B35" s="362"/>
      <c r="C35" s="362"/>
      <c r="D35" s="362"/>
      <c r="E35" s="362"/>
      <c r="F35" s="362"/>
      <c r="G35" s="362"/>
      <c r="H35" s="362"/>
      <c r="I35" s="362"/>
      <c r="J35" s="362"/>
      <c r="K35" s="362"/>
      <c r="L35" s="362"/>
      <c r="M35" s="362"/>
      <c r="N35" s="362"/>
      <c r="O35" s="362"/>
    </row>
    <row r="36" spans="1:15" ht="30" customHeight="1">
      <c r="A36" s="361" t="s">
        <v>66</v>
      </c>
      <c r="B36" s="362"/>
      <c r="C36" s="362"/>
      <c r="D36" s="362"/>
      <c r="E36" s="362"/>
      <c r="F36" s="362"/>
      <c r="G36" s="362"/>
      <c r="H36" s="362"/>
      <c r="I36" s="362"/>
      <c r="J36" s="362"/>
      <c r="K36" s="362"/>
      <c r="L36" s="362"/>
      <c r="M36" s="362"/>
      <c r="N36" s="362"/>
      <c r="O36" s="362"/>
    </row>
    <row r="37" spans="1:15" ht="24" customHeight="1">
      <c r="A37" s="361" t="s">
        <v>65</v>
      </c>
      <c r="B37" s="362"/>
      <c r="C37" s="362"/>
      <c r="D37" s="362"/>
      <c r="E37" s="362"/>
      <c r="F37" s="362"/>
      <c r="G37" s="362"/>
      <c r="H37" s="362"/>
      <c r="I37" s="362"/>
      <c r="J37" s="362"/>
      <c r="K37" s="362"/>
      <c r="L37" s="362"/>
      <c r="M37" s="362"/>
      <c r="N37" s="362"/>
      <c r="O37" s="362"/>
    </row>
    <row r="38" spans="1:15" ht="26.25" customHeight="1">
      <c r="A38" s="67"/>
      <c r="B38" s="72"/>
      <c r="C38" s="72"/>
    </row>
    <row r="39" spans="1:15">
      <c r="A39" s="72"/>
    </row>
    <row r="40" spans="1:15">
      <c r="A40" s="67"/>
    </row>
  </sheetData>
  <mergeCells count="14">
    <mergeCell ref="J9:K9"/>
    <mergeCell ref="L9:O9"/>
    <mergeCell ref="A9:A10"/>
    <mergeCell ref="A1:O1"/>
    <mergeCell ref="A2:O2"/>
    <mergeCell ref="B9:E9"/>
    <mergeCell ref="F9:G9"/>
    <mergeCell ref="H9:I9"/>
    <mergeCell ref="A36:O36"/>
    <mergeCell ref="A37:O37"/>
    <mergeCell ref="A32:O32"/>
    <mergeCell ref="A33:O33"/>
    <mergeCell ref="A34:O34"/>
    <mergeCell ref="A35:O35"/>
  </mergeCells>
  <phoneticPr fontId="5" type="noConversion"/>
  <conditionalFormatting sqref="B17:K17 B21:K21 B11:K11">
    <cfRule type="cellIs" dxfId="4" priority="11" stopIfTrue="1" operator="greaterThanOrEqual">
      <formula>0.5</formula>
    </cfRule>
  </conditionalFormatting>
  <dataValidations count="1">
    <dataValidation type="list" allowBlank="1" showInputMessage="1" showErrorMessage="1" sqref="G10">
      <formula1>"是,否"</formula1>
    </dataValidation>
  </dataValidations>
  <hyperlinks>
    <hyperlink ref="O3" location="底稿目录!A1" display="底稿目录!A1"/>
  </hyperlinks>
  <pageMargins left="0.70866141732283472" right="0.70866141732283472" top="0.74803149606299213" bottom="0.74803149606299213" header="0.31496062992125984" footer="0.31496062992125984"/>
  <pageSetup paperSize="9" scale="74" orientation="landscape" blackAndWhite="1" r:id="rId1"/>
  <headerFooter>
    <oddFooter>&amp;C&amp;P/&amp;N</oddFooter>
  </headerFooter>
  <drawing r:id="rId2"/>
  <legacyDrawing r:id="rId3"/>
  <oleObjects>
    <mc:AlternateContent xmlns:mc="http://schemas.openxmlformats.org/markup-compatibility/2006">
      <mc:Choice Requires="x14">
        <oleObject progId="文档" dvAspect="DVASPECT_ICON" shapeId="2049" r:id="rId4">
          <objectPr defaultSize="0" autoPict="0" r:id="rId5">
            <anchor moveWithCells="1">
              <from>
                <xdr:col>11</xdr:col>
                <xdr:colOff>601980</xdr:colOff>
                <xdr:row>34</xdr:row>
                <xdr:rowOff>30480</xdr:rowOff>
              </from>
              <to>
                <xdr:col>14</xdr:col>
                <xdr:colOff>7620</xdr:colOff>
                <xdr:row>37</xdr:row>
                <xdr:rowOff>198120</xdr:rowOff>
              </to>
            </anchor>
          </objectPr>
        </oleObject>
      </mc:Choice>
      <mc:Fallback>
        <oleObject progId="文档" dvAspect="DVASPECT_ICON" shapeId="2049"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zoomScaleSheetLayoutView="100" workbookViewId="0">
      <selection sqref="A1:J1"/>
    </sheetView>
  </sheetViews>
  <sheetFormatPr defaultRowHeight="15.6"/>
  <cols>
    <col min="1" max="1" width="23.5546875" style="131" customWidth="1"/>
    <col min="2" max="2" width="18.33203125" style="131" customWidth="1"/>
    <col min="3" max="3" width="14.6640625" style="131" customWidth="1"/>
    <col min="4" max="4" width="13.44140625" style="131" customWidth="1"/>
    <col min="5" max="5" width="19.21875" style="131" customWidth="1"/>
    <col min="6" max="6" width="11.33203125" style="131" customWidth="1"/>
    <col min="7" max="7" width="10.88671875" style="131" customWidth="1"/>
    <col min="8" max="8" width="11.33203125" style="131" customWidth="1"/>
    <col min="9" max="9" width="11" style="131" customWidth="1"/>
    <col min="10" max="10" width="17" style="131" customWidth="1"/>
    <col min="11" max="16384" width="8.88671875" style="131"/>
  </cols>
  <sheetData>
    <row r="1" spans="1:10" ht="19.95" customHeight="1">
      <c r="A1" s="338" t="s">
        <v>205</v>
      </c>
      <c r="B1" s="338"/>
      <c r="C1" s="338"/>
      <c r="D1" s="338"/>
      <c r="E1" s="338"/>
      <c r="F1" s="338"/>
      <c r="G1" s="338"/>
      <c r="H1" s="338"/>
      <c r="I1" s="338"/>
      <c r="J1" s="338"/>
    </row>
    <row r="2" spans="1:10" ht="19.95" customHeight="1">
      <c r="A2" s="378" t="s">
        <v>160</v>
      </c>
      <c r="B2" s="378"/>
      <c r="C2" s="378"/>
      <c r="D2" s="379"/>
      <c r="E2" s="379"/>
      <c r="F2" s="379"/>
      <c r="G2" s="379"/>
      <c r="H2" s="379"/>
      <c r="I2" s="379"/>
      <c r="J2" s="379"/>
    </row>
    <row r="3" spans="1:10" ht="19.95" customHeight="1">
      <c r="A3" s="28" t="str">
        <f>底稿目录!A2</f>
        <v>被审计单位：</v>
      </c>
      <c r="C3" s="28" t="str">
        <f>底稿目录!A4</f>
        <v>编制人：</v>
      </c>
      <c r="E3" s="28" t="str">
        <f>底稿目录!A5</f>
        <v>编制日期：</v>
      </c>
      <c r="G3" s="28"/>
      <c r="H3" s="132"/>
      <c r="I3" s="133" t="s">
        <v>150</v>
      </c>
      <c r="J3" s="302" t="str">
        <f>底稿目录!D10</f>
        <v>K6-3</v>
      </c>
    </row>
    <row r="4" spans="1:10" ht="19.95" customHeight="1">
      <c r="A4" s="28" t="str">
        <f>底稿目录!A3</f>
        <v>截止日：202X年12月31日</v>
      </c>
      <c r="C4" s="28" t="str">
        <f>底稿目录!A6</f>
        <v>复核人：</v>
      </c>
      <c r="E4" s="28" t="str">
        <f>底稿目录!A7</f>
        <v>复核日期：</v>
      </c>
      <c r="G4" s="28"/>
      <c r="H4" s="28"/>
      <c r="I4" s="133" t="s">
        <v>151</v>
      </c>
      <c r="J4" s="134"/>
    </row>
    <row r="5" spans="1:10" ht="33" customHeight="1">
      <c r="A5" s="135" t="s">
        <v>152</v>
      </c>
      <c r="B5" s="219" t="s">
        <v>153</v>
      </c>
      <c r="C5" s="136" t="s">
        <v>262</v>
      </c>
      <c r="D5" s="136" t="s">
        <v>154</v>
      </c>
      <c r="E5" s="136" t="s">
        <v>155</v>
      </c>
      <c r="F5" s="137" t="s">
        <v>156</v>
      </c>
      <c r="G5" s="136" t="s">
        <v>157</v>
      </c>
      <c r="H5" s="136" t="s">
        <v>158</v>
      </c>
      <c r="I5" s="136" t="s">
        <v>159</v>
      </c>
      <c r="J5" s="136" t="s">
        <v>91</v>
      </c>
    </row>
    <row r="6" spans="1:10" ht="19.95" customHeight="1">
      <c r="A6" s="257"/>
      <c r="B6" s="257"/>
      <c r="C6" s="248"/>
      <c r="D6" s="257"/>
      <c r="E6" s="257"/>
      <c r="F6" s="257"/>
      <c r="G6" s="258"/>
      <c r="H6" s="258"/>
      <c r="I6" s="259"/>
      <c r="J6" s="257"/>
    </row>
    <row r="7" spans="1:10" ht="19.95" customHeight="1">
      <c r="A7" s="257"/>
      <c r="B7" s="257"/>
      <c r="C7" s="248"/>
      <c r="D7" s="257"/>
      <c r="E7" s="257"/>
      <c r="F7" s="257"/>
      <c r="G7" s="258"/>
      <c r="H7" s="258"/>
      <c r="I7" s="259"/>
      <c r="J7" s="257"/>
    </row>
    <row r="8" spans="1:10" ht="19.95" customHeight="1">
      <c r="A8" s="257"/>
      <c r="B8" s="257"/>
      <c r="C8" s="248"/>
      <c r="D8" s="257"/>
      <c r="E8" s="257"/>
      <c r="F8" s="257"/>
      <c r="G8" s="258"/>
      <c r="H8" s="258"/>
      <c r="I8" s="259"/>
      <c r="J8" s="257"/>
    </row>
    <row r="9" spans="1:10" ht="19.95" customHeight="1">
      <c r="A9" s="257"/>
      <c r="B9" s="257"/>
      <c r="C9" s="248"/>
      <c r="D9" s="257"/>
      <c r="E9" s="257"/>
      <c r="F9" s="257"/>
      <c r="G9" s="258"/>
      <c r="H9" s="258"/>
      <c r="I9" s="259"/>
      <c r="J9" s="257"/>
    </row>
    <row r="10" spans="1:10" ht="19.95" customHeight="1">
      <c r="A10" s="257"/>
      <c r="B10" s="257"/>
      <c r="C10" s="248"/>
      <c r="D10" s="257"/>
      <c r="E10" s="257"/>
      <c r="F10" s="257"/>
      <c r="G10" s="258"/>
      <c r="H10" s="258"/>
      <c r="I10" s="259"/>
      <c r="J10" s="257"/>
    </row>
    <row r="11" spans="1:10" ht="19.95" customHeight="1">
      <c r="A11" s="257"/>
      <c r="B11" s="257"/>
      <c r="C11" s="248"/>
      <c r="D11" s="257"/>
      <c r="E11" s="257"/>
      <c r="F11" s="257"/>
      <c r="G11" s="258"/>
      <c r="H11" s="258"/>
      <c r="I11" s="259"/>
      <c r="J11" s="257"/>
    </row>
    <row r="12" spans="1:10" ht="19.95" customHeight="1">
      <c r="A12" s="257"/>
      <c r="B12" s="257"/>
      <c r="C12" s="248"/>
      <c r="D12" s="257"/>
      <c r="E12" s="257"/>
      <c r="F12" s="257"/>
      <c r="G12" s="258"/>
      <c r="H12" s="258"/>
      <c r="I12" s="259"/>
      <c r="J12" s="257"/>
    </row>
    <row r="13" spans="1:10" ht="19.95" customHeight="1">
      <c r="A13" s="257"/>
      <c r="B13" s="257"/>
      <c r="C13" s="248"/>
      <c r="D13" s="257"/>
      <c r="E13" s="257"/>
      <c r="F13" s="257"/>
      <c r="G13" s="258"/>
      <c r="H13" s="258"/>
      <c r="I13" s="259"/>
      <c r="J13" s="257"/>
    </row>
    <row r="14" spans="1:10" ht="19.95" customHeight="1">
      <c r="A14" s="257"/>
      <c r="B14" s="257"/>
      <c r="C14" s="248"/>
      <c r="D14" s="257"/>
      <c r="E14" s="257"/>
      <c r="F14" s="257"/>
      <c r="G14" s="258"/>
      <c r="H14" s="258"/>
      <c r="I14" s="259"/>
      <c r="J14" s="257"/>
    </row>
    <row r="15" spans="1:10" ht="19.95" customHeight="1">
      <c r="A15" s="257"/>
      <c r="B15" s="257"/>
      <c r="C15" s="248"/>
      <c r="D15" s="257"/>
      <c r="E15" s="257"/>
      <c r="F15" s="257"/>
      <c r="G15" s="258"/>
      <c r="H15" s="258"/>
      <c r="I15" s="259"/>
      <c r="J15" s="257"/>
    </row>
    <row r="16" spans="1:10" ht="19.95" customHeight="1">
      <c r="A16" s="257"/>
      <c r="B16" s="257"/>
      <c r="C16" s="248"/>
      <c r="D16" s="257"/>
      <c r="E16" s="257"/>
      <c r="F16" s="257"/>
      <c r="G16" s="258"/>
      <c r="H16" s="258"/>
      <c r="I16" s="259"/>
      <c r="J16" s="257"/>
    </row>
    <row r="17" spans="1:10" ht="19.95" customHeight="1">
      <c r="A17" s="257"/>
      <c r="B17" s="257"/>
      <c r="C17" s="248"/>
      <c r="D17" s="257"/>
      <c r="E17" s="257"/>
      <c r="F17" s="257"/>
      <c r="G17" s="258"/>
      <c r="H17" s="258"/>
      <c r="I17" s="259"/>
      <c r="J17" s="257"/>
    </row>
    <row r="18" spans="1:10" ht="19.95" customHeight="1">
      <c r="A18" s="257"/>
      <c r="B18" s="257"/>
      <c r="C18" s="248"/>
      <c r="D18" s="257"/>
      <c r="E18" s="257"/>
      <c r="F18" s="257"/>
      <c r="G18" s="258"/>
      <c r="H18" s="258"/>
      <c r="I18" s="259"/>
      <c r="J18" s="257"/>
    </row>
    <row r="19" spans="1:10" ht="19.95" customHeight="1">
      <c r="A19" s="257"/>
      <c r="B19" s="257"/>
      <c r="C19" s="248"/>
      <c r="D19" s="257"/>
      <c r="E19" s="257"/>
      <c r="F19" s="257"/>
      <c r="G19" s="258"/>
      <c r="H19" s="258"/>
      <c r="I19" s="259"/>
      <c r="J19" s="257"/>
    </row>
    <row r="20" spans="1:10" ht="19.95" customHeight="1">
      <c r="A20" s="257"/>
      <c r="B20" s="257"/>
      <c r="C20" s="248"/>
      <c r="D20" s="257"/>
      <c r="E20" s="257"/>
      <c r="F20" s="257"/>
      <c r="G20" s="258"/>
      <c r="H20" s="258"/>
      <c r="I20" s="259"/>
      <c r="J20" s="257"/>
    </row>
    <row r="21" spans="1:10" ht="36" customHeight="1">
      <c r="A21" s="380" t="s">
        <v>355</v>
      </c>
      <c r="B21" s="381"/>
      <c r="C21" s="381"/>
      <c r="D21" s="381"/>
      <c r="E21" s="381"/>
      <c r="F21" s="381"/>
      <c r="G21" s="381"/>
      <c r="H21" s="381"/>
      <c r="I21" s="381"/>
      <c r="J21" s="381"/>
    </row>
  </sheetData>
  <mergeCells count="3">
    <mergeCell ref="A1:J1"/>
    <mergeCell ref="A2:J2"/>
    <mergeCell ref="A21:J21"/>
  </mergeCells>
  <phoneticPr fontId="31"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S53"/>
  <sheetViews>
    <sheetView showZeros="0" view="pageBreakPreview" zoomScaleNormal="115" zoomScaleSheetLayoutView="100" workbookViewId="0">
      <selection sqref="A1:O1"/>
    </sheetView>
  </sheetViews>
  <sheetFormatPr defaultColWidth="9.109375" defaultRowHeight="15.6"/>
  <cols>
    <col min="1" max="1" width="21.21875" style="14" customWidth="1"/>
    <col min="2" max="2" width="9.88671875" style="14" customWidth="1"/>
    <col min="3" max="3" width="9.33203125" style="14" customWidth="1"/>
    <col min="4" max="4" width="7.5546875" style="14" customWidth="1"/>
    <col min="5" max="5" width="9.33203125" style="14" customWidth="1"/>
    <col min="6" max="6" width="7.6640625" style="14" customWidth="1"/>
    <col min="7" max="7" width="9.33203125" style="14" customWidth="1"/>
    <col min="8" max="9" width="8.109375" style="14" customWidth="1"/>
    <col min="10" max="10" width="13" style="14" customWidth="1"/>
    <col min="11" max="11" width="12.5546875" style="14" customWidth="1"/>
    <col min="12" max="12" width="14.77734375" style="14" customWidth="1"/>
    <col min="13" max="13" width="23.21875" style="14" customWidth="1"/>
    <col min="14" max="14" width="15.109375" style="14" customWidth="1"/>
    <col min="15" max="15" width="24.6640625" style="14" customWidth="1"/>
    <col min="16" max="16384" width="9.109375" style="14"/>
  </cols>
  <sheetData>
    <row r="1" spans="1:19" s="7" customFormat="1" ht="19.95" customHeight="1">
      <c r="A1" s="372" t="s">
        <v>205</v>
      </c>
      <c r="B1" s="372"/>
      <c r="C1" s="372"/>
      <c r="D1" s="372"/>
      <c r="E1" s="372"/>
      <c r="F1" s="372"/>
      <c r="G1" s="372"/>
      <c r="H1" s="372"/>
      <c r="I1" s="372"/>
      <c r="J1" s="372"/>
      <c r="K1" s="372"/>
      <c r="L1" s="372"/>
      <c r="M1" s="372"/>
      <c r="N1" s="372"/>
      <c r="O1" s="372"/>
    </row>
    <row r="2" spans="1:19" s="7" customFormat="1" ht="19.95" customHeight="1">
      <c r="A2" s="327" t="s">
        <v>382</v>
      </c>
      <c r="B2" s="373"/>
      <c r="C2" s="373"/>
      <c r="D2" s="373"/>
      <c r="E2" s="373"/>
      <c r="F2" s="373"/>
      <c r="G2" s="373"/>
      <c r="H2" s="373"/>
      <c r="I2" s="373"/>
      <c r="J2" s="373"/>
      <c r="K2" s="373"/>
      <c r="L2" s="373"/>
      <c r="M2" s="373"/>
      <c r="N2" s="373"/>
      <c r="O2" s="373"/>
    </row>
    <row r="3" spans="1:19" s="8" customFormat="1" ht="19.95" customHeight="1">
      <c r="A3" s="2" t="str">
        <f>底稿目录!A2</f>
        <v>被审计单位：</v>
      </c>
      <c r="G3" s="3" t="str">
        <f>底稿目录!A4</f>
        <v>编制人：</v>
      </c>
      <c r="K3" s="58"/>
      <c r="L3" s="56" t="str">
        <f>底稿目录!A5</f>
        <v>编制日期：</v>
      </c>
      <c r="M3" s="68"/>
      <c r="N3" s="201" t="s">
        <v>221</v>
      </c>
      <c r="O3" s="302" t="str">
        <f>底稿目录!D11</f>
        <v>K6-4</v>
      </c>
    </row>
    <row r="4" spans="1:19" s="8" customFormat="1" ht="19.95" customHeight="1">
      <c r="A4" s="2" t="str">
        <f>底稿目录!A3</f>
        <v>截止日：202X年12月31日</v>
      </c>
      <c r="G4" s="3" t="str">
        <f>底稿目录!A6</f>
        <v>复核人：</v>
      </c>
      <c r="K4" s="58"/>
      <c r="L4" s="56" t="str">
        <f>底稿目录!A7</f>
        <v>复核日期：</v>
      </c>
      <c r="M4" s="68"/>
      <c r="N4" s="33" t="s">
        <v>7</v>
      </c>
    </row>
    <row r="5" spans="1:19" s="8" customFormat="1" ht="19.95" customHeight="1">
      <c r="A5" s="30" t="s">
        <v>8</v>
      </c>
      <c r="B5" s="31"/>
      <c r="C5" s="31"/>
      <c r="D5" s="31"/>
      <c r="E5" s="31"/>
      <c r="F5" s="31"/>
      <c r="G5" s="31"/>
      <c r="H5" s="31"/>
      <c r="I5" s="31"/>
      <c r="J5" s="31"/>
      <c r="L5" s="32"/>
      <c r="P5" s="33"/>
      <c r="S5" s="34"/>
    </row>
    <row r="6" spans="1:19" s="8" customFormat="1" ht="19.95" customHeight="1">
      <c r="A6" s="246" t="s">
        <v>388</v>
      </c>
      <c r="B6" s="31"/>
      <c r="F6" s="32"/>
      <c r="H6" s="8" t="s">
        <v>389</v>
      </c>
      <c r="I6" s="37"/>
      <c r="L6" s="32"/>
      <c r="P6" s="33"/>
      <c r="S6" s="34"/>
    </row>
    <row r="7" spans="1:19" s="8" customFormat="1" ht="19.95" customHeight="1">
      <c r="A7" s="246" t="s">
        <v>387</v>
      </c>
      <c r="B7" s="31"/>
      <c r="F7" s="32"/>
      <c r="I7" s="37"/>
      <c r="J7" s="37"/>
      <c r="L7" s="32"/>
      <c r="P7" s="33"/>
      <c r="S7" s="34"/>
    </row>
    <row r="8" spans="1:19" s="8" customFormat="1" ht="19.95" customHeight="1">
      <c r="A8" s="264" t="s">
        <v>9</v>
      </c>
      <c r="L8" s="36"/>
      <c r="P8" s="33"/>
      <c r="S8" s="34"/>
    </row>
    <row r="9" spans="1:19" s="8" customFormat="1" ht="26.4" customHeight="1">
      <c r="A9" s="386" t="s">
        <v>284</v>
      </c>
      <c r="B9" s="386"/>
      <c r="C9" s="386"/>
      <c r="D9" s="386"/>
      <c r="E9" s="386"/>
      <c r="F9" s="386"/>
      <c r="G9" s="386"/>
      <c r="H9" s="386"/>
      <c r="I9" s="386"/>
      <c r="J9" s="386"/>
      <c r="K9" s="386"/>
      <c r="L9" s="386"/>
      <c r="M9" s="386"/>
      <c r="N9" s="386"/>
      <c r="O9" s="386"/>
      <c r="P9" s="33"/>
      <c r="S9" s="34"/>
    </row>
    <row r="10" spans="1:19" s="8" customFormat="1" ht="19.95" customHeight="1">
      <c r="A10" s="246" t="s">
        <v>256</v>
      </c>
      <c r="B10" s="37"/>
      <c r="C10" s="37"/>
      <c r="D10" s="37"/>
      <c r="E10" s="37"/>
      <c r="F10" s="37"/>
      <c r="G10" s="37"/>
      <c r="H10" s="37"/>
      <c r="I10" s="37"/>
      <c r="J10" s="37"/>
      <c r="L10" s="36"/>
      <c r="P10" s="33"/>
      <c r="S10" s="34"/>
    </row>
    <row r="11" spans="1:19" s="8" customFormat="1" ht="19.95" customHeight="1">
      <c r="A11" s="246" t="s">
        <v>257</v>
      </c>
      <c r="B11" s="37"/>
      <c r="C11" s="37"/>
      <c r="D11" s="37"/>
      <c r="E11" s="37"/>
      <c r="F11" s="37"/>
      <c r="G11" s="37"/>
      <c r="H11" s="37"/>
      <c r="I11" s="37"/>
      <c r="J11" s="37"/>
      <c r="L11" s="36"/>
      <c r="P11" s="33"/>
      <c r="S11" s="34"/>
    </row>
    <row r="12" spans="1:19" s="8" customFormat="1" ht="19.95" customHeight="1">
      <c r="A12" s="246" t="s">
        <v>259</v>
      </c>
      <c r="B12" s="91"/>
      <c r="C12" s="37"/>
      <c r="D12" s="37"/>
      <c r="E12" s="37"/>
      <c r="F12" s="37"/>
      <c r="G12" s="37"/>
      <c r="I12" s="37"/>
      <c r="L12" s="36"/>
      <c r="P12" s="33"/>
      <c r="S12" s="34"/>
    </row>
    <row r="13" spans="1:19" s="8" customFormat="1" ht="19.95" customHeight="1">
      <c r="A13" s="246" t="s">
        <v>258</v>
      </c>
      <c r="B13" s="37"/>
      <c r="C13" s="37"/>
      <c r="D13" s="37"/>
      <c r="E13" s="37"/>
      <c r="F13" s="37"/>
      <c r="G13" s="37"/>
      <c r="H13" s="37"/>
      <c r="I13" s="37"/>
      <c r="L13" s="298"/>
      <c r="P13" s="33"/>
      <c r="S13" s="34"/>
    </row>
    <row r="14" spans="1:19" s="8" customFormat="1" ht="19.95" customHeight="1">
      <c r="A14" s="246" t="s">
        <v>260</v>
      </c>
      <c r="B14" s="37"/>
      <c r="C14" s="37"/>
      <c r="D14" s="37"/>
      <c r="E14" s="37"/>
      <c r="F14" s="37"/>
      <c r="G14" s="37"/>
      <c r="H14" s="37"/>
      <c r="I14" s="37"/>
      <c r="L14" s="36"/>
      <c r="P14" s="33"/>
      <c r="S14" s="34"/>
    </row>
    <row r="15" spans="1:19" s="9" customFormat="1" ht="19.95" customHeight="1">
      <c r="A15" s="370" t="s">
        <v>10</v>
      </c>
      <c r="B15" s="370" t="s">
        <v>25</v>
      </c>
      <c r="C15" s="87" t="s">
        <v>275</v>
      </c>
      <c r="D15" s="52"/>
      <c r="E15" s="52"/>
      <c r="F15" s="52"/>
      <c r="G15" s="52"/>
      <c r="H15" s="53"/>
      <c r="I15" s="53"/>
      <c r="J15" s="384" t="s">
        <v>67</v>
      </c>
      <c r="K15" s="383" t="s">
        <v>68</v>
      </c>
      <c r="L15" s="383" t="s">
        <v>70</v>
      </c>
      <c r="M15" s="383" t="s">
        <v>69</v>
      </c>
      <c r="N15" s="383" t="s">
        <v>76</v>
      </c>
      <c r="O15" s="383" t="s">
        <v>71</v>
      </c>
      <c r="P15" s="298"/>
    </row>
    <row r="16" spans="1:19" s="9" customFormat="1" ht="31.8" customHeight="1">
      <c r="A16" s="371"/>
      <c r="B16" s="371"/>
      <c r="C16" s="287" t="s">
        <v>26</v>
      </c>
      <c r="D16" s="287" t="s">
        <v>363</v>
      </c>
      <c r="E16" s="287" t="s">
        <v>27</v>
      </c>
      <c r="F16" s="287" t="s">
        <v>363</v>
      </c>
      <c r="G16" s="287" t="s">
        <v>28</v>
      </c>
      <c r="H16" s="287" t="s">
        <v>364</v>
      </c>
      <c r="I16" s="54" t="s">
        <v>29</v>
      </c>
      <c r="J16" s="385"/>
      <c r="K16" s="371"/>
      <c r="L16" s="371"/>
      <c r="M16" s="371"/>
      <c r="N16" s="371"/>
      <c r="O16" s="371"/>
    </row>
    <row r="17" spans="1:15" s="42" customFormat="1" ht="19.95" customHeight="1">
      <c r="A17" s="93" t="s">
        <v>86</v>
      </c>
      <c r="B17" s="38"/>
      <c r="C17" s="38"/>
      <c r="D17" s="38"/>
      <c r="E17" s="38"/>
      <c r="F17" s="38"/>
      <c r="G17" s="38"/>
      <c r="H17" s="38"/>
      <c r="I17" s="38"/>
      <c r="J17" s="38"/>
      <c r="K17" s="41"/>
      <c r="L17" s="41"/>
      <c r="M17" s="69"/>
      <c r="N17" s="41"/>
      <c r="O17" s="39"/>
    </row>
    <row r="18" spans="1:15" s="8" customFormat="1" ht="19.95" customHeight="1">
      <c r="A18" s="60" t="s">
        <v>14</v>
      </c>
      <c r="B18" s="214">
        <f>'明细表K6-2'!O12</f>
        <v>0</v>
      </c>
      <c r="C18" s="12"/>
      <c r="D18" s="12"/>
      <c r="E18" s="12"/>
      <c r="F18" s="12"/>
      <c r="G18" s="12"/>
      <c r="H18" s="12"/>
      <c r="I18" s="218">
        <f>IF(C18&gt;0,C18,IF(E18&gt;0,E18,G18))</f>
        <v>0</v>
      </c>
      <c r="J18" s="12"/>
      <c r="K18" s="218">
        <f>IF(C18&gt;0,C18,IF(E18&gt;0,E18,G18))-J18</f>
        <v>0</v>
      </c>
      <c r="L18" s="254"/>
      <c r="M18" s="70" t="s">
        <v>282</v>
      </c>
      <c r="N18" s="254"/>
      <c r="O18" s="254"/>
    </row>
    <row r="19" spans="1:15" s="8" customFormat="1" ht="19.95" customHeight="1">
      <c r="A19" s="303" t="s">
        <v>270</v>
      </c>
      <c r="B19" s="214">
        <f>'明细表K6-2'!O13</f>
        <v>0</v>
      </c>
      <c r="C19" s="12"/>
      <c r="D19" s="12"/>
      <c r="E19" s="12"/>
      <c r="F19" s="12"/>
      <c r="G19" s="12"/>
      <c r="H19" s="12"/>
      <c r="I19" s="218">
        <f t="shared" ref="I19:I21" si="0">IF(C19&gt;0,C19,IF(E19&gt;0,E19,G19))</f>
        <v>0</v>
      </c>
      <c r="J19" s="12"/>
      <c r="K19" s="218">
        <f>IF(C19&gt;0,C19,IF(E19&gt;0,E19,G19))-J19</f>
        <v>0</v>
      </c>
      <c r="L19" s="254"/>
      <c r="M19" s="70" t="s">
        <v>283</v>
      </c>
      <c r="N19" s="254"/>
      <c r="O19" s="254"/>
    </row>
    <row r="20" spans="1:15" s="8" customFormat="1" ht="19.95" customHeight="1">
      <c r="A20" s="303" t="s">
        <v>274</v>
      </c>
      <c r="B20" s="214">
        <f>'明细表K6-2'!O14</f>
        <v>0</v>
      </c>
      <c r="C20" s="12"/>
      <c r="D20" s="12"/>
      <c r="E20" s="12"/>
      <c r="F20" s="12"/>
      <c r="G20" s="12"/>
      <c r="H20" s="12"/>
      <c r="I20" s="218">
        <f t="shared" si="0"/>
        <v>0</v>
      </c>
      <c r="J20" s="12"/>
      <c r="K20" s="218">
        <f>IF(C20&gt;0,C20,IF(E20&gt;0,E20,G20))-J20</f>
        <v>0</v>
      </c>
      <c r="L20" s="254"/>
      <c r="M20" s="70" t="s">
        <v>283</v>
      </c>
      <c r="N20" s="254"/>
      <c r="O20" s="254"/>
    </row>
    <row r="21" spans="1:15" s="8" customFormat="1" ht="19.95" customHeight="1">
      <c r="A21" s="60" t="s">
        <v>2</v>
      </c>
      <c r="B21" s="214">
        <f>'明细表K6-2'!O15</f>
        <v>0</v>
      </c>
      <c r="C21" s="12"/>
      <c r="D21" s="12"/>
      <c r="E21" s="12"/>
      <c r="F21" s="12"/>
      <c r="G21" s="12"/>
      <c r="H21" s="12"/>
      <c r="I21" s="218">
        <f t="shared" si="0"/>
        <v>0</v>
      </c>
      <c r="J21" s="12"/>
      <c r="K21" s="218">
        <f>IF(C21&gt;0,C21,IF(E21&gt;0,E21,G21))-J21</f>
        <v>0</v>
      </c>
      <c r="L21" s="254"/>
      <c r="M21" s="70" t="s">
        <v>283</v>
      </c>
      <c r="N21" s="254"/>
      <c r="O21" s="254"/>
    </row>
    <row r="22" spans="1:15" s="8" customFormat="1" ht="19.95" customHeight="1">
      <c r="A22" s="61" t="s">
        <v>15</v>
      </c>
      <c r="B22" s="202">
        <f>SUM(B18:B21)</f>
        <v>0</v>
      </c>
      <c r="C22" s="202">
        <f t="shared" ref="C22:H22" si="1">SUM(C18:C21)</f>
        <v>0</v>
      </c>
      <c r="D22" s="202">
        <f t="shared" si="1"/>
        <v>0</v>
      </c>
      <c r="E22" s="202">
        <f t="shared" si="1"/>
        <v>0</v>
      </c>
      <c r="F22" s="202">
        <f t="shared" si="1"/>
        <v>0</v>
      </c>
      <c r="G22" s="202">
        <f t="shared" si="1"/>
        <v>0</v>
      </c>
      <c r="H22" s="202">
        <f t="shared" si="1"/>
        <v>0</v>
      </c>
      <c r="I22" s="202">
        <f>SUM(I18:I21)</f>
        <v>0</v>
      </c>
      <c r="J22" s="202">
        <f>SUM(J18:J21)</f>
        <v>0</v>
      </c>
      <c r="K22" s="202">
        <f>SUM(K18:K21)</f>
        <v>0</v>
      </c>
      <c r="L22" s="211"/>
      <c r="M22" s="212"/>
      <c r="N22" s="211"/>
      <c r="O22" s="213"/>
    </row>
    <row r="23" spans="1:15" s="42" customFormat="1" ht="19.95" customHeight="1">
      <c r="A23" s="93" t="s">
        <v>132</v>
      </c>
      <c r="B23" s="38"/>
      <c r="C23" s="38"/>
      <c r="D23" s="38"/>
      <c r="E23" s="38"/>
      <c r="F23" s="38"/>
      <c r="G23" s="38"/>
      <c r="H23" s="38"/>
      <c r="I23" s="38"/>
      <c r="J23" s="38"/>
      <c r="K23" s="40"/>
      <c r="L23" s="40"/>
      <c r="M23" s="69"/>
      <c r="N23" s="40"/>
      <c r="O23" s="39"/>
    </row>
    <row r="24" spans="1:15" s="8" customFormat="1" ht="19.95" customHeight="1">
      <c r="A24" s="60" t="s">
        <v>139</v>
      </c>
      <c r="B24" s="40">
        <f>SUM(B25:B27)</f>
        <v>0</v>
      </c>
      <c r="C24" s="40">
        <f t="shared" ref="C24:H24" si="2">SUM(C25:C27)</f>
        <v>0</v>
      </c>
      <c r="D24" s="40">
        <f t="shared" si="2"/>
        <v>0</v>
      </c>
      <c r="E24" s="40">
        <f t="shared" si="2"/>
        <v>0</v>
      </c>
      <c r="F24" s="40">
        <f t="shared" si="2"/>
        <v>0</v>
      </c>
      <c r="G24" s="40">
        <f t="shared" si="2"/>
        <v>0</v>
      </c>
      <c r="H24" s="40">
        <f t="shared" si="2"/>
        <v>0</v>
      </c>
      <c r="I24" s="40">
        <f>IF(C24&gt;0,C24,IF(E24&gt;0,E24,G24))</f>
        <v>0</v>
      </c>
      <c r="J24" s="40">
        <f>IF(D24&gt;0,D24,IF(F24&gt;0,F24,H24))</f>
        <v>0</v>
      </c>
      <c r="K24" s="40">
        <f t="shared" ref="K24:K31" si="3">IF(C24&gt;0,C24,IF(E24&gt;0,E24,G24))-J24</f>
        <v>0</v>
      </c>
      <c r="L24" s="254"/>
      <c r="M24" s="70" t="s">
        <v>30</v>
      </c>
      <c r="N24" s="254"/>
      <c r="O24" s="254"/>
    </row>
    <row r="25" spans="1:15" s="8" customFormat="1" ht="19.95" customHeight="1">
      <c r="A25" s="116" t="s">
        <v>137</v>
      </c>
      <c r="B25" s="12"/>
      <c r="C25" s="12"/>
      <c r="D25" s="12"/>
      <c r="E25" s="12"/>
      <c r="F25" s="12"/>
      <c r="G25" s="12"/>
      <c r="H25" s="12"/>
      <c r="I25" s="218">
        <f>IF(C25&gt;0,C25,IF(E25&gt;0,E25,G25))</f>
        <v>0</v>
      </c>
      <c r="J25" s="12"/>
      <c r="K25" s="218">
        <f t="shared" si="3"/>
        <v>0</v>
      </c>
      <c r="L25" s="254"/>
      <c r="M25" s="70" t="s">
        <v>30</v>
      </c>
      <c r="N25" s="254"/>
      <c r="O25" s="254"/>
    </row>
    <row r="26" spans="1:15" s="8" customFormat="1" ht="19.95" customHeight="1">
      <c r="A26" s="116" t="s">
        <v>138</v>
      </c>
      <c r="B26" s="12"/>
      <c r="C26" s="12"/>
      <c r="D26" s="12"/>
      <c r="E26" s="12"/>
      <c r="F26" s="12"/>
      <c r="G26" s="12"/>
      <c r="H26" s="12"/>
      <c r="I26" s="218">
        <f t="shared" ref="I26:J28" si="4">IF(C26&gt;0,C26,IF(E26&gt;0,E26,G26))</f>
        <v>0</v>
      </c>
      <c r="J26" s="12"/>
      <c r="K26" s="218">
        <f t="shared" si="3"/>
        <v>0</v>
      </c>
      <c r="L26" s="254"/>
      <c r="M26" s="70" t="s">
        <v>30</v>
      </c>
      <c r="N26" s="254"/>
      <c r="O26" s="254"/>
    </row>
    <row r="27" spans="1:15" s="8" customFormat="1" ht="19.95" customHeight="1">
      <c r="A27" s="60" t="s">
        <v>2</v>
      </c>
      <c r="B27" s="12"/>
      <c r="C27" s="12"/>
      <c r="D27" s="12"/>
      <c r="E27" s="12"/>
      <c r="F27" s="12"/>
      <c r="G27" s="12"/>
      <c r="H27" s="12"/>
      <c r="I27" s="218">
        <f t="shared" si="4"/>
        <v>0</v>
      </c>
      <c r="J27" s="12"/>
      <c r="K27" s="218">
        <f t="shared" si="3"/>
        <v>0</v>
      </c>
      <c r="L27" s="254"/>
      <c r="M27" s="70" t="s">
        <v>30</v>
      </c>
      <c r="N27" s="254"/>
      <c r="O27" s="254"/>
    </row>
    <row r="28" spans="1:15" s="8" customFormat="1" ht="19.95" customHeight="1">
      <c r="A28" s="60" t="s">
        <v>140</v>
      </c>
      <c r="B28" s="40">
        <f>SUM(B29:B31)</f>
        <v>0</v>
      </c>
      <c r="C28" s="40">
        <f t="shared" ref="C28" si="5">SUM(C29:C31)</f>
        <v>0</v>
      </c>
      <c r="D28" s="40">
        <f t="shared" ref="D28" si="6">SUM(D29:D31)</f>
        <v>0</v>
      </c>
      <c r="E28" s="40">
        <f t="shared" ref="E28" si="7">SUM(E29:E31)</f>
        <v>0</v>
      </c>
      <c r="F28" s="40">
        <f t="shared" ref="F28" si="8">SUM(F29:F31)</f>
        <v>0</v>
      </c>
      <c r="G28" s="40">
        <f t="shared" ref="G28" si="9">SUM(G29:G31)</f>
        <v>0</v>
      </c>
      <c r="H28" s="40">
        <f t="shared" ref="H28" si="10">SUM(H29:H31)</f>
        <v>0</v>
      </c>
      <c r="I28" s="40">
        <f t="shared" si="4"/>
        <v>0</v>
      </c>
      <c r="J28" s="40">
        <f t="shared" si="4"/>
        <v>0</v>
      </c>
      <c r="K28" s="40">
        <f t="shared" si="3"/>
        <v>0</v>
      </c>
      <c r="L28" s="254"/>
      <c r="M28" s="70" t="s">
        <v>30</v>
      </c>
      <c r="N28" s="254"/>
      <c r="O28" s="254"/>
    </row>
    <row r="29" spans="1:15" s="8" customFormat="1" ht="19.95" customHeight="1">
      <c r="A29" s="116" t="s">
        <v>137</v>
      </c>
      <c r="B29" s="12"/>
      <c r="C29" s="12"/>
      <c r="D29" s="12"/>
      <c r="E29" s="12"/>
      <c r="F29" s="12"/>
      <c r="G29" s="12"/>
      <c r="H29" s="12"/>
      <c r="I29" s="218">
        <f t="shared" ref="I29:I31" si="11">IF(C29&gt;0,C29,IF(E29&gt;0,E29,G29))</f>
        <v>0</v>
      </c>
      <c r="J29" s="12"/>
      <c r="K29" s="218">
        <f t="shared" si="3"/>
        <v>0</v>
      </c>
      <c r="L29" s="254"/>
      <c r="M29" s="70" t="s">
        <v>30</v>
      </c>
      <c r="N29" s="254"/>
      <c r="O29" s="254"/>
    </row>
    <row r="30" spans="1:15" s="8" customFormat="1" ht="19.95" customHeight="1">
      <c r="A30" s="116" t="s">
        <v>138</v>
      </c>
      <c r="B30" s="12"/>
      <c r="C30" s="12"/>
      <c r="D30" s="12"/>
      <c r="E30" s="12"/>
      <c r="F30" s="12"/>
      <c r="G30" s="12"/>
      <c r="H30" s="12"/>
      <c r="I30" s="218">
        <f t="shared" si="11"/>
        <v>0</v>
      </c>
      <c r="J30" s="12"/>
      <c r="K30" s="218">
        <f t="shared" si="3"/>
        <v>0</v>
      </c>
      <c r="L30" s="254"/>
      <c r="M30" s="70" t="s">
        <v>30</v>
      </c>
      <c r="N30" s="254"/>
      <c r="O30" s="254"/>
    </row>
    <row r="31" spans="1:15" s="8" customFormat="1" ht="19.95" customHeight="1">
      <c r="A31" s="60" t="s">
        <v>2</v>
      </c>
      <c r="B31" s="12"/>
      <c r="C31" s="12"/>
      <c r="D31" s="12"/>
      <c r="E31" s="12"/>
      <c r="F31" s="12"/>
      <c r="G31" s="12"/>
      <c r="H31" s="12"/>
      <c r="I31" s="218">
        <f t="shared" si="11"/>
        <v>0</v>
      </c>
      <c r="J31" s="12"/>
      <c r="K31" s="218">
        <f t="shared" si="3"/>
        <v>0</v>
      </c>
      <c r="L31" s="254"/>
      <c r="M31" s="70" t="s">
        <v>30</v>
      </c>
      <c r="N31" s="254"/>
      <c r="O31" s="254"/>
    </row>
    <row r="32" spans="1:15" s="8" customFormat="1" ht="19.95" customHeight="1">
      <c r="A32" s="60" t="s">
        <v>18</v>
      </c>
      <c r="B32" s="202">
        <f>SUM(B25:B26,B29:B30)</f>
        <v>0</v>
      </c>
      <c r="C32" s="202"/>
      <c r="D32" s="202"/>
      <c r="E32" s="202"/>
      <c r="F32" s="202"/>
      <c r="G32" s="202"/>
      <c r="H32" s="202"/>
      <c r="I32" s="202">
        <f>SUM(I25:I26,I29:I30)</f>
        <v>0</v>
      </c>
      <c r="J32" s="202">
        <f>SUM(J25:J26,J29:J30)</f>
        <v>0</v>
      </c>
      <c r="K32" s="202">
        <f>SUM(K24:K31)</f>
        <v>0</v>
      </c>
      <c r="L32" s="211"/>
      <c r="M32" s="212"/>
      <c r="N32" s="211"/>
      <c r="O32" s="213"/>
    </row>
    <row r="33" spans="1:15" s="8" customFormat="1" ht="19.95" customHeight="1">
      <c r="A33" s="289" t="s">
        <v>384</v>
      </c>
      <c r="B33" s="205">
        <f>B22+B32</f>
        <v>0</v>
      </c>
      <c r="C33" s="205"/>
      <c r="D33" s="205"/>
      <c r="E33" s="205"/>
      <c r="F33" s="205"/>
      <c r="G33" s="205"/>
      <c r="H33" s="205"/>
      <c r="I33" s="205">
        <f t="shared" ref="I33:K33" si="12">I22+I32</f>
        <v>0</v>
      </c>
      <c r="J33" s="205">
        <f t="shared" si="12"/>
        <v>0</v>
      </c>
      <c r="K33" s="205">
        <f t="shared" si="12"/>
        <v>0</v>
      </c>
      <c r="L33" s="211"/>
      <c r="M33" s="301"/>
      <c r="N33" s="211"/>
      <c r="O33" s="215"/>
    </row>
    <row r="34" spans="1:15" s="8" customFormat="1" ht="19.95" customHeight="1">
      <c r="A34" s="288" t="s">
        <v>133</v>
      </c>
      <c r="B34" s="112"/>
      <c r="C34" s="112"/>
      <c r="D34" s="112"/>
      <c r="E34" s="112"/>
      <c r="F34" s="112"/>
      <c r="G34" s="112"/>
      <c r="H34" s="112"/>
      <c r="I34" s="202"/>
      <c r="J34" s="202"/>
      <c r="K34" s="202"/>
      <c r="L34" s="114"/>
      <c r="M34" s="70"/>
      <c r="N34" s="114"/>
      <c r="O34" s="115"/>
    </row>
    <row r="35" spans="1:15" s="8" customFormat="1" ht="19.95" customHeight="1">
      <c r="A35" s="118" t="s">
        <v>134</v>
      </c>
      <c r="B35" s="40">
        <f>SUM(B36:B38)</f>
        <v>0</v>
      </c>
      <c r="C35" s="40">
        <f t="shared" ref="C35:K35" si="13">SUM(C36:C38)</f>
        <v>0</v>
      </c>
      <c r="D35" s="40">
        <f t="shared" si="13"/>
        <v>0</v>
      </c>
      <c r="E35" s="40">
        <f t="shared" si="13"/>
        <v>0</v>
      </c>
      <c r="F35" s="40">
        <f t="shared" si="13"/>
        <v>0</v>
      </c>
      <c r="G35" s="40">
        <f t="shared" si="13"/>
        <v>0</v>
      </c>
      <c r="H35" s="40">
        <f t="shared" si="13"/>
        <v>0</v>
      </c>
      <c r="I35" s="40">
        <f t="shared" si="13"/>
        <v>0</v>
      </c>
      <c r="J35" s="40">
        <f t="shared" si="13"/>
        <v>0</v>
      </c>
      <c r="K35" s="40">
        <f t="shared" si="13"/>
        <v>0</v>
      </c>
      <c r="L35" s="254"/>
      <c r="M35" s="70" t="s">
        <v>30</v>
      </c>
      <c r="N35" s="254"/>
      <c r="O35" s="254"/>
    </row>
    <row r="36" spans="1:15" s="8" customFormat="1" ht="19.95" customHeight="1">
      <c r="A36" s="250" t="s">
        <v>141</v>
      </c>
      <c r="B36" s="12"/>
      <c r="C36" s="12"/>
      <c r="D36" s="12"/>
      <c r="E36" s="12"/>
      <c r="F36" s="12"/>
      <c r="G36" s="12"/>
      <c r="H36" s="12"/>
      <c r="I36" s="218">
        <f t="shared" ref="I36:I38" si="14">IF(C36&gt;0,C36,IF(E36&gt;0,E36,G36))</f>
        <v>0</v>
      </c>
      <c r="J36" s="12"/>
      <c r="K36" s="218">
        <f>IF(C36&gt;0,C36,IF(E36&gt;0,E36,G36))-J36</f>
        <v>0</v>
      </c>
      <c r="L36" s="254"/>
      <c r="M36" s="70" t="s">
        <v>30</v>
      </c>
      <c r="N36" s="254"/>
      <c r="O36" s="254"/>
    </row>
    <row r="37" spans="1:15" s="8" customFormat="1" ht="19.95" customHeight="1">
      <c r="A37" s="250" t="s">
        <v>142</v>
      </c>
      <c r="B37" s="12"/>
      <c r="C37" s="12"/>
      <c r="D37" s="12"/>
      <c r="E37" s="12"/>
      <c r="F37" s="12"/>
      <c r="G37" s="12"/>
      <c r="H37" s="12"/>
      <c r="I37" s="218">
        <f t="shared" si="14"/>
        <v>0</v>
      </c>
      <c r="J37" s="12"/>
      <c r="K37" s="218">
        <f>IF(C37&gt;0,C37,IF(E37&gt;0,E37,G37))-J37</f>
        <v>0</v>
      </c>
      <c r="L37" s="254"/>
      <c r="M37" s="70" t="s">
        <v>30</v>
      </c>
      <c r="N37" s="254"/>
      <c r="O37" s="254"/>
    </row>
    <row r="38" spans="1:15" s="8" customFormat="1" ht="19.95" customHeight="1">
      <c r="A38" s="60" t="s">
        <v>2</v>
      </c>
      <c r="B38" s="12"/>
      <c r="C38" s="12"/>
      <c r="D38" s="12"/>
      <c r="E38" s="12"/>
      <c r="F38" s="12"/>
      <c r="G38" s="12"/>
      <c r="H38" s="12"/>
      <c r="I38" s="218">
        <f t="shared" si="14"/>
        <v>0</v>
      </c>
      <c r="J38" s="12"/>
      <c r="K38" s="218">
        <f>IF(C38&gt;0,C38,IF(E38&gt;0,E38,G38))-J38</f>
        <v>0</v>
      </c>
      <c r="L38" s="254"/>
      <c r="M38" s="70" t="s">
        <v>30</v>
      </c>
      <c r="N38" s="254"/>
      <c r="O38" s="254"/>
    </row>
    <row r="39" spans="1:15" s="8" customFormat="1" ht="19.95" customHeight="1">
      <c r="A39" s="118" t="s">
        <v>135</v>
      </c>
      <c r="B39" s="40">
        <f>SUM(B40:B42)</f>
        <v>0</v>
      </c>
      <c r="C39" s="40">
        <f t="shared" ref="C39:K39" si="15">SUM(C40:C42)</f>
        <v>0</v>
      </c>
      <c r="D39" s="40">
        <f t="shared" si="15"/>
        <v>0</v>
      </c>
      <c r="E39" s="40">
        <f t="shared" si="15"/>
        <v>0</v>
      </c>
      <c r="F39" s="40">
        <f t="shared" si="15"/>
        <v>0</v>
      </c>
      <c r="G39" s="40">
        <f t="shared" si="15"/>
        <v>0</v>
      </c>
      <c r="H39" s="40">
        <f t="shared" si="15"/>
        <v>0</v>
      </c>
      <c r="I39" s="40">
        <f t="shared" si="15"/>
        <v>0</v>
      </c>
      <c r="J39" s="40">
        <f t="shared" si="15"/>
        <v>0</v>
      </c>
      <c r="K39" s="40">
        <f t="shared" si="15"/>
        <v>0</v>
      </c>
      <c r="L39" s="254"/>
      <c r="M39" s="70" t="s">
        <v>30</v>
      </c>
      <c r="N39" s="254"/>
      <c r="O39" s="254"/>
    </row>
    <row r="40" spans="1:15" s="8" customFormat="1" ht="19.95" customHeight="1">
      <c r="A40" s="250" t="s">
        <v>141</v>
      </c>
      <c r="B40" s="12"/>
      <c r="C40" s="12"/>
      <c r="D40" s="12"/>
      <c r="E40" s="12"/>
      <c r="F40" s="12"/>
      <c r="G40" s="12"/>
      <c r="H40" s="12"/>
      <c r="I40" s="218">
        <f t="shared" ref="I40:I42" si="16">IF(C40&gt;0,C40,IF(E40&gt;0,E40,G40))</f>
        <v>0</v>
      </c>
      <c r="J40" s="12"/>
      <c r="K40" s="218">
        <f>IF(C40&gt;0,C40,IF(E40&gt;0,E40,G40))-J40</f>
        <v>0</v>
      </c>
      <c r="L40" s="254"/>
      <c r="M40" s="70" t="s">
        <v>30</v>
      </c>
      <c r="N40" s="254"/>
      <c r="O40" s="254"/>
    </row>
    <row r="41" spans="1:15" s="8" customFormat="1" ht="19.95" customHeight="1">
      <c r="A41" s="249" t="s">
        <v>142</v>
      </c>
      <c r="B41" s="12"/>
      <c r="C41" s="12"/>
      <c r="D41" s="12"/>
      <c r="E41" s="12"/>
      <c r="F41" s="12"/>
      <c r="G41" s="12"/>
      <c r="H41" s="12"/>
      <c r="I41" s="218">
        <f t="shared" si="16"/>
        <v>0</v>
      </c>
      <c r="J41" s="12"/>
      <c r="K41" s="218">
        <f>IF(C41&gt;0,C41,IF(E41&gt;0,E41,G41))-J41</f>
        <v>0</v>
      </c>
      <c r="L41" s="254"/>
      <c r="M41" s="70" t="s">
        <v>30</v>
      </c>
      <c r="N41" s="254"/>
      <c r="O41" s="254"/>
    </row>
    <row r="42" spans="1:15" s="8" customFormat="1" ht="19.95" customHeight="1">
      <c r="A42" s="60" t="s">
        <v>2</v>
      </c>
      <c r="B42" s="12"/>
      <c r="C42" s="12"/>
      <c r="D42" s="12"/>
      <c r="E42" s="12"/>
      <c r="F42" s="12"/>
      <c r="G42" s="12"/>
      <c r="H42" s="12"/>
      <c r="I42" s="218">
        <f t="shared" si="16"/>
        <v>0</v>
      </c>
      <c r="J42" s="12"/>
      <c r="K42" s="218">
        <f>IF(C42&gt;0,C42,IF(E42&gt;0,E42,G42))-J42</f>
        <v>0</v>
      </c>
      <c r="L42" s="254"/>
      <c r="M42" s="70" t="s">
        <v>30</v>
      </c>
      <c r="N42" s="254"/>
      <c r="O42" s="254"/>
    </row>
    <row r="43" spans="1:15" s="8" customFormat="1" ht="19.95" customHeight="1">
      <c r="A43" s="113" t="s">
        <v>136</v>
      </c>
      <c r="B43" s="299">
        <f>SUM(B36:B38,B40:B42)</f>
        <v>0</v>
      </c>
      <c r="C43" s="299"/>
      <c r="D43" s="299"/>
      <c r="E43" s="299"/>
      <c r="F43" s="299"/>
      <c r="G43" s="299"/>
      <c r="H43" s="299"/>
      <c r="I43" s="299">
        <f>SUM(I36:I38,I40:I42)</f>
        <v>0</v>
      </c>
      <c r="J43" s="299">
        <f t="shared" ref="J43" si="17">SUM(J36:J38,J40:J42)</f>
        <v>0</v>
      </c>
      <c r="K43" s="299">
        <f>SUM(K35:K42)</f>
        <v>0</v>
      </c>
      <c r="L43" s="216"/>
      <c r="M43" s="300"/>
      <c r="N43" s="216"/>
      <c r="O43" s="217"/>
    </row>
    <row r="44" spans="1:15" s="8" customFormat="1" ht="19.95" customHeight="1">
      <c r="A44" s="65" t="s">
        <v>23</v>
      </c>
      <c r="B44" s="13"/>
      <c r="C44" s="13"/>
      <c r="D44" s="13"/>
      <c r="E44" s="13"/>
      <c r="F44" s="13"/>
      <c r="G44" s="13"/>
      <c r="H44" s="13"/>
      <c r="I44" s="13"/>
      <c r="J44" s="13"/>
      <c r="K44" s="13"/>
      <c r="L44" s="13"/>
      <c r="M44" s="13"/>
      <c r="N44" s="13"/>
      <c r="O44" s="13"/>
    </row>
    <row r="45" spans="1:15" s="8" customFormat="1" ht="19.95" customHeight="1">
      <c r="A45" s="255" t="s">
        <v>356</v>
      </c>
      <c r="B45" s="221"/>
      <c r="C45" s="221"/>
      <c r="D45" s="221"/>
      <c r="E45" s="221"/>
      <c r="F45" s="221"/>
      <c r="G45" s="221"/>
      <c r="H45" s="221"/>
      <c r="I45" s="221"/>
      <c r="J45" s="221"/>
      <c r="K45" s="221"/>
      <c r="L45" s="221"/>
      <c r="M45" s="221"/>
      <c r="N45" s="221"/>
      <c r="O45" s="221"/>
    </row>
    <row r="46" spans="1:15" s="8" customFormat="1" ht="19.95" customHeight="1"/>
    <row r="47" spans="1:15" s="8" customFormat="1" ht="19.95" customHeight="1">
      <c r="A47" s="66" t="s">
        <v>24</v>
      </c>
    </row>
    <row r="48" spans="1:15" s="8" customFormat="1" ht="19.95" customHeight="1"/>
    <row r="49" spans="1:10" s="8" customFormat="1" ht="19.95" customHeight="1"/>
    <row r="50" spans="1:10" s="8" customFormat="1" ht="13.8"/>
    <row r="51" spans="1:10">
      <c r="A51" s="67"/>
    </row>
    <row r="52" spans="1:10" ht="26.25" customHeight="1">
      <c r="A52" s="382"/>
      <c r="B52" s="382"/>
      <c r="C52" s="382"/>
      <c r="D52" s="382"/>
      <c r="E52" s="382"/>
      <c r="F52" s="382"/>
      <c r="G52" s="382"/>
      <c r="H52" s="382"/>
      <c r="I52" s="382"/>
      <c r="J52" s="382"/>
    </row>
    <row r="53" spans="1:10">
      <c r="A53" s="67"/>
    </row>
  </sheetData>
  <mergeCells count="12">
    <mergeCell ref="A52:J52"/>
    <mergeCell ref="A1:O1"/>
    <mergeCell ref="A2:O2"/>
    <mergeCell ref="A15:A16"/>
    <mergeCell ref="B15:B16"/>
    <mergeCell ref="K15:K16"/>
    <mergeCell ref="L15:L16"/>
    <mergeCell ref="M15:M16"/>
    <mergeCell ref="N15:N16"/>
    <mergeCell ref="O15:O16"/>
    <mergeCell ref="J15:J16"/>
    <mergeCell ref="A9:O9"/>
  </mergeCells>
  <phoneticPr fontId="31" type="noConversion"/>
  <conditionalFormatting sqref="O17 O22:O23 O32">
    <cfRule type="cellIs" dxfId="3" priority="5" stopIfTrue="1" operator="greaterThanOrEqual">
      <formula>0.5</formula>
    </cfRule>
  </conditionalFormatting>
  <dataValidations count="2">
    <dataValidation type="list" allowBlank="1" showInputMessage="1" showErrorMessage="1" sqref="M17 M23 M33:M34 M43">
      <formula1>"是,否"</formula1>
    </dataValidation>
    <dataValidation type="list" allowBlank="1" showInputMessage="1" showErrorMessage="1" sqref="M18:M22 M24:M32 M35:M42">
      <formula1>"是,否,""请选择"""</formula1>
    </dataValidation>
  </dataValidations>
  <hyperlinks>
    <hyperlink ref="O3" location="底稿目录!A1" display="底稿目录!A1"/>
  </hyperlinks>
  <printOptions horizontalCentered="1"/>
  <pageMargins left="0.39370078740157483" right="0.31496062992125984" top="0.74803149606299213" bottom="0.31496062992125984" header="0.51181102362204722" footer="0.19685039370078741"/>
  <pageSetup paperSize="9" scale="75" fitToWidth="0" fitToHeight="0" orientation="landscape" blackAndWhite="1" r:id="rId1"/>
  <headerFooter alignWithMargins="0">
    <oddFooter>&amp;C&amp;P/&amp;N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N23"/>
  <sheetViews>
    <sheetView showZeros="0" view="pageBreakPreview" zoomScaleNormal="115" zoomScaleSheetLayoutView="100" workbookViewId="0">
      <selection sqref="A1:J1"/>
    </sheetView>
  </sheetViews>
  <sheetFormatPr defaultColWidth="9.109375" defaultRowHeight="15.6"/>
  <cols>
    <col min="1" max="1" width="25.21875" style="14" customWidth="1"/>
    <col min="2" max="2" width="14.5546875" style="14" customWidth="1"/>
    <col min="3" max="4" width="18.109375" style="14" customWidth="1"/>
    <col min="5" max="5" width="14.33203125" style="14" customWidth="1"/>
    <col min="6" max="6" width="15.77734375" style="14" customWidth="1"/>
    <col min="7" max="7" width="15.5546875" style="14" customWidth="1"/>
    <col min="8" max="8" width="12.44140625" style="14" customWidth="1"/>
    <col min="9" max="9" width="14.33203125" style="14" customWidth="1"/>
    <col min="10" max="10" width="9" style="14" customWidth="1"/>
    <col min="11" max="16384" width="9.109375" style="14"/>
  </cols>
  <sheetData>
    <row r="1" spans="1:14" s="7" customFormat="1" ht="19.95" customHeight="1">
      <c r="A1" s="372" t="s">
        <v>205</v>
      </c>
      <c r="B1" s="372"/>
      <c r="C1" s="372"/>
      <c r="D1" s="372"/>
      <c r="E1" s="372"/>
      <c r="F1" s="372"/>
      <c r="G1" s="372"/>
      <c r="H1" s="372"/>
      <c r="I1" s="372"/>
      <c r="J1" s="372"/>
    </row>
    <row r="2" spans="1:14" s="7" customFormat="1" ht="19.95" customHeight="1">
      <c r="A2" s="327" t="s">
        <v>300</v>
      </c>
      <c r="B2" s="327"/>
      <c r="C2" s="327"/>
      <c r="D2" s="327"/>
      <c r="E2" s="327"/>
      <c r="F2" s="327"/>
      <c r="G2" s="327"/>
      <c r="H2" s="327"/>
      <c r="I2" s="327"/>
      <c r="J2" s="327"/>
    </row>
    <row r="3" spans="1:14" s="8" customFormat="1" ht="19.95" customHeight="1">
      <c r="A3" s="2" t="str">
        <f>底稿目录!A2</f>
        <v>被审计单位：</v>
      </c>
      <c r="D3" s="3" t="str">
        <f>底稿目录!A4</f>
        <v>编制人：</v>
      </c>
      <c r="F3" s="56" t="str">
        <f>底稿目录!A5</f>
        <v>编制日期：</v>
      </c>
      <c r="I3" s="201" t="s">
        <v>222</v>
      </c>
      <c r="J3" s="302" t="str">
        <f>底稿目录!D12</f>
        <v>K6-5</v>
      </c>
    </row>
    <row r="4" spans="1:14" s="8" customFormat="1" ht="19.95" customHeight="1">
      <c r="A4" s="2" t="str">
        <f>底稿目录!A3</f>
        <v>截止日：202X年12月31日</v>
      </c>
      <c r="D4" s="3" t="str">
        <f>底稿目录!A6</f>
        <v>复核人：</v>
      </c>
      <c r="F4" s="56" t="str">
        <f>底稿目录!A7</f>
        <v>复核日期：</v>
      </c>
      <c r="I4" s="201" t="s">
        <v>391</v>
      </c>
    </row>
    <row r="5" spans="1:14" s="8" customFormat="1" ht="19.95" customHeight="1">
      <c r="A5" s="30" t="s">
        <v>8</v>
      </c>
      <c r="B5" s="31"/>
      <c r="C5" s="31"/>
      <c r="D5" s="31"/>
      <c r="E5" s="31"/>
      <c r="F5" s="31"/>
      <c r="G5" s="31"/>
      <c r="H5" s="31"/>
      <c r="I5" s="31"/>
      <c r="J5" s="31"/>
      <c r="K5" s="33"/>
      <c r="N5" s="34"/>
    </row>
    <row r="6" spans="1:14" s="8" customFormat="1" ht="19.95" customHeight="1">
      <c r="A6" s="91" t="s">
        <v>261</v>
      </c>
      <c r="B6" s="91"/>
      <c r="C6" s="91"/>
      <c r="D6" s="91"/>
      <c r="E6" s="91"/>
      <c r="F6" s="37"/>
      <c r="G6" s="37"/>
      <c r="H6" s="37"/>
      <c r="I6" s="37"/>
      <c r="J6" s="37"/>
      <c r="K6" s="33"/>
      <c r="N6" s="34"/>
    </row>
    <row r="7" spans="1:14" s="8" customFormat="1" ht="19.95" customHeight="1">
      <c r="A7" s="264" t="s">
        <v>9</v>
      </c>
      <c r="K7" s="33"/>
      <c r="N7" s="34"/>
    </row>
    <row r="8" spans="1:14" s="9" customFormat="1" ht="42.6" customHeight="1">
      <c r="A8" s="290" t="s">
        <v>10</v>
      </c>
      <c r="B8" s="291" t="s">
        <v>87</v>
      </c>
      <c r="C8" s="291" t="s">
        <v>275</v>
      </c>
      <c r="D8" s="291" t="s">
        <v>273</v>
      </c>
      <c r="E8" s="291" t="s">
        <v>303</v>
      </c>
      <c r="F8" s="291" t="s">
        <v>68</v>
      </c>
      <c r="G8" s="291" t="s">
        <v>88</v>
      </c>
      <c r="H8" s="251" t="s">
        <v>89</v>
      </c>
      <c r="I8" s="251" t="s">
        <v>90</v>
      </c>
      <c r="J8" s="251" t="s">
        <v>91</v>
      </c>
    </row>
    <row r="9" spans="1:14" s="42" customFormat="1" ht="19.95" customHeight="1">
      <c r="A9" s="93" t="s">
        <v>83</v>
      </c>
      <c r="B9" s="93"/>
      <c r="C9" s="41"/>
      <c r="D9" s="41"/>
      <c r="E9" s="41"/>
      <c r="F9" s="41"/>
      <c r="G9" s="41"/>
      <c r="H9" s="41"/>
      <c r="I9" s="39"/>
      <c r="J9" s="39"/>
    </row>
    <row r="10" spans="1:14" s="8" customFormat="1" ht="19.95" customHeight="1">
      <c r="A10" s="60" t="s">
        <v>14</v>
      </c>
      <c r="B10" s="12"/>
      <c r="C10" s="12"/>
      <c r="D10" s="12"/>
      <c r="E10" s="12"/>
      <c r="F10" s="297">
        <f>C10-E10</f>
        <v>0</v>
      </c>
      <c r="G10" s="297">
        <f>B10-F10</f>
        <v>0</v>
      </c>
      <c r="H10" s="12"/>
      <c r="I10" s="202">
        <f t="shared" ref="I10:I13" si="0">G10-H10</f>
        <v>0</v>
      </c>
      <c r="J10" s="11"/>
    </row>
    <row r="11" spans="1:14" s="8" customFormat="1" ht="19.95" customHeight="1">
      <c r="A11" s="303" t="s">
        <v>270</v>
      </c>
      <c r="B11" s="12"/>
      <c r="C11" s="12"/>
      <c r="D11" s="12"/>
      <c r="E11" s="12"/>
      <c r="F11" s="297">
        <f t="shared" ref="F11:F13" si="1">C11-E11</f>
        <v>0</v>
      </c>
      <c r="G11" s="297">
        <f>B11-F11</f>
        <v>0</v>
      </c>
      <c r="H11" s="12"/>
      <c r="I11" s="202">
        <f t="shared" si="0"/>
        <v>0</v>
      </c>
      <c r="J11" s="11"/>
    </row>
    <row r="12" spans="1:14" s="8" customFormat="1" ht="19.95" customHeight="1">
      <c r="A12" s="303" t="s">
        <v>274</v>
      </c>
      <c r="B12" s="12"/>
      <c r="C12" s="12"/>
      <c r="D12" s="12"/>
      <c r="E12" s="12"/>
      <c r="F12" s="297">
        <f t="shared" si="1"/>
        <v>0</v>
      </c>
      <c r="G12" s="297">
        <f>B12-F12</f>
        <v>0</v>
      </c>
      <c r="H12" s="12"/>
      <c r="I12" s="202">
        <f t="shared" si="0"/>
        <v>0</v>
      </c>
      <c r="J12" s="11"/>
    </row>
    <row r="13" spans="1:14" s="8" customFormat="1" ht="19.95" customHeight="1">
      <c r="A13" s="60" t="s">
        <v>2</v>
      </c>
      <c r="B13" s="12"/>
      <c r="C13" s="12"/>
      <c r="D13" s="12"/>
      <c r="E13" s="12"/>
      <c r="F13" s="297">
        <f t="shared" si="1"/>
        <v>0</v>
      </c>
      <c r="G13" s="297">
        <f>B13-F13</f>
        <v>0</v>
      </c>
      <c r="H13" s="12"/>
      <c r="I13" s="202">
        <f t="shared" si="0"/>
        <v>0</v>
      </c>
      <c r="J13" s="11"/>
    </row>
    <row r="14" spans="1:14" s="8" customFormat="1" ht="19.95" customHeight="1">
      <c r="A14" s="64" t="s">
        <v>383</v>
      </c>
      <c r="B14" s="304">
        <f>SUM(B10:B13)</f>
        <v>0</v>
      </c>
      <c r="C14" s="304">
        <f t="shared" ref="C14:E14" si="2">SUM(C10:C13)</f>
        <v>0</v>
      </c>
      <c r="D14" s="304"/>
      <c r="E14" s="304">
        <f t="shared" si="2"/>
        <v>0</v>
      </c>
      <c r="F14" s="304">
        <f>SUM(F10:F13)</f>
        <v>0</v>
      </c>
      <c r="G14" s="304">
        <f t="shared" ref="G14:I14" si="3">SUM(G10:G13)</f>
        <v>0</v>
      </c>
      <c r="H14" s="304">
        <f t="shared" si="3"/>
        <v>0</v>
      </c>
      <c r="I14" s="205">
        <f t="shared" si="3"/>
        <v>0</v>
      </c>
      <c r="J14" s="215"/>
    </row>
    <row r="15" spans="1:14" s="8" customFormat="1" ht="19.95" customHeight="1">
      <c r="A15" s="65" t="s">
        <v>23</v>
      </c>
      <c r="B15" s="13"/>
      <c r="C15" s="13"/>
      <c r="D15" s="13"/>
      <c r="E15" s="13"/>
      <c r="F15" s="13"/>
      <c r="G15" s="13"/>
      <c r="H15" s="13"/>
    </row>
    <row r="16" spans="1:14" s="8" customFormat="1" ht="19.95" customHeight="1"/>
    <row r="17" spans="1:10" s="8" customFormat="1" ht="19.95" customHeight="1">
      <c r="A17" s="66" t="s">
        <v>24</v>
      </c>
    </row>
    <row r="18" spans="1:10" s="8" customFormat="1" ht="19.95" customHeight="1"/>
    <row r="19" spans="1:10" s="8" customFormat="1" ht="19.95" customHeight="1"/>
    <row r="20" spans="1:10" s="8" customFormat="1" ht="13.8"/>
    <row r="21" spans="1:10">
      <c r="A21" s="67"/>
    </row>
    <row r="22" spans="1:10" ht="26.25" customHeight="1">
      <c r="A22" s="382"/>
      <c r="B22" s="382"/>
      <c r="C22" s="382"/>
      <c r="D22" s="382"/>
      <c r="E22" s="382"/>
      <c r="F22" s="382"/>
      <c r="G22" s="382"/>
      <c r="H22" s="382"/>
      <c r="I22" s="382"/>
      <c r="J22" s="382"/>
    </row>
    <row r="23" spans="1:10">
      <c r="A23" s="67"/>
    </row>
  </sheetData>
  <mergeCells count="3">
    <mergeCell ref="A22:J22"/>
    <mergeCell ref="A1:J1"/>
    <mergeCell ref="A2:J2"/>
  </mergeCells>
  <phoneticPr fontId="5" type="noConversion"/>
  <conditionalFormatting sqref="I9 J9:J14">
    <cfRule type="cellIs" dxfId="2" priority="2" stopIfTrue="1" operator="greaterThanOrEqual">
      <formula>0.5</formula>
    </cfRule>
  </conditionalFormatting>
  <hyperlinks>
    <hyperlink ref="J3" location="底稿目录!A1" display="底稿目录!A1"/>
  </hyperlinks>
  <printOptions horizontalCentered="1"/>
  <pageMargins left="0.39370078740157483" right="0.31496062992125984" top="0.74803149606299213" bottom="0.31496062992125984" header="0.51181102362204722" footer="0.19685039370078741"/>
  <pageSetup paperSize="9" scale="90" fitToWidth="0" fitToHeight="0" orientation="landscape" blackAndWhite="1" r:id="rId1"/>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K55"/>
  <sheetViews>
    <sheetView view="pageBreakPreview" zoomScaleNormal="100" zoomScaleSheetLayoutView="100" workbookViewId="0">
      <selection sqref="A1:J1"/>
    </sheetView>
  </sheetViews>
  <sheetFormatPr defaultColWidth="9.109375" defaultRowHeight="15.6"/>
  <cols>
    <col min="1" max="1" width="29.44140625" style="14" customWidth="1"/>
    <col min="2" max="2" width="18.5546875" style="14" customWidth="1"/>
    <col min="3" max="3" width="16.6640625" style="14" customWidth="1"/>
    <col min="4" max="6" width="18.5546875" style="14" customWidth="1"/>
    <col min="7" max="7" width="11.6640625" style="14" customWidth="1"/>
    <col min="8" max="16384" width="9.109375" style="14"/>
  </cols>
  <sheetData>
    <row r="1" spans="1:11" s="7" customFormat="1" ht="20.100000000000001" customHeight="1">
      <c r="A1" s="372" t="s">
        <v>205</v>
      </c>
      <c r="B1" s="372"/>
      <c r="C1" s="372"/>
      <c r="D1" s="372"/>
      <c r="E1" s="372"/>
      <c r="F1" s="372"/>
      <c r="G1" s="372"/>
      <c r="H1" s="372"/>
      <c r="I1" s="372"/>
      <c r="J1" s="372"/>
    </row>
    <row r="2" spans="1:11" s="7" customFormat="1" ht="24.9" customHeight="1">
      <c r="A2" s="387" t="s">
        <v>301</v>
      </c>
      <c r="B2" s="387"/>
      <c r="C2" s="387"/>
      <c r="D2" s="387"/>
      <c r="E2" s="387"/>
      <c r="F2" s="387"/>
      <c r="G2" s="387"/>
      <c r="H2" s="387"/>
      <c r="I2" s="387"/>
      <c r="J2" s="387"/>
    </row>
    <row r="3" spans="1:11" s="8" customFormat="1" ht="20.100000000000001" customHeight="1">
      <c r="A3" s="2" t="str">
        <f>底稿目录!A2</f>
        <v>被审计单位：</v>
      </c>
      <c r="C3" s="3" t="str">
        <f>底稿目录!A4</f>
        <v>编制人：</v>
      </c>
      <c r="E3" s="56" t="str">
        <f>底稿目录!A5</f>
        <v>编制日期：</v>
      </c>
      <c r="I3" s="201" t="s">
        <v>221</v>
      </c>
      <c r="J3" s="302" t="str">
        <f>底稿目录!D13</f>
        <v>K6-6</v>
      </c>
    </row>
    <row r="4" spans="1:11" s="8" customFormat="1" ht="20.100000000000001" customHeight="1">
      <c r="A4" s="2" t="str">
        <f>底稿目录!A3</f>
        <v>截止日：202X年12月31日</v>
      </c>
      <c r="C4" s="3" t="str">
        <f>底稿目录!A6</f>
        <v>复核人：</v>
      </c>
      <c r="E4" s="56" t="str">
        <f>底稿目录!A7</f>
        <v>复核日期：</v>
      </c>
      <c r="I4" s="201" t="s">
        <v>392</v>
      </c>
    </row>
    <row r="5" spans="1:11" s="8" customFormat="1" ht="20.100000000000001" customHeight="1">
      <c r="A5" s="30" t="s">
        <v>8</v>
      </c>
      <c r="B5" s="31"/>
      <c r="C5" s="31"/>
      <c r="D5" s="31"/>
      <c r="E5" s="31"/>
      <c r="F5" s="31"/>
      <c r="G5" s="31"/>
      <c r="H5" s="33"/>
      <c r="K5" s="34"/>
    </row>
    <row r="6" spans="1:11" s="8" customFormat="1" ht="20.100000000000001" customHeight="1">
      <c r="A6" s="91" t="s">
        <v>261</v>
      </c>
      <c r="B6" s="91"/>
      <c r="C6" s="37"/>
      <c r="D6" s="37"/>
      <c r="E6" s="37"/>
      <c r="F6" s="37"/>
      <c r="G6" s="37"/>
      <c r="H6" s="33"/>
      <c r="K6" s="34"/>
    </row>
    <row r="7" spans="1:11" s="8" customFormat="1" ht="19.8" customHeight="1">
      <c r="A7" s="264" t="s">
        <v>9</v>
      </c>
      <c r="H7" s="33"/>
      <c r="K7" s="34"/>
    </row>
    <row r="8" spans="1:11" s="8" customFormat="1" ht="20.100000000000001" customHeight="1">
      <c r="A8" s="252" t="s">
        <v>278</v>
      </c>
      <c r="B8" s="91"/>
      <c r="C8" s="37"/>
      <c r="D8" s="37"/>
      <c r="E8" s="37"/>
      <c r="F8" s="37"/>
      <c r="G8" s="37"/>
      <c r="H8" s="33"/>
      <c r="K8" s="34"/>
    </row>
    <row r="9" spans="1:11" s="9" customFormat="1" ht="40.799999999999997" customHeight="1">
      <c r="A9" s="290" t="s">
        <v>96</v>
      </c>
      <c r="B9" s="291" t="s">
        <v>87</v>
      </c>
      <c r="C9" s="305" t="s">
        <v>271</v>
      </c>
      <c r="D9" s="306" t="s">
        <v>276</v>
      </c>
      <c r="E9" s="291" t="s">
        <v>272</v>
      </c>
      <c r="F9" s="291" t="s">
        <v>68</v>
      </c>
      <c r="G9" s="291" t="s">
        <v>88</v>
      </c>
      <c r="H9" s="291" t="s">
        <v>89</v>
      </c>
      <c r="I9" s="291" t="s">
        <v>95</v>
      </c>
      <c r="J9" s="291" t="s">
        <v>91</v>
      </c>
    </row>
    <row r="10" spans="1:11" s="42" customFormat="1" ht="20.100000000000001" customHeight="1">
      <c r="A10" s="93" t="s">
        <v>92</v>
      </c>
      <c r="B10" s="93"/>
      <c r="C10" s="93"/>
      <c r="D10" s="93"/>
      <c r="E10" s="93"/>
      <c r="F10" s="41"/>
      <c r="G10" s="41"/>
      <c r="H10" s="41"/>
      <c r="I10" s="39"/>
      <c r="J10" s="39"/>
    </row>
    <row r="11" spans="1:11" s="8" customFormat="1" ht="20.100000000000001" customHeight="1">
      <c r="A11" s="60" t="s">
        <v>93</v>
      </c>
      <c r="B11" s="97"/>
      <c r="C11" s="97"/>
      <c r="D11" s="97"/>
      <c r="E11" s="97"/>
      <c r="F11" s="307">
        <f>C11-E11</f>
        <v>0</v>
      </c>
      <c r="G11" s="307">
        <f>IF((B11-F11)&lt;0,0,(B11-F11))</f>
        <v>0</v>
      </c>
      <c r="H11" s="12"/>
      <c r="I11" s="40">
        <f>G11-H11</f>
        <v>0</v>
      </c>
      <c r="J11" s="11"/>
    </row>
    <row r="12" spans="1:11" s="8" customFormat="1" ht="20.100000000000001" customHeight="1">
      <c r="A12" s="60" t="s">
        <v>94</v>
      </c>
      <c r="B12" s="97"/>
      <c r="C12" s="97"/>
      <c r="D12" s="97"/>
      <c r="E12" s="97"/>
      <c r="F12" s="307">
        <f>C12-E12</f>
        <v>0</v>
      </c>
      <c r="G12" s="307">
        <f t="shared" ref="G12:G14" si="0">IF((B12-F12)&lt;0,0,(B12-F12))</f>
        <v>0</v>
      </c>
      <c r="H12" s="12"/>
      <c r="I12" s="40">
        <f t="shared" ref="I12:I14" si="1">G12-H12</f>
        <v>0</v>
      </c>
      <c r="J12" s="11"/>
    </row>
    <row r="13" spans="1:11" s="8" customFormat="1" ht="20.100000000000001" customHeight="1">
      <c r="A13" s="60"/>
      <c r="B13" s="97"/>
      <c r="C13" s="97"/>
      <c r="D13" s="97"/>
      <c r="E13" s="97"/>
      <c r="F13" s="307">
        <f>C13-E13</f>
        <v>0</v>
      </c>
      <c r="G13" s="307">
        <f t="shared" si="0"/>
        <v>0</v>
      </c>
      <c r="H13" s="12"/>
      <c r="I13" s="40">
        <f t="shared" si="1"/>
        <v>0</v>
      </c>
      <c r="J13" s="11"/>
    </row>
    <row r="14" spans="1:11" s="8" customFormat="1" ht="20.100000000000001" customHeight="1">
      <c r="A14" s="60" t="s">
        <v>2</v>
      </c>
      <c r="B14" s="97"/>
      <c r="C14" s="97"/>
      <c r="D14" s="97"/>
      <c r="E14" s="97"/>
      <c r="F14" s="307">
        <f>C14-E14</f>
        <v>0</v>
      </c>
      <c r="G14" s="307">
        <f t="shared" si="0"/>
        <v>0</v>
      </c>
      <c r="H14" s="12"/>
      <c r="I14" s="40">
        <f t="shared" si="1"/>
        <v>0</v>
      </c>
      <c r="J14" s="11"/>
    </row>
    <row r="15" spans="1:11" s="8" customFormat="1" ht="20.100000000000001" customHeight="1">
      <c r="A15" s="61" t="s">
        <v>15</v>
      </c>
      <c r="B15" s="202">
        <f>SUM(B11:B14)</f>
        <v>0</v>
      </c>
      <c r="C15" s="202">
        <f t="shared" ref="C15:F15" si="2">SUM(C11:C14)</f>
        <v>0</v>
      </c>
      <c r="D15" s="202">
        <f t="shared" si="2"/>
        <v>0</v>
      </c>
      <c r="E15" s="202">
        <f t="shared" si="2"/>
        <v>0</v>
      </c>
      <c r="F15" s="297">
        <f t="shared" si="2"/>
        <v>0</v>
      </c>
      <c r="G15" s="297">
        <f t="shared" ref="G15:H15" si="3">SUM(G11:G14)</f>
        <v>0</v>
      </c>
      <c r="H15" s="202">
        <f t="shared" si="3"/>
        <v>0</v>
      </c>
      <c r="I15" s="297">
        <f>SUM(I11:I14)</f>
        <v>0</v>
      </c>
      <c r="J15" s="213"/>
    </row>
    <row r="16" spans="1:11" s="8" customFormat="1" ht="20.100000000000001" customHeight="1">
      <c r="A16" s="247" t="s">
        <v>279</v>
      </c>
    </row>
    <row r="17" spans="1:6" s="8" customFormat="1" ht="38.25" customHeight="1">
      <c r="A17" s="101" t="s">
        <v>110</v>
      </c>
      <c r="B17" s="107" t="s">
        <v>109</v>
      </c>
      <c r="C17" s="101" t="s">
        <v>131</v>
      </c>
      <c r="D17" s="107" t="s">
        <v>120</v>
      </c>
      <c r="E17" s="107" t="s">
        <v>121</v>
      </c>
      <c r="F17" s="107" t="s">
        <v>122</v>
      </c>
    </row>
    <row r="18" spans="1:6" s="8" customFormat="1" ht="20.100000000000001" customHeight="1">
      <c r="A18" s="94" t="s">
        <v>280</v>
      </c>
      <c r="B18" s="95"/>
      <c r="C18" s="95"/>
      <c r="D18" s="97"/>
      <c r="E18" s="95"/>
      <c r="F18" s="95"/>
    </row>
    <row r="19" spans="1:6" s="8" customFormat="1" ht="13.8">
      <c r="A19" s="104" t="s">
        <v>104</v>
      </c>
      <c r="B19" s="95"/>
      <c r="C19" s="95"/>
      <c r="D19" s="97"/>
      <c r="E19" s="95"/>
      <c r="F19" s="97"/>
    </row>
    <row r="20" spans="1:6" s="8" customFormat="1" ht="16.5" customHeight="1">
      <c r="A20" s="105" t="s">
        <v>103</v>
      </c>
      <c r="B20" s="95"/>
      <c r="C20" s="95"/>
      <c r="D20" s="97"/>
      <c r="E20" s="95"/>
      <c r="F20" s="97"/>
    </row>
    <row r="21" spans="1:6" s="8" customFormat="1" ht="16.5" customHeight="1">
      <c r="A21" s="99" t="s">
        <v>102</v>
      </c>
      <c r="B21" s="95"/>
      <c r="C21" s="95"/>
      <c r="D21" s="218">
        <f>B21-C21</f>
        <v>0</v>
      </c>
      <c r="E21" s="95"/>
      <c r="F21" s="218">
        <f>D21-E21</f>
        <v>0</v>
      </c>
    </row>
    <row r="22" spans="1:6" s="8" customFormat="1" ht="39.75" customHeight="1">
      <c r="A22" s="103" t="s">
        <v>101</v>
      </c>
      <c r="B22" s="95"/>
      <c r="C22" s="95"/>
      <c r="D22" s="218">
        <f>B22-C22</f>
        <v>0</v>
      </c>
      <c r="E22" s="95"/>
      <c r="F22" s="218">
        <f>D22-E22</f>
        <v>0</v>
      </c>
    </row>
    <row r="23" spans="1:6" s="8" customFormat="1" ht="16.5" customHeight="1">
      <c r="A23" s="99" t="s">
        <v>100</v>
      </c>
      <c r="B23" s="95"/>
      <c r="C23" s="95"/>
      <c r="D23" s="218">
        <f>B23-C23</f>
        <v>0</v>
      </c>
      <c r="E23" s="95"/>
      <c r="F23" s="218">
        <f t="shared" ref="F23:F38" si="4">D23-E23</f>
        <v>0</v>
      </c>
    </row>
    <row r="24" spans="1:6" s="8" customFormat="1" ht="16.5" customHeight="1">
      <c r="A24" s="99" t="s">
        <v>99</v>
      </c>
      <c r="B24" s="95"/>
      <c r="C24" s="95"/>
      <c r="D24" s="218">
        <f t="shared" ref="D24:D28" si="5">B24-C24</f>
        <v>0</v>
      </c>
      <c r="E24" s="95"/>
      <c r="F24" s="218">
        <f t="shared" si="4"/>
        <v>0</v>
      </c>
    </row>
    <row r="25" spans="1:6" s="8" customFormat="1" ht="16.5" customHeight="1">
      <c r="A25" s="102" t="s">
        <v>98</v>
      </c>
      <c r="B25" s="95"/>
      <c r="C25" s="95"/>
      <c r="D25" s="218">
        <f t="shared" si="5"/>
        <v>0</v>
      </c>
      <c r="E25" s="95"/>
      <c r="F25" s="218">
        <f t="shared" si="4"/>
        <v>0</v>
      </c>
    </row>
    <row r="26" spans="1:6" ht="16.5" customHeight="1">
      <c r="A26" s="99" t="s">
        <v>97</v>
      </c>
      <c r="B26" s="95"/>
      <c r="C26" s="95"/>
      <c r="D26" s="218">
        <f t="shared" si="5"/>
        <v>0</v>
      </c>
      <c r="E26" s="95"/>
      <c r="F26" s="218">
        <f t="shared" si="4"/>
        <v>0</v>
      </c>
    </row>
    <row r="27" spans="1:6" ht="16.5" customHeight="1">
      <c r="A27" s="99" t="s">
        <v>105</v>
      </c>
      <c r="B27" s="95"/>
      <c r="C27" s="95"/>
      <c r="D27" s="218">
        <f t="shared" si="5"/>
        <v>0</v>
      </c>
      <c r="E27" s="95"/>
      <c r="F27" s="218">
        <f t="shared" si="4"/>
        <v>0</v>
      </c>
    </row>
    <row r="28" spans="1:6">
      <c r="A28" s="99" t="s">
        <v>106</v>
      </c>
      <c r="B28" s="95"/>
      <c r="C28" s="95"/>
      <c r="D28" s="218">
        <f t="shared" si="5"/>
        <v>0</v>
      </c>
      <c r="E28" s="95"/>
      <c r="F28" s="218">
        <f t="shared" si="4"/>
        <v>0</v>
      </c>
    </row>
    <row r="29" spans="1:6">
      <c r="A29" s="106" t="s">
        <v>107</v>
      </c>
      <c r="B29" s="95"/>
      <c r="C29" s="95"/>
      <c r="D29" s="97"/>
      <c r="E29" s="95"/>
      <c r="F29" s="97"/>
    </row>
    <row r="30" spans="1:6">
      <c r="A30" s="109" t="s">
        <v>123</v>
      </c>
      <c r="B30" s="95"/>
      <c r="C30" s="95"/>
      <c r="D30" s="218">
        <f>B30-C30</f>
        <v>0</v>
      </c>
      <c r="E30" s="95"/>
      <c r="F30" s="218">
        <f t="shared" si="4"/>
        <v>0</v>
      </c>
    </row>
    <row r="31" spans="1:6">
      <c r="A31" s="109" t="s">
        <v>124</v>
      </c>
      <c r="B31" s="95"/>
      <c r="C31" s="95"/>
      <c r="D31" s="218">
        <f t="shared" ref="D31:D37" si="6">B31-C31</f>
        <v>0</v>
      </c>
      <c r="E31" s="95"/>
      <c r="F31" s="218">
        <f t="shared" si="4"/>
        <v>0</v>
      </c>
    </row>
    <row r="32" spans="1:6">
      <c r="A32" s="109" t="s">
        <v>125</v>
      </c>
      <c r="B32" s="95"/>
      <c r="C32" s="95"/>
      <c r="D32" s="218">
        <f t="shared" si="6"/>
        <v>0</v>
      </c>
      <c r="E32" s="95"/>
      <c r="F32" s="218">
        <f t="shared" si="4"/>
        <v>0</v>
      </c>
    </row>
    <row r="33" spans="1:6">
      <c r="A33" s="109" t="s">
        <v>126</v>
      </c>
      <c r="B33" s="95"/>
      <c r="C33" s="95"/>
      <c r="D33" s="218">
        <f t="shared" si="6"/>
        <v>0</v>
      </c>
      <c r="E33" s="95"/>
      <c r="F33" s="218">
        <f t="shared" si="4"/>
        <v>0</v>
      </c>
    </row>
    <row r="34" spans="1:6">
      <c r="A34" s="109" t="s">
        <v>127</v>
      </c>
      <c r="B34" s="95"/>
      <c r="C34" s="95"/>
      <c r="D34" s="218">
        <f t="shared" si="6"/>
        <v>0</v>
      </c>
      <c r="E34" s="95"/>
      <c r="F34" s="218">
        <f t="shared" si="4"/>
        <v>0</v>
      </c>
    </row>
    <row r="35" spans="1:6">
      <c r="A35" s="109" t="s">
        <v>128</v>
      </c>
      <c r="B35" s="95"/>
      <c r="C35" s="95"/>
      <c r="D35" s="218">
        <f t="shared" si="6"/>
        <v>0</v>
      </c>
      <c r="E35" s="95"/>
      <c r="F35" s="218">
        <f t="shared" si="4"/>
        <v>0</v>
      </c>
    </row>
    <row r="36" spans="1:6">
      <c r="A36" s="110" t="s">
        <v>129</v>
      </c>
      <c r="B36" s="95"/>
      <c r="C36" s="95"/>
      <c r="D36" s="218">
        <f t="shared" si="6"/>
        <v>0</v>
      </c>
      <c r="E36" s="95"/>
      <c r="F36" s="218">
        <f t="shared" si="4"/>
        <v>0</v>
      </c>
    </row>
    <row r="37" spans="1:6">
      <c r="A37" s="98" t="s">
        <v>108</v>
      </c>
      <c r="B37" s="95"/>
      <c r="C37" s="95"/>
      <c r="D37" s="218">
        <f t="shared" si="6"/>
        <v>0</v>
      </c>
      <c r="E37" s="95"/>
      <c r="F37" s="218">
        <f t="shared" si="4"/>
        <v>0</v>
      </c>
    </row>
    <row r="38" spans="1:6">
      <c r="A38" s="108" t="s">
        <v>111</v>
      </c>
      <c r="B38" s="218">
        <f>SUM(B21:B37)</f>
        <v>0</v>
      </c>
      <c r="C38" s="218">
        <f>SUM(C21:C37)</f>
        <v>0</v>
      </c>
      <c r="D38" s="218">
        <f t="shared" ref="D38" si="7">SUM(D21:D37)</f>
        <v>0</v>
      </c>
      <c r="E38" s="40">
        <f>SUM(E21:E37)</f>
        <v>0</v>
      </c>
      <c r="F38" s="40">
        <f t="shared" si="4"/>
        <v>0</v>
      </c>
    </row>
    <row r="39" spans="1:6">
      <c r="A39" s="104" t="s">
        <v>281</v>
      </c>
      <c r="B39" s="97"/>
      <c r="C39" s="97"/>
      <c r="D39" s="97"/>
      <c r="E39" s="97"/>
      <c r="F39" s="97"/>
    </row>
    <row r="40" spans="1:6">
      <c r="A40" s="105" t="s">
        <v>116</v>
      </c>
      <c r="B40" s="97"/>
      <c r="C40" s="97"/>
      <c r="D40" s="97"/>
      <c r="E40" s="97"/>
      <c r="F40" s="97"/>
    </row>
    <row r="41" spans="1:6">
      <c r="A41" s="96" t="s">
        <v>112</v>
      </c>
      <c r="B41" s="97"/>
      <c r="C41" s="97"/>
      <c r="D41" s="218">
        <f t="shared" ref="D41:D49" si="8">B41-C41</f>
        <v>0</v>
      </c>
      <c r="E41" s="97"/>
      <c r="F41" s="218">
        <f t="shared" ref="F41:F49" si="9">D41-E41</f>
        <v>0</v>
      </c>
    </row>
    <row r="42" spans="1:6">
      <c r="A42" s="100" t="s">
        <v>113</v>
      </c>
      <c r="B42" s="97"/>
      <c r="C42" s="97"/>
      <c r="D42" s="218">
        <f t="shared" si="8"/>
        <v>0</v>
      </c>
      <c r="E42" s="97"/>
      <c r="F42" s="218">
        <f t="shared" si="9"/>
        <v>0</v>
      </c>
    </row>
    <row r="43" spans="1:6">
      <c r="A43" s="100" t="s">
        <v>118</v>
      </c>
      <c r="B43" s="97"/>
      <c r="C43" s="97"/>
      <c r="D43" s="218">
        <f t="shared" si="8"/>
        <v>0</v>
      </c>
      <c r="E43" s="97"/>
      <c r="F43" s="218">
        <f t="shared" si="9"/>
        <v>0</v>
      </c>
    </row>
    <row r="44" spans="1:6">
      <c r="A44" s="100" t="s">
        <v>119</v>
      </c>
      <c r="B44" s="97"/>
      <c r="C44" s="97"/>
      <c r="D44" s="218">
        <f t="shared" si="8"/>
        <v>0</v>
      </c>
      <c r="E44" s="97"/>
      <c r="F44" s="218">
        <f t="shared" si="9"/>
        <v>0</v>
      </c>
    </row>
    <row r="45" spans="1:6">
      <c r="A45" s="98" t="s">
        <v>108</v>
      </c>
      <c r="B45" s="97"/>
      <c r="C45" s="97"/>
      <c r="D45" s="218">
        <f t="shared" si="8"/>
        <v>0</v>
      </c>
      <c r="E45" s="97"/>
      <c r="F45" s="218">
        <f t="shared" si="9"/>
        <v>0</v>
      </c>
    </row>
    <row r="46" spans="1:6">
      <c r="A46" s="105" t="s">
        <v>117</v>
      </c>
      <c r="B46" s="97"/>
      <c r="C46" s="97"/>
      <c r="D46" s="218">
        <f t="shared" si="8"/>
        <v>0</v>
      </c>
      <c r="E46" s="97"/>
      <c r="F46" s="218">
        <f t="shared" si="9"/>
        <v>0</v>
      </c>
    </row>
    <row r="47" spans="1:6">
      <c r="A47" s="96" t="s">
        <v>114</v>
      </c>
      <c r="B47" s="97"/>
      <c r="C47" s="97"/>
      <c r="D47" s="218">
        <f t="shared" si="8"/>
        <v>0</v>
      </c>
      <c r="E47" s="97"/>
      <c r="F47" s="218">
        <f t="shared" si="9"/>
        <v>0</v>
      </c>
    </row>
    <row r="48" spans="1:6">
      <c r="A48" s="98" t="s">
        <v>108</v>
      </c>
      <c r="B48" s="97"/>
      <c r="C48" s="97"/>
      <c r="D48" s="218">
        <f t="shared" si="8"/>
        <v>0</v>
      </c>
      <c r="E48" s="97"/>
      <c r="F48" s="218">
        <f t="shared" si="9"/>
        <v>0</v>
      </c>
    </row>
    <row r="49" spans="1:6">
      <c r="A49" s="108" t="s">
        <v>115</v>
      </c>
      <c r="B49" s="218">
        <f>SUM(B40:B48)</f>
        <v>0</v>
      </c>
      <c r="C49" s="218">
        <f>SUM(C40:C48)</f>
        <v>0</v>
      </c>
      <c r="D49" s="218">
        <f t="shared" si="8"/>
        <v>0</v>
      </c>
      <c r="E49" s="218">
        <f>SUM(E40:E48)</f>
        <v>0</v>
      </c>
      <c r="F49" s="218">
        <f t="shared" si="9"/>
        <v>0</v>
      </c>
    </row>
    <row r="50" spans="1:6">
      <c r="A50" s="108" t="s">
        <v>54</v>
      </c>
      <c r="B50" s="218">
        <f>B38-B49</f>
        <v>0</v>
      </c>
      <c r="C50" s="218">
        <f>C38-C49</f>
        <v>0</v>
      </c>
      <c r="D50" s="218">
        <f t="shared" ref="D50:E50" si="10">D38-D49</f>
        <v>0</v>
      </c>
      <c r="E50" s="218">
        <f t="shared" si="10"/>
        <v>0</v>
      </c>
      <c r="F50" s="218">
        <f>F38-F49</f>
        <v>0</v>
      </c>
    </row>
    <row r="51" spans="1:6">
      <c r="B51" s="111" t="s">
        <v>130</v>
      </c>
      <c r="C51" s="256">
        <f>C50-G11</f>
        <v>0</v>
      </c>
    </row>
    <row r="52" spans="1:6">
      <c r="A52" s="66" t="s">
        <v>23</v>
      </c>
    </row>
    <row r="54" spans="1:6">
      <c r="A54" s="66" t="s">
        <v>24</v>
      </c>
    </row>
    <row r="55" spans="1:6">
      <c r="A55" s="8"/>
    </row>
  </sheetData>
  <mergeCells count="2">
    <mergeCell ref="A1:J1"/>
    <mergeCell ref="A2:J2"/>
  </mergeCells>
  <phoneticPr fontId="5" type="noConversion"/>
  <conditionalFormatting sqref="J10:J15 I10:I14">
    <cfRule type="cellIs" dxfId="1" priority="1" stopIfTrue="1" operator="greaterThanOrEqual">
      <formula>0.5</formula>
    </cfRule>
  </conditionalFormatting>
  <hyperlinks>
    <hyperlink ref="J3" location="底稿目录!A1" display="底稿目录!A1"/>
  </hyperlinks>
  <pageMargins left="0.70866141732283472" right="0.70866141732283472" top="0.74803149606299213" bottom="0.74803149606299213" header="0.31496062992125984" footer="0.31496062992125984"/>
  <pageSetup paperSize="9" scale="61" orientation="portrait" blackAndWhite="1" r:id="rId1"/>
  <headerFooter>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W60"/>
  <sheetViews>
    <sheetView showZeros="0" view="pageBreakPreview" zoomScaleNormal="115" zoomScaleSheetLayoutView="100" workbookViewId="0">
      <selection activeCell="I3" sqref="I3"/>
    </sheetView>
  </sheetViews>
  <sheetFormatPr defaultColWidth="9.109375" defaultRowHeight="15.6"/>
  <cols>
    <col min="1" max="1" width="24.33203125" style="14" customWidth="1"/>
    <col min="2" max="2" width="11.5546875" style="14" customWidth="1"/>
    <col min="3" max="4" width="15.21875" style="14" customWidth="1"/>
    <col min="5" max="5" width="12.77734375" style="14" customWidth="1"/>
    <col min="6" max="6" width="11.44140625" style="14" customWidth="1"/>
    <col min="7" max="7" width="18.21875" style="14" customWidth="1"/>
    <col min="8" max="8" width="14.77734375" style="14" customWidth="1"/>
    <col min="9" max="9" width="13.44140625" style="14" customWidth="1"/>
    <col min="10" max="16384" width="9.109375" style="14"/>
  </cols>
  <sheetData>
    <row r="1" spans="1:23" s="7" customFormat="1" ht="19.95" customHeight="1">
      <c r="A1" s="372" t="s">
        <v>205</v>
      </c>
      <c r="B1" s="372"/>
      <c r="C1" s="372"/>
      <c r="D1" s="372"/>
      <c r="E1" s="372"/>
      <c r="F1" s="372"/>
      <c r="G1" s="372"/>
      <c r="H1" s="372"/>
      <c r="I1" s="372"/>
    </row>
    <row r="2" spans="1:23" s="7" customFormat="1" ht="19.95" customHeight="1">
      <c r="A2" s="387" t="s">
        <v>302</v>
      </c>
      <c r="B2" s="387"/>
      <c r="C2" s="387"/>
      <c r="D2" s="387"/>
      <c r="E2" s="387"/>
      <c r="F2" s="387"/>
      <c r="G2" s="387"/>
      <c r="H2" s="387"/>
      <c r="I2" s="387"/>
    </row>
    <row r="3" spans="1:23" s="8" customFormat="1" ht="19.95" customHeight="1">
      <c r="A3" s="2" t="str">
        <f>底稿目录!A2</f>
        <v>被审计单位：</v>
      </c>
      <c r="D3" s="3" t="str">
        <f>底稿目录!A4</f>
        <v>编制人：</v>
      </c>
      <c r="E3" s="58"/>
      <c r="F3" s="56" t="str">
        <f>底稿目录!A5</f>
        <v>编制日期：</v>
      </c>
      <c r="G3" s="57"/>
      <c r="H3" s="201" t="s">
        <v>220</v>
      </c>
      <c r="I3" s="302" t="str">
        <f>底稿目录!D14</f>
        <v>K6-7</v>
      </c>
    </row>
    <row r="4" spans="1:23" s="8" customFormat="1" ht="19.95" customHeight="1">
      <c r="A4" s="2" t="str">
        <f>底稿目录!A3</f>
        <v>截止日：202X年12月31日</v>
      </c>
      <c r="D4" s="3" t="str">
        <f>底稿目录!A6</f>
        <v>复核人：</v>
      </c>
      <c r="E4" s="58"/>
      <c r="F4" s="56" t="str">
        <f>底稿目录!A7</f>
        <v>复核日期：</v>
      </c>
      <c r="G4" s="57"/>
      <c r="H4" s="201" t="s">
        <v>393</v>
      </c>
    </row>
    <row r="5" spans="1:23" s="8" customFormat="1" ht="19.95" customHeight="1">
      <c r="A5" s="30" t="s">
        <v>8</v>
      </c>
      <c r="B5" s="31"/>
      <c r="C5" s="31"/>
      <c r="D5" s="31"/>
      <c r="E5" s="31"/>
      <c r="F5" s="31"/>
      <c r="G5" s="31"/>
      <c r="H5" s="31"/>
      <c r="I5" s="31"/>
      <c r="J5" s="31"/>
      <c r="K5" s="31"/>
      <c r="L5" s="31"/>
      <c r="M5" s="31"/>
      <c r="N5" s="31"/>
      <c r="P5" s="32"/>
      <c r="T5" s="33"/>
      <c r="W5" s="34"/>
    </row>
    <row r="6" spans="1:23" s="8" customFormat="1" ht="19.95" customHeight="1">
      <c r="A6" s="246" t="s">
        <v>253</v>
      </c>
      <c r="B6" s="31"/>
      <c r="F6" s="32"/>
      <c r="I6" s="37"/>
      <c r="K6" s="37"/>
      <c r="L6" s="37"/>
      <c r="N6" s="37"/>
      <c r="O6" s="37"/>
      <c r="T6" s="33"/>
      <c r="W6" s="34"/>
    </row>
    <row r="7" spans="1:23" s="8" customFormat="1" ht="19.95" customHeight="1">
      <c r="A7" s="8" t="s">
        <v>254</v>
      </c>
      <c r="B7" s="31"/>
      <c r="F7" s="32"/>
      <c r="I7" s="37"/>
      <c r="K7" s="37"/>
      <c r="L7" s="37"/>
      <c r="N7" s="37"/>
      <c r="O7" s="37"/>
      <c r="T7" s="33"/>
      <c r="W7" s="34"/>
    </row>
    <row r="8" spans="1:23" s="8" customFormat="1" ht="19.95" customHeight="1">
      <c r="A8" s="246" t="s">
        <v>255</v>
      </c>
      <c r="B8" s="246"/>
      <c r="F8" s="32"/>
      <c r="I8" s="37"/>
      <c r="K8" s="37"/>
      <c r="L8" s="37"/>
      <c r="N8" s="37"/>
      <c r="O8" s="37"/>
      <c r="T8" s="33"/>
      <c r="W8" s="34"/>
    </row>
    <row r="9" spans="1:23" s="8" customFormat="1" ht="19.95" customHeight="1">
      <c r="A9" s="35" t="s">
        <v>267</v>
      </c>
      <c r="P9" s="36"/>
      <c r="T9" s="33"/>
      <c r="W9" s="34"/>
    </row>
    <row r="10" spans="1:23" s="9" customFormat="1" ht="57" customHeight="1">
      <c r="A10" s="59" t="s">
        <v>10</v>
      </c>
      <c r="B10" s="59" t="s">
        <v>11</v>
      </c>
      <c r="C10" s="89" t="s">
        <v>385</v>
      </c>
      <c r="D10" s="89" t="s">
        <v>386</v>
      </c>
      <c r="E10" s="59" t="s">
        <v>12</v>
      </c>
      <c r="F10" s="89" t="s">
        <v>73</v>
      </c>
      <c r="G10" s="59" t="s">
        <v>13</v>
      </c>
      <c r="H10" s="89" t="s">
        <v>75</v>
      </c>
      <c r="I10" s="89" t="s">
        <v>74</v>
      </c>
    </row>
    <row r="11" spans="1:23" s="42" customFormat="1" ht="19.95" customHeight="1">
      <c r="A11" s="88" t="s">
        <v>265</v>
      </c>
      <c r="B11" s="38"/>
      <c r="C11" s="39"/>
      <c r="D11" s="40"/>
      <c r="E11" s="40"/>
      <c r="F11" s="41"/>
      <c r="G11" s="41"/>
      <c r="H11" s="41"/>
      <c r="I11" s="39"/>
    </row>
    <row r="12" spans="1:23" s="8" customFormat="1" ht="19.95" customHeight="1">
      <c r="A12" s="60" t="s">
        <v>14</v>
      </c>
      <c r="B12" s="12"/>
      <c r="C12" s="12"/>
      <c r="D12" s="12"/>
      <c r="E12" s="211">
        <f>B12-C12-D12</f>
        <v>0</v>
      </c>
      <c r="F12" s="12"/>
      <c r="G12" s="12"/>
      <c r="H12" s="12"/>
      <c r="I12" s="12"/>
    </row>
    <row r="13" spans="1:23" s="8" customFormat="1" ht="19.95" customHeight="1">
      <c r="A13" s="303" t="s">
        <v>270</v>
      </c>
      <c r="B13" s="12"/>
      <c r="C13" s="12"/>
      <c r="D13" s="12"/>
      <c r="E13" s="211">
        <f>B13-C13-D13</f>
        <v>0</v>
      </c>
      <c r="F13" s="12"/>
      <c r="G13" s="12"/>
      <c r="H13" s="12"/>
      <c r="I13" s="12"/>
    </row>
    <row r="14" spans="1:23" s="8" customFormat="1" ht="19.95" customHeight="1">
      <c r="A14" s="303" t="s">
        <v>274</v>
      </c>
      <c r="B14" s="12"/>
      <c r="C14" s="12"/>
      <c r="D14" s="12"/>
      <c r="E14" s="211">
        <f>B14-C14-D14</f>
        <v>0</v>
      </c>
      <c r="F14" s="12"/>
      <c r="G14" s="12"/>
      <c r="H14" s="12"/>
      <c r="I14" s="12"/>
    </row>
    <row r="15" spans="1:23" s="8" customFormat="1" ht="19.95" customHeight="1">
      <c r="A15" s="60" t="s">
        <v>2</v>
      </c>
      <c r="B15" s="12"/>
      <c r="C15" s="12"/>
      <c r="D15" s="12"/>
      <c r="E15" s="211">
        <f>B15-C15-D15</f>
        <v>0</v>
      </c>
      <c r="F15" s="12"/>
      <c r="G15" s="12"/>
      <c r="H15" s="12"/>
      <c r="I15" s="12"/>
    </row>
    <row r="16" spans="1:23" s="8" customFormat="1" ht="19.95" customHeight="1">
      <c r="A16" s="61" t="s">
        <v>15</v>
      </c>
      <c r="B16" s="211">
        <f>SUM(B12:B15)</f>
        <v>0</v>
      </c>
      <c r="C16" s="211">
        <f>SUM(C12:C15)</f>
        <v>0</v>
      </c>
      <c r="D16" s="211">
        <f>SUM(D12:D15)</f>
        <v>0</v>
      </c>
      <c r="E16" s="211">
        <f>SUM(E12:E15)</f>
        <v>0</v>
      </c>
      <c r="F16" s="211">
        <f>SUM(F12:F15)</f>
        <v>0</v>
      </c>
      <c r="G16" s="12"/>
      <c r="H16" s="10"/>
      <c r="I16" s="11"/>
    </row>
    <row r="17" spans="1:9" s="42" customFormat="1" ht="19.95" customHeight="1">
      <c r="A17" s="88" t="s">
        <v>264</v>
      </c>
      <c r="B17" s="38"/>
      <c r="C17" s="39"/>
      <c r="D17" s="40"/>
      <c r="E17" s="40"/>
      <c r="F17" s="40"/>
      <c r="G17" s="40"/>
      <c r="H17" s="40"/>
      <c r="I17" s="39"/>
    </row>
    <row r="18" spans="1:9" s="42" customFormat="1" ht="19.95" customHeight="1">
      <c r="A18" s="62" t="s">
        <v>263</v>
      </c>
      <c r="B18" s="38"/>
      <c r="C18" s="39"/>
      <c r="D18" s="40"/>
      <c r="E18" s="40"/>
      <c r="F18" s="40"/>
      <c r="G18" s="40"/>
      <c r="H18" s="40"/>
      <c r="I18" s="39"/>
    </row>
    <row r="19" spans="1:9" s="8" customFormat="1" ht="19.95" customHeight="1">
      <c r="A19" s="60" t="s">
        <v>16</v>
      </c>
      <c r="B19" s="12"/>
      <c r="C19" s="12"/>
      <c r="D19" s="12"/>
      <c r="E19" s="211">
        <f>B19-C19-D19</f>
        <v>0</v>
      </c>
      <c r="F19" s="12"/>
      <c r="G19" s="12"/>
      <c r="H19" s="12"/>
      <c r="I19" s="12"/>
    </row>
    <row r="20" spans="1:9" s="8" customFormat="1" ht="19.95" customHeight="1">
      <c r="A20" s="60" t="s">
        <v>3</v>
      </c>
      <c r="B20" s="12"/>
      <c r="C20" s="12"/>
      <c r="D20" s="12"/>
      <c r="E20" s="211">
        <f>B20-C20-D20</f>
        <v>0</v>
      </c>
      <c r="F20" s="12"/>
      <c r="G20" s="12"/>
      <c r="H20" s="12"/>
      <c r="I20" s="12"/>
    </row>
    <row r="21" spans="1:9" s="8" customFormat="1" ht="19.95" customHeight="1">
      <c r="A21" s="60" t="s">
        <v>17</v>
      </c>
      <c r="B21" s="12"/>
      <c r="C21" s="12"/>
      <c r="D21" s="12"/>
      <c r="E21" s="211">
        <f>B21-C21-D21</f>
        <v>0</v>
      </c>
      <c r="F21" s="12"/>
      <c r="G21" s="12"/>
      <c r="H21" s="12"/>
      <c r="I21" s="12"/>
    </row>
    <row r="22" spans="1:9" s="8" customFormat="1" ht="19.95" customHeight="1">
      <c r="A22" s="60" t="s">
        <v>3</v>
      </c>
      <c r="B22" s="12"/>
      <c r="C22" s="12"/>
      <c r="D22" s="12"/>
      <c r="E22" s="211">
        <f>B22-C22-D22</f>
        <v>0</v>
      </c>
      <c r="F22" s="12"/>
      <c r="G22" s="12"/>
      <c r="H22" s="12"/>
      <c r="I22" s="12"/>
    </row>
    <row r="23" spans="1:9" s="8" customFormat="1" ht="19.95" customHeight="1">
      <c r="A23" s="60" t="s">
        <v>18</v>
      </c>
      <c r="B23" s="211">
        <f>SUM(B19:B22)</f>
        <v>0</v>
      </c>
      <c r="C23" s="211">
        <f>SUM(C19:C22)</f>
        <v>0</v>
      </c>
      <c r="D23" s="211">
        <f>SUM(D19:D22)</f>
        <v>0</v>
      </c>
      <c r="E23" s="211">
        <f>SUM(E19:E22)</f>
        <v>0</v>
      </c>
      <c r="F23" s="211">
        <f>SUM(F19:F22)</f>
        <v>0</v>
      </c>
      <c r="G23" s="10"/>
      <c r="H23" s="10"/>
      <c r="I23" s="11"/>
    </row>
    <row r="24" spans="1:9" s="42" customFormat="1" ht="19.95" customHeight="1">
      <c r="A24" s="62" t="s">
        <v>266</v>
      </c>
      <c r="B24" s="38"/>
      <c r="C24" s="39"/>
      <c r="D24" s="40"/>
      <c r="E24" s="38"/>
      <c r="F24" s="40"/>
      <c r="G24" s="40"/>
      <c r="H24" s="40"/>
      <c r="I24" s="39"/>
    </row>
    <row r="25" spans="1:9" s="8" customFormat="1" ht="19.95" customHeight="1">
      <c r="A25" s="60" t="s">
        <v>16</v>
      </c>
      <c r="B25" s="12"/>
      <c r="C25" s="12"/>
      <c r="D25" s="12"/>
      <c r="E25" s="211">
        <f>B25-C25-D25</f>
        <v>0</v>
      </c>
      <c r="F25" s="12"/>
      <c r="G25" s="12"/>
      <c r="H25" s="12"/>
      <c r="I25" s="12"/>
    </row>
    <row r="26" spans="1:9" s="8" customFormat="1" ht="19.95" customHeight="1">
      <c r="A26" s="60" t="s">
        <v>3</v>
      </c>
      <c r="B26" s="12"/>
      <c r="C26" s="12"/>
      <c r="D26" s="12"/>
      <c r="E26" s="211">
        <f>B26-C26-D26</f>
        <v>0</v>
      </c>
      <c r="F26" s="12"/>
      <c r="G26" s="12"/>
      <c r="H26" s="12"/>
      <c r="I26" s="12"/>
    </row>
    <row r="27" spans="1:9" s="8" customFormat="1" ht="19.95" customHeight="1">
      <c r="A27" s="60" t="s">
        <v>17</v>
      </c>
      <c r="B27" s="12"/>
      <c r="C27" s="12"/>
      <c r="D27" s="12"/>
      <c r="E27" s="211">
        <f>B27-C27-D27</f>
        <v>0</v>
      </c>
      <c r="F27" s="12"/>
      <c r="G27" s="12"/>
      <c r="H27" s="12"/>
      <c r="I27" s="12"/>
    </row>
    <row r="28" spans="1:9" s="8" customFormat="1" ht="19.95" customHeight="1">
      <c r="A28" s="60" t="s">
        <v>3</v>
      </c>
      <c r="B28" s="12"/>
      <c r="C28" s="12"/>
      <c r="D28" s="12"/>
      <c r="E28" s="211">
        <f>B28-C28-D28</f>
        <v>0</v>
      </c>
      <c r="F28" s="12"/>
      <c r="G28" s="12"/>
      <c r="H28" s="12"/>
      <c r="I28" s="12"/>
    </row>
    <row r="29" spans="1:9" s="8" customFormat="1" ht="19.95" customHeight="1">
      <c r="A29" s="60" t="s">
        <v>18</v>
      </c>
      <c r="B29" s="211">
        <f>SUM(B25:B28)</f>
        <v>0</v>
      </c>
      <c r="C29" s="211">
        <f>SUM(C25:C28)</f>
        <v>0</v>
      </c>
      <c r="D29" s="211">
        <f>SUM(D25:D28)</f>
        <v>0</v>
      </c>
      <c r="E29" s="211">
        <f>SUM(E25:E28)</f>
        <v>0</v>
      </c>
      <c r="F29" s="211">
        <f>SUM(F25:F28)</f>
        <v>0</v>
      </c>
      <c r="G29" s="12"/>
      <c r="H29" s="12"/>
      <c r="I29" s="12"/>
    </row>
    <row r="30" spans="1:9" s="8" customFormat="1" ht="19.95" customHeight="1">
      <c r="A30" s="61" t="s">
        <v>15</v>
      </c>
      <c r="B30" s="211">
        <f>B23+B29</f>
        <v>0</v>
      </c>
      <c r="C30" s="211">
        <f>C23+C29</f>
        <v>0</v>
      </c>
      <c r="D30" s="211">
        <f>D23+D29</f>
        <v>0</v>
      </c>
      <c r="E30" s="211">
        <f>E23+E29</f>
        <v>0</v>
      </c>
      <c r="F30" s="211">
        <f>F23+F29</f>
        <v>0</v>
      </c>
      <c r="G30" s="12"/>
      <c r="H30" s="12"/>
      <c r="I30" s="12"/>
    </row>
    <row r="31" spans="1:9" s="8" customFormat="1" ht="19.95" customHeight="1">
      <c r="A31" s="63" t="s">
        <v>19</v>
      </c>
      <c r="B31" s="211">
        <f>B16+B30</f>
        <v>0</v>
      </c>
      <c r="C31" s="211">
        <f>C16+C30</f>
        <v>0</v>
      </c>
      <c r="D31" s="211">
        <f>D16+D30</f>
        <v>0</v>
      </c>
      <c r="E31" s="211">
        <f>E16+E30</f>
        <v>0</v>
      </c>
      <c r="F31" s="211">
        <f>F16+F30</f>
        <v>0</v>
      </c>
      <c r="G31" s="12"/>
      <c r="H31" s="12"/>
      <c r="I31" s="12"/>
    </row>
    <row r="32" spans="1:9" s="42" customFormat="1" ht="19.95" customHeight="1">
      <c r="A32" s="88" t="s">
        <v>72</v>
      </c>
      <c r="B32" s="40"/>
      <c r="C32" s="38"/>
      <c r="D32" s="39">
        <f>IF($B$22=0,0,B32/$B$22)</f>
        <v>0</v>
      </c>
      <c r="E32" s="39"/>
      <c r="F32" s="40"/>
      <c r="G32" s="40"/>
      <c r="H32" s="40"/>
      <c r="I32" s="39">
        <f>IF($F$22=0,0,F32/$F$22)</f>
        <v>0</v>
      </c>
    </row>
    <row r="33" spans="1:9" s="42" customFormat="1" ht="19.95" customHeight="1">
      <c r="A33" s="62" t="s">
        <v>263</v>
      </c>
      <c r="B33" s="38"/>
      <c r="C33" s="39"/>
      <c r="D33" s="40"/>
      <c r="E33" s="40"/>
      <c r="F33" s="40"/>
      <c r="G33" s="40"/>
      <c r="H33" s="40"/>
      <c r="I33" s="39"/>
    </row>
    <row r="34" spans="1:9" s="8" customFormat="1" ht="19.95" customHeight="1">
      <c r="A34" s="60" t="s">
        <v>20</v>
      </c>
      <c r="B34" s="12"/>
      <c r="C34" s="12"/>
      <c r="D34" s="12"/>
      <c r="E34" s="211">
        <f>B34-C34-D34</f>
        <v>0</v>
      </c>
      <c r="F34" s="12"/>
      <c r="G34" s="12"/>
      <c r="H34" s="12"/>
      <c r="I34" s="12"/>
    </row>
    <row r="35" spans="1:9" s="8" customFormat="1" ht="19.95" customHeight="1">
      <c r="A35" s="60" t="s">
        <v>21</v>
      </c>
      <c r="B35" s="12"/>
      <c r="C35" s="12"/>
      <c r="D35" s="12"/>
      <c r="E35" s="211">
        <f>B35-C35-D35</f>
        <v>0</v>
      </c>
      <c r="F35" s="12"/>
      <c r="G35" s="12"/>
      <c r="H35" s="12"/>
      <c r="I35" s="12"/>
    </row>
    <row r="36" spans="1:9" s="8" customFormat="1" ht="19.95" customHeight="1">
      <c r="A36" s="60" t="s">
        <v>3</v>
      </c>
      <c r="B36" s="12"/>
      <c r="C36" s="12"/>
      <c r="D36" s="12"/>
      <c r="E36" s="211">
        <f>B36-C36-D36</f>
        <v>0</v>
      </c>
      <c r="F36" s="12"/>
      <c r="G36" s="12"/>
      <c r="H36" s="12"/>
      <c r="I36" s="12"/>
    </row>
    <row r="37" spans="1:9" s="8" customFormat="1" ht="19.95" customHeight="1">
      <c r="A37" s="60" t="s">
        <v>18</v>
      </c>
      <c r="B37" s="211">
        <f>SUM(B34:B36)</f>
        <v>0</v>
      </c>
      <c r="C37" s="211">
        <f t="shared" ref="C37:F37" si="0">SUM(C34:C36)</f>
        <v>0</v>
      </c>
      <c r="D37" s="211">
        <f t="shared" si="0"/>
        <v>0</v>
      </c>
      <c r="E37" s="211">
        <f t="shared" si="0"/>
        <v>0</v>
      </c>
      <c r="F37" s="211">
        <f t="shared" si="0"/>
        <v>0</v>
      </c>
      <c r="G37" s="10"/>
      <c r="H37" s="10"/>
      <c r="I37" s="11"/>
    </row>
    <row r="38" spans="1:9" s="42" customFormat="1" ht="19.95" customHeight="1">
      <c r="A38" s="62" t="s">
        <v>266</v>
      </c>
      <c r="B38" s="38"/>
      <c r="C38" s="39"/>
      <c r="D38" s="40"/>
      <c r="E38" s="40"/>
      <c r="F38" s="40"/>
      <c r="G38" s="40"/>
      <c r="H38" s="40"/>
      <c r="I38" s="39"/>
    </row>
    <row r="39" spans="1:9" s="8" customFormat="1" ht="19.95" customHeight="1">
      <c r="A39" s="60" t="s">
        <v>20</v>
      </c>
      <c r="B39" s="12"/>
      <c r="C39" s="12"/>
      <c r="D39" s="12"/>
      <c r="E39" s="211">
        <f>B39-C39-D39</f>
        <v>0</v>
      </c>
      <c r="F39" s="12"/>
      <c r="G39" s="12"/>
      <c r="H39" s="12"/>
      <c r="I39" s="12"/>
    </row>
    <row r="40" spans="1:9" s="8" customFormat="1" ht="19.95" customHeight="1">
      <c r="A40" s="60" t="s">
        <v>21</v>
      </c>
      <c r="B40" s="12"/>
      <c r="C40" s="12"/>
      <c r="D40" s="12"/>
      <c r="E40" s="211">
        <f>B40-C40-D40</f>
        <v>0</v>
      </c>
      <c r="F40" s="12"/>
      <c r="G40" s="12"/>
      <c r="H40" s="12"/>
      <c r="I40" s="12"/>
    </row>
    <row r="41" spans="1:9" s="8" customFormat="1" ht="19.95" customHeight="1">
      <c r="A41" s="60" t="s">
        <v>3</v>
      </c>
      <c r="B41" s="12"/>
      <c r="C41" s="12"/>
      <c r="D41" s="12"/>
      <c r="E41" s="211">
        <f>B41-C41-D41</f>
        <v>0</v>
      </c>
      <c r="F41" s="12"/>
      <c r="G41" s="12"/>
      <c r="H41" s="12"/>
      <c r="I41" s="12"/>
    </row>
    <row r="42" spans="1:9" s="8" customFormat="1" ht="19.95" customHeight="1">
      <c r="A42" s="60" t="s">
        <v>18</v>
      </c>
      <c r="B42" s="211">
        <f>SUM(B39:B41)</f>
        <v>0</v>
      </c>
      <c r="C42" s="211">
        <f>SUM(C39:C41)</f>
        <v>0</v>
      </c>
      <c r="D42" s="211">
        <f>SUM(D39:D41)</f>
        <v>0</v>
      </c>
      <c r="E42" s="211">
        <f>SUM(E39:E41)</f>
        <v>0</v>
      </c>
      <c r="F42" s="211">
        <f>SUM(F39:F41)</f>
        <v>0</v>
      </c>
      <c r="G42" s="10"/>
      <c r="H42" s="10"/>
      <c r="I42" s="11"/>
    </row>
    <row r="43" spans="1:9" s="8" customFormat="1" ht="19.95" customHeight="1">
      <c r="A43" s="64" t="s">
        <v>22</v>
      </c>
      <c r="B43" s="211">
        <f>B37+B42</f>
        <v>0</v>
      </c>
      <c r="C43" s="211">
        <f>C37+C42</f>
        <v>0</v>
      </c>
      <c r="D43" s="211">
        <f>D37+D42</f>
        <v>0</v>
      </c>
      <c r="E43" s="211">
        <f>E37+E42</f>
        <v>0</v>
      </c>
      <c r="F43" s="211">
        <f>F37+F42</f>
        <v>0</v>
      </c>
      <c r="G43" s="10"/>
      <c r="H43" s="10"/>
      <c r="I43" s="11"/>
    </row>
    <row r="44" spans="1:9" s="8" customFormat="1" ht="19.95" customHeight="1">
      <c r="A44" s="65" t="s">
        <v>23</v>
      </c>
      <c r="B44" s="13"/>
      <c r="C44" s="13"/>
      <c r="D44" s="13"/>
      <c r="E44" s="13"/>
      <c r="F44" s="13"/>
      <c r="G44" s="13"/>
      <c r="H44" s="13"/>
      <c r="I44" s="13"/>
    </row>
    <row r="45" spans="1:9" s="8" customFormat="1" ht="19.95" customHeight="1"/>
    <row r="46" spans="1:9" s="8" customFormat="1" ht="19.95" customHeight="1">
      <c r="A46" s="66" t="s">
        <v>24</v>
      </c>
    </row>
    <row r="47" spans="1:9" s="8" customFormat="1" ht="19.95" customHeight="1"/>
    <row r="48" spans="1:9" s="8" customFormat="1" ht="20.100000000000001" customHeight="1"/>
    <row r="49" spans="1:3" s="8" customFormat="1" ht="13.8"/>
    <row r="50" spans="1:3" s="8" customFormat="1" ht="13.8">
      <c r="A50" s="388" t="s">
        <v>357</v>
      </c>
      <c r="B50" s="388"/>
      <c r="C50" s="388"/>
    </row>
    <row r="51" spans="1:3" s="8" customFormat="1" ht="28.5" customHeight="1">
      <c r="A51" s="388" t="s">
        <v>362</v>
      </c>
      <c r="B51" s="388"/>
      <c r="C51" s="388"/>
    </row>
    <row r="52" spans="1:3" s="8" customFormat="1" ht="94.8" customHeight="1">
      <c r="A52" s="361" t="s">
        <v>358</v>
      </c>
      <c r="B52" s="361"/>
      <c r="C52" s="361"/>
    </row>
    <row r="53" spans="1:3" s="8" customFormat="1" ht="31.2" customHeight="1">
      <c r="A53" s="361" t="s">
        <v>62</v>
      </c>
      <c r="B53" s="361"/>
      <c r="C53" s="361"/>
    </row>
    <row r="54" spans="1:3" s="8" customFormat="1" ht="69.599999999999994" customHeight="1">
      <c r="A54" s="361" t="s">
        <v>359</v>
      </c>
      <c r="B54" s="361"/>
      <c r="C54" s="361"/>
    </row>
    <row r="55" spans="1:3" s="8" customFormat="1" ht="50.4" customHeight="1">
      <c r="A55" s="361" t="s">
        <v>64</v>
      </c>
      <c r="B55" s="361"/>
      <c r="C55" s="361"/>
    </row>
    <row r="56" spans="1:3" ht="45" customHeight="1">
      <c r="A56" s="361" t="s">
        <v>360</v>
      </c>
      <c r="B56" s="361"/>
      <c r="C56" s="361"/>
    </row>
    <row r="57" spans="1:3" ht="22.5" customHeight="1">
      <c r="A57" s="361" t="s">
        <v>361</v>
      </c>
      <c r="B57" s="361"/>
      <c r="C57" s="361"/>
    </row>
    <row r="58" spans="1:3">
      <c r="A58" s="67"/>
    </row>
    <row r="59" spans="1:3" ht="26.25" customHeight="1">
      <c r="A59" s="382"/>
      <c r="B59" s="382"/>
      <c r="C59" s="382"/>
    </row>
    <row r="60" spans="1:3">
      <c r="A60" s="67"/>
    </row>
  </sheetData>
  <mergeCells count="11">
    <mergeCell ref="A53:C53"/>
    <mergeCell ref="A1:I1"/>
    <mergeCell ref="A2:I2"/>
    <mergeCell ref="A50:C50"/>
    <mergeCell ref="A51:C51"/>
    <mergeCell ref="A52:C52"/>
    <mergeCell ref="A54:C54"/>
    <mergeCell ref="A55:C55"/>
    <mergeCell ref="A56:C56"/>
    <mergeCell ref="A57:C57"/>
    <mergeCell ref="A59:C59"/>
  </mergeCells>
  <phoneticPr fontId="31" type="noConversion"/>
  <conditionalFormatting sqref="I11 I32:I33 C11 C24 C33 C17:C18 D32:E33 C38:E38 I16:I18 I23:I24 I37:I38 I42:I43">
    <cfRule type="cellIs" dxfId="0" priority="5" stopIfTrue="1" operator="greaterThanOrEqual">
      <formula>0.5</formula>
    </cfRule>
  </conditionalFormatting>
  <hyperlinks>
    <hyperlink ref="I3" location="底稿目录!A1" display="底稿目录!A1"/>
  </hyperlinks>
  <printOptions horizontalCentered="1"/>
  <pageMargins left="0.39370078740157483" right="0.31496062992125984" top="0.74803149606299213" bottom="0.31496062992125984" header="0.51181102362204722" footer="0.19685039370078741"/>
  <pageSetup paperSize="9" scale="65" fitToWidth="0" fitToHeight="0" orientation="portrait" blackAndWhite="1" r:id="rId1"/>
  <headerFooter alignWithMargins="0">
    <oddFooter>&amp;C&amp;P/&amp;N</oddFooter>
  </headerFooter>
  <rowBreaks count="1" manualBreakCount="1">
    <brk id="47"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15</vt:i4>
      </vt:variant>
    </vt:vector>
  </HeadingPairs>
  <TitlesOfParts>
    <vt:vector size="26" baseType="lpstr">
      <vt:lpstr>底稿目录</vt:lpstr>
      <vt:lpstr>实质性程序表 K6A</vt:lpstr>
      <vt:lpstr>审定表 K6-1</vt:lpstr>
      <vt:lpstr>附注披露信息（上市公司）</vt:lpstr>
      <vt:lpstr>附注披露信息(国企）</vt:lpstr>
      <vt:lpstr>明细表K6-2</vt:lpstr>
      <vt:lpstr>调整分录汇总 K6-3</vt:lpstr>
      <vt:lpstr>初始确认检查表K6-4</vt:lpstr>
      <vt:lpstr>减值准备测试表（后续计量） K6-5</vt:lpstr>
      <vt:lpstr>处置组减值测试表（后续计量） K6-6</vt:lpstr>
      <vt:lpstr>检查表（不再满足持有待售）K6-7</vt:lpstr>
      <vt:lpstr>'实质性程序表 K6A'!_FilterDatabase</vt:lpstr>
      <vt:lpstr>'初始确认检查表K6-4'!Print_Area</vt:lpstr>
      <vt:lpstr>'处置组减值测试表（后续计量） K6-6'!Print_Area</vt:lpstr>
      <vt:lpstr>'调整分录汇总 K6-3'!Print_Area</vt:lpstr>
      <vt:lpstr>'附注披露信息(国企）'!Print_Area</vt:lpstr>
      <vt:lpstr>'附注披露信息（上市公司）'!Print_Area</vt:lpstr>
      <vt:lpstr>'检查表（不再满足持有待售）K6-7'!Print_Area</vt:lpstr>
      <vt:lpstr>'减值准备测试表（后续计量） K6-5'!Print_Area</vt:lpstr>
      <vt:lpstr>'明细表K6-2'!Print_Area</vt:lpstr>
      <vt:lpstr>'审定表 K6-1'!Print_Area</vt:lpstr>
      <vt:lpstr>'实质性程序表 K6A'!Print_Area</vt:lpstr>
      <vt:lpstr>'初始确认检查表K6-4'!Print_Titles</vt:lpstr>
      <vt:lpstr>'检查表（不再满足持有待售）K6-7'!Print_Titles</vt:lpstr>
      <vt:lpstr>'减值准备测试表（后续计量） K6-5'!Print_Titles</vt:lpstr>
      <vt:lpstr>'实质性程序表 K6A'!Print_Titles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2025-10-22T02:27:13Z</cp:lastPrinted>
  <dcterms:created xsi:type="dcterms:W3CDTF">2013-12-07T13:18:01Z</dcterms:created>
  <dcterms:modified xsi:type="dcterms:W3CDTF">2025-11-05T07:21:06Z</dcterms:modified>
</cp:coreProperties>
</file>