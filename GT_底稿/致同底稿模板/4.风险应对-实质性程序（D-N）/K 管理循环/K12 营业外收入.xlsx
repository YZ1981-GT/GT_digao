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480" yWindow="60" windowWidth="15480" windowHeight="8904" tabRatio="770"/>
  </bookViews>
  <sheets>
    <sheet name="底稿目录" sheetId="1" r:id="rId1"/>
    <sheet name="实质性程序表K12A" sheetId="26" r:id="rId2"/>
    <sheet name="审定表K12-1" sheetId="15" r:id="rId3"/>
    <sheet name="附注披露信息（上市公司）" sheetId="21" r:id="rId4"/>
    <sheet name="附注披露信息（国企）" sheetId="24" r:id="rId5"/>
    <sheet name="明细表K12-2" sheetId="19" r:id="rId6"/>
    <sheet name="调整分录汇总K12-3" sheetId="27" r:id="rId7"/>
    <sheet name="营业外收入检查表K12-4" sheetId="20" r:id="rId8"/>
    <sheet name="GT_Custom" sheetId="22" state="hidden" r:id="rId9"/>
  </sheets>
  <definedNames>
    <definedName name="_xlnm._FilterDatabase" localSheetId="1">实质性程序表K12A!$A$15:$I$24</definedName>
    <definedName name="_xlnm.Print_Area" localSheetId="6">'调整分录汇总K12-3'!$A$1:$J$20</definedName>
    <definedName name="_xlnm.Print_Area" localSheetId="4">'附注披露信息（国企）'!$A$1:$E$29</definedName>
    <definedName name="_xlnm.Print_Area" localSheetId="3">'附注披露信息（上市公司）'!$A$1:$E$20</definedName>
    <definedName name="_xlnm.Print_Area" localSheetId="5">'明细表K12-2'!$A$1:$Z$22</definedName>
    <definedName name="_xlnm.Print_Area" localSheetId="2">'审定表K12-1'!$A$1:$K$20</definedName>
    <definedName name="_xlnm.Print_Area" localSheetId="1">实质性程序表K12A!$A$1:$I$24</definedName>
    <definedName name="_xlnm.Print_Area" localSheetId="7">'营业外收入检查表K12-4'!$A$1:$Q$29</definedName>
    <definedName name="_xlnm.Print_Titles" localSheetId="2">'审定表K12-1'!$1:$4</definedName>
    <definedName name="_xlnm.Print_Titles" localSheetId="1">实质性程序表K12A!$15:$15</definedName>
  </definedNames>
  <calcPr calcId="162913"/>
</workbook>
</file>

<file path=xl/calcChain.xml><?xml version="1.0" encoding="utf-8"?>
<calcChain xmlns="http://schemas.openxmlformats.org/spreadsheetml/2006/main">
  <c r="A6" i="15" l="1"/>
  <c r="G22" i="20" l="1"/>
  <c r="A7" i="15" l="1"/>
  <c r="A8" i="15"/>
  <c r="A9" i="15"/>
  <c r="A10" i="15"/>
  <c r="A11" i="15"/>
  <c r="A12" i="15"/>
  <c r="O16" i="19"/>
  <c r="P16" i="19"/>
  <c r="R16" i="19"/>
  <c r="Q3" i="20" l="1"/>
  <c r="J3" i="27"/>
  <c r="Z3" i="19"/>
  <c r="E3" i="24"/>
  <c r="E3" i="21"/>
  <c r="K3" i="15"/>
  <c r="I3" i="26"/>
  <c r="D11" i="24" l="1"/>
  <c r="D11" i="21"/>
  <c r="G9" i="15"/>
  <c r="H9" i="15"/>
  <c r="I9" i="15"/>
  <c r="G10" i="15"/>
  <c r="H10" i="15"/>
  <c r="I10" i="15"/>
  <c r="C9" i="15"/>
  <c r="D9" i="15"/>
  <c r="A11" i="24"/>
  <c r="X12" i="19"/>
  <c r="X13" i="19"/>
  <c r="N12" i="19"/>
  <c r="Q12" i="19" s="1"/>
  <c r="A11" i="21" l="1"/>
  <c r="J10" i="15"/>
  <c r="B9" i="15"/>
  <c r="E9" i="15" s="1"/>
  <c r="B11" i="24" s="1"/>
  <c r="J9" i="15"/>
  <c r="Z12" i="19"/>
  <c r="D14" i="24"/>
  <c r="D13" i="24"/>
  <c r="D12" i="24"/>
  <c r="D10" i="24"/>
  <c r="D9" i="24"/>
  <c r="D8" i="24"/>
  <c r="D15" i="24" l="1"/>
  <c r="C11" i="21"/>
  <c r="C11" i="24"/>
  <c r="B11" i="21"/>
  <c r="K4" i="20"/>
  <c r="F4" i="20"/>
  <c r="R4" i="19"/>
  <c r="J4" i="19"/>
  <c r="C4" i="24"/>
  <c r="B4" i="24"/>
  <c r="C4" i="21"/>
  <c r="B4" i="21"/>
  <c r="H4" i="15"/>
  <c r="C4" i="15"/>
  <c r="E4" i="26"/>
  <c r="C4" i="26"/>
  <c r="F4" i="27" l="1"/>
  <c r="F3" i="27"/>
  <c r="D4" i="27"/>
  <c r="D3" i="27"/>
  <c r="A4" i="27"/>
  <c r="A3" i="27"/>
  <c r="E3" i="26" l="1"/>
  <c r="C3" i="26"/>
  <c r="A4" i="26"/>
  <c r="A3" i="26"/>
  <c r="A8" i="24"/>
  <c r="C11" i="15" l="1"/>
  <c r="D11" i="15"/>
  <c r="C12" i="15"/>
  <c r="D12" i="15"/>
  <c r="V16" i="19" l="1"/>
  <c r="W16" i="19"/>
  <c r="U16" i="19"/>
  <c r="C16" i="19"/>
  <c r="D16" i="19"/>
  <c r="E16" i="19"/>
  <c r="F16" i="19"/>
  <c r="G16" i="19"/>
  <c r="H16" i="19"/>
  <c r="I16" i="19"/>
  <c r="J16" i="19"/>
  <c r="K16" i="19"/>
  <c r="L16" i="19"/>
  <c r="M16" i="19"/>
  <c r="B16" i="19"/>
  <c r="D8" i="21" l="1"/>
  <c r="D9" i="21"/>
  <c r="D10" i="21"/>
  <c r="D12" i="21"/>
  <c r="D13" i="21"/>
  <c r="D14" i="21"/>
  <c r="G6" i="15"/>
  <c r="H6" i="15"/>
  <c r="I6" i="15"/>
  <c r="G7" i="15"/>
  <c r="H7" i="15"/>
  <c r="I7" i="15"/>
  <c r="G8" i="15"/>
  <c r="H8" i="15"/>
  <c r="I8" i="15"/>
  <c r="G11" i="15"/>
  <c r="H11" i="15"/>
  <c r="I11" i="15"/>
  <c r="G12" i="15"/>
  <c r="H12" i="15"/>
  <c r="I12" i="15"/>
  <c r="C6" i="15"/>
  <c r="D6" i="15"/>
  <c r="C7" i="15"/>
  <c r="D7" i="15"/>
  <c r="C8" i="15"/>
  <c r="D8" i="15"/>
  <c r="C10" i="15"/>
  <c r="D10" i="15"/>
  <c r="A8" i="21"/>
  <c r="C13" i="15" l="1"/>
  <c r="A14" i="21"/>
  <c r="A14" i="24"/>
  <c r="A12" i="21"/>
  <c r="A12" i="24"/>
  <c r="A13" i="21"/>
  <c r="A13" i="24"/>
  <c r="A10" i="21"/>
  <c r="A10" i="24"/>
  <c r="A9" i="21"/>
  <c r="A9" i="24"/>
  <c r="D15" i="21"/>
  <c r="G13" i="15"/>
  <c r="D13" i="15"/>
  <c r="H13" i="15"/>
  <c r="I13" i="15"/>
  <c r="J6" i="15"/>
  <c r="C8" i="24" s="1"/>
  <c r="N9" i="19"/>
  <c r="Q9" i="19" s="1"/>
  <c r="N10" i="19"/>
  <c r="B7" i="15" s="1"/>
  <c r="N11" i="19"/>
  <c r="B8" i="15" s="1"/>
  <c r="N13" i="19"/>
  <c r="N14" i="19"/>
  <c r="B11" i="15" s="1"/>
  <c r="E11" i="15" s="1"/>
  <c r="B13" i="24" s="1"/>
  <c r="N15" i="19"/>
  <c r="B12" i="15" s="1"/>
  <c r="E12" i="15" s="1"/>
  <c r="B14" i="24" s="1"/>
  <c r="B10" i="15" l="1"/>
  <c r="Q13" i="19"/>
  <c r="Z13" i="19" s="1"/>
  <c r="B6" i="15"/>
  <c r="E6" i="15" s="1"/>
  <c r="N16" i="19"/>
  <c r="C8" i="21"/>
  <c r="B13" i="15" l="1"/>
  <c r="B17" i="19"/>
  <c r="C17" i="19" l="1"/>
  <c r="C29" i="24"/>
  <c r="B29" i="24"/>
  <c r="A4" i="24"/>
  <c r="C3" i="24"/>
  <c r="B3" i="24"/>
  <c r="A3" i="24"/>
  <c r="X9" i="19" l="1"/>
  <c r="Z9" i="19" s="1"/>
  <c r="X10" i="19"/>
  <c r="X11" i="19"/>
  <c r="X14" i="19"/>
  <c r="X15" i="19"/>
  <c r="J7" i="15"/>
  <c r="C9" i="24" s="1"/>
  <c r="J8" i="15"/>
  <c r="C10" i="24" s="1"/>
  <c r="C12" i="24"/>
  <c r="J11" i="15"/>
  <c r="C13" i="24" s="1"/>
  <c r="J12" i="15"/>
  <c r="C14" i="24" s="1"/>
  <c r="A4" i="21"/>
  <c r="C3" i="21"/>
  <c r="B3" i="21"/>
  <c r="A3" i="21"/>
  <c r="K3" i="20"/>
  <c r="F3" i="20"/>
  <c r="A4" i="20"/>
  <c r="A3" i="20"/>
  <c r="R3" i="19"/>
  <c r="J3" i="19"/>
  <c r="A4" i="19"/>
  <c r="A3" i="19"/>
  <c r="H3" i="15"/>
  <c r="C3" i="15"/>
  <c r="E7" i="15"/>
  <c r="B9" i="24" s="1"/>
  <c r="E8" i="15"/>
  <c r="B10" i="24" s="1"/>
  <c r="E10" i="15"/>
  <c r="B12" i="24" s="1"/>
  <c r="A4" i="15"/>
  <c r="A3" i="15"/>
  <c r="B8" i="24" l="1"/>
  <c r="B15" i="24" s="1"/>
  <c r="E13" i="15"/>
  <c r="E15" i="15" s="1"/>
  <c r="C15" i="24"/>
  <c r="X16" i="19"/>
  <c r="J13" i="15"/>
  <c r="J15" i="15" s="1"/>
  <c r="C12" i="21"/>
  <c r="B12" i="21"/>
  <c r="C10" i="21"/>
  <c r="B13" i="21"/>
  <c r="B8" i="21"/>
  <c r="B14" i="21"/>
  <c r="B9" i="21"/>
  <c r="C13" i="21"/>
  <c r="B10" i="21"/>
  <c r="C14" i="21"/>
  <c r="C9" i="21"/>
  <c r="Q11" i="19"/>
  <c r="Z11" i="19" s="1"/>
  <c r="Q15" i="19"/>
  <c r="Z15" i="19" s="1"/>
  <c r="Q10" i="19"/>
  <c r="Q14" i="19"/>
  <c r="Z14" i="19" s="1"/>
  <c r="Z10" i="19" l="1"/>
  <c r="Q16" i="19"/>
  <c r="G23" i="20" s="1"/>
  <c r="G24" i="20" s="1"/>
  <c r="Y14" i="19"/>
  <c r="Y13" i="19"/>
  <c r="Y12" i="19"/>
  <c r="Y11" i="19"/>
  <c r="Y16" i="19"/>
  <c r="Y15" i="19"/>
  <c r="Y10" i="19"/>
  <c r="Y9" i="19"/>
  <c r="B15" i="21"/>
  <c r="C15" i="21"/>
  <c r="N17" i="19"/>
  <c r="E17" i="19"/>
  <c r="G17" i="19"/>
  <c r="K17" i="19"/>
  <c r="L17" i="19"/>
  <c r="D17" i="19"/>
  <c r="I17" i="19"/>
  <c r="M17" i="19"/>
  <c r="J17" i="19"/>
  <c r="H17" i="19"/>
  <c r="F17" i="19"/>
  <c r="Z16" i="19" l="1"/>
  <c r="T13" i="19"/>
  <c r="T12" i="19"/>
  <c r="T16" i="19"/>
  <c r="T14" i="19"/>
  <c r="T9" i="19"/>
  <c r="T10" i="19"/>
  <c r="T11" i="19"/>
  <c r="T15"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<sst xmlns="http://schemas.openxmlformats.org/spreadsheetml/2006/main" count="272" uniqueCount="238">
  <si>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</si>
  <si>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</si>
  <si>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</si>
  <si>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</si>
  <si>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</si>
  <si>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</si>
  <si>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</si>
  <si>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</si>
  <si>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</si>
  <si>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</si>
  <si>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t>……</t>
  </si>
  <si>
    <t>C1</t>
  </si>
  <si>
    <t>Custom 1</t>
  </si>
  <si>
    <t>C2</t>
  </si>
  <si>
    <t>Custom 2</t>
  </si>
  <si>
    <t>C3</t>
  </si>
  <si>
    <t>Custom 3</t>
  </si>
  <si>
    <t>C4</t>
  </si>
  <si>
    <t>Custom 4</t>
  </si>
  <si>
    <t>C5</t>
  </si>
  <si>
    <t>Custom 5</t>
  </si>
  <si>
    <t>C6</t>
  </si>
  <si>
    <t>Custom 6</t>
  </si>
  <si>
    <t>C7</t>
  </si>
  <si>
    <t>Custom 7</t>
  </si>
  <si>
    <t>C8</t>
  </si>
  <si>
    <t>Custom 8</t>
  </si>
  <si>
    <t>致同会计师事务所</t>
  </si>
  <si>
    <r>
      <rPr>
        <sz val="10"/>
        <rFont val="宋体"/>
        <family val="3"/>
        <charset val="134"/>
      </rPr>
      <t>索引号：</t>
    </r>
  </si>
  <si>
    <r>
      <rPr>
        <sz val="10"/>
        <rFont val="宋体"/>
        <family val="3"/>
        <charset val="134"/>
      </rPr>
      <t>页次：</t>
    </r>
  </si>
  <si>
    <r>
      <rPr>
        <b/>
        <sz val="10"/>
        <color indexed="8"/>
        <rFont val="宋体"/>
        <family val="3"/>
        <charset val="134"/>
      </rPr>
      <t>一、审计目标：</t>
    </r>
    <phoneticPr fontId="12" type="noConversion"/>
  </si>
  <si>
    <r>
      <rPr>
        <b/>
        <sz val="10"/>
        <rFont val="宋体"/>
        <family val="3"/>
        <charset val="134"/>
      </rPr>
      <t>项目</t>
    </r>
    <phoneticPr fontId="12" type="noConversion"/>
  </si>
  <si>
    <r>
      <t>1</t>
    </r>
    <r>
      <rPr>
        <b/>
        <sz val="10"/>
        <rFont val="宋体"/>
        <family val="3"/>
        <charset val="134"/>
      </rPr>
      <t>月</t>
    </r>
    <phoneticPr fontId="12" type="noConversion"/>
  </si>
  <si>
    <r>
      <t>2</t>
    </r>
    <r>
      <rPr>
        <b/>
        <sz val="10"/>
        <rFont val="宋体"/>
        <family val="3"/>
        <charset val="134"/>
      </rPr>
      <t>月</t>
    </r>
    <phoneticPr fontId="12" type="noConversion"/>
  </si>
  <si>
    <r>
      <rPr>
        <b/>
        <sz val="10"/>
        <rFont val="宋体"/>
        <family val="3"/>
        <charset val="134"/>
      </rPr>
      <t>本期合计</t>
    </r>
    <phoneticPr fontId="12" type="noConversion"/>
  </si>
  <si>
    <r>
      <rPr>
        <b/>
        <sz val="10"/>
        <rFont val="宋体"/>
        <family val="3"/>
        <charset val="134"/>
      </rPr>
      <t>重分类调整</t>
    </r>
    <phoneticPr fontId="12" type="noConversion"/>
  </si>
  <si>
    <r>
      <rPr>
        <b/>
        <sz val="10"/>
        <rFont val="宋体"/>
        <family val="3"/>
        <charset val="134"/>
      </rPr>
      <t>期末审定数</t>
    </r>
    <phoneticPr fontId="12" type="noConversion"/>
  </si>
  <si>
    <r>
      <rPr>
        <b/>
        <sz val="10"/>
        <rFont val="宋体"/>
        <family val="3"/>
        <charset val="134"/>
      </rPr>
      <t>与相关科目勾稽</t>
    </r>
    <phoneticPr fontId="12" type="noConversion"/>
  </si>
  <si>
    <r>
      <rPr>
        <b/>
        <sz val="10"/>
        <rFont val="宋体"/>
        <family val="3"/>
        <charset val="134"/>
      </rPr>
      <t>结构比</t>
    </r>
    <phoneticPr fontId="12" type="noConversion"/>
  </si>
  <si>
    <r>
      <rPr>
        <b/>
        <sz val="10"/>
        <rFont val="宋体"/>
        <family val="3"/>
        <charset val="134"/>
      </rPr>
      <t>上年同期发生数</t>
    </r>
    <phoneticPr fontId="12" type="noConversion"/>
  </si>
  <si>
    <r>
      <rPr>
        <b/>
        <sz val="10"/>
        <rFont val="宋体"/>
        <family val="3"/>
        <charset val="134"/>
      </rPr>
      <t>合计</t>
    </r>
  </si>
  <si>
    <r>
      <rPr>
        <b/>
        <sz val="10"/>
        <rFont val="宋体"/>
        <family val="3"/>
        <charset val="134"/>
      </rPr>
      <t>各月比例</t>
    </r>
    <phoneticPr fontId="12" type="noConversion"/>
  </si>
  <si>
    <r>
      <rPr>
        <b/>
        <sz val="10"/>
        <rFont val="宋体"/>
        <family val="3"/>
        <charset val="134"/>
      </rPr>
      <t>三、审计说明：</t>
    </r>
    <phoneticPr fontId="12" type="noConversion"/>
  </si>
  <si>
    <r>
      <rPr>
        <b/>
        <sz val="10"/>
        <rFont val="宋体"/>
        <family val="3"/>
        <charset val="134"/>
      </rPr>
      <t>四、审计结论：</t>
    </r>
    <phoneticPr fontId="12" type="noConversion"/>
  </si>
  <si>
    <t>账项调整</t>
    <phoneticPr fontId="12" type="noConversion"/>
  </si>
  <si>
    <t>上年同期审定数</t>
    <phoneticPr fontId="12" type="noConversion"/>
  </si>
  <si>
    <t>计入当期非经常性损益的金额</t>
    <phoneticPr fontId="12" type="noConversion"/>
  </si>
  <si>
    <t>本期未审数</t>
    <phoneticPr fontId="12" type="noConversion"/>
  </si>
  <si>
    <t>其他</t>
    <phoneticPr fontId="12" type="noConversion"/>
  </si>
  <si>
    <t>营业外收入附注披露信息</t>
    <phoneticPr fontId="12" type="noConversion"/>
  </si>
  <si>
    <t>页次：</t>
    <phoneticPr fontId="12" type="noConversion"/>
  </si>
  <si>
    <t>营业外收入</t>
  </si>
  <si>
    <t>本期发生额</t>
  </si>
  <si>
    <t>上期发生额</t>
  </si>
  <si>
    <t>项  目</t>
  </si>
  <si>
    <t>合  计</t>
  </si>
  <si>
    <t>附注披露信息（国企）：</t>
    <phoneticPr fontId="12" type="noConversion"/>
  </si>
  <si>
    <t>项 目</t>
  </si>
  <si>
    <t xml:space="preserve">本期发生额 </t>
  </si>
  <si>
    <t>计入当期非经常性损益的金额</t>
    <phoneticPr fontId="12" type="noConversion"/>
  </si>
  <si>
    <r>
      <rPr>
        <b/>
        <sz val="10"/>
        <rFont val="宋体"/>
        <family val="3"/>
        <charset val="134"/>
      </rPr>
      <t>项目名称</t>
    </r>
    <phoneticPr fontId="12" type="noConversion"/>
  </si>
  <si>
    <r>
      <rPr>
        <b/>
        <sz val="10"/>
        <rFont val="宋体"/>
        <family val="3"/>
        <charset val="134"/>
      </rPr>
      <t>审计调整</t>
    </r>
    <phoneticPr fontId="12" type="noConversion"/>
  </si>
  <si>
    <r>
      <rPr>
        <b/>
        <sz val="10"/>
        <rFont val="宋体"/>
        <family val="3"/>
        <charset val="134"/>
      </rPr>
      <t>重分类调整</t>
    </r>
    <phoneticPr fontId="12" type="noConversion"/>
  </si>
  <si>
    <r>
      <rPr>
        <b/>
        <sz val="10"/>
        <rFont val="宋体"/>
        <family val="3"/>
        <charset val="134"/>
      </rPr>
      <t>索引号</t>
    </r>
  </si>
  <si>
    <r>
      <rPr>
        <b/>
        <sz val="10"/>
        <rFont val="宋体"/>
        <family val="3"/>
        <charset val="134"/>
      </rPr>
      <t>备注</t>
    </r>
  </si>
  <si>
    <r>
      <rPr>
        <b/>
        <sz val="12"/>
        <rFont val="宋体"/>
        <family val="3"/>
        <charset val="134"/>
      </rPr>
      <t>底稿开列时，可先在以下单元格填写有关内容，以便其他底稿引用有关数据：</t>
    </r>
    <phoneticPr fontId="12" type="noConversion"/>
  </si>
  <si>
    <r>
      <rPr>
        <sz val="12"/>
        <rFont val="宋体"/>
        <family val="3"/>
        <charset val="134"/>
      </rPr>
      <t>序号</t>
    </r>
    <phoneticPr fontId="12" type="noConversion"/>
  </si>
  <si>
    <r>
      <rPr>
        <sz val="12"/>
        <rFont val="宋体"/>
        <family val="3"/>
        <charset val="134"/>
      </rPr>
      <t>内容</t>
    </r>
  </si>
  <si>
    <t>本期审定数</t>
    <phoneticPr fontId="12" type="noConversion"/>
  </si>
  <si>
    <t>上期未审数</t>
    <phoneticPr fontId="12" type="noConversion"/>
  </si>
  <si>
    <t>上期审定数</t>
    <phoneticPr fontId="12" type="noConversion"/>
  </si>
  <si>
    <t>营业外收入审定表</t>
    <phoneticPr fontId="12" type="noConversion"/>
  </si>
  <si>
    <r>
      <rPr>
        <b/>
        <sz val="10"/>
        <rFont val="宋体"/>
        <family val="3"/>
        <charset val="134"/>
      </rPr>
      <t>一、本账户涉及的科目</t>
    </r>
    <phoneticPr fontId="12" type="noConversion"/>
  </si>
  <si>
    <r>
      <rPr>
        <b/>
        <sz val="10"/>
        <rFont val="宋体"/>
        <family val="3"/>
        <charset val="134"/>
      </rPr>
      <t>财务报表的认定　</t>
    </r>
  </si>
  <si>
    <t>发生</t>
    <phoneticPr fontId="12" type="noConversion"/>
  </si>
  <si>
    <r>
      <rPr>
        <b/>
        <sz val="10"/>
        <rFont val="宋体"/>
        <family val="3"/>
        <charset val="134"/>
      </rPr>
      <t>三、计划实施的实质性程序</t>
    </r>
    <phoneticPr fontId="12" type="noConversion"/>
  </si>
  <si>
    <r>
      <rPr>
        <sz val="10"/>
        <color theme="1"/>
        <rFont val="宋体"/>
        <family val="3"/>
        <charset val="134"/>
      </rPr>
      <t>常规★</t>
    </r>
    <phoneticPr fontId="35" type="noConversion"/>
  </si>
  <si>
    <t>T1</t>
    <phoneticPr fontId="12" type="noConversion"/>
  </si>
  <si>
    <t>2</t>
  </si>
  <si>
    <t>3</t>
  </si>
  <si>
    <t>营业外收入实质性程序表</t>
    <phoneticPr fontId="35" type="noConversion"/>
  </si>
  <si>
    <t>营业外收入</t>
    <phoneticPr fontId="35" type="noConversion"/>
  </si>
  <si>
    <t>4</t>
  </si>
  <si>
    <t>5</t>
  </si>
  <si>
    <t>6</t>
  </si>
  <si>
    <t>试算平衡表数</t>
    <phoneticPr fontId="12" type="noConversion"/>
  </si>
  <si>
    <t>差异数</t>
    <phoneticPr fontId="12" type="noConversion"/>
  </si>
  <si>
    <t>调整事项说明</t>
    <phoneticPr fontId="12" type="noConversion"/>
  </si>
  <si>
    <t>类别（报表调整/账项调整/其他）</t>
    <phoneticPr fontId="12" type="noConversion"/>
  </si>
  <si>
    <t>科目名称</t>
    <phoneticPr fontId="12" type="noConversion"/>
  </si>
  <si>
    <t>附注项目</t>
    <phoneticPr fontId="12" type="noConversion"/>
  </si>
  <si>
    <t>……</t>
    <phoneticPr fontId="12" type="noConversion"/>
  </si>
  <si>
    <t>借方调整金额</t>
    <phoneticPr fontId="12" type="noConversion"/>
  </si>
  <si>
    <t>贷方调整金额</t>
    <phoneticPr fontId="12" type="noConversion"/>
  </si>
  <si>
    <t>索引</t>
    <phoneticPr fontId="12" type="noConversion"/>
  </si>
  <si>
    <t>备注</t>
    <phoneticPr fontId="12" type="noConversion"/>
  </si>
  <si>
    <t>索引号</t>
    <phoneticPr fontId="35" type="noConversion"/>
  </si>
  <si>
    <t>营业外收入调整分录汇总表</t>
    <phoneticPr fontId="12" type="noConversion"/>
  </si>
  <si>
    <t>（注：企业可根据实际情况，单独披露金额较大的项目。）</t>
  </si>
  <si>
    <r>
      <t>营业外收入</t>
    </r>
    <r>
      <rPr>
        <sz val="10"/>
        <color rgb="FF0000FF"/>
        <rFont val="宋体"/>
        <family val="3"/>
        <charset val="134"/>
        <scheme val="minor"/>
      </rPr>
      <t>（注：以下不存在的项目可以删除）</t>
    </r>
  </si>
  <si>
    <r>
      <rPr>
        <b/>
        <sz val="12"/>
        <rFont val="宋体"/>
        <family val="3"/>
        <charset val="134"/>
      </rPr>
      <t>附注披露信息（上市公司）：</t>
    </r>
    <phoneticPr fontId="12" type="noConversion"/>
  </si>
  <si>
    <t>【提示：“营业外收入”，反映企业发生的营业利润以外的收益，主要包括与企业日常活动无关的政府补助、非流动资产毁损报废利得、捐赠利得（企业接受股东或股东的子公司直接或间接的捐赠，经济实质属于股东对企业的资本性投入的除外）等。】</t>
    <phoneticPr fontId="12" type="noConversion"/>
  </si>
  <si>
    <t>与企业日常活动无关的政府补助明细</t>
    <phoneticPr fontId="12" type="noConversion"/>
  </si>
  <si>
    <t>索引号：</t>
    <phoneticPr fontId="12" type="noConversion"/>
  </si>
  <si>
    <t>致同会计师事务所</t>
    <phoneticPr fontId="12" type="noConversion"/>
  </si>
  <si>
    <t>致同会计师事务所</t>
    <phoneticPr fontId="12" type="noConversion"/>
  </si>
  <si>
    <t>索引号：</t>
    <phoneticPr fontId="12" type="noConversion"/>
  </si>
  <si>
    <t>索引号：</t>
    <phoneticPr fontId="12" type="noConversion"/>
  </si>
  <si>
    <t>索引：</t>
    <phoneticPr fontId="12" type="noConversion"/>
  </si>
  <si>
    <t>页次：</t>
    <phoneticPr fontId="12" type="noConversion"/>
  </si>
  <si>
    <t>索引号：</t>
    <phoneticPr fontId="12" type="noConversion"/>
  </si>
  <si>
    <r>
      <rPr>
        <sz val="10"/>
        <rFont val="宋体"/>
        <family val="3"/>
        <charset val="134"/>
      </rPr>
      <t>索引号：</t>
    </r>
    <phoneticPr fontId="35" type="noConversion"/>
  </si>
  <si>
    <r>
      <rPr>
        <sz val="10"/>
        <rFont val="宋体"/>
        <family val="3"/>
        <charset val="134"/>
      </rPr>
      <t>页</t>
    </r>
    <r>
      <rPr>
        <sz val="10"/>
        <rFont val="Arial Narrow"/>
        <family val="2"/>
      </rPr>
      <t xml:space="preserve">  </t>
    </r>
    <r>
      <rPr>
        <sz val="10"/>
        <rFont val="宋体"/>
        <family val="3"/>
        <charset val="134"/>
      </rPr>
      <t>次：</t>
    </r>
    <phoneticPr fontId="35" type="noConversion"/>
  </si>
  <si>
    <t>二、审计目标与认定的对应关系</t>
  </si>
  <si>
    <t>审计目标</t>
    <phoneticPr fontId="12" type="noConversion"/>
  </si>
  <si>
    <t>序号</t>
    <phoneticPr fontId="12" type="noConversion"/>
  </si>
  <si>
    <t>审计程序</t>
    <phoneticPr fontId="12" type="noConversion"/>
  </si>
  <si>
    <t>程序分类</t>
    <phoneticPr fontId="12" type="noConversion"/>
  </si>
  <si>
    <t>发生</t>
  </si>
  <si>
    <t>完整性</t>
  </si>
  <si>
    <t>准确性</t>
  </si>
  <si>
    <t>截止</t>
  </si>
  <si>
    <t>1</t>
    <phoneticPr fontId="35" type="noConversion"/>
  </si>
  <si>
    <r>
      <rPr>
        <sz val="10"/>
        <color theme="1"/>
        <rFont val="宋体"/>
        <family val="3"/>
        <charset val="134"/>
      </rPr>
      <t>常规★</t>
    </r>
    <phoneticPr fontId="35" type="noConversion"/>
  </si>
  <si>
    <r>
      <rPr>
        <sz val="10"/>
        <color theme="1"/>
        <rFont val="宋体"/>
        <family val="3"/>
        <charset val="134"/>
      </rPr>
      <t>常规★</t>
    </r>
    <phoneticPr fontId="35" type="noConversion"/>
  </si>
  <si>
    <t>√</t>
    <phoneticPr fontId="12" type="noConversion"/>
  </si>
  <si>
    <r>
      <rPr>
        <sz val="10"/>
        <rFont val="宋体"/>
        <family val="3"/>
        <charset val="134"/>
      </rPr>
      <t>备选</t>
    </r>
    <phoneticPr fontId="35" type="noConversion"/>
  </si>
  <si>
    <r>
      <rPr>
        <sz val="10"/>
        <color theme="1"/>
        <rFont val="宋体"/>
        <family val="3"/>
        <charset val="134"/>
      </rPr>
      <t>常规★</t>
    </r>
    <phoneticPr fontId="35" type="noConversion"/>
  </si>
  <si>
    <r>
      <rPr>
        <sz val="10"/>
        <color theme="1"/>
        <rFont val="宋体"/>
        <family val="3"/>
        <charset val="134"/>
      </rPr>
      <t>常规★</t>
    </r>
    <phoneticPr fontId="35"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</si>
  <si>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</si>
  <si>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关注会计政策、会计估计合理性、一贯性。关注其是否利用会计政策和会计估计及其变更操纵利润。</t>
    <phoneticPr fontId="12" type="noConversion"/>
  </si>
  <si>
    <t>常规★</t>
    <phoneticPr fontId="12" type="noConversion"/>
  </si>
  <si>
    <t>√</t>
    <phoneticPr fontId="12" type="noConversion"/>
  </si>
  <si>
    <t>列报</t>
    <phoneticPr fontId="12" type="noConversion"/>
  </si>
  <si>
    <t>四、审计说明：</t>
    <phoneticPr fontId="17" type="noConversion"/>
  </si>
  <si>
    <t>五、审计结论：</t>
    <phoneticPr fontId="12" type="noConversion"/>
  </si>
  <si>
    <t>√</t>
    <phoneticPr fontId="12" type="noConversion"/>
  </si>
  <si>
    <t>√</t>
    <phoneticPr fontId="12" type="noConversion"/>
  </si>
  <si>
    <r>
      <rPr>
        <b/>
        <sz val="10"/>
        <color indexed="8"/>
        <rFont val="宋体"/>
        <family val="3"/>
        <charset val="134"/>
      </rPr>
      <t>二、审计过程</t>
    </r>
    <r>
      <rPr>
        <b/>
        <sz val="10"/>
        <color indexed="8"/>
        <rFont val="Arial Narrow"/>
        <family val="2"/>
      </rPr>
      <t>:</t>
    </r>
    <phoneticPr fontId="12" type="noConversion"/>
  </si>
  <si>
    <r>
      <rPr>
        <b/>
        <sz val="10"/>
        <color indexed="8"/>
        <rFont val="宋体"/>
        <family val="3"/>
        <charset val="134"/>
      </rPr>
      <t>一、审计目标：</t>
    </r>
    <phoneticPr fontId="12" type="noConversion"/>
  </si>
  <si>
    <r>
      <t>3.</t>
    </r>
    <r>
      <rPr>
        <sz val="10"/>
        <rFont val="宋体"/>
        <family val="3"/>
        <charset val="134"/>
      </rPr>
      <t>与营业外收入有关的金额及其他数据已恰当记录，相关披露已得到恰当计量和描述。</t>
    </r>
    <phoneticPr fontId="12" type="noConversion"/>
  </si>
  <si>
    <r>
      <rPr>
        <sz val="10"/>
        <rFont val="宋体"/>
        <family val="3"/>
        <charset val="134"/>
      </rPr>
      <t>根据评估的舞弊风险等因素增加的审计程序。</t>
    </r>
  </si>
  <si>
    <t>√</t>
    <phoneticPr fontId="12" type="noConversion"/>
  </si>
  <si>
    <t>报表项目</t>
    <phoneticPr fontId="12" type="noConversion"/>
  </si>
  <si>
    <r>
      <t>4.</t>
    </r>
    <r>
      <rPr>
        <sz val="10"/>
        <rFont val="宋体"/>
        <family val="3"/>
        <charset val="134"/>
      </rPr>
      <t>营业外收入已记录于正确的会计期间。</t>
    </r>
    <phoneticPr fontId="12" type="noConversion"/>
  </si>
  <si>
    <r>
      <t>2.</t>
    </r>
    <r>
      <rPr>
        <sz val="10"/>
        <rFont val="宋体"/>
        <family val="3"/>
        <charset val="134"/>
      </rPr>
      <t>所有应当记录的营业外收入均已记录，所有应当包括在财务报表中的相关披露均已包括；</t>
    </r>
    <phoneticPr fontId="12" type="noConversion"/>
  </si>
  <si>
    <r>
      <t>3.</t>
    </r>
    <r>
      <rPr>
        <sz val="10"/>
        <rFont val="宋体"/>
        <family val="3"/>
        <charset val="134"/>
      </rPr>
      <t>与营业外收入有关的金额及其他数据已恰当记录，相关披露已得到恰当计量和描述；</t>
    </r>
    <phoneticPr fontId="12" type="noConversion"/>
  </si>
  <si>
    <r>
      <t>1.</t>
    </r>
    <r>
      <rPr>
        <sz val="10"/>
        <rFont val="宋体"/>
        <family val="3"/>
        <charset val="134"/>
      </rPr>
      <t>利润表中记录的营业外收入已发生，且与被审计单位有关，已记录于恰当的账户；</t>
    </r>
    <phoneticPr fontId="12" type="noConversion"/>
  </si>
  <si>
    <t>无需打印</t>
    <phoneticPr fontId="12" type="noConversion"/>
  </si>
  <si>
    <r>
      <rPr>
        <u/>
        <sz val="10"/>
        <color indexed="12"/>
        <rFont val="宋体"/>
        <family val="3"/>
        <charset val="134"/>
      </rPr>
      <t>实质性程序表</t>
    </r>
  </si>
  <si>
    <r>
      <rPr>
        <u/>
        <sz val="10"/>
        <color indexed="12"/>
        <rFont val="宋体"/>
        <family val="3"/>
        <charset val="134"/>
      </rPr>
      <t>审定表</t>
    </r>
    <phoneticPr fontId="12" type="noConversion"/>
  </si>
  <si>
    <r>
      <rPr>
        <u/>
        <sz val="10"/>
        <color indexed="12"/>
        <rFont val="宋体"/>
        <family val="3"/>
        <charset val="134"/>
      </rPr>
      <t>附注披露信息（上市公司）</t>
    </r>
    <phoneticPr fontId="12" type="noConversion"/>
  </si>
  <si>
    <r>
      <rPr>
        <u/>
        <sz val="10"/>
        <color indexed="12"/>
        <rFont val="宋体"/>
        <family val="3"/>
        <charset val="134"/>
      </rPr>
      <t>附注披露信息（国企）</t>
    </r>
    <phoneticPr fontId="12" type="noConversion"/>
  </si>
  <si>
    <r>
      <rPr>
        <u/>
        <sz val="10"/>
        <color indexed="12"/>
        <rFont val="宋体"/>
        <family val="3"/>
        <charset val="134"/>
      </rPr>
      <t>明细表</t>
    </r>
    <phoneticPr fontId="12" type="noConversion"/>
  </si>
  <si>
    <r>
      <rPr>
        <u/>
        <sz val="10"/>
        <color indexed="12"/>
        <rFont val="宋体"/>
        <family val="3"/>
        <charset val="134"/>
      </rPr>
      <t>调整分录汇总</t>
    </r>
    <phoneticPr fontId="12"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</si>
  <si>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35"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</si>
  <si>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35" type="noConversion"/>
  </si>
  <si>
    <r>
      <t>A1-1/</t>
    </r>
    <r>
      <rPr>
        <sz val="10"/>
        <color rgb="FFFF0000"/>
        <rFont val="Arial Narrow"/>
        <family val="2"/>
      </rPr>
      <t>A1-15 /A1-16</t>
    </r>
    <phoneticPr fontId="12" type="noConversion"/>
  </si>
  <si>
    <t>底稿索引号</t>
    <phoneticPr fontId="12" type="noConversion"/>
  </si>
  <si>
    <t>致同会计师事务所</t>
    <phoneticPr fontId="35" type="noConversion"/>
  </si>
  <si>
    <t>营业外收入附注披露信息</t>
    <phoneticPr fontId="12" type="noConversion"/>
  </si>
  <si>
    <t>营业外收入明细表</t>
    <phoneticPr fontId="12" type="noConversion"/>
  </si>
  <si>
    <r>
      <rPr>
        <sz val="10"/>
        <color rgb="FF0000FF"/>
        <rFont val="宋体"/>
        <family val="3"/>
        <charset val="134"/>
      </rPr>
      <t xml:space="preserve">【提示：
</t>
    </r>
    <r>
      <rPr>
        <sz val="10"/>
        <color rgb="FF0000FF"/>
        <rFont val="Arial Narrow"/>
        <family val="2"/>
      </rPr>
      <t>1</t>
    </r>
    <r>
      <rPr>
        <sz val="10"/>
        <color rgb="FF0000FF"/>
        <rFont val="宋体"/>
        <family val="3"/>
        <charset val="134"/>
      </rPr>
      <t>、</t>
    </r>
    <r>
      <rPr>
        <sz val="10"/>
        <color rgb="FF0000FF"/>
        <rFont val="Arial Narrow"/>
        <family val="2"/>
      </rPr>
      <t xml:space="preserve"> “</t>
    </r>
    <r>
      <rPr>
        <sz val="10"/>
        <color rgb="FF0000FF"/>
        <rFont val="宋体"/>
        <family val="3"/>
        <charset val="134"/>
      </rPr>
      <t>营业外收入</t>
    </r>
    <r>
      <rPr>
        <sz val="10"/>
        <color rgb="FF0000FF"/>
        <rFont val="Arial Narrow"/>
        <family val="2"/>
      </rPr>
      <t>”</t>
    </r>
    <r>
      <rPr>
        <sz val="10"/>
        <color rgb="FF0000FF"/>
        <rFont val="宋体"/>
        <family val="3"/>
        <charset val="134"/>
      </rPr>
      <t xml:space="preserve">，反映企业发生的营业利润以外的收益，主要包括与企业日常活动无关的政府补助、盘盈利得、捐赠利得（企业接受股东或股东的子公司直接或间接的捐赠，经济实质属于股东对企业的资本性投入的除外）等。不包括存货盘盈利得；不包括固定资产盘盈利得。
</t>
    </r>
    <r>
      <rPr>
        <sz val="10"/>
        <color rgb="FF0000FF"/>
        <rFont val="Arial Narrow"/>
        <family val="2"/>
      </rPr>
      <t>2</t>
    </r>
    <r>
      <rPr>
        <sz val="10"/>
        <color rgb="FF0000FF"/>
        <rFont val="宋体"/>
        <family val="3"/>
        <charset val="134"/>
      </rPr>
      <t>、</t>
    </r>
    <r>
      <rPr>
        <sz val="10"/>
        <color rgb="FF0000FF"/>
        <rFont val="Arial Narrow"/>
        <family val="2"/>
      </rPr>
      <t>“</t>
    </r>
    <r>
      <rPr>
        <sz val="10"/>
        <color rgb="FF0000FF"/>
        <rFont val="宋体"/>
        <family val="3"/>
        <charset val="134"/>
      </rPr>
      <t>政府补助</t>
    </r>
    <r>
      <rPr>
        <sz val="10"/>
        <color rgb="FF0000FF"/>
        <rFont val="Arial Narrow"/>
        <family val="2"/>
      </rPr>
      <t>”</t>
    </r>
    <r>
      <rPr>
        <sz val="10"/>
        <color rgb="FF0000FF"/>
        <rFont val="宋体"/>
        <family val="3"/>
        <charset val="134"/>
      </rPr>
      <t xml:space="preserve">仅列示与日常活动无关（如与自然灾害等不可抗力发生的停工、停产损失有关的政府补助）且采用总额法进行处理的政府补助。】
</t>
    </r>
    <phoneticPr fontId="12" type="noConversion"/>
  </si>
  <si>
    <r>
      <rPr>
        <sz val="10"/>
        <color rgb="FF000000"/>
        <rFont val="宋体"/>
        <family val="3"/>
        <charset val="134"/>
      </rPr>
      <t>（</t>
    </r>
    <r>
      <rPr>
        <sz val="10"/>
        <color rgb="FF000000"/>
        <rFont val="Arial Narrow"/>
        <family val="2"/>
      </rPr>
      <t>2</t>
    </r>
    <r>
      <rPr>
        <sz val="10"/>
        <color rgb="FF000000"/>
        <rFont val="宋体"/>
        <family val="3"/>
        <charset val="134"/>
      </rPr>
      <t>）作为经常性损益的政府补助，具体原因见附注十七、</t>
    </r>
    <r>
      <rPr>
        <sz val="10"/>
        <color rgb="FF000000"/>
        <rFont val="Arial Narrow"/>
        <family val="2"/>
      </rPr>
      <t>1</t>
    </r>
    <r>
      <rPr>
        <sz val="10"/>
        <color rgb="FF000000"/>
        <rFont val="宋体"/>
        <family val="3"/>
        <charset val="134"/>
      </rPr>
      <t>。</t>
    </r>
    <phoneticPr fontId="12" type="noConversion"/>
  </si>
  <si>
    <r>
      <rPr>
        <sz val="10"/>
        <color rgb="FF000000"/>
        <rFont val="宋体"/>
        <family val="3"/>
        <charset val="134"/>
      </rPr>
      <t>（</t>
    </r>
    <r>
      <rPr>
        <sz val="10"/>
        <color rgb="FF000000"/>
        <rFont val="Arial Narrow"/>
        <family val="2"/>
      </rPr>
      <t>1</t>
    </r>
    <r>
      <rPr>
        <sz val="10"/>
        <color rgb="FF000000"/>
        <rFont val="宋体"/>
        <family val="3"/>
        <charset val="134"/>
      </rPr>
      <t>）政府补助的具体信息，详见附注八、政府补助。</t>
    </r>
    <phoneticPr fontId="12" type="noConversion"/>
  </si>
  <si>
    <t>结构比</t>
    <phoneticPr fontId="12" type="noConversion"/>
  </si>
  <si>
    <t>增长比例</t>
  </si>
  <si>
    <t>提示：本底稿适用于调整分录较多、较复杂的项目，且仅列示与本报表项目相关的审计调整。项目组可根据项目实际情况选择是否使用该底稿。</t>
    <phoneticPr fontId="12"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</si>
  <si>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2" type="noConversion"/>
  </si>
  <si>
    <r>
      <t xml:space="preserve">B. </t>
    </r>
    <r>
      <rPr>
        <sz val="10"/>
        <rFont val="宋体"/>
        <family val="3"/>
        <charset val="134"/>
      </rPr>
      <t>所有应当记录的营业外收入均已记录，所有应当包括在财务报表中的相关披露均已包括</t>
    </r>
    <phoneticPr fontId="12" type="noConversion"/>
  </si>
  <si>
    <r>
      <t xml:space="preserve">C. </t>
    </r>
    <r>
      <rPr>
        <sz val="10"/>
        <rFont val="宋体"/>
        <family val="3"/>
        <charset val="134"/>
      </rPr>
      <t>与营业外收入有关的金额及其他数据已恰当记录，相关披露已得到恰当计量和描述</t>
    </r>
    <phoneticPr fontId="12" type="noConversion"/>
  </si>
  <si>
    <t>获取或编制其他收益明细表，复核加计是否正确，并与总账数和明细账合计数核对是否相符，编制审定表；了解营业外收入的内容，判断其分类为营业外收入是否恰当。</t>
    <phoneticPr fontId="12" type="noConversion"/>
  </si>
  <si>
    <r>
      <t>对上期发生额的审计：结合本期审计确定营业外收入的上期金额的截止是否恰当。（</t>
    </r>
    <r>
      <rPr>
        <sz val="10"/>
        <color rgb="FFFF0000"/>
        <rFont val="宋体"/>
        <family val="3"/>
        <charset val="134"/>
      </rPr>
      <t>适用于首次承接</t>
    </r>
    <r>
      <rPr>
        <sz val="10"/>
        <rFont val="宋体"/>
        <family val="3"/>
        <charset val="134"/>
      </rPr>
      <t>）</t>
    </r>
    <phoneticPr fontId="12" type="noConversion"/>
  </si>
  <si>
    <t>对于政府补助检查相关原始凭证，结合其他收益、递延收益的审计，确定业务的真实性、入账金额及会计处理是否正确。</t>
    <phoneticPr fontId="12" type="noConversion"/>
  </si>
  <si>
    <t>检查与营业外收入有关的的记账凭证和相应的支持性证据以确定交易的真实性，是否按规定进行相应的会计处理和披露。</t>
    <phoneticPr fontId="12" type="noConversion"/>
  </si>
  <si>
    <t>7</t>
  </si>
  <si>
    <t>8</t>
  </si>
  <si>
    <t>检查其他收益是否已按企业会计准则或其他适用的规定在财务报表中做出恰当列报和披露。</t>
  </si>
  <si>
    <t>IPO/上市/新三板/重组/舞弊应对</t>
    <phoneticPr fontId="35" type="noConversion"/>
  </si>
  <si>
    <r>
      <t>1.</t>
    </r>
    <r>
      <rPr>
        <b/>
        <sz val="10"/>
        <rFont val="宋体"/>
        <family val="3"/>
        <charset val="134"/>
      </rPr>
      <t>审计说明</t>
    </r>
    <phoneticPr fontId="12" type="noConversion"/>
  </si>
  <si>
    <r>
      <t>2.</t>
    </r>
    <r>
      <rPr>
        <b/>
        <sz val="10"/>
        <rFont val="宋体"/>
        <family val="3"/>
        <charset val="134"/>
      </rPr>
      <t>审计结论</t>
    </r>
    <phoneticPr fontId="12" type="noConversion"/>
  </si>
  <si>
    <t>提示：</t>
    <phoneticPr fontId="12" type="noConversion"/>
  </si>
  <si>
    <t>关注非经常性损益列报的正确性。非经常性损益是指公司发生的与生产经营无直接关系，以及虽与生产经营相关，但由于其性质、金额或发生频率，影响了真实、公允地评价公司当期经营成果和获利能力的各项收入、支出，通常与自然灾害、搬迁、捐赠等相关的收益或损失应列报为非经常性损益。</t>
    <phoneticPr fontId="12" type="noConversion"/>
  </si>
  <si>
    <r>
      <t>2.</t>
    </r>
    <r>
      <rPr>
        <sz val="10"/>
        <rFont val="宋体"/>
        <family val="3"/>
        <charset val="134"/>
      </rPr>
      <t>所有应当记录的营业外收入均已记录，所有应当包括在财务报表中的相关披露均已包括；</t>
    </r>
    <phoneticPr fontId="12" type="noConversion"/>
  </si>
  <si>
    <t>二、测试：</t>
    <phoneticPr fontId="17" type="noConversion"/>
  </si>
  <si>
    <t>记账凭证</t>
    <phoneticPr fontId="12" type="noConversion"/>
  </si>
  <si>
    <t>支持性文件</t>
    <phoneticPr fontId="12" type="noConversion"/>
  </si>
  <si>
    <r>
      <rPr>
        <b/>
        <sz val="10"/>
        <rFont val="宋体"/>
        <family val="3"/>
        <charset val="134"/>
      </rPr>
      <t>核对内容</t>
    </r>
  </si>
  <si>
    <t>索引号</t>
  </si>
  <si>
    <t>是否异常</t>
    <phoneticPr fontId="12" type="noConversion"/>
  </si>
  <si>
    <t>备注说明</t>
    <phoneticPr fontId="12" type="noConversion"/>
  </si>
  <si>
    <t>日期</t>
  </si>
  <si>
    <t>凭证编号</t>
  </si>
  <si>
    <t>业务内容</t>
    <phoneticPr fontId="12" type="noConversion"/>
  </si>
  <si>
    <t>对方科目</t>
    <phoneticPr fontId="12" type="noConversion"/>
  </si>
  <si>
    <t>对方明细科目</t>
    <phoneticPr fontId="12" type="noConversion"/>
  </si>
  <si>
    <t>营业外收入检查表</t>
    <phoneticPr fontId="12" type="noConversion"/>
  </si>
  <si>
    <t>营业外收入检查表</t>
    <phoneticPr fontId="12" type="noConversion"/>
  </si>
  <si>
    <t>2.……</t>
    <phoneticPr fontId="12" type="noConversion"/>
  </si>
  <si>
    <r>
      <t>1.</t>
    </r>
    <r>
      <rPr>
        <sz val="10"/>
        <color rgb="FFFF0000"/>
        <rFont val="宋体"/>
        <family val="3"/>
        <charset val="134"/>
      </rPr>
      <t>政府补助检查与核对详见其他收益底稿</t>
    </r>
    <r>
      <rPr>
        <sz val="10"/>
        <color rgb="FFFF0000"/>
        <rFont val="Arial Narrow"/>
        <family val="2"/>
      </rPr>
      <t>&lt;K11-4&gt;</t>
    </r>
    <phoneticPr fontId="12" type="noConversion"/>
  </si>
  <si>
    <r>
      <t xml:space="preserve">A. </t>
    </r>
    <r>
      <rPr>
        <sz val="10"/>
        <rFont val="宋体"/>
        <family val="3"/>
        <charset val="134"/>
      </rPr>
      <t>利润表中记录的营业外收入已发生，且与被审计单位有关，已记录于恰当的账户</t>
    </r>
    <phoneticPr fontId="12" type="noConversion"/>
  </si>
  <si>
    <t>明细项目</t>
    <phoneticPr fontId="12" type="noConversion"/>
  </si>
  <si>
    <t>K12A</t>
  </si>
  <si>
    <t>K12-1</t>
  </si>
  <si>
    <t>K12-2</t>
  </si>
  <si>
    <t>K12-3</t>
  </si>
  <si>
    <t>K12-4</t>
  </si>
  <si>
    <t>K12-1
/K12-2</t>
  </si>
  <si>
    <t>K11-4
/K12-4</t>
  </si>
  <si>
    <t>测试原因：大额（）关联方（）大额交易频繁（）异常（）其他（）</t>
    <phoneticPr fontId="12" type="noConversion"/>
  </si>
  <si>
    <r>
      <rPr>
        <sz val="10"/>
        <rFont val="宋体"/>
        <family val="3"/>
        <charset val="134"/>
      </rPr>
      <t>被审计单位：</t>
    </r>
    <r>
      <rPr>
        <sz val="10"/>
        <rFont val="Arial Narrow"/>
        <family val="2"/>
      </rPr>
      <t/>
    </r>
    <phoneticPr fontId="12" type="noConversion"/>
  </si>
  <si>
    <t>编制人：</t>
    <phoneticPr fontId="12" type="noConversion"/>
  </si>
  <si>
    <t>编制日期：</t>
    <phoneticPr fontId="12" type="noConversion"/>
  </si>
  <si>
    <t>复核人：</t>
    <phoneticPr fontId="12" type="noConversion"/>
  </si>
  <si>
    <t>复核日期：</t>
    <phoneticPr fontId="12" type="noConversion"/>
  </si>
  <si>
    <r>
      <rPr>
        <sz val="10"/>
        <rFont val="宋体"/>
        <family val="3"/>
        <charset val="134"/>
      </rPr>
      <t>完整性</t>
    </r>
    <phoneticPr fontId="12" type="noConversion"/>
  </si>
  <si>
    <t>准确性</t>
    <phoneticPr fontId="12" type="noConversion"/>
  </si>
  <si>
    <t>截止</t>
    <phoneticPr fontId="12" type="noConversion"/>
  </si>
  <si>
    <t>列报</t>
    <phoneticPr fontId="12" type="noConversion"/>
  </si>
  <si>
    <r>
      <t xml:space="preserve">D. </t>
    </r>
    <r>
      <rPr>
        <sz val="10"/>
        <rFont val="宋体"/>
        <family val="3"/>
        <charset val="134"/>
      </rPr>
      <t>营业外收入已记录于正确的会计期间</t>
    </r>
    <phoneticPr fontId="12" type="noConversion"/>
  </si>
  <si>
    <r>
      <t xml:space="preserve">E. </t>
    </r>
    <r>
      <rPr>
        <sz val="10"/>
        <rFont val="宋体"/>
        <family val="3"/>
        <charset val="134"/>
      </rPr>
      <t>已被恰当地汇总或分解且表述清楚，相关披露在按照企业会计准则的编制基础下是相关的、可理解的</t>
    </r>
    <phoneticPr fontId="12" type="noConversion"/>
  </si>
  <si>
    <r>
      <rPr>
        <sz val="10"/>
        <rFont val="宋体"/>
        <family val="3"/>
        <charset val="134"/>
      </rPr>
      <t>会计期间：</t>
    </r>
    <r>
      <rPr>
        <sz val="10"/>
        <rFont val="Arial Narrow"/>
        <family val="2"/>
      </rPr>
      <t>202X</t>
    </r>
    <r>
      <rPr>
        <sz val="10"/>
        <rFont val="宋体"/>
        <family val="3"/>
        <charset val="134"/>
      </rPr>
      <t>年度</t>
    </r>
    <phoneticPr fontId="12" type="noConversion"/>
  </si>
  <si>
    <t>关于工作底稿与审计程序索引号对应的说明</t>
    <phoneticPr fontId="12" type="noConversion"/>
  </si>
  <si>
    <r>
      <t>1.</t>
    </r>
    <r>
      <rPr>
        <b/>
        <sz val="12"/>
        <rFont val="宋体"/>
        <family val="3"/>
        <charset val="134"/>
      </rPr>
      <t>编制的审计工作底稿应与审计程序对应。</t>
    </r>
    <r>
      <rPr>
        <sz val="10"/>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2" type="noConversion"/>
  </si>
  <si>
    <r>
      <t>2.</t>
    </r>
    <r>
      <rPr>
        <b/>
        <sz val="12"/>
        <rFont val="宋体"/>
        <family val="3"/>
        <charset val="134"/>
      </rPr>
      <t>获取的支持性证据应与审计底稿或程序对应。</t>
    </r>
    <r>
      <rPr>
        <sz val="10"/>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0"/>
        <color theme="1"/>
        <rFont val="宋体"/>
        <family val="3"/>
        <charset val="134"/>
        <scheme val="minor"/>
      </rPr>
      <t>、</t>
    </r>
    <r>
      <rPr>
        <sz val="12"/>
        <rFont val="Arial Narrow"/>
        <family val="2"/>
      </rPr>
      <t>D1-2-2</t>
    </r>
    <r>
      <rPr>
        <sz val="10"/>
        <color theme="1"/>
        <rFont val="宋体"/>
        <family val="3"/>
        <charset val="134"/>
        <scheme val="minor"/>
      </rPr>
      <t>、</t>
    </r>
    <r>
      <rPr>
        <sz val="12"/>
        <rFont val="Arial Narrow"/>
        <family val="2"/>
      </rPr>
      <t>……</t>
    </r>
    <r>
      <rPr>
        <sz val="10"/>
        <color theme="1"/>
        <rFont val="宋体"/>
        <family val="3"/>
        <charset val="134"/>
        <scheme val="minor"/>
      </rPr>
      <t>），并在底稿中说明引用的支持性证据、关联索引号。</t>
    </r>
    <phoneticPr fontId="12" type="noConversion"/>
  </si>
  <si>
    <r>
      <rPr>
        <b/>
        <sz val="12"/>
        <rFont val="Arial Narrow"/>
        <family val="2"/>
      </rPr>
      <t>3.</t>
    </r>
    <r>
      <rPr>
        <b/>
        <sz val="12"/>
        <rFont val="宋体"/>
        <family val="3"/>
        <charset val="134"/>
      </rPr>
      <t>工作底稿索引号的编码规则：</t>
    </r>
    <r>
      <rPr>
        <sz val="10"/>
        <color theme="1"/>
        <rFont val="宋体"/>
        <family val="3"/>
        <charset val="134"/>
        <scheme val="minor"/>
      </rPr>
      <t>实质性程序索引号按循环从</t>
    </r>
    <r>
      <rPr>
        <sz val="12"/>
        <rFont val="Arial Narrow"/>
        <family val="2"/>
      </rPr>
      <t>“D”</t>
    </r>
    <r>
      <rPr>
        <sz val="10"/>
        <color theme="1"/>
        <rFont val="宋体"/>
        <family val="3"/>
        <charset val="134"/>
        <scheme val="minor"/>
      </rPr>
      <t>到</t>
    </r>
    <r>
      <rPr>
        <sz val="12"/>
        <rFont val="Arial Narrow"/>
        <family val="2"/>
      </rPr>
      <t>“N”,</t>
    </r>
    <r>
      <rPr>
        <sz val="10"/>
        <color theme="1"/>
        <rFont val="宋体"/>
        <family val="3"/>
        <charset val="134"/>
        <scheme val="minor"/>
      </rPr>
      <t>循环内账户以顺序号排列，模板中底稿索引号按账户顺序</t>
    </r>
    <r>
      <rPr>
        <sz val="12"/>
        <rFont val="Arial Narrow"/>
        <family val="2"/>
      </rPr>
      <t>+</t>
    </r>
    <r>
      <rPr>
        <sz val="10"/>
        <color theme="1"/>
        <rFont val="宋体"/>
        <family val="3"/>
        <charset val="134"/>
        <scheme val="minor"/>
      </rPr>
      <t>自然数顺序（即模板中索引号按二级自然顺序排列，如</t>
    </r>
    <r>
      <rPr>
        <sz val="12"/>
        <rFont val="Arial Narrow"/>
        <family val="2"/>
      </rPr>
      <t>D1-1</t>
    </r>
    <r>
      <rPr>
        <sz val="10"/>
        <color theme="1"/>
        <rFont val="宋体"/>
        <family val="3"/>
        <charset val="134"/>
        <scheme val="minor"/>
      </rPr>
      <t>、</t>
    </r>
    <r>
      <rPr>
        <sz val="12"/>
        <rFont val="Arial Narrow"/>
        <family val="2"/>
      </rPr>
      <t>D1-2</t>
    </r>
    <r>
      <rPr>
        <sz val="10"/>
        <color theme="1"/>
        <rFont val="宋体"/>
        <family val="3"/>
        <charset val="134"/>
        <scheme val="minor"/>
      </rPr>
      <t>、</t>
    </r>
    <r>
      <rPr>
        <sz val="12"/>
        <rFont val="Arial Narrow"/>
        <family val="2"/>
      </rPr>
      <t>D1-3</t>
    </r>
    <r>
      <rPr>
        <sz val="10"/>
        <color theme="1"/>
        <rFont val="宋体"/>
        <family val="3"/>
        <charset val="134"/>
        <scheme val="minor"/>
      </rPr>
      <t>、</t>
    </r>
    <r>
      <rPr>
        <sz val="12"/>
        <rFont val="Arial Narrow"/>
        <family val="2"/>
      </rPr>
      <t>……D1-N</t>
    </r>
    <r>
      <rPr>
        <sz val="10"/>
        <color theme="1"/>
        <rFont val="宋体"/>
        <family val="3"/>
        <charset val="134"/>
        <scheme val="minor"/>
      </rPr>
      <t>）。</t>
    </r>
    <phoneticPr fontId="12" type="noConversion"/>
  </si>
  <si>
    <t>根据被审计单位实际情况和风险评估情况裁剪、修改或增加审计程序</t>
    <phoneticPr fontId="12" type="noConversion"/>
  </si>
  <si>
    <t>审计程序</t>
    <phoneticPr fontId="35" type="noConversion"/>
  </si>
  <si>
    <t>合计</t>
    <phoneticPr fontId="12" type="noConversion"/>
  </si>
  <si>
    <t>本期发生额</t>
    <phoneticPr fontId="12" type="noConversion"/>
  </si>
  <si>
    <t>检查比例</t>
    <phoneticPr fontId="12" type="noConversion"/>
  </si>
  <si>
    <t>贷方金额</t>
    <phoneticPr fontId="12" type="noConversion"/>
  </si>
  <si>
    <t>盘盈利得（不包括存货盘盈及固定资产盘盈）</t>
  </si>
  <si>
    <t>碳排放配额出售利得</t>
    <phoneticPr fontId="12" type="noConversion"/>
  </si>
  <si>
    <t>提示：对与日常活动相关的政府补助，严禁不经判断或随意判断就将政府补助计入营业外收入；对与日常活动无关的政府补助，计入“营业外收入”科目或冲减相关损失，不得通过“其他收益”科目核算。</t>
    <phoneticPr fontId="12" type="noConversion"/>
  </si>
  <si>
    <t>银行回单、XXX文件……</t>
    <phoneticPr fontId="12" type="noConversion"/>
  </si>
  <si>
    <t>与日常活动无关的政府补助</t>
    <phoneticPr fontId="12" type="noConversion"/>
  </si>
  <si>
    <t>捐赠利得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</si>
</sst>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0">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quot;\&quot;#,##0.00;[Red]&quot;\&quot;&quot;\&quot;\-#,##0.00"/>
    <numFmt numFmtId="184" formatCode="#,##0_ "/>
    <numFmt numFmtId="185" formatCode="_-#,##0.00_-;\(#,##0.00\);_-\ \ &quot;-&quot;_-;_-@_-"/>
    <numFmt numFmtId="186" formatCode="mmm/yyyy;_-\ &quot;N/A&quot;_-;_-\ &quot;-&quot;_-"/>
    <numFmt numFmtId="187" formatCode="mmm/dd/yyyy;_-\ &quot;N/A&quot;_-;_-\ &quot;-&quot;_-"/>
    <numFmt numFmtId="188" formatCode="_-#,##0_-;\(#,##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
    <numFmt numFmtId="196" formatCode="0.0%"/>
    <numFmt numFmtId="197" formatCode="#,##0;\-#,##0;&quot;-&quot;"/>
    <numFmt numFmtId="198" formatCode="\(#,##0\)\ "/>
    <numFmt numFmtId="199" formatCode="[Blue]0.0%;[Blue]\(0.0%\)"/>
    <numFmt numFmtId="200" formatCode="0.0%;\(0.0%\)"/>
    <numFmt numFmtId="201" formatCode="[Red]0.0%;[Red]\(0.0%\)"/>
    <numFmt numFmtId="202" formatCode="[Blue]#,##0_);[Blue]\(#,##0\)"/>
    <numFmt numFmtId="203" formatCode="#,##0_);[Blue]\(#,##0\)"/>
    <numFmt numFmtId="204" formatCode="&quot;$&quot;#,##0;[Red]&quot;$&quot;&quot;$&quot;&quot;$&quot;&quot;$&quot;&quot;$&quot;&quot;$&quot;&quot;$&quot;\-#,##0"/>
    <numFmt numFmtId="205" formatCode="#,##0;\(#,##0\)"/>
    <numFmt numFmtId="206" formatCode="#,##0.0_);\(#,##0.0\)"/>
    <numFmt numFmtId="207" formatCode="hh:mm\ AM/PM_)"/>
    <numFmt numFmtId="208" formatCode="&quot;$&quot;#,##0.00_);\(&quot;$&quot;#,##0.00\)"/>
    <numFmt numFmtId="209" formatCode=";;;"/>
    <numFmt numFmtId="210" formatCode="\$#,##0.00;\(\$#,##0.00\)"/>
    <numFmt numFmtId="211" formatCode="\$#,##0;\(\$#,##0\)"/>
    <numFmt numFmtId="212" formatCode="_(&quot;$&quot;* #,##0_);_(&quot;$&quot;* \(#,##0\);_(&quot;$&quot;* &quot;-&quot;_);_(@_)"/>
    <numFmt numFmtId="213" formatCode="_(&quot;$&quot;* #,##0.00_);_(&quot;$&quot;* \(#,##0.00\);_(&quot;$&quot;* &quot;-&quot;??_);_(@_)"/>
    <numFmt numFmtId="214" formatCode="_-* #,##0_-;\-* #,##0_-;_-* &quot;-&quot;??_-;_-@_-"/>
    <numFmt numFmtId="215" formatCode="0.00000000000_);[Red]\(0.00000000000\)"/>
    <numFmt numFmtId="216" formatCode="0%_);\(0%\)"/>
    <numFmt numFmtId="217" formatCode="\ \ @"/>
    <numFmt numFmtId="218" formatCode="#,##0_);\(#,##0_)"/>
    <numFmt numFmtId="219" formatCode="0.0000000"/>
    <numFmt numFmtId="220" formatCode="\¥#,##0.00;[Red]\¥\-#,##0.00"/>
    <numFmt numFmtId="221" formatCode="0.000000"/>
    <numFmt numFmtId="222" formatCode="0.00000000"/>
    <numFmt numFmtId="22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6">
    <font>
      <sz val="12"/>
      <name val="宋体"/>
      <charset val="134"/>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8"/>
      <color indexed="48"/>
      <name val="魏碑"/>
      <family val="3"/>
      <charset val="134"/>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b/>
      <sz val="10"/>
      <color indexed="8"/>
      <name val="Arial Narrow"/>
      <family val="2"/>
    </font>
    <font>
      <b/>
      <sz val="10"/>
      <color indexed="8"/>
      <name val="宋体"/>
      <family val="3"/>
      <charset val="134"/>
    </font>
    <font>
      <i/>
      <sz val="10"/>
      <color indexed="12"/>
      <name val="Arial Narrow"/>
      <family val="2"/>
    </font>
    <font>
      <b/>
      <sz val="12"/>
      <name val="仿宋_GB2312"/>
      <family val="3"/>
      <charset val="134"/>
    </font>
    <font>
      <sz val="12"/>
      <name val="宋体"/>
      <family val="3"/>
      <charset val="134"/>
    </font>
    <font>
      <sz val="10.5"/>
      <name val="Arial Narrow"/>
      <family val="2"/>
    </font>
    <font>
      <u/>
      <sz val="12"/>
      <color indexed="12"/>
      <name val="Arial Narrow"/>
      <family val="2"/>
    </font>
    <font>
      <sz val="10"/>
      <color rgb="FF0000FF"/>
      <name val="Arial Narrow"/>
      <family val="2"/>
    </font>
    <font>
      <sz val="10"/>
      <color rgb="FF0000FF"/>
      <name val="宋体"/>
      <family val="3"/>
      <charset val="134"/>
    </font>
    <font>
      <b/>
      <sz val="10"/>
      <name val="Arial"/>
      <family val="2"/>
    </font>
    <font>
      <sz val="9"/>
      <name val="宋体"/>
      <family val="2"/>
      <charset val="134"/>
      <scheme val="minor"/>
    </font>
    <font>
      <sz val="10"/>
      <color theme="1"/>
      <name val="宋体"/>
      <family val="3"/>
      <charset val="134"/>
    </font>
    <font>
      <b/>
      <sz val="10"/>
      <color theme="1"/>
      <name val="宋体"/>
      <family val="3"/>
      <charset val="134"/>
    </font>
    <font>
      <b/>
      <sz val="10"/>
      <color rgb="FFFF0000"/>
      <name val="宋体"/>
      <family val="3"/>
      <charset val="134"/>
    </font>
    <font>
      <sz val="10"/>
      <name val="Arial"/>
      <family val="2"/>
      <charset val="134"/>
    </font>
    <font>
      <sz val="10"/>
      <color indexed="8"/>
      <name val="Arial"/>
      <family val="2"/>
      <charset val="134"/>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charset val="134"/>
    </font>
    <font>
      <b/>
      <sz val="8"/>
      <name val="Arial"/>
      <family val="2"/>
      <charset val="134"/>
    </font>
    <font>
      <sz val="10"/>
      <color indexed="8"/>
      <name val="Arial"/>
      <family val="2"/>
    </font>
    <font>
      <sz val="9"/>
      <name val="Times New Roman"/>
      <family val="1"/>
      <charset val="134"/>
    </font>
    <font>
      <sz val="8"/>
      <name val="Arial"/>
      <family val="2"/>
      <charset val="134"/>
    </font>
    <font>
      <i/>
      <sz val="11"/>
      <color indexed="23"/>
      <name val="Calibri"/>
      <family val="2"/>
    </font>
    <font>
      <sz val="11"/>
      <color indexed="17"/>
      <name val="Calibri"/>
      <family val="2"/>
    </font>
    <font>
      <b/>
      <sz val="12"/>
      <name val="Helv"/>
      <family val="2"/>
    </font>
    <font>
      <b/>
      <sz val="12"/>
      <name val="Arial"/>
      <family val="2"/>
      <charset val="134"/>
    </font>
    <font>
      <b/>
      <sz val="10"/>
      <name val="Arial"/>
      <family val="2"/>
      <charset val="134"/>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charset val="134"/>
    </font>
    <font>
      <sz val="10"/>
      <name val="MS Sans Serif"/>
      <family val="2"/>
      <charset val="134"/>
    </font>
    <font>
      <sz val="10"/>
      <color indexed="8"/>
      <name val="MS Sans Serif"/>
      <family val="2"/>
      <charset val="134"/>
    </font>
    <font>
      <b/>
      <sz val="11"/>
      <color indexed="63"/>
      <name val="Calibri"/>
      <family val="2"/>
    </font>
    <font>
      <sz val="8"/>
      <color indexed="16"/>
      <name val="Century Schoolbook"/>
      <family val="1"/>
      <charset val="134"/>
    </font>
    <font>
      <b/>
      <i/>
      <sz val="10"/>
      <name val="Times New Roman"/>
      <family val="1"/>
      <charset val="134"/>
    </font>
    <font>
      <b/>
      <sz val="12"/>
      <name val="MS Sans Serif"/>
      <family val="2"/>
      <charset val="134"/>
    </font>
    <font>
      <sz val="12"/>
      <name val="MS Sans Serif"/>
      <family val="2"/>
      <charset val="134"/>
    </font>
    <font>
      <b/>
      <sz val="10"/>
      <color indexed="10"/>
      <name val="Arial"/>
      <family val="2"/>
      <charset val="134"/>
    </font>
    <font>
      <b/>
      <sz val="9"/>
      <name val="Times New Roman"/>
      <family val="1"/>
      <charset val="134"/>
    </font>
    <font>
      <b/>
      <sz val="11"/>
      <color indexed="8"/>
      <name val="Calibri"/>
      <family val="2"/>
    </font>
    <font>
      <sz val="11"/>
      <color indexed="10"/>
      <name val="Calibri"/>
      <family val="2"/>
    </font>
    <font>
      <sz val="8"/>
      <name val="Century Schoolbook"/>
      <family val="1"/>
      <charset val="134"/>
    </font>
    <font>
      <sz val="12"/>
      <color indexed="20"/>
      <name val="宋体"/>
      <family val="3"/>
      <charset val="134"/>
    </font>
    <font>
      <sz val="11"/>
      <color theme="1"/>
      <name val="宋体"/>
      <family val="3"/>
      <charset val="134"/>
      <scheme val="minor"/>
    </font>
    <font>
      <sz val="12"/>
      <color indexed="8"/>
      <name val="宋体"/>
      <family val="3"/>
      <charset val="134"/>
    </font>
    <font>
      <sz val="11"/>
      <color indexed="8"/>
      <name val="宋体"/>
      <family val="3"/>
      <charset val="134"/>
    </font>
    <font>
      <sz val="11"/>
      <color theme="1"/>
      <name val="宋体"/>
      <family val="2"/>
      <charset val="134"/>
      <scheme val="minor"/>
    </font>
    <font>
      <sz val="10"/>
      <color indexed="8"/>
      <name val="Tahoma"/>
      <family val="2"/>
      <charset val="134"/>
    </font>
    <font>
      <u/>
      <sz val="10"/>
      <color indexed="12"/>
      <name val="宋体"/>
      <family val="3"/>
      <charset val="134"/>
    </font>
    <font>
      <b/>
      <sz val="10"/>
      <name val="MS Sans Serif"/>
      <family val="2"/>
      <charset val="134"/>
    </font>
    <font>
      <sz val="10"/>
      <color indexed="17"/>
      <name val="Times New Roman"/>
      <family val="1"/>
    </font>
    <font>
      <sz val="10"/>
      <name val="Times New Roman"/>
      <family val="1"/>
      <charset val="134"/>
    </font>
    <font>
      <sz val="11"/>
      <name val="蹈框"/>
      <charset val="134"/>
    </font>
    <font>
      <sz val="12"/>
      <name val="바탕체"/>
      <family val="3"/>
      <charset val="134"/>
    </font>
    <font>
      <sz val="10"/>
      <color indexed="8"/>
      <name val="Arial Narrow"/>
      <family val="2"/>
    </font>
    <font>
      <sz val="10"/>
      <color rgb="FFFF0000"/>
      <name val="宋体"/>
      <family val="3"/>
      <charset val="134"/>
    </font>
    <font>
      <b/>
      <sz val="10"/>
      <name val="宋体"/>
      <family val="3"/>
      <charset val="134"/>
      <scheme val="minor"/>
    </font>
    <font>
      <b/>
      <sz val="10"/>
      <color rgb="FFE92841"/>
      <name val="Arial Narrow"/>
      <family val="2"/>
    </font>
    <font>
      <sz val="12"/>
      <color indexed="12"/>
      <name val="仿宋_GB2312"/>
      <family val="3"/>
      <charset val="134"/>
    </font>
    <font>
      <sz val="10"/>
      <name val="宋体"/>
      <family val="3"/>
      <charset val="134"/>
      <scheme val="minor"/>
    </font>
    <font>
      <sz val="10"/>
      <color rgb="FF0000FF"/>
      <name val="宋体"/>
      <family val="3"/>
      <charset val="134"/>
      <scheme val="minor"/>
    </font>
    <font>
      <sz val="10"/>
      <color rgb="FF000000"/>
      <name val="宋体"/>
      <family val="3"/>
      <charset val="134"/>
      <scheme val="minor"/>
    </font>
    <font>
      <b/>
      <sz val="10"/>
      <color rgb="FF000000"/>
      <name val="宋体"/>
      <family val="3"/>
      <charset val="134"/>
      <scheme val="minor"/>
    </font>
    <font>
      <u/>
      <sz val="10"/>
      <color indexed="12"/>
      <name val="Arial Narrow"/>
      <family val="2"/>
    </font>
    <font>
      <sz val="10"/>
      <color rgb="FF000000"/>
      <name val="Arial Narrow"/>
      <family val="2"/>
    </font>
    <font>
      <b/>
      <sz val="10"/>
      <color theme="1"/>
      <name val="Arial Narrow"/>
      <family val="2"/>
    </font>
    <font>
      <sz val="10"/>
      <color theme="1"/>
      <name val="Arial Narrow"/>
      <family val="2"/>
    </font>
    <font>
      <sz val="10"/>
      <color rgb="FF000000"/>
      <name val="宋体"/>
      <family val="3"/>
      <charset val="134"/>
    </font>
    <font>
      <sz val="9"/>
      <color rgb="FF0000FF"/>
      <name val="Arial Narrow"/>
      <family val="2"/>
    </font>
    <font>
      <sz val="9"/>
      <color rgb="FF0000FF"/>
      <name val="宋体"/>
      <family val="3"/>
      <charset val="134"/>
    </font>
    <font>
      <sz val="10"/>
      <color rgb="FFFF0000"/>
      <name val="Arial Narrow"/>
      <family val="2"/>
    </font>
    <font>
      <b/>
      <sz val="12"/>
      <name val="宋体"/>
      <family val="3"/>
      <charset val="134"/>
      <scheme val="minor"/>
    </font>
    <font>
      <b/>
      <sz val="14"/>
      <name val="宋体"/>
      <family val="3"/>
      <charset val="134"/>
    </font>
    <font>
      <b/>
      <sz val="14"/>
      <name val="Arial"/>
      <family val="2"/>
    </font>
    <font>
      <b/>
      <sz val="14"/>
      <name val="Arial Narrow"/>
      <family val="2"/>
    </font>
    <font>
      <b/>
      <sz val="14"/>
      <name val="宋体"/>
      <family val="3"/>
      <charset val="134"/>
      <scheme val="minor"/>
    </font>
    <font>
      <b/>
      <sz val="10"/>
      <color rgb="FF0000FF"/>
      <name val="宋体"/>
      <family val="3"/>
      <charset val="134"/>
    </font>
    <font>
      <sz val="10"/>
      <color theme="1"/>
      <name val="宋体"/>
      <family val="3"/>
      <charset val="134"/>
      <scheme val="minor"/>
    </font>
    <font>
      <b/>
      <sz val="9"/>
      <color indexed="81"/>
      <name val="宋体"/>
      <family val="3"/>
      <charset val="134"/>
    </font>
    <font>
      <sz val="9"/>
      <color indexed="81"/>
      <name val="宋体"/>
      <family val="3"/>
      <charset val="134"/>
    </font>
  </fonts>
  <fills count="3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rgb="FFFFFFFF"/>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E4DFEC"/>
        <bgColor indexed="64"/>
      </patternFill>
    </fill>
    <fill>
      <patternFill patternType="solid">
        <fgColor theme="0" tint="-0.14999847407452621"/>
        <bgColor indexed="64"/>
      </patternFill>
    </fill>
    <fill>
      <patternFill patternType="solid">
        <fgColor theme="7" tint="0.79998168889431442"/>
        <bgColor rgb="FFB7DEE8"/>
      </patternFill>
    </fill>
  </fills>
  <borders count="2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s>
  <cellStyleXfs count="307">
    <xf numFmtId="0" fontId="0" fillId="0" borderId="0">
      <protection locked="0"/>
    </xf>
    <xf numFmtId="49" fontId="15" fillId="0" borderId="0" applyProtection="0">
      <alignment horizontal="left"/>
    </xf>
    <xf numFmtId="188" fontId="15" fillId="0" borderId="0" applyFill="0" applyBorder="0" applyProtection="0">
      <alignment horizontal="right"/>
    </xf>
    <xf numFmtId="185" fontId="15" fillId="0" borderId="0" applyFill="0" applyBorder="0" applyProtection="0">
      <alignment horizontal="right"/>
    </xf>
    <xf numFmtId="187" fontId="23" fillId="0" borderId="0" applyFill="0" applyBorder="0" applyProtection="0">
      <alignment horizontal="center"/>
    </xf>
    <xf numFmtId="186" fontId="23" fillId="0" borderId="0" applyFill="0" applyBorder="0" applyProtection="0">
      <alignment horizontal="center"/>
    </xf>
    <xf numFmtId="189" fontId="24" fillId="0" borderId="0" applyFill="0" applyBorder="0" applyProtection="0">
      <alignment horizontal="right"/>
    </xf>
    <xf numFmtId="190" fontId="15" fillId="0" borderId="0" applyFill="0" applyBorder="0" applyProtection="0">
      <alignment horizontal="right"/>
    </xf>
    <xf numFmtId="191" fontId="15" fillId="0" borderId="0" applyFill="0" applyBorder="0" applyProtection="0">
      <alignment horizontal="right"/>
    </xf>
    <xf numFmtId="194" fontId="15" fillId="0" borderId="0" applyFill="0" applyBorder="0" applyProtection="0">
      <alignment horizontal="right"/>
    </xf>
    <xf numFmtId="193" fontId="15" fillId="0" borderId="0" applyFill="0" applyBorder="0" applyProtection="0">
      <alignment horizontal="right"/>
    </xf>
    <xf numFmtId="3" fontId="2" fillId="0" borderId="0"/>
    <xf numFmtId="178" fontId="3" fillId="0" borderId="1" applyAlignment="0" applyProtection="0"/>
    <xf numFmtId="41" fontId="4" fillId="0" borderId="0" applyFont="0" applyFill="0" applyBorder="0" applyAlignment="0" applyProtection="0"/>
    <xf numFmtId="43" fontId="4" fillId="0" borderId="0" applyFont="0" applyFill="0" applyBorder="0" applyAlignment="0" applyProtection="0"/>
    <xf numFmtId="192" fontId="15" fillId="0" borderId="0" applyFont="0" applyFill="0" applyBorder="0" applyAlignment="0" applyProtection="0"/>
    <xf numFmtId="0" fontId="5" fillId="0" borderId="0" applyNumberFormat="0" applyFill="0" applyBorder="0" applyAlignment="0" applyProtection="0">
      <alignment vertical="top"/>
      <protection locked="0"/>
    </xf>
    <xf numFmtId="38" fontId="6" fillId="2" borderId="0" applyNumberFormat="0" applyBorder="0" applyAlignment="0" applyProtection="0"/>
    <xf numFmtId="0" fontId="7" fillId="0" borderId="0" applyNumberFormat="0" applyFill="0" applyBorder="0" applyAlignment="0" applyProtection="0">
      <alignment vertical="top"/>
      <protection locked="0"/>
    </xf>
    <xf numFmtId="10" fontId="6" fillId="3" borderId="2" applyNumberFormat="0" applyBorder="0" applyAlignment="0" applyProtection="0"/>
    <xf numFmtId="182" fontId="8" fillId="0" borderId="0" applyFont="0" applyFill="0" applyBorder="0" applyAlignment="0" applyProtection="0"/>
    <xf numFmtId="183" fontId="8" fillId="0" borderId="0" applyFont="0" applyFill="0" applyBorder="0" applyAlignment="0" applyProtection="0"/>
    <xf numFmtId="0" fontId="9" fillId="0" borderId="0"/>
    <xf numFmtId="181" fontId="8" fillId="0" borderId="0"/>
    <xf numFmtId="10" fontId="4" fillId="0" borderId="0" applyFont="0" applyFill="0" applyBorder="0" applyAlignment="0" applyProtection="0"/>
    <xf numFmtId="3" fontId="10" fillId="0" borderId="0"/>
    <xf numFmtId="0" fontId="8" fillId="0" borderId="0">
      <alignment vertical="center"/>
    </xf>
    <xf numFmtId="0" fontId="8" fillId="0" borderId="0">
      <alignment vertical="center"/>
    </xf>
    <xf numFmtId="0" fontId="8" fillId="0" borderId="0"/>
    <xf numFmtId="0" fontId="8" fillId="0" borderId="0">
      <protection locked="0"/>
    </xf>
    <xf numFmtId="0" fontId="8" fillId="0" borderId="0" applyFill="0" applyBorder="0"/>
    <xf numFmtId="0" fontId="8" fillId="0" borderId="0">
      <alignment vertical="center"/>
    </xf>
    <xf numFmtId="0" fontId="11" fillId="0" borderId="0" applyNumberFormat="0" applyFill="0" applyBorder="0" applyAlignment="0" applyProtection="0">
      <alignment vertical="top"/>
      <protection locked="0"/>
    </xf>
    <xf numFmtId="43" fontId="8" fillId="0" borderId="0" applyFont="0" applyFill="0" applyBorder="0" applyAlignment="0" applyProtection="0"/>
    <xf numFmtId="0" fontId="8" fillId="0" borderId="0"/>
    <xf numFmtId="9" fontId="29" fillId="0" borderId="0" applyFont="0" applyFill="0" applyBorder="0" applyAlignment="0" applyProtection="0">
      <alignment vertical="center"/>
    </xf>
    <xf numFmtId="192" fontId="8" fillId="0" borderId="0">
      <alignment vertical="center"/>
    </xf>
    <xf numFmtId="192" fontId="8" fillId="0" borderId="0">
      <alignment vertical="center"/>
      <protection locked="0"/>
    </xf>
    <xf numFmtId="192" fontId="8" fillId="0" borderId="0">
      <alignment vertical="center"/>
    </xf>
    <xf numFmtId="0" fontId="4" fillId="0" borderId="0"/>
    <xf numFmtId="192" fontId="39" fillId="0" borderId="0">
      <alignment vertical="center"/>
    </xf>
    <xf numFmtId="192" fontId="39" fillId="0" borderId="0">
      <alignment vertical="center"/>
    </xf>
    <xf numFmtId="192" fontId="39" fillId="0" borderId="0">
      <alignment vertical="center"/>
    </xf>
    <xf numFmtId="192" fontId="39" fillId="0" borderId="0">
      <alignment vertical="center"/>
    </xf>
    <xf numFmtId="192" fontId="40" fillId="0" borderId="0">
      <alignment vertical="top"/>
      <protection locked="0"/>
    </xf>
    <xf numFmtId="192" fontId="40" fillId="0" borderId="0">
      <alignment vertical="top"/>
      <protection locked="0"/>
    </xf>
    <xf numFmtId="192" fontId="40" fillId="0" borderId="0">
      <alignment vertical="top"/>
      <protection locked="0"/>
    </xf>
    <xf numFmtId="192" fontId="40" fillId="0" borderId="0">
      <alignment vertical="top"/>
    </xf>
    <xf numFmtId="0" fontId="41" fillId="0" borderId="0"/>
    <xf numFmtId="192" fontId="40" fillId="0" borderId="0">
      <alignment vertical="top"/>
    </xf>
    <xf numFmtId="192" fontId="40" fillId="0" borderId="0">
      <alignment vertical="top"/>
      <protection locked="0"/>
    </xf>
    <xf numFmtId="192" fontId="40" fillId="0" borderId="0">
      <alignment vertical="top"/>
    </xf>
    <xf numFmtId="192" fontId="40" fillId="0" borderId="0">
      <alignment vertical="top"/>
    </xf>
    <xf numFmtId="192" fontId="40" fillId="0" borderId="0">
      <alignment vertical="top"/>
      <protection locked="0"/>
    </xf>
    <xf numFmtId="192" fontId="40" fillId="0" borderId="0">
      <alignment vertical="top"/>
      <protection locked="0"/>
    </xf>
    <xf numFmtId="192" fontId="40" fillId="0" borderId="0">
      <alignment vertical="top"/>
      <protection locked="0"/>
    </xf>
    <xf numFmtId="192" fontId="40" fillId="0" borderId="0">
      <alignment vertical="top"/>
    </xf>
    <xf numFmtId="192" fontId="40" fillId="0" borderId="0">
      <alignment vertical="top"/>
    </xf>
    <xf numFmtId="192" fontId="40" fillId="0" borderId="0">
      <alignment vertical="top"/>
      <protection locked="0"/>
    </xf>
    <xf numFmtId="192" fontId="40" fillId="0" borderId="0">
      <alignment vertical="top"/>
    </xf>
    <xf numFmtId="192" fontId="40" fillId="0" borderId="0">
      <alignment vertical="top"/>
    </xf>
    <xf numFmtId="192" fontId="40" fillId="0" borderId="0">
      <alignment vertical="top"/>
    </xf>
    <xf numFmtId="192" fontId="40" fillId="0" borderId="0">
      <alignment vertical="top"/>
      <protection locked="0"/>
    </xf>
    <xf numFmtId="192" fontId="40" fillId="0" borderId="0">
      <alignment vertical="top"/>
    </xf>
    <xf numFmtId="192" fontId="40" fillId="0" borderId="0">
      <alignment vertical="top"/>
      <protection locked="0"/>
    </xf>
    <xf numFmtId="192" fontId="40" fillId="0" borderId="0">
      <alignment vertical="top"/>
      <protection locked="0"/>
    </xf>
    <xf numFmtId="192" fontId="40" fillId="0" borderId="0">
      <alignment vertical="top"/>
      <protection locked="0"/>
    </xf>
    <xf numFmtId="192" fontId="40" fillId="0" borderId="0">
      <alignment vertical="top"/>
    </xf>
    <xf numFmtId="192" fontId="40" fillId="0" borderId="0">
      <alignment vertical="top"/>
    </xf>
    <xf numFmtId="192" fontId="40" fillId="0" borderId="0">
      <alignment vertical="top"/>
    </xf>
    <xf numFmtId="192" fontId="40" fillId="0" borderId="0">
      <alignment vertical="top"/>
    </xf>
    <xf numFmtId="192" fontId="40" fillId="0" borderId="0">
      <alignment vertical="top"/>
      <protection locked="0"/>
    </xf>
    <xf numFmtId="192" fontId="40" fillId="0" borderId="0">
      <alignment vertical="top"/>
      <protection locked="0"/>
    </xf>
    <xf numFmtId="192" fontId="40" fillId="0" borderId="0">
      <alignment vertical="top"/>
    </xf>
    <xf numFmtId="192" fontId="40" fillId="0" borderId="0">
      <alignment vertical="top"/>
      <protection locked="0"/>
    </xf>
    <xf numFmtId="195" fontId="8" fillId="0" borderId="0" applyFont="0" applyFill="0" applyBorder="0" applyAlignment="0" applyProtection="0">
      <alignment vertical="center"/>
    </xf>
    <xf numFmtId="196" fontId="8" fillId="0" borderId="0" applyFont="0" applyFill="0" applyBorder="0" applyAlignment="0" applyProtection="0">
      <alignment vertical="center"/>
    </xf>
    <xf numFmtId="10" fontId="8" fillId="0" borderId="0" applyFont="0" applyFill="0" applyBorder="0" applyAlignment="0" applyProtection="0">
      <alignment vertical="center"/>
    </xf>
    <xf numFmtId="192" fontId="42" fillId="7" borderId="0" applyNumberFormat="0" applyBorder="0" applyAlignment="0" applyProtection="0"/>
    <xf numFmtId="192" fontId="42" fillId="8" borderId="0" applyNumberFormat="0" applyBorder="0" applyAlignment="0" applyProtection="0"/>
    <xf numFmtId="192" fontId="42" fillId="9" borderId="0" applyNumberFormat="0" applyBorder="0" applyAlignment="0" applyProtection="0"/>
    <xf numFmtId="192" fontId="42" fillId="10" borderId="0" applyNumberFormat="0" applyBorder="0" applyAlignment="0" applyProtection="0"/>
    <xf numFmtId="192" fontId="42" fillId="11" borderId="0" applyNumberFormat="0" applyBorder="0" applyAlignment="0" applyProtection="0"/>
    <xf numFmtId="192" fontId="42" fillId="12" borderId="0" applyNumberFormat="0" applyBorder="0" applyAlignment="0" applyProtection="0"/>
    <xf numFmtId="192" fontId="42" fillId="13" borderId="0" applyNumberFormat="0" applyBorder="0" applyAlignment="0" applyProtection="0"/>
    <xf numFmtId="192" fontId="42" fillId="14" borderId="0" applyNumberFormat="0" applyBorder="0" applyAlignment="0" applyProtection="0"/>
    <xf numFmtId="192" fontId="42" fillId="15" borderId="0" applyNumberFormat="0" applyBorder="0" applyAlignment="0" applyProtection="0"/>
    <xf numFmtId="192" fontId="42" fillId="10" borderId="0" applyNumberFormat="0" applyBorder="0" applyAlignment="0" applyProtection="0"/>
    <xf numFmtId="192" fontId="42" fillId="13" borderId="0" applyNumberFormat="0" applyBorder="0" applyAlignment="0" applyProtection="0"/>
    <xf numFmtId="192" fontId="42" fillId="16" borderId="0" applyNumberFormat="0" applyBorder="0" applyAlignment="0" applyProtection="0"/>
    <xf numFmtId="192" fontId="43" fillId="17" borderId="0" applyNumberFormat="0" applyBorder="0" applyAlignment="0" applyProtection="0"/>
    <xf numFmtId="192" fontId="43" fillId="14" borderId="0" applyNumberFormat="0" applyBorder="0" applyAlignment="0" applyProtection="0"/>
    <xf numFmtId="192" fontId="43" fillId="15" borderId="0" applyNumberFormat="0" applyBorder="0" applyAlignment="0" applyProtection="0"/>
    <xf numFmtId="192" fontId="43" fillId="18" borderId="0" applyNumberFormat="0" applyBorder="0" applyAlignment="0" applyProtection="0"/>
    <xf numFmtId="192" fontId="43" fillId="19" borderId="0" applyNumberFormat="0" applyBorder="0" applyAlignment="0" applyProtection="0"/>
    <xf numFmtId="192" fontId="43" fillId="20" borderId="0" applyNumberFormat="0" applyBorder="0" applyAlignment="0" applyProtection="0"/>
    <xf numFmtId="192" fontId="43" fillId="21" borderId="0" applyNumberFormat="0" applyBorder="0" applyAlignment="0" applyProtection="0"/>
    <xf numFmtId="192" fontId="43" fillId="22" borderId="0" applyNumberFormat="0" applyBorder="0" applyAlignment="0" applyProtection="0"/>
    <xf numFmtId="192" fontId="43" fillId="23" borderId="0" applyNumberFormat="0" applyBorder="0" applyAlignment="0" applyProtection="0"/>
    <xf numFmtId="192" fontId="43" fillId="18" borderId="0" applyNumberFormat="0" applyBorder="0" applyAlignment="0" applyProtection="0"/>
    <xf numFmtId="192" fontId="43" fillId="19" borderId="0" applyNumberFormat="0" applyBorder="0" applyAlignment="0" applyProtection="0"/>
    <xf numFmtId="192" fontId="43" fillId="24" borderId="0" applyNumberFormat="0" applyBorder="0" applyAlignment="0" applyProtection="0"/>
    <xf numFmtId="192" fontId="44" fillId="8" borderId="0" applyNumberFormat="0" applyBorder="0" applyAlignment="0" applyProtection="0"/>
    <xf numFmtId="197" fontId="40" fillId="0" borderId="0" applyFill="0" applyBorder="0" applyAlignment="0">
      <alignment vertical="center"/>
    </xf>
    <xf numFmtId="198" fontId="4" fillId="0" borderId="0" applyFill="0" applyBorder="0" applyAlignment="0"/>
    <xf numFmtId="199" fontId="4" fillId="0" borderId="0" applyFill="0" applyBorder="0" applyAlignment="0"/>
    <xf numFmtId="200" fontId="4" fillId="0" borderId="0" applyFill="0" applyBorder="0" applyAlignment="0"/>
    <xf numFmtId="201"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45" fillId="25" borderId="13" applyNumberFormat="0" applyAlignment="0" applyProtection="0"/>
    <xf numFmtId="0" fontId="46" fillId="0" borderId="0"/>
    <xf numFmtId="192" fontId="47" fillId="26" borderId="14" applyNumberFormat="0" applyAlignment="0" applyProtection="0"/>
    <xf numFmtId="192" fontId="48" fillId="0" borderId="15" applyNumberFormat="0" applyFill="0" applyProtection="0">
      <alignment horizontal="center" vertical="center"/>
    </xf>
    <xf numFmtId="192" fontId="49" fillId="0" borderId="16">
      <alignment horizontal="center" vertical="center"/>
    </xf>
    <xf numFmtId="204" fontId="39" fillId="0" borderId="0">
      <alignment vertical="center"/>
    </xf>
    <xf numFmtId="204" fontId="39" fillId="0" borderId="0">
      <alignment vertical="center"/>
    </xf>
    <xf numFmtId="204" fontId="39" fillId="0" borderId="0">
      <alignment vertical="center"/>
    </xf>
    <xf numFmtId="204" fontId="39" fillId="0" borderId="0">
      <alignment vertical="center"/>
    </xf>
    <xf numFmtId="204" fontId="39" fillId="0" borderId="0">
      <alignment vertical="center"/>
    </xf>
    <xf numFmtId="204" fontId="39" fillId="0" borderId="0">
      <alignment vertical="center"/>
    </xf>
    <xf numFmtId="204" fontId="39" fillId="0" borderId="0">
      <alignment vertical="center"/>
    </xf>
    <xf numFmtId="204" fontId="39" fillId="0" borderId="0">
      <alignment vertical="center"/>
    </xf>
    <xf numFmtId="38" fontId="8" fillId="0" borderId="0" applyFont="0" applyFill="0" applyBorder="0" applyAlignment="0" applyProtection="0">
      <alignment vertical="center"/>
    </xf>
    <xf numFmtId="202" fontId="4" fillId="0" borderId="0" applyFont="0" applyFill="0" applyBorder="0" applyAlignment="0" applyProtection="0"/>
    <xf numFmtId="43" fontId="8" fillId="0" borderId="0" applyFont="0" applyFill="0" applyBorder="0" applyAlignment="0" applyProtection="0"/>
    <xf numFmtId="205" fontId="15" fillId="0" borderId="0"/>
    <xf numFmtId="37" fontId="8" fillId="0" borderId="0" applyFont="0" applyFill="0" applyBorder="0" applyAlignment="0" applyProtection="0">
      <alignment vertical="center"/>
    </xf>
    <xf numFmtId="206" fontId="8" fillId="0" borderId="0" applyFont="0" applyFill="0" applyBorder="0" applyAlignment="0" applyProtection="0">
      <alignment vertical="center"/>
    </xf>
    <xf numFmtId="39" fontId="8" fillId="0" borderId="0" applyFont="0" applyFill="0" applyBorder="0" applyAlignment="0" applyProtection="0">
      <alignment vertical="center"/>
    </xf>
    <xf numFmtId="40" fontId="8" fillId="0" borderId="0" applyFont="0" applyFill="0" applyBorder="0" applyAlignment="0" applyProtection="0">
      <alignment vertical="center"/>
    </xf>
    <xf numFmtId="207" fontId="8" fillId="0" borderId="0" applyFont="0" applyFill="0" applyBorder="0" applyAlignment="0" applyProtection="0">
      <alignment vertical="center"/>
    </xf>
    <xf numFmtId="198" fontId="4" fillId="0" borderId="0" applyFont="0" applyFill="0" applyBorder="0" applyAlignment="0" applyProtection="0"/>
    <xf numFmtId="178" fontId="8" fillId="0" borderId="0" applyFont="0" applyFill="0" applyBorder="0" applyAlignment="0" applyProtection="0">
      <alignment vertical="center"/>
    </xf>
    <xf numFmtId="208" fontId="8" fillId="0" borderId="0" applyFont="0" applyFill="0" applyBorder="0" applyAlignment="0" applyProtection="0">
      <alignment vertical="center"/>
    </xf>
    <xf numFmtId="209" fontId="8" fillId="0" borderId="0" applyFont="0" applyFill="0" applyBorder="0" applyAlignment="0" applyProtection="0">
      <alignment vertical="center"/>
    </xf>
    <xf numFmtId="210" fontId="15" fillId="0" borderId="0"/>
    <xf numFmtId="14" fontId="50" fillId="0" borderId="0" applyFill="0" applyBorder="0" applyAlignment="0"/>
    <xf numFmtId="211" fontId="15" fillId="0" borderId="0"/>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51" fillId="0" borderId="0">
      <alignment horizontal="left" vertical="center"/>
    </xf>
    <xf numFmtId="192" fontId="52" fillId="27" borderId="2">
      <alignment vertical="center"/>
    </xf>
    <xf numFmtId="192" fontId="53" fillId="0" borderId="0" applyNumberFormat="0" applyFill="0" applyBorder="0" applyAlignment="0" applyProtection="0"/>
    <xf numFmtId="192" fontId="54" fillId="9" borderId="0" applyNumberFormat="0" applyBorder="0" applyAlignment="0" applyProtection="0"/>
    <xf numFmtId="0" fontId="55" fillId="0" borderId="0">
      <alignment horizontal="left"/>
    </xf>
    <xf numFmtId="192" fontId="56" fillId="0" borderId="6" applyNumberFormat="0" applyAlignment="0" applyProtection="0">
      <alignment horizontal="left" vertical="center"/>
    </xf>
    <xf numFmtId="192" fontId="56" fillId="0" borderId="17">
      <alignment horizontal="left" vertical="center"/>
    </xf>
    <xf numFmtId="14" fontId="57" fillId="28" borderId="7">
      <alignment horizontal="center" vertical="center" wrapText="1"/>
    </xf>
    <xf numFmtId="192" fontId="58" fillId="0" borderId="18" applyNumberFormat="0" applyFill="0" applyAlignment="0" applyProtection="0"/>
    <xf numFmtId="192" fontId="59" fillId="0" borderId="19" applyNumberFormat="0" applyFill="0" applyAlignment="0" applyProtection="0"/>
    <xf numFmtId="192" fontId="60" fillId="0" borderId="20" applyNumberFormat="0" applyFill="0" applyAlignment="0" applyProtection="0"/>
    <xf numFmtId="192" fontId="60" fillId="0" borderId="0" applyNumberFormat="0" applyFill="0" applyBorder="0" applyAlignment="0" applyProtection="0"/>
    <xf numFmtId="192" fontId="61" fillId="12" borderId="13" applyNumberFormat="0" applyAlignment="0" applyProtection="0"/>
    <xf numFmtId="192" fontId="8" fillId="0" borderId="0" applyNumberFormat="0" applyFont="0" applyFill="0" applyBorder="0" applyProtection="0">
      <alignment horizontal="lef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192" fontId="62" fillId="0" borderId="21" applyNumberFormat="0" applyFill="0" applyAlignment="0" applyProtection="0"/>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0" fontId="63" fillId="0" borderId="7"/>
    <xf numFmtId="212" fontId="8" fillId="0" borderId="0" applyFont="0" applyFill="0" applyBorder="0" applyAlignment="0" applyProtection="0">
      <alignment vertical="center"/>
    </xf>
    <xf numFmtId="213" fontId="8" fillId="0" borderId="0" applyFont="0" applyFill="0" applyBorder="0" applyAlignment="0" applyProtection="0">
      <alignment vertical="center"/>
    </xf>
    <xf numFmtId="214" fontId="8" fillId="0" borderId="0" applyFont="0" applyFill="0" applyBorder="0" applyAlignment="0" applyProtection="0">
      <alignment vertical="center"/>
    </xf>
    <xf numFmtId="215" fontId="8" fillId="0" borderId="0" applyFont="0" applyFill="0" applyBorder="0" applyAlignment="0" applyProtection="0">
      <alignment vertical="center"/>
    </xf>
    <xf numFmtId="192" fontId="64" fillId="29" borderId="0" applyNumberFormat="0" applyBorder="0" applyAlignment="0" applyProtection="0"/>
    <xf numFmtId="37" fontId="65" fillId="0" borderId="0">
      <alignment vertical="center"/>
    </xf>
    <xf numFmtId="0" fontId="4" fillId="0" borderId="0"/>
    <xf numFmtId="0" fontId="4" fillId="0" borderId="0"/>
    <xf numFmtId="0" fontId="8" fillId="0" borderId="0"/>
    <xf numFmtId="0" fontId="8" fillId="0" borderId="0">
      <alignment vertical="center"/>
    </xf>
    <xf numFmtId="192" fontId="66" fillId="0" borderId="0">
      <alignment vertical="center"/>
    </xf>
    <xf numFmtId="192" fontId="67" fillId="0" borderId="0">
      <alignment vertical="center"/>
    </xf>
    <xf numFmtId="192" fontId="4" fillId="30" borderId="22" applyNumberFormat="0" applyFont="0" applyAlignment="0" applyProtection="0"/>
    <xf numFmtId="192" fontId="68" fillId="25" borderId="23" applyNumberFormat="0" applyAlignment="0" applyProtection="0"/>
    <xf numFmtId="216" fontId="8" fillId="0" borderId="0" applyFont="0" applyFill="0" applyBorder="0" applyAlignment="0" applyProtection="0">
      <alignment vertical="center"/>
    </xf>
    <xf numFmtId="201" fontId="4" fillId="0" borderId="0" applyFont="0" applyFill="0" applyBorder="0" applyAlignment="0" applyProtection="0"/>
    <xf numFmtId="195" fontId="4" fillId="0" borderId="0" applyFont="0" applyFill="0" applyBorder="0" applyAlignment="0" applyProtection="0"/>
    <xf numFmtId="192" fontId="52" fillId="2" borderId="2">
      <alignment vertical="center"/>
    </xf>
    <xf numFmtId="202" fontId="4" fillId="0" borderId="0" applyFill="0" applyBorder="0" applyAlignment="0"/>
    <xf numFmtId="198" fontId="4" fillId="0" borderId="0" applyFill="0" applyBorder="0" applyAlignment="0"/>
    <xf numFmtId="202" fontId="4" fillId="0" borderId="0" applyFill="0" applyBorder="0" applyAlignment="0"/>
    <xf numFmtId="203" fontId="4" fillId="0" borderId="0" applyFill="0" applyBorder="0" applyAlignment="0"/>
    <xf numFmtId="198" fontId="4" fillId="0" borderId="0" applyFill="0" applyBorder="0" applyAlignment="0"/>
    <xf numFmtId="4" fontId="51" fillId="0" borderId="0">
      <alignment horizontal="right" vertical="center"/>
    </xf>
    <xf numFmtId="4" fontId="69" fillId="0" borderId="0">
      <alignment horizontal="right" vertical="center"/>
    </xf>
    <xf numFmtId="192" fontId="70" fillId="0" borderId="0">
      <alignment horizontal="left" vertical="center"/>
    </xf>
    <xf numFmtId="43" fontId="6" fillId="0" borderId="3"/>
    <xf numFmtId="192" fontId="71" fillId="0" borderId="2">
      <alignment horizontal="center" vertical="center"/>
    </xf>
    <xf numFmtId="192" fontId="71" fillId="0" borderId="0">
      <alignment horizontal="center" vertical="center"/>
    </xf>
    <xf numFmtId="192" fontId="72" fillId="31" borderId="0" applyNumberFormat="0" applyFill="0">
      <alignment horizontal="left" vertical="center"/>
    </xf>
    <xf numFmtId="0" fontId="63" fillId="0" borderId="0"/>
    <xf numFmtId="49" fontId="50" fillId="0" borderId="0" applyFill="0" applyBorder="0" applyAlignment="0"/>
    <xf numFmtId="217" fontId="50" fillId="0" borderId="0" applyFill="0" applyBorder="0" applyAlignment="0"/>
    <xf numFmtId="218" fontId="4" fillId="0" borderId="0" applyFill="0" applyBorder="0" applyAlignment="0"/>
    <xf numFmtId="192" fontId="73" fillId="0" borderId="0" applyFill="0" applyBorder="0" applyProtection="0">
      <alignment horizontal="left" vertical="top"/>
    </xf>
    <xf numFmtId="192" fontId="74" fillId="0" borderId="0">
      <alignment horizontal="center" vertical="center"/>
    </xf>
    <xf numFmtId="192" fontId="75" fillId="0" borderId="24" applyNumberFormat="0" applyFill="0" applyAlignment="0" applyProtection="0"/>
    <xf numFmtId="192" fontId="76" fillId="0" borderId="0" applyNumberFormat="0" applyFill="0" applyBorder="0" applyAlignment="0" applyProtection="0"/>
    <xf numFmtId="192" fontId="8" fillId="0" borderId="0" applyNumberFormat="0" applyFont="0" applyFill="0" applyBorder="0" applyProtection="0">
      <alignment horizontal="center" vertical="center" wrapText="1"/>
    </xf>
    <xf numFmtId="9" fontId="8" fillId="0" borderId="0" applyFont="0" applyFill="0" applyBorder="0" applyAlignment="0" applyProtection="0">
      <alignment vertical="center"/>
    </xf>
    <xf numFmtId="0" fontId="41" fillId="0" borderId="0"/>
    <xf numFmtId="0" fontId="4" fillId="0" borderId="0"/>
    <xf numFmtId="176" fontId="41" fillId="0" borderId="0" applyFont="0" applyFill="0" applyBorder="0" applyAlignment="0" applyProtection="0"/>
    <xf numFmtId="177" fontId="41"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4" fontId="77" fillId="0" borderId="0">
      <alignment horizontal="right" vertical="center"/>
    </xf>
    <xf numFmtId="0" fontId="78" fillId="8" borderId="0" applyNumberFormat="0" applyBorder="0" applyAlignment="0" applyProtection="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8" fillId="0" borderId="0">
      <alignment vertical="center"/>
    </xf>
    <xf numFmtId="0" fontId="8" fillId="0" borderId="0">
      <alignment vertical="center"/>
    </xf>
    <xf numFmtId="0" fontId="8"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192" fontId="8" fillId="0" borderId="0">
      <alignment vertical="center"/>
      <protection locked="0"/>
    </xf>
    <xf numFmtId="0" fontId="79" fillId="0" borderId="0">
      <alignment vertical="center"/>
    </xf>
    <xf numFmtId="0" fontId="80" fillId="0" borderId="0" applyNumberFormat="0" applyBorder="0" applyAlignment="0">
      <alignment vertical="center"/>
      <protection locked="0"/>
    </xf>
    <xf numFmtId="192" fontId="8" fillId="0" borderId="0">
      <protection locked="0"/>
    </xf>
    <xf numFmtId="0" fontId="8" fillId="0" borderId="0">
      <protection locked="0"/>
    </xf>
    <xf numFmtId="0" fontId="8" fillId="0" borderId="0">
      <alignment vertical="center"/>
    </xf>
    <xf numFmtId="0" fontId="8" fillId="0" borderId="0">
      <alignment vertical="center"/>
    </xf>
    <xf numFmtId="0" fontId="8" fillId="0" borderId="0">
      <alignment vertical="center"/>
    </xf>
    <xf numFmtId="0" fontId="81" fillId="0" borderId="0" applyNumberFormat="0" applyBorder="0" applyProtection="0">
      <alignment vertical="center"/>
    </xf>
    <xf numFmtId="0" fontId="8" fillId="0" borderId="0">
      <protection locked="0"/>
    </xf>
    <xf numFmtId="0" fontId="8" fillId="0" borderId="0">
      <alignment vertical="center"/>
    </xf>
    <xf numFmtId="192" fontId="8" fillId="0" borderId="0">
      <alignment vertical="center"/>
      <protection locked="0"/>
    </xf>
    <xf numFmtId="192" fontId="79" fillId="0" borderId="0">
      <alignment vertical="center"/>
    </xf>
    <xf numFmtId="0" fontId="4" fillId="0" borderId="0"/>
    <xf numFmtId="0" fontId="8" fillId="0" borderId="0">
      <alignment vertical="center"/>
    </xf>
    <xf numFmtId="192" fontId="82" fillId="0" borderId="0">
      <alignment vertical="center"/>
    </xf>
    <xf numFmtId="192" fontId="82" fillId="0" borderId="0">
      <alignment vertical="center"/>
    </xf>
    <xf numFmtId="0" fontId="8" fillId="0" borderId="0">
      <alignment vertical="center"/>
    </xf>
    <xf numFmtId="0" fontId="8" fillId="0" borderId="0">
      <alignment vertical="center"/>
    </xf>
    <xf numFmtId="192" fontId="83" fillId="0" borderId="0">
      <alignment vertical="center"/>
    </xf>
    <xf numFmtId="0" fontId="79" fillId="0" borderId="0">
      <alignment vertical="center"/>
    </xf>
    <xf numFmtId="0" fontId="79" fillId="0" borderId="0">
      <alignment vertical="center"/>
    </xf>
    <xf numFmtId="0" fontId="79" fillId="0" borderId="0">
      <alignment vertical="center"/>
    </xf>
    <xf numFmtId="0" fontId="8" fillId="0" borderId="0"/>
    <xf numFmtId="0" fontId="80" fillId="0" borderId="0" applyNumberFormat="0" applyBorder="0" applyAlignment="0" applyProtection="0">
      <alignment vertical="center"/>
    </xf>
    <xf numFmtId="0" fontId="79" fillId="0" borderId="0">
      <alignment vertical="center"/>
    </xf>
    <xf numFmtId="0" fontId="82"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192" fontId="84"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11" fillId="0" borderId="0" applyNumberFormat="0" applyFill="0" applyBorder="0" applyAlignment="0" applyProtection="0">
      <alignment vertical="top"/>
      <protection locked="0"/>
    </xf>
    <xf numFmtId="192" fontId="85" fillId="0" borderId="0" applyNumberFormat="0" applyFill="0" applyBorder="0" applyAlignment="0" applyProtection="0">
      <alignment vertical="center"/>
    </xf>
    <xf numFmtId="0" fontId="86" fillId="9" borderId="0" applyNumberFormat="0" applyBorder="0" applyAlignment="0" applyProtection="0">
      <alignment vertical="center"/>
    </xf>
    <xf numFmtId="4" fontId="8" fillId="0" borderId="0" applyFont="0" applyFill="0" applyBorder="0" applyAlignment="0" applyProtection="0">
      <alignment vertical="center"/>
    </xf>
    <xf numFmtId="41" fontId="8" fillId="0" borderId="0" applyFont="0" applyFill="0" applyBorder="0" applyAlignment="0" applyProtection="0">
      <alignment vertical="center"/>
    </xf>
    <xf numFmtId="219" fontId="8" fillId="0" borderId="0" applyFont="0" applyFill="0" applyBorder="0" applyAlignment="0" applyProtection="0">
      <alignment vertical="center"/>
    </xf>
    <xf numFmtId="220" fontId="8" fillId="0" borderId="0" applyFont="0" applyFill="0" applyBorder="0" applyAlignment="0" applyProtection="0">
      <alignment vertical="center"/>
    </xf>
    <xf numFmtId="221" fontId="8" fillId="0" borderId="0" applyFont="0" applyFill="0" applyBorder="0" applyAlignment="0" applyProtection="0">
      <alignment vertical="center"/>
    </xf>
    <xf numFmtId="222" fontId="8" fillId="0" borderId="0" applyFont="0" applyFill="0" applyBorder="0" applyAlignment="0" applyProtection="0">
      <alignment vertical="center"/>
    </xf>
    <xf numFmtId="179" fontId="41" fillId="0" borderId="0" applyFont="0" applyFill="0" applyBorder="0" applyAlignment="0" applyProtection="0"/>
    <xf numFmtId="180" fontId="41" fillId="0" borderId="0" applyFont="0" applyFill="0" applyBorder="0" applyAlignment="0" applyProtection="0"/>
    <xf numFmtId="192" fontId="87" fillId="0" borderId="0">
      <alignment vertical="center"/>
    </xf>
    <xf numFmtId="41" fontId="8" fillId="0" borderId="0" applyFont="0" applyFill="0" applyBorder="0" applyAlignment="0" applyProtection="0">
      <alignment vertical="center"/>
    </xf>
    <xf numFmtId="43" fontId="8" fillId="0" borderId="0" applyFont="0" applyFill="0" applyBorder="0" applyAlignment="0" applyProtection="0">
      <alignment vertical="center"/>
    </xf>
    <xf numFmtId="41" fontId="41" fillId="0" borderId="0" applyFont="0" applyFill="0" applyBorder="0" applyAlignment="0" applyProtection="0"/>
    <xf numFmtId="43" fontId="41"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192" fontId="88" fillId="0" borderId="0">
      <alignment vertical="center"/>
    </xf>
    <xf numFmtId="213" fontId="8" fillId="0" borderId="0" applyFont="0" applyFill="0" applyBorder="0" applyAlignment="0" applyProtection="0">
      <alignment vertical="center"/>
    </xf>
    <xf numFmtId="223" fontId="8" fillId="0" borderId="0" applyFont="0" applyFill="0" applyBorder="0" applyAlignment="0" applyProtection="0">
      <alignment vertical="center"/>
    </xf>
    <xf numFmtId="192" fontId="40" fillId="0" borderId="0">
      <alignment vertical="top"/>
    </xf>
    <xf numFmtId="38" fontId="8" fillId="0" borderId="0" applyFont="0" applyFill="0" applyBorder="0" applyAlignment="0" applyProtection="0">
      <alignment vertical="center"/>
    </xf>
    <xf numFmtId="40"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8" fillId="0" borderId="0" applyFont="0" applyFill="0" applyBorder="0" applyAlignment="0" applyProtection="0">
      <alignment vertical="center"/>
    </xf>
    <xf numFmtId="192" fontId="89" fillId="0" borderId="0">
      <alignment vertical="center"/>
    </xf>
    <xf numFmtId="0" fontId="8" fillId="0" borderId="0">
      <protection locked="0"/>
    </xf>
    <xf numFmtId="192" fontId="8" fillId="0" borderId="0"/>
    <xf numFmtId="0" fontId="11" fillId="0" borderId="0" applyNumberFormat="0" applyFill="0" applyBorder="0" applyAlignment="0" applyProtection="0">
      <alignment vertical="top"/>
      <protection locked="0"/>
    </xf>
    <xf numFmtId="9" fontId="8" fillId="0" borderId="0" applyFont="0" applyFill="0" applyBorder="0" applyAlignment="0" applyProtection="0"/>
    <xf numFmtId="0" fontId="41" fillId="0" borderId="0"/>
    <xf numFmtId="192" fontId="8" fillId="0" borderId="0">
      <protection locked="0"/>
    </xf>
    <xf numFmtId="43" fontId="8" fillId="0" borderId="0" applyFont="0" applyFill="0" applyBorder="0" applyAlignment="0" applyProtection="0">
      <alignment vertical="center"/>
    </xf>
    <xf numFmtId="192" fontId="1" fillId="0" borderId="0">
      <alignment vertical="center"/>
    </xf>
  </cellStyleXfs>
  <cellXfs count="256">
    <xf numFmtId="0" fontId="0" fillId="0" borderId="0" xfId="0">
      <protection locked="0"/>
    </xf>
    <xf numFmtId="0" fontId="13" fillId="0" borderId="0" xfId="0" applyFont="1" applyAlignment="1">
      <alignment vertical="center"/>
      <protection locked="0"/>
    </xf>
    <xf numFmtId="0" fontId="19" fillId="0" borderId="0" xfId="27" applyFont="1" applyAlignment="1">
      <alignment vertical="center"/>
    </xf>
    <xf numFmtId="0" fontId="20" fillId="0" borderId="0" xfId="26" applyFont="1" applyBorder="1" applyAlignment="1">
      <alignment vertical="center"/>
    </xf>
    <xf numFmtId="0" fontId="20" fillId="0" borderId="0" xfId="26" applyFont="1" applyAlignment="1">
      <alignment vertical="center"/>
    </xf>
    <xf numFmtId="184" fontId="21" fillId="0" borderId="3" xfId="26" applyNumberFormat="1" applyFont="1" applyBorder="1" applyAlignment="1">
      <alignment horizontal="center" vertical="center" wrapText="1"/>
    </xf>
    <xf numFmtId="184" fontId="20" fillId="0" borderId="3" xfId="26" applyNumberFormat="1" applyFont="1" applyBorder="1" applyAlignment="1">
      <alignment horizontal="center" vertical="center" wrapText="1"/>
    </xf>
    <xf numFmtId="0" fontId="21" fillId="0" borderId="0" xfId="26" applyFont="1" applyAlignment="1">
      <alignment vertical="center"/>
    </xf>
    <xf numFmtId="43" fontId="20" fillId="0" borderId="0" xfId="30" applyNumberFormat="1" applyFont="1" applyBorder="1" applyAlignment="1">
      <alignment vertical="center"/>
    </xf>
    <xf numFmtId="43" fontId="22" fillId="0" borderId="0" xfId="30" applyNumberFormat="1" applyFont="1" applyBorder="1" applyAlignment="1">
      <alignment vertical="center"/>
    </xf>
    <xf numFmtId="0" fontId="20" fillId="0" borderId="0" xfId="0" applyFont="1" applyBorder="1" applyAlignment="1">
      <alignment vertical="center"/>
      <protection locked="0"/>
    </xf>
    <xf numFmtId="0" fontId="20" fillId="0" borderId="0" xfId="0" applyFont="1" applyAlignment="1">
      <alignment vertical="center"/>
      <protection locked="0"/>
    </xf>
    <xf numFmtId="0" fontId="20" fillId="0" borderId="0" xfId="31" applyFont="1" applyAlignment="1">
      <alignment vertical="center"/>
    </xf>
    <xf numFmtId="0" fontId="21" fillId="0" borderId="0" xfId="0" applyFont="1" applyAlignment="1">
      <alignment horizontal="center" vertical="center" wrapText="1"/>
      <protection locked="0"/>
    </xf>
    <xf numFmtId="43" fontId="20" fillId="0" borderId="3" xfId="33" applyFont="1" applyBorder="1" applyAlignment="1">
      <alignment vertical="center"/>
    </xf>
    <xf numFmtId="43" fontId="21" fillId="0" borderId="3" xfId="33" applyFont="1" applyBorder="1" applyAlignment="1">
      <alignment vertical="center"/>
    </xf>
    <xf numFmtId="0" fontId="20" fillId="0" borderId="4" xfId="0" applyFont="1" applyBorder="1" applyAlignment="1">
      <alignment vertical="center"/>
      <protection locked="0"/>
    </xf>
    <xf numFmtId="0" fontId="18" fillId="0" borderId="0" xfId="0" applyFont="1" applyAlignment="1">
      <alignment vertical="center"/>
      <protection locked="0"/>
    </xf>
    <xf numFmtId="0" fontId="20" fillId="0" borderId="0" xfId="0" applyFont="1" applyBorder="1" applyAlignment="1">
      <alignment horizontal="left" vertical="center"/>
      <protection locked="0"/>
    </xf>
    <xf numFmtId="0" fontId="21" fillId="0" borderId="0" xfId="28" applyFont="1" applyBorder="1" applyAlignment="1">
      <alignment horizontal="left" vertical="center"/>
    </xf>
    <xf numFmtId="0" fontId="20" fillId="0" borderId="0" xfId="28" applyFont="1" applyBorder="1" applyAlignment="1" applyProtection="1">
      <alignment vertical="center"/>
      <protection locked="0"/>
    </xf>
    <xf numFmtId="0" fontId="20" fillId="0" borderId="5" xfId="28" applyFont="1" applyBorder="1" applyAlignment="1" applyProtection="1">
      <alignment vertical="center"/>
      <protection locked="0"/>
    </xf>
    <xf numFmtId="0" fontId="20" fillId="0" borderId="0" xfId="0" applyFont="1" applyBorder="1" applyAlignment="1">
      <alignment horizontal="center" vertical="center"/>
      <protection locked="0"/>
    </xf>
    <xf numFmtId="0" fontId="21" fillId="0" borderId="0" xfId="0" applyFont="1" applyBorder="1" applyAlignment="1">
      <alignment vertical="center"/>
      <protection locked="0"/>
    </xf>
    <xf numFmtId="0" fontId="20" fillId="0" borderId="0" xfId="0" applyFont="1" applyAlignment="1">
      <alignment horizontal="center" vertical="center"/>
      <protection locked="0"/>
    </xf>
    <xf numFmtId="0" fontId="20" fillId="0" borderId="0" xfId="0" applyFont="1" applyAlignment="1">
      <alignment horizontal="left" vertical="center"/>
      <protection locked="0"/>
    </xf>
    <xf numFmtId="0" fontId="20" fillId="0" borderId="0" xfId="27" applyFont="1" applyAlignment="1">
      <alignment vertical="center"/>
    </xf>
    <xf numFmtId="0" fontId="21" fillId="0" borderId="0" xfId="0" applyFont="1" applyAlignment="1">
      <alignment vertical="center"/>
      <protection locked="0"/>
    </xf>
    <xf numFmtId="0" fontId="21" fillId="0" borderId="0" xfId="27" applyFont="1" applyAlignment="1">
      <alignment vertical="center"/>
    </xf>
    <xf numFmtId="0" fontId="16" fillId="6" borderId="3" xfId="26" applyFont="1" applyFill="1" applyBorder="1" applyAlignment="1">
      <alignment horizontal="center" vertical="center" wrapText="1"/>
    </xf>
    <xf numFmtId="43" fontId="20" fillId="0" borderId="0" xfId="33" applyFont="1" applyBorder="1" applyAlignment="1" applyProtection="1">
      <alignment vertical="center"/>
      <protection locked="0"/>
    </xf>
    <xf numFmtId="43" fontId="20" fillId="0" borderId="4" xfId="33" applyFont="1" applyBorder="1" applyAlignment="1" applyProtection="1">
      <alignment vertical="center"/>
      <protection locked="0"/>
    </xf>
    <xf numFmtId="43" fontId="20" fillId="0" borderId="0" xfId="33" applyFont="1" applyAlignment="1" applyProtection="1">
      <alignment vertical="center"/>
      <protection locked="0"/>
    </xf>
    <xf numFmtId="0" fontId="25" fillId="0" borderId="0" xfId="0" applyFont="1" applyAlignment="1" applyProtection="1">
      <alignment vertical="center"/>
    </xf>
    <xf numFmtId="0" fontId="20" fillId="0" borderId="0" xfId="28" applyFont="1" applyBorder="1" applyAlignment="1">
      <alignment vertical="center"/>
    </xf>
    <xf numFmtId="0" fontId="20" fillId="0" borderId="3" xfId="0" applyFont="1" applyBorder="1" applyAlignment="1">
      <alignment vertical="center"/>
      <protection locked="0"/>
    </xf>
    <xf numFmtId="0" fontId="22" fillId="0" borderId="5" xfId="28" applyFont="1" applyBorder="1" applyAlignment="1" applyProtection="1">
      <alignment horizontal="center" vertical="center"/>
      <protection hidden="1"/>
    </xf>
    <xf numFmtId="0" fontId="20" fillId="0" borderId="5" xfId="28" applyFont="1" applyBorder="1" applyAlignment="1" applyProtection="1">
      <alignment horizontal="left" vertical="center"/>
      <protection hidden="1"/>
    </xf>
    <xf numFmtId="0" fontId="22" fillId="0" borderId="5" xfId="28" applyFont="1" applyBorder="1" applyAlignment="1" applyProtection="1">
      <alignment horizontal="left" vertical="center"/>
      <protection locked="0"/>
    </xf>
    <xf numFmtId="0" fontId="21" fillId="6" borderId="3" xfId="0" applyFont="1" applyFill="1" applyBorder="1" applyAlignment="1">
      <alignment horizontal="center" vertical="center" wrapText="1"/>
      <protection locked="0"/>
    </xf>
    <xf numFmtId="0" fontId="21" fillId="6" borderId="3" xfId="26" applyFont="1" applyFill="1" applyBorder="1" applyAlignment="1">
      <alignment horizontal="center" vertical="center" wrapText="1"/>
    </xf>
    <xf numFmtId="43" fontId="27" fillId="0" borderId="0" xfId="30" applyNumberFormat="1" applyFont="1" applyBorder="1" applyAlignment="1">
      <alignment vertical="center"/>
    </xf>
    <xf numFmtId="0" fontId="21" fillId="0" borderId="4" xfId="0" applyFont="1" applyBorder="1" applyAlignment="1">
      <alignment vertical="center"/>
      <protection locked="0"/>
    </xf>
    <xf numFmtId="0" fontId="18" fillId="0" borderId="0" xfId="27" applyFont="1" applyAlignment="1">
      <alignment vertical="center"/>
    </xf>
    <xf numFmtId="0" fontId="19" fillId="0" borderId="0" xfId="0" applyFont="1" applyAlignment="1">
      <alignment vertical="center"/>
      <protection locked="0"/>
    </xf>
    <xf numFmtId="184" fontId="13" fillId="0" borderId="3" xfId="26" applyNumberFormat="1" applyFont="1" applyFill="1" applyBorder="1" applyAlignment="1">
      <alignment horizontal="left" vertical="center" shrinkToFit="1"/>
    </xf>
    <xf numFmtId="184" fontId="20" fillId="0" borderId="3" xfId="26" applyNumberFormat="1" applyFont="1" applyFill="1" applyBorder="1" applyAlignment="1">
      <alignment horizontal="left" vertical="center" shrinkToFit="1"/>
    </xf>
    <xf numFmtId="0" fontId="28" fillId="0" borderId="0" xfId="0" applyFont="1" applyAlignment="1">
      <alignment vertical="center"/>
      <protection locked="0"/>
    </xf>
    <xf numFmtId="184" fontId="21" fillId="0" borderId="3" xfId="26" applyNumberFormat="1" applyFont="1" applyFill="1" applyBorder="1" applyAlignment="1">
      <alignment horizontal="center" vertical="center" wrapText="1"/>
    </xf>
    <xf numFmtId="0" fontId="18" fillId="0" borderId="0" xfId="29" applyFont="1" applyAlignment="1">
      <alignment vertical="center"/>
      <protection locked="0"/>
    </xf>
    <xf numFmtId="0" fontId="19" fillId="0" borderId="0" xfId="29" applyFont="1" applyAlignment="1">
      <alignment vertical="center"/>
      <protection locked="0"/>
    </xf>
    <xf numFmtId="0" fontId="30" fillId="0" borderId="0" xfId="29" applyFont="1" applyBorder="1" applyAlignment="1">
      <alignment horizontal="justify" wrapText="1"/>
      <protection locked="0"/>
    </xf>
    <xf numFmtId="0" fontId="19" fillId="0" borderId="0" xfId="29" applyFont="1" applyAlignment="1">
      <alignment horizontal="center" vertical="center"/>
      <protection locked="0"/>
    </xf>
    <xf numFmtId="0" fontId="19" fillId="0" borderId="0" xfId="29" applyFont="1">
      <protection locked="0"/>
    </xf>
    <xf numFmtId="0" fontId="19" fillId="0" borderId="0" xfId="29" applyFont="1" applyBorder="1" applyAlignment="1">
      <alignment horizontal="center" wrapText="1"/>
      <protection locked="0"/>
    </xf>
    <xf numFmtId="0" fontId="30" fillId="0" borderId="0" xfId="29" applyFont="1" applyBorder="1" applyAlignment="1">
      <alignment horizontal="justify" vertical="top" wrapText="1"/>
      <protection locked="0"/>
    </xf>
    <xf numFmtId="0" fontId="19" fillId="0" borderId="0" xfId="29" applyFont="1" applyBorder="1">
      <protection locked="0"/>
    </xf>
    <xf numFmtId="0" fontId="18" fillId="0" borderId="0" xfId="0" applyFont="1" applyAlignment="1">
      <alignment horizontal="justify"/>
      <protection locked="0"/>
    </xf>
    <xf numFmtId="0" fontId="31" fillId="0" borderId="0" xfId="32" applyFont="1" applyAlignment="1">
      <protection locked="0"/>
    </xf>
    <xf numFmtId="0" fontId="19" fillId="0" borderId="0" xfId="29" applyFont="1" applyBorder="1" applyAlignment="1">
      <alignment horizontal="center"/>
      <protection locked="0"/>
    </xf>
    <xf numFmtId="0" fontId="8" fillId="0" borderId="0" xfId="29" applyFont="1" applyBorder="1">
      <protection locked="0"/>
    </xf>
    <xf numFmtId="192" fontId="4" fillId="0" borderId="0" xfId="36" applyFont="1" applyFill="1" applyAlignment="1">
      <alignment vertical="center"/>
    </xf>
    <xf numFmtId="192" fontId="4" fillId="0" borderId="0" xfId="37" applyFont="1" applyFill="1" applyAlignment="1">
      <alignment vertical="center"/>
      <protection locked="0"/>
    </xf>
    <xf numFmtId="192" fontId="4" fillId="0" borderId="0" xfId="38" applyFont="1" applyFill="1" applyAlignment="1">
      <alignment vertical="center"/>
    </xf>
    <xf numFmtId="192" fontId="34" fillId="0" borderId="0" xfId="37" applyFont="1" applyFill="1" applyAlignment="1">
      <alignment horizontal="justify" vertical="center"/>
      <protection locked="0"/>
    </xf>
    <xf numFmtId="192" fontId="13" fillId="0" borderId="3" xfId="37" applyFont="1" applyFill="1" applyBorder="1" applyAlignment="1">
      <alignment horizontal="left" vertical="center" wrapText="1"/>
      <protection locked="0"/>
    </xf>
    <xf numFmtId="192" fontId="34" fillId="0" borderId="0" xfId="38" applyFont="1" applyFill="1" applyAlignment="1">
      <alignment vertical="center"/>
    </xf>
    <xf numFmtId="49" fontId="34" fillId="0" borderId="0" xfId="38" applyNumberFormat="1" applyFont="1" applyFill="1" applyAlignment="1">
      <alignment horizontal="left" vertical="center"/>
    </xf>
    <xf numFmtId="43" fontId="16" fillId="0" borderId="0" xfId="30" applyNumberFormat="1" applyFont="1" applyFill="1" applyBorder="1" applyAlignment="1">
      <alignment vertical="center"/>
    </xf>
    <xf numFmtId="0" fontId="20" fillId="0" borderId="0" xfId="26" applyFont="1" applyFill="1" applyBorder="1" applyAlignment="1">
      <alignment horizontal="left" vertical="center" wrapText="1"/>
    </xf>
    <xf numFmtId="192" fontId="16" fillId="6" borderId="3" xfId="300" applyFont="1" applyFill="1" applyBorder="1" applyAlignment="1" applyProtection="1">
      <alignment horizontal="center" vertical="center" wrapText="1"/>
      <protection locked="0"/>
    </xf>
    <xf numFmtId="192" fontId="93" fillId="6" borderId="3" xfId="300" applyFont="1" applyFill="1" applyBorder="1" applyAlignment="1" applyProtection="1">
      <alignment horizontal="center" vertical="center" wrapText="1"/>
      <protection locked="0"/>
    </xf>
    <xf numFmtId="0" fontId="8" fillId="0" borderId="0" xfId="299">
      <protection locked="0"/>
    </xf>
    <xf numFmtId="0" fontId="8" fillId="0" borderId="0"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92" fillId="0" borderId="6" xfId="0" applyFont="1" applyBorder="1" applyAlignment="1">
      <alignment horizontal="justify" vertical="center" wrapText="1"/>
      <protection locked="0"/>
    </xf>
    <xf numFmtId="0" fontId="92" fillId="0" borderId="6" xfId="0" applyFont="1" applyBorder="1" applyAlignment="1">
      <alignment horizontal="right" vertical="center" wrapText="1"/>
      <protection locked="0"/>
    </xf>
    <xf numFmtId="0" fontId="95" fillId="0" borderId="0" xfId="0" applyFont="1" applyAlignment="1">
      <alignment horizontal="justify" vertical="center" wrapText="1"/>
      <protection locked="0"/>
    </xf>
    <xf numFmtId="43" fontId="95" fillId="0" borderId="0" xfId="0" applyNumberFormat="1" applyFont="1" applyAlignment="1">
      <alignment horizontal="right" vertical="center" wrapText="1"/>
      <protection locked="0"/>
    </xf>
    <xf numFmtId="43" fontId="92" fillId="0" borderId="6" xfId="0" applyNumberFormat="1" applyFont="1" applyBorder="1" applyAlignment="1">
      <alignment horizontal="right" vertical="center" wrapText="1"/>
      <protection locked="0"/>
    </xf>
    <xf numFmtId="0" fontId="95" fillId="0" borderId="0" xfId="0" applyFont="1" applyAlignment="1">
      <alignment horizontal="justify" vertical="center"/>
      <protection locked="0"/>
    </xf>
    <xf numFmtId="0" fontId="95" fillId="0" borderId="0" xfId="0" applyFont="1" applyAlignment="1">
      <alignment vertical="center"/>
      <protection locked="0"/>
    </xf>
    <xf numFmtId="0" fontId="96" fillId="0" borderId="0" xfId="0" applyFont="1" applyAlignment="1">
      <alignment horizontal="left" vertical="center"/>
      <protection locked="0"/>
    </xf>
    <xf numFmtId="0" fontId="95" fillId="0" borderId="0" xfId="0" applyFont="1" applyAlignment="1">
      <alignment horizontal="left" vertical="center"/>
      <protection locked="0"/>
    </xf>
    <xf numFmtId="43" fontId="96" fillId="0" borderId="0" xfId="0" applyNumberFormat="1" applyFont="1" applyAlignment="1" applyProtection="1">
      <alignment horizontal="left" vertical="center"/>
    </xf>
    <xf numFmtId="0" fontId="97" fillId="0" borderId="0" xfId="0" applyFont="1" applyAlignment="1">
      <alignment horizontal="justify" vertical="center"/>
      <protection locked="0"/>
    </xf>
    <xf numFmtId="0" fontId="98" fillId="5" borderId="6" xfId="0" applyFont="1" applyFill="1" applyBorder="1" applyAlignment="1">
      <alignment horizontal="left" vertical="center" wrapText="1"/>
      <protection locked="0"/>
    </xf>
    <xf numFmtId="0" fontId="92" fillId="5" borderId="6" xfId="0" applyFont="1" applyFill="1" applyBorder="1" applyAlignment="1">
      <alignment horizontal="right" vertical="center" wrapText="1"/>
      <protection locked="0"/>
    </xf>
    <xf numFmtId="43" fontId="95" fillId="0" borderId="6" xfId="0" applyNumberFormat="1" applyFont="1" applyBorder="1" applyAlignment="1">
      <alignment horizontal="right" vertical="center" wrapText="1"/>
      <protection locked="0"/>
    </xf>
    <xf numFmtId="43" fontId="96" fillId="0" borderId="0" xfId="0" applyNumberFormat="1" applyFont="1" applyAlignment="1" applyProtection="1">
      <alignment horizontal="left" vertical="center" wrapText="1"/>
    </xf>
    <xf numFmtId="0" fontId="20" fillId="0" borderId="0" xfId="26" applyFont="1" applyBorder="1" applyAlignment="1">
      <alignment horizontal="right" vertical="center"/>
    </xf>
    <xf numFmtId="43" fontId="20" fillId="32" borderId="3" xfId="33" applyFont="1" applyFill="1" applyBorder="1" applyAlignment="1">
      <alignment horizontal="center" vertical="center" wrapText="1"/>
    </xf>
    <xf numFmtId="43" fontId="21" fillId="32" borderId="3" xfId="33" applyFont="1" applyFill="1" applyBorder="1" applyAlignment="1">
      <alignment horizontal="center" vertical="center" wrapText="1"/>
    </xf>
    <xf numFmtId="43" fontId="21" fillId="32" borderId="3" xfId="33" applyFont="1" applyFill="1" applyBorder="1" applyAlignment="1">
      <alignment horizontal="right" vertical="center"/>
    </xf>
    <xf numFmtId="0" fontId="13" fillId="0" borderId="0" xfId="0" applyFont="1" applyBorder="1" applyAlignment="1">
      <alignment horizontal="right" vertical="center"/>
      <protection locked="0"/>
    </xf>
    <xf numFmtId="0" fontId="20" fillId="0" borderId="0" xfId="0" applyFont="1" applyBorder="1" applyAlignment="1">
      <alignment horizontal="right" vertical="center"/>
      <protection locked="0"/>
    </xf>
    <xf numFmtId="0" fontId="92" fillId="0" borderId="0" xfId="0" applyFont="1" applyBorder="1" applyAlignment="1">
      <alignment horizontal="right" vertical="center" wrapText="1"/>
      <protection locked="0"/>
    </xf>
    <xf numFmtId="43" fontId="92" fillId="0" borderId="0" xfId="0" applyNumberFormat="1" applyFont="1" applyBorder="1" applyAlignment="1">
      <alignment horizontal="right" vertical="center" wrapText="1"/>
      <protection locked="0"/>
    </xf>
    <xf numFmtId="43" fontId="21" fillId="32" borderId="3" xfId="33" applyFont="1" applyFill="1" applyBorder="1" applyAlignment="1">
      <alignment vertical="center"/>
    </xf>
    <xf numFmtId="10" fontId="20" fillId="32" borderId="3" xfId="35" applyNumberFormat="1" applyFont="1" applyFill="1" applyBorder="1" applyAlignment="1">
      <alignment horizontal="right" vertical="center"/>
    </xf>
    <xf numFmtId="49" fontId="20" fillId="0" borderId="0" xfId="30" applyNumberFormat="1" applyFont="1" applyBorder="1" applyAlignment="1">
      <alignment horizontal="left" vertical="center"/>
    </xf>
    <xf numFmtId="43" fontId="20" fillId="0" borderId="0" xfId="30" applyNumberFormat="1" applyFont="1" applyBorder="1" applyAlignment="1">
      <alignment horizontal="right" vertical="center"/>
    </xf>
    <xf numFmtId="0" fontId="13" fillId="0" borderId="0" xfId="0" applyFont="1" applyBorder="1" applyAlignment="1">
      <alignment horizontal="left" vertical="center"/>
      <protection locked="0"/>
    </xf>
    <xf numFmtId="43" fontId="20" fillId="0" borderId="0" xfId="33" applyFont="1" applyBorder="1" applyAlignment="1" applyProtection="1">
      <alignment horizontal="right" vertical="center"/>
      <protection locked="0"/>
    </xf>
    <xf numFmtId="0" fontId="99" fillId="0" borderId="2" xfId="32" applyFont="1" applyBorder="1" applyAlignment="1">
      <alignment vertical="center"/>
      <protection locked="0"/>
    </xf>
    <xf numFmtId="0" fontId="20" fillId="0" borderId="0" xfId="29" applyFont="1">
      <protection locked="0"/>
    </xf>
    <xf numFmtId="0" fontId="99" fillId="0" borderId="0" xfId="32" applyFont="1" applyBorder="1" applyAlignment="1">
      <protection locked="0"/>
    </xf>
    <xf numFmtId="192" fontId="20" fillId="0" borderId="0" xfId="37" applyFont="1" applyFill="1" applyBorder="1" applyAlignment="1">
      <alignment vertical="center"/>
      <protection locked="0"/>
    </xf>
    <xf numFmtId="43" fontId="20" fillId="0" borderId="3" xfId="33" applyFont="1" applyFill="1" applyBorder="1" applyAlignment="1">
      <alignment vertical="center"/>
    </xf>
    <xf numFmtId="192" fontId="20" fillId="0" borderId="0" xfId="37" applyFont="1" applyFill="1" applyAlignment="1">
      <alignment vertical="center"/>
      <protection locked="0"/>
    </xf>
    <xf numFmtId="192" fontId="20" fillId="0" borderId="0" xfId="37" applyFont="1" applyFill="1" applyBorder="1" applyAlignment="1">
      <alignment horizontal="left" vertical="center"/>
      <protection locked="0"/>
    </xf>
    <xf numFmtId="0" fontId="26" fillId="6" borderId="3" xfId="299" applyFont="1" applyFill="1" applyBorder="1" applyAlignment="1" applyProtection="1">
      <alignment vertical="center" wrapText="1"/>
    </xf>
    <xf numFmtId="192" fontId="4" fillId="0" borderId="3" xfId="37" applyFont="1" applyFill="1" applyBorder="1" applyAlignment="1">
      <alignment horizontal="center" vertical="center" wrapText="1"/>
      <protection locked="0"/>
    </xf>
    <xf numFmtId="192" fontId="4" fillId="0" borderId="3" xfId="37" applyFont="1" applyFill="1" applyBorder="1" applyAlignment="1">
      <alignment vertical="center" wrapText="1"/>
      <protection locked="0"/>
    </xf>
    <xf numFmtId="49" fontId="16" fillId="0" borderId="0" xfId="240" applyNumberFormat="1" applyFont="1" applyAlignment="1">
      <alignment horizontal="left" vertical="center"/>
      <protection locked="0"/>
    </xf>
    <xf numFmtId="0" fontId="21" fillId="0" borderId="0" xfId="299" applyFont="1" applyAlignment="1">
      <alignment horizontal="left" vertical="center"/>
      <protection locked="0"/>
    </xf>
    <xf numFmtId="0" fontId="21" fillId="0" borderId="0" xfId="299" applyFont="1" applyAlignment="1">
      <alignment horizontal="justify" vertical="center"/>
      <protection locked="0"/>
    </xf>
    <xf numFmtId="0" fontId="13" fillId="0" borderId="3" xfId="299" applyFont="1" applyBorder="1" applyAlignment="1">
      <alignment horizontal="center" vertical="center" wrapText="1"/>
      <protection locked="0"/>
    </xf>
    <xf numFmtId="192" fontId="4" fillId="0" borderId="0" xfId="37" applyFont="1" applyFill="1" applyBorder="1" applyAlignment="1">
      <alignment vertical="center"/>
      <protection locked="0"/>
    </xf>
    <xf numFmtId="192" fontId="102" fillId="0" borderId="3" xfId="37" applyFont="1" applyFill="1" applyBorder="1" applyAlignment="1" applyProtection="1">
      <alignment horizontal="center" vertical="center" wrapText="1"/>
    </xf>
    <xf numFmtId="0" fontId="13" fillId="0" borderId="3" xfId="299" applyFont="1" applyBorder="1" applyAlignment="1">
      <alignment horizontal="left" vertical="center" wrapText="1"/>
      <protection locked="0"/>
    </xf>
    <xf numFmtId="192" fontId="20" fillId="0" borderId="3" xfId="37" applyFont="1" applyFill="1" applyBorder="1" applyAlignment="1">
      <alignment horizontal="center" vertical="center" wrapText="1"/>
      <protection locked="0"/>
    </xf>
    <xf numFmtId="0" fontId="13" fillId="0" borderId="3" xfId="240" applyFont="1" applyFill="1" applyBorder="1" applyAlignment="1">
      <alignment horizontal="left" vertical="center" wrapText="1"/>
      <protection locked="0"/>
    </xf>
    <xf numFmtId="0" fontId="13" fillId="0" borderId="10" xfId="240" applyFont="1" applyFill="1" applyBorder="1" applyAlignment="1">
      <alignment horizontal="center" vertical="center" wrapText="1" shrinkToFit="1"/>
      <protection locked="0"/>
    </xf>
    <xf numFmtId="0" fontId="102" fillId="0" borderId="3" xfId="258" applyFont="1" applyFill="1" applyBorder="1" applyAlignment="1">
      <alignment horizontal="center" vertical="center" wrapText="1"/>
    </xf>
    <xf numFmtId="0" fontId="36" fillId="0" borderId="3" xfId="258" applyFont="1" applyFill="1" applyBorder="1" applyAlignment="1">
      <alignment horizontal="center" vertical="center" wrapText="1"/>
    </xf>
    <xf numFmtId="0" fontId="16" fillId="0" borderId="0" xfId="0" applyFont="1" applyBorder="1" applyAlignment="1">
      <alignment vertical="center"/>
      <protection locked="0"/>
    </xf>
    <xf numFmtId="0" fontId="16" fillId="0" borderId="3" xfId="299" applyFont="1" applyBorder="1" applyAlignment="1">
      <alignment horizontal="center" vertical="center" wrapText="1"/>
      <protection locked="0"/>
    </xf>
    <xf numFmtId="0" fontId="13" fillId="0" borderId="3" xfId="258" applyFont="1" applyFill="1" applyBorder="1" applyAlignment="1" applyProtection="1">
      <alignment horizontal="center" vertical="center"/>
      <protection locked="0"/>
    </xf>
    <xf numFmtId="0" fontId="20" fillId="0" borderId="0" xfId="299" applyFont="1" applyBorder="1" applyAlignment="1">
      <alignment vertical="center"/>
      <protection locked="0"/>
    </xf>
    <xf numFmtId="0" fontId="20" fillId="0" borderId="0" xfId="299" applyFont="1" applyBorder="1" applyAlignment="1">
      <alignment vertical="center" wrapText="1"/>
      <protection locked="0"/>
    </xf>
    <xf numFmtId="0" fontId="25" fillId="0" borderId="0" xfId="0" applyFont="1" applyBorder="1" applyAlignment="1" applyProtection="1">
      <alignment vertical="center"/>
    </xf>
    <xf numFmtId="0" fontId="20" fillId="0" borderId="0" xfId="31" applyFont="1" applyBorder="1" applyAlignment="1">
      <alignment vertical="center"/>
    </xf>
    <xf numFmtId="0" fontId="20" fillId="0" borderId="3" xfId="240" applyFont="1" applyBorder="1" applyAlignment="1">
      <alignment horizontal="left" vertical="center" wrapText="1"/>
      <protection locked="0"/>
    </xf>
    <xf numFmtId="0" fontId="13" fillId="0" borderId="3" xfId="299" applyFont="1" applyFill="1" applyBorder="1" applyAlignment="1">
      <alignment horizontal="center" vertical="center" wrapText="1"/>
      <protection locked="0"/>
    </xf>
    <xf numFmtId="0" fontId="20" fillId="4" borderId="0" xfId="0" applyFont="1" applyFill="1" applyBorder="1" applyAlignment="1" applyProtection="1">
      <alignment horizontal="justify" vertical="center" wrapText="1"/>
      <protection locked="0"/>
    </xf>
    <xf numFmtId="0" fontId="20" fillId="4" borderId="0" xfId="0" applyFont="1" applyFill="1" applyAlignment="1" applyProtection="1">
      <alignment horizontal="justify" vertical="center" wrapText="1"/>
      <protection locked="0"/>
    </xf>
    <xf numFmtId="192" fontId="90" fillId="0" borderId="3" xfId="231" applyFont="1" applyFill="1" applyBorder="1" applyAlignment="1" applyProtection="1">
      <alignment vertical="center"/>
    </xf>
    <xf numFmtId="0" fontId="90" fillId="0" borderId="3" xfId="240" applyFont="1" applyBorder="1" applyAlignment="1" applyProtection="1">
      <alignment vertical="center"/>
    </xf>
    <xf numFmtId="43" fontId="90" fillId="0" borderId="3" xfId="33" applyFont="1" applyFill="1" applyBorder="1" applyAlignment="1" applyProtection="1">
      <alignment vertical="center"/>
    </xf>
    <xf numFmtId="192" fontId="90" fillId="0" borderId="3" xfId="231" applyFont="1" applyFill="1" applyBorder="1" applyAlignment="1" applyProtection="1">
      <alignment horizontal="center" vertical="center"/>
    </xf>
    <xf numFmtId="0" fontId="20" fillId="0" borderId="2" xfId="29" applyFont="1" applyBorder="1" applyAlignment="1">
      <alignment horizontal="center" vertical="center"/>
      <protection locked="0"/>
    </xf>
    <xf numFmtId="0" fontId="104" fillId="33" borderId="0" xfId="258" applyFont="1" applyFill="1" applyAlignment="1" applyProtection="1">
      <alignment horizontal="left" vertical="top" wrapText="1"/>
      <protection locked="0"/>
    </xf>
    <xf numFmtId="0" fontId="20" fillId="0" borderId="3" xfId="240" applyFont="1" applyBorder="1" applyAlignment="1">
      <alignment horizontal="center" vertical="center" wrapText="1"/>
      <protection locked="0"/>
    </xf>
    <xf numFmtId="0" fontId="21" fillId="0" borderId="0" xfId="0" applyFont="1" applyBorder="1" applyAlignment="1">
      <alignment horizontal="right" vertical="center"/>
      <protection locked="0"/>
    </xf>
    <xf numFmtId="0" fontId="106" fillId="0" borderId="0" xfId="0" applyFont="1" applyBorder="1" applyAlignment="1">
      <alignment horizontal="left" vertical="center"/>
      <protection locked="0"/>
    </xf>
    <xf numFmtId="43" fontId="20" fillId="0" borderId="0" xfId="0" applyNumberFormat="1" applyFont="1" applyAlignment="1">
      <alignment horizontal="right" vertical="center" wrapText="1"/>
      <protection locked="0"/>
    </xf>
    <xf numFmtId="0" fontId="100" fillId="0" borderId="0" xfId="0" applyFont="1" applyAlignment="1" applyProtection="1">
      <alignment horizontal="left" vertical="center"/>
    </xf>
    <xf numFmtId="0" fontId="97" fillId="0" borderId="0" xfId="0" applyFont="1" applyAlignment="1">
      <alignment horizontal="left" vertical="center"/>
      <protection locked="0"/>
    </xf>
    <xf numFmtId="43" fontId="92" fillId="6" borderId="3" xfId="33" applyFont="1" applyFill="1" applyBorder="1" applyAlignment="1" applyProtection="1">
      <alignment horizontal="center" vertical="center" wrapText="1"/>
      <protection locked="0"/>
    </xf>
    <xf numFmtId="0" fontId="32" fillId="0" borderId="0" xfId="26" applyFont="1" applyAlignment="1">
      <alignment vertical="center" wrapText="1"/>
    </xf>
    <xf numFmtId="0" fontId="16" fillId="0" borderId="0" xfId="28" applyFont="1" applyBorder="1" applyAlignment="1">
      <alignment vertical="center"/>
    </xf>
    <xf numFmtId="0" fontId="22" fillId="0" borderId="0" xfId="28" applyFont="1" applyBorder="1" applyAlignment="1" applyProtection="1">
      <alignment horizontal="center" vertical="center"/>
      <protection hidden="1"/>
    </xf>
    <xf numFmtId="0" fontId="20" fillId="0" borderId="0" xfId="28" applyFont="1" applyBorder="1" applyAlignment="1" applyProtection="1">
      <alignment horizontal="left" vertical="center"/>
      <protection hidden="1"/>
    </xf>
    <xf numFmtId="0" fontId="22" fillId="0" borderId="0" xfId="28" applyFont="1" applyBorder="1" applyAlignment="1" applyProtection="1">
      <alignment horizontal="left" vertical="center"/>
      <protection locked="0"/>
    </xf>
    <xf numFmtId="0" fontId="106" fillId="0" borderId="0" xfId="0" applyFont="1" applyFill="1" applyBorder="1" applyAlignment="1">
      <alignment horizontal="left" vertical="center"/>
      <protection locked="0"/>
    </xf>
    <xf numFmtId="49" fontId="20" fillId="0" borderId="3" xfId="38" applyNumberFormat="1" applyFont="1" applyFill="1" applyBorder="1" applyAlignment="1">
      <alignment horizontal="center" vertical="center"/>
    </xf>
    <xf numFmtId="192" fontId="91" fillId="0" borderId="0" xfId="38" applyFont="1" applyFill="1" applyAlignment="1">
      <alignment vertical="center"/>
    </xf>
    <xf numFmtId="0" fontId="16" fillId="32" borderId="3" xfId="299" applyFont="1" applyFill="1" applyBorder="1" applyAlignment="1">
      <alignment horizontal="center" vertical="center" wrapText="1"/>
      <protection locked="0"/>
    </xf>
    <xf numFmtId="0" fontId="21" fillId="0" borderId="0" xfId="303" applyFont="1" applyBorder="1" applyAlignment="1">
      <alignment vertical="center"/>
    </xf>
    <xf numFmtId="43" fontId="21" fillId="0" borderId="3" xfId="33" applyFont="1" applyFill="1" applyBorder="1" applyAlignment="1">
      <alignment horizontal="right" vertical="center"/>
    </xf>
    <xf numFmtId="0" fontId="112" fillId="0" borderId="0" xfId="26" applyFont="1" applyAlignment="1">
      <alignment vertical="center" wrapText="1"/>
    </xf>
    <xf numFmtId="0" fontId="13" fillId="0" borderId="0" xfId="28" applyFont="1" applyBorder="1" applyAlignment="1">
      <alignment vertical="center"/>
    </xf>
    <xf numFmtId="0" fontId="21" fillId="6" borderId="3" xfId="0" applyFont="1" applyFill="1" applyBorder="1" applyAlignment="1" applyProtection="1">
      <alignment horizontal="center" vertical="center"/>
      <protection locked="0"/>
    </xf>
    <xf numFmtId="192" fontId="13" fillId="6" borderId="3" xfId="304" applyFont="1" applyFill="1" applyBorder="1" applyAlignment="1">
      <alignment vertical="center"/>
      <protection locked="0"/>
    </xf>
    <xf numFmtId="43" fontId="21" fillId="6" borderId="3" xfId="305" applyFont="1" applyFill="1" applyBorder="1" applyAlignment="1" applyProtection="1">
      <alignment vertical="center"/>
      <protection locked="0"/>
    </xf>
    <xf numFmtId="14" fontId="20" fillId="0" borderId="3" xfId="304" applyNumberFormat="1" applyFont="1" applyBorder="1" applyAlignment="1">
      <alignment horizontal="center" vertical="center"/>
      <protection locked="0"/>
    </xf>
    <xf numFmtId="49" fontId="20" fillId="0" borderId="3" xfId="304" applyNumberFormat="1" applyFont="1" applyBorder="1" applyAlignment="1">
      <alignment horizontal="center" vertical="center"/>
      <protection locked="0"/>
    </xf>
    <xf numFmtId="192" fontId="13" fillId="0" borderId="3" xfId="304" applyFont="1" applyBorder="1" applyAlignment="1">
      <alignment vertical="center"/>
      <protection locked="0"/>
    </xf>
    <xf numFmtId="43" fontId="20" fillId="0" borderId="3" xfId="305" applyFont="1" applyBorder="1" applyAlignment="1" applyProtection="1">
      <alignment vertical="center"/>
      <protection locked="0"/>
    </xf>
    <xf numFmtId="0" fontId="20" fillId="0" borderId="3" xfId="0" applyFont="1" applyBorder="1" applyAlignment="1" applyProtection="1">
      <alignment horizontal="center" vertical="center"/>
      <protection locked="0"/>
    </xf>
    <xf numFmtId="0" fontId="20" fillId="0" borderId="3" xfId="305" applyNumberFormat="1" applyFont="1" applyBorder="1" applyAlignment="1" applyProtection="1">
      <alignment horizontal="center" vertical="center"/>
      <protection locked="0"/>
    </xf>
    <xf numFmtId="49" fontId="20" fillId="0" borderId="3" xfId="304" applyNumberFormat="1" applyFont="1" applyBorder="1" applyAlignment="1">
      <alignment vertical="center"/>
      <protection locked="0"/>
    </xf>
    <xf numFmtId="192" fontId="16" fillId="6" borderId="3" xfId="304" applyFont="1" applyFill="1" applyBorder="1" applyAlignment="1">
      <alignment vertical="center"/>
      <protection locked="0"/>
    </xf>
    <xf numFmtId="0" fontId="84" fillId="0" borderId="2" xfId="32" applyFont="1" applyBorder="1" applyAlignment="1">
      <alignment vertical="center"/>
      <protection locked="0"/>
    </xf>
    <xf numFmtId="0" fontId="20" fillId="0" borderId="0" xfId="29" applyFont="1" applyAlignment="1">
      <alignment horizontal="center"/>
      <protection locked="0"/>
    </xf>
    <xf numFmtId="0" fontId="19" fillId="0" borderId="0" xfId="29" applyFont="1" applyAlignment="1">
      <alignment horizontal="center"/>
      <protection locked="0"/>
    </xf>
    <xf numFmtId="0" fontId="106" fillId="0" borderId="0" xfId="0" applyFont="1" applyBorder="1" applyAlignment="1">
      <alignment vertical="center"/>
      <protection locked="0"/>
    </xf>
    <xf numFmtId="192" fontId="22" fillId="0" borderId="0" xfId="32" applyNumberFormat="1" applyFont="1" applyFill="1" applyBorder="1" applyAlignment="1">
      <alignment vertical="center"/>
      <protection locked="0"/>
    </xf>
    <xf numFmtId="0" fontId="16" fillId="6" borderId="3" xfId="299" applyFont="1" applyFill="1" applyBorder="1" applyAlignment="1">
      <alignment horizontal="center" vertical="center" wrapText="1"/>
      <protection locked="0"/>
    </xf>
    <xf numFmtId="0" fontId="21" fillId="6" borderId="3" xfId="0" applyFont="1" applyFill="1" applyBorder="1" applyAlignment="1">
      <alignment horizontal="center" vertical="center"/>
      <protection locked="0"/>
    </xf>
    <xf numFmtId="43" fontId="21" fillId="6" borderId="3" xfId="33" applyFont="1" applyFill="1" applyBorder="1" applyAlignment="1">
      <alignment vertical="center"/>
    </xf>
    <xf numFmtId="10" fontId="21" fillId="6" borderId="3" xfId="35" applyNumberFormat="1" applyFont="1" applyFill="1" applyBorder="1" applyAlignment="1">
      <alignment horizontal="right" vertical="center"/>
    </xf>
    <xf numFmtId="0" fontId="20" fillId="6" borderId="0" xfId="0" applyFont="1" applyFill="1" applyAlignment="1">
      <alignment vertical="center"/>
      <protection locked="0"/>
    </xf>
    <xf numFmtId="10" fontId="20" fillId="6" borderId="3" xfId="35" applyNumberFormat="1" applyFont="1" applyFill="1" applyBorder="1" applyAlignment="1">
      <alignment horizontal="right" vertical="center"/>
    </xf>
    <xf numFmtId="43" fontId="21" fillId="6" borderId="3" xfId="33" applyFont="1" applyFill="1" applyBorder="1" applyAlignment="1">
      <alignment horizontal="center" vertical="center"/>
    </xf>
    <xf numFmtId="43" fontId="21" fillId="6" borderId="3" xfId="33" applyFont="1" applyFill="1" applyBorder="1" applyAlignment="1" applyProtection="1">
      <alignment vertical="center"/>
      <protection locked="0"/>
    </xf>
    <xf numFmtId="0" fontId="16" fillId="6" borderId="3" xfId="299" applyFont="1" applyFill="1" applyBorder="1" applyAlignment="1">
      <alignment horizontal="center" vertical="center"/>
      <protection locked="0"/>
    </xf>
    <xf numFmtId="192" fontId="106" fillId="0" borderId="3" xfId="37" applyFont="1" applyFill="1" applyBorder="1" applyAlignment="1">
      <alignment horizontal="center" vertical="center" wrapText="1"/>
      <protection locked="0"/>
    </xf>
    <xf numFmtId="0" fontId="13" fillId="4" borderId="0" xfId="0" applyFont="1" applyFill="1" applyBorder="1" applyAlignment="1" applyProtection="1">
      <alignment horizontal="justify" vertical="center" wrapText="1"/>
      <protection locked="0"/>
    </xf>
    <xf numFmtId="0" fontId="108" fillId="0" borderId="0" xfId="0" applyFont="1" applyAlignment="1" applyProtection="1">
      <alignment horizontal="center" vertical="center"/>
      <protection locked="0"/>
    </xf>
    <xf numFmtId="192" fontId="33" fillId="0" borderId="0" xfId="306" applyFont="1" applyFill="1" applyAlignment="1">
      <alignment horizontal="left" vertical="center"/>
    </xf>
    <xf numFmtId="10" fontId="21" fillId="6" borderId="3" xfId="35" applyNumberFormat="1" applyFont="1" applyFill="1" applyBorder="1" applyAlignment="1" applyProtection="1">
      <alignment vertical="center"/>
      <protection locked="0"/>
    </xf>
    <xf numFmtId="184" fontId="13" fillId="0" borderId="3" xfId="26" applyNumberFormat="1" applyFont="1" applyFill="1" applyBorder="1" applyAlignment="1">
      <alignment horizontal="left" vertical="center" wrapText="1" shrinkToFit="1"/>
    </xf>
    <xf numFmtId="0" fontId="33" fillId="0" borderId="0" xfId="0" applyFont="1" applyAlignment="1">
      <alignment vertical="center"/>
      <protection locked="0"/>
    </xf>
    <xf numFmtId="184" fontId="13" fillId="0" borderId="3" xfId="26" applyNumberFormat="1" applyFont="1" applyFill="1" applyBorder="1" applyAlignment="1">
      <alignment horizontal="left" vertical="center" wrapText="1"/>
    </xf>
    <xf numFmtId="0" fontId="95" fillId="0" borderId="0" xfId="0" applyFont="1" applyFill="1" applyAlignment="1">
      <alignment horizontal="justify" vertical="center" wrapText="1"/>
      <protection locked="0"/>
    </xf>
    <xf numFmtId="0" fontId="18" fillId="0" borderId="0" xfId="0"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92" fontId="13" fillId="0" borderId="0" xfId="37" applyFont="1" applyFill="1" applyBorder="1" applyAlignment="1">
      <alignment horizontal="left" vertical="center" wrapText="1"/>
      <protection locked="0"/>
    </xf>
    <xf numFmtId="192" fontId="4" fillId="0" borderId="0" xfId="37" applyFont="1" applyFill="1" applyBorder="1" applyAlignment="1">
      <alignment horizontal="left" vertical="center" wrapText="1"/>
      <protection locked="0"/>
    </xf>
    <xf numFmtId="192" fontId="107" fillId="0" borderId="0" xfId="36" applyFont="1" applyFill="1" applyAlignment="1">
      <alignment horizontal="center" vertical="center"/>
    </xf>
    <xf numFmtId="192" fontId="108" fillId="0" borderId="0" xfId="36" applyFont="1" applyFill="1" applyAlignment="1">
      <alignment horizontal="center" vertical="center"/>
    </xf>
    <xf numFmtId="192" fontId="109" fillId="0" borderId="0" xfId="36" applyFont="1" applyFill="1" applyAlignment="1">
      <alignment horizontal="center" vertical="center"/>
    </xf>
    <xf numFmtId="192" fontId="34" fillId="0" borderId="0" xfId="37" applyFont="1" applyFill="1" applyAlignment="1">
      <alignment horizontal="left" vertical="center"/>
      <protection locked="0"/>
    </xf>
    <xf numFmtId="0" fontId="16" fillId="32" borderId="3" xfId="240" applyFont="1" applyFill="1" applyBorder="1" applyAlignment="1">
      <alignment horizontal="center" vertical="center" wrapText="1"/>
      <protection locked="0"/>
    </xf>
    <xf numFmtId="0" fontId="16" fillId="6" borderId="3" xfId="240" applyFont="1" applyFill="1" applyBorder="1" applyAlignment="1">
      <alignment horizontal="center" vertical="center" wrapText="1"/>
      <protection locked="0"/>
    </xf>
    <xf numFmtId="49" fontId="16" fillId="6" borderId="3" xfId="299" applyNumberFormat="1" applyFont="1" applyFill="1" applyBorder="1" applyAlignment="1">
      <alignment horizontal="center" vertical="center"/>
      <protection locked="0"/>
    </xf>
    <xf numFmtId="0" fontId="16" fillId="6" borderId="3" xfId="259" applyFont="1" applyFill="1" applyBorder="1" applyAlignment="1" applyProtection="1">
      <alignment horizontal="center" vertical="center" wrapText="1"/>
      <protection locked="0"/>
    </xf>
    <xf numFmtId="0" fontId="16" fillId="6" borderId="3" xfId="299" applyFont="1" applyFill="1" applyBorder="1" applyAlignment="1">
      <alignment horizontal="center" vertical="center" wrapText="1"/>
      <protection locked="0"/>
    </xf>
    <xf numFmtId="0" fontId="37" fillId="6" borderId="3" xfId="299" applyFont="1" applyFill="1" applyBorder="1" applyAlignment="1">
      <alignment horizontal="center" vertical="center"/>
      <protection locked="0"/>
    </xf>
    <xf numFmtId="0" fontId="101" fillId="6" borderId="3" xfId="299" applyFont="1" applyFill="1" applyBorder="1" applyAlignment="1">
      <alignment horizontal="center" vertical="center"/>
      <protection locked="0"/>
    </xf>
    <xf numFmtId="0" fontId="20" fillId="0" borderId="3" xfId="299" applyFont="1" applyBorder="1" applyAlignment="1">
      <alignment horizontal="left" vertical="center" wrapText="1"/>
      <protection locked="0"/>
    </xf>
    <xf numFmtId="0" fontId="21" fillId="32" borderId="3" xfId="299" applyFont="1" applyFill="1" applyBorder="1" applyAlignment="1">
      <alignment horizontal="center" vertical="center" wrapText="1"/>
      <protection locked="0"/>
    </xf>
    <xf numFmtId="0" fontId="13" fillId="0" borderId="3" xfId="299" applyFont="1" applyBorder="1" applyAlignment="1">
      <alignment horizontal="center" vertical="center" wrapText="1"/>
      <protection locked="0"/>
    </xf>
    <xf numFmtId="0" fontId="32" fillId="0" borderId="0" xfId="26" applyFont="1" applyAlignment="1">
      <alignment vertical="center" wrapText="1"/>
    </xf>
    <xf numFmtId="0" fontId="107" fillId="0" borderId="0" xfId="27" applyFont="1" applyAlignment="1">
      <alignment horizontal="center" vertical="center"/>
    </xf>
    <xf numFmtId="0" fontId="108" fillId="0" borderId="0" xfId="27" applyFont="1" applyAlignment="1">
      <alignment horizontal="center" vertical="center"/>
    </xf>
    <xf numFmtId="0" fontId="110" fillId="0" borderId="0" xfId="27" applyFont="1" applyAlignment="1">
      <alignment horizontal="center" vertical="center"/>
    </xf>
    <xf numFmtId="0" fontId="33" fillId="0" borderId="0" xfId="26" applyFont="1" applyAlignment="1">
      <alignment horizontal="left" vertical="center" wrapText="1"/>
    </xf>
    <xf numFmtId="0" fontId="32" fillId="0" borderId="0" xfId="26" applyFont="1" applyAlignment="1">
      <alignment horizontal="left" vertical="center" wrapText="1"/>
    </xf>
    <xf numFmtId="0" fontId="14" fillId="0" borderId="0" xfId="27" applyFont="1" applyAlignment="1">
      <alignment horizontal="center" vertical="center"/>
    </xf>
    <xf numFmtId="0" fontId="18" fillId="0" borderId="0" xfId="27" applyFont="1" applyAlignment="1">
      <alignment horizontal="center" vertical="center"/>
    </xf>
    <xf numFmtId="0" fontId="111" fillId="0" borderId="0" xfId="27" applyFont="1" applyAlignment="1">
      <alignment horizontal="center" vertical="center"/>
    </xf>
    <xf numFmtId="0" fontId="32" fillId="0" borderId="0" xfId="0" applyFont="1" applyAlignment="1" applyProtection="1">
      <alignment horizontal="left" vertical="center" wrapText="1"/>
    </xf>
    <xf numFmtId="43" fontId="96" fillId="0" borderId="0" xfId="0" applyNumberFormat="1" applyFont="1" applyAlignment="1" applyProtection="1">
      <alignment horizontal="left" vertical="center" wrapText="1"/>
    </xf>
    <xf numFmtId="43" fontId="107" fillId="0" borderId="0" xfId="30" applyNumberFormat="1" applyFont="1" applyBorder="1" applyAlignment="1">
      <alignment horizontal="center" vertical="center"/>
    </xf>
    <xf numFmtId="43" fontId="111" fillId="0" borderId="0" xfId="30" applyNumberFormat="1" applyFont="1" applyBorder="1" applyAlignment="1">
      <alignment horizontal="center" vertical="center"/>
    </xf>
    <xf numFmtId="0" fontId="94" fillId="0" borderId="0" xfId="299" applyFont="1" applyFill="1" applyBorder="1" applyAlignment="1">
      <alignment horizontal="left" vertical="center" wrapText="1"/>
      <protection locked="0"/>
    </xf>
    <xf numFmtId="0" fontId="19" fillId="0" borderId="0" xfId="299" applyFont="1" applyFill="1" applyBorder="1" applyAlignment="1">
      <alignment horizontal="left" vertical="center" wrapText="1"/>
      <protection locked="0"/>
    </xf>
    <xf numFmtId="14" fontId="16" fillId="32" borderId="3" xfId="234" applyNumberFormat="1" applyFont="1" applyFill="1" applyBorder="1" applyAlignment="1">
      <alignment horizontal="center" vertical="center"/>
      <protection locked="0"/>
    </xf>
    <xf numFmtId="43" fontId="21" fillId="6" borderId="10" xfId="305" applyFont="1" applyFill="1" applyBorder="1" applyAlignment="1" applyProtection="1">
      <alignment horizontal="left" vertical="center"/>
      <protection locked="0"/>
    </xf>
    <xf numFmtId="43" fontId="21" fillId="6" borderId="11" xfId="305" applyFont="1" applyFill="1" applyBorder="1" applyAlignment="1" applyProtection="1">
      <alignment horizontal="left" vertical="center"/>
      <protection locked="0"/>
    </xf>
    <xf numFmtId="43" fontId="20" fillId="0" borderId="10" xfId="305" applyFont="1" applyBorder="1" applyAlignment="1" applyProtection="1">
      <alignment horizontal="left" vertical="center"/>
      <protection locked="0"/>
    </xf>
    <xf numFmtId="43" fontId="20" fillId="0" borderId="11" xfId="305" applyFont="1" applyBorder="1" applyAlignment="1" applyProtection="1">
      <alignment horizontal="left" vertical="center"/>
      <protection locked="0"/>
    </xf>
    <xf numFmtId="43" fontId="21" fillId="6" borderId="3" xfId="305" applyFont="1" applyFill="1" applyBorder="1" applyAlignment="1" applyProtection="1">
      <alignment horizontal="left" vertical="center"/>
      <protection locked="0"/>
    </xf>
    <xf numFmtId="49" fontId="91" fillId="0" borderId="10" xfId="304" applyNumberFormat="1" applyFont="1" applyBorder="1" applyAlignment="1">
      <alignment horizontal="left" vertical="center"/>
      <protection locked="0"/>
    </xf>
    <xf numFmtId="49" fontId="91" fillId="0" borderId="11" xfId="304" applyNumberFormat="1" applyFont="1" applyBorder="1" applyAlignment="1">
      <alignment horizontal="left" vertical="center"/>
      <protection locked="0"/>
    </xf>
    <xf numFmtId="192" fontId="16" fillId="6" borderId="3" xfId="231" applyFont="1" applyFill="1" applyBorder="1" applyAlignment="1">
      <alignment horizontal="center" vertical="center"/>
      <protection locked="0"/>
    </xf>
    <xf numFmtId="192" fontId="21" fillId="6" borderId="3" xfId="231" applyFont="1" applyFill="1" applyBorder="1" applyAlignment="1">
      <alignment horizontal="center" vertical="center"/>
      <protection locked="0"/>
    </xf>
    <xf numFmtId="0" fontId="107" fillId="0" borderId="0" xfId="0" applyFont="1" applyAlignment="1">
      <alignment horizontal="center" vertical="center"/>
      <protection locked="0"/>
    </xf>
    <xf numFmtId="0" fontId="108" fillId="0" borderId="0" xfId="0" applyFont="1" applyAlignment="1">
      <alignment horizontal="center" vertical="center"/>
      <protection locked="0"/>
    </xf>
    <xf numFmtId="0" fontId="16" fillId="6" borderId="8" xfId="0" applyFont="1" applyFill="1" applyBorder="1" applyAlignment="1">
      <alignment horizontal="center" vertical="center"/>
      <protection locked="0"/>
    </xf>
    <xf numFmtId="0" fontId="21" fillId="6" borderId="9" xfId="0" applyFont="1" applyFill="1" applyBorder="1" applyAlignment="1">
      <alignment horizontal="center" vertical="center"/>
      <protection locked="0"/>
    </xf>
    <xf numFmtId="0" fontId="16" fillId="34" borderId="8" xfId="299" applyFont="1" applyFill="1" applyBorder="1" applyAlignment="1" applyProtection="1">
      <alignment horizontal="center" vertical="center" wrapText="1"/>
    </xf>
    <xf numFmtId="0" fontId="16" fillId="34" borderId="9" xfId="299" applyFont="1" applyFill="1" applyBorder="1" applyAlignment="1" applyProtection="1">
      <alignment horizontal="center" vertical="center" wrapText="1"/>
    </xf>
    <xf numFmtId="0" fontId="21" fillId="6" borderId="10" xfId="0" applyFont="1" applyFill="1" applyBorder="1" applyAlignment="1" applyProtection="1">
      <alignment horizontal="center" vertical="center"/>
      <protection locked="0"/>
    </xf>
    <xf numFmtId="0" fontId="21" fillId="6" borderId="12" xfId="0" applyFont="1" applyFill="1" applyBorder="1" applyAlignment="1" applyProtection="1">
      <alignment horizontal="center" vertical="center"/>
      <protection locked="0"/>
    </xf>
    <xf numFmtId="0" fontId="16" fillId="34" borderId="3" xfId="299" applyFont="1" applyFill="1" applyBorder="1" applyAlignment="1" applyProtection="1">
      <alignment horizontal="center" vertical="center" wrapText="1"/>
    </xf>
    <xf numFmtId="192" fontId="16" fillId="6" borderId="25" xfId="231" applyFont="1" applyFill="1" applyBorder="1" applyAlignment="1">
      <alignment horizontal="center" vertical="center" wrapText="1"/>
      <protection locked="0"/>
    </xf>
    <xf numFmtId="192" fontId="16" fillId="6" borderId="26" xfId="231" applyFont="1" applyFill="1" applyBorder="1" applyAlignment="1">
      <alignment horizontal="center" vertical="center" wrapText="1"/>
      <protection locked="0"/>
    </xf>
    <xf numFmtId="192" fontId="16" fillId="6" borderId="27" xfId="231" applyFont="1" applyFill="1" applyBorder="1" applyAlignment="1">
      <alignment horizontal="center" vertical="center" wrapText="1"/>
      <protection locked="0"/>
    </xf>
    <xf numFmtId="192" fontId="16" fillId="6" borderId="28" xfId="231" applyFont="1" applyFill="1" applyBorder="1" applyAlignment="1">
      <alignment horizontal="center" vertical="center" wrapText="1"/>
      <protection locked="0"/>
    </xf>
    <xf numFmtId="0" fontId="16" fillId="6" borderId="10" xfId="299" applyFont="1" applyFill="1" applyBorder="1" applyAlignment="1">
      <alignment horizontal="center" vertical="center"/>
      <protection locked="0"/>
    </xf>
    <xf numFmtId="0" fontId="16" fillId="6" borderId="12" xfId="299" applyFont="1" applyFill="1" applyBorder="1" applyAlignment="1">
      <alignment horizontal="center" vertical="center"/>
      <protection locked="0"/>
    </xf>
    <xf numFmtId="0" fontId="16" fillId="6" borderId="11" xfId="299" applyFont="1" applyFill="1" applyBorder="1" applyAlignment="1">
      <alignment horizontal="center" vertical="center"/>
      <protection locked="0"/>
    </xf>
  </cellXfs>
  <cellStyles count="307">
    <cellStyle name="%" xfId="39"/>
    <cellStyle name="?" xfId="40"/>
    <cellStyle name="?餡_x000c_k" xfId="41"/>
    <cellStyle name="?餡_x000c_k?_x000d_^" xfId="42"/>
    <cellStyle name="?餡_x000c_k?_x000d_^黇_x0001_??_x0007__x0001__x0001_" xfId="43"/>
    <cellStyle name="@_text" xfId="1"/>
    <cellStyle name="_2005审计报表及附注-中国建材股份模板（房屋）" xfId="44"/>
    <cellStyle name="_2006年年报审计PBC表-XXX" xfId="45"/>
    <cellStyle name="_2006年年报审计填报资料" xfId="46"/>
    <cellStyle name="_Book1" xfId="47"/>
    <cellStyle name="_J1000-存货-ZHHG" xfId="48"/>
    <cellStyle name="_PBC审核提示" xfId="49"/>
    <cellStyle name="_宝丽华房地产20051231" xfId="50"/>
    <cellStyle name="_保证金-企业填写部分" xfId="51"/>
    <cellStyle name="_北新房屋2004年审-刘" xfId="52"/>
    <cellStyle name="_北新股份2005年审工作底稿" xfId="53"/>
    <cellStyle name="_北新建材关连交易基础表051230（10－12月版）更新稿" xfId="54"/>
    <cellStyle name="_北新建材-会计报表附注模版" xfId="55"/>
    <cellStyle name="_北新龙之星2004年审工作底稿" xfId="56"/>
    <cellStyle name="_北新物流2005底稿-刘" xfId="57"/>
    <cellStyle name="_北新置换memo" xfId="58"/>
    <cellStyle name="_存货结转测试" xfId="59"/>
    <cellStyle name="_存货数量与明细05.12" xfId="60"/>
    <cellStyle name="_动力厂2004年审工作底稿-刘" xfId="61"/>
    <cellStyle name="_分工" xfId="62"/>
    <cellStyle name="_工程施工项目现场审计提示" xfId="63"/>
    <cellStyle name="_关联交易" xfId="64"/>
    <cellStyle name="_关联交易、往来统计表" xfId="65"/>
    <cellStyle name="_建造合同-宜万指（正式版）" xfId="66"/>
    <cellStyle name="_科目核对表" xfId="67"/>
    <cellStyle name="_母PL" xfId="68"/>
    <cellStyle name="_人员分工备忘录" xfId="69"/>
    <cellStyle name="_审计所需资料清单－子公司" xfId="70"/>
    <cellStyle name="_一公司建造合同前5名" xfId="71"/>
    <cellStyle name="_一公司－刘丰收" xfId="72"/>
    <cellStyle name="_长期借款－江阴" xfId="73"/>
    <cellStyle name="_子公司审计提示模版-Liufs" xfId="74"/>
    <cellStyle name="{Comma [0]}" xfId="2"/>
    <cellStyle name="{Comma}" xfId="3"/>
    <cellStyle name="{Date}" xfId="4"/>
    <cellStyle name="{Month}" xfId="5"/>
    <cellStyle name="{Percent}" xfId="6"/>
    <cellStyle name="{Thousand [0]}" xfId="7"/>
    <cellStyle name="{Thousand}" xfId="8"/>
    <cellStyle name="{Z'0000(1 dec)}" xfId="9"/>
    <cellStyle name="{Z'0000(4 dec)}" xfId="10"/>
    <cellStyle name="0%" xfId="75"/>
    <cellStyle name="0.0%" xfId="76"/>
    <cellStyle name="0.00%" xfId="77"/>
    <cellStyle name="20% - Accent1" xfId="78"/>
    <cellStyle name="20% - Accent2" xfId="79"/>
    <cellStyle name="20% - Accent3" xfId="80"/>
    <cellStyle name="20% - Accent4" xfId="81"/>
    <cellStyle name="20% - Accent5" xfId="82"/>
    <cellStyle name="20% - Accent6" xfId="83"/>
    <cellStyle name="40% - Accent1" xfId="84"/>
    <cellStyle name="40% - Accent2" xfId="85"/>
    <cellStyle name="40% - Accent3" xfId="86"/>
    <cellStyle name="40% - Accent4" xfId="87"/>
    <cellStyle name="40% - Accent5" xfId="88"/>
    <cellStyle name="40% - Accent6" xfId="89"/>
    <cellStyle name="60% - Accent1" xfId="90"/>
    <cellStyle name="60% - Accent2" xfId="91"/>
    <cellStyle name="60% - Accent3" xfId="92"/>
    <cellStyle name="60% - Accent4" xfId="93"/>
    <cellStyle name="60% - Accent5" xfId="94"/>
    <cellStyle name="60% - Accent6" xfId="95"/>
    <cellStyle name="Accent1" xfId="96"/>
    <cellStyle name="Accent2" xfId="97"/>
    <cellStyle name="Accent3" xfId="98"/>
    <cellStyle name="Accent4" xfId="99"/>
    <cellStyle name="Accent5" xfId="100"/>
    <cellStyle name="Accent6" xfId="101"/>
    <cellStyle name="Bad" xfId="102"/>
    <cellStyle name="Black" xfId="11"/>
    <cellStyle name="Border" xfId="12"/>
    <cellStyle name="Calc Currency (0)" xfId="103"/>
    <cellStyle name="Calc Currency (2)" xfId="104"/>
    <cellStyle name="Calc Percent (0)" xfId="105"/>
    <cellStyle name="Calc Percent (1)" xfId="106"/>
    <cellStyle name="Calc Percent (2)" xfId="107"/>
    <cellStyle name="Calc Units (0)" xfId="108"/>
    <cellStyle name="Calc Units (1)" xfId="109"/>
    <cellStyle name="Calc Units (2)" xfId="110"/>
    <cellStyle name="Calculation" xfId="111"/>
    <cellStyle name="category" xfId="112"/>
    <cellStyle name="Check Cell" xfId="113"/>
    <cellStyle name="Col Heads" xfId="114"/>
    <cellStyle name="Column_Title" xfId="115"/>
    <cellStyle name="Comma  - Style1" xfId="116"/>
    <cellStyle name="Comma  - Style2" xfId="117"/>
    <cellStyle name="Comma  - Style3" xfId="118"/>
    <cellStyle name="Comma  - Style4" xfId="119"/>
    <cellStyle name="Comma  - Style5" xfId="120"/>
    <cellStyle name="Comma  - Style6" xfId="121"/>
    <cellStyle name="Comma  - Style7" xfId="122"/>
    <cellStyle name="Comma  - Style8" xfId="123"/>
    <cellStyle name="Comma [0]_ rislugp" xfId="124"/>
    <cellStyle name="Comma [00]" xfId="125"/>
    <cellStyle name="Comma 28" xfId="126"/>
    <cellStyle name="comma zerodec" xfId="127"/>
    <cellStyle name="Comma,0" xfId="128"/>
    <cellStyle name="Comma,1" xfId="129"/>
    <cellStyle name="Comma,2" xfId="130"/>
    <cellStyle name="Comma_ rislugp" xfId="131"/>
    <cellStyle name="Currency [0]_ rislugp" xfId="132"/>
    <cellStyle name="Currency [00]" xfId="133"/>
    <cellStyle name="Currency,0" xfId="134"/>
    <cellStyle name="Currency,2" xfId="135"/>
    <cellStyle name="Currency_ rislugp" xfId="136"/>
    <cellStyle name="Currency1" xfId="137"/>
    <cellStyle name="Date Short" xfId="138"/>
    <cellStyle name="Dezimal [0]_laroux" xfId="13"/>
    <cellStyle name="Dezimal_laroux" xfId="14"/>
    <cellStyle name="Dollar (zero dec)" xfId="139"/>
    <cellStyle name="Enter Currency (0)" xfId="140"/>
    <cellStyle name="Enter Currency (2)" xfId="141"/>
    <cellStyle name="Enter Units (0)" xfId="142"/>
    <cellStyle name="Enter Units (1)" xfId="143"/>
    <cellStyle name="Enter Units (2)" xfId="144"/>
    <cellStyle name="entry" xfId="145"/>
    <cellStyle name="entry box" xfId="146"/>
    <cellStyle name="Euro" xfId="15"/>
    <cellStyle name="Explanatory Text" xfId="147"/>
    <cellStyle name="Followed Hyperlink_AheadBehind.xls Chart 23" xfId="16"/>
    <cellStyle name="Good" xfId="148"/>
    <cellStyle name="Grey" xfId="17"/>
    <cellStyle name="HEADER" xfId="149"/>
    <cellStyle name="Header1" xfId="150"/>
    <cellStyle name="Header2" xfId="151"/>
    <cellStyle name="Heading" xfId="152"/>
    <cellStyle name="Heading 1" xfId="153"/>
    <cellStyle name="Heading 2" xfId="154"/>
    <cellStyle name="Heading 3" xfId="155"/>
    <cellStyle name="Heading 4" xfId="156"/>
    <cellStyle name="Hyperlink_AheadBehind.xls Chart 23" xfId="18"/>
    <cellStyle name="Input" xfId="157"/>
    <cellStyle name="Input [yellow]" xfId="19"/>
    <cellStyle name="left" xfId="158"/>
    <cellStyle name="Link Currency (0)" xfId="159"/>
    <cellStyle name="Link Currency (2)" xfId="160"/>
    <cellStyle name="Link Units (0)" xfId="161"/>
    <cellStyle name="Link Units (1)" xfId="162"/>
    <cellStyle name="Link Units (2)" xfId="163"/>
    <cellStyle name="Linked Cell" xfId="164"/>
    <cellStyle name="Millares [0]_laroux" xfId="165"/>
    <cellStyle name="Millares_laroux" xfId="166"/>
    <cellStyle name="Milliers [0]_laroux" xfId="20"/>
    <cellStyle name="Milliers_laroux" xfId="21"/>
    <cellStyle name="Model" xfId="167"/>
    <cellStyle name="Moneda [0]_laroux" xfId="168"/>
    <cellStyle name="Moneda_laroux" xfId="169"/>
    <cellStyle name="Mon閠aire [0]_laroux" xfId="170"/>
    <cellStyle name="Mon閠aire_laroux" xfId="171"/>
    <cellStyle name="Neutral" xfId="172"/>
    <cellStyle name="no dec" xfId="173"/>
    <cellStyle name="Non défini" xfId="22"/>
    <cellStyle name="Normal - Style1" xfId="23"/>
    <cellStyle name="Normal 2" xfId="174"/>
    <cellStyle name="Normal 2 2" xfId="175"/>
    <cellStyle name="Normal 21" xfId="176"/>
    <cellStyle name="Normal 3 2" xfId="177"/>
    <cellStyle name="Normal_ rislugp" xfId="178"/>
    <cellStyle name="Normalny_Arkusz1" xfId="179"/>
    <cellStyle name="Note" xfId="180"/>
    <cellStyle name="Output" xfId="181"/>
    <cellStyle name="Percent (0)" xfId="182"/>
    <cellStyle name="Percent [0]" xfId="183"/>
    <cellStyle name="Percent [00]" xfId="184"/>
    <cellStyle name="Percent [2]" xfId="24"/>
    <cellStyle name="Prefilled" xfId="185"/>
    <cellStyle name="PrePop Currency (0)" xfId="186"/>
    <cellStyle name="PrePop Currency (2)" xfId="187"/>
    <cellStyle name="PrePop Units (0)" xfId="188"/>
    <cellStyle name="PrePop Units (1)" xfId="189"/>
    <cellStyle name="PrePop Units (2)" xfId="190"/>
    <cellStyle name="price" xfId="191"/>
    <cellStyle name="Red" xfId="25"/>
    <cellStyle name="revised" xfId="192"/>
    <cellStyle name="section" xfId="193"/>
    <cellStyle name="SOR" xfId="194"/>
    <cellStyle name="style" xfId="195"/>
    <cellStyle name="style1" xfId="196"/>
    <cellStyle name="style2" xfId="197"/>
    <cellStyle name="subhead" xfId="198"/>
    <cellStyle name="Text Indent A" xfId="199"/>
    <cellStyle name="Text Indent B" xfId="200"/>
    <cellStyle name="Text Indent C" xfId="201"/>
    <cellStyle name="Tickmark" xfId="202"/>
    <cellStyle name="title" xfId="203"/>
    <cellStyle name="Total" xfId="204"/>
    <cellStyle name="Warning Text" xfId="205"/>
    <cellStyle name="wrap" xfId="206"/>
    <cellStyle name="パーセント_laroux" xfId="207"/>
    <cellStyle name="_PLDT" xfId="208"/>
    <cellStyle name="_Total (2)" xfId="209"/>
    <cellStyle name="だ[0]_PLDT" xfId="210"/>
    <cellStyle name="だ_PLDT" xfId="211"/>
    <cellStyle name="だ[0]_Total (2)" xfId="212"/>
    <cellStyle name="だ_Total (2)" xfId="213"/>
    <cellStyle name="百分比" xfId="35" builtinId="5"/>
    <cellStyle name="百分比 2" xfId="214"/>
    <cellStyle name="百分比 2 2" xfId="302"/>
    <cellStyle name="百分比 3" xfId="215"/>
    <cellStyle name="標準_１１月価格表" xfId="216"/>
    <cellStyle name="差_T1000-主营业务收入-LJCH" xfId="217"/>
    <cellStyle name="常规" xfId="0" builtinId="0"/>
    <cellStyle name="常规 10" xfId="218"/>
    <cellStyle name="常规 10 2" xfId="219"/>
    <cellStyle name="常规 10 3" xfId="220"/>
    <cellStyle name="常规 10 4" xfId="221"/>
    <cellStyle name="常规 11 2" xfId="222"/>
    <cellStyle name="常规 11 3" xfId="223"/>
    <cellStyle name="常规 11 4" xfId="224"/>
    <cellStyle name="常规 11 5" xfId="306"/>
    <cellStyle name="常规 12 2" xfId="225"/>
    <cellStyle name="常规 12 3" xfId="226"/>
    <cellStyle name="常规 12 4" xfId="227"/>
    <cellStyle name="常规 13 2" xfId="228"/>
    <cellStyle name="常规 13 3" xfId="229"/>
    <cellStyle name="常规 13 4" xfId="230"/>
    <cellStyle name="常规 2" xfId="37"/>
    <cellStyle name="常规 2 2" xfId="231"/>
    <cellStyle name="常规 2 2 2" xfId="232"/>
    <cellStyle name="常规 2 2 3" xfId="233"/>
    <cellStyle name="常规 2 2 4" xfId="299"/>
    <cellStyle name="常规 2 3" xfId="234"/>
    <cellStyle name="常规 2 3 2" xfId="235"/>
    <cellStyle name="常规 2 4" xfId="236"/>
    <cellStyle name="常规 2 5" xfId="237"/>
    <cellStyle name="常规 2 6" xfId="238"/>
    <cellStyle name="常规 2 7" xfId="239"/>
    <cellStyle name="常规 2 8" xfId="240"/>
    <cellStyle name="常规 2 8 2" xfId="304"/>
    <cellStyle name="常规 2_经销商信息-1-原始表" xfId="241"/>
    <cellStyle name="常规 3" xfId="242"/>
    <cellStyle name="常规 3 2" xfId="243"/>
    <cellStyle name="常规 3 3" xfId="244"/>
    <cellStyle name="常规 3 4" xfId="245"/>
    <cellStyle name="常规 4" xfId="246"/>
    <cellStyle name="常规 4 2" xfId="247"/>
    <cellStyle name="常规 4 2 2" xfId="300"/>
    <cellStyle name="常规 4 3" xfId="248"/>
    <cellStyle name="常规 4 4" xfId="249"/>
    <cellStyle name="常规 5" xfId="250"/>
    <cellStyle name="常规 5 2" xfId="251"/>
    <cellStyle name="常规 5 3" xfId="252"/>
    <cellStyle name="常规 5 4" xfId="253"/>
    <cellStyle name="常规 6" xfId="34"/>
    <cellStyle name="常规 6 2" xfId="254"/>
    <cellStyle name="常规 6 3" xfId="255"/>
    <cellStyle name="常规 6 4" xfId="256"/>
    <cellStyle name="常规 6 5" xfId="257"/>
    <cellStyle name="常规 7" xfId="258"/>
    <cellStyle name="常规 7 2" xfId="259"/>
    <cellStyle name="常规 7 3" xfId="260"/>
    <cellStyle name="常规 7 4" xfId="261"/>
    <cellStyle name="常规 8" xfId="262"/>
    <cellStyle name="常规 8 2" xfId="263"/>
    <cellStyle name="常规 8 3" xfId="264"/>
    <cellStyle name="常规 8 4" xfId="265"/>
    <cellStyle name="常规 9" xfId="266"/>
    <cellStyle name="常规 9 2" xfId="267"/>
    <cellStyle name="常规 9 3" xfId="268"/>
    <cellStyle name="常规 9 4" xfId="269"/>
    <cellStyle name="常规_2-1项目审定表－模板" xfId="26"/>
    <cellStyle name="常规_Book1" xfId="27"/>
    <cellStyle name="常规_Book1 2" xfId="36"/>
    <cellStyle name="常规_c-资产类" xfId="303"/>
    <cellStyle name="常规_进一步审计程序--销售与收款循环" xfId="28"/>
    <cellStyle name="常规_通用表" xfId="29"/>
    <cellStyle name="常规_新审定表" xfId="30"/>
    <cellStyle name="常规_制造费用" xfId="31"/>
    <cellStyle name="常规_制造费用 2" xfId="38"/>
    <cellStyle name="超级链接_B4-1审计项目工时预算与控制表(集团)" xfId="270"/>
    <cellStyle name="超链接" xfId="32" builtinId="8"/>
    <cellStyle name="超链接 2" xfId="271"/>
    <cellStyle name="超链接 2 2" xfId="272"/>
    <cellStyle name="超链接 2 3" xfId="301"/>
    <cellStyle name="分级显示行_1_4附件二凯旋评估表" xfId="273"/>
    <cellStyle name="好_T1000-主营业务收入" xfId="274"/>
    <cellStyle name="桁区切り [0.00]_１１月価格表" xfId="275"/>
    <cellStyle name="桁区切り_１１月価格表" xfId="276"/>
    <cellStyle name="霓付 [0]_97MBO" xfId="277"/>
    <cellStyle name="霓付_97MBO" xfId="278"/>
    <cellStyle name="烹拳 [0]_97MBO" xfId="279"/>
    <cellStyle name="烹拳_97MBO" xfId="280"/>
    <cellStyle name="砯刽 [0]_PLDT" xfId="281"/>
    <cellStyle name="砯刽_PLDT" xfId="282"/>
    <cellStyle name="普通_ 白土" xfId="283"/>
    <cellStyle name="千分位[0]_ 白土" xfId="284"/>
    <cellStyle name="千分位_ 白土" xfId="285"/>
    <cellStyle name="千位[0]_ 应交税金审定表" xfId="286"/>
    <cellStyle name="千位_ 应交税金审定表" xfId="287"/>
    <cellStyle name="千位分隔" xfId="33" builtinId="3"/>
    <cellStyle name="千位分隔 2" xfId="288"/>
    <cellStyle name="千位分隔 3" xfId="289"/>
    <cellStyle name="千位分隔 6" xfId="305"/>
    <cellStyle name="钎霖_laroux" xfId="290"/>
    <cellStyle name="通貨 [0.00]_１１月価格表" xfId="291"/>
    <cellStyle name="通貨_１１月価格表" xfId="292"/>
    <cellStyle name="样式 1" xfId="293"/>
    <cellStyle name="콤마 [0]_BOILER-CO1" xfId="294"/>
    <cellStyle name="콤마_BOILER-CO1" xfId="295"/>
    <cellStyle name="통화 [0]_BOILER-CO1" xfId="296"/>
    <cellStyle name="통화_BOILER-CO1" xfId="297"/>
    <cellStyle name="표준_0N-HANDLING " xfId="298"/>
  </cellStyles>
  <dxfs count="4">
    <dxf>
      <font>
        <condense val="0"/>
        <extend val="0"/>
        <color indexed="10"/>
      </font>
    </dxf>
    <dxf>
      <font>
        <condense val="0"/>
        <extend val="0"/>
        <color indexed="10"/>
      </font>
    </dxf>
    <dxf>
      <font>
        <condense val="0"/>
        <extend val="0"/>
        <color indexed="12"/>
      </font>
    </dxf>
    <dxf>
      <font>
        <condense val="0"/>
        <extend val="0"/>
        <color indexed="12"/>
      </font>
    </dxf>
  </dxfs>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53" customWidth="1"/>
    <col min="2" max="2" width="2" style="53" customWidth="1"/>
    <col min="3" max="3" width="2.09765625" style="53" customWidth="1"/>
    <col min="4" max="4" width="6.09765625" style="53" customWidth="1"/>
    <col min="5" max="5" width="31.59765625" style="53" customWidth="1"/>
    <col min="6" max="6" width="11.09765625" style="176" customWidth="1"/>
    <col min="7" max="16384" width="9" style="53"/>
  </cols>
  <sheetData>
    <row r="1" spans="1:8" s="50" customFormat="1" ht="20.100000000000001" customHeight="1">
      <c r="A1" s="49" t="s">
        <v>65</v>
      </c>
      <c r="F1" s="52"/>
    </row>
    <row r="2" spans="1:8" ht="20.100000000000001" customHeight="1">
      <c r="A2" s="135" t="s">
        <v>210</v>
      </c>
      <c r="B2" s="51"/>
      <c r="C2" s="51"/>
      <c r="D2" s="52"/>
      <c r="E2" s="73"/>
      <c r="F2" s="74"/>
      <c r="G2" s="51"/>
      <c r="H2" s="51"/>
    </row>
    <row r="3" spans="1:8" ht="20.100000000000001" customHeight="1">
      <c r="A3" s="136" t="s">
        <v>221</v>
      </c>
      <c r="B3" s="51"/>
      <c r="C3" s="51"/>
      <c r="D3" s="52" t="s">
        <v>66</v>
      </c>
      <c r="E3" s="73" t="s">
        <v>67</v>
      </c>
      <c r="F3" s="74" t="s">
        <v>96</v>
      </c>
      <c r="G3" s="51"/>
      <c r="H3" s="55"/>
    </row>
    <row r="4" spans="1:8" ht="20.100000000000001" customHeight="1">
      <c r="A4" s="189" t="s">
        <v>211</v>
      </c>
      <c r="B4" s="56"/>
      <c r="C4" s="56"/>
      <c r="D4" s="141">
        <v>1</v>
      </c>
      <c r="E4" s="104" t="s">
        <v>149</v>
      </c>
      <c r="F4" s="141" t="s">
        <v>202</v>
      </c>
      <c r="G4" s="51"/>
      <c r="H4" s="51"/>
    </row>
    <row r="5" spans="1:8" ht="20.100000000000001" customHeight="1">
      <c r="A5" s="189" t="s">
        <v>212</v>
      </c>
      <c r="D5" s="141">
        <v>2</v>
      </c>
      <c r="E5" s="104" t="s">
        <v>150</v>
      </c>
      <c r="F5" s="141" t="s">
        <v>203</v>
      </c>
      <c r="G5" s="60"/>
      <c r="H5" s="56"/>
    </row>
    <row r="6" spans="1:8" ht="20.100000000000001" customHeight="1">
      <c r="A6" s="189" t="s">
        <v>213</v>
      </c>
      <c r="D6" s="141">
        <v>3</v>
      </c>
      <c r="E6" s="104" t="s">
        <v>151</v>
      </c>
      <c r="F6" s="141"/>
      <c r="G6" s="1" t="s">
        <v>148</v>
      </c>
    </row>
    <row r="7" spans="1:8" ht="20.100000000000001" customHeight="1">
      <c r="A7" s="189" t="s">
        <v>214</v>
      </c>
      <c r="D7" s="141">
        <v>4</v>
      </c>
      <c r="E7" s="104" t="s">
        <v>152</v>
      </c>
      <c r="F7" s="141"/>
      <c r="G7" s="1" t="s">
        <v>148</v>
      </c>
    </row>
    <row r="8" spans="1:8" ht="20.100000000000001" customHeight="1">
      <c r="A8" s="57"/>
      <c r="D8" s="141">
        <v>5</v>
      </c>
      <c r="E8" s="104" t="s">
        <v>153</v>
      </c>
      <c r="F8" s="141" t="s">
        <v>204</v>
      </c>
    </row>
    <row r="9" spans="1:8" ht="19.95" customHeight="1">
      <c r="A9" s="190" t="s">
        <v>222</v>
      </c>
      <c r="D9" s="141">
        <v>6</v>
      </c>
      <c r="E9" s="104" t="s">
        <v>154</v>
      </c>
      <c r="F9" s="141" t="s">
        <v>205</v>
      </c>
    </row>
    <row r="10" spans="1:8" ht="19.95" customHeight="1">
      <c r="A10" s="197" t="s">
        <v>223</v>
      </c>
      <c r="D10" s="141">
        <v>7</v>
      </c>
      <c r="E10" s="174" t="s">
        <v>197</v>
      </c>
      <c r="F10" s="141" t="s">
        <v>206</v>
      </c>
    </row>
    <row r="11" spans="1:8" ht="19.95" customHeight="1">
      <c r="A11" s="197"/>
      <c r="E11" s="105"/>
      <c r="F11" s="175"/>
    </row>
    <row r="12" spans="1:8" ht="19.95" customHeight="1">
      <c r="A12" s="197"/>
      <c r="D12" s="59"/>
      <c r="E12" s="106"/>
      <c r="F12" s="59"/>
    </row>
    <row r="13" spans="1:8" ht="19.95" customHeight="1">
      <c r="A13" s="197"/>
      <c r="D13" s="54"/>
      <c r="E13" s="58"/>
    </row>
    <row r="14" spans="1:8" ht="19.95" customHeight="1">
      <c r="A14" s="197" t="s">
        <v>224</v>
      </c>
    </row>
    <row r="15" spans="1:8" ht="19.95" customHeight="1">
      <c r="A15" s="197"/>
    </row>
    <row r="16" spans="1:8" ht="19.95" customHeight="1">
      <c r="A16" s="197"/>
    </row>
    <row r="17" spans="1:1" ht="19.95" customHeight="1">
      <c r="A17" s="198" t="s">
        <v>225</v>
      </c>
    </row>
    <row r="18" spans="1:1" ht="19.95" customHeight="1">
      <c r="A18" s="198"/>
    </row>
    <row r="19" spans="1:1" ht="19.95" customHeight="1">
      <c r="A19" s="198"/>
    </row>
  </sheetData>
  <mergeCells count="3">
    <mergeCell ref="A10:A13"/>
    <mergeCell ref="A14:A16"/>
    <mergeCell ref="A17:A19"/>
  </mergeCells>
  <phoneticPr fontId="12" type="noConversion"/>
  <hyperlinks>
    <hyperlink ref="E5" location="'审定表K13-1'!Print_Area" display="审定表"/>
    <hyperlink ref="E6" location="'附注披露信息（上市公司）'!Print_Area" display="附注披露信息（上市公司）"/>
    <hyperlink ref="E8" location="'明细表K13-2'!Print_Area" display="明细表"/>
    <hyperlink ref="E10" location="'营业外收入检查表K13-4'!A1" display="营业外收入检查表"/>
    <hyperlink ref="E7" location="'附注披露信息（国企）'!Print_Area" display="附注披露信息（国企）"/>
    <hyperlink ref="E4" location="实质性程序表K13A!Print_Titles" display="实质性程序表"/>
    <hyperlink ref="E9" location="'调整分录汇总K13-3'!Print_Area" display="调整分录汇总"/>
  </hyperlinks>
  <pageMargins left="0.74803149606299213" right="0.74803149606299213" top="0.98425196850393704" bottom="0.98425196850393704" header="0.51181102362204722" footer="0.51181102362204722"/>
  <pageSetup paperSize="9"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J24"/>
  <sheetViews>
    <sheetView view="pageBreakPreview" zoomScaleSheetLayoutView="100" workbookViewId="0">
      <selection sqref="A1:I1"/>
    </sheetView>
  </sheetViews>
  <sheetFormatPr defaultColWidth="9" defaultRowHeight="30.75" customHeight="1"/>
  <cols>
    <col min="1" max="1" width="5.296875" style="67" customWidth="1"/>
    <col min="2" max="2" width="64.69921875" style="63" customWidth="1"/>
    <col min="3" max="3" width="10.796875" style="63" customWidth="1"/>
    <col min="4" max="4" width="5.59765625" style="63" customWidth="1"/>
    <col min="5" max="5" width="6.8984375" style="63" customWidth="1"/>
    <col min="6" max="6" width="7.296875" style="63" customWidth="1"/>
    <col min="7" max="7" width="5.59765625" style="63" customWidth="1"/>
    <col min="8" max="8" width="6" style="63" customWidth="1"/>
    <col min="9" max="9" width="8.59765625" style="63" customWidth="1"/>
    <col min="10" max="10" width="58.09765625" style="63" customWidth="1"/>
    <col min="11" max="16384" width="9" style="63"/>
  </cols>
  <sheetData>
    <row r="1" spans="1:10" s="61" customFormat="1" ht="19.95" customHeight="1">
      <c r="A1" s="201" t="s">
        <v>159</v>
      </c>
      <c r="B1" s="201"/>
      <c r="C1" s="201"/>
      <c r="D1" s="201"/>
      <c r="E1" s="201"/>
      <c r="F1" s="201"/>
      <c r="G1" s="201"/>
      <c r="H1" s="201"/>
      <c r="I1" s="201"/>
    </row>
    <row r="2" spans="1:10" s="61" customFormat="1" ht="19.95" customHeight="1">
      <c r="A2" s="202" t="s">
        <v>80</v>
      </c>
      <c r="B2" s="203"/>
      <c r="C2" s="203"/>
      <c r="D2" s="203"/>
      <c r="E2" s="203"/>
      <c r="F2" s="203"/>
      <c r="G2" s="203"/>
      <c r="H2" s="203"/>
      <c r="I2" s="203"/>
    </row>
    <row r="3" spans="1:10" s="62" customFormat="1" ht="19.95" customHeight="1">
      <c r="A3" s="107" t="str">
        <f>底稿目录!A2</f>
        <v>被审计单位：</v>
      </c>
      <c r="B3" s="107"/>
      <c r="C3" s="107" t="str">
        <f>底稿目录!A4</f>
        <v>编制人：</v>
      </c>
      <c r="D3" s="109"/>
      <c r="E3" s="109" t="str">
        <f>底稿目录!A5</f>
        <v>编制日期：</v>
      </c>
      <c r="F3" s="109"/>
      <c r="G3" s="109"/>
      <c r="H3" s="107" t="s">
        <v>111</v>
      </c>
      <c r="I3" s="178" t="str">
        <f>底稿目录!F4</f>
        <v>K12A</v>
      </c>
    </row>
    <row r="4" spans="1:10" s="62" customFormat="1" ht="19.95" customHeight="1">
      <c r="A4" s="107" t="str">
        <f>底稿目录!A3</f>
        <v>会计期间：202X年度</v>
      </c>
      <c r="B4" s="107"/>
      <c r="C4" s="107" t="str">
        <f>底稿目录!A6</f>
        <v>复核人：</v>
      </c>
      <c r="D4" s="109"/>
      <c r="E4" s="109" t="str">
        <f>底稿目录!A7</f>
        <v>复核日期：</v>
      </c>
      <c r="F4" s="109"/>
      <c r="G4" s="109"/>
      <c r="H4" s="110" t="s">
        <v>112</v>
      </c>
      <c r="I4" s="110"/>
    </row>
    <row r="5" spans="1:10" ht="19.95" customHeight="1">
      <c r="A5" s="204" t="s">
        <v>72</v>
      </c>
      <c r="B5" s="204"/>
    </row>
    <row r="6" spans="1:10" ht="19.95" customHeight="1">
      <c r="A6" s="199" t="s">
        <v>81</v>
      </c>
      <c r="B6" s="200"/>
      <c r="C6" s="200"/>
      <c r="D6" s="200"/>
      <c r="E6" s="200"/>
      <c r="F6" s="200"/>
      <c r="G6" s="200"/>
      <c r="H6" s="200"/>
      <c r="I6" s="200"/>
    </row>
    <row r="7" spans="1:10" s="62" customFormat="1" ht="19.95" customHeight="1">
      <c r="A7" s="114" t="s">
        <v>113</v>
      </c>
      <c r="B7" s="115"/>
      <c r="C7" s="116"/>
      <c r="D7" s="118"/>
      <c r="E7" s="118"/>
      <c r="F7" s="118"/>
      <c r="G7" s="118"/>
      <c r="H7" s="118"/>
      <c r="I7" s="118"/>
    </row>
    <row r="8" spans="1:10" s="62" customFormat="1" ht="19.95" customHeight="1">
      <c r="A8" s="205" t="s">
        <v>114</v>
      </c>
      <c r="B8" s="205"/>
      <c r="C8" s="205"/>
      <c r="D8" s="205"/>
      <c r="E8" s="205"/>
      <c r="F8" s="205"/>
      <c r="G8" s="213" t="s">
        <v>73</v>
      </c>
      <c r="H8" s="213"/>
      <c r="I8" s="213"/>
    </row>
    <row r="9" spans="1:10" s="62" customFormat="1" ht="19.95" customHeight="1">
      <c r="A9" s="212" t="s">
        <v>200</v>
      </c>
      <c r="B9" s="212"/>
      <c r="C9" s="212"/>
      <c r="D9" s="212"/>
      <c r="E9" s="212"/>
      <c r="F9" s="212"/>
      <c r="G9" s="214" t="s">
        <v>74</v>
      </c>
      <c r="H9" s="214"/>
      <c r="I9" s="214"/>
    </row>
    <row r="10" spans="1:10" s="62" customFormat="1" ht="19.95" customHeight="1">
      <c r="A10" s="212" t="s">
        <v>169</v>
      </c>
      <c r="B10" s="212"/>
      <c r="C10" s="212"/>
      <c r="D10" s="212"/>
      <c r="E10" s="212"/>
      <c r="F10" s="212"/>
      <c r="G10" s="214" t="s">
        <v>215</v>
      </c>
      <c r="H10" s="214"/>
      <c r="I10" s="214"/>
    </row>
    <row r="11" spans="1:10" s="62" customFormat="1" ht="19.95" customHeight="1">
      <c r="A11" s="212" t="s">
        <v>170</v>
      </c>
      <c r="B11" s="212"/>
      <c r="C11" s="212"/>
      <c r="D11" s="212"/>
      <c r="E11" s="212"/>
      <c r="F11" s="212"/>
      <c r="G11" s="214" t="s">
        <v>216</v>
      </c>
      <c r="H11" s="214"/>
      <c r="I11" s="214"/>
    </row>
    <row r="12" spans="1:10" s="62" customFormat="1" ht="19.95" customHeight="1">
      <c r="A12" s="212" t="s">
        <v>219</v>
      </c>
      <c r="B12" s="212"/>
      <c r="C12" s="212"/>
      <c r="D12" s="212"/>
      <c r="E12" s="212"/>
      <c r="F12" s="212"/>
      <c r="G12" s="214" t="s">
        <v>217</v>
      </c>
      <c r="H12" s="214"/>
      <c r="I12" s="214"/>
    </row>
    <row r="13" spans="1:10" s="62" customFormat="1" ht="19.95" customHeight="1">
      <c r="A13" s="212" t="s">
        <v>220</v>
      </c>
      <c r="B13" s="212"/>
      <c r="C13" s="212"/>
      <c r="D13" s="212"/>
      <c r="E13" s="212"/>
      <c r="F13" s="212"/>
      <c r="G13" s="214" t="s">
        <v>218</v>
      </c>
      <c r="H13" s="214"/>
      <c r="I13" s="214"/>
    </row>
    <row r="14" spans="1:10" s="62" customFormat="1" ht="19.95" customHeight="1">
      <c r="A14" s="204" t="s">
        <v>75</v>
      </c>
      <c r="B14" s="204"/>
      <c r="C14" s="64"/>
    </row>
    <row r="15" spans="1:10" s="62" customFormat="1" ht="19.95" customHeight="1">
      <c r="A15" s="207" t="s">
        <v>115</v>
      </c>
      <c r="B15" s="208" t="s">
        <v>227</v>
      </c>
      <c r="C15" s="209" t="s">
        <v>117</v>
      </c>
      <c r="D15" s="210" t="s">
        <v>116</v>
      </c>
      <c r="E15" s="211"/>
      <c r="F15" s="211"/>
      <c r="G15" s="211"/>
      <c r="H15" s="211"/>
      <c r="I15" s="206" t="s">
        <v>158</v>
      </c>
    </row>
    <row r="16" spans="1:10" s="62" customFormat="1" ht="19.95" customHeight="1">
      <c r="A16" s="207"/>
      <c r="B16" s="208"/>
      <c r="C16" s="209"/>
      <c r="D16" s="158" t="s">
        <v>118</v>
      </c>
      <c r="E16" s="158" t="s">
        <v>119</v>
      </c>
      <c r="F16" s="158" t="s">
        <v>120</v>
      </c>
      <c r="G16" s="158" t="s">
        <v>121</v>
      </c>
      <c r="H16" s="158" t="s">
        <v>133</v>
      </c>
      <c r="I16" s="206"/>
      <c r="J16" s="191" t="s">
        <v>226</v>
      </c>
    </row>
    <row r="17" spans="1:10" ht="45.6" customHeight="1">
      <c r="A17" s="156" t="s">
        <v>122</v>
      </c>
      <c r="B17" s="120" t="s">
        <v>171</v>
      </c>
      <c r="C17" s="119" t="s">
        <v>124</v>
      </c>
      <c r="D17" s="117" t="s">
        <v>125</v>
      </c>
      <c r="E17" s="117" t="s">
        <v>125</v>
      </c>
      <c r="F17" s="127" t="s">
        <v>125</v>
      </c>
      <c r="G17" s="113"/>
      <c r="H17" s="113"/>
      <c r="I17" s="121" t="s">
        <v>207</v>
      </c>
    </row>
    <row r="18" spans="1:10" s="66" customFormat="1" ht="49.8" customHeight="1">
      <c r="A18" s="156" t="s">
        <v>78</v>
      </c>
      <c r="B18" s="122" t="s">
        <v>129</v>
      </c>
      <c r="C18" s="119" t="s">
        <v>123</v>
      </c>
      <c r="D18" s="113"/>
      <c r="E18" s="127" t="s">
        <v>125</v>
      </c>
      <c r="F18" s="117" t="s">
        <v>125</v>
      </c>
      <c r="G18" s="113"/>
      <c r="H18" s="113"/>
      <c r="I18" s="188" t="s">
        <v>77</v>
      </c>
      <c r="J18" s="142" t="s">
        <v>155</v>
      </c>
    </row>
    <row r="19" spans="1:10" ht="33.6" customHeight="1">
      <c r="A19" s="156" t="s">
        <v>79</v>
      </c>
      <c r="B19" s="120" t="s">
        <v>172</v>
      </c>
      <c r="C19" s="119" t="s">
        <v>126</v>
      </c>
      <c r="D19" s="112"/>
      <c r="E19" s="112"/>
      <c r="F19" s="112"/>
      <c r="G19" s="117" t="s">
        <v>125</v>
      </c>
      <c r="H19" s="113"/>
      <c r="I19" s="121"/>
      <c r="J19" s="142" t="s">
        <v>156</v>
      </c>
    </row>
    <row r="20" spans="1:10" ht="34.799999999999997" customHeight="1">
      <c r="A20" s="156" t="s">
        <v>82</v>
      </c>
      <c r="B20" s="122" t="s">
        <v>130</v>
      </c>
      <c r="C20" s="123" t="s">
        <v>131</v>
      </c>
      <c r="D20" s="125" t="s">
        <v>125</v>
      </c>
      <c r="E20" s="125" t="s">
        <v>132</v>
      </c>
      <c r="F20" s="125" t="s">
        <v>125</v>
      </c>
      <c r="G20" s="125"/>
      <c r="H20" s="124"/>
      <c r="I20" s="121" t="s">
        <v>207</v>
      </c>
    </row>
    <row r="21" spans="1:10" ht="40.200000000000003" customHeight="1">
      <c r="A21" s="156" t="s">
        <v>83</v>
      </c>
      <c r="B21" s="122" t="s">
        <v>173</v>
      </c>
      <c r="C21" s="119" t="s">
        <v>127</v>
      </c>
      <c r="D21" s="127" t="s">
        <v>125</v>
      </c>
      <c r="E21" s="128" t="s">
        <v>136</v>
      </c>
      <c r="F21" s="127" t="s">
        <v>125</v>
      </c>
      <c r="G21" s="117" t="s">
        <v>137</v>
      </c>
      <c r="H21" s="113"/>
      <c r="I21" s="121" t="s">
        <v>208</v>
      </c>
    </row>
    <row r="22" spans="1:10" ht="40.200000000000003" customHeight="1">
      <c r="A22" s="156" t="s">
        <v>84</v>
      </c>
      <c r="B22" s="122" t="s">
        <v>174</v>
      </c>
      <c r="C22" s="119" t="s">
        <v>76</v>
      </c>
      <c r="D22" s="127" t="s">
        <v>125</v>
      </c>
      <c r="E22" s="128"/>
      <c r="F22" s="127" t="s">
        <v>125</v>
      </c>
      <c r="G22" s="117" t="s">
        <v>137</v>
      </c>
      <c r="H22" s="113"/>
      <c r="I22" s="121" t="s">
        <v>206</v>
      </c>
      <c r="J22" s="157"/>
    </row>
    <row r="23" spans="1:10" ht="35.4" customHeight="1">
      <c r="A23" s="156" t="s">
        <v>175</v>
      </c>
      <c r="B23" s="133" t="s">
        <v>141</v>
      </c>
      <c r="C23" s="125" t="s">
        <v>178</v>
      </c>
      <c r="D23" s="117"/>
      <c r="E23" s="117"/>
      <c r="F23" s="117"/>
      <c r="G23" s="117"/>
      <c r="H23" s="134"/>
      <c r="I23" s="121"/>
    </row>
    <row r="24" spans="1:10" ht="31.2" customHeight="1">
      <c r="A24" s="156" t="s">
        <v>176</v>
      </c>
      <c r="B24" s="65" t="s">
        <v>177</v>
      </c>
      <c r="C24" s="119" t="s">
        <v>128</v>
      </c>
      <c r="D24" s="113"/>
      <c r="E24" s="113"/>
      <c r="F24" s="113"/>
      <c r="G24" s="113"/>
      <c r="H24" s="117" t="s">
        <v>142</v>
      </c>
      <c r="I24" s="143" t="s">
        <v>157</v>
      </c>
    </row>
  </sheetData>
  <mergeCells count="22">
    <mergeCell ref="A13:F13"/>
    <mergeCell ref="G8:I8"/>
    <mergeCell ref="G9:I9"/>
    <mergeCell ref="G10:I10"/>
    <mergeCell ref="G11:I11"/>
    <mergeCell ref="G12:I12"/>
    <mergeCell ref="G13:I13"/>
    <mergeCell ref="A9:F9"/>
    <mergeCell ref="A10:F10"/>
    <mergeCell ref="A11:F11"/>
    <mergeCell ref="A12:F12"/>
    <mergeCell ref="I15:I16"/>
    <mergeCell ref="A15:A16"/>
    <mergeCell ref="B15:B16"/>
    <mergeCell ref="C15:C16"/>
    <mergeCell ref="A14:B14"/>
    <mergeCell ref="D15:H15"/>
    <mergeCell ref="A6:I6"/>
    <mergeCell ref="A1:I1"/>
    <mergeCell ref="A2:I2"/>
    <mergeCell ref="A5:B5"/>
    <mergeCell ref="A8:F8"/>
  </mergeCells>
  <phoneticPr fontId="12" type="noConversion"/>
  <hyperlinks>
    <hyperlink ref="I3" location="底稿目录!A1" display="底稿目录!A1"/>
  </hyperlinks>
  <printOptions horizontalCentered="1"/>
  <pageMargins left="0.51181102362204722" right="0.31496062992125984" top="0.55118110236220474" bottom="0.35433070866141736" header="0.51181102362204722" footer="0.19685039370078741"/>
  <pageSetup paperSize="9" scale="73"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5"/>
  <sheetViews>
    <sheetView view="pageBreakPreview" zoomScaleSheetLayoutView="100" workbookViewId="0">
      <selection sqref="A1:K1"/>
    </sheetView>
  </sheetViews>
  <sheetFormatPr defaultColWidth="9" defaultRowHeight="13.8"/>
  <cols>
    <col min="1" max="1" width="29.69921875" style="4" customWidth="1"/>
    <col min="2" max="2" width="15.5" style="4" customWidth="1"/>
    <col min="3" max="3" width="13.09765625" style="4" customWidth="1"/>
    <col min="4" max="4" width="11" style="4" customWidth="1"/>
    <col min="5" max="5" width="11.796875" style="4" customWidth="1"/>
    <col min="6" max="6" width="8.59765625" style="4" customWidth="1"/>
    <col min="7" max="10" width="14.69921875" style="4" customWidth="1"/>
    <col min="11" max="11" width="13.69921875" style="4" customWidth="1"/>
    <col min="12" max="16384" width="9" style="4"/>
  </cols>
  <sheetData>
    <row r="1" spans="1:11" s="26" customFormat="1" ht="19.95" customHeight="1">
      <c r="A1" s="216" t="s">
        <v>105</v>
      </c>
      <c r="B1" s="216"/>
      <c r="C1" s="216"/>
      <c r="D1" s="216"/>
      <c r="E1" s="216"/>
      <c r="F1" s="216"/>
      <c r="G1" s="216"/>
      <c r="H1" s="216"/>
      <c r="I1" s="216"/>
      <c r="J1" s="216"/>
      <c r="K1" s="216"/>
    </row>
    <row r="2" spans="1:11" s="2" customFormat="1" ht="19.95" customHeight="1">
      <c r="A2" s="217" t="s">
        <v>71</v>
      </c>
      <c r="B2" s="218"/>
      <c r="C2" s="218"/>
      <c r="D2" s="218"/>
      <c r="E2" s="218"/>
      <c r="F2" s="218"/>
      <c r="G2" s="218"/>
      <c r="H2" s="218"/>
      <c r="I2" s="218"/>
      <c r="J2" s="218"/>
      <c r="K2" s="218"/>
    </row>
    <row r="3" spans="1:11" ht="19.95" customHeight="1">
      <c r="A3" s="3" t="str">
        <f>底稿目录!A2</f>
        <v>被审计单位：</v>
      </c>
      <c r="C3" s="3" t="str">
        <f>底稿目录!A4</f>
        <v>编制人：</v>
      </c>
      <c r="H3" s="3" t="str">
        <f>底稿目录!A5</f>
        <v>编制日期：</v>
      </c>
      <c r="I3" s="3"/>
      <c r="J3" s="90" t="s">
        <v>103</v>
      </c>
      <c r="K3" s="178" t="str">
        <f>底稿目录!F5</f>
        <v>K12-1</v>
      </c>
    </row>
    <row r="4" spans="1:11" ht="19.95" customHeight="1">
      <c r="A4" s="3" t="str">
        <f>底稿目录!A3</f>
        <v>会计期间：202X年度</v>
      </c>
      <c r="C4" s="3" t="str">
        <f>底稿目录!A6</f>
        <v>复核人：</v>
      </c>
      <c r="H4" s="3" t="str">
        <f>底稿目录!A7</f>
        <v>复核日期：</v>
      </c>
      <c r="I4" s="3"/>
      <c r="J4" s="90" t="s">
        <v>29</v>
      </c>
    </row>
    <row r="5" spans="1:11" ht="19.95" customHeight="1">
      <c r="A5" s="40" t="s">
        <v>60</v>
      </c>
      <c r="B5" s="29" t="s">
        <v>47</v>
      </c>
      <c r="C5" s="40" t="s">
        <v>61</v>
      </c>
      <c r="D5" s="40" t="s">
        <v>62</v>
      </c>
      <c r="E5" s="29" t="s">
        <v>68</v>
      </c>
      <c r="F5" s="40" t="s">
        <v>63</v>
      </c>
      <c r="G5" s="29" t="s">
        <v>69</v>
      </c>
      <c r="H5" s="40" t="s">
        <v>61</v>
      </c>
      <c r="I5" s="40" t="s">
        <v>62</v>
      </c>
      <c r="J5" s="29" t="s">
        <v>70</v>
      </c>
      <c r="K5" s="40" t="s">
        <v>64</v>
      </c>
    </row>
    <row r="6" spans="1:11" ht="19.95" customHeight="1">
      <c r="A6" s="195" t="str">
        <f>'明细表K12-2'!A9</f>
        <v>与日常活动无关的政府补助</v>
      </c>
      <c r="B6" s="91">
        <f>'明细表K12-2'!N9</f>
        <v>0</v>
      </c>
      <c r="C6" s="91">
        <f>'明细表K12-2'!O9</f>
        <v>0</v>
      </c>
      <c r="D6" s="91">
        <f>'明细表K12-2'!P9</f>
        <v>0</v>
      </c>
      <c r="E6" s="91">
        <f>B6+C6+D6</f>
        <v>0</v>
      </c>
      <c r="F6" s="5"/>
      <c r="G6" s="91">
        <f>'明细表K12-2'!U9</f>
        <v>0</v>
      </c>
      <c r="H6" s="91">
        <f>'明细表K12-2'!V9</f>
        <v>0</v>
      </c>
      <c r="I6" s="91">
        <f>'明细表K12-2'!W9</f>
        <v>0</v>
      </c>
      <c r="J6" s="92">
        <f>G6+H6+I6</f>
        <v>0</v>
      </c>
      <c r="K6" s="5"/>
    </row>
    <row r="7" spans="1:11" ht="26.4" customHeight="1">
      <c r="A7" s="195" t="str">
        <f>'明细表K12-2'!A10</f>
        <v>捐赠利得</v>
      </c>
      <c r="B7" s="91">
        <f>'明细表K12-2'!N10</f>
        <v>0</v>
      </c>
      <c r="C7" s="91">
        <f>'明细表K12-2'!O10</f>
        <v>0</v>
      </c>
      <c r="D7" s="91">
        <f>'明细表K12-2'!P10</f>
        <v>0</v>
      </c>
      <c r="E7" s="91">
        <f t="shared" ref="E7:E10" si="0">B7+C7+D7</f>
        <v>0</v>
      </c>
      <c r="F7" s="5"/>
      <c r="G7" s="91">
        <f>'明细表K12-2'!U10</f>
        <v>0</v>
      </c>
      <c r="H7" s="91">
        <f>'明细表K12-2'!V10</f>
        <v>0</v>
      </c>
      <c r="I7" s="91">
        <f>'明细表K12-2'!W10</f>
        <v>0</v>
      </c>
      <c r="J7" s="92">
        <f t="shared" ref="J7:J12" si="1">G7+H7+I7</f>
        <v>0</v>
      </c>
      <c r="K7" s="5"/>
    </row>
    <row r="8" spans="1:11" ht="26.4" customHeight="1">
      <c r="A8" s="195" t="str">
        <f>'明细表K12-2'!A11</f>
        <v>盘盈利得（不包括存货盘盈及固定资产盘盈）</v>
      </c>
      <c r="B8" s="91">
        <f>'明细表K12-2'!N11</f>
        <v>0</v>
      </c>
      <c r="C8" s="91">
        <f>'明细表K12-2'!O11</f>
        <v>0</v>
      </c>
      <c r="D8" s="91">
        <f>'明细表K12-2'!P11</f>
        <v>0</v>
      </c>
      <c r="E8" s="91">
        <f t="shared" si="0"/>
        <v>0</v>
      </c>
      <c r="F8" s="5"/>
      <c r="G8" s="91">
        <f>'明细表K12-2'!U11</f>
        <v>0</v>
      </c>
      <c r="H8" s="91">
        <f>'明细表K12-2'!V11</f>
        <v>0</v>
      </c>
      <c r="I8" s="91">
        <f>'明细表K12-2'!W11</f>
        <v>0</v>
      </c>
      <c r="J8" s="92">
        <f t="shared" si="1"/>
        <v>0</v>
      </c>
      <c r="K8" s="5"/>
    </row>
    <row r="9" spans="1:11" ht="19.95" customHeight="1">
      <c r="A9" s="195" t="str">
        <f>'明细表K12-2'!A12</f>
        <v>碳排放配额出售利得</v>
      </c>
      <c r="B9" s="91">
        <f>'明细表K12-2'!N12</f>
        <v>0</v>
      </c>
      <c r="C9" s="91">
        <f>'明细表K12-2'!O12</f>
        <v>0</v>
      </c>
      <c r="D9" s="91">
        <f>'明细表K12-2'!P12</f>
        <v>0</v>
      </c>
      <c r="E9" s="91">
        <f t="shared" ref="E9" si="2">B9+C9+D9</f>
        <v>0</v>
      </c>
      <c r="F9" s="5"/>
      <c r="G9" s="91">
        <f>'明细表K12-2'!U12</f>
        <v>0</v>
      </c>
      <c r="H9" s="91">
        <f>'明细表K12-2'!V12</f>
        <v>0</v>
      </c>
      <c r="I9" s="91">
        <f>'明细表K12-2'!W12</f>
        <v>0</v>
      </c>
      <c r="J9" s="92">
        <f t="shared" ref="J9:J10" si="3">G9+H9+I9</f>
        <v>0</v>
      </c>
      <c r="K9" s="5"/>
    </row>
    <row r="10" spans="1:11" ht="19.95" customHeight="1">
      <c r="A10" s="195" t="str">
        <f>'明细表K12-2'!A13</f>
        <v>其他</v>
      </c>
      <c r="B10" s="91">
        <f>'明细表K12-2'!N13</f>
        <v>0</v>
      </c>
      <c r="C10" s="91">
        <f>'明细表K12-2'!O13</f>
        <v>0</v>
      </c>
      <c r="D10" s="91">
        <f>'明细表K12-2'!P13</f>
        <v>0</v>
      </c>
      <c r="E10" s="91">
        <f t="shared" si="0"/>
        <v>0</v>
      </c>
      <c r="F10" s="6"/>
      <c r="G10" s="91">
        <f>'明细表K12-2'!U13</f>
        <v>0</v>
      </c>
      <c r="H10" s="91">
        <f>'明细表K12-2'!V13</f>
        <v>0</v>
      </c>
      <c r="I10" s="91">
        <f>'明细表K12-2'!W13</f>
        <v>0</v>
      </c>
      <c r="J10" s="92">
        <f t="shared" si="3"/>
        <v>0</v>
      </c>
      <c r="K10" s="5"/>
    </row>
    <row r="11" spans="1:11" ht="19.95" customHeight="1">
      <c r="A11" s="195" t="str">
        <f>'明细表K12-2'!A14</f>
        <v>……</v>
      </c>
      <c r="B11" s="91">
        <f>'明细表K12-2'!N14</f>
        <v>0</v>
      </c>
      <c r="C11" s="91">
        <f>'明细表K12-2'!O14</f>
        <v>0</v>
      </c>
      <c r="D11" s="91">
        <f>'明细表K12-2'!P14</f>
        <v>0</v>
      </c>
      <c r="E11" s="91">
        <f t="shared" ref="E11:E12" si="4">B11+C11+D11</f>
        <v>0</v>
      </c>
      <c r="F11" s="6"/>
      <c r="G11" s="91">
        <f>'明细表K12-2'!U14</f>
        <v>0</v>
      </c>
      <c r="H11" s="91">
        <f>'明细表K12-2'!V14</f>
        <v>0</v>
      </c>
      <c r="I11" s="91">
        <f>'明细表K12-2'!W14</f>
        <v>0</v>
      </c>
      <c r="J11" s="92">
        <f t="shared" si="1"/>
        <v>0</v>
      </c>
      <c r="K11" s="5"/>
    </row>
    <row r="12" spans="1:11" ht="19.95" customHeight="1">
      <c r="A12" s="195">
        <f>'明细表K12-2'!A15</f>
        <v>0</v>
      </c>
      <c r="B12" s="91">
        <f>'明细表K12-2'!N15</f>
        <v>0</v>
      </c>
      <c r="C12" s="91">
        <f>'明细表K12-2'!O15</f>
        <v>0</v>
      </c>
      <c r="D12" s="91">
        <f>'明细表K12-2'!P15</f>
        <v>0</v>
      </c>
      <c r="E12" s="91">
        <f t="shared" si="4"/>
        <v>0</v>
      </c>
      <c r="F12" s="5"/>
      <c r="G12" s="91">
        <f>'明细表K12-2'!U15</f>
        <v>0</v>
      </c>
      <c r="H12" s="91">
        <f>'明细表K12-2'!V15</f>
        <v>0</v>
      </c>
      <c r="I12" s="91">
        <f>'明细表K12-2'!W15</f>
        <v>0</v>
      </c>
      <c r="J12" s="92">
        <f t="shared" si="1"/>
        <v>0</v>
      </c>
      <c r="K12" s="5"/>
    </row>
    <row r="13" spans="1:11" s="7" customFormat="1" ht="19.95" customHeight="1">
      <c r="A13" s="48" t="s">
        <v>40</v>
      </c>
      <c r="B13" s="92">
        <f>SUM(B6:B12)</f>
        <v>0</v>
      </c>
      <c r="C13" s="92">
        <f>SUM(C6:C12)</f>
        <v>0</v>
      </c>
      <c r="D13" s="92">
        <f t="shared" ref="D13" si="5">SUM(D6:D12)</f>
        <v>0</v>
      </c>
      <c r="E13" s="92">
        <f>SUM(E6:E12)</f>
        <v>0</v>
      </c>
      <c r="F13" s="5"/>
      <c r="G13" s="92">
        <f>SUM(G6:G12)</f>
        <v>0</v>
      </c>
      <c r="H13" s="92">
        <f t="shared" ref="H13" si="6">SUM(H6:H12)</f>
        <v>0</v>
      </c>
      <c r="I13" s="92">
        <f t="shared" ref="I13" si="7">SUM(I6:I12)</f>
        <v>0</v>
      </c>
      <c r="J13" s="92">
        <f t="shared" ref="J13" si="8">SUM(J6:J12)</f>
        <v>0</v>
      </c>
      <c r="K13" s="5"/>
    </row>
    <row r="14" spans="1:11" ht="19.95" customHeight="1">
      <c r="A14" s="68" t="s">
        <v>85</v>
      </c>
      <c r="B14" s="69"/>
      <c r="C14" s="69"/>
      <c r="D14" s="69"/>
      <c r="E14" s="160"/>
      <c r="F14" s="69"/>
      <c r="G14" s="69"/>
      <c r="H14" s="69"/>
      <c r="I14" s="69"/>
      <c r="J14" s="160"/>
    </row>
    <row r="15" spans="1:11" ht="19.95" customHeight="1">
      <c r="A15" s="68" t="s">
        <v>86</v>
      </c>
      <c r="B15" s="69"/>
      <c r="C15" s="69"/>
      <c r="D15" s="69"/>
      <c r="E15" s="93">
        <f>E13-E14</f>
        <v>0</v>
      </c>
      <c r="F15" s="69"/>
      <c r="G15" s="69"/>
      <c r="H15" s="69"/>
      <c r="I15" s="69"/>
      <c r="J15" s="93">
        <f>J13-J14</f>
        <v>0</v>
      </c>
    </row>
    <row r="16" spans="1:11" ht="19.95" customHeight="1">
      <c r="A16" s="159" t="s">
        <v>179</v>
      </c>
    </row>
    <row r="17" spans="1:11" ht="19.95" customHeight="1"/>
    <row r="18" spans="1:11" ht="19.95" customHeight="1"/>
    <row r="19" spans="1:11" ht="19.95" customHeight="1">
      <c r="A19" s="159" t="s">
        <v>180</v>
      </c>
      <c r="B19" s="150"/>
      <c r="C19" s="150"/>
      <c r="D19" s="150"/>
      <c r="E19" s="150"/>
      <c r="F19" s="150"/>
      <c r="G19" s="150"/>
      <c r="H19" s="150"/>
      <c r="I19" s="150"/>
      <c r="J19" s="150"/>
      <c r="K19" s="150"/>
    </row>
    <row r="20" spans="1:11" ht="19.95" customHeight="1">
      <c r="A20" s="150"/>
      <c r="B20" s="150"/>
      <c r="C20" s="150"/>
      <c r="D20" s="150"/>
      <c r="E20" s="150"/>
      <c r="F20" s="150"/>
      <c r="G20" s="150"/>
      <c r="H20" s="150"/>
      <c r="I20" s="150"/>
      <c r="J20" s="150"/>
      <c r="K20" s="150"/>
    </row>
    <row r="21" spans="1:11" ht="22.8" customHeight="1">
      <c r="A21" s="161" t="s">
        <v>181</v>
      </c>
      <c r="B21" s="150"/>
      <c r="C21" s="150"/>
      <c r="D21" s="150"/>
      <c r="E21" s="150"/>
      <c r="F21" s="150"/>
      <c r="G21" s="150"/>
      <c r="H21" s="150"/>
      <c r="I21" s="150"/>
      <c r="J21" s="150"/>
      <c r="K21" s="150"/>
    </row>
    <row r="22" spans="1:11" ht="38.4" customHeight="1">
      <c r="A22" s="219" t="s">
        <v>182</v>
      </c>
      <c r="B22" s="220"/>
      <c r="C22" s="220"/>
      <c r="D22" s="220"/>
      <c r="E22" s="220"/>
      <c r="F22" s="220"/>
      <c r="G22" s="220"/>
      <c r="H22" s="220"/>
      <c r="I22" s="220"/>
      <c r="J22" s="220"/>
      <c r="K22" s="220"/>
    </row>
    <row r="23" spans="1:11">
      <c r="A23" s="215"/>
      <c r="B23" s="215"/>
      <c r="C23" s="215"/>
      <c r="D23" s="215"/>
      <c r="E23" s="215"/>
      <c r="F23" s="215"/>
      <c r="G23" s="215"/>
      <c r="H23" s="215"/>
      <c r="I23" s="215"/>
      <c r="J23" s="215"/>
      <c r="K23" s="215"/>
    </row>
    <row r="24" spans="1:11">
      <c r="A24" s="215"/>
      <c r="B24" s="215"/>
      <c r="C24" s="215"/>
      <c r="D24" s="215"/>
      <c r="E24" s="215"/>
      <c r="F24" s="215"/>
      <c r="G24" s="215"/>
      <c r="H24" s="215"/>
      <c r="I24" s="215"/>
      <c r="J24" s="215"/>
      <c r="K24" s="215"/>
    </row>
    <row r="25" spans="1:11">
      <c r="A25" s="215"/>
      <c r="B25" s="215"/>
      <c r="C25" s="215"/>
      <c r="D25" s="215"/>
      <c r="E25" s="215"/>
      <c r="F25" s="215"/>
      <c r="G25" s="215"/>
      <c r="H25" s="215"/>
      <c r="I25" s="215"/>
      <c r="J25" s="215"/>
      <c r="K25" s="215"/>
    </row>
  </sheetData>
  <mergeCells count="4">
    <mergeCell ref="A23:K25"/>
    <mergeCell ref="A1:K1"/>
    <mergeCell ref="A2:K2"/>
    <mergeCell ref="A22:K22"/>
  </mergeCells>
  <phoneticPr fontId="12" type="noConversion"/>
  <hyperlinks>
    <hyperlink ref="K3" location="底稿目录!A1" display="底稿目录!A1"/>
  </hyperlinks>
  <printOptions horizontalCentered="1"/>
  <pageMargins left="0.55118110236220474" right="0.39370078740157483" top="0.62992125984251968" bottom="0.43307086614173229" header="0.51181102362204722" footer="0.31496062992125984"/>
  <pageSetup paperSize="9" scale="79"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42"/>
  <sheetViews>
    <sheetView view="pageBreakPreview" topLeftCell="A4" zoomScaleSheetLayoutView="100" workbookViewId="0">
      <selection activeCell="B8" sqref="B8"/>
    </sheetView>
  </sheetViews>
  <sheetFormatPr defaultColWidth="9" defaultRowHeight="13.8"/>
  <cols>
    <col min="1" max="1" width="36.5" style="11" customWidth="1"/>
    <col min="2" max="2" width="18.3984375" style="11" customWidth="1"/>
    <col min="3" max="3" width="21.59765625" style="11" customWidth="1"/>
    <col min="4" max="4" width="26.5" style="11" customWidth="1"/>
    <col min="5" max="5" width="10.59765625" style="11" customWidth="1"/>
    <col min="6" max="16384" width="9" style="11"/>
  </cols>
  <sheetData>
    <row r="1" spans="1:17" s="26" customFormat="1" ht="19.95" customHeight="1">
      <c r="A1" s="221" t="s">
        <v>104</v>
      </c>
      <c r="B1" s="222"/>
      <c r="C1" s="222"/>
      <c r="D1" s="222"/>
      <c r="E1" s="222"/>
      <c r="F1" s="28"/>
      <c r="G1" s="28"/>
      <c r="H1" s="28"/>
      <c r="I1" s="28"/>
      <c r="J1" s="28"/>
      <c r="K1" s="28"/>
      <c r="L1" s="28"/>
      <c r="M1" s="28"/>
      <c r="N1" s="28"/>
      <c r="O1" s="28"/>
      <c r="P1" s="28"/>
      <c r="Q1" s="28"/>
    </row>
    <row r="2" spans="1:17" s="2" customFormat="1" ht="19.95" customHeight="1">
      <c r="A2" s="223" t="s">
        <v>160</v>
      </c>
      <c r="B2" s="223"/>
      <c r="C2" s="223"/>
      <c r="D2" s="223"/>
      <c r="E2" s="223"/>
      <c r="F2" s="43"/>
      <c r="G2" s="43"/>
      <c r="H2" s="43"/>
      <c r="I2" s="43"/>
      <c r="J2" s="43"/>
      <c r="K2" s="222"/>
      <c r="L2" s="222"/>
      <c r="M2" s="222"/>
      <c r="N2" s="222"/>
      <c r="O2" s="222"/>
      <c r="P2" s="222"/>
      <c r="Q2" s="222"/>
    </row>
    <row r="3" spans="1:17" ht="19.95" customHeight="1">
      <c r="A3" s="10" t="str">
        <f>底稿目录!A2</f>
        <v>被审计单位：</v>
      </c>
      <c r="B3" s="10" t="str">
        <f>底稿目录!A4</f>
        <v>编制人：</v>
      </c>
      <c r="C3" s="10" t="str">
        <f>底稿目录!A5</f>
        <v>编制日期：</v>
      </c>
      <c r="D3" s="94" t="s">
        <v>106</v>
      </c>
      <c r="E3" s="30">
        <f>底稿目录!F6</f>
        <v>0</v>
      </c>
      <c r="O3" s="10"/>
      <c r="P3" s="10"/>
      <c r="Q3" s="10"/>
    </row>
    <row r="4" spans="1:17" ht="19.95" customHeight="1">
      <c r="A4" s="10" t="str">
        <f>底稿目录!A3</f>
        <v>会计期间：202X年度</v>
      </c>
      <c r="B4" s="10" t="str">
        <f>底稿目录!A6</f>
        <v>复核人：</v>
      </c>
      <c r="C4" s="10" t="str">
        <f>底稿目录!A7</f>
        <v>复核日期：</v>
      </c>
      <c r="D4" s="95" t="s">
        <v>29</v>
      </c>
      <c r="E4" s="10"/>
      <c r="H4" s="10"/>
      <c r="O4" s="10"/>
      <c r="P4" s="10"/>
      <c r="Q4" s="10"/>
    </row>
    <row r="5" spans="1:17" ht="19.95" customHeight="1">
      <c r="A5" s="17" t="s">
        <v>100</v>
      </c>
    </row>
    <row r="6" spans="1:17" s="81" customFormat="1" ht="19.95" customHeight="1" thickBot="1">
      <c r="A6" s="80" t="s">
        <v>99</v>
      </c>
    </row>
    <row r="7" spans="1:17" s="81" customFormat="1" ht="19.95" customHeight="1" thickBot="1">
      <c r="A7" s="75" t="s">
        <v>57</v>
      </c>
      <c r="B7" s="76" t="s">
        <v>58</v>
      </c>
      <c r="C7" s="76" t="s">
        <v>53</v>
      </c>
      <c r="D7" s="76" t="s">
        <v>59</v>
      </c>
    </row>
    <row r="8" spans="1:17" s="81" customFormat="1" ht="19.95" customHeight="1">
      <c r="A8" s="77" t="str">
        <f>'审定表K12-1'!A6</f>
        <v>与日常活动无关的政府补助</v>
      </c>
      <c r="B8" s="146">
        <f>'审定表K12-1'!E6</f>
        <v>0</v>
      </c>
      <c r="C8" s="78">
        <f>'审定表K12-1'!J6</f>
        <v>0</v>
      </c>
      <c r="D8" s="78">
        <f>'明细表K12-2'!R9</f>
        <v>0</v>
      </c>
    </row>
    <row r="9" spans="1:17" s="81" customFormat="1" ht="19.95" customHeight="1">
      <c r="A9" s="196" t="str">
        <f>'审定表K12-1'!A7</f>
        <v>捐赠利得</v>
      </c>
      <c r="B9" s="78">
        <f>'审定表K12-1'!E7</f>
        <v>0</v>
      </c>
      <c r="C9" s="78">
        <f>'审定表K12-1'!J7</f>
        <v>0</v>
      </c>
      <c r="D9" s="78">
        <f>'明细表K12-2'!R10</f>
        <v>0</v>
      </c>
    </row>
    <row r="10" spans="1:17" s="81" customFormat="1" ht="19.95" customHeight="1">
      <c r="A10" s="77" t="str">
        <f>'审定表K12-1'!A8</f>
        <v>盘盈利得（不包括存货盘盈及固定资产盘盈）</v>
      </c>
      <c r="B10" s="78">
        <f>'审定表K12-1'!E8</f>
        <v>0</v>
      </c>
      <c r="C10" s="78">
        <f>'审定表K12-1'!J8</f>
        <v>0</v>
      </c>
      <c r="D10" s="78">
        <f>'明细表K12-2'!R11</f>
        <v>0</v>
      </c>
    </row>
    <row r="11" spans="1:17" s="81" customFormat="1" ht="19.95" customHeight="1">
      <c r="A11" s="77" t="str">
        <f>'审定表K12-1'!A9</f>
        <v>碳排放配额出售利得</v>
      </c>
      <c r="B11" s="78">
        <f>'审定表K12-1'!E9</f>
        <v>0</v>
      </c>
      <c r="C11" s="78">
        <f>'审定表K12-1'!J9</f>
        <v>0</v>
      </c>
      <c r="D11" s="78">
        <f>'明细表K12-2'!R12</f>
        <v>0</v>
      </c>
    </row>
    <row r="12" spans="1:17" s="81" customFormat="1" ht="19.95" customHeight="1">
      <c r="A12" s="77" t="str">
        <f>'审定表K12-1'!A10</f>
        <v>其他</v>
      </c>
      <c r="B12" s="78">
        <f>'审定表K12-1'!E10</f>
        <v>0</v>
      </c>
      <c r="C12" s="78">
        <f>'审定表K12-1'!J10</f>
        <v>0</v>
      </c>
      <c r="D12" s="78">
        <f>'明细表K12-2'!R13</f>
        <v>0</v>
      </c>
    </row>
    <row r="13" spans="1:17" s="81" customFormat="1" ht="19.95" customHeight="1">
      <c r="A13" s="77" t="str">
        <f>'审定表K12-1'!A11</f>
        <v>……</v>
      </c>
      <c r="B13" s="78">
        <f>'审定表K12-1'!E11</f>
        <v>0</v>
      </c>
      <c r="C13" s="78">
        <f>'审定表K12-1'!J11</f>
        <v>0</v>
      </c>
      <c r="D13" s="78">
        <f>'明细表K12-2'!R14</f>
        <v>0</v>
      </c>
    </row>
    <row r="14" spans="1:17" s="81" customFormat="1" ht="19.95" customHeight="1" thickBot="1">
      <c r="A14" s="77">
        <f>'审定表K12-1'!A12</f>
        <v>0</v>
      </c>
      <c r="B14" s="78">
        <f>'审定表K12-1'!E12</f>
        <v>0</v>
      </c>
      <c r="C14" s="78">
        <f>'审定表K12-1'!J12</f>
        <v>0</v>
      </c>
      <c r="D14" s="78">
        <f>'明细表K12-2'!R15</f>
        <v>0</v>
      </c>
    </row>
    <row r="15" spans="1:17" s="81" customFormat="1" ht="19.95" customHeight="1" thickBot="1">
      <c r="A15" s="75" t="s">
        <v>55</v>
      </c>
      <c r="B15" s="79">
        <f>SUM(B8:B14)</f>
        <v>0</v>
      </c>
      <c r="C15" s="79">
        <f t="shared" ref="C15:D15" si="0">SUM(C8:C14)</f>
        <v>0</v>
      </c>
      <c r="D15" s="79">
        <f t="shared" si="0"/>
        <v>0</v>
      </c>
    </row>
    <row r="16" spans="1:17" s="82" customFormat="1" ht="51.6" customHeight="1">
      <c r="A16" s="224" t="s">
        <v>162</v>
      </c>
      <c r="B16" s="224"/>
      <c r="C16" s="224"/>
      <c r="D16" s="224"/>
    </row>
    <row r="17" spans="1:5" s="82" customFormat="1" ht="51.6" customHeight="1">
      <c r="A17" s="224"/>
      <c r="B17" s="224"/>
      <c r="C17" s="224"/>
      <c r="D17" s="224"/>
    </row>
    <row r="18" spans="1:5" s="82" customFormat="1" ht="19.95" customHeight="1">
      <c r="A18" s="147" t="s">
        <v>164</v>
      </c>
    </row>
    <row r="19" spans="1:5" s="82" customFormat="1" ht="19.95" customHeight="1">
      <c r="A19" s="147" t="s">
        <v>163</v>
      </c>
    </row>
    <row r="20" spans="1:5" s="82" customFormat="1" ht="20.100000000000001" customHeight="1"/>
    <row r="24" spans="1:5" s="44" customFormat="1" ht="15.6">
      <c r="A24" s="11"/>
      <c r="B24" s="11"/>
      <c r="C24" s="11"/>
      <c r="D24" s="11"/>
      <c r="E24" s="11"/>
    </row>
    <row r="25" spans="1:5" s="44" customFormat="1" ht="15.6">
      <c r="A25" s="11"/>
      <c r="B25" s="11"/>
      <c r="C25" s="11"/>
      <c r="D25" s="11"/>
    </row>
    <row r="26" spans="1:5" s="44" customFormat="1" ht="15.6">
      <c r="A26" s="11"/>
      <c r="B26" s="11"/>
      <c r="C26" s="11"/>
      <c r="D26" s="11"/>
    </row>
    <row r="27" spans="1:5" s="44" customFormat="1" ht="15.6">
      <c r="A27" s="11"/>
      <c r="B27" s="11"/>
      <c r="C27" s="11"/>
      <c r="D27" s="11"/>
    </row>
    <row r="28" spans="1:5" s="44" customFormat="1" ht="15.6">
      <c r="A28" s="11"/>
      <c r="B28" s="11"/>
      <c r="C28" s="11"/>
      <c r="D28" s="11"/>
    </row>
    <row r="29" spans="1:5" s="44" customFormat="1" ht="15.6">
      <c r="A29" s="11"/>
      <c r="B29" s="11"/>
      <c r="C29" s="11"/>
      <c r="D29" s="11"/>
    </row>
    <row r="30" spans="1:5" s="44" customFormat="1" ht="15.6">
      <c r="A30" s="11"/>
      <c r="B30" s="11"/>
      <c r="C30" s="11"/>
      <c r="D30" s="11"/>
    </row>
    <row r="31" spans="1:5" s="44" customFormat="1" ht="15.6">
      <c r="A31" s="11"/>
      <c r="B31" s="11"/>
      <c r="C31" s="11"/>
      <c r="D31" s="11"/>
    </row>
    <row r="32" spans="1:5" s="44" customFormat="1" ht="15.6">
      <c r="A32" s="11"/>
      <c r="B32" s="11"/>
      <c r="C32" s="11"/>
      <c r="D32" s="11"/>
    </row>
    <row r="33" spans="1:4" s="44" customFormat="1" ht="15.6">
      <c r="A33" s="11"/>
      <c r="B33" s="11"/>
      <c r="C33" s="11"/>
      <c r="D33" s="11"/>
    </row>
    <row r="34" spans="1:4" s="44" customFormat="1" ht="15.6">
      <c r="A34" s="11"/>
      <c r="B34" s="11"/>
      <c r="C34" s="11"/>
      <c r="D34" s="11"/>
    </row>
    <row r="35" spans="1:4" s="44" customFormat="1" ht="15.6">
      <c r="A35" s="11"/>
      <c r="B35" s="11"/>
      <c r="C35" s="11"/>
      <c r="D35" s="11"/>
    </row>
    <row r="36" spans="1:4" s="44" customFormat="1" ht="40.5" customHeight="1">
      <c r="A36" s="11"/>
      <c r="B36" s="11"/>
      <c r="C36" s="11"/>
      <c r="D36" s="11"/>
    </row>
    <row r="37" spans="1:4" s="44" customFormat="1" ht="15.6">
      <c r="A37" s="11"/>
      <c r="B37" s="11"/>
      <c r="C37" s="11"/>
      <c r="D37" s="11"/>
    </row>
    <row r="38" spans="1:4" s="44" customFormat="1" ht="15.6">
      <c r="A38" s="11"/>
      <c r="B38" s="11"/>
      <c r="C38" s="11"/>
      <c r="D38" s="11"/>
    </row>
    <row r="39" spans="1:4" s="44" customFormat="1" ht="15.6">
      <c r="A39" s="11"/>
      <c r="B39" s="11"/>
      <c r="C39" s="11"/>
      <c r="D39" s="11"/>
    </row>
    <row r="40" spans="1:4" s="44" customFormat="1" ht="15.6">
      <c r="A40" s="11"/>
      <c r="B40" s="11"/>
      <c r="C40" s="11"/>
      <c r="D40" s="11"/>
    </row>
    <row r="41" spans="1:4" s="44" customFormat="1" ht="15.6">
      <c r="A41" s="11"/>
      <c r="B41" s="11"/>
      <c r="C41" s="11"/>
      <c r="D41" s="11"/>
    </row>
    <row r="42" spans="1:4" s="44" customFormat="1" ht="15.6"/>
  </sheetData>
  <mergeCells count="4">
    <mergeCell ref="A1:E1"/>
    <mergeCell ref="A2:E2"/>
    <mergeCell ref="K2:Q2"/>
    <mergeCell ref="A16:D17"/>
  </mergeCells>
  <phoneticPr fontId="12" type="noConversion"/>
  <printOptions horizontalCentered="1"/>
  <pageMargins left="0.70866141732283472" right="0.70866141732283472" top="0.74803149606299213" bottom="0.74803149606299213" header="0.31496062992125984" footer="0.31496062992125984"/>
  <pageSetup paperSize="9" scale="72" fitToHeight="100" orientation="portrait" blackAndWhite="1" cellComments="atEn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29"/>
  <sheetViews>
    <sheetView view="pageBreakPreview" topLeftCell="A13" zoomScaleSheetLayoutView="100" workbookViewId="0">
      <selection activeCell="B21" sqref="B21"/>
    </sheetView>
  </sheetViews>
  <sheetFormatPr defaultColWidth="9" defaultRowHeight="15.6"/>
  <cols>
    <col min="1" max="1" width="24.69921875" style="44" customWidth="1"/>
    <col min="2" max="2" width="15.59765625" style="44" customWidth="1"/>
    <col min="3" max="3" width="21.19921875" style="44" customWidth="1"/>
    <col min="4" max="4" width="14.69921875" style="44" customWidth="1"/>
    <col min="5" max="5" width="4.59765625" style="44" customWidth="1"/>
    <col min="6" max="16384" width="9" style="44"/>
  </cols>
  <sheetData>
    <row r="1" spans="1:5" ht="19.95" customHeight="1">
      <c r="A1" s="216" t="s">
        <v>27</v>
      </c>
      <c r="B1" s="216"/>
      <c r="C1" s="216"/>
      <c r="D1" s="216"/>
      <c r="E1" s="216"/>
    </row>
    <row r="2" spans="1:5" ht="19.95" customHeight="1">
      <c r="A2" s="223" t="s">
        <v>49</v>
      </c>
      <c r="B2" s="223"/>
      <c r="C2" s="223"/>
      <c r="D2" s="223"/>
      <c r="E2" s="223"/>
    </row>
    <row r="3" spans="1:5" ht="19.95" customHeight="1">
      <c r="A3" s="10" t="str">
        <f>底稿目录!A2</f>
        <v>被审计单位：</v>
      </c>
      <c r="B3" s="10" t="str">
        <f>底稿目录!A4</f>
        <v>编制人：</v>
      </c>
      <c r="C3" s="10" t="str">
        <f>底稿目录!A5</f>
        <v>编制日期：</v>
      </c>
      <c r="D3" s="95" t="s">
        <v>107</v>
      </c>
      <c r="E3" s="30">
        <f>底稿目录!F7</f>
        <v>0</v>
      </c>
    </row>
    <row r="4" spans="1:5" ht="19.95" customHeight="1">
      <c r="A4" s="10" t="str">
        <f>底稿目录!A3</f>
        <v>会计期间：202X年度</v>
      </c>
      <c r="B4" s="10" t="str">
        <f>底稿目录!A6</f>
        <v>复核人：</v>
      </c>
      <c r="C4" s="10" t="str">
        <f>底稿目录!A7</f>
        <v>复核日期：</v>
      </c>
      <c r="D4" s="95" t="s">
        <v>50</v>
      </c>
      <c r="E4" s="11"/>
    </row>
    <row r="5" spans="1:5" ht="19.95" customHeight="1">
      <c r="A5" s="47" t="s">
        <v>56</v>
      </c>
      <c r="B5" s="17"/>
    </row>
    <row r="6" spans="1:5" s="81" customFormat="1" ht="19.95" customHeight="1" thickBot="1">
      <c r="A6" s="83" t="s">
        <v>51</v>
      </c>
      <c r="B6" s="83"/>
    </row>
    <row r="7" spans="1:5" s="81" customFormat="1" ht="34.200000000000003" customHeight="1" thickBot="1">
      <c r="A7" s="75" t="s">
        <v>57</v>
      </c>
      <c r="B7" s="76" t="s">
        <v>58</v>
      </c>
      <c r="C7" s="76" t="s">
        <v>53</v>
      </c>
      <c r="D7" s="76" t="s">
        <v>46</v>
      </c>
      <c r="E7" s="96"/>
    </row>
    <row r="8" spans="1:5" s="81" customFormat="1" ht="19.95" customHeight="1">
      <c r="A8" s="77" t="str">
        <f>'审定表K12-1'!A6</f>
        <v>与日常活动无关的政府补助</v>
      </c>
      <c r="B8" s="78">
        <f>'审定表K12-1'!E6</f>
        <v>0</v>
      </c>
      <c r="C8" s="78">
        <f>'审定表K12-1'!J6</f>
        <v>0</v>
      </c>
      <c r="D8" s="78">
        <f>'明细表K12-2'!R9</f>
        <v>0</v>
      </c>
      <c r="E8" s="78"/>
    </row>
    <row r="9" spans="1:5" s="81" customFormat="1" ht="19.95" customHeight="1">
      <c r="A9" s="196" t="str">
        <f>'审定表K12-1'!A7</f>
        <v>捐赠利得</v>
      </c>
      <c r="B9" s="78">
        <f>'审定表K12-1'!E7</f>
        <v>0</v>
      </c>
      <c r="C9" s="78">
        <f>'审定表K12-1'!J7</f>
        <v>0</v>
      </c>
      <c r="D9" s="78">
        <f>'明细表K12-2'!R10</f>
        <v>0</v>
      </c>
      <c r="E9" s="78"/>
    </row>
    <row r="10" spans="1:5" s="81" customFormat="1" ht="19.95" customHeight="1">
      <c r="A10" s="77" t="str">
        <f>'审定表K12-1'!A8</f>
        <v>盘盈利得（不包括存货盘盈及固定资产盘盈）</v>
      </c>
      <c r="B10" s="78">
        <f>'审定表K12-1'!E8</f>
        <v>0</v>
      </c>
      <c r="C10" s="78">
        <f>'审定表K12-1'!J8</f>
        <v>0</v>
      </c>
      <c r="D10" s="78">
        <f>'明细表K12-2'!R11</f>
        <v>0</v>
      </c>
      <c r="E10" s="78"/>
    </row>
    <row r="11" spans="1:5" s="81" customFormat="1" ht="19.95" customHeight="1">
      <c r="A11" s="77" t="str">
        <f>'审定表K12-1'!A9</f>
        <v>碳排放配额出售利得</v>
      </c>
      <c r="B11" s="78">
        <f>'审定表K12-1'!E9</f>
        <v>0</v>
      </c>
      <c r="C11" s="78">
        <f>'审定表K12-1'!J9</f>
        <v>0</v>
      </c>
      <c r="D11" s="78">
        <f>'明细表K12-2'!R12</f>
        <v>0</v>
      </c>
      <c r="E11" s="78"/>
    </row>
    <row r="12" spans="1:5" s="81" customFormat="1" ht="19.95" customHeight="1">
      <c r="A12" s="77" t="str">
        <f>'审定表K12-1'!A10</f>
        <v>其他</v>
      </c>
      <c r="B12" s="78">
        <f>'审定表K12-1'!E10</f>
        <v>0</v>
      </c>
      <c r="C12" s="78">
        <f>'审定表K12-1'!J10</f>
        <v>0</v>
      </c>
      <c r="D12" s="78">
        <f>'明细表K12-2'!R13</f>
        <v>0</v>
      </c>
      <c r="E12" s="78"/>
    </row>
    <row r="13" spans="1:5" s="81" customFormat="1" ht="19.95" customHeight="1">
      <c r="A13" s="77" t="str">
        <f>'审定表K12-1'!A11</f>
        <v>……</v>
      </c>
      <c r="B13" s="78">
        <f>'审定表K12-1'!E11</f>
        <v>0</v>
      </c>
      <c r="C13" s="78">
        <f>'审定表K12-1'!J11</f>
        <v>0</v>
      </c>
      <c r="D13" s="78">
        <f>'明细表K12-2'!R14</f>
        <v>0</v>
      </c>
      <c r="E13" s="78"/>
    </row>
    <row r="14" spans="1:5" s="81" customFormat="1" ht="19.95" customHeight="1" thickBot="1">
      <c r="A14" s="77">
        <f>'审定表K12-1'!A12</f>
        <v>0</v>
      </c>
      <c r="B14" s="78">
        <f>'审定表K12-1'!E12</f>
        <v>0</v>
      </c>
      <c r="C14" s="78">
        <f>'审定表K12-1'!J12</f>
        <v>0</v>
      </c>
      <c r="D14" s="78">
        <f>'明细表K12-2'!R15</f>
        <v>0</v>
      </c>
      <c r="E14" s="78"/>
    </row>
    <row r="15" spans="1:5" s="81" customFormat="1" ht="19.95" customHeight="1" thickBot="1">
      <c r="A15" s="75" t="s">
        <v>55</v>
      </c>
      <c r="B15" s="79">
        <f>SUM(B8:B14)</f>
        <v>0</v>
      </c>
      <c r="C15" s="79">
        <f t="shared" ref="C15:D15" si="0">SUM(C8:C14)</f>
        <v>0</v>
      </c>
      <c r="D15" s="79">
        <f t="shared" si="0"/>
        <v>0</v>
      </c>
      <c r="E15" s="97"/>
    </row>
    <row r="16" spans="1:5" s="81" customFormat="1" ht="19.95" customHeight="1">
      <c r="A16" s="84" t="s">
        <v>98</v>
      </c>
      <c r="B16" s="84"/>
      <c r="C16" s="84"/>
      <c r="D16" s="84"/>
      <c r="E16" s="84"/>
    </row>
    <row r="17" spans="1:5" s="81" customFormat="1" ht="48.6" customHeight="1">
      <c r="A17" s="225" t="s">
        <v>101</v>
      </c>
      <c r="B17" s="225"/>
      <c r="C17" s="225"/>
      <c r="D17" s="225"/>
      <c r="E17" s="89"/>
    </row>
    <row r="18" spans="1:5" s="81" customFormat="1" ht="19.95" customHeight="1" thickBot="1">
      <c r="A18" s="148" t="s">
        <v>102</v>
      </c>
      <c r="B18" s="85"/>
    </row>
    <row r="19" spans="1:5" s="81" customFormat="1" ht="19.95" customHeight="1" thickBot="1">
      <c r="A19" s="86" t="s">
        <v>54</v>
      </c>
      <c r="B19" s="87" t="s">
        <v>52</v>
      </c>
      <c r="C19" s="87" t="s">
        <v>53</v>
      </c>
    </row>
    <row r="20" spans="1:5" s="81" customFormat="1" ht="19.95" customHeight="1">
      <c r="A20" s="77"/>
      <c r="B20" s="78"/>
      <c r="C20" s="78"/>
    </row>
    <row r="21" spans="1:5" s="81" customFormat="1" ht="19.95" customHeight="1">
      <c r="A21" s="77"/>
      <c r="B21" s="78"/>
      <c r="C21" s="78"/>
    </row>
    <row r="22" spans="1:5" s="81" customFormat="1" ht="19.95" customHeight="1">
      <c r="A22" s="77"/>
      <c r="B22" s="78"/>
      <c r="C22" s="78"/>
    </row>
    <row r="23" spans="1:5" s="81" customFormat="1" ht="19.95" customHeight="1">
      <c r="A23" s="77"/>
      <c r="B23" s="78"/>
      <c r="C23" s="78"/>
    </row>
    <row r="24" spans="1:5" s="81" customFormat="1" ht="19.95" customHeight="1">
      <c r="A24" s="77"/>
      <c r="B24" s="78"/>
      <c r="C24" s="78"/>
    </row>
    <row r="25" spans="1:5" s="81" customFormat="1" ht="19.95" customHeight="1">
      <c r="A25" s="77"/>
      <c r="B25" s="78"/>
      <c r="C25" s="78"/>
    </row>
    <row r="26" spans="1:5" s="81" customFormat="1" ht="19.95" customHeight="1">
      <c r="A26" s="77"/>
      <c r="B26" s="78"/>
      <c r="C26" s="78"/>
    </row>
    <row r="27" spans="1:5" s="81" customFormat="1" ht="19.95" customHeight="1">
      <c r="A27" s="77"/>
      <c r="B27" s="78"/>
      <c r="C27" s="78"/>
    </row>
    <row r="28" spans="1:5" s="81" customFormat="1" ht="19.95" customHeight="1" thickBot="1">
      <c r="A28" s="77"/>
      <c r="B28" s="78"/>
      <c r="C28" s="78"/>
    </row>
    <row r="29" spans="1:5" s="81" customFormat="1" ht="19.95" customHeight="1" thickBot="1">
      <c r="A29" s="75" t="s">
        <v>55</v>
      </c>
      <c r="B29" s="88">
        <f>SUM(B20:B28)</f>
        <v>0</v>
      </c>
      <c r="C29" s="88">
        <f>SUM(C20:C28)</f>
        <v>0</v>
      </c>
    </row>
  </sheetData>
  <mergeCells count="3">
    <mergeCell ref="A1:E1"/>
    <mergeCell ref="A2:E2"/>
    <mergeCell ref="A17:D17"/>
  </mergeCells>
  <phoneticPr fontId="12" type="noConversion"/>
  <pageMargins left="0.70866141732283472" right="0.70866141732283472" top="0.74803149606299213" bottom="0.74803149606299213" header="0.31496062992125984" footer="0.31496062992125984"/>
  <pageSetup paperSize="9" scale="98"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Z27"/>
  <sheetViews>
    <sheetView view="pageBreakPreview" zoomScaleSheetLayoutView="100" workbookViewId="0">
      <selection sqref="A1:Z1"/>
    </sheetView>
  </sheetViews>
  <sheetFormatPr defaultColWidth="9" defaultRowHeight="13.8"/>
  <cols>
    <col min="1" max="1" width="19.296875" style="11" customWidth="1"/>
    <col min="2" max="13" width="8.296875" style="11" customWidth="1"/>
    <col min="14" max="17" width="9.69921875" style="11" customWidth="1"/>
    <col min="18" max="18" width="10.69921875" style="11" customWidth="1"/>
    <col min="19" max="19" width="10.09765625" style="11" customWidth="1"/>
    <col min="20" max="20" width="6.69921875" style="11" bestFit="1" customWidth="1"/>
    <col min="21" max="21" width="8" style="11" customWidth="1"/>
    <col min="22" max="22" width="8.8984375" style="11" customWidth="1"/>
    <col min="23" max="23" width="10.296875" style="11" customWidth="1"/>
    <col min="24" max="24" width="8.3984375" style="11" customWidth="1"/>
    <col min="25" max="25" width="6.5" style="32" customWidth="1"/>
    <col min="26" max="26" width="7.296875" style="32" customWidth="1"/>
    <col min="27" max="16384" width="9" style="11"/>
  </cols>
  <sheetData>
    <row r="1" spans="1:26" s="26" customFormat="1" ht="19.95" customHeight="1">
      <c r="A1" s="216" t="s">
        <v>27</v>
      </c>
      <c r="B1" s="216"/>
      <c r="C1" s="216"/>
      <c r="D1" s="216"/>
      <c r="E1" s="216"/>
      <c r="F1" s="216"/>
      <c r="G1" s="216"/>
      <c r="H1" s="216"/>
      <c r="I1" s="216"/>
      <c r="J1" s="216"/>
      <c r="K1" s="216"/>
      <c r="L1" s="216"/>
      <c r="M1" s="216"/>
      <c r="N1" s="216"/>
      <c r="O1" s="216"/>
      <c r="P1" s="216"/>
      <c r="Q1" s="216"/>
      <c r="R1" s="216"/>
      <c r="S1" s="216"/>
      <c r="T1" s="216"/>
      <c r="U1" s="216"/>
      <c r="V1" s="216"/>
      <c r="W1" s="216"/>
      <c r="X1" s="216"/>
      <c r="Y1" s="216"/>
      <c r="Z1" s="216"/>
    </row>
    <row r="2" spans="1:26" s="2" customFormat="1" ht="19.95" customHeight="1">
      <c r="A2" s="223" t="s">
        <v>161</v>
      </c>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26" ht="19.95" customHeight="1">
      <c r="A3" s="10" t="str">
        <f>底稿目录!A2</f>
        <v>被审计单位：</v>
      </c>
      <c r="C3" s="12"/>
      <c r="F3" s="10"/>
      <c r="J3" s="10" t="str">
        <f>底稿目录!A4</f>
        <v>编制人：</v>
      </c>
      <c r="R3" s="10" t="str">
        <f>底稿目录!A5</f>
        <v>编制日期：</v>
      </c>
      <c r="U3" s="10"/>
      <c r="V3" s="10"/>
      <c r="W3" s="10"/>
      <c r="X3" s="10"/>
      <c r="Y3" s="103" t="s">
        <v>28</v>
      </c>
      <c r="Z3" s="178" t="str">
        <f>底稿目录!F8</f>
        <v>K12-2</v>
      </c>
    </row>
    <row r="4" spans="1:26" ht="19.95" customHeight="1">
      <c r="A4" s="10" t="str">
        <f>底稿目录!A3</f>
        <v>会计期间：202X年度</v>
      </c>
      <c r="C4" s="12"/>
      <c r="F4" s="10"/>
      <c r="J4" s="10" t="str">
        <f>底稿目录!A6</f>
        <v>复核人：</v>
      </c>
      <c r="R4" s="10" t="str">
        <f>底稿目录!A7</f>
        <v>复核日期：</v>
      </c>
      <c r="U4" s="10"/>
      <c r="V4" s="10"/>
      <c r="W4" s="10"/>
      <c r="X4" s="10"/>
      <c r="Y4" s="30" t="s">
        <v>29</v>
      </c>
      <c r="Z4" s="30"/>
    </row>
    <row r="5" spans="1:26" ht="19.95" customHeight="1">
      <c r="A5" s="131" t="s">
        <v>139</v>
      </c>
      <c r="B5" s="10"/>
      <c r="C5" s="132"/>
      <c r="D5" s="10"/>
      <c r="E5" s="10"/>
      <c r="F5" s="10"/>
      <c r="G5" s="10"/>
      <c r="H5" s="10"/>
      <c r="I5" s="10"/>
      <c r="J5" s="10"/>
      <c r="K5" s="10"/>
      <c r="L5" s="10"/>
      <c r="M5" s="10"/>
      <c r="N5" s="10"/>
      <c r="O5" s="10"/>
      <c r="U5" s="10"/>
      <c r="V5" s="10"/>
      <c r="W5" s="10"/>
      <c r="X5" s="10"/>
      <c r="Y5" s="30"/>
      <c r="Z5" s="30"/>
    </row>
    <row r="6" spans="1:26" ht="19.95" customHeight="1">
      <c r="A6" s="129" t="s">
        <v>147</v>
      </c>
      <c r="B6" s="130"/>
      <c r="C6" s="132"/>
      <c r="D6" s="10"/>
      <c r="E6" s="10"/>
      <c r="F6" s="10"/>
      <c r="H6" s="129" t="s">
        <v>183</v>
      </c>
      <c r="I6" s="10"/>
      <c r="O6" s="10"/>
      <c r="P6" s="129" t="s">
        <v>140</v>
      </c>
      <c r="U6" s="10"/>
      <c r="V6" s="10"/>
      <c r="W6" s="10"/>
      <c r="X6" s="10"/>
      <c r="Y6" s="30"/>
      <c r="Z6" s="30"/>
    </row>
    <row r="7" spans="1:26" ht="19.95" customHeight="1">
      <c r="A7" s="131" t="s">
        <v>138</v>
      </c>
      <c r="B7" s="10"/>
      <c r="C7" s="132"/>
      <c r="D7" s="10"/>
      <c r="E7" s="10"/>
      <c r="F7" s="10"/>
      <c r="G7" s="10"/>
      <c r="H7" s="10"/>
      <c r="I7" s="10"/>
      <c r="M7" s="10"/>
      <c r="N7" s="10"/>
      <c r="O7" s="10"/>
      <c r="U7" s="10"/>
      <c r="V7" s="10"/>
      <c r="W7" s="10"/>
      <c r="X7" s="10"/>
      <c r="Y7" s="30"/>
      <c r="Z7" s="30"/>
    </row>
    <row r="8" spans="1:26" s="13" customFormat="1" ht="48" customHeight="1">
      <c r="A8" s="39" t="s">
        <v>31</v>
      </c>
      <c r="B8" s="39" t="s">
        <v>32</v>
      </c>
      <c r="C8" s="39" t="s">
        <v>33</v>
      </c>
      <c r="D8" s="39" t="s">
        <v>0</v>
      </c>
      <c r="E8" s="39" t="s">
        <v>1</v>
      </c>
      <c r="F8" s="39" t="s">
        <v>2</v>
      </c>
      <c r="G8" s="39" t="s">
        <v>3</v>
      </c>
      <c r="H8" s="39" t="s">
        <v>4</v>
      </c>
      <c r="I8" s="39" t="s">
        <v>5</v>
      </c>
      <c r="J8" s="39" t="s">
        <v>6</v>
      </c>
      <c r="K8" s="39" t="s">
        <v>7</v>
      </c>
      <c r="L8" s="39" t="s">
        <v>8</v>
      </c>
      <c r="M8" s="39" t="s">
        <v>9</v>
      </c>
      <c r="N8" s="39" t="s">
        <v>34</v>
      </c>
      <c r="O8" s="29" t="s">
        <v>44</v>
      </c>
      <c r="P8" s="40" t="s">
        <v>35</v>
      </c>
      <c r="Q8" s="40" t="s">
        <v>36</v>
      </c>
      <c r="R8" s="29" t="s">
        <v>46</v>
      </c>
      <c r="S8" s="39" t="s">
        <v>37</v>
      </c>
      <c r="T8" s="39" t="s">
        <v>38</v>
      </c>
      <c r="U8" s="39" t="s">
        <v>39</v>
      </c>
      <c r="V8" s="29" t="s">
        <v>44</v>
      </c>
      <c r="W8" s="40" t="s">
        <v>35</v>
      </c>
      <c r="X8" s="29" t="s">
        <v>45</v>
      </c>
      <c r="Y8" s="149" t="s">
        <v>165</v>
      </c>
      <c r="Z8" s="149" t="s">
        <v>166</v>
      </c>
    </row>
    <row r="9" spans="1:26" ht="25.8" customHeight="1">
      <c r="A9" s="193" t="s">
        <v>236</v>
      </c>
      <c r="B9" s="14"/>
      <c r="C9" s="14"/>
      <c r="D9" s="14"/>
      <c r="E9" s="14"/>
      <c r="F9" s="14"/>
      <c r="G9" s="14"/>
      <c r="H9" s="14"/>
      <c r="I9" s="14"/>
      <c r="J9" s="14"/>
      <c r="K9" s="14"/>
      <c r="L9" s="14"/>
      <c r="M9" s="14"/>
      <c r="N9" s="98">
        <f t="shared" ref="N9:N15" si="0">SUM(B9:M9)</f>
        <v>0</v>
      </c>
      <c r="O9" s="14"/>
      <c r="P9" s="14"/>
      <c r="Q9" s="98">
        <f>N9+O9+P9</f>
        <v>0</v>
      </c>
      <c r="R9" s="108"/>
      <c r="S9" s="15"/>
      <c r="T9" s="99">
        <f>IF($Q$16=0,0,Q9/$Q$16)</f>
        <v>0</v>
      </c>
      <c r="U9" s="14"/>
      <c r="V9" s="14"/>
      <c r="W9" s="14"/>
      <c r="X9" s="98">
        <f t="shared" ref="X9:X15" si="1">U9+V9+W9</f>
        <v>0</v>
      </c>
      <c r="Y9" s="99">
        <f>IF($X$16=0,0,X9/$X$16)</f>
        <v>0</v>
      </c>
      <c r="Z9" s="99">
        <f>IF(AND(X9=0,Q9&gt;0),1,IF(AND(X9=0,Q9=0),0,(Q9-X9)/X9))</f>
        <v>0</v>
      </c>
    </row>
    <row r="10" spans="1:26" ht="21.6" customHeight="1">
      <c r="A10" s="193" t="s">
        <v>237</v>
      </c>
      <c r="B10" s="14"/>
      <c r="C10" s="14"/>
      <c r="D10" s="14"/>
      <c r="E10" s="14"/>
      <c r="F10" s="14"/>
      <c r="G10" s="14"/>
      <c r="H10" s="14"/>
      <c r="I10" s="14"/>
      <c r="J10" s="14"/>
      <c r="K10" s="14"/>
      <c r="L10" s="14"/>
      <c r="M10" s="14"/>
      <c r="N10" s="98">
        <f t="shared" si="0"/>
        <v>0</v>
      </c>
      <c r="O10" s="14"/>
      <c r="P10" s="14"/>
      <c r="Q10" s="98">
        <f t="shared" ref="Q10:Q15" si="2">N10+O10+P10</f>
        <v>0</v>
      </c>
      <c r="R10" s="108"/>
      <c r="S10" s="15"/>
      <c r="T10" s="99">
        <f>IF($Q$16=0,0,Q10/$Q$16)</f>
        <v>0</v>
      </c>
      <c r="U10" s="14"/>
      <c r="V10" s="14"/>
      <c r="W10" s="14"/>
      <c r="X10" s="98">
        <f t="shared" si="1"/>
        <v>0</v>
      </c>
      <c r="Y10" s="99">
        <f>IF($X$16=0,0,X10/$X$16)</f>
        <v>0</v>
      </c>
      <c r="Z10" s="99">
        <f>IF(AND(X10=0,Q10&gt;0),1,IF(AND(X10=0,Q10=0),0,(Q10-X10)/X10))</f>
        <v>0</v>
      </c>
    </row>
    <row r="11" spans="1:26" ht="24.6" customHeight="1">
      <c r="A11" s="193" t="s">
        <v>232</v>
      </c>
      <c r="B11" s="14"/>
      <c r="C11" s="14"/>
      <c r="D11" s="14"/>
      <c r="E11" s="14"/>
      <c r="F11" s="14"/>
      <c r="G11" s="14"/>
      <c r="H11" s="14"/>
      <c r="I11" s="14"/>
      <c r="J11" s="14"/>
      <c r="K11" s="14"/>
      <c r="L11" s="14"/>
      <c r="M11" s="14"/>
      <c r="N11" s="98">
        <f t="shared" si="0"/>
        <v>0</v>
      </c>
      <c r="O11" s="14"/>
      <c r="P11" s="14"/>
      <c r="Q11" s="98">
        <f t="shared" si="2"/>
        <v>0</v>
      </c>
      <c r="R11" s="108"/>
      <c r="S11" s="15"/>
      <c r="T11" s="99">
        <f>IF($Q$16=0,0,Q11/$Q$16)</f>
        <v>0</v>
      </c>
      <c r="U11" s="14"/>
      <c r="V11" s="14"/>
      <c r="W11" s="14"/>
      <c r="X11" s="98">
        <f t="shared" si="1"/>
        <v>0</v>
      </c>
      <c r="Y11" s="99">
        <f>IF($X$16=0,0,X11/$X$16)</f>
        <v>0</v>
      </c>
      <c r="Z11" s="99">
        <f>IF(AND(X11=0,Q11&gt;0),1,IF(AND(X11=0,Q11=0),0,(Q11-X11)/X11))</f>
        <v>0</v>
      </c>
    </row>
    <row r="12" spans="1:26" ht="19.95" customHeight="1">
      <c r="A12" s="45" t="s">
        <v>233</v>
      </c>
      <c r="B12" s="14"/>
      <c r="C12" s="14"/>
      <c r="D12" s="14"/>
      <c r="E12" s="14"/>
      <c r="F12" s="14"/>
      <c r="G12" s="14"/>
      <c r="H12" s="14"/>
      <c r="I12" s="14"/>
      <c r="J12" s="14"/>
      <c r="K12" s="14"/>
      <c r="L12" s="14"/>
      <c r="M12" s="14"/>
      <c r="N12" s="98">
        <f t="shared" si="0"/>
        <v>0</v>
      </c>
      <c r="O12" s="14"/>
      <c r="P12" s="14"/>
      <c r="Q12" s="98">
        <f t="shared" si="2"/>
        <v>0</v>
      </c>
      <c r="R12" s="108"/>
      <c r="S12" s="15"/>
      <c r="T12" s="99">
        <f t="shared" ref="T12:T13" si="3">IF($Q$16=0,0,Q12/$Q$16)</f>
        <v>0</v>
      </c>
      <c r="U12" s="14"/>
      <c r="V12" s="14"/>
      <c r="W12" s="14"/>
      <c r="X12" s="98">
        <f t="shared" ref="X12:X13" si="4">U12+V12+W12</f>
        <v>0</v>
      </c>
      <c r="Y12" s="99">
        <f t="shared" ref="Y12:Y13" si="5">IF($X$16=0,0,X12/$X$16)</f>
        <v>0</v>
      </c>
      <c r="Z12" s="99">
        <f t="shared" ref="Z12:Z13" si="6">IF(AND(X12=0,Q12&gt;0),1,IF(AND(X12=0,Q12=0),0,(Q12-X12)/X12))</f>
        <v>0</v>
      </c>
    </row>
    <row r="13" spans="1:26" ht="19.95" customHeight="1">
      <c r="A13" s="45" t="s">
        <v>48</v>
      </c>
      <c r="B13" s="14"/>
      <c r="C13" s="14"/>
      <c r="D13" s="14"/>
      <c r="E13" s="14"/>
      <c r="F13" s="14"/>
      <c r="G13" s="14"/>
      <c r="H13" s="14"/>
      <c r="I13" s="14"/>
      <c r="J13" s="14"/>
      <c r="K13" s="14"/>
      <c r="L13" s="14"/>
      <c r="M13" s="14"/>
      <c r="N13" s="98">
        <f t="shared" si="0"/>
        <v>0</v>
      </c>
      <c r="O13" s="14"/>
      <c r="P13" s="14"/>
      <c r="Q13" s="98">
        <f t="shared" si="2"/>
        <v>0</v>
      </c>
      <c r="R13" s="108"/>
      <c r="S13" s="15"/>
      <c r="T13" s="99">
        <f t="shared" si="3"/>
        <v>0</v>
      </c>
      <c r="U13" s="14"/>
      <c r="V13" s="14"/>
      <c r="W13" s="14"/>
      <c r="X13" s="98">
        <f t="shared" si="4"/>
        <v>0</v>
      </c>
      <c r="Y13" s="99">
        <f t="shared" si="5"/>
        <v>0</v>
      </c>
      <c r="Z13" s="99">
        <f t="shared" si="6"/>
        <v>0</v>
      </c>
    </row>
    <row r="14" spans="1:26" ht="19.95" customHeight="1">
      <c r="A14" s="46" t="s">
        <v>10</v>
      </c>
      <c r="B14" s="14"/>
      <c r="C14" s="14"/>
      <c r="D14" s="14"/>
      <c r="E14" s="14"/>
      <c r="F14" s="14"/>
      <c r="G14" s="14"/>
      <c r="H14" s="14"/>
      <c r="I14" s="14"/>
      <c r="J14" s="14"/>
      <c r="K14" s="14"/>
      <c r="L14" s="14"/>
      <c r="M14" s="14"/>
      <c r="N14" s="98">
        <f t="shared" si="0"/>
        <v>0</v>
      </c>
      <c r="O14" s="14"/>
      <c r="P14" s="14"/>
      <c r="Q14" s="98">
        <f t="shared" si="2"/>
        <v>0</v>
      </c>
      <c r="R14" s="108"/>
      <c r="S14" s="15"/>
      <c r="T14" s="99">
        <f>IF($Q$16=0,0,Q14/$Q$16)</f>
        <v>0</v>
      </c>
      <c r="U14" s="14"/>
      <c r="V14" s="14"/>
      <c r="W14" s="14"/>
      <c r="X14" s="98">
        <f t="shared" si="1"/>
        <v>0</v>
      </c>
      <c r="Y14" s="99">
        <f>IF($X$16=0,0,X14/$X$16)</f>
        <v>0</v>
      </c>
      <c r="Z14" s="99">
        <f t="shared" ref="Z14:Z16" si="7">IF(AND(X14=0,Q14&gt;0),1,IF(AND(X14=0,Q14=0),0,(Q14-X14)/X14))</f>
        <v>0</v>
      </c>
    </row>
    <row r="15" spans="1:26" ht="19.95" customHeight="1">
      <c r="A15" s="46"/>
      <c r="B15" s="14"/>
      <c r="C15" s="14"/>
      <c r="D15" s="14"/>
      <c r="E15" s="14"/>
      <c r="F15" s="14"/>
      <c r="G15" s="14"/>
      <c r="H15" s="14"/>
      <c r="I15" s="14"/>
      <c r="J15" s="14"/>
      <c r="K15" s="14"/>
      <c r="L15" s="14"/>
      <c r="M15" s="14"/>
      <c r="N15" s="98">
        <f t="shared" si="0"/>
        <v>0</v>
      </c>
      <c r="O15" s="14"/>
      <c r="P15" s="14"/>
      <c r="Q15" s="98">
        <f t="shared" si="2"/>
        <v>0</v>
      </c>
      <c r="R15" s="108"/>
      <c r="S15" s="15"/>
      <c r="T15" s="99">
        <f>IF($Q$16=0,0,Q15/$Q$16)</f>
        <v>0</v>
      </c>
      <c r="U15" s="14"/>
      <c r="V15" s="14"/>
      <c r="W15" s="14"/>
      <c r="X15" s="98">
        <f t="shared" si="1"/>
        <v>0</v>
      </c>
      <c r="Y15" s="99">
        <f>IF($X$16=0,0,X15/$X$16)</f>
        <v>0</v>
      </c>
      <c r="Z15" s="99">
        <f t="shared" si="7"/>
        <v>0</v>
      </c>
    </row>
    <row r="16" spans="1:26" s="183" customFormat="1" ht="19.95" customHeight="1">
      <c r="A16" s="180" t="s">
        <v>40</v>
      </c>
      <c r="B16" s="181">
        <f>SUM(B9:B15)</f>
        <v>0</v>
      </c>
      <c r="C16" s="181">
        <f t="shared" ref="C16:N16" si="8">SUM(C9:C15)</f>
        <v>0</v>
      </c>
      <c r="D16" s="181">
        <f t="shared" si="8"/>
        <v>0</v>
      </c>
      <c r="E16" s="181">
        <f t="shared" si="8"/>
        <v>0</v>
      </c>
      <c r="F16" s="181">
        <f t="shared" si="8"/>
        <v>0</v>
      </c>
      <c r="G16" s="181">
        <f t="shared" si="8"/>
        <v>0</v>
      </c>
      <c r="H16" s="181">
        <f t="shared" si="8"/>
        <v>0</v>
      </c>
      <c r="I16" s="181">
        <f t="shared" si="8"/>
        <v>0</v>
      </c>
      <c r="J16" s="181">
        <f t="shared" si="8"/>
        <v>0</v>
      </c>
      <c r="K16" s="181">
        <f t="shared" si="8"/>
        <v>0</v>
      </c>
      <c r="L16" s="181">
        <f t="shared" si="8"/>
        <v>0</v>
      </c>
      <c r="M16" s="181">
        <f t="shared" si="8"/>
        <v>0</v>
      </c>
      <c r="N16" s="181">
        <f t="shared" si="8"/>
        <v>0</v>
      </c>
      <c r="O16" s="181">
        <f t="shared" ref="O16" si="9">SUM(O9:O15)</f>
        <v>0</v>
      </c>
      <c r="P16" s="181">
        <f t="shared" ref="P16" si="10">SUM(P9:P15)</f>
        <v>0</v>
      </c>
      <c r="Q16" s="181">
        <f t="shared" ref="Q16" si="11">SUM(Q9:Q15)</f>
        <v>0</v>
      </c>
      <c r="R16" s="181">
        <f t="shared" ref="R16" si="12">SUM(R9:R15)</f>
        <v>0</v>
      </c>
      <c r="S16" s="181"/>
      <c r="T16" s="182">
        <f>IF($Q$16=0,0,Q16/$Q$16)</f>
        <v>0</v>
      </c>
      <c r="U16" s="181">
        <f>SUM(U9:U15)</f>
        <v>0</v>
      </c>
      <c r="V16" s="181">
        <f t="shared" ref="V16:X16" si="13">SUM(V9:V15)</f>
        <v>0</v>
      </c>
      <c r="W16" s="181">
        <f t="shared" si="13"/>
        <v>0</v>
      </c>
      <c r="X16" s="181">
        <f t="shared" si="13"/>
        <v>0</v>
      </c>
      <c r="Y16" s="182">
        <f>IF($X$16=0,0,X16/$X$16)</f>
        <v>0</v>
      </c>
      <c r="Z16" s="182">
        <f t="shared" si="7"/>
        <v>0</v>
      </c>
    </row>
    <row r="17" spans="1:26" s="183" customFormat="1" ht="19.95" customHeight="1">
      <c r="A17" s="180" t="s">
        <v>41</v>
      </c>
      <c r="B17" s="184">
        <f>IF($N$16=0,0,B16/$N$16)</f>
        <v>0</v>
      </c>
      <c r="C17" s="184">
        <f>IF($N$16=0,0,C16/$N$16)</f>
        <v>0</v>
      </c>
      <c r="D17" s="184">
        <f t="shared" ref="D17:M17" si="14">IF($N$16=0,0,D16/$N$16)</f>
        <v>0</v>
      </c>
      <c r="E17" s="184">
        <f t="shared" si="14"/>
        <v>0</v>
      </c>
      <c r="F17" s="184">
        <f t="shared" si="14"/>
        <v>0</v>
      </c>
      <c r="G17" s="184">
        <f t="shared" si="14"/>
        <v>0</v>
      </c>
      <c r="H17" s="184">
        <f t="shared" si="14"/>
        <v>0</v>
      </c>
      <c r="I17" s="184">
        <f t="shared" si="14"/>
        <v>0</v>
      </c>
      <c r="J17" s="184">
        <f t="shared" si="14"/>
        <v>0</v>
      </c>
      <c r="K17" s="184">
        <f t="shared" si="14"/>
        <v>0</v>
      </c>
      <c r="L17" s="184">
        <f t="shared" si="14"/>
        <v>0</v>
      </c>
      <c r="M17" s="184">
        <f t="shared" si="14"/>
        <v>0</v>
      </c>
      <c r="N17" s="182">
        <f>IF($N$16=0,0,N16/$N$16)</f>
        <v>0</v>
      </c>
      <c r="O17" s="185"/>
      <c r="P17" s="185"/>
      <c r="Q17" s="185"/>
      <c r="R17" s="185"/>
      <c r="S17" s="181"/>
      <c r="T17" s="181"/>
      <c r="U17" s="181"/>
      <c r="V17" s="181"/>
      <c r="W17" s="181"/>
      <c r="X17" s="181"/>
      <c r="Y17" s="181"/>
      <c r="Z17" s="186"/>
    </row>
    <row r="18" spans="1:26" ht="19.95" customHeight="1">
      <c r="A18" s="42" t="s">
        <v>42</v>
      </c>
      <c r="B18" s="16"/>
      <c r="C18" s="16"/>
      <c r="D18" s="16"/>
      <c r="E18" s="16"/>
      <c r="F18" s="16"/>
      <c r="G18" s="16"/>
      <c r="H18" s="16"/>
      <c r="I18" s="16"/>
      <c r="J18" s="16"/>
      <c r="K18" s="16"/>
      <c r="L18" s="16"/>
      <c r="M18" s="16"/>
      <c r="N18" s="16"/>
      <c r="O18" s="16"/>
      <c r="P18" s="16"/>
      <c r="Q18" s="16"/>
      <c r="R18" s="16"/>
      <c r="S18" s="16"/>
      <c r="T18" s="16"/>
      <c r="U18" s="16"/>
      <c r="V18" s="16"/>
      <c r="W18" s="16"/>
      <c r="X18" s="16"/>
      <c r="Y18" s="31"/>
      <c r="Z18" s="31"/>
    </row>
    <row r="19" spans="1:26" ht="19.95" customHeight="1">
      <c r="A19" s="177" t="s">
        <v>199</v>
      </c>
      <c r="B19" s="10"/>
      <c r="C19" s="10"/>
      <c r="D19" s="10"/>
      <c r="E19" s="10"/>
      <c r="F19" s="10"/>
      <c r="G19" s="10"/>
      <c r="H19" s="10"/>
      <c r="I19" s="10"/>
      <c r="J19" s="10"/>
      <c r="K19" s="10"/>
      <c r="L19" s="10"/>
      <c r="M19" s="10"/>
      <c r="N19" s="10"/>
      <c r="O19" s="10"/>
      <c r="P19" s="10"/>
      <c r="Q19" s="10"/>
      <c r="R19" s="10"/>
      <c r="S19" s="10"/>
      <c r="T19" s="10"/>
      <c r="U19" s="10"/>
      <c r="V19" s="10"/>
      <c r="W19" s="10"/>
      <c r="X19" s="10"/>
      <c r="Y19" s="30"/>
      <c r="Z19" s="30"/>
    </row>
    <row r="20" spans="1:26" ht="19.95" customHeight="1">
      <c r="A20" s="177" t="s">
        <v>198</v>
      </c>
      <c r="B20" s="10"/>
      <c r="C20" s="10"/>
      <c r="D20" s="10"/>
      <c r="E20" s="10"/>
      <c r="F20" s="10"/>
      <c r="G20" s="10"/>
      <c r="H20" s="10"/>
      <c r="I20" s="10"/>
      <c r="J20" s="10"/>
      <c r="K20" s="10"/>
      <c r="L20" s="10"/>
      <c r="M20" s="10"/>
      <c r="N20" s="10"/>
      <c r="O20" s="10"/>
      <c r="P20" s="10"/>
      <c r="Q20" s="10"/>
      <c r="R20" s="10"/>
      <c r="S20" s="10"/>
      <c r="T20" s="10"/>
      <c r="U20" s="10"/>
      <c r="V20" s="10"/>
      <c r="W20" s="10"/>
      <c r="X20" s="10"/>
      <c r="Y20" s="30"/>
      <c r="Z20" s="30"/>
    </row>
    <row r="21" spans="1:26" ht="19.95" customHeight="1">
      <c r="A21" s="23" t="s">
        <v>43</v>
      </c>
      <c r="B21" s="10"/>
      <c r="C21" s="10"/>
      <c r="D21" s="10"/>
      <c r="E21" s="10"/>
      <c r="F21" s="10"/>
      <c r="G21" s="10"/>
      <c r="H21" s="10"/>
      <c r="I21" s="10"/>
      <c r="J21" s="10"/>
      <c r="K21" s="10"/>
      <c r="L21" s="10"/>
      <c r="M21" s="10"/>
      <c r="N21" s="10"/>
      <c r="O21" s="10"/>
      <c r="P21" s="10"/>
      <c r="Q21" s="10"/>
      <c r="R21" s="10"/>
      <c r="S21" s="10"/>
      <c r="T21" s="10"/>
      <c r="U21" s="10"/>
      <c r="V21" s="10"/>
      <c r="W21" s="10"/>
      <c r="X21" s="10"/>
      <c r="Y21" s="30"/>
      <c r="Z21" s="30"/>
    </row>
    <row r="22" spans="1:26" ht="19.9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30"/>
      <c r="Z22" s="30"/>
    </row>
    <row r="24" spans="1:26" ht="19.95" customHeight="1">
      <c r="A24" s="194" t="s">
        <v>234</v>
      </c>
    </row>
    <row r="25" spans="1:26">
      <c r="A25" s="41"/>
    </row>
    <row r="26" spans="1:26">
      <c r="A26" s="9"/>
    </row>
    <row r="27" spans="1:26">
      <c r="A27" s="9"/>
    </row>
  </sheetData>
  <mergeCells count="2">
    <mergeCell ref="A1:Z1"/>
    <mergeCell ref="A2:Z2"/>
  </mergeCells>
  <phoneticPr fontId="12" type="noConversion"/>
  <conditionalFormatting sqref="B17:M17">
    <cfRule type="cellIs" dxfId="3" priority="1" stopIfTrue="1" operator="greaterThanOrEqual">
      <formula>0.3</formula>
    </cfRule>
  </conditionalFormatting>
  <conditionalFormatting sqref="Y9:Y16 T9:T16">
    <cfRule type="cellIs" dxfId="2" priority="2" stopIfTrue="1" operator="greaterThanOrEqual">
      <formula>0.5</formula>
    </cfRule>
  </conditionalFormatting>
  <conditionalFormatting sqref="Z9:Z16">
    <cfRule type="cellIs" dxfId="1" priority="3" stopIfTrue="1" operator="greaterThanOrEqual">
      <formula>0.3</formula>
    </cfRule>
    <cfRule type="cellIs" dxfId="0" priority="4" stopIfTrue="1" operator="lessThanOrEqual">
      <formula>-0.3</formula>
    </cfRule>
  </conditionalFormatting>
  <hyperlinks>
    <hyperlink ref="Z3" location="底稿目录!A1" display="底稿目录!A1"/>
  </hyperlinks>
  <printOptions horizontalCentered="1"/>
  <pageMargins left="0.70866141732283472" right="0.70866141732283472" top="0.74803149606299213" bottom="0.74803149606299213" header="0.31496062992125984" footer="0.31496062992125984"/>
  <pageSetup paperSize="9" scale="52" fitToHeight="100" orientation="landscape" blackAndWhite="1" cellComments="atEnd"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5"/>
  <sheetViews>
    <sheetView view="pageBreakPreview" zoomScaleNormal="100" zoomScaleSheetLayoutView="100" workbookViewId="0">
      <selection sqref="A1:J1"/>
    </sheetView>
  </sheetViews>
  <sheetFormatPr defaultRowHeight="15.6"/>
  <cols>
    <col min="1" max="1" width="18.3984375" customWidth="1"/>
    <col min="2" max="2" width="12.8984375" customWidth="1"/>
    <col min="3" max="3" width="15.19921875" customWidth="1"/>
    <col min="4" max="4" width="14.5" customWidth="1"/>
    <col min="5" max="5" width="16.19921875" customWidth="1"/>
    <col min="7" max="7" width="10.796875" customWidth="1"/>
    <col min="8" max="8" width="10.19921875" customWidth="1"/>
    <col min="10" max="10" width="12.09765625" customWidth="1"/>
  </cols>
  <sheetData>
    <row r="1" spans="1:10" ht="19.95" customHeight="1">
      <c r="A1" s="226" t="s">
        <v>27</v>
      </c>
      <c r="B1" s="226"/>
      <c r="C1" s="226"/>
      <c r="D1" s="226"/>
      <c r="E1" s="226"/>
      <c r="F1" s="226"/>
      <c r="G1" s="226"/>
      <c r="H1" s="226"/>
      <c r="I1" s="226"/>
      <c r="J1" s="226"/>
    </row>
    <row r="2" spans="1:10" ht="19.95" customHeight="1">
      <c r="A2" s="227" t="s">
        <v>97</v>
      </c>
      <c r="B2" s="227"/>
      <c r="C2" s="227"/>
      <c r="D2" s="227"/>
      <c r="E2" s="227"/>
      <c r="F2" s="227"/>
      <c r="G2" s="227"/>
      <c r="H2" s="227"/>
      <c r="I2" s="227"/>
      <c r="J2" s="227"/>
    </row>
    <row r="3" spans="1:10" ht="19.95" customHeight="1">
      <c r="A3" s="8" t="str">
        <f>底稿目录!A2</f>
        <v>被审计单位：</v>
      </c>
      <c r="B3" s="8"/>
      <c r="D3" s="8" t="str">
        <f>底稿目录!A4</f>
        <v>编制人：</v>
      </c>
      <c r="E3" s="8"/>
      <c r="F3" s="8" t="str">
        <f>底稿目录!A5</f>
        <v>编制日期：</v>
      </c>
      <c r="H3" s="8"/>
      <c r="I3" s="101" t="s">
        <v>108</v>
      </c>
      <c r="J3" s="178" t="str">
        <f>底稿目录!F9</f>
        <v>K12-3</v>
      </c>
    </row>
    <row r="4" spans="1:10" ht="19.95" customHeight="1">
      <c r="A4" s="8" t="str">
        <f>底稿目录!A3</f>
        <v>会计期间：202X年度</v>
      </c>
      <c r="B4" s="8"/>
      <c r="D4" s="8" t="str">
        <f>底稿目录!A6</f>
        <v>复核人：</v>
      </c>
      <c r="E4" s="8"/>
      <c r="F4" s="8" t="str">
        <f>底稿目录!A7</f>
        <v>复核日期：</v>
      </c>
      <c r="H4" s="8"/>
      <c r="I4" s="101" t="s">
        <v>109</v>
      </c>
      <c r="J4" s="100">
        <v>1</v>
      </c>
    </row>
    <row r="5" spans="1:10" ht="35.4" customHeight="1">
      <c r="A5" s="111" t="s">
        <v>87</v>
      </c>
      <c r="B5" s="111" t="s">
        <v>88</v>
      </c>
      <c r="C5" s="70" t="s">
        <v>143</v>
      </c>
      <c r="D5" s="70" t="s">
        <v>89</v>
      </c>
      <c r="E5" s="70" t="s">
        <v>90</v>
      </c>
      <c r="F5" s="71" t="s">
        <v>91</v>
      </c>
      <c r="G5" s="70" t="s">
        <v>92</v>
      </c>
      <c r="H5" s="70" t="s">
        <v>93</v>
      </c>
      <c r="I5" s="70" t="s">
        <v>94</v>
      </c>
      <c r="J5" s="70" t="s">
        <v>95</v>
      </c>
    </row>
    <row r="6" spans="1:10" ht="19.95" customHeight="1">
      <c r="A6" s="137"/>
      <c r="B6" s="137"/>
      <c r="C6" s="138"/>
      <c r="D6" s="137"/>
      <c r="E6" s="137"/>
      <c r="F6" s="137"/>
      <c r="G6" s="139"/>
      <c r="H6" s="139"/>
      <c r="I6" s="140"/>
      <c r="J6" s="137"/>
    </row>
    <row r="7" spans="1:10" ht="19.95" customHeight="1">
      <c r="A7" s="137"/>
      <c r="B7" s="137"/>
      <c r="C7" s="138"/>
      <c r="D7" s="137"/>
      <c r="E7" s="137"/>
      <c r="F7" s="137"/>
      <c r="G7" s="139"/>
      <c r="H7" s="139"/>
      <c r="I7" s="140"/>
      <c r="J7" s="137"/>
    </row>
    <row r="8" spans="1:10" ht="19.95" customHeight="1">
      <c r="A8" s="137"/>
      <c r="B8" s="137"/>
      <c r="C8" s="138"/>
      <c r="D8" s="137"/>
      <c r="E8" s="137"/>
      <c r="F8" s="137"/>
      <c r="G8" s="139"/>
      <c r="H8" s="139"/>
      <c r="I8" s="140"/>
      <c r="J8" s="137"/>
    </row>
    <row r="9" spans="1:10" ht="19.95" customHeight="1">
      <c r="A9" s="137"/>
      <c r="B9" s="137"/>
      <c r="C9" s="138"/>
      <c r="D9" s="137"/>
      <c r="E9" s="137"/>
      <c r="F9" s="137"/>
      <c r="G9" s="139"/>
      <c r="H9" s="139"/>
      <c r="I9" s="140"/>
      <c r="J9" s="137"/>
    </row>
    <row r="10" spans="1:10" ht="19.95" customHeight="1">
      <c r="A10" s="137"/>
      <c r="B10" s="137"/>
      <c r="C10" s="138"/>
      <c r="D10" s="137"/>
      <c r="E10" s="137"/>
      <c r="F10" s="137"/>
      <c r="G10" s="139"/>
      <c r="H10" s="139"/>
      <c r="I10" s="140"/>
      <c r="J10" s="137"/>
    </row>
    <row r="11" spans="1:10" ht="19.95" customHeight="1">
      <c r="A11" s="137"/>
      <c r="B11" s="137"/>
      <c r="C11" s="138"/>
      <c r="D11" s="137"/>
      <c r="E11" s="137"/>
      <c r="F11" s="137"/>
      <c r="G11" s="139"/>
      <c r="H11" s="139"/>
      <c r="I11" s="140"/>
      <c r="J11" s="137"/>
    </row>
    <row r="12" spans="1:10" ht="19.95" customHeight="1">
      <c r="A12" s="137"/>
      <c r="B12" s="137"/>
      <c r="C12" s="138"/>
      <c r="D12" s="137"/>
      <c r="E12" s="137"/>
      <c r="F12" s="137"/>
      <c r="G12" s="139"/>
      <c r="H12" s="139"/>
      <c r="I12" s="140"/>
      <c r="J12" s="137"/>
    </row>
    <row r="13" spans="1:10" ht="19.95" customHeight="1">
      <c r="A13" s="137"/>
      <c r="B13" s="137"/>
      <c r="C13" s="138"/>
      <c r="D13" s="137"/>
      <c r="E13" s="137"/>
      <c r="F13" s="137"/>
      <c r="G13" s="139"/>
      <c r="H13" s="139"/>
      <c r="I13" s="140"/>
      <c r="J13" s="137"/>
    </row>
    <row r="14" spans="1:10" ht="19.95" customHeight="1">
      <c r="A14" s="137"/>
      <c r="B14" s="137"/>
      <c r="C14" s="138"/>
      <c r="D14" s="137"/>
      <c r="E14" s="137"/>
      <c r="F14" s="137"/>
      <c r="G14" s="139"/>
      <c r="H14" s="139"/>
      <c r="I14" s="140"/>
      <c r="J14" s="137"/>
    </row>
    <row r="15" spans="1:10" ht="19.95" customHeight="1">
      <c r="A15" s="137"/>
      <c r="B15" s="137"/>
      <c r="C15" s="138"/>
      <c r="D15" s="137"/>
      <c r="E15" s="137"/>
      <c r="F15" s="137"/>
      <c r="G15" s="139"/>
      <c r="H15" s="139"/>
      <c r="I15" s="140"/>
      <c r="J15" s="137"/>
    </row>
    <row r="16" spans="1:10" ht="19.95" customHeight="1">
      <c r="A16" s="137"/>
      <c r="B16" s="137"/>
      <c r="C16" s="138"/>
      <c r="D16" s="137"/>
      <c r="E16" s="137"/>
      <c r="F16" s="137"/>
      <c r="G16" s="139"/>
      <c r="H16" s="139"/>
      <c r="I16" s="140"/>
      <c r="J16" s="137"/>
    </row>
    <row r="17" spans="1:10" ht="19.95" customHeight="1">
      <c r="A17" s="137"/>
      <c r="B17" s="137"/>
      <c r="C17" s="138"/>
      <c r="D17" s="137"/>
      <c r="E17" s="137"/>
      <c r="F17" s="137"/>
      <c r="G17" s="139"/>
      <c r="H17" s="139"/>
      <c r="I17" s="140"/>
      <c r="J17" s="137"/>
    </row>
    <row r="18" spans="1:10" ht="19.95" customHeight="1">
      <c r="A18" s="137"/>
      <c r="B18" s="137"/>
      <c r="C18" s="138"/>
      <c r="D18" s="137"/>
      <c r="E18" s="137"/>
      <c r="F18" s="137"/>
      <c r="G18" s="139"/>
      <c r="H18" s="139"/>
      <c r="I18" s="140"/>
      <c r="J18" s="137"/>
    </row>
    <row r="19" spans="1:10" ht="19.95" customHeight="1">
      <c r="A19" s="137"/>
      <c r="B19" s="137"/>
      <c r="C19" s="138"/>
      <c r="D19" s="137"/>
      <c r="E19" s="137"/>
      <c r="F19" s="137"/>
      <c r="G19" s="139"/>
      <c r="H19" s="139"/>
      <c r="I19" s="140"/>
      <c r="J19" s="137"/>
    </row>
    <row r="20" spans="1:10" ht="19.95" customHeight="1">
      <c r="A20" s="137"/>
      <c r="B20" s="137"/>
      <c r="C20" s="138"/>
      <c r="D20" s="137"/>
      <c r="E20" s="137"/>
      <c r="F20" s="137"/>
      <c r="G20" s="139"/>
      <c r="H20" s="139"/>
      <c r="I20" s="140"/>
      <c r="J20" s="137"/>
    </row>
    <row r="21" spans="1:10">
      <c r="A21" s="72"/>
      <c r="B21" s="72"/>
      <c r="C21" s="72"/>
      <c r="D21" s="72"/>
      <c r="E21" s="72"/>
      <c r="F21" s="72"/>
      <c r="G21" s="72"/>
      <c r="H21" s="72"/>
      <c r="I21" s="72"/>
      <c r="J21" s="72"/>
    </row>
    <row r="22" spans="1:10">
      <c r="A22" s="72"/>
      <c r="B22" s="72"/>
      <c r="C22" s="72"/>
      <c r="D22" s="72"/>
      <c r="E22" s="72"/>
      <c r="F22" s="72"/>
      <c r="G22" s="72"/>
      <c r="H22" s="72"/>
      <c r="I22" s="72"/>
      <c r="J22" s="72"/>
    </row>
    <row r="23" spans="1:10" ht="36.6" customHeight="1">
      <c r="A23" s="228" t="s">
        <v>167</v>
      </c>
      <c r="B23" s="229"/>
      <c r="C23" s="229"/>
      <c r="D23" s="229"/>
      <c r="E23" s="229"/>
      <c r="F23" s="229"/>
      <c r="G23" s="229"/>
      <c r="H23" s="229"/>
      <c r="I23" s="229"/>
      <c r="J23" s="229"/>
    </row>
    <row r="24" spans="1:10">
      <c r="A24" s="72"/>
      <c r="B24" s="72"/>
      <c r="C24" s="72"/>
      <c r="D24" s="72"/>
      <c r="E24" s="72"/>
      <c r="F24" s="72"/>
      <c r="G24" s="72"/>
      <c r="H24" s="72"/>
      <c r="I24" s="72"/>
      <c r="J24" s="72"/>
    </row>
    <row r="25" spans="1:10">
      <c r="A25" s="72"/>
      <c r="B25" s="72"/>
      <c r="C25" s="72"/>
      <c r="D25" s="72"/>
      <c r="E25" s="72"/>
      <c r="F25" s="72"/>
      <c r="G25" s="72"/>
      <c r="H25" s="72"/>
      <c r="I25" s="72"/>
      <c r="J25" s="72"/>
    </row>
  </sheetData>
  <mergeCells count="3">
    <mergeCell ref="A1:J1"/>
    <mergeCell ref="A2:J2"/>
    <mergeCell ref="A23:J23"/>
  </mergeCells>
  <phoneticPr fontId="12"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31"/>
  <sheetViews>
    <sheetView view="pageBreakPreview" zoomScaleSheetLayoutView="100" workbookViewId="0">
      <selection activeCell="Q3" sqref="Q3"/>
    </sheetView>
  </sheetViews>
  <sheetFormatPr defaultColWidth="9" defaultRowHeight="13.8"/>
  <cols>
    <col min="1" max="1" width="9.09765625" style="11" customWidth="1"/>
    <col min="2" max="3" width="9" style="11"/>
    <col min="4" max="4" width="14.69921875" style="11" customWidth="1"/>
    <col min="5" max="5" width="9.59765625" style="11" customWidth="1"/>
    <col min="6" max="6" width="12.69921875" style="11" customWidth="1"/>
    <col min="7" max="7" width="11.8984375" style="11" customWidth="1"/>
    <col min="8" max="8" width="15.19921875" style="11" customWidth="1"/>
    <col min="9" max="9" width="22.19921875" style="11" customWidth="1"/>
    <col min="10" max="14" width="4.296875" style="11" customWidth="1"/>
    <col min="15" max="15" width="10.296875" style="11" customWidth="1"/>
    <col min="16" max="16" width="6.5" style="11" customWidth="1"/>
    <col min="17" max="17" width="12.19921875" style="11" customWidth="1"/>
    <col min="18" max="16384" width="9" style="11"/>
  </cols>
  <sheetData>
    <row r="1" spans="1:17" s="27" customFormat="1" ht="19.95" customHeight="1">
      <c r="A1" s="240" t="s">
        <v>27</v>
      </c>
      <c r="B1" s="240"/>
      <c r="C1" s="240"/>
      <c r="D1" s="240"/>
      <c r="E1" s="240"/>
      <c r="F1" s="240"/>
      <c r="G1" s="240"/>
      <c r="H1" s="240"/>
      <c r="I1" s="240"/>
      <c r="J1" s="240"/>
      <c r="K1" s="240"/>
      <c r="L1" s="240"/>
      <c r="M1" s="240"/>
      <c r="N1" s="240"/>
      <c r="O1" s="240"/>
      <c r="P1" s="240"/>
      <c r="Q1" s="240"/>
    </row>
    <row r="2" spans="1:17" s="17" customFormat="1" ht="19.95" customHeight="1">
      <c r="A2" s="241" t="s">
        <v>196</v>
      </c>
      <c r="B2" s="241"/>
      <c r="C2" s="241"/>
      <c r="D2" s="241"/>
      <c r="E2" s="241"/>
      <c r="F2" s="241"/>
      <c r="G2" s="241"/>
      <c r="H2" s="241"/>
      <c r="I2" s="241"/>
      <c r="J2" s="241"/>
      <c r="K2" s="241"/>
      <c r="L2" s="241"/>
      <c r="M2" s="241"/>
      <c r="N2" s="241"/>
      <c r="O2" s="241"/>
      <c r="P2" s="241"/>
      <c r="Q2" s="241"/>
    </row>
    <row r="3" spans="1:17" ht="19.95" customHeight="1">
      <c r="A3" s="11" t="str">
        <f>底稿目录!A2</f>
        <v>被审计单位：</v>
      </c>
      <c r="C3" s="18"/>
      <c r="D3" s="18"/>
      <c r="F3" s="18" t="str">
        <f>底稿目录!A4</f>
        <v>编制人：</v>
      </c>
      <c r="K3" s="18" t="str">
        <f>底稿目录!A5</f>
        <v>编制日期：</v>
      </c>
      <c r="P3" s="102" t="s">
        <v>110</v>
      </c>
      <c r="Q3" s="178" t="str">
        <f>底稿目录!F10</f>
        <v>K12-4</v>
      </c>
    </row>
    <row r="4" spans="1:17" ht="19.95" customHeight="1">
      <c r="A4" s="11" t="str">
        <f>底稿目录!A3</f>
        <v>会计期间：202X年度</v>
      </c>
      <c r="C4" s="18"/>
      <c r="D4" s="18"/>
      <c r="F4" s="18" t="str">
        <f>底稿目录!A6</f>
        <v>复核人：</v>
      </c>
      <c r="K4" s="18" t="str">
        <f>底稿目录!A7</f>
        <v>复核日期：</v>
      </c>
      <c r="P4" s="18" t="s">
        <v>29</v>
      </c>
      <c r="Q4" s="18"/>
    </row>
    <row r="5" spans="1:17" s="20" customFormat="1" ht="19.95" customHeight="1">
      <c r="A5" s="33" t="s">
        <v>30</v>
      </c>
      <c r="B5" s="19"/>
      <c r="D5" s="19"/>
      <c r="E5" s="19"/>
      <c r="F5" s="19"/>
      <c r="G5" s="19"/>
      <c r="H5" s="19"/>
      <c r="I5" s="19"/>
      <c r="J5" s="19"/>
      <c r="K5" s="19"/>
      <c r="L5" s="19"/>
    </row>
    <row r="6" spans="1:17" s="20" customFormat="1" ht="19.95" customHeight="1">
      <c r="A6" s="129" t="s">
        <v>147</v>
      </c>
      <c r="B6" s="129"/>
      <c r="D6" s="34"/>
      <c r="E6" s="34"/>
      <c r="F6" s="34"/>
      <c r="G6" s="34"/>
      <c r="H6" s="129" t="s">
        <v>145</v>
      </c>
      <c r="I6" s="129"/>
      <c r="J6" s="34"/>
      <c r="K6" s="34"/>
      <c r="L6" s="34"/>
    </row>
    <row r="7" spans="1:17" s="20" customFormat="1" ht="19.95" customHeight="1">
      <c r="A7" s="129" t="s">
        <v>146</v>
      </c>
      <c r="B7" s="129"/>
      <c r="D7" s="34"/>
      <c r="E7" s="34"/>
      <c r="F7" s="34"/>
      <c r="G7" s="34"/>
      <c r="H7" s="129" t="s">
        <v>144</v>
      </c>
      <c r="I7" s="129"/>
      <c r="J7" s="34"/>
      <c r="K7" s="34"/>
      <c r="L7" s="34"/>
    </row>
    <row r="8" spans="1:17" s="20" customFormat="1" ht="19.95" customHeight="1">
      <c r="A8" s="151" t="s">
        <v>184</v>
      </c>
      <c r="C8" s="162" t="s">
        <v>209</v>
      </c>
      <c r="D8" s="152"/>
      <c r="E8" s="153"/>
      <c r="F8" s="154"/>
    </row>
    <row r="9" spans="1:17" s="20" customFormat="1" ht="19.95" customHeight="1">
      <c r="A9" s="155" t="s">
        <v>168</v>
      </c>
      <c r="B9" s="21"/>
      <c r="C9" s="36"/>
      <c r="D9" s="36"/>
      <c r="E9" s="37"/>
      <c r="F9" s="38"/>
      <c r="G9" s="21"/>
      <c r="H9" s="21"/>
      <c r="I9" s="21"/>
      <c r="J9" s="21"/>
      <c r="K9" s="21"/>
      <c r="L9" s="21"/>
      <c r="M9" s="21"/>
      <c r="N9" s="21"/>
      <c r="O9" s="21"/>
      <c r="P9" s="21"/>
    </row>
    <row r="10" spans="1:17" s="20" customFormat="1" ht="19.95" customHeight="1">
      <c r="A10" s="242" t="s">
        <v>201</v>
      </c>
      <c r="B10" s="253" t="s">
        <v>185</v>
      </c>
      <c r="C10" s="254"/>
      <c r="D10" s="254"/>
      <c r="E10" s="254"/>
      <c r="F10" s="254"/>
      <c r="G10" s="255"/>
      <c r="H10" s="249" t="s">
        <v>186</v>
      </c>
      <c r="I10" s="250"/>
      <c r="J10" s="246" t="s">
        <v>187</v>
      </c>
      <c r="K10" s="247"/>
      <c r="L10" s="247"/>
      <c r="M10" s="247"/>
      <c r="N10" s="247"/>
      <c r="O10" s="248" t="s">
        <v>188</v>
      </c>
      <c r="P10" s="244" t="s">
        <v>189</v>
      </c>
      <c r="Q10" s="238" t="s">
        <v>190</v>
      </c>
    </row>
    <row r="11" spans="1:17" ht="19.95" customHeight="1">
      <c r="A11" s="243"/>
      <c r="B11" s="187" t="s">
        <v>191</v>
      </c>
      <c r="C11" s="187" t="s">
        <v>192</v>
      </c>
      <c r="D11" s="187" t="s">
        <v>193</v>
      </c>
      <c r="E11" s="187" t="s">
        <v>194</v>
      </c>
      <c r="F11" s="187" t="s">
        <v>195</v>
      </c>
      <c r="G11" s="179" t="s">
        <v>231</v>
      </c>
      <c r="H11" s="251"/>
      <c r="I11" s="252"/>
      <c r="J11" s="163">
        <v>1</v>
      </c>
      <c r="K11" s="163">
        <v>2</v>
      </c>
      <c r="L11" s="163">
        <v>3</v>
      </c>
      <c r="M11" s="163">
        <v>4</v>
      </c>
      <c r="N11" s="163">
        <v>5</v>
      </c>
      <c r="O11" s="248"/>
      <c r="P11" s="245"/>
      <c r="Q11" s="239"/>
    </row>
    <row r="12" spans="1:17" ht="19.95" customHeight="1">
      <c r="A12" s="35"/>
      <c r="B12" s="166"/>
      <c r="C12" s="167"/>
      <c r="D12" s="168"/>
      <c r="E12" s="168"/>
      <c r="F12" s="168"/>
      <c r="G12" s="169"/>
      <c r="H12" s="236" t="s">
        <v>235</v>
      </c>
      <c r="I12" s="237"/>
      <c r="J12" s="170"/>
      <c r="K12" s="170"/>
      <c r="L12" s="170"/>
      <c r="M12" s="170"/>
      <c r="N12" s="170"/>
      <c r="O12" s="171"/>
      <c r="P12" s="172"/>
      <c r="Q12" s="172"/>
    </row>
    <row r="13" spans="1:17" ht="19.95" customHeight="1">
      <c r="A13" s="35"/>
      <c r="B13" s="166"/>
      <c r="C13" s="167"/>
      <c r="D13" s="168"/>
      <c r="E13" s="168"/>
      <c r="F13" s="168"/>
      <c r="G13" s="169"/>
      <c r="H13" s="233"/>
      <c r="I13" s="234"/>
      <c r="J13" s="170"/>
      <c r="K13" s="170"/>
      <c r="L13" s="170"/>
      <c r="M13" s="170"/>
      <c r="N13" s="170"/>
      <c r="O13" s="171"/>
      <c r="P13" s="172"/>
      <c r="Q13" s="172"/>
    </row>
    <row r="14" spans="1:17" ht="19.95" customHeight="1">
      <c r="A14" s="35"/>
      <c r="B14" s="166"/>
      <c r="C14" s="167"/>
      <c r="D14" s="168"/>
      <c r="E14" s="168"/>
      <c r="F14" s="168"/>
      <c r="G14" s="169"/>
      <c r="H14" s="233"/>
      <c r="I14" s="234"/>
      <c r="J14" s="170"/>
      <c r="K14" s="170"/>
      <c r="L14" s="170"/>
      <c r="M14" s="170"/>
      <c r="N14" s="170"/>
      <c r="O14" s="171"/>
      <c r="P14" s="172"/>
      <c r="Q14" s="172"/>
    </row>
    <row r="15" spans="1:17" ht="19.95" customHeight="1">
      <c r="A15" s="35"/>
      <c r="B15" s="166"/>
      <c r="C15" s="167"/>
      <c r="D15" s="168"/>
      <c r="E15" s="168"/>
      <c r="F15" s="168"/>
      <c r="G15" s="169"/>
      <c r="H15" s="233"/>
      <c r="I15" s="234"/>
      <c r="J15" s="170"/>
      <c r="K15" s="170"/>
      <c r="L15" s="170"/>
      <c r="M15" s="170"/>
      <c r="N15" s="170"/>
      <c r="O15" s="171"/>
      <c r="P15" s="172"/>
      <c r="Q15" s="172"/>
    </row>
    <row r="16" spans="1:17" ht="19.95" customHeight="1">
      <c r="A16" s="35"/>
      <c r="B16" s="166"/>
      <c r="C16" s="167"/>
      <c r="D16" s="168"/>
      <c r="E16" s="168"/>
      <c r="F16" s="168"/>
      <c r="G16" s="169"/>
      <c r="H16" s="233"/>
      <c r="I16" s="234"/>
      <c r="J16" s="170"/>
      <c r="K16" s="170"/>
      <c r="L16" s="170"/>
      <c r="M16" s="170"/>
      <c r="N16" s="170"/>
      <c r="O16" s="171"/>
      <c r="P16" s="172"/>
      <c r="Q16" s="172"/>
    </row>
    <row r="17" spans="1:17" ht="19.95" customHeight="1">
      <c r="A17" s="35"/>
      <c r="B17" s="166"/>
      <c r="C17" s="167"/>
      <c r="D17" s="168"/>
      <c r="E17" s="168"/>
      <c r="F17" s="168"/>
      <c r="G17" s="169"/>
      <c r="H17" s="233"/>
      <c r="I17" s="234"/>
      <c r="J17" s="170"/>
      <c r="K17" s="170"/>
      <c r="L17" s="170"/>
      <c r="M17" s="170"/>
      <c r="N17" s="170"/>
      <c r="O17" s="171"/>
      <c r="P17" s="172"/>
      <c r="Q17" s="172"/>
    </row>
    <row r="18" spans="1:17" ht="19.95" customHeight="1">
      <c r="A18" s="35"/>
      <c r="B18" s="166"/>
      <c r="C18" s="167"/>
      <c r="D18" s="168"/>
      <c r="E18" s="168"/>
      <c r="F18" s="168"/>
      <c r="G18" s="169"/>
      <c r="H18" s="233"/>
      <c r="I18" s="234"/>
      <c r="J18" s="170"/>
      <c r="K18" s="170"/>
      <c r="L18" s="170"/>
      <c r="M18" s="170"/>
      <c r="N18" s="170"/>
      <c r="O18" s="171"/>
      <c r="P18" s="172"/>
      <c r="Q18" s="172"/>
    </row>
    <row r="19" spans="1:17" ht="19.95" customHeight="1">
      <c r="A19" s="35"/>
      <c r="B19" s="166"/>
      <c r="C19" s="167"/>
      <c r="D19" s="168"/>
      <c r="E19" s="168"/>
      <c r="F19" s="168"/>
      <c r="G19" s="169"/>
      <c r="H19" s="233"/>
      <c r="I19" s="234"/>
      <c r="J19" s="170"/>
      <c r="K19" s="170"/>
      <c r="L19" s="170"/>
      <c r="M19" s="170"/>
      <c r="N19" s="170"/>
      <c r="O19" s="171"/>
      <c r="P19" s="172"/>
      <c r="Q19" s="172"/>
    </row>
    <row r="20" spans="1:17" ht="19.95" customHeight="1">
      <c r="A20" s="35"/>
      <c r="B20" s="166"/>
      <c r="C20" s="167"/>
      <c r="D20" s="168"/>
      <c r="E20" s="168"/>
      <c r="F20" s="168"/>
      <c r="G20" s="169"/>
      <c r="H20" s="233"/>
      <c r="I20" s="234"/>
      <c r="J20" s="170"/>
      <c r="K20" s="170"/>
      <c r="L20" s="170"/>
      <c r="M20" s="170"/>
      <c r="N20" s="170"/>
      <c r="O20" s="171"/>
      <c r="P20" s="172"/>
      <c r="Q20" s="172"/>
    </row>
    <row r="21" spans="1:17" ht="19.95" customHeight="1">
      <c r="A21" s="35"/>
      <c r="B21" s="166"/>
      <c r="C21" s="167"/>
      <c r="D21" s="168"/>
      <c r="E21" s="168"/>
      <c r="F21" s="168"/>
      <c r="G21" s="169"/>
      <c r="H21" s="233"/>
      <c r="I21" s="234"/>
      <c r="J21" s="170"/>
      <c r="K21" s="170"/>
      <c r="L21" s="170"/>
      <c r="M21" s="170"/>
      <c r="N21" s="170"/>
      <c r="O21" s="171"/>
      <c r="P21" s="172"/>
      <c r="Q21" s="172"/>
    </row>
    <row r="22" spans="1:17" ht="19.95" customHeight="1">
      <c r="A22" s="230" t="s">
        <v>228</v>
      </c>
      <c r="B22" s="230"/>
      <c r="C22" s="230"/>
      <c r="D22" s="230"/>
      <c r="E22" s="164"/>
      <c r="F22" s="164"/>
      <c r="G22" s="165">
        <f>SUM(G12:G21)</f>
        <v>0</v>
      </c>
      <c r="H22" s="235"/>
      <c r="I22" s="235"/>
      <c r="J22" s="173"/>
      <c r="K22" s="173"/>
      <c r="L22" s="165"/>
      <c r="M22" s="173"/>
      <c r="N22" s="173"/>
      <c r="O22" s="165"/>
      <c r="P22" s="173"/>
      <c r="Q22" s="173"/>
    </row>
    <row r="23" spans="1:17" ht="19.95" customHeight="1">
      <c r="A23" s="230" t="s">
        <v>229</v>
      </c>
      <c r="B23" s="230"/>
      <c r="C23" s="230"/>
      <c r="D23" s="230"/>
      <c r="E23" s="164"/>
      <c r="F23" s="164"/>
      <c r="G23" s="165">
        <f>'明细表K12-2'!Q16</f>
        <v>0</v>
      </c>
      <c r="H23" s="231"/>
      <c r="I23" s="232"/>
      <c r="J23" s="173"/>
      <c r="K23" s="173"/>
      <c r="L23" s="165"/>
      <c r="M23" s="173"/>
      <c r="N23" s="173"/>
      <c r="O23" s="165"/>
      <c r="P23" s="173"/>
      <c r="Q23" s="173"/>
    </row>
    <row r="24" spans="1:17" ht="19.95" customHeight="1">
      <c r="A24" s="230" t="s">
        <v>230</v>
      </c>
      <c r="B24" s="230"/>
      <c r="C24" s="230"/>
      <c r="D24" s="230"/>
      <c r="E24" s="164"/>
      <c r="F24" s="164"/>
      <c r="G24" s="192" t="e">
        <f>G22/G23</f>
        <v>#DIV/0!</v>
      </c>
      <c r="H24" s="231"/>
      <c r="I24" s="232"/>
      <c r="J24" s="173"/>
      <c r="K24" s="173"/>
      <c r="L24" s="165"/>
      <c r="M24" s="173"/>
      <c r="N24" s="173"/>
      <c r="O24" s="165"/>
      <c r="P24" s="173"/>
      <c r="Q24" s="173"/>
    </row>
    <row r="25" spans="1:17" s="10" customFormat="1" ht="19.95" customHeight="1">
      <c r="A25" s="151" t="s">
        <v>134</v>
      </c>
      <c r="G25" s="144"/>
      <c r="H25" s="145"/>
      <c r="I25" s="145"/>
      <c r="K25" s="22"/>
      <c r="L25" s="22"/>
      <c r="M25" s="22"/>
      <c r="N25" s="22"/>
      <c r="O25" s="22"/>
    </row>
    <row r="26" spans="1:17" s="10" customFormat="1" ht="19.95" customHeight="1">
      <c r="H26" s="145"/>
      <c r="I26" s="145"/>
      <c r="K26" s="22"/>
      <c r="L26" s="22"/>
      <c r="M26" s="22"/>
      <c r="N26" s="22"/>
      <c r="O26" s="22"/>
    </row>
    <row r="27" spans="1:17" ht="19.95" customHeight="1">
      <c r="A27" s="10"/>
      <c r="B27" s="10"/>
      <c r="C27" s="10"/>
      <c r="D27" s="10"/>
      <c r="E27" s="10"/>
      <c r="F27" s="10"/>
      <c r="G27" s="10"/>
      <c r="J27" s="18"/>
      <c r="K27" s="18"/>
      <c r="L27" s="18"/>
      <c r="M27" s="18"/>
      <c r="N27" s="18"/>
      <c r="O27" s="18"/>
      <c r="P27" s="10"/>
    </row>
    <row r="28" spans="1:17" ht="19.95" customHeight="1">
      <c r="A28" s="126" t="s">
        <v>135</v>
      </c>
      <c r="B28" s="10"/>
      <c r="C28" s="10"/>
      <c r="D28" s="10"/>
      <c r="E28" s="10"/>
      <c r="F28" s="10"/>
      <c r="G28" s="10"/>
      <c r="J28" s="18"/>
      <c r="K28" s="18"/>
      <c r="L28" s="18"/>
      <c r="M28" s="18"/>
      <c r="N28" s="18"/>
      <c r="O28" s="18"/>
      <c r="P28" s="10"/>
    </row>
    <row r="29" spans="1:17" ht="19.95" customHeight="1">
      <c r="A29" s="10"/>
      <c r="B29" s="10"/>
      <c r="C29" s="10"/>
      <c r="D29" s="10"/>
      <c r="E29" s="10"/>
      <c r="F29" s="10"/>
      <c r="G29" s="10"/>
      <c r="H29" s="10"/>
      <c r="I29" s="18"/>
      <c r="J29" s="18"/>
      <c r="K29" s="18"/>
      <c r="L29" s="18"/>
      <c r="M29" s="18"/>
      <c r="N29" s="18"/>
      <c r="O29" s="18"/>
      <c r="P29" s="10"/>
    </row>
    <row r="30" spans="1:17" ht="18" customHeight="1">
      <c r="B30" s="24"/>
      <c r="D30" s="25"/>
      <c r="E30" s="25"/>
      <c r="F30" s="25"/>
      <c r="G30" s="25"/>
      <c r="H30" s="25"/>
      <c r="I30" s="25"/>
      <c r="J30" s="25"/>
      <c r="K30" s="25"/>
      <c r="L30" s="25"/>
      <c r="M30" s="25"/>
      <c r="N30" s="25"/>
      <c r="O30" s="25"/>
    </row>
    <row r="31" spans="1:17" ht="18" customHeight="1">
      <c r="B31" s="24"/>
      <c r="D31" s="25"/>
      <c r="E31" s="25"/>
      <c r="F31" s="25"/>
      <c r="G31" s="25"/>
      <c r="H31" s="25"/>
      <c r="I31" s="25"/>
      <c r="J31" s="25"/>
      <c r="K31" s="25"/>
      <c r="L31" s="25"/>
      <c r="M31" s="25"/>
      <c r="N31" s="25"/>
      <c r="O31" s="25"/>
    </row>
  </sheetData>
  <mergeCells count="25">
    <mergeCell ref="Q10:Q11"/>
    <mergeCell ref="A1:Q1"/>
    <mergeCell ref="A2:Q2"/>
    <mergeCell ref="A10:A11"/>
    <mergeCell ref="P10:P11"/>
    <mergeCell ref="J10:N10"/>
    <mergeCell ref="O10:O11"/>
    <mergeCell ref="H10:I11"/>
    <mergeCell ref="B10:G10"/>
    <mergeCell ref="H12:I12"/>
    <mergeCell ref="H13:I13"/>
    <mergeCell ref="H17:I17"/>
    <mergeCell ref="H18:I18"/>
    <mergeCell ref="H19:I19"/>
    <mergeCell ref="A24:D24"/>
    <mergeCell ref="H23:I23"/>
    <mergeCell ref="H24:I24"/>
    <mergeCell ref="H14:I14"/>
    <mergeCell ref="H15:I15"/>
    <mergeCell ref="H16:I16"/>
    <mergeCell ref="H20:I20"/>
    <mergeCell ref="H21:I21"/>
    <mergeCell ref="H22:I22"/>
    <mergeCell ref="A22:D22"/>
    <mergeCell ref="A23:D23"/>
  </mergeCells>
  <phoneticPr fontId="12" type="noConversion"/>
  <dataValidations count="1">
    <dataValidation type="list" allowBlank="1" showInputMessage="1" showErrorMessage="1" sqref="J12:N21">
      <formula1>"√,X"</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100" orientation="landscape" blackAndWhite="1" cellComments="atEnd"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8"/>
  <sheetViews>
    <sheetView workbookViewId="0"/>
  </sheetViews>
  <sheetFormatPr defaultRowHeight="15.6"/>
  <sheetData>
    <row r="1" spans="1:2">
      <c r="A1" t="s">
        <v>11</v>
      </c>
      <c r="B1" t="s">
        <v>12</v>
      </c>
    </row>
    <row r="2" spans="1:2">
      <c r="A2" t="s">
        <v>13</v>
      </c>
      <c r="B2" t="s">
        <v>14</v>
      </c>
    </row>
    <row r="3" spans="1:2">
      <c r="A3" t="s">
        <v>15</v>
      </c>
      <c r="B3" t="s">
        <v>16</v>
      </c>
    </row>
    <row r="4" spans="1:2">
      <c r="A4" t="s">
        <v>17</v>
      </c>
      <c r="B4" t="s">
        <v>18</v>
      </c>
    </row>
    <row r="5" spans="1:2">
      <c r="A5" t="s">
        <v>19</v>
      </c>
      <c r="B5" t="s">
        <v>20</v>
      </c>
    </row>
    <row r="6" spans="1:2">
      <c r="A6" t="s">
        <v>21</v>
      </c>
      <c r="B6" t="s">
        <v>22</v>
      </c>
    </row>
    <row r="7" spans="1:2">
      <c r="A7" t="s">
        <v>23</v>
      </c>
      <c r="B7" t="s">
        <v>24</v>
      </c>
    </row>
    <row r="8" spans="1:2">
      <c r="A8" t="s">
        <v>25</v>
      </c>
      <c r="B8" t="s">
        <v>26</v>
      </c>
    </row>
  </sheetData>
  <phoneticPr fontId="1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底稿目录</vt:lpstr>
      <vt:lpstr>实质性程序表K12A</vt:lpstr>
      <vt:lpstr>审定表K12-1</vt:lpstr>
      <vt:lpstr>附注披露信息（上市公司）</vt:lpstr>
      <vt:lpstr>附注披露信息（国企）</vt:lpstr>
      <vt:lpstr>明细表K12-2</vt:lpstr>
      <vt:lpstr>调整分录汇总K12-3</vt:lpstr>
      <vt:lpstr>营业外收入检查表K12-4</vt:lpstr>
      <vt:lpstr>GT_Custom</vt:lpstr>
      <vt:lpstr>实质性程序表K12A!_FilterDatabase</vt:lpstr>
      <vt:lpstr>'调整分录汇总K12-3'!Print_Area</vt:lpstr>
      <vt:lpstr>'附注披露信息（国企）'!Print_Area</vt:lpstr>
      <vt:lpstr>'附注披露信息（上市公司）'!Print_Area</vt:lpstr>
      <vt:lpstr>'明细表K12-2'!Print_Area</vt:lpstr>
      <vt:lpstr>'审定表K12-1'!Print_Area</vt:lpstr>
      <vt:lpstr>实质性程序表K12A!Print_Area</vt:lpstr>
      <vt:lpstr>'营业外收入检查表K12-4'!Print_Area</vt:lpstr>
      <vt:lpstr>'审定表K12-1'!Print_Titles</vt:lpstr>
      <vt:lpstr>实质性程序表K12A!Print_Titles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2025-10-22T03:24:01Z</cp:lastPrinted>
  <dcterms:created xsi:type="dcterms:W3CDTF">2007-05-20T08:51:05Z</dcterms:created>
  <dcterms:modified xsi:type="dcterms:W3CDTF">2025-11-05T07:35:17Z</dcterms:modified>
</cp:coreProperties>
</file>