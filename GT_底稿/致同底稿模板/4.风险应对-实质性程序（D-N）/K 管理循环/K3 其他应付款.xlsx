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K 管理循环\"/>
    </mc:Choice>
  </mc:AlternateContent>
  <bookViews>
    <workbookView xWindow="-120" yWindow="-120" windowWidth="29040" windowHeight="15528" tabRatio="852"/>
  </bookViews>
  <sheets>
    <sheet name="底稿目录" sheetId="1" r:id="rId1"/>
    <sheet name="实质性程序表K3A" sheetId="54" r:id="rId2"/>
    <sheet name="审定表K3-1" sheetId="46" r:id="rId3"/>
    <sheet name="附注披露信息(上市公司)" sheetId="32" r:id="rId4"/>
    <sheet name="附注披露信息(国企)" sheetId="33" r:id="rId5"/>
    <sheet name="明细表K3-2" sheetId="22" r:id="rId6"/>
    <sheet name="调整分录汇总K3-3" sheetId="55" r:id="rId7"/>
    <sheet name="大额其他应付款情况分析表K3-4" sheetId="50" r:id="rId8"/>
    <sheet name="长期挂账检查表K3-5" sheetId="48" r:id="rId9"/>
    <sheet name="关联方及交易检查表K3-6" sheetId="66" r:id="rId10"/>
    <sheet name="其他应付款检查表K3-7" sheetId="65" r:id="rId11"/>
    <sheet name="GT_Custom" sheetId="35" state="hidden" r:id="rId12"/>
  </sheets>
  <definedNames>
    <definedName name="_xlnm.Print_Area" localSheetId="7">'大额其他应付款情况分析表K3-4'!$A$1:$J$28</definedName>
    <definedName name="_xlnm.Print_Area" localSheetId="6">'调整分录汇总K3-3'!$A$1:$J$20</definedName>
    <definedName name="_xlnm.Print_Area" localSheetId="4">'附注披露信息(国企)'!$A$1:$E$25</definedName>
    <definedName name="_xlnm.Print_Area" localSheetId="3">'附注披露信息(上市公司)'!$A$1:$E$26</definedName>
    <definedName name="_xlnm.Print_Area" localSheetId="9">'关联方及交易检查表K3-6'!$A$1:$J$15</definedName>
    <definedName name="_xlnm.Print_Area" localSheetId="5">'明细表K3-2'!$A$1:$AA$41</definedName>
    <definedName name="_xlnm.Print_Area" localSheetId="10">'其他应付款检查表K3-7'!$A$1:$Q$58</definedName>
    <definedName name="_xlnm.Print_Area" localSheetId="2">'审定表K3-1'!$A$1:$K$35</definedName>
    <definedName name="_xlnm.Print_Area" localSheetId="1">实质性程序表K3A!$A$1:$I$27</definedName>
    <definedName name="_xlnm.Print_Area" localSheetId="8">'长期挂账检查表K3-5'!$A$1:$K$20</definedName>
    <definedName name="_xlnm.Print_Titles" localSheetId="1">实质性程序表K3A!$15:$15</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5" i="65" l="1"/>
  <c r="G55" i="65" s="1"/>
  <c r="F55" i="65"/>
  <c r="F54" i="65"/>
  <c r="F53" i="65"/>
  <c r="G53" i="65" s="1"/>
  <c r="E54" i="65"/>
  <c r="E53" i="65"/>
  <c r="Q11" i="22"/>
  <c r="Q12" i="22"/>
  <c r="Q13" i="22"/>
  <c r="Q14" i="22"/>
  <c r="Q15" i="22"/>
  <c r="Q16" i="22"/>
  <c r="Q17" i="22"/>
  <c r="Q18" i="22"/>
  <c r="Q19" i="22"/>
  <c r="Q20" i="22"/>
  <c r="Q21" i="22"/>
  <c r="Q22" i="22"/>
  <c r="Q23" i="22"/>
  <c r="Q24" i="22"/>
  <c r="Q25" i="22"/>
  <c r="Q26" i="22"/>
  <c r="Q27" i="22"/>
  <c r="Q28" i="22"/>
  <c r="Q29" i="22"/>
  <c r="Q30" i="22"/>
  <c r="Q10" i="22"/>
  <c r="P31" i="22"/>
  <c r="G54" i="65" l="1"/>
  <c r="Q31" i="22"/>
  <c r="K3" i="48"/>
  <c r="J3" i="66"/>
  <c r="Q3" i="65" l="1"/>
  <c r="G50" i="65" l="1"/>
  <c r="H37" i="65"/>
  <c r="J14" i="48" l="1"/>
  <c r="G37" i="65" l="1"/>
  <c r="J22" i="50" l="1"/>
  <c r="O10" i="22" l="1"/>
  <c r="T10" i="22" s="1"/>
  <c r="E16" i="50" l="1"/>
  <c r="E17" i="50"/>
  <c r="E18" i="50"/>
  <c r="E19" i="50"/>
  <c r="E20" i="50"/>
  <c r="E21" i="50"/>
  <c r="C10" i="66" l="1"/>
  <c r="D10" i="66"/>
  <c r="E10" i="66"/>
  <c r="F9" i="66"/>
  <c r="J3" i="55" l="1"/>
  <c r="K4" i="65" l="1"/>
  <c r="K3" i="65"/>
  <c r="G4" i="65"/>
  <c r="G3" i="65"/>
  <c r="A4" i="65"/>
  <c r="A3" i="65"/>
  <c r="G4" i="66"/>
  <c r="G3" i="66"/>
  <c r="D4" i="66"/>
  <c r="D3" i="66"/>
  <c r="A4" i="66"/>
  <c r="A3" i="66"/>
  <c r="F10" i="66"/>
  <c r="D22" i="50" l="1"/>
  <c r="C22" i="50"/>
  <c r="B22" i="50"/>
  <c r="E15" i="50"/>
  <c r="E14" i="50"/>
  <c r="E13" i="50"/>
  <c r="E12" i="50"/>
  <c r="E22" i="50" l="1"/>
  <c r="J3" i="50" l="1"/>
  <c r="AA3" i="22"/>
  <c r="E3" i="33"/>
  <c r="E3" i="32"/>
  <c r="K3" i="46"/>
  <c r="I3" i="54"/>
  <c r="O11" i="22" l="1"/>
  <c r="B14" i="48"/>
  <c r="U31" i="22"/>
  <c r="I17" i="46" s="1"/>
  <c r="V31" i="22"/>
  <c r="I18" i="46" s="1"/>
  <c r="W31" i="22"/>
  <c r="I19" i="46" s="1"/>
  <c r="H22" i="46"/>
  <c r="H24" i="46" s="1"/>
  <c r="G22" i="46"/>
  <c r="G24" i="46" s="1"/>
  <c r="F22" i="46"/>
  <c r="F24" i="46" s="1"/>
  <c r="I31" i="22"/>
  <c r="J31" i="22"/>
  <c r="K31" i="22"/>
  <c r="D22" i="46"/>
  <c r="D24" i="46" s="1"/>
  <c r="C22" i="46"/>
  <c r="C24" i="46" s="1"/>
  <c r="B22" i="46"/>
  <c r="B24" i="46" s="1"/>
  <c r="A8" i="46"/>
  <c r="A9" i="46"/>
  <c r="A10" i="46"/>
  <c r="F4" i="55"/>
  <c r="C4" i="55"/>
  <c r="A4" i="55"/>
  <c r="F3" i="55"/>
  <c r="C3" i="55"/>
  <c r="A3" i="55"/>
  <c r="H11" i="22"/>
  <c r="H12" i="22"/>
  <c r="H13" i="22"/>
  <c r="H14" i="22"/>
  <c r="H15" i="22"/>
  <c r="H16" i="22"/>
  <c r="H17" i="22"/>
  <c r="H18" i="22"/>
  <c r="H19" i="22"/>
  <c r="H20" i="22"/>
  <c r="H21" i="22"/>
  <c r="H22" i="22"/>
  <c r="H23" i="22"/>
  <c r="H24" i="22"/>
  <c r="H25" i="22"/>
  <c r="H26" i="22"/>
  <c r="H27" i="22"/>
  <c r="H28" i="22"/>
  <c r="H29" i="22"/>
  <c r="H30" i="22"/>
  <c r="H10" i="22"/>
  <c r="Z31" i="22"/>
  <c r="F31" i="22"/>
  <c r="G31" i="22"/>
  <c r="M31" i="22"/>
  <c r="N31" i="22"/>
  <c r="R31" i="22"/>
  <c r="S31" i="22"/>
  <c r="E31" i="22"/>
  <c r="H4" i="48"/>
  <c r="G4" i="50"/>
  <c r="R4" i="22"/>
  <c r="C4" i="33"/>
  <c r="C4" i="32"/>
  <c r="H4" i="46"/>
  <c r="E4" i="54"/>
  <c r="D4" i="48"/>
  <c r="E4" i="50"/>
  <c r="I4" i="22"/>
  <c r="B4" i="33"/>
  <c r="B4" i="32"/>
  <c r="E4" i="46"/>
  <c r="C4" i="54"/>
  <c r="E3" i="54"/>
  <c r="C3" i="54"/>
  <c r="A3" i="54"/>
  <c r="A3" i="46"/>
  <c r="A20" i="33"/>
  <c r="G3" i="50"/>
  <c r="E3" i="50"/>
  <c r="A4" i="50"/>
  <c r="A3" i="50"/>
  <c r="B20" i="32"/>
  <c r="B21" i="32"/>
  <c r="B22" i="32"/>
  <c r="C21" i="33"/>
  <c r="C22" i="33"/>
  <c r="C20" i="33"/>
  <c r="B21" i="33"/>
  <c r="B22" i="33"/>
  <c r="B20" i="33"/>
  <c r="A21" i="33"/>
  <c r="A22" i="33"/>
  <c r="C21" i="32"/>
  <c r="C22" i="32"/>
  <c r="C20" i="32"/>
  <c r="A22" i="32"/>
  <c r="A21" i="32"/>
  <c r="A20" i="32"/>
  <c r="H3" i="48"/>
  <c r="D3" i="48"/>
  <c r="A4" i="48"/>
  <c r="A3" i="48"/>
  <c r="I14" i="48"/>
  <c r="O17" i="22"/>
  <c r="T17" i="22" s="1"/>
  <c r="O13" i="22"/>
  <c r="T13" i="22" s="1"/>
  <c r="O16" i="22"/>
  <c r="T16" i="22" s="1"/>
  <c r="O15" i="22"/>
  <c r="T15" i="22" s="1"/>
  <c r="O14" i="22"/>
  <c r="T14" i="22" s="1"/>
  <c r="A4" i="46"/>
  <c r="H3" i="46"/>
  <c r="E3" i="46"/>
  <c r="C3" i="33"/>
  <c r="B3" i="33"/>
  <c r="A4" i="33"/>
  <c r="A3" i="33"/>
  <c r="C3" i="32"/>
  <c r="B3" i="32"/>
  <c r="A4" i="32"/>
  <c r="A3" i="32"/>
  <c r="O30" i="22"/>
  <c r="T30" i="22" s="1"/>
  <c r="O29" i="22"/>
  <c r="T29" i="22" s="1"/>
  <c r="O28" i="22"/>
  <c r="T28" i="22" s="1"/>
  <c r="O27" i="22"/>
  <c r="T27" i="22" s="1"/>
  <c r="O26" i="22"/>
  <c r="T26" i="22" s="1"/>
  <c r="O25" i="22"/>
  <c r="T25" i="22" s="1"/>
  <c r="O24" i="22"/>
  <c r="T24" i="22" s="1"/>
  <c r="O23" i="22"/>
  <c r="T23" i="22" s="1"/>
  <c r="O22" i="22"/>
  <c r="T22" i="22" s="1"/>
  <c r="O21" i="22"/>
  <c r="T21" i="22" s="1"/>
  <c r="O20" i="22"/>
  <c r="T20" i="22" s="1"/>
  <c r="O19" i="22"/>
  <c r="T19" i="22" s="1"/>
  <c r="O18" i="22"/>
  <c r="T18" i="22" s="1"/>
  <c r="O12" i="22"/>
  <c r="R3" i="22"/>
  <c r="I3" i="22"/>
  <c r="A4" i="22"/>
  <c r="A3" i="22"/>
  <c r="W33" i="22" l="1"/>
  <c r="V33" i="22"/>
  <c r="L31" i="22"/>
  <c r="E20" i="46" s="1"/>
  <c r="C10" i="46"/>
  <c r="G10" i="46"/>
  <c r="D10" i="46"/>
  <c r="B10" i="46"/>
  <c r="H10" i="46"/>
  <c r="H9" i="46"/>
  <c r="G9" i="46"/>
  <c r="C9" i="46"/>
  <c r="B9" i="46"/>
  <c r="D9" i="46"/>
  <c r="H8" i="46"/>
  <c r="C8" i="46"/>
  <c r="G8" i="46"/>
  <c r="B8" i="46"/>
  <c r="D8" i="46"/>
  <c r="F9" i="46"/>
  <c r="F8" i="46"/>
  <c r="E19" i="46"/>
  <c r="J19" i="46" s="1"/>
  <c r="K19" i="46" s="1"/>
  <c r="E18" i="46"/>
  <c r="J18" i="46" s="1"/>
  <c r="K18" i="46" s="1"/>
  <c r="E17" i="46"/>
  <c r="J17" i="46" s="1"/>
  <c r="T11" i="22"/>
  <c r="T12" i="22"/>
  <c r="F10" i="46"/>
  <c r="B23" i="33"/>
  <c r="H31" i="22"/>
  <c r="O31" i="22"/>
  <c r="B23" i="32"/>
  <c r="L32" i="22" l="1"/>
  <c r="H32" i="22"/>
  <c r="J32" i="22"/>
  <c r="K32" i="22"/>
  <c r="I32" i="22"/>
  <c r="X31" i="22"/>
  <c r="E22" i="46"/>
  <c r="E24" i="46" s="1"/>
  <c r="C11" i="46"/>
  <c r="C13" i="46" s="1"/>
  <c r="T31" i="22"/>
  <c r="E9" i="46"/>
  <c r="C14" i="33" s="1"/>
  <c r="D11" i="46"/>
  <c r="D13" i="46" s="1"/>
  <c r="G11" i="46"/>
  <c r="G13" i="46" s="1"/>
  <c r="I10" i="46"/>
  <c r="B15" i="33" s="1"/>
  <c r="I9" i="46"/>
  <c r="B11" i="46"/>
  <c r="B13" i="46" s="1"/>
  <c r="E8" i="46"/>
  <c r="K17" i="46"/>
  <c r="E10" i="46"/>
  <c r="F11" i="46"/>
  <c r="F13" i="46" s="1"/>
  <c r="I8" i="46"/>
  <c r="H11" i="46"/>
  <c r="H13" i="46" s="1"/>
  <c r="X32" i="22" l="1"/>
  <c r="X33" i="22"/>
  <c r="T33" i="22"/>
  <c r="U32" i="22"/>
  <c r="V32" i="22"/>
  <c r="W32" i="22"/>
  <c r="I20" i="46"/>
  <c r="I22" i="46" s="1"/>
  <c r="I24" i="46" s="1"/>
  <c r="T32" i="22"/>
  <c r="B15" i="32"/>
  <c r="C14" i="32"/>
  <c r="J9" i="46"/>
  <c r="K9" i="46" s="1"/>
  <c r="B14" i="33"/>
  <c r="B14" i="32"/>
  <c r="B13" i="33"/>
  <c r="I11" i="46"/>
  <c r="B13" i="32"/>
  <c r="J8" i="46"/>
  <c r="K8" i="46" s="1"/>
  <c r="C15" i="33"/>
  <c r="C15" i="32"/>
  <c r="C13" i="33"/>
  <c r="C13" i="32"/>
  <c r="E11" i="46"/>
  <c r="J10" i="46"/>
  <c r="K10" i="46" s="1"/>
  <c r="J20" i="46" l="1"/>
  <c r="B17" i="33"/>
  <c r="B9" i="33" s="1"/>
  <c r="B10" i="33" s="1"/>
  <c r="C17" i="32"/>
  <c r="C9" i="32" s="1"/>
  <c r="C10" i="32" s="1"/>
  <c r="B17" i="32"/>
  <c r="B9" i="32" s="1"/>
  <c r="B10" i="32" s="1"/>
  <c r="C17" i="33"/>
  <c r="C9" i="33" s="1"/>
  <c r="C10" i="33" s="1"/>
  <c r="J11" i="46"/>
  <c r="K11" i="46" s="1"/>
  <c r="G29" i="46"/>
  <c r="G30" i="46" s="1"/>
  <c r="G32" i="46" s="1"/>
  <c r="I13" i="46"/>
  <c r="H29" i="46"/>
  <c r="H30" i="46" s="1"/>
  <c r="H32" i="46" s="1"/>
  <c r="E13" i="46"/>
  <c r="K20" i="46" l="1"/>
  <c r="J22" i="46"/>
  <c r="K22" i="46"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Windows 用户</author>
    <author>Zhang Na 章娜</author>
  </authors>
  <commentList>
    <comment ref="B8" authorId="0" shapeId="0">
      <text>
        <r>
          <rPr>
            <b/>
            <sz val="9"/>
            <color indexed="81"/>
            <rFont val="宋体"/>
            <family val="3"/>
            <charset val="134"/>
          </rPr>
          <t>Windows 用户:</t>
        </r>
        <r>
          <rPr>
            <sz val="9"/>
            <color indexed="81"/>
            <rFont val="宋体"/>
            <family val="3"/>
            <charset val="134"/>
          </rPr>
          <t xml:space="preserve">
可填写债权人的唯一识别编码，如被审计单位财务或业务系统中的公司编码</t>
        </r>
      </text>
    </comment>
    <comment ref="C8" authorId="1" shapeId="0">
      <text>
        <r>
          <rPr>
            <sz val="9"/>
            <color indexed="81"/>
            <rFont val="宋体"/>
            <family val="3"/>
            <charset val="134"/>
          </rPr>
          <t xml:space="preserve">期末关联方类型
</t>
        </r>
      </text>
    </comment>
    <comment ref="D8" authorId="1" shapeId="0">
      <text>
        <r>
          <rPr>
            <sz val="9"/>
            <color indexed="81"/>
            <rFont val="宋体"/>
            <family val="3"/>
            <charset val="134"/>
          </rPr>
          <t xml:space="preserve">期末款项性质
</t>
        </r>
      </text>
    </comment>
  </commentList>
</comments>
</file>

<file path=xl/sharedStrings.xml><?xml version="1.0" encoding="utf-8"?>
<sst xmlns="http://schemas.openxmlformats.org/spreadsheetml/2006/main" count="507" uniqueCount="420">
  <si>
    <t>底稿开列时，可先在以下单元格填写有关内容，以便其他底稿引用有关数据：</t>
    <phoneticPr fontId="18" type="noConversion"/>
  </si>
  <si>
    <t>期末余额</t>
  </si>
  <si>
    <t>C1</t>
  </si>
  <si>
    <t>Custom 1</t>
  </si>
  <si>
    <t>C2</t>
  </si>
  <si>
    <t>Custom 2</t>
  </si>
  <si>
    <t>C3</t>
  </si>
  <si>
    <t>Custom 3</t>
  </si>
  <si>
    <t>C4</t>
  </si>
  <si>
    <t>Custom 4</t>
  </si>
  <si>
    <t>C5</t>
  </si>
  <si>
    <t>Custom 5</t>
  </si>
  <si>
    <t>C6</t>
  </si>
  <si>
    <t>Custom 6</t>
  </si>
  <si>
    <t>C7</t>
  </si>
  <si>
    <t>Custom 7</t>
  </si>
  <si>
    <t>C8</t>
  </si>
  <si>
    <t>Custom 8</t>
  </si>
  <si>
    <t>内容</t>
  </si>
  <si>
    <t>致同会计师事务所</t>
  </si>
  <si>
    <t>页次：</t>
  </si>
  <si>
    <t>合计</t>
  </si>
  <si>
    <r>
      <rPr>
        <sz val="10"/>
        <rFont val="宋体"/>
        <family val="3"/>
        <charset val="134"/>
      </rPr>
      <t>页次：</t>
    </r>
  </si>
  <si>
    <t>债权单位名称</t>
  </si>
  <si>
    <t>未偿还原因</t>
  </si>
  <si>
    <r>
      <rPr>
        <b/>
        <sz val="10"/>
        <color indexed="8"/>
        <rFont val="宋体"/>
        <family val="3"/>
        <charset val="134"/>
      </rPr>
      <t>项目</t>
    </r>
  </si>
  <si>
    <r>
      <rPr>
        <b/>
        <sz val="10"/>
        <rFont val="宋体"/>
        <family val="3"/>
        <charset val="134"/>
      </rPr>
      <t>期初数</t>
    </r>
    <phoneticPr fontId="18" type="noConversion"/>
  </si>
  <si>
    <r>
      <rPr>
        <b/>
        <sz val="10"/>
        <rFont val="宋体"/>
        <family val="3"/>
        <charset val="134"/>
      </rPr>
      <t>期末数</t>
    </r>
    <phoneticPr fontId="18" type="noConversion"/>
  </si>
  <si>
    <r>
      <rPr>
        <b/>
        <sz val="10"/>
        <color indexed="8"/>
        <rFont val="宋体"/>
        <family val="3"/>
        <charset val="134"/>
      </rPr>
      <t>本期审定数与上期
审定数的比较</t>
    </r>
    <phoneticPr fontId="18" type="noConversion"/>
  </si>
  <si>
    <r>
      <rPr>
        <b/>
        <sz val="10"/>
        <rFont val="宋体"/>
        <family val="3"/>
        <charset val="134"/>
      </rPr>
      <t>未审数</t>
    </r>
    <phoneticPr fontId="18" type="noConversion"/>
  </si>
  <si>
    <r>
      <rPr>
        <b/>
        <sz val="10"/>
        <rFont val="宋体"/>
        <family val="3"/>
        <charset val="134"/>
      </rPr>
      <t>账项调整</t>
    </r>
    <phoneticPr fontId="18" type="noConversion"/>
  </si>
  <si>
    <r>
      <rPr>
        <b/>
        <sz val="10"/>
        <rFont val="宋体"/>
        <family val="3"/>
        <charset val="134"/>
      </rPr>
      <t>重分类调整</t>
    </r>
    <phoneticPr fontId="18" type="noConversion"/>
  </si>
  <si>
    <r>
      <rPr>
        <b/>
        <sz val="10"/>
        <rFont val="宋体"/>
        <family val="3"/>
        <charset val="134"/>
      </rPr>
      <t>审定数</t>
    </r>
    <phoneticPr fontId="18" type="noConversion"/>
  </si>
  <si>
    <r>
      <rPr>
        <b/>
        <sz val="10"/>
        <rFont val="宋体"/>
        <family val="3"/>
        <charset val="134"/>
      </rPr>
      <t>变动额</t>
    </r>
    <phoneticPr fontId="18" type="noConversion"/>
  </si>
  <si>
    <r>
      <rPr>
        <b/>
        <sz val="10"/>
        <color indexed="8"/>
        <rFont val="宋体"/>
        <family val="3"/>
        <charset val="134"/>
      </rPr>
      <t>变动率</t>
    </r>
    <phoneticPr fontId="18" type="noConversion"/>
  </si>
  <si>
    <r>
      <t>1</t>
    </r>
    <r>
      <rPr>
        <sz val="10"/>
        <color indexed="8"/>
        <rFont val="宋体"/>
        <family val="3"/>
        <charset val="134"/>
      </rPr>
      <t>至</t>
    </r>
    <r>
      <rPr>
        <sz val="10"/>
        <color indexed="8"/>
        <rFont val="Arial Narrow"/>
        <family val="2"/>
      </rPr>
      <t>2</t>
    </r>
    <r>
      <rPr>
        <sz val="10"/>
        <color indexed="8"/>
        <rFont val="宋体"/>
        <family val="3"/>
        <charset val="134"/>
      </rPr>
      <t>年（含</t>
    </r>
    <r>
      <rPr>
        <sz val="10"/>
        <color indexed="8"/>
        <rFont val="Arial Narrow"/>
        <family val="2"/>
      </rPr>
      <t>2</t>
    </r>
    <r>
      <rPr>
        <sz val="10"/>
        <color indexed="8"/>
        <rFont val="宋体"/>
        <family val="3"/>
        <charset val="134"/>
      </rPr>
      <t>年）</t>
    </r>
  </si>
  <si>
    <r>
      <t>2</t>
    </r>
    <r>
      <rPr>
        <sz val="10"/>
        <color indexed="8"/>
        <rFont val="宋体"/>
        <family val="3"/>
        <charset val="134"/>
      </rPr>
      <t>至</t>
    </r>
    <r>
      <rPr>
        <sz val="10"/>
        <color indexed="8"/>
        <rFont val="Arial Narrow"/>
        <family val="2"/>
      </rPr>
      <t>3</t>
    </r>
    <r>
      <rPr>
        <sz val="10"/>
        <color indexed="8"/>
        <rFont val="宋体"/>
        <family val="3"/>
        <charset val="134"/>
      </rPr>
      <t>年（含</t>
    </r>
    <r>
      <rPr>
        <sz val="10"/>
        <color indexed="8"/>
        <rFont val="Arial Narrow"/>
        <family val="2"/>
      </rPr>
      <t>3</t>
    </r>
    <r>
      <rPr>
        <sz val="10"/>
        <color indexed="8"/>
        <rFont val="宋体"/>
        <family val="3"/>
        <charset val="134"/>
      </rPr>
      <t>年）</t>
    </r>
  </si>
  <si>
    <r>
      <t>3</t>
    </r>
    <r>
      <rPr>
        <sz val="10"/>
        <color indexed="8"/>
        <rFont val="宋体"/>
        <family val="3"/>
        <charset val="134"/>
      </rPr>
      <t>年以上</t>
    </r>
  </si>
  <si>
    <t>合计</t>
    <phoneticPr fontId="18" type="noConversion"/>
  </si>
  <si>
    <r>
      <t>1</t>
    </r>
    <r>
      <rPr>
        <sz val="10"/>
        <color indexed="8"/>
        <rFont val="宋体"/>
        <family val="3"/>
        <charset val="134"/>
      </rPr>
      <t>年以内（含</t>
    </r>
    <r>
      <rPr>
        <sz val="10"/>
        <color indexed="8"/>
        <rFont val="Arial Narrow"/>
        <family val="2"/>
      </rPr>
      <t>1</t>
    </r>
    <r>
      <rPr>
        <sz val="10"/>
        <color indexed="8"/>
        <rFont val="宋体"/>
        <family val="3"/>
        <charset val="134"/>
      </rPr>
      <t>年）</t>
    </r>
  </si>
  <si>
    <t>一、按照性质分类</t>
    <phoneticPr fontId="18" type="noConversion"/>
  </si>
  <si>
    <t>二、按照账龄分类</t>
    <phoneticPr fontId="18" type="noConversion"/>
  </si>
  <si>
    <r>
      <rPr>
        <b/>
        <sz val="10"/>
        <color indexed="8"/>
        <rFont val="宋体"/>
        <family val="3"/>
        <charset val="134"/>
      </rPr>
      <t>一、审计目标</t>
    </r>
    <r>
      <rPr>
        <b/>
        <sz val="10"/>
        <color indexed="8"/>
        <rFont val="Arial Narrow"/>
        <family val="2"/>
      </rPr>
      <t>:</t>
    </r>
    <phoneticPr fontId="22" type="noConversion"/>
  </si>
  <si>
    <r>
      <rPr>
        <b/>
        <sz val="10"/>
        <rFont val="宋体"/>
        <family val="3"/>
        <charset val="134"/>
      </rPr>
      <t>债权人名称</t>
    </r>
    <phoneticPr fontId="18" type="noConversion"/>
  </si>
  <si>
    <r>
      <rPr>
        <b/>
        <sz val="10"/>
        <rFont val="宋体"/>
        <family val="3"/>
        <charset val="134"/>
      </rPr>
      <t>账项调整</t>
    </r>
    <phoneticPr fontId="18" type="noConversion"/>
  </si>
  <si>
    <r>
      <rPr>
        <b/>
        <sz val="10"/>
        <rFont val="宋体"/>
        <family val="3"/>
        <charset val="134"/>
      </rPr>
      <t>重分类调整</t>
    </r>
    <phoneticPr fontId="18" type="noConversion"/>
  </si>
  <si>
    <r>
      <rPr>
        <b/>
        <sz val="10"/>
        <rFont val="宋体"/>
        <family val="3"/>
        <charset val="134"/>
      </rPr>
      <t>审定数</t>
    </r>
  </si>
  <si>
    <r>
      <rPr>
        <b/>
        <sz val="10"/>
        <rFont val="宋体"/>
        <family val="3"/>
        <charset val="134"/>
      </rPr>
      <t>审定账龄</t>
    </r>
    <phoneticPr fontId="22" type="noConversion"/>
  </si>
  <si>
    <r>
      <rPr>
        <b/>
        <sz val="10"/>
        <rFont val="宋体"/>
        <family val="3"/>
        <charset val="134"/>
      </rPr>
      <t>期后付款</t>
    </r>
    <phoneticPr fontId="22" type="noConversion"/>
  </si>
  <si>
    <r>
      <rPr>
        <b/>
        <sz val="10"/>
        <rFont val="宋体"/>
        <family val="3"/>
        <charset val="134"/>
      </rPr>
      <t>备注</t>
    </r>
  </si>
  <si>
    <r>
      <rPr>
        <b/>
        <sz val="10"/>
        <rFont val="宋体"/>
        <family val="3"/>
        <charset val="134"/>
      </rPr>
      <t>借方发生</t>
    </r>
    <phoneticPr fontId="22" type="noConversion"/>
  </si>
  <si>
    <r>
      <rPr>
        <b/>
        <sz val="10"/>
        <rFont val="宋体"/>
        <family val="3"/>
        <charset val="134"/>
      </rPr>
      <t>贷方发生</t>
    </r>
    <phoneticPr fontId="22" type="noConversion"/>
  </si>
  <si>
    <r>
      <rPr>
        <b/>
        <sz val="10"/>
        <rFont val="宋体"/>
        <family val="3"/>
        <charset val="134"/>
      </rPr>
      <t>期末余额</t>
    </r>
    <phoneticPr fontId="22" type="noConversion"/>
  </si>
  <si>
    <r>
      <rPr>
        <b/>
        <sz val="10"/>
        <rFont val="宋体"/>
        <family val="3"/>
        <charset val="134"/>
      </rPr>
      <t>三、审计说明：</t>
    </r>
    <r>
      <rPr>
        <b/>
        <sz val="10"/>
        <color indexed="12"/>
        <rFont val="Arial Narrow"/>
        <family val="2"/>
      </rPr>
      <t/>
    </r>
    <phoneticPr fontId="18" type="noConversion"/>
  </si>
  <si>
    <r>
      <rPr>
        <b/>
        <sz val="10"/>
        <rFont val="宋体"/>
        <family val="3"/>
        <charset val="134"/>
      </rPr>
      <t>四、审计结论：</t>
    </r>
    <phoneticPr fontId="22" type="noConversion"/>
  </si>
  <si>
    <r>
      <rPr>
        <b/>
        <sz val="10"/>
        <rFont val="宋体"/>
        <family val="3"/>
        <charset val="134"/>
      </rPr>
      <t>一、审计目标</t>
    </r>
    <phoneticPr fontId="18" type="noConversion"/>
  </si>
  <si>
    <r>
      <rPr>
        <b/>
        <sz val="10"/>
        <rFont val="宋体"/>
        <family val="3"/>
        <charset val="134"/>
      </rPr>
      <t>二、审计过程</t>
    </r>
    <phoneticPr fontId="18" type="noConversion"/>
  </si>
  <si>
    <r>
      <rPr>
        <b/>
        <sz val="10"/>
        <rFont val="宋体"/>
        <family val="3"/>
        <charset val="134"/>
      </rPr>
      <t>债权人名称</t>
    </r>
    <phoneticPr fontId="18" type="noConversion"/>
  </si>
  <si>
    <r>
      <rPr>
        <b/>
        <sz val="10"/>
        <rFont val="宋体"/>
        <family val="3"/>
        <charset val="134"/>
      </rPr>
      <t>期末余额</t>
    </r>
    <phoneticPr fontId="18" type="noConversion"/>
  </si>
  <si>
    <r>
      <rPr>
        <b/>
        <sz val="10"/>
        <rFont val="宋体"/>
        <family val="3"/>
        <charset val="134"/>
      </rPr>
      <t>账龄</t>
    </r>
    <phoneticPr fontId="18" type="noConversion"/>
  </si>
  <si>
    <r>
      <rPr>
        <b/>
        <sz val="10"/>
        <rFont val="宋体"/>
        <family val="3"/>
        <charset val="134"/>
      </rPr>
      <t>经济业务说明</t>
    </r>
    <phoneticPr fontId="18" type="noConversion"/>
  </si>
  <si>
    <r>
      <rPr>
        <b/>
        <sz val="10"/>
        <rFont val="宋体"/>
        <family val="3"/>
        <charset val="134"/>
      </rPr>
      <t>是否无法支付</t>
    </r>
    <phoneticPr fontId="18" type="noConversion"/>
  </si>
  <si>
    <r>
      <rPr>
        <b/>
        <sz val="10"/>
        <rFont val="宋体"/>
        <family val="3"/>
        <charset val="134"/>
      </rPr>
      <t>审定余额</t>
    </r>
    <phoneticPr fontId="18" type="noConversion"/>
  </si>
  <si>
    <r>
      <rPr>
        <b/>
        <sz val="10"/>
        <rFont val="宋体"/>
        <family val="3"/>
        <charset val="134"/>
      </rPr>
      <t>备注</t>
    </r>
    <phoneticPr fontId="18" type="noConversion"/>
  </si>
  <si>
    <r>
      <rPr>
        <b/>
        <sz val="10"/>
        <rFont val="宋体"/>
        <family val="3"/>
        <charset val="134"/>
      </rPr>
      <t>三、审计说明</t>
    </r>
    <phoneticPr fontId="18" type="noConversion"/>
  </si>
  <si>
    <r>
      <rPr>
        <b/>
        <sz val="10"/>
        <rFont val="宋体"/>
        <family val="3"/>
        <charset val="134"/>
      </rPr>
      <t>四、审计结论</t>
    </r>
    <phoneticPr fontId="18" type="noConversion"/>
  </si>
  <si>
    <t>未偿还或未结转的原因</t>
    <phoneticPr fontId="18" type="noConversion"/>
  </si>
  <si>
    <t>其他应付款审定表</t>
    <phoneticPr fontId="18" type="noConversion"/>
  </si>
  <si>
    <t>其中，账龄超过1年的重要其他应付款</t>
  </si>
  <si>
    <t>其他应付款附注披露信息（上市公司）</t>
    <phoneticPr fontId="18" type="noConversion"/>
  </si>
  <si>
    <t>其他应付款附注披露信息（国企）</t>
  </si>
  <si>
    <t>其他应付款明细表</t>
  </si>
  <si>
    <t>二、审计过程：</t>
    <phoneticPr fontId="22" type="noConversion"/>
  </si>
  <si>
    <r>
      <rPr>
        <b/>
        <sz val="10"/>
        <color indexed="8"/>
        <rFont val="宋体"/>
        <family val="3"/>
        <charset val="134"/>
      </rPr>
      <t>一、审计目标</t>
    </r>
    <r>
      <rPr>
        <b/>
        <sz val="10"/>
        <color indexed="8"/>
        <rFont val="Arial Narrow"/>
        <family val="2"/>
      </rPr>
      <t>:</t>
    </r>
    <phoneticPr fontId="22" type="noConversion"/>
  </si>
  <si>
    <r>
      <rPr>
        <b/>
        <sz val="10"/>
        <rFont val="宋体"/>
        <family val="3"/>
        <charset val="134"/>
      </rPr>
      <t>二、审计过程：</t>
    </r>
    <phoneticPr fontId="18" type="noConversion"/>
  </si>
  <si>
    <r>
      <rPr>
        <b/>
        <sz val="10"/>
        <rFont val="宋体"/>
        <family val="3"/>
        <charset val="134"/>
      </rPr>
      <t>三、审计说明：</t>
    </r>
    <r>
      <rPr>
        <sz val="10"/>
        <color indexed="12"/>
        <rFont val="宋体"/>
        <family val="3"/>
        <charset val="134"/>
      </rPr>
      <t/>
    </r>
    <phoneticPr fontId="18" type="noConversion"/>
  </si>
  <si>
    <r>
      <rPr>
        <b/>
        <sz val="10"/>
        <rFont val="宋体"/>
        <family val="3"/>
        <charset val="134"/>
      </rPr>
      <t>四、审计结论：</t>
    </r>
    <phoneticPr fontId="18" type="noConversion"/>
  </si>
  <si>
    <r>
      <rPr>
        <b/>
        <sz val="10"/>
        <color indexed="8"/>
        <rFont val="宋体"/>
        <family val="3"/>
        <charset val="134"/>
      </rPr>
      <t>序号</t>
    </r>
  </si>
  <si>
    <r>
      <rPr>
        <b/>
        <sz val="10"/>
        <color indexed="8"/>
        <rFont val="宋体"/>
        <family val="3"/>
        <charset val="134"/>
      </rPr>
      <t>索引号</t>
    </r>
  </si>
  <si>
    <r>
      <rPr>
        <b/>
        <sz val="10"/>
        <color indexed="8"/>
        <rFont val="宋体"/>
        <family val="3"/>
        <charset val="134"/>
      </rPr>
      <t>备注</t>
    </r>
  </si>
  <si>
    <r>
      <rPr>
        <b/>
        <sz val="10"/>
        <color indexed="8"/>
        <rFont val="宋体"/>
        <family val="3"/>
        <charset val="134"/>
      </rPr>
      <t>合计</t>
    </r>
    <phoneticPr fontId="22" type="noConversion"/>
  </si>
  <si>
    <r>
      <t>（</t>
    </r>
    <r>
      <rPr>
        <sz val="10"/>
        <rFont val="Arial Narrow"/>
        <family val="2"/>
      </rPr>
      <t>2</t>
    </r>
    <r>
      <rPr>
        <sz val="10"/>
        <rFont val="宋体"/>
        <family val="3"/>
        <charset val="134"/>
      </rPr>
      <t>）情况说明。</t>
    </r>
    <phoneticPr fontId="18" type="noConversion"/>
  </si>
  <si>
    <r>
      <rPr>
        <b/>
        <sz val="10"/>
        <rFont val="宋体"/>
        <family val="3"/>
        <charset val="134"/>
      </rPr>
      <t>期初余额</t>
    </r>
    <phoneticPr fontId="18" type="noConversion"/>
  </si>
  <si>
    <r>
      <rPr>
        <b/>
        <sz val="10"/>
        <rFont val="宋体"/>
        <family val="3"/>
        <charset val="134"/>
      </rPr>
      <t>本期借方</t>
    </r>
    <phoneticPr fontId="18" type="noConversion"/>
  </si>
  <si>
    <r>
      <rPr>
        <b/>
        <sz val="10"/>
        <rFont val="宋体"/>
        <family val="3"/>
        <charset val="134"/>
      </rPr>
      <t>本期贷方</t>
    </r>
    <phoneticPr fontId="18" type="noConversion"/>
  </si>
  <si>
    <t>账龄</t>
    <phoneticPr fontId="18" type="noConversion"/>
  </si>
  <si>
    <r>
      <rPr>
        <b/>
        <sz val="10"/>
        <rFont val="宋体"/>
        <family val="3"/>
        <charset val="134"/>
      </rPr>
      <t>经济业务说明</t>
    </r>
    <phoneticPr fontId="18" type="noConversion"/>
  </si>
  <si>
    <r>
      <rPr>
        <b/>
        <sz val="10"/>
        <rFont val="宋体"/>
        <family val="3"/>
        <charset val="134"/>
      </rPr>
      <t>关联方（√）</t>
    </r>
    <phoneticPr fontId="18" type="noConversion"/>
  </si>
  <si>
    <r>
      <rPr>
        <b/>
        <sz val="10"/>
        <rFont val="宋体"/>
        <family val="3"/>
        <charset val="134"/>
      </rPr>
      <t>协议或合同索引</t>
    </r>
    <phoneticPr fontId="18" type="noConversion"/>
  </si>
  <si>
    <t>合计</t>
    <phoneticPr fontId="18" type="noConversion"/>
  </si>
  <si>
    <t>凭证编号</t>
  </si>
  <si>
    <t>债权人名称</t>
    <phoneticPr fontId="18" type="noConversion"/>
  </si>
  <si>
    <t>期末数</t>
  </si>
  <si>
    <t>押金</t>
    <phoneticPr fontId="18" type="noConversion"/>
  </si>
  <si>
    <t>可无限量添加行</t>
  </si>
  <si>
    <t>项 目</t>
  </si>
  <si>
    <t>保证金</t>
    <phoneticPr fontId="18" type="noConversion"/>
  </si>
  <si>
    <t>其他</t>
    <phoneticPr fontId="18" type="noConversion"/>
  </si>
  <si>
    <t>合 计</t>
  </si>
  <si>
    <t>项目</t>
  </si>
  <si>
    <t>未偿还或未结转的原因</t>
    <phoneticPr fontId="18" type="noConversion"/>
  </si>
  <si>
    <t>账  龄</t>
  </si>
  <si>
    <t>合  计</t>
  </si>
  <si>
    <r>
      <rPr>
        <sz val="10"/>
        <rFont val="宋体"/>
        <family val="3"/>
        <charset val="134"/>
      </rPr>
      <t>（</t>
    </r>
    <r>
      <rPr>
        <sz val="10"/>
        <rFont val="Arial Narrow"/>
        <family val="2"/>
      </rPr>
      <t>3</t>
    </r>
    <r>
      <rPr>
        <sz val="10"/>
        <rFont val="宋体"/>
        <family val="3"/>
        <charset val="134"/>
      </rPr>
      <t>）与经审计的财务报表核对</t>
    </r>
    <phoneticPr fontId="22" type="noConversion"/>
  </si>
  <si>
    <t>期末数</t>
    <phoneticPr fontId="22" type="noConversion"/>
  </si>
  <si>
    <t>期初数</t>
    <phoneticPr fontId="22" type="noConversion"/>
  </si>
  <si>
    <t>索引号</t>
    <phoneticPr fontId="22" type="noConversion"/>
  </si>
  <si>
    <t>A3-1</t>
    <phoneticPr fontId="22" type="noConversion"/>
  </si>
  <si>
    <t>应付利息审定数</t>
    <phoneticPr fontId="22" type="noConversion"/>
  </si>
  <si>
    <t>应付股利审定数</t>
    <phoneticPr fontId="46" type="noConversion"/>
  </si>
  <si>
    <t>P2</t>
  </si>
  <si>
    <t>Q1</t>
  </si>
  <si>
    <t>项目</t>
    <phoneticPr fontId="18" type="noConversion"/>
  </si>
  <si>
    <t>应付利息</t>
    <phoneticPr fontId="18" type="noConversion"/>
  </si>
  <si>
    <t>应付股利</t>
    <phoneticPr fontId="18" type="noConversion"/>
  </si>
  <si>
    <t>其他应付款</t>
    <phoneticPr fontId="18" type="noConversion"/>
  </si>
  <si>
    <t>其他应付款</t>
    <phoneticPr fontId="18" type="noConversion"/>
  </si>
  <si>
    <t>致同会计师事务所</t>
    <phoneticPr fontId="18" type="noConversion"/>
  </si>
  <si>
    <t>会计期间：202X年度</t>
  </si>
  <si>
    <r>
      <rPr>
        <b/>
        <sz val="10"/>
        <rFont val="宋体"/>
        <family val="3"/>
        <charset val="134"/>
      </rPr>
      <t>财务报表的认定　</t>
    </r>
  </si>
  <si>
    <t>存在</t>
    <phoneticPr fontId="18" type="noConversion"/>
  </si>
  <si>
    <t>√</t>
    <phoneticPr fontId="18" type="noConversion"/>
  </si>
  <si>
    <t>三、计划实施的实质性程序</t>
    <phoneticPr fontId="18" type="noConversion"/>
  </si>
  <si>
    <t>序号</t>
    <phoneticPr fontId="18" type="noConversion"/>
  </si>
  <si>
    <t>常规★</t>
    <phoneticPr fontId="18" type="noConversion"/>
  </si>
  <si>
    <t>1</t>
    <phoneticPr fontId="18" type="noConversion"/>
  </si>
  <si>
    <t>期初审定</t>
    <phoneticPr fontId="22" type="noConversion"/>
  </si>
  <si>
    <t>期初未审数</t>
    <phoneticPr fontId="22" type="noConversion"/>
  </si>
  <si>
    <t>期初账项调整</t>
    <phoneticPr fontId="22" type="noConversion"/>
  </si>
  <si>
    <t>期初重分类调整</t>
    <phoneticPr fontId="22" type="noConversion"/>
  </si>
  <si>
    <t>期初审定账龄</t>
    <phoneticPr fontId="22" type="noConversion"/>
  </si>
  <si>
    <t>关联方类别设置（以下内容请根据实际情况修改）：</t>
    <phoneticPr fontId="18" type="noConversion"/>
  </si>
  <si>
    <t>关联方（合并范围内）</t>
    <phoneticPr fontId="18" type="noConversion"/>
  </si>
  <si>
    <t>关联方（合并范围外）</t>
    <phoneticPr fontId="18" type="noConversion"/>
  </si>
  <si>
    <t>非关联方</t>
    <phoneticPr fontId="18" type="noConversion"/>
  </si>
  <si>
    <t>……</t>
    <phoneticPr fontId="18" type="noConversion"/>
  </si>
  <si>
    <t>款项性质类别设置（以下内容请根据实际情况修改）：</t>
    <phoneticPr fontId="18" type="noConversion"/>
  </si>
  <si>
    <t>押金</t>
  </si>
  <si>
    <t>保证金</t>
  </si>
  <si>
    <t>其他</t>
  </si>
  <si>
    <r>
      <rPr>
        <sz val="10"/>
        <color indexed="8"/>
        <rFont val="宋体"/>
        <family val="3"/>
        <charset val="134"/>
      </rPr>
      <t>索引号：</t>
    </r>
  </si>
  <si>
    <t>调整事项说明</t>
    <phoneticPr fontId="18" type="noConversion"/>
  </si>
  <si>
    <t>类别（报表调整/账项调整/其他）</t>
    <phoneticPr fontId="18" type="noConversion"/>
  </si>
  <si>
    <t>科目名称</t>
    <phoneticPr fontId="18" type="noConversion"/>
  </si>
  <si>
    <t>附注项目</t>
    <phoneticPr fontId="18" type="noConversion"/>
  </si>
  <si>
    <t>借方调整金额</t>
    <phoneticPr fontId="18" type="noConversion"/>
  </si>
  <si>
    <t>贷方调整金额</t>
    <phoneticPr fontId="18" type="noConversion"/>
  </si>
  <si>
    <t>索引</t>
    <phoneticPr fontId="18" type="noConversion"/>
  </si>
  <si>
    <t>备注</t>
    <phoneticPr fontId="18" type="noConversion"/>
  </si>
  <si>
    <t>其他应付款调整分录汇总表</t>
    <phoneticPr fontId="18" type="noConversion"/>
  </si>
  <si>
    <t>备选</t>
    <phoneticPr fontId="18" type="noConversion"/>
  </si>
  <si>
    <t>TB数据：</t>
    <phoneticPr fontId="18" type="noConversion"/>
  </si>
  <si>
    <t>差异：</t>
    <phoneticPr fontId="18" type="noConversion"/>
  </si>
  <si>
    <t>金额</t>
    <phoneticPr fontId="18" type="noConversion"/>
  </si>
  <si>
    <t>上年年末数</t>
  </si>
  <si>
    <t>期初余额</t>
    <phoneticPr fontId="18" type="noConversion"/>
  </si>
  <si>
    <t>（1）其他应付款（按款项性质列示）</t>
    <phoneticPr fontId="18" type="noConversion"/>
  </si>
  <si>
    <t>期末数</t>
    <phoneticPr fontId="18" type="noConversion"/>
  </si>
  <si>
    <t>期初数</t>
  </si>
  <si>
    <t>K3A</t>
  </si>
  <si>
    <t>K3-1</t>
  </si>
  <si>
    <t>K3-2</t>
  </si>
  <si>
    <t>K3-3</t>
  </si>
  <si>
    <t>K3-4</t>
  </si>
  <si>
    <t>索引号：</t>
    <phoneticPr fontId="18" type="noConversion"/>
  </si>
  <si>
    <t>索引：</t>
    <phoneticPr fontId="18" type="noConversion"/>
  </si>
  <si>
    <t>页次：</t>
    <phoneticPr fontId="18" type="noConversion"/>
  </si>
  <si>
    <t>索引号：</t>
    <phoneticPr fontId="18" type="noConversion"/>
  </si>
  <si>
    <t>索引号：</t>
    <phoneticPr fontId="22" type="noConversion"/>
  </si>
  <si>
    <t>索引号：</t>
    <phoneticPr fontId="18" type="noConversion"/>
  </si>
  <si>
    <r>
      <rPr>
        <u/>
        <sz val="10"/>
        <color indexed="12"/>
        <rFont val="宋体"/>
        <family val="3"/>
        <charset val="134"/>
      </rPr>
      <t>附注披露信息</t>
    </r>
    <r>
      <rPr>
        <u/>
        <sz val="10"/>
        <color indexed="12"/>
        <rFont val="Arial Narrow"/>
        <family val="2"/>
      </rPr>
      <t>(</t>
    </r>
    <r>
      <rPr>
        <u/>
        <sz val="10"/>
        <color indexed="12"/>
        <rFont val="宋体"/>
        <family val="3"/>
        <charset val="134"/>
      </rPr>
      <t>上市公司</t>
    </r>
    <r>
      <rPr>
        <u/>
        <sz val="10"/>
        <color indexed="12"/>
        <rFont val="Arial Narrow"/>
        <family val="2"/>
      </rPr>
      <t>)</t>
    </r>
  </si>
  <si>
    <r>
      <rPr>
        <u/>
        <sz val="10"/>
        <color indexed="12"/>
        <rFont val="宋体"/>
        <family val="3"/>
        <charset val="134"/>
      </rPr>
      <t>附注披露信息</t>
    </r>
    <r>
      <rPr>
        <u/>
        <sz val="10"/>
        <color indexed="12"/>
        <rFont val="Arial Narrow"/>
        <family val="2"/>
      </rPr>
      <t>(</t>
    </r>
    <r>
      <rPr>
        <u/>
        <sz val="10"/>
        <color indexed="12"/>
        <rFont val="宋体"/>
        <family val="3"/>
        <charset val="134"/>
      </rPr>
      <t>国企</t>
    </r>
    <r>
      <rPr>
        <u/>
        <sz val="10"/>
        <color indexed="12"/>
        <rFont val="Arial Narrow"/>
        <family val="2"/>
      </rPr>
      <t>)</t>
    </r>
  </si>
  <si>
    <t>一、本账户涉及的科目</t>
  </si>
  <si>
    <t>二、审计目标与认定的对应关系</t>
  </si>
  <si>
    <t>审计目标</t>
    <phoneticPr fontId="18" type="noConversion"/>
  </si>
  <si>
    <t>存在</t>
  </si>
  <si>
    <t>完整性</t>
  </si>
  <si>
    <t>权利和义务</t>
  </si>
  <si>
    <t>程序分类</t>
    <phoneticPr fontId="18" type="noConversion"/>
  </si>
  <si>
    <t>财务报表的认定</t>
    <phoneticPr fontId="18" type="noConversion"/>
  </si>
  <si>
    <t>完整性</t>
    <phoneticPr fontId="18" type="noConversion"/>
  </si>
  <si>
    <t>权利和
义务</t>
    <phoneticPr fontId="18" type="noConversion"/>
  </si>
  <si>
    <t>√</t>
    <phoneticPr fontId="18" type="noConversion"/>
  </si>
  <si>
    <t>√</t>
    <phoneticPr fontId="18" type="noConversion"/>
  </si>
  <si>
    <t>√</t>
    <phoneticPr fontId="18" type="noConversion"/>
  </si>
  <si>
    <t>3</t>
  </si>
  <si>
    <t>4</t>
  </si>
  <si>
    <t>5</t>
  </si>
  <si>
    <t>8</t>
  </si>
  <si>
    <t>9</t>
  </si>
  <si>
    <t>K3-4</t>
    <phoneticPr fontId="18" type="noConversion"/>
  </si>
  <si>
    <t>准确性、计价和分摊</t>
  </si>
  <si>
    <t>列报</t>
    <phoneticPr fontId="18" type="noConversion"/>
  </si>
  <si>
    <t>√</t>
  </si>
  <si>
    <t>日期</t>
  </si>
  <si>
    <t>其他应付款实质性程序</t>
    <phoneticPr fontId="18"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</si>
  <si>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</si>
  <si>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10</t>
  </si>
  <si>
    <t>关注会计政策、会计估计合理性、一贯性。关注其是否利用会计政策和会计估计及其变更操纵利润。</t>
    <phoneticPr fontId="18" type="noConversion"/>
  </si>
  <si>
    <t>常规★</t>
    <phoneticPr fontId="18" type="noConversion"/>
  </si>
  <si>
    <r>
      <t>TB</t>
    </r>
    <r>
      <rPr>
        <b/>
        <sz val="10"/>
        <color indexed="8"/>
        <rFont val="宋体"/>
        <family val="3"/>
        <charset val="134"/>
      </rPr>
      <t>数据：</t>
    </r>
    <phoneticPr fontId="18" type="noConversion"/>
  </si>
  <si>
    <t>√</t>
    <phoneticPr fontId="18" type="noConversion"/>
  </si>
  <si>
    <t>√</t>
    <phoneticPr fontId="18" type="noConversion"/>
  </si>
  <si>
    <t>期后付款金额</t>
    <phoneticPr fontId="18" type="noConversion"/>
  </si>
  <si>
    <t>索引号：</t>
    <phoneticPr fontId="22" type="noConversion"/>
  </si>
  <si>
    <t>一、审计目标：</t>
    <phoneticPr fontId="25" type="noConversion"/>
  </si>
  <si>
    <t>二、样本选取标准与规模：</t>
    <phoneticPr fontId="25" type="noConversion"/>
  </si>
  <si>
    <t>三、测试：</t>
    <phoneticPr fontId="25" type="noConversion"/>
  </si>
  <si>
    <t>四、审计说明：</t>
    <phoneticPr fontId="25" type="noConversion"/>
  </si>
  <si>
    <t>五、审计结论：</t>
    <phoneticPr fontId="18" type="noConversion"/>
  </si>
  <si>
    <t>致同会计师事务所</t>
    <phoneticPr fontId="18" type="noConversion"/>
  </si>
  <si>
    <r>
      <rPr>
        <sz val="10"/>
        <rFont val="宋体"/>
        <family val="3"/>
        <charset val="134"/>
      </rPr>
      <t>索引号：</t>
    </r>
    <phoneticPr fontId="18" type="noConversion"/>
  </si>
  <si>
    <r>
      <rPr>
        <sz val="10"/>
        <rFont val="宋体"/>
        <family val="3"/>
        <charset val="134"/>
      </rPr>
      <t>页</t>
    </r>
    <r>
      <rPr>
        <sz val="10"/>
        <rFont val="Arial Narrow"/>
        <family val="2"/>
      </rPr>
      <t xml:space="preserve">  </t>
    </r>
    <r>
      <rPr>
        <sz val="10"/>
        <rFont val="宋体"/>
        <family val="3"/>
        <charset val="134"/>
      </rPr>
      <t>次：</t>
    </r>
    <phoneticPr fontId="18" type="noConversion"/>
  </si>
  <si>
    <t>关注对关联方的其他应收款的真实性、合理性、合法性、会计处理是否正确，考虑是否存在未识别的关联方，检查关联交易和余额披露是否正确。</t>
    <phoneticPr fontId="18" type="noConversion"/>
  </si>
  <si>
    <t>关联方名称</t>
    <phoneticPr fontId="18" type="noConversion"/>
  </si>
  <si>
    <r>
      <rPr>
        <b/>
        <sz val="10"/>
        <rFont val="宋体"/>
        <family val="3"/>
        <charset val="134"/>
      </rPr>
      <t>发生时间及账龄</t>
    </r>
    <phoneticPr fontId="18" type="noConversion"/>
  </si>
  <si>
    <t>关联关系</t>
    <phoneticPr fontId="18" type="noConversion"/>
  </si>
  <si>
    <r>
      <rPr>
        <b/>
        <sz val="10"/>
        <rFont val="宋体"/>
        <family val="3"/>
        <charset val="134"/>
      </rPr>
      <t>索引号</t>
    </r>
    <phoneticPr fontId="18" type="noConversion"/>
  </si>
  <si>
    <r>
      <rPr>
        <sz val="10"/>
        <rFont val="宋体"/>
        <family val="3"/>
        <charset val="134"/>
      </rPr>
      <t>债务人（股东）</t>
    </r>
    <r>
      <rPr>
        <sz val="10"/>
        <rFont val="Arial Narrow"/>
        <family val="2"/>
      </rPr>
      <t>1</t>
    </r>
    <phoneticPr fontId="18" type="noConversion"/>
  </si>
  <si>
    <t>实际控制人</t>
    <phoneticPr fontId="18" type="noConversion"/>
  </si>
  <si>
    <r>
      <rPr>
        <sz val="10"/>
        <rFont val="宋体"/>
        <family val="3"/>
        <charset val="134"/>
      </rPr>
      <t>债务人（股东）</t>
    </r>
    <r>
      <rPr>
        <sz val="10"/>
        <rFont val="Arial Narrow"/>
        <family val="2"/>
      </rPr>
      <t>2</t>
    </r>
  </si>
  <si>
    <t>控股股东</t>
    <phoneticPr fontId="18" type="noConversion"/>
  </si>
  <si>
    <t>……</t>
    <phoneticPr fontId="18" type="noConversion"/>
  </si>
  <si>
    <t>控股股东、实际控制人的附属企业</t>
    <phoneticPr fontId="18" type="noConversion"/>
  </si>
  <si>
    <r>
      <rPr>
        <b/>
        <sz val="10"/>
        <rFont val="宋体"/>
        <family val="3"/>
        <charset val="134"/>
      </rPr>
      <t>小计</t>
    </r>
    <phoneticPr fontId="18" type="noConversion"/>
  </si>
  <si>
    <r>
      <rPr>
        <sz val="10"/>
        <rFont val="宋体"/>
        <family val="3"/>
        <charset val="134"/>
      </rPr>
      <t>持有</t>
    </r>
    <r>
      <rPr>
        <sz val="10"/>
        <rFont val="Arial Narrow"/>
        <family val="2"/>
      </rPr>
      <t>5%</t>
    </r>
    <r>
      <rPr>
        <sz val="10"/>
        <rFont val="宋体"/>
        <family val="3"/>
        <charset val="134"/>
      </rPr>
      <t>以上股份的法人或其他组织</t>
    </r>
    <phoneticPr fontId="18" type="noConversion"/>
  </si>
  <si>
    <t>联营企业</t>
    <phoneticPr fontId="18" type="noConversion"/>
  </si>
  <si>
    <t>合营企业</t>
    <phoneticPr fontId="18" type="noConversion"/>
  </si>
  <si>
    <t>董高监等关键管理人员</t>
    <phoneticPr fontId="18" type="noConversion"/>
  </si>
  <si>
    <t>其他关联方</t>
    <phoneticPr fontId="18" type="noConversion"/>
  </si>
  <si>
    <r>
      <t>1.</t>
    </r>
    <r>
      <rPr>
        <sz val="10"/>
        <rFont val="宋体"/>
        <family val="3"/>
        <charset val="134"/>
      </rPr>
      <t>资产负债表中记录的其他应付款是存在的，且已经记录在恰当的账户中；</t>
    </r>
    <r>
      <rPr>
        <sz val="10"/>
        <rFont val="Arial Narrow"/>
        <family val="2"/>
      </rPr>
      <t/>
    </r>
    <phoneticPr fontId="18" type="noConversion"/>
  </si>
  <si>
    <r>
      <t>3.</t>
    </r>
    <r>
      <rPr>
        <sz val="10"/>
        <rFont val="宋体"/>
        <family val="3"/>
        <charset val="134"/>
      </rPr>
      <t>其他应付款以恰当的金额包括在财务报表中，与之相关的计价或分摊调整已恰当记录，相关披露已得到恰当计量和描述。</t>
    </r>
    <phoneticPr fontId="18" type="noConversion"/>
  </si>
  <si>
    <t>常规★</t>
    <phoneticPr fontId="46" type="noConversion"/>
  </si>
  <si>
    <t>√</t>
    <phoneticPr fontId="18" type="noConversion"/>
  </si>
  <si>
    <t>2</t>
  </si>
  <si>
    <t>11</t>
  </si>
  <si>
    <r>
      <rPr>
        <sz val="10"/>
        <rFont val="宋体"/>
        <family val="3"/>
        <charset val="134"/>
      </rPr>
      <t>索引号：</t>
    </r>
    <phoneticPr fontId="22" type="noConversion"/>
  </si>
  <si>
    <t>√</t>
    <phoneticPr fontId="18" type="noConversion"/>
  </si>
  <si>
    <t>√</t>
    <phoneticPr fontId="18" type="noConversion"/>
  </si>
  <si>
    <t>√</t>
    <phoneticPr fontId="18" type="noConversion"/>
  </si>
  <si>
    <t>√</t>
    <phoneticPr fontId="18" type="noConversion"/>
  </si>
  <si>
    <r>
      <t>2.</t>
    </r>
    <r>
      <rPr>
        <sz val="10"/>
        <rFont val="宋体"/>
        <family val="3"/>
        <charset val="134"/>
      </rPr>
      <t>记录的其他应付款是被审计单位应当履行的偿还义务；</t>
    </r>
    <phoneticPr fontId="18" type="noConversion"/>
  </si>
  <si>
    <t>报表项目</t>
    <phoneticPr fontId="18" type="noConversion"/>
  </si>
  <si>
    <t>√</t>
    <phoneticPr fontId="18" type="noConversion"/>
  </si>
  <si>
    <t>√</t>
    <phoneticPr fontId="18" type="noConversion"/>
  </si>
  <si>
    <t>√</t>
    <phoneticPr fontId="18" type="noConversion"/>
  </si>
  <si>
    <t>√</t>
    <phoneticPr fontId="18" type="noConversion"/>
  </si>
  <si>
    <t>√</t>
    <phoneticPr fontId="18" type="noConversion"/>
  </si>
  <si>
    <r>
      <t>3.</t>
    </r>
    <r>
      <rPr>
        <sz val="10"/>
        <rFont val="宋体"/>
        <family val="3"/>
        <charset val="134"/>
      </rPr>
      <t>其他应付款以恰当的金额包括在财务报表中，与之相关的计价或分摊调整已恰当记录，相关披露已得到恰当计量和描述。</t>
    </r>
    <phoneticPr fontId="22" type="noConversion"/>
  </si>
  <si>
    <r>
      <t>1.</t>
    </r>
    <r>
      <rPr>
        <sz val="10"/>
        <rFont val="宋体"/>
        <family val="3"/>
        <charset val="134"/>
      </rPr>
      <t>资产负债表中记录的其他应付款是存在的，且已记录于恰当的账户。</t>
    </r>
    <phoneticPr fontId="22" type="noConversion"/>
  </si>
  <si>
    <r>
      <t>2.</t>
    </r>
    <r>
      <rPr>
        <sz val="10"/>
        <rFont val="宋体"/>
        <family val="3"/>
        <charset val="134"/>
      </rPr>
      <t>所有应记录的其他应付款均已记录，所有应当包括在财务报表中的相关披露均已包括。</t>
    </r>
    <phoneticPr fontId="22" type="noConversion"/>
  </si>
  <si>
    <r>
      <rPr>
        <b/>
        <sz val="10"/>
        <rFont val="宋体"/>
        <family val="3"/>
        <charset val="134"/>
      </rPr>
      <t>期初余额</t>
    </r>
    <phoneticPr fontId="18" type="noConversion"/>
  </si>
  <si>
    <r>
      <rPr>
        <b/>
        <sz val="10"/>
        <rFont val="宋体"/>
        <family val="3"/>
        <charset val="134"/>
      </rPr>
      <t>期末余额</t>
    </r>
    <phoneticPr fontId="18" type="noConversion"/>
  </si>
  <si>
    <t>是否函证</t>
    <phoneticPr fontId="22" type="noConversion"/>
  </si>
  <si>
    <r>
      <rPr>
        <sz val="10"/>
        <rFont val="宋体"/>
        <family val="3"/>
        <charset val="134"/>
      </rPr>
      <t>（</t>
    </r>
    <r>
      <rPr>
        <sz val="10"/>
        <rFont val="Arial Narrow"/>
        <family val="2"/>
      </rPr>
      <t>1</t>
    </r>
    <r>
      <rPr>
        <sz val="10"/>
        <rFont val="宋体"/>
        <family val="3"/>
        <charset val="134"/>
      </rPr>
      <t>）其他应付款本期较上期增加（负数为减少）：</t>
    </r>
    <phoneticPr fontId="18" type="noConversion"/>
  </si>
  <si>
    <r>
      <t>2.</t>
    </r>
    <r>
      <rPr>
        <b/>
        <sz val="10"/>
        <rFont val="宋体"/>
        <family val="3"/>
        <charset val="134"/>
      </rPr>
      <t>审计结论</t>
    </r>
    <phoneticPr fontId="18" type="noConversion"/>
  </si>
  <si>
    <r>
      <rPr>
        <sz val="10"/>
        <rFont val="宋体"/>
        <family val="3"/>
        <charset val="134"/>
      </rPr>
      <t>其他应付款审定数</t>
    </r>
    <phoneticPr fontId="22" type="noConversion"/>
  </si>
  <si>
    <r>
      <rPr>
        <sz val="10"/>
        <rFont val="宋体"/>
        <family val="3"/>
        <charset val="134"/>
      </rPr>
      <t>其他应付款合计数</t>
    </r>
    <phoneticPr fontId="22" type="noConversion"/>
  </si>
  <si>
    <r>
      <rPr>
        <sz val="10"/>
        <rFont val="宋体"/>
        <family val="3"/>
        <charset val="134"/>
      </rPr>
      <t>报表数</t>
    </r>
    <phoneticPr fontId="22" type="noConversion"/>
  </si>
  <si>
    <r>
      <rPr>
        <sz val="10"/>
        <rFont val="宋体"/>
        <family val="3"/>
        <charset val="134"/>
      </rPr>
      <t>差异</t>
    </r>
    <phoneticPr fontId="22" type="noConversion"/>
  </si>
  <si>
    <r>
      <t>3.</t>
    </r>
    <r>
      <rPr>
        <sz val="10"/>
        <rFont val="宋体"/>
        <family val="3"/>
        <charset val="134"/>
      </rPr>
      <t>其他应付款以恰当的金额包括在财务报表中，与之相关的计价或分摊调整已恰当记录，相关披露已得到恰当计量和描述。</t>
    </r>
    <phoneticPr fontId="22" type="noConversion"/>
  </si>
  <si>
    <r>
      <t>2.</t>
    </r>
    <r>
      <rPr>
        <sz val="10"/>
        <rFont val="宋体"/>
        <family val="3"/>
        <charset val="134"/>
      </rPr>
      <t>所有应记录的其他应付款均已记录，所有应当包括在财务报表中的相关披露均已包括。</t>
    </r>
    <phoneticPr fontId="22" type="noConversion"/>
  </si>
  <si>
    <r>
      <t>1.</t>
    </r>
    <r>
      <rPr>
        <sz val="10"/>
        <rFont val="宋体"/>
        <family val="3"/>
        <charset val="134"/>
      </rPr>
      <t>资产负债表中记录的其他应付款是存在的，且已记录于恰当的账户。</t>
    </r>
  </si>
  <si>
    <r>
      <t>2.</t>
    </r>
    <r>
      <rPr>
        <sz val="10"/>
        <rFont val="宋体"/>
        <family val="3"/>
        <charset val="134"/>
      </rPr>
      <t>其他应付款以恰当的金额包括在财务报表中，与之相关的计价或分摊调整已恰当记录，相关披露已得到恰当计量和描述。</t>
    </r>
    <phoneticPr fontId="18" type="noConversion"/>
  </si>
  <si>
    <t>发生原因
（款项性质）</t>
    <phoneticPr fontId="18" type="noConversion"/>
  </si>
  <si>
    <r>
      <rPr>
        <u/>
        <sz val="10"/>
        <color indexed="12"/>
        <rFont val="宋体"/>
        <family val="3"/>
        <charset val="134"/>
      </rPr>
      <t>实质性程序表</t>
    </r>
  </si>
  <si>
    <r>
      <rPr>
        <u/>
        <sz val="10"/>
        <color indexed="12"/>
        <rFont val="宋体"/>
        <family val="3"/>
        <charset val="134"/>
      </rPr>
      <t>审定表</t>
    </r>
    <phoneticPr fontId="18" type="noConversion"/>
  </si>
  <si>
    <r>
      <rPr>
        <u/>
        <sz val="10"/>
        <color indexed="12"/>
        <rFont val="宋体"/>
        <family val="3"/>
        <charset val="134"/>
      </rPr>
      <t>明细表</t>
    </r>
    <phoneticPr fontId="18" type="noConversion"/>
  </si>
  <si>
    <r>
      <rPr>
        <u/>
        <sz val="10"/>
        <color indexed="12"/>
        <rFont val="宋体"/>
        <family val="3"/>
        <charset val="134"/>
      </rPr>
      <t>调整分录汇总</t>
    </r>
    <phoneticPr fontId="18" type="noConversion"/>
  </si>
  <si>
    <t>无需打印</t>
    <phoneticPr fontId="18" type="noConversion"/>
  </si>
  <si>
    <t>6</t>
    <phoneticPr fontId="18" type="noConversion"/>
  </si>
  <si>
    <t>7</t>
    <phoneticPr fontId="18" type="noConversion"/>
  </si>
  <si>
    <t>K3-19</t>
    <phoneticPr fontId="18" type="noConversion"/>
  </si>
  <si>
    <r>
      <t>A1-1/</t>
    </r>
    <r>
      <rPr>
        <sz val="10"/>
        <color rgb="FFFF0000"/>
        <rFont val="Arial Narrow"/>
        <family val="2"/>
      </rPr>
      <t>A1-15 /A1-16</t>
    </r>
    <phoneticPr fontId="18" type="noConversion"/>
  </si>
  <si>
    <t>底稿索引号</t>
    <phoneticPr fontId="18" type="noConversion"/>
  </si>
  <si>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phoneticPr fontId="46" type="noConversion"/>
  </si>
  <si>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phoneticPr fontId="46" type="noConversion"/>
  </si>
  <si>
    <t>致同会计师事务所</t>
    <phoneticPr fontId="18" type="noConversion"/>
  </si>
  <si>
    <r>
      <t>账龄</t>
    </r>
    <r>
      <rPr>
        <b/>
        <sz val="14"/>
        <rFont val="Arial Narrow"/>
        <family val="2"/>
      </rPr>
      <t>1</t>
    </r>
    <r>
      <rPr>
        <b/>
        <sz val="14"/>
        <rFont val="宋体"/>
        <family val="3"/>
        <charset val="134"/>
      </rPr>
      <t>年以上的其他应付款检查表</t>
    </r>
    <phoneticPr fontId="18" type="noConversion"/>
  </si>
  <si>
    <r>
      <rPr>
        <sz val="10"/>
        <color rgb="FF0000FF"/>
        <rFont val="宋体"/>
        <family val="3"/>
        <charset val="134"/>
      </rPr>
      <t>测试总体扣除特定样本以外的样本，共</t>
    </r>
    <r>
      <rPr>
        <sz val="10"/>
        <color rgb="FF0000FF"/>
        <rFont val="Arial Narrow"/>
        <family val="2"/>
      </rPr>
      <t>XX</t>
    </r>
    <r>
      <rPr>
        <sz val="10"/>
        <color rgb="FF0000FF"/>
        <rFont val="宋体"/>
        <family val="3"/>
        <charset val="134"/>
      </rPr>
      <t>笔、金额</t>
    </r>
    <r>
      <rPr>
        <sz val="10"/>
        <color rgb="FF0000FF"/>
        <rFont val="Arial Narrow"/>
        <family val="2"/>
      </rPr>
      <t>XX</t>
    </r>
    <phoneticPr fontId="18" type="noConversion"/>
  </si>
  <si>
    <t>账龄占比</t>
    <phoneticPr fontId="22" type="noConversion"/>
  </si>
  <si>
    <t>账龄逻辑校验</t>
    <phoneticPr fontId="22" type="noConversion"/>
  </si>
  <si>
    <r>
      <t>3</t>
    </r>
    <r>
      <rPr>
        <b/>
        <sz val="10"/>
        <rFont val="宋体"/>
        <family val="3"/>
        <charset val="134"/>
      </rPr>
      <t>年以上</t>
    </r>
    <phoneticPr fontId="18" type="noConversion"/>
  </si>
  <si>
    <r>
      <t>3</t>
    </r>
    <r>
      <rPr>
        <b/>
        <sz val="10"/>
        <rFont val="宋体"/>
        <family val="3"/>
        <charset val="134"/>
      </rPr>
      <t>年以上</t>
    </r>
    <phoneticPr fontId="18" type="noConversion"/>
  </si>
  <si>
    <r>
      <t>1</t>
    </r>
    <r>
      <rPr>
        <b/>
        <sz val="10"/>
        <rFont val="宋体"/>
        <family val="3"/>
        <charset val="134"/>
      </rPr>
      <t>年以内</t>
    </r>
    <phoneticPr fontId="22" type="noConversion"/>
  </si>
  <si>
    <r>
      <t>1-2</t>
    </r>
    <r>
      <rPr>
        <b/>
        <sz val="10"/>
        <rFont val="宋体"/>
        <family val="3"/>
        <charset val="134"/>
      </rPr>
      <t>年</t>
    </r>
    <phoneticPr fontId="22" type="noConversion"/>
  </si>
  <si>
    <r>
      <t>2-3</t>
    </r>
    <r>
      <rPr>
        <b/>
        <sz val="10"/>
        <rFont val="宋体"/>
        <family val="3"/>
        <charset val="134"/>
      </rPr>
      <t>年</t>
    </r>
    <phoneticPr fontId="22" type="noConversion"/>
  </si>
  <si>
    <r>
      <t>1-2</t>
    </r>
    <r>
      <rPr>
        <b/>
        <sz val="10"/>
        <rFont val="宋体"/>
        <family val="3"/>
        <charset val="134"/>
      </rPr>
      <t>年</t>
    </r>
    <phoneticPr fontId="22" type="noConversion"/>
  </si>
  <si>
    <r>
      <t>2-3</t>
    </r>
    <r>
      <rPr>
        <b/>
        <sz val="10"/>
        <rFont val="宋体"/>
        <family val="3"/>
        <charset val="134"/>
      </rPr>
      <t>年</t>
    </r>
    <phoneticPr fontId="22" type="noConversion"/>
  </si>
  <si>
    <t>测试总体：</t>
    <phoneticPr fontId="18" type="noConversion"/>
  </si>
  <si>
    <t>特定样本：</t>
    <phoneticPr fontId="18" type="noConversion"/>
  </si>
  <si>
    <t>抽样总体：</t>
    <phoneticPr fontId="18" type="noConversion"/>
  </si>
  <si>
    <t>确定的抽样样本量：</t>
    <phoneticPr fontId="18" type="noConversion"/>
  </si>
  <si>
    <t>抽样方法：</t>
    <phoneticPr fontId="18" type="noConversion"/>
  </si>
  <si>
    <t>抽样过程：</t>
    <phoneticPr fontId="18" type="noConversion"/>
  </si>
  <si>
    <r>
      <t>1.</t>
    </r>
    <r>
      <rPr>
        <b/>
        <sz val="10"/>
        <rFont val="宋体"/>
        <family val="3"/>
        <charset val="134"/>
      </rPr>
      <t>审计说明</t>
    </r>
    <phoneticPr fontId="18" type="noConversion"/>
  </si>
  <si>
    <r>
      <t>1.</t>
    </r>
    <r>
      <rPr>
        <sz val="10"/>
        <color rgb="FFFF0000"/>
        <rFont val="宋体"/>
        <family val="3"/>
        <charset val="134"/>
      </rPr>
      <t>针对期后付款的凭证检查，详见凭证检查表</t>
    </r>
    <r>
      <rPr>
        <sz val="10"/>
        <color rgb="FFFF0000"/>
        <rFont val="Arial Narrow"/>
        <family val="2"/>
      </rPr>
      <t>K3-</t>
    </r>
    <phoneticPr fontId="18" type="noConversion"/>
  </si>
  <si>
    <r>
      <t>1.</t>
    </r>
    <r>
      <rPr>
        <sz val="10"/>
        <color rgb="FFFF0000"/>
        <rFont val="宋体"/>
        <family val="3"/>
        <charset val="134"/>
      </rPr>
      <t>针对期后付款的凭证检查，详见凭证检查表</t>
    </r>
    <r>
      <rPr>
        <sz val="10"/>
        <color rgb="FFFF0000"/>
        <rFont val="Arial Narrow"/>
        <family val="2"/>
      </rPr>
      <t>K3-</t>
    </r>
    <phoneticPr fontId="18" type="noConversion"/>
  </si>
  <si>
    <t>期末余额</t>
    <phoneticPr fontId="18" type="noConversion"/>
  </si>
  <si>
    <t>合计</t>
    <phoneticPr fontId="18"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</si>
  <si>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18" type="noConversion"/>
  </si>
  <si>
    <r>
      <rPr>
        <sz val="10"/>
        <rFont val="宋体"/>
        <family val="3"/>
        <charset val="134"/>
      </rPr>
      <t>其中，账龄超过</t>
    </r>
    <r>
      <rPr>
        <sz val="10"/>
        <rFont val="Arial Narrow"/>
        <family val="2"/>
      </rPr>
      <t>1</t>
    </r>
    <r>
      <rPr>
        <sz val="10"/>
        <rFont val="宋体"/>
        <family val="3"/>
        <charset val="134"/>
      </rPr>
      <t>年的重要其他应付款</t>
    </r>
  </si>
  <si>
    <r>
      <rPr>
        <sz val="10"/>
        <rFont val="宋体"/>
        <family val="3"/>
        <charset val="134"/>
      </rPr>
      <t>（</t>
    </r>
    <r>
      <rPr>
        <sz val="10"/>
        <rFont val="Arial Narrow"/>
        <family val="2"/>
      </rPr>
      <t>1</t>
    </r>
    <r>
      <rPr>
        <sz val="10"/>
        <rFont val="宋体"/>
        <family val="3"/>
        <charset val="134"/>
      </rPr>
      <t>）其他应付款（按款项性质列示）</t>
    </r>
    <phoneticPr fontId="18" type="noConversion"/>
  </si>
  <si>
    <t>提示：本底稿适用于调整分录较多、较复杂的项目，且仅列示与本报表项目相关的审计调整。项目组可根据项目实际情况选择是否使用该底稿。</t>
    <phoneticPr fontId="18"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</si>
  <si>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18"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</si>
  <si>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phoneticPr fontId="18" type="noConversion"/>
  </si>
  <si>
    <r>
      <rPr>
        <sz val="10"/>
        <color rgb="FF0000FF"/>
        <rFont val="宋体"/>
        <family val="3"/>
        <charset val="134"/>
      </rPr>
      <t>如借方发生额所有凭证共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r>
      <rPr>
        <sz val="10"/>
        <color rgb="FF0000FF"/>
        <rFont val="宋体"/>
        <family val="3"/>
        <charset val="134"/>
      </rPr>
      <t>、贷方发生额所有凭证共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phoneticPr fontId="18" type="noConversion"/>
  </si>
  <si>
    <t>公司代码</t>
    <phoneticPr fontId="18" type="noConversion"/>
  </si>
  <si>
    <t>关联方类型</t>
    <phoneticPr fontId="18" type="noConversion"/>
  </si>
  <si>
    <t>关联方类型</t>
    <phoneticPr fontId="22" type="noConversion"/>
  </si>
  <si>
    <r>
      <rPr>
        <b/>
        <sz val="10"/>
        <rFont val="宋体"/>
        <family val="3"/>
        <charset val="134"/>
      </rPr>
      <t>款项性质</t>
    </r>
    <phoneticPr fontId="18" type="noConversion"/>
  </si>
  <si>
    <r>
      <rPr>
        <b/>
        <sz val="10"/>
        <rFont val="宋体"/>
        <family val="3"/>
        <charset val="134"/>
      </rPr>
      <t>款项性质</t>
    </r>
    <phoneticPr fontId="22"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</si>
  <si>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8" type="noConversion"/>
  </si>
  <si>
    <r>
      <t xml:space="preserve">A. </t>
    </r>
    <r>
      <rPr>
        <sz val="10"/>
        <rFont val="宋体"/>
        <family val="3"/>
        <charset val="134"/>
      </rPr>
      <t>资产负债表中记录的其他应付款是存在的，且已记录于恰当的账户</t>
    </r>
    <phoneticPr fontId="18" type="noConversion"/>
  </si>
  <si>
    <t>页  次：</t>
    <phoneticPr fontId="18" type="noConversion"/>
  </si>
  <si>
    <r>
      <rPr>
        <sz val="10"/>
        <rFont val="宋体"/>
        <family val="3"/>
        <charset val="134"/>
      </rPr>
      <t>实施函证程序：
（</t>
    </r>
    <r>
      <rPr>
        <sz val="10"/>
        <rFont val="Arial Narrow"/>
        <family val="2"/>
      </rPr>
      <t>1</t>
    </r>
    <r>
      <rPr>
        <sz val="10"/>
        <rFont val="宋体"/>
        <family val="3"/>
        <charset val="134"/>
      </rPr>
      <t>）以积极方式对其他应付款进行函证，设计询证函、发函前核实被函证单位信息；
（</t>
    </r>
    <r>
      <rPr>
        <sz val="10"/>
        <rFont val="Arial Narrow"/>
        <family val="2"/>
      </rPr>
      <t>2</t>
    </r>
    <r>
      <rPr>
        <sz val="10"/>
        <rFont val="宋体"/>
        <family val="3"/>
        <charset val="134"/>
      </rPr>
      <t>）注册会计师独立收发询证函；
（</t>
    </r>
    <r>
      <rPr>
        <sz val="10"/>
        <rFont val="Arial Narrow"/>
        <family val="2"/>
      </rPr>
      <t>3</t>
    </r>
    <r>
      <rPr>
        <sz val="10"/>
        <rFont val="宋体"/>
        <family val="3"/>
        <charset val="134"/>
      </rPr>
      <t>）编制函证结果汇总表，检查发函、回函物流信息和轨迹、比对回函印章和签字以核实回函的真实性，检查回函是否相符，对不符事项查明原因确定是否存在错报；
（</t>
    </r>
    <r>
      <rPr>
        <sz val="10"/>
        <rFont val="Arial Narrow"/>
        <family val="2"/>
      </rPr>
      <t>4</t>
    </r>
    <r>
      <rPr>
        <sz val="10"/>
        <rFont val="宋体"/>
        <family val="3"/>
        <charset val="134"/>
      </rPr>
      <t>）如果未收到回函，应当考虑与被询证者联系，要求对方作出回应或再次寄发询证函，无法收到回函的实施替代程序；
（</t>
    </r>
    <r>
      <rPr>
        <sz val="10"/>
        <rFont val="Arial Narrow"/>
        <family val="2"/>
      </rPr>
      <t>5</t>
    </r>
    <r>
      <rPr>
        <sz val="10"/>
        <rFont val="宋体"/>
        <family val="3"/>
        <charset val="134"/>
      </rPr>
      <t>）如果管理层不允许寄发询证函的，询问管理层不允许寄发的原因，并就其原因的正当、合理性收集证据；考虑实施替代审计程序以获取相关、可靠的审计证据；
（</t>
    </r>
    <r>
      <rPr>
        <sz val="10"/>
        <rFont val="Arial Narrow"/>
        <family val="2"/>
      </rPr>
      <t>6</t>
    </r>
    <r>
      <rPr>
        <sz val="10"/>
        <rFont val="宋体"/>
        <family val="3"/>
        <charset val="134"/>
      </rPr>
      <t>）如果管理层不允许寄发询证函的原因不合理、或者认为回函不可靠，评价对评估的重大错报风险以及其他审计程序的性质、时间安排和范围的影响，并确定其对审计工作和审计意见的影响。</t>
    </r>
    <phoneticPr fontId="18" type="noConversion"/>
  </si>
  <si>
    <t>针对报告期内账龄较长的其他应付款：应当分析账龄较长的原因，是否双方有纠纷等，考虑负债计提是否充分；是否存在无需支付（如不合理的往来款挂账）的情况，确认会计处理是否正确，必要时进行函证。</t>
    <phoneticPr fontId="18" type="noConversion"/>
  </si>
  <si>
    <t>检查关联方款项：
（1）了解交易的商业理由、交易事项的目的、价格和条件，考虑对关联方其他应付款的合理性、合法性；结合费用科目审计，关注是否存在关联方代被审计单位支付成本费用的等情况；关注是否存在向大股东或实际控制人及其关联方借款，资金占用费计算是否公允；
（2）检查对关联方其他应收账款的真实性相关的支持性文件、检查会计处理是否正确；
（3）向关联方函证往来余额，必要时函证交易的条件和发生额（包括担保和其他重要信息）；
（4）必要时，向与交易相关的人员和机构（如银行、律师）函证或与其讨论有关信息；
（5）考虑是否存在未识别的关联方，关联交易和余额披露是否正确。</t>
    <phoneticPr fontId="18" type="noConversion"/>
  </si>
  <si>
    <t>IPO/上市/新三板/重组/舞弊应对</t>
    <phoneticPr fontId="46" type="noConversion"/>
  </si>
  <si>
    <t>检查其他应付款是否已按企业会计准则或其他适用的规定在财务报表中做出恰当列报和披露。</t>
    <phoneticPr fontId="18" type="noConversion"/>
  </si>
  <si>
    <t>提示</t>
    <phoneticPr fontId="18" type="noConversion"/>
  </si>
  <si>
    <r>
      <t>1.</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18" type="noConversion"/>
  </si>
  <si>
    <r>
      <t>2.</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phoneticPr fontId="18" type="noConversion"/>
  </si>
  <si>
    <t>大额其他应付款情况分析表</t>
    <phoneticPr fontId="18" type="noConversion"/>
  </si>
  <si>
    <t>支付计划</t>
    <phoneticPr fontId="18" type="noConversion"/>
  </si>
  <si>
    <t>是否诉讼</t>
    <phoneticPr fontId="18" type="noConversion"/>
  </si>
  <si>
    <t>合计</t>
    <phoneticPr fontId="18" type="noConversion"/>
  </si>
  <si>
    <t>关联方及交易检查表</t>
    <phoneticPr fontId="18" type="noConversion"/>
  </si>
  <si>
    <t>借方发生额</t>
    <phoneticPr fontId="18" type="noConversion"/>
  </si>
  <si>
    <t>贷方发生额</t>
    <phoneticPr fontId="18" type="noConversion"/>
  </si>
  <si>
    <t>期后付款金额</t>
    <phoneticPr fontId="18" type="noConversion"/>
  </si>
  <si>
    <r>
      <t>1</t>
    </r>
    <r>
      <rPr>
        <b/>
        <sz val="10"/>
        <rFont val="宋体"/>
        <family val="3"/>
        <charset val="134"/>
      </rPr>
      <t>、审计说明：</t>
    </r>
    <r>
      <rPr>
        <b/>
        <sz val="10"/>
        <color indexed="12"/>
        <rFont val="Arial Narrow"/>
        <family val="2"/>
      </rPr>
      <t/>
    </r>
    <phoneticPr fontId="18" type="noConversion"/>
  </si>
  <si>
    <r>
      <t>2</t>
    </r>
    <r>
      <rPr>
        <b/>
        <sz val="10"/>
        <rFont val="宋体"/>
        <family val="3"/>
        <charset val="134"/>
      </rPr>
      <t>、审计结论：</t>
    </r>
    <phoneticPr fontId="18" type="noConversion"/>
  </si>
  <si>
    <r>
      <t>1.</t>
    </r>
    <r>
      <rPr>
        <b/>
        <sz val="10"/>
        <rFont val="宋体"/>
        <family val="3"/>
        <charset val="134"/>
      </rPr>
      <t>本期发生额检查</t>
    </r>
    <phoneticPr fontId="18" type="noConversion"/>
  </si>
  <si>
    <t>记账凭证</t>
    <phoneticPr fontId="18" type="noConversion"/>
  </si>
  <si>
    <t>支持性文件</t>
    <phoneticPr fontId="18" type="noConversion"/>
  </si>
  <si>
    <r>
      <rPr>
        <b/>
        <sz val="10"/>
        <rFont val="宋体"/>
        <family val="3"/>
        <charset val="134"/>
      </rPr>
      <t>核对内容</t>
    </r>
  </si>
  <si>
    <t>索引号</t>
  </si>
  <si>
    <t>是否异常</t>
    <phoneticPr fontId="18" type="noConversion"/>
  </si>
  <si>
    <t>备注说明</t>
    <phoneticPr fontId="18" type="noConversion"/>
  </si>
  <si>
    <t>业务内容</t>
    <phoneticPr fontId="18" type="noConversion"/>
  </si>
  <si>
    <t>对方科目</t>
    <phoneticPr fontId="18" type="noConversion"/>
  </si>
  <si>
    <t>对方明细科目</t>
    <phoneticPr fontId="18" type="noConversion"/>
  </si>
  <si>
    <t>借方金额</t>
    <phoneticPr fontId="18" type="noConversion"/>
  </si>
  <si>
    <t>贷方金额</t>
    <phoneticPr fontId="18" type="noConversion"/>
  </si>
  <si>
    <t>债权人名称</t>
    <phoneticPr fontId="18" type="noConversion"/>
  </si>
  <si>
    <r>
      <t>2.</t>
    </r>
    <r>
      <rPr>
        <b/>
        <sz val="10"/>
        <rFont val="宋体"/>
        <family val="3"/>
        <charset val="134"/>
      </rPr>
      <t>期后付款检查表</t>
    </r>
    <phoneticPr fontId="18" type="noConversion"/>
  </si>
  <si>
    <t>其他应付款检查表</t>
    <phoneticPr fontId="18" type="noConversion"/>
  </si>
  <si>
    <t>K3-1
/K3-2</t>
    <phoneticPr fontId="18" type="noConversion"/>
  </si>
  <si>
    <t>T1
/K0-2
/</t>
    <phoneticPr fontId="18" type="noConversion"/>
  </si>
  <si>
    <t>F1-1
/F1-2</t>
    <phoneticPr fontId="46" type="noConversion"/>
  </si>
  <si>
    <t>K0</t>
    <phoneticPr fontId="18" type="noConversion"/>
  </si>
  <si>
    <t>K3-5</t>
    <phoneticPr fontId="18" type="noConversion"/>
  </si>
  <si>
    <t>K3-6
/K3-7
/K0</t>
    <phoneticPr fontId="18" type="noConversion"/>
  </si>
  <si>
    <t>大额其他应付款情况分析表</t>
    <phoneticPr fontId="18" type="noConversion"/>
  </si>
  <si>
    <t>函证结果汇总表</t>
  </si>
  <si>
    <t>K0-1</t>
    <phoneticPr fontId="18" type="noConversion"/>
  </si>
  <si>
    <t>核实被函证单位信息</t>
  </si>
  <si>
    <t>K0-2</t>
  </si>
  <si>
    <t>跟函函证过程控制</t>
  </si>
  <si>
    <t>K0-3</t>
  </si>
  <si>
    <t>函证差异调节表</t>
  </si>
  <si>
    <t>K0-4</t>
  </si>
  <si>
    <t>邮件传真回函可靠性验证</t>
  </si>
  <si>
    <t>K0-7</t>
  </si>
  <si>
    <t>函证程序舞弊风险评价表</t>
  </si>
  <si>
    <t>K0-8</t>
    <phoneticPr fontId="18" type="noConversion"/>
  </si>
  <si>
    <t>关联方及交易检查表</t>
    <phoneticPr fontId="18" type="noConversion"/>
  </si>
  <si>
    <t>其他应付款检查表</t>
    <phoneticPr fontId="18" type="noConversion"/>
  </si>
  <si>
    <t>K3-5</t>
    <phoneticPr fontId="18" type="noConversion"/>
  </si>
  <si>
    <t>K3-6</t>
    <phoneticPr fontId="18" type="noConversion"/>
  </si>
  <si>
    <t>K3-7</t>
    <phoneticPr fontId="18" type="noConversion"/>
  </si>
  <si>
    <t>长期挂账检查表</t>
  </si>
  <si>
    <t>页  次：</t>
    <phoneticPr fontId="22" type="noConversion"/>
  </si>
  <si>
    <t>页  次：</t>
    <phoneticPr fontId="18" type="noConversion"/>
  </si>
  <si>
    <t>分析主要债权人其他应收款期末余额，关注期末大额其他应付款商业合理性、真实性、期后支付情况。关注大额代收、代付性质款项，是否具有合理的交易目的等。</t>
    <phoneticPr fontId="18" type="noConversion"/>
  </si>
  <si>
    <r>
      <t>2.</t>
    </r>
    <r>
      <rPr>
        <sz val="10"/>
        <color rgb="FFFF0000"/>
        <rFont val="宋体"/>
        <family val="3"/>
        <charset val="134"/>
      </rPr>
      <t>与期初相比，期末余额变动较大的原因：</t>
    </r>
    <phoneticPr fontId="22" type="noConversion"/>
  </si>
  <si>
    <r>
      <t>4.</t>
    </r>
    <r>
      <rPr>
        <sz val="10"/>
        <color rgb="FFFF0000"/>
        <rFont val="宋体"/>
        <family val="3"/>
        <charset val="134"/>
      </rPr>
      <t>超过</t>
    </r>
    <r>
      <rPr>
        <sz val="10"/>
        <color rgb="FFFF0000"/>
        <rFont val="Arial Narrow"/>
        <family val="2"/>
      </rPr>
      <t>1</t>
    </r>
    <r>
      <rPr>
        <sz val="10"/>
        <color rgb="FFFF0000"/>
        <rFont val="宋体"/>
        <family val="3"/>
        <charset val="134"/>
      </rPr>
      <t>年的大额其他应付款，其性质及发生原因如下：</t>
    </r>
    <phoneticPr fontId="22" type="noConversion"/>
  </si>
  <si>
    <r>
      <t>5.</t>
    </r>
    <r>
      <rPr>
        <sz val="10"/>
        <color rgb="FFFF0000"/>
        <rFont val="宋体"/>
        <family val="3"/>
        <charset val="134"/>
      </rPr>
      <t>检查其他应收款、其他应付款各明细项目的性质，对于大额的代收、代付性质款项，检查相关合同、银行单据等支持性文件，必要时与客户取得沟通，向客户函证等，判断是否具有合理的交易目的。</t>
    </r>
    <phoneticPr fontId="22" type="noConversion"/>
  </si>
  <si>
    <r>
      <t>1.</t>
    </r>
    <r>
      <rPr>
        <sz val="10"/>
        <color rgb="FFFF0000"/>
        <rFont val="宋体"/>
        <family val="3"/>
        <charset val="134"/>
      </rPr>
      <t>期初数与上期审定数一致</t>
    </r>
    <r>
      <rPr>
        <sz val="10"/>
        <color rgb="FFFF0000"/>
        <rFont val="Arial Narrow"/>
        <family val="2"/>
      </rPr>
      <t>,</t>
    </r>
    <r>
      <rPr>
        <sz val="10"/>
        <color rgb="FFFF0000"/>
        <rFont val="宋体"/>
        <family val="3"/>
        <charset val="134"/>
      </rPr>
      <t>期末总账、明细账、报表相符。</t>
    </r>
    <phoneticPr fontId="22" type="noConversion"/>
  </si>
  <si>
    <r>
      <t>3.**</t>
    </r>
    <r>
      <rPr>
        <sz val="10"/>
        <color rgb="FFFF0000"/>
        <rFont val="宋体"/>
        <family val="3"/>
        <charset val="134"/>
      </rPr>
      <t>其他应付款发生额大，其主要原因列示如下：</t>
    </r>
    <phoneticPr fontId="22" type="noConversion"/>
  </si>
  <si>
    <t>考虑是否存在超出被审计单位正常经营活动的重大、异常交易等，根据评估的舞弊风险等因素增加的审计程序。</t>
    <phoneticPr fontId="18" type="noConversion"/>
  </si>
  <si>
    <r>
      <rPr>
        <sz val="10"/>
        <rFont val="宋体"/>
        <family val="3"/>
        <charset val="134"/>
      </rPr>
      <t>获取或编制明细表、执行下列程序，并编制审定表：
（</t>
    </r>
    <r>
      <rPr>
        <sz val="10"/>
        <rFont val="Arial Narrow"/>
        <family val="2"/>
      </rPr>
      <t>1</t>
    </r>
    <r>
      <rPr>
        <sz val="10"/>
        <rFont val="宋体"/>
        <family val="3"/>
        <charset val="134"/>
      </rPr>
      <t>）复核加计正确，并与总账数和明细账合计数核对是否相符，期初余额与上期审定期末余额是否相符；
（</t>
    </r>
    <r>
      <rPr>
        <sz val="10"/>
        <rFont val="Arial Narrow"/>
        <family val="2"/>
      </rPr>
      <t>2</t>
    </r>
    <r>
      <rPr>
        <sz val="10"/>
        <rFont val="宋体"/>
        <family val="3"/>
        <charset val="134"/>
      </rPr>
      <t>）获取管理层编制的预付账款账龄分析表，检查账龄划分是否正确；
（</t>
    </r>
    <r>
      <rPr>
        <sz val="10"/>
        <rFont val="Arial Narrow"/>
        <family val="2"/>
      </rPr>
      <t>3</t>
    </r>
    <r>
      <rPr>
        <sz val="10"/>
        <rFont val="宋体"/>
        <family val="3"/>
        <charset val="134"/>
      </rPr>
      <t>）结合应收账款、其他应收款等明细余额，检查是否有同时挂账的项目，核算内容是否重复，分析有借方余额的项目，查明原因，必要时作出适当调整。
（</t>
    </r>
    <r>
      <rPr>
        <sz val="10"/>
        <rFont val="Arial Narrow"/>
        <family val="2"/>
      </rPr>
      <t>4</t>
    </r>
    <r>
      <rPr>
        <sz val="10"/>
        <rFont val="宋体"/>
        <family val="3"/>
        <charset val="134"/>
      </rPr>
      <t>）检查非记账本位币其他应付款的折算汇率及折算是否正确。</t>
    </r>
    <r>
      <rPr>
        <sz val="10"/>
        <color rgb="FFFF0000"/>
        <rFont val="宋体"/>
        <family val="3"/>
        <charset val="134"/>
      </rPr>
      <t>（如适用）</t>
    </r>
    <r>
      <rPr>
        <sz val="10"/>
        <color rgb="FFFF0000"/>
        <rFont val="Arial Narrow"/>
        <family val="2"/>
      </rPr>
      <t xml:space="preserve">   </t>
    </r>
    <r>
      <rPr>
        <sz val="10"/>
        <rFont val="宋体"/>
        <family val="3"/>
        <charset val="134"/>
      </rPr>
      <t xml:space="preserve">
（</t>
    </r>
    <r>
      <rPr>
        <sz val="10"/>
        <rFont val="Arial Narrow"/>
        <family val="2"/>
      </rPr>
      <t>5</t>
    </r>
    <r>
      <rPr>
        <sz val="10"/>
        <rFont val="宋体"/>
        <family val="3"/>
        <charset val="134"/>
      </rPr>
      <t>）分析期末余期与期初余额各款项性质占比变动是否合理、账龄的结构是否合理；</t>
    </r>
    <phoneticPr fontId="18" type="noConversion"/>
  </si>
  <si>
    <r>
      <t>对期初余额的审计，获取上期期末的其他应付款明细，复核加计正确，总账与明细账核对一致；识别重大的明细项目、查找异常项目并了解该明细项目的核算目的和用途；检查上期其他应付款在本期支付情况；函证期初余额以及其他必要追加的审计程序。</t>
    </r>
    <r>
      <rPr>
        <sz val="10"/>
        <color rgb="FFFF0000"/>
        <rFont val="宋体"/>
        <family val="3"/>
        <charset val="134"/>
      </rPr>
      <t>（适用于首次承接）</t>
    </r>
    <phoneticPr fontId="18" type="noConversion"/>
  </si>
  <si>
    <t>检查与其他应付款有关的的记账凭证和相应的支持性证据以确定交易的真实性，是否按规定进行相应的会计处理和披露。</t>
    <phoneticPr fontId="18" type="noConversion"/>
  </si>
  <si>
    <r>
      <rPr>
        <b/>
        <sz val="10"/>
        <rFont val="宋体"/>
        <family val="3"/>
        <charset val="134"/>
      </rPr>
      <t>其他应付款前</t>
    </r>
    <r>
      <rPr>
        <b/>
        <sz val="10"/>
        <rFont val="Arial Narrow"/>
        <family val="2"/>
      </rPr>
      <t>10</t>
    </r>
    <r>
      <rPr>
        <b/>
        <sz val="10"/>
        <rFont val="宋体"/>
        <family val="3"/>
        <charset val="134"/>
      </rPr>
      <t>名查验汇总表</t>
    </r>
    <phoneticPr fontId="18" type="noConversion"/>
  </si>
  <si>
    <r>
      <rPr>
        <sz val="10"/>
        <rFont val="宋体"/>
        <family val="3"/>
        <charset val="134"/>
      </rPr>
      <t>被审计单位：</t>
    </r>
    <r>
      <rPr>
        <sz val="10"/>
        <rFont val="Arial Narrow"/>
        <family val="2"/>
      </rPr>
      <t/>
    </r>
    <phoneticPr fontId="18" type="noConversion"/>
  </si>
  <si>
    <t>编制人：</t>
    <phoneticPr fontId="18" type="noConversion"/>
  </si>
  <si>
    <t>编制日期：</t>
    <phoneticPr fontId="18" type="noConversion"/>
  </si>
  <si>
    <t>复核人：</t>
    <phoneticPr fontId="18" type="noConversion"/>
  </si>
  <si>
    <t>复核日期：</t>
    <phoneticPr fontId="18" type="noConversion"/>
  </si>
  <si>
    <r>
      <t xml:space="preserve">B. </t>
    </r>
    <r>
      <rPr>
        <sz val="10"/>
        <rFont val="宋体"/>
        <family val="3"/>
        <charset val="134"/>
      </rPr>
      <t>所有应记录的其他应付款均已记录，所有应当包括在财务报表中的相关披露均已包括</t>
    </r>
    <phoneticPr fontId="18" type="noConversion"/>
  </si>
  <si>
    <r>
      <t xml:space="preserve">C. </t>
    </r>
    <r>
      <rPr>
        <sz val="10"/>
        <rFont val="宋体"/>
        <family val="3"/>
        <charset val="134"/>
      </rPr>
      <t>记录的其他应付款是被审计单位应当履行的偿还义务</t>
    </r>
    <phoneticPr fontId="18" type="noConversion"/>
  </si>
  <si>
    <r>
      <t xml:space="preserve">D. </t>
    </r>
    <r>
      <rPr>
        <sz val="10"/>
        <rFont val="宋体"/>
        <family val="3"/>
        <charset val="134"/>
      </rPr>
      <t>其他应付款以恰当的金额包括在财务报表中，与之相关的计价或分摊调整已恰当记录，相关披露已得到恰当计量和描述</t>
    </r>
    <phoneticPr fontId="18" type="noConversion"/>
  </si>
  <si>
    <r>
      <t xml:space="preserve">E. </t>
    </r>
    <r>
      <rPr>
        <sz val="10"/>
        <rFont val="宋体"/>
        <family val="3"/>
        <charset val="134"/>
      </rPr>
      <t>其他应付款已被恰当地汇总或分解且表述清楚，相关披露在按照企业会计准则的编制基础下是相关的、可理解的</t>
    </r>
    <phoneticPr fontId="18"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</si>
  <si>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8" type="noConversion"/>
  </si>
  <si>
    <t>关于工作底稿与审计程序索引号对应的说明</t>
    <phoneticPr fontId="18"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</si>
  <si>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8"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</si>
  <si>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8"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</si>
  <si>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8" type="noConversion"/>
  </si>
  <si>
    <t>根据被审计单位实际情况和风险评估情况裁剪、修改或增加审计程序</t>
    <phoneticPr fontId="18" type="noConversion"/>
  </si>
  <si>
    <t>审计程序</t>
    <phoneticPr fontId="46" type="noConversion"/>
  </si>
  <si>
    <t>被审计单位重分类调整</t>
    <phoneticPr fontId="18" type="noConversion"/>
  </si>
  <si>
    <r>
      <rPr>
        <b/>
        <sz val="10"/>
        <rFont val="宋体"/>
        <family val="3"/>
        <charset val="134"/>
      </rPr>
      <t>期末余额</t>
    </r>
    <phoneticPr fontId="22" type="noConversion"/>
  </si>
  <si>
    <t>期末未审余额</t>
    <phoneticPr fontId="18" type="noConversion"/>
  </si>
  <si>
    <t>勿删、勿改</t>
    <phoneticPr fontId="18" type="noConversion"/>
  </si>
  <si>
    <t>随机选样/系统选样/货币单元抽样/随意选样（非统计抽样适用）</t>
    <phoneticPr fontId="18" type="noConversion"/>
  </si>
  <si>
    <r>
      <rPr>
        <sz val="10"/>
        <color rgb="FF0000FF"/>
        <rFont val="宋体"/>
        <family val="3"/>
        <charset val="134"/>
      </rPr>
      <t>抽取</t>
    </r>
    <r>
      <rPr>
        <sz val="10"/>
        <color rgb="FF0000FF"/>
        <rFont val="Arial Narrow"/>
        <family val="2"/>
      </rPr>
      <t>XX</t>
    </r>
    <r>
      <rPr>
        <sz val="10"/>
        <color rgb="FF0000FF"/>
        <rFont val="宋体"/>
        <family val="3"/>
        <charset val="134"/>
      </rPr>
      <t>笔（如果使用了样本计算器计算样本量，样本量计算过程见</t>
    </r>
    <r>
      <rPr>
        <sz val="10"/>
        <color rgb="FF0000FF"/>
        <rFont val="Arial Narrow"/>
        <family val="2"/>
      </rPr>
      <t>&lt;XX&gt;</t>
    </r>
    <r>
      <rPr>
        <sz val="10"/>
        <color rgb="FF0000FF"/>
        <rFont val="宋体"/>
        <family val="3"/>
        <charset val="134"/>
      </rPr>
      <t>底稿）</t>
    </r>
    <phoneticPr fontId="18" type="noConversion"/>
  </si>
  <si>
    <r>
      <t>1.</t>
    </r>
    <r>
      <rPr>
        <sz val="10"/>
        <rFont val="宋体"/>
        <family val="3"/>
        <charset val="134"/>
      </rPr>
      <t>本期发生额、期末余额检查比例：</t>
    </r>
    <phoneticPr fontId="18" type="noConversion"/>
  </si>
  <si>
    <t>方向</t>
    <phoneticPr fontId="18" type="noConversion"/>
  </si>
  <si>
    <t>账面金额</t>
    <phoneticPr fontId="18" type="noConversion"/>
  </si>
  <si>
    <t>检查金额</t>
    <phoneticPr fontId="18" type="noConversion"/>
  </si>
  <si>
    <t>检查比例</t>
    <phoneticPr fontId="18" type="noConversion"/>
  </si>
  <si>
    <t>如果检查比例较低应扩大检查样本量或说明原因</t>
    <phoneticPr fontId="18" type="noConversion"/>
  </si>
  <si>
    <t>本期借方</t>
    <phoneticPr fontId="18" type="noConversion"/>
  </si>
  <si>
    <t>本期贷方</t>
    <phoneticPr fontId="18" type="noConversion"/>
  </si>
  <si>
    <t>期末余额</t>
    <phoneticPr fontId="18" type="noConversion"/>
  </si>
  <si>
    <t>2.……</t>
    <phoneticPr fontId="18" type="noConversion"/>
  </si>
  <si>
    <t>其他应付款替代程序检查表</t>
  </si>
  <si>
    <t>K0-6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</si>
</sst>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3">
    <numFmt numFmtId="41" formatCode="_ * #,##0_ ;_ * \-#,##0_ ;_ * &quot;-&quot;_ ;_ @_ "/>
    <numFmt numFmtId="43" formatCode="_ * #,##0.00_ ;_ * \-#,##0.00_ ;_ * &quot;-&quot;??_ ;_ @_ "/>
    <numFmt numFmtId="176" formatCode="_-* #,##0_-;\-* #,##0_-;_-* &quot;-&quot;_-;_-@_-"/>
    <numFmt numFmtId="177" formatCode="_-* #,##0.00_-;\-* #,##0.00_-;_-* &quot;-&quot;??_-;_-@_-"/>
    <numFmt numFmtId="178" formatCode="_(* #,##0_);_(* \(#,##0\);_(* &quot;-&quot;_);_(@_)"/>
    <numFmt numFmtId="179" formatCode="_(* #,##0.00_);_(* \(#,##0.00\);_(* &quot;-&quot;??_);_(@_)"/>
    <numFmt numFmtId="180" formatCode="&quot;$&quot;#,##0_);\(&quot;$&quot;#,##0\)"/>
    <numFmt numFmtId="181" formatCode="_-&quot;$&quot;* #,##0_-;\-&quot;$&quot;* #,##0_-;_-&quot;$&quot;* &quot;-&quot;_-;_-@_-"/>
    <numFmt numFmtId="182" formatCode="_-&quot;$&quot;* #,##0.00_-;\-&quot;$&quot;* #,##0.00_-;_-&quot;$&quot;* &quot;-&quot;??_-;_-@_-"/>
    <numFmt numFmtId="183" formatCode="&quot;\&quot;#,##0;&quot;\&quot;&quot;\&quot;\-#,##0"/>
    <numFmt numFmtId="184" formatCode="&quot;\&quot;#,##0;[Red]&quot;\&quot;&quot;\&quot;\-#,##0"/>
    <numFmt numFmtId="185" formatCode="&quot;\&quot;#,##0.00;[Red]&quot;\&quot;&quot;\&quot;\-#,##0.00"/>
    <numFmt numFmtId="186" formatCode="_-#,##0.00_-;\(#,##0.00\);_-\ \ &quot;-&quot;_-;_-@_-"/>
    <numFmt numFmtId="187" formatCode="mmm/yyyy;_-\ &quot;N/A&quot;_-;_-\ &quot;-&quot;_-"/>
    <numFmt numFmtId="188" formatCode="mmm/dd/yyyy;_-\ &quot;N/A&quot;_-;_-\ &quot;-&quot;_-"/>
    <numFmt numFmtId="189" formatCode="_-#,##0_-;\(#,##0\);_-\ \ &quot;-&quot;_-;_-@_-"/>
    <numFmt numFmtId="190" formatCode="_-#,##0%_-;\(#,##0%\);_-\ &quot;-&quot;_-"/>
    <numFmt numFmtId="191" formatCode="_-#,###,_-;\(#,###,\);_-\ \ &quot;-&quot;_-;_-@_-"/>
    <numFmt numFmtId="192" formatCode="_-#,###.00,_-;\(#,###.00,\);_-\ \ &quot;-&quot;_-;_-@_-"/>
    <numFmt numFmtId="193" formatCode="_([$€-2]* #,##0.00_);_([$€-2]* \(#,##0.00\);_([$€-2]* &quot;-&quot;??_)"/>
    <numFmt numFmtId="194" formatCode="_-#0&quot;.&quot;0000_-;\(#0&quot;.&quot;0000\);_-\ \ &quot;-&quot;_-;_-@_-"/>
    <numFmt numFmtId="195" formatCode="_-#0&quot;.&quot;0,_-;\(#0&quot;.&quot;0,\);_-\ \ &quot;-&quot;_-;_-@_-"/>
    <numFmt numFmtId="196" formatCode="#,##0.00_ "/>
  </numFmts>
  <fonts count="91">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12"/>
      <name val="Garamond"/>
      <family val="1"/>
    </font>
    <font>
      <sz val="7"/>
      <color indexed="10"/>
      <name val="Helv"/>
      <family val="2"/>
    </font>
    <font>
      <u/>
      <sz val="12"/>
      <color indexed="12"/>
      <name val="宋体"/>
      <family val="3"/>
      <charset val="134"/>
    </font>
    <font>
      <sz val="12"/>
      <name val="楷体"/>
      <family val="3"/>
      <charset val="134"/>
    </font>
    <font>
      <sz val="12"/>
      <name val="楷体_GB2312"/>
      <family val="3"/>
      <charset val="134"/>
    </font>
    <font>
      <sz val="9"/>
      <name val="宋体"/>
      <family val="3"/>
      <charset val="134"/>
    </font>
    <font>
      <sz val="10"/>
      <name val="宋体"/>
      <family val="3"/>
      <charset val="134"/>
    </font>
    <font>
      <b/>
      <sz val="12"/>
      <name val="宋体"/>
      <family val="3"/>
      <charset val="134"/>
    </font>
    <font>
      <sz val="10.5"/>
      <name val="宋体"/>
      <family val="3"/>
      <charset val="134"/>
    </font>
    <font>
      <sz val="10"/>
      <name val="Times New Roman"/>
      <family val="1"/>
    </font>
    <font>
      <sz val="12"/>
      <name val="Times New Roman"/>
      <family val="1"/>
    </font>
    <font>
      <sz val="10"/>
      <color indexed="12"/>
      <name val="宋体"/>
      <family val="3"/>
      <charset val="134"/>
    </font>
    <font>
      <sz val="18"/>
      <color indexed="48"/>
      <name val="魏碑"/>
      <family val="3"/>
      <charset val="134"/>
    </font>
    <font>
      <sz val="12"/>
      <name val="Arial"/>
      <family val="2"/>
    </font>
    <font>
      <sz val="10.5"/>
      <name val="Arial"/>
      <family val="2"/>
    </font>
    <font>
      <sz val="10.5"/>
      <name val="Times New Roman"/>
      <family val="1"/>
    </font>
    <font>
      <u val="singleAccounting"/>
      <vertAlign val="subscript"/>
      <sz val="10"/>
      <name val="Times New Roman"/>
      <family val="1"/>
    </font>
    <font>
      <i/>
      <sz val="9"/>
      <name val="Times New Roman"/>
      <family val="1"/>
    </font>
    <font>
      <b/>
      <sz val="10"/>
      <name val="Arial Narrow"/>
      <family val="2"/>
    </font>
    <font>
      <sz val="12"/>
      <name val="Arial Narrow"/>
      <family val="2"/>
    </font>
    <font>
      <b/>
      <sz val="12"/>
      <name val="Arial Narrow"/>
      <family val="2"/>
    </font>
    <font>
      <sz val="10"/>
      <name val="Arial Narrow"/>
      <family val="2"/>
    </font>
    <font>
      <sz val="10"/>
      <color indexed="12"/>
      <name val="Arial Narrow"/>
      <family val="2"/>
    </font>
    <font>
      <b/>
      <sz val="10"/>
      <color indexed="8"/>
      <name val="Arial Narrow"/>
      <family val="2"/>
    </font>
    <font>
      <b/>
      <sz val="10"/>
      <color indexed="12"/>
      <name val="Arial Narrow"/>
      <family val="2"/>
    </font>
    <font>
      <sz val="10"/>
      <color indexed="8"/>
      <name val="Arial Narrow"/>
      <family val="2"/>
    </font>
    <font>
      <sz val="10"/>
      <color indexed="10"/>
      <name val="Arial Narrow"/>
      <family val="2"/>
    </font>
    <font>
      <sz val="11"/>
      <color indexed="9"/>
      <name val="宋体"/>
      <family val="3"/>
      <charset val="134"/>
    </font>
    <font>
      <b/>
      <sz val="10"/>
      <name val="宋体"/>
      <family val="3"/>
      <charset val="134"/>
    </font>
    <font>
      <sz val="10"/>
      <name val="宋体"/>
      <family val="3"/>
      <charset val="134"/>
    </font>
    <font>
      <b/>
      <sz val="10"/>
      <color indexed="12"/>
      <name val="宋体"/>
      <family val="3"/>
      <charset val="134"/>
    </font>
    <font>
      <b/>
      <sz val="10"/>
      <color indexed="8"/>
      <name val="宋体"/>
      <family val="3"/>
      <charset val="134"/>
    </font>
    <font>
      <sz val="12"/>
      <name val="宋体"/>
      <family val="3"/>
      <charset val="134"/>
    </font>
    <font>
      <sz val="9"/>
      <name val="宋体"/>
      <family val="2"/>
      <charset val="134"/>
      <scheme val="minor"/>
    </font>
    <font>
      <sz val="11"/>
      <color theme="1"/>
      <name val="宋体"/>
      <family val="2"/>
      <scheme val="minor"/>
    </font>
    <font>
      <sz val="10"/>
      <color rgb="FFFF0000"/>
      <name val="Arial Narrow"/>
      <family val="2"/>
    </font>
    <font>
      <sz val="10"/>
      <color rgb="FF0000FF"/>
      <name val="Arial Narrow"/>
      <family val="2"/>
    </font>
    <font>
      <sz val="10"/>
      <color rgb="FF0000FF"/>
      <name val="宋体"/>
      <family val="3"/>
      <charset val="134"/>
    </font>
    <font>
      <i/>
      <sz val="10"/>
      <color indexed="12"/>
      <name val="Arial Narrow"/>
      <family val="2"/>
    </font>
    <font>
      <sz val="10"/>
      <color theme="1"/>
      <name val="Arial Narrow"/>
      <family val="2"/>
    </font>
    <font>
      <b/>
      <sz val="10"/>
      <color rgb="FFFF0000"/>
      <name val="Arial Narrow"/>
      <family val="2"/>
    </font>
    <font>
      <sz val="11"/>
      <color theme="1"/>
      <name val="Arial Narrow"/>
      <family val="2"/>
    </font>
    <font>
      <b/>
      <sz val="10"/>
      <color indexed="10"/>
      <name val="Arial Narrow"/>
      <family val="2"/>
    </font>
    <font>
      <sz val="10"/>
      <color indexed="8"/>
      <name val="宋体"/>
      <family val="3"/>
      <charset val="134"/>
    </font>
    <font>
      <sz val="12"/>
      <name val="仿宋_GB2312"/>
      <family val="3"/>
      <charset val="134"/>
    </font>
    <font>
      <b/>
      <u/>
      <sz val="10"/>
      <color indexed="10"/>
      <name val="Arial Narrow"/>
      <family val="2"/>
    </font>
    <font>
      <sz val="10"/>
      <color theme="1"/>
      <name val="宋体"/>
      <family val="3"/>
      <charset val="134"/>
    </font>
    <font>
      <sz val="10"/>
      <name val="宋体"/>
      <family val="3"/>
      <charset val="134"/>
      <scheme val="minor"/>
    </font>
    <font>
      <b/>
      <sz val="10"/>
      <name val="宋体"/>
      <family val="3"/>
      <charset val="134"/>
      <scheme val="minor"/>
    </font>
    <font>
      <b/>
      <sz val="10"/>
      <color rgb="FFFF0000"/>
      <name val="宋体"/>
      <family val="3"/>
      <charset val="134"/>
    </font>
    <font>
      <b/>
      <sz val="10"/>
      <color theme="1"/>
      <name val="宋体"/>
      <family val="3"/>
      <charset val="134"/>
    </font>
    <font>
      <u/>
      <sz val="10"/>
      <color indexed="12"/>
      <name val="宋体"/>
      <family val="3"/>
      <charset val="134"/>
    </font>
    <font>
      <sz val="10"/>
      <color indexed="10"/>
      <name val="宋体"/>
      <family val="3"/>
      <charset val="134"/>
    </font>
    <font>
      <sz val="10"/>
      <color rgb="FFFF0000"/>
      <name val="宋体"/>
      <family val="3"/>
      <charset val="134"/>
    </font>
    <font>
      <sz val="11"/>
      <color theme="1"/>
      <name val="宋体"/>
      <family val="2"/>
      <charset val="134"/>
      <scheme val="minor"/>
    </font>
    <font>
      <b/>
      <sz val="14"/>
      <name val="宋体"/>
      <family val="3"/>
      <charset val="134"/>
    </font>
    <font>
      <b/>
      <sz val="10"/>
      <color theme="0" tint="-0.499984740745262"/>
      <name val="Arial Narrow"/>
      <family val="2"/>
    </font>
    <font>
      <sz val="10"/>
      <name val="Arial Narrow"/>
      <family val="3"/>
      <charset val="134"/>
    </font>
    <font>
      <b/>
      <sz val="10"/>
      <name val="Arial"/>
      <family val="2"/>
    </font>
    <font>
      <b/>
      <sz val="10"/>
      <name val="宋体"/>
      <family val="2"/>
      <charset val="134"/>
    </font>
    <font>
      <b/>
      <sz val="10"/>
      <color rgb="FF000000"/>
      <name val="宋体"/>
      <family val="3"/>
      <charset val="134"/>
    </font>
    <font>
      <sz val="10"/>
      <color rgb="FF000000"/>
      <name val="宋体"/>
      <family val="2"/>
      <charset val="134"/>
    </font>
    <font>
      <sz val="11"/>
      <color theme="1"/>
      <name val="宋体"/>
      <family val="3"/>
      <charset val="134"/>
      <scheme val="minor"/>
    </font>
    <font>
      <b/>
      <sz val="10"/>
      <color rgb="FFE92841"/>
      <name val="Arial Narrow"/>
      <family val="2"/>
    </font>
    <font>
      <sz val="12"/>
      <color indexed="12"/>
      <name val="仿宋_GB2312"/>
      <family val="3"/>
      <charset val="134"/>
    </font>
    <font>
      <sz val="12"/>
      <name val="宋体"/>
      <family val="3"/>
      <charset val="134"/>
      <scheme val="minor"/>
    </font>
    <font>
      <b/>
      <sz val="10"/>
      <color rgb="FF000000"/>
      <name val="宋体"/>
      <family val="3"/>
      <charset val="134"/>
      <scheme val="minor"/>
    </font>
    <font>
      <sz val="10"/>
      <color rgb="FFFF0000"/>
      <name val="宋体"/>
      <family val="3"/>
      <charset val="134"/>
      <scheme val="minor"/>
    </font>
    <font>
      <sz val="10"/>
      <color rgb="FF0000FF"/>
      <name val="宋体"/>
      <family val="3"/>
      <charset val="134"/>
      <scheme val="minor"/>
    </font>
    <font>
      <u/>
      <sz val="10"/>
      <color indexed="12"/>
      <name val="Arial Narrow"/>
      <family val="2"/>
    </font>
    <font>
      <b/>
      <sz val="14"/>
      <name val="Arial Narrow"/>
      <family val="2"/>
    </font>
    <font>
      <sz val="9"/>
      <color rgb="FF0000FF"/>
      <name val="Arial Narrow"/>
      <family val="2"/>
    </font>
    <font>
      <sz val="9"/>
      <color rgb="FF0000FF"/>
      <name val="宋体"/>
      <family val="3"/>
      <charset val="134"/>
    </font>
    <font>
      <b/>
      <sz val="12"/>
      <name val="宋体"/>
      <family val="3"/>
      <charset val="134"/>
      <scheme val="minor"/>
    </font>
    <font>
      <b/>
      <sz val="14"/>
      <name val="宋体"/>
      <family val="3"/>
      <charset val="134"/>
      <scheme val="minor"/>
    </font>
    <font>
      <sz val="12"/>
      <color rgb="FFFF0000"/>
      <name val="宋体"/>
      <family val="3"/>
      <charset val="134"/>
    </font>
    <font>
      <b/>
      <sz val="9"/>
      <color indexed="81"/>
      <name val="宋体"/>
      <family val="3"/>
      <charset val="134"/>
    </font>
    <font>
      <sz val="9"/>
      <color indexed="81"/>
      <name val="宋体"/>
      <family val="3"/>
      <charset val="134"/>
    </font>
  </fonts>
  <fills count="14">
    <fill>
      <patternFill patternType="none"/>
    </fill>
    <fill>
      <patternFill patternType="gray125"/>
    </fill>
    <fill>
      <patternFill patternType="solid">
        <fgColor indexed="30"/>
      </patternFill>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79998168889431442"/>
        <bgColor indexed="64"/>
      </patternFill>
    </fill>
    <fill>
      <patternFill patternType="solid">
        <fgColor rgb="FFFFFF99"/>
        <bgColor indexed="64"/>
      </patternFill>
    </fill>
    <fill>
      <patternFill patternType="solid">
        <fgColor indexed="9"/>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79998168889431442"/>
        <bgColor indexed="64"/>
      </patternFill>
    </fill>
    <fill>
      <patternFill patternType="solid">
        <fgColor rgb="FFE4DFEC"/>
        <bgColor indexed="64"/>
      </patternFill>
    </fill>
    <fill>
      <patternFill patternType="solid">
        <fgColor theme="7" tint="0.79998168889431442"/>
        <bgColor rgb="FFB7DEE8"/>
      </patternFill>
    </fill>
  </fills>
  <borders count="16">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right/>
      <top style="hair">
        <color auto="1"/>
      </top>
      <bottom/>
      <diagonal/>
    </border>
    <border>
      <left/>
      <right style="hair">
        <color auto="1"/>
      </right>
      <top style="hair">
        <color auto="1"/>
      </top>
      <bottom/>
      <diagonal/>
    </border>
    <border>
      <left/>
      <right/>
      <top/>
      <bottom style="hair">
        <color auto="1"/>
      </bottom>
      <diagonal/>
    </border>
    <border>
      <left style="thin">
        <color indexed="55"/>
      </left>
      <right style="thin">
        <color indexed="55"/>
      </right>
      <top style="thin">
        <color indexed="55"/>
      </top>
      <bottom style="thin">
        <color indexed="55"/>
      </bottom>
      <diagonal/>
    </border>
  </borders>
  <cellStyleXfs count="83">
    <xf numFmtId="193" fontId="0" fillId="0" borderId="0">
      <protection locked="0"/>
    </xf>
    <xf numFmtId="193" fontId="40" fillId="2" borderId="0" applyNumberFormat="0" applyBorder="0" applyAlignment="0" applyProtection="0">
      <alignment vertical="center"/>
    </xf>
    <xf numFmtId="49" fontId="22" fillId="0" borderId="0" applyProtection="0">
      <alignment horizontal="left"/>
    </xf>
    <xf numFmtId="189" fontId="22" fillId="0" borderId="0" applyFill="0" applyBorder="0" applyProtection="0">
      <alignment horizontal="right"/>
    </xf>
    <xf numFmtId="186" fontId="22" fillId="0" borderId="0" applyFill="0" applyBorder="0" applyProtection="0">
      <alignment horizontal="right"/>
    </xf>
    <xf numFmtId="188" fontId="29" fillId="0" borderId="0" applyFill="0" applyBorder="0" applyProtection="0">
      <alignment horizontal="center"/>
    </xf>
    <xf numFmtId="187" fontId="29" fillId="0" borderId="0" applyFill="0" applyBorder="0" applyProtection="0">
      <alignment horizontal="center"/>
    </xf>
    <xf numFmtId="190" fontId="30" fillId="0" borderId="0" applyFill="0" applyBorder="0" applyProtection="0">
      <alignment horizontal="right"/>
    </xf>
    <xf numFmtId="191" fontId="22" fillId="0" borderId="0" applyFill="0" applyBorder="0" applyProtection="0">
      <alignment horizontal="right"/>
    </xf>
    <xf numFmtId="192" fontId="22" fillId="0" borderId="0" applyFill="0" applyBorder="0" applyProtection="0">
      <alignment horizontal="right"/>
    </xf>
    <xf numFmtId="195" fontId="22" fillId="0" borderId="0" applyFill="0" applyBorder="0" applyProtection="0">
      <alignment horizontal="right"/>
    </xf>
    <xf numFmtId="194" fontId="22" fillId="0" borderId="0" applyFill="0" applyBorder="0" applyProtection="0">
      <alignment horizontal="right"/>
    </xf>
    <xf numFmtId="3" fontId="5" fillId="0" borderId="0"/>
    <xf numFmtId="180" fontId="6" fillId="0" borderId="1" applyAlignment="0" applyProtection="0"/>
    <xf numFmtId="176" fontId="7" fillId="0" borderId="0" applyFont="0" applyFill="0" applyBorder="0" applyAlignment="0" applyProtection="0"/>
    <xf numFmtId="177" fontId="7"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3" fontId="22" fillId="0" borderId="0" applyFont="0" applyFill="0" applyBorder="0" applyAlignment="0" applyProtection="0"/>
    <xf numFmtId="193" fontId="8" fillId="0" borderId="0" applyNumberFormat="0" applyFill="0" applyBorder="0" applyAlignment="0" applyProtection="0">
      <alignment vertical="top"/>
      <protection locked="0"/>
    </xf>
    <xf numFmtId="38" fontId="9" fillId="3" borderId="0" applyNumberFormat="0" applyBorder="0" applyAlignment="0" applyProtection="0"/>
    <xf numFmtId="193" fontId="10" fillId="0" borderId="0" applyNumberFormat="0" applyFill="0" applyBorder="0" applyAlignment="0" applyProtection="0">
      <alignment vertical="top"/>
      <protection locked="0"/>
    </xf>
    <xf numFmtId="10" fontId="9" fillId="4" borderId="2" applyNumberFormat="0" applyBorder="0" applyAlignment="0" applyProtection="0"/>
    <xf numFmtId="184" fontId="11" fillId="0" borderId="0" applyFont="0" applyFill="0" applyBorder="0" applyAlignment="0" applyProtection="0"/>
    <xf numFmtId="185" fontId="11" fillId="0" borderId="0" applyFont="0" applyFill="0" applyBorder="0" applyAlignment="0" applyProtection="0"/>
    <xf numFmtId="193" fontId="12" fillId="0" borderId="0"/>
    <xf numFmtId="183" fontId="11" fillId="0" borderId="0"/>
    <xf numFmtId="193" fontId="13" fillId="0" borderId="0"/>
    <xf numFmtId="10" fontId="7" fillId="0" borderId="0" applyFont="0" applyFill="0" applyBorder="0" applyAlignment="0" applyProtection="0"/>
    <xf numFmtId="3" fontId="14" fillId="0" borderId="0"/>
    <xf numFmtId="9" fontId="11" fillId="0" borderId="0" applyFont="0" applyFill="0" applyBorder="0" applyAlignment="0" applyProtection="0"/>
    <xf numFmtId="193" fontId="11" fillId="0" borderId="0">
      <protection locked="0"/>
    </xf>
    <xf numFmtId="193" fontId="11" fillId="0" borderId="0">
      <alignment vertical="center"/>
    </xf>
    <xf numFmtId="193" fontId="22" fillId="0" borderId="0">
      <protection locked="0"/>
    </xf>
    <xf numFmtId="193" fontId="11" fillId="0" borderId="0"/>
    <xf numFmtId="193" fontId="11" fillId="0" borderId="0" applyFill="0" applyBorder="0"/>
    <xf numFmtId="193" fontId="11" fillId="0" borderId="0">
      <alignment vertical="center"/>
    </xf>
    <xf numFmtId="193" fontId="15" fillId="0" borderId="0" applyNumberFormat="0" applyFill="0" applyBorder="0" applyAlignment="0" applyProtection="0">
      <alignment vertical="top"/>
      <protection locked="0"/>
    </xf>
    <xf numFmtId="193" fontId="16" fillId="0" borderId="0"/>
    <xf numFmtId="178" fontId="11" fillId="0" borderId="0" applyFont="0" applyFill="0" applyBorder="0" applyAlignment="0" applyProtection="0"/>
    <xf numFmtId="179" fontId="11"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43" fontId="11" fillId="0" borderId="0" applyFont="0" applyFill="0" applyBorder="0" applyAlignment="0" applyProtection="0"/>
    <xf numFmtId="193" fontId="11" fillId="0" borderId="0">
      <alignment vertical="center"/>
    </xf>
    <xf numFmtId="193" fontId="7" fillId="0" borderId="0"/>
    <xf numFmtId="193" fontId="47" fillId="0" borderId="0"/>
    <xf numFmtId="43" fontId="11" fillId="0" borderId="0" applyFont="0" applyFill="0" applyBorder="0" applyAlignment="0" applyProtection="0">
      <alignment vertical="center"/>
    </xf>
    <xf numFmtId="193" fontId="11" fillId="0" borderId="0"/>
    <xf numFmtId="193" fontId="11" fillId="0" borderId="0">
      <protection locked="0"/>
    </xf>
    <xf numFmtId="193" fontId="11" fillId="0" borderId="0">
      <alignment vertical="center"/>
    </xf>
    <xf numFmtId="193" fontId="11" fillId="0" borderId="0">
      <protection locked="0"/>
    </xf>
    <xf numFmtId="193" fontId="67" fillId="0" borderId="0">
      <alignment vertical="center"/>
    </xf>
    <xf numFmtId="193" fontId="19" fillId="0" borderId="0"/>
    <xf numFmtId="193" fontId="23" fillId="0" borderId="0"/>
    <xf numFmtId="193" fontId="4" fillId="0" borderId="0"/>
    <xf numFmtId="193" fontId="75" fillId="0" borderId="0">
      <alignment vertical="center"/>
    </xf>
    <xf numFmtId="193" fontId="75" fillId="0" borderId="0">
      <alignment vertical="center"/>
    </xf>
    <xf numFmtId="193" fontId="11" fillId="0" borderId="0"/>
    <xf numFmtId="193" fontId="15" fillId="0" borderId="0" applyNumberFormat="0" applyFill="0" applyBorder="0" applyAlignment="0" applyProtection="0">
      <alignment vertical="top"/>
      <protection locked="0"/>
    </xf>
    <xf numFmtId="9" fontId="11" fillId="0" borderId="0" applyFont="0" applyFill="0" applyBorder="0" applyAlignment="0" applyProtection="0"/>
    <xf numFmtId="193" fontId="11" fillId="0" borderId="0">
      <alignment vertical="center"/>
    </xf>
    <xf numFmtId="193" fontId="3" fillId="0" borderId="0">
      <alignment vertical="center"/>
    </xf>
    <xf numFmtId="43" fontId="11" fillId="0" borderId="0" applyFont="0" applyFill="0" applyBorder="0" applyAlignment="0" applyProtection="0">
      <alignment vertical="center"/>
    </xf>
    <xf numFmtId="9" fontId="11" fillId="0" borderId="0" applyFont="0" applyFill="0" applyBorder="0" applyAlignment="0" applyProtection="0"/>
    <xf numFmtId="193" fontId="3" fillId="0" borderId="0">
      <alignment vertical="center"/>
    </xf>
    <xf numFmtId="193" fontId="4" fillId="0" borderId="0"/>
    <xf numFmtId="193" fontId="3" fillId="0" borderId="0">
      <alignment vertical="center"/>
    </xf>
    <xf numFmtId="179" fontId="11" fillId="0" borderId="0" applyFont="0" applyFill="0" applyBorder="0" applyAlignment="0" applyProtection="0">
      <alignment vertical="center"/>
    </xf>
    <xf numFmtId="193" fontId="11" fillId="0" borderId="0">
      <alignment vertical="center"/>
    </xf>
    <xf numFmtId="193" fontId="11" fillId="0" borderId="0">
      <protection locked="0"/>
    </xf>
    <xf numFmtId="193" fontId="15" fillId="0" borderId="0" applyNumberFormat="0" applyFill="0" applyBorder="0" applyAlignment="0" applyProtection="0">
      <alignment vertical="top"/>
      <protection locked="0"/>
    </xf>
    <xf numFmtId="193" fontId="22" fillId="0" borderId="0">
      <protection locked="0"/>
    </xf>
    <xf numFmtId="193" fontId="11" fillId="0" borderId="0"/>
    <xf numFmtId="193" fontId="11" fillId="0" borderId="0">
      <alignment vertical="center"/>
    </xf>
    <xf numFmtId="193" fontId="11" fillId="0" borderId="0" applyFill="0" applyBorder="0"/>
    <xf numFmtId="43" fontId="11" fillId="0" borderId="0" applyFont="0" applyFill="0" applyBorder="0" applyAlignment="0" applyProtection="0"/>
    <xf numFmtId="193" fontId="2" fillId="0" borderId="0">
      <alignment vertical="center"/>
    </xf>
    <xf numFmtId="193" fontId="75" fillId="0" borderId="0">
      <alignment vertical="center"/>
    </xf>
    <xf numFmtId="9" fontId="11" fillId="0" borderId="0" applyFont="0" applyFill="0" applyBorder="0" applyAlignment="0" applyProtection="0">
      <alignment vertical="center"/>
    </xf>
    <xf numFmtId="193" fontId="1" fillId="0" borderId="0">
      <alignment vertical="center"/>
    </xf>
  </cellStyleXfs>
  <cellXfs count="459">
    <xf numFmtId="193" fontId="0" fillId="0" borderId="0" xfId="0">
      <protection locked="0"/>
    </xf>
    <xf numFmtId="193" fontId="21" fillId="0" borderId="0" xfId="0" applyFont="1" applyAlignment="1">
      <alignment horizontal="justify" wrapText="1"/>
      <protection locked="0"/>
    </xf>
    <xf numFmtId="193" fontId="21" fillId="0" borderId="0" xfId="0" applyFont="1" applyAlignment="1">
      <alignment horizontal="justify" vertical="top" wrapText="1"/>
      <protection locked="0"/>
    </xf>
    <xf numFmtId="193" fontId="20" fillId="0" borderId="0" xfId="0" applyFont="1" applyAlignment="1">
      <alignment vertical="center"/>
      <protection locked="0"/>
    </xf>
    <xf numFmtId="193" fontId="0" fillId="0" borderId="0" xfId="0" applyAlignment="1">
      <alignment vertical="center"/>
      <protection locked="0"/>
    </xf>
    <xf numFmtId="193" fontId="26" fillId="0" borderId="0" xfId="0" applyFont="1" applyAlignment="1">
      <alignment vertical="center"/>
      <protection locked="0"/>
    </xf>
    <xf numFmtId="193" fontId="11" fillId="0" borderId="0" xfId="0" applyFont="1" applyAlignment="1">
      <alignment vertical="center"/>
      <protection locked="0"/>
    </xf>
    <xf numFmtId="193" fontId="27" fillId="0" borderId="0" xfId="0" applyFont="1" applyAlignment="1">
      <alignment horizontal="justify" wrapText="1"/>
      <protection locked="0"/>
    </xf>
    <xf numFmtId="193" fontId="11" fillId="0" borderId="0" xfId="0" applyFont="1" applyAlignment="1">
      <alignment horizontal="center" vertical="center"/>
      <protection locked="0"/>
    </xf>
    <xf numFmtId="193" fontId="26" fillId="0" borderId="0" xfId="0" applyFont="1">
      <protection locked="0"/>
    </xf>
    <xf numFmtId="193" fontId="28" fillId="0" borderId="0" xfId="0" applyFont="1" applyAlignment="1">
      <alignment horizontal="justify" wrapText="1"/>
      <protection locked="0"/>
    </xf>
    <xf numFmtId="43" fontId="34" fillId="0" borderId="0" xfId="37" applyNumberFormat="1" applyFont="1" applyBorder="1" applyAlignment="1">
      <alignment vertical="center"/>
    </xf>
    <xf numFmtId="49" fontId="34" fillId="0" borderId="0" xfId="37" applyNumberFormat="1" applyFont="1" applyBorder="1" applyAlignment="1">
      <alignment vertical="center"/>
    </xf>
    <xf numFmtId="49" fontId="34" fillId="0" borderId="0" xfId="37" applyNumberFormat="1" applyFont="1" applyBorder="1" applyAlignment="1">
      <alignment horizontal="center" vertical="center"/>
    </xf>
    <xf numFmtId="193" fontId="34" fillId="0" borderId="0" xfId="0" applyFont="1" applyAlignment="1">
      <alignment vertical="center"/>
      <protection locked="0"/>
    </xf>
    <xf numFmtId="193" fontId="34" fillId="0" borderId="0" xfId="38" applyFont="1">
      <alignment vertical="center"/>
    </xf>
    <xf numFmtId="193" fontId="34" fillId="0" borderId="0" xfId="35" applyFont="1">
      <protection locked="0"/>
    </xf>
    <xf numFmtId="193" fontId="34" fillId="0" borderId="3" xfId="0" applyFont="1" applyBorder="1" applyAlignment="1">
      <alignment horizontal="left" vertical="center" wrapText="1"/>
      <protection locked="0"/>
    </xf>
    <xf numFmtId="43" fontId="34" fillId="0" borderId="3" xfId="0" applyNumberFormat="1" applyFont="1" applyBorder="1" applyAlignment="1">
      <alignment horizontal="left" vertical="center" wrapText="1"/>
      <protection locked="0"/>
    </xf>
    <xf numFmtId="43" fontId="38" fillId="0" borderId="3" xfId="0" applyNumberFormat="1" applyFont="1" applyBorder="1" applyAlignment="1">
      <alignment horizontal="right" vertical="center" wrapText="1"/>
      <protection locked="0"/>
    </xf>
    <xf numFmtId="193" fontId="38" fillId="0" borderId="3" xfId="0" applyFont="1" applyBorder="1" applyAlignment="1">
      <alignment horizontal="left" vertical="center" wrapText="1"/>
      <protection locked="0"/>
    </xf>
    <xf numFmtId="193" fontId="34" fillId="0" borderId="0" xfId="35" applyFont="1" applyAlignment="1">
      <alignment vertical="center"/>
      <protection locked="0"/>
    </xf>
    <xf numFmtId="193" fontId="35" fillId="0" borderId="0" xfId="0" applyFont="1" applyAlignment="1">
      <alignment vertical="center"/>
      <protection locked="0"/>
    </xf>
    <xf numFmtId="193" fontId="37" fillId="0" borderId="0" xfId="0" applyFont="1" applyAlignment="1">
      <alignment horizontal="right" vertical="center"/>
      <protection locked="0"/>
    </xf>
    <xf numFmtId="193" fontId="35" fillId="0" borderId="0" xfId="0" applyFont="1" applyAlignment="1">
      <alignment horizontal="right" vertical="center"/>
      <protection locked="0"/>
    </xf>
    <xf numFmtId="193" fontId="34" fillId="0" borderId="0" xfId="0" applyFont="1" applyAlignment="1">
      <alignment horizontal="left" vertical="center"/>
      <protection locked="0"/>
    </xf>
    <xf numFmtId="193" fontId="34" fillId="0" borderId="0" xfId="33" applyFont="1" applyAlignment="1">
      <alignment vertical="center"/>
      <protection locked="0"/>
    </xf>
    <xf numFmtId="193" fontId="42" fillId="0" borderId="0" xfId="0" applyFont="1" applyAlignment="1">
      <alignment vertical="center"/>
      <protection locked="0"/>
    </xf>
    <xf numFmtId="193" fontId="41" fillId="0" borderId="0" xfId="33" applyFont="1" applyAlignment="1">
      <alignment vertical="center"/>
      <protection locked="0"/>
    </xf>
    <xf numFmtId="193" fontId="32" fillId="0" borderId="0" xfId="35" applyFont="1">
      <protection locked="0"/>
    </xf>
    <xf numFmtId="193" fontId="34" fillId="0" borderId="0" xfId="33" applyFont="1" applyAlignment="1">
      <alignment vertical="center" wrapText="1"/>
      <protection locked="0"/>
    </xf>
    <xf numFmtId="193" fontId="19" fillId="0" borderId="0" xfId="33" applyFont="1" applyAlignment="1">
      <alignment horizontal="right" vertical="center"/>
      <protection locked="0"/>
    </xf>
    <xf numFmtId="193" fontId="31" fillId="0" borderId="0" xfId="33" applyFont="1" applyAlignment="1">
      <alignment vertical="center"/>
      <protection locked="0"/>
    </xf>
    <xf numFmtId="193" fontId="35" fillId="0" borderId="12" xfId="0" applyFont="1" applyBorder="1" applyAlignment="1">
      <alignment vertical="center"/>
      <protection locked="0"/>
    </xf>
    <xf numFmtId="43" fontId="39" fillId="0" borderId="12" xfId="35" applyNumberFormat="1" applyFont="1" applyBorder="1" applyAlignment="1">
      <alignment vertical="center"/>
      <protection locked="0"/>
    </xf>
    <xf numFmtId="193" fontId="34" fillId="0" borderId="12" xfId="35" applyFont="1" applyBorder="1" applyAlignment="1">
      <alignment vertical="center"/>
      <protection locked="0"/>
    </xf>
    <xf numFmtId="193" fontId="45" fillId="0" borderId="0" xfId="0" applyFont="1" applyAlignment="1">
      <alignment vertical="center"/>
      <protection locked="0"/>
    </xf>
    <xf numFmtId="193" fontId="44" fillId="6" borderId="3" xfId="0" applyFont="1" applyFill="1" applyBorder="1" applyAlignment="1" applyProtection="1">
      <alignment horizontal="center" vertical="center"/>
    </xf>
    <xf numFmtId="193" fontId="32" fillId="0" borderId="0" xfId="0" applyFont="1">
      <protection locked="0"/>
    </xf>
    <xf numFmtId="193" fontId="31" fillId="6" borderId="3" xfId="50" applyFont="1" applyFill="1" applyBorder="1" applyAlignment="1" applyProtection="1">
      <alignment horizontal="center" vertical="center" wrapText="1"/>
      <protection locked="0"/>
    </xf>
    <xf numFmtId="193" fontId="31" fillId="6" borderId="3" xfId="51" applyNumberFormat="1" applyFont="1" applyFill="1" applyBorder="1" applyAlignment="1">
      <alignment horizontal="center" vertical="center"/>
      <protection locked="0"/>
    </xf>
    <xf numFmtId="193" fontId="36" fillId="6" borderId="3" xfId="51" applyNumberFormat="1" applyFont="1" applyFill="1" applyBorder="1" applyAlignment="1">
      <alignment horizontal="center" vertical="center" wrapText="1"/>
      <protection locked="0"/>
    </xf>
    <xf numFmtId="43" fontId="41" fillId="0" borderId="0" xfId="37" applyNumberFormat="1" applyFont="1" applyBorder="1" applyAlignment="1">
      <alignment vertical="center"/>
    </xf>
    <xf numFmtId="193" fontId="31" fillId="0" borderId="0" xfId="35" applyFont="1">
      <protection locked="0"/>
    </xf>
    <xf numFmtId="193" fontId="36" fillId="0" borderId="0" xfId="0" applyFont="1" applyAlignment="1" applyProtection="1">
      <alignment vertical="center"/>
    </xf>
    <xf numFmtId="193" fontId="58" fillId="0" borderId="0" xfId="0" applyFont="1" applyAlignment="1" applyProtection="1">
      <alignment horizontal="center"/>
    </xf>
    <xf numFmtId="193" fontId="34" fillId="0" borderId="0" xfId="0" applyFont="1" applyAlignment="1" applyProtection="1">
      <alignment vertical="center"/>
    </xf>
    <xf numFmtId="193" fontId="51" fillId="0" borderId="0" xfId="0" applyFont="1" applyAlignment="1">
      <alignment vertical="center"/>
      <protection locked="0"/>
    </xf>
    <xf numFmtId="193" fontId="53" fillId="6" borderId="4" xfId="0" applyFont="1" applyFill="1" applyBorder="1" applyAlignment="1">
      <alignment horizontal="center" vertical="center"/>
      <protection locked="0"/>
    </xf>
    <xf numFmtId="193" fontId="31" fillId="6" borderId="12" xfId="0" applyFont="1" applyFill="1" applyBorder="1" applyAlignment="1">
      <alignment horizontal="centerContinuous" vertical="center" wrapText="1"/>
      <protection locked="0"/>
    </xf>
    <xf numFmtId="43" fontId="36" fillId="6" borderId="12" xfId="0" applyNumberFormat="1" applyFont="1" applyFill="1" applyBorder="1" applyAlignment="1">
      <alignment horizontal="right" vertical="center" wrapText="1"/>
      <protection locked="0"/>
    </xf>
    <xf numFmtId="193" fontId="31" fillId="6" borderId="12" xfId="0" applyFont="1" applyFill="1" applyBorder="1" applyAlignment="1">
      <alignment horizontal="left" vertical="center" wrapText="1"/>
      <protection locked="0"/>
    </xf>
    <xf numFmtId="193" fontId="31" fillId="6" borderId="13" xfId="0" applyFont="1" applyFill="1" applyBorder="1" applyAlignment="1">
      <alignment horizontal="left" vertical="center" wrapText="1"/>
      <protection locked="0"/>
    </xf>
    <xf numFmtId="193" fontId="19" fillId="0" borderId="0" xfId="0" applyFont="1" applyAlignment="1">
      <alignment vertical="center"/>
      <protection locked="0"/>
    </xf>
    <xf numFmtId="193" fontId="32" fillId="0" borderId="0" xfId="0" applyFont="1" applyAlignment="1">
      <alignment vertical="center"/>
      <protection locked="0"/>
    </xf>
    <xf numFmtId="193" fontId="31" fillId="0" borderId="0" xfId="0" applyFont="1" applyAlignment="1">
      <alignment vertical="center"/>
      <protection locked="0"/>
    </xf>
    <xf numFmtId="193" fontId="34" fillId="0" borderId="3" xfId="51" applyFont="1" applyBorder="1" applyAlignment="1" applyProtection="1">
      <alignment vertical="center"/>
    </xf>
    <xf numFmtId="196" fontId="34" fillId="0" borderId="3" xfId="51" applyNumberFormat="1" applyFont="1" applyBorder="1" applyAlignment="1" applyProtection="1">
      <alignment vertical="center"/>
    </xf>
    <xf numFmtId="196" fontId="31" fillId="6" borderId="3" xfId="51" applyNumberFormat="1" applyFont="1" applyFill="1" applyBorder="1" applyAlignment="1" applyProtection="1">
      <alignment horizontal="centerContinuous" vertical="center"/>
    </xf>
    <xf numFmtId="196" fontId="31" fillId="6" borderId="3" xfId="51" applyNumberFormat="1" applyFont="1" applyFill="1" applyBorder="1" applyAlignment="1" applyProtection="1">
      <alignment horizontal="center" vertical="center"/>
    </xf>
    <xf numFmtId="193" fontId="33" fillId="0" borderId="0" xfId="0" applyFont="1" applyAlignment="1">
      <alignment horizontal="center" vertical="center"/>
      <protection locked="0"/>
    </xf>
    <xf numFmtId="196" fontId="41" fillId="6" borderId="3" xfId="51" applyNumberFormat="1" applyFont="1" applyFill="1" applyBorder="1" applyAlignment="1" applyProtection="1">
      <alignment horizontal="center" vertical="center" wrapText="1"/>
    </xf>
    <xf numFmtId="193" fontId="31" fillId="0" borderId="0" xfId="33" applyFont="1" applyAlignment="1">
      <alignment horizontal="center" vertical="center"/>
      <protection locked="0"/>
    </xf>
    <xf numFmtId="193" fontId="60" fillId="0" borderId="0" xfId="0" applyFont="1" applyAlignment="1" applyProtection="1">
      <alignment horizontal="left" vertical="center"/>
    </xf>
    <xf numFmtId="193" fontId="60" fillId="0" borderId="0" xfId="0" applyFont="1" applyAlignment="1">
      <alignment horizontal="left" vertical="center"/>
      <protection locked="0"/>
    </xf>
    <xf numFmtId="193" fontId="61" fillId="0" borderId="0" xfId="0" applyFont="1" applyAlignment="1">
      <alignment vertical="center"/>
      <protection locked="0"/>
    </xf>
    <xf numFmtId="193" fontId="34" fillId="0" borderId="0" xfId="0" applyFont="1" applyAlignment="1">
      <alignment horizontal="right" vertical="center"/>
      <protection locked="0"/>
    </xf>
    <xf numFmtId="193" fontId="60" fillId="0" borderId="0" xfId="0" applyFont="1" applyAlignment="1">
      <alignment vertical="center"/>
      <protection locked="0"/>
    </xf>
    <xf numFmtId="193" fontId="36" fillId="0" borderId="0" xfId="33" applyFont="1" applyAlignment="1" applyProtection="1">
      <alignment vertical="center"/>
    </xf>
    <xf numFmtId="193" fontId="58" fillId="0" borderId="0" xfId="33" applyFont="1" applyAlignment="1" applyProtection="1">
      <alignment horizontal="center"/>
    </xf>
    <xf numFmtId="193" fontId="31" fillId="0" borderId="0" xfId="33" applyFont="1" applyAlignment="1" applyProtection="1">
      <alignment horizontal="left" vertical="center"/>
    </xf>
    <xf numFmtId="193" fontId="32" fillId="0" borderId="0" xfId="34" applyFont="1" applyAlignment="1">
      <alignment vertical="center" wrapText="1"/>
    </xf>
    <xf numFmtId="193" fontId="60" fillId="0" borderId="0" xfId="0" applyFont="1" applyAlignment="1" applyProtection="1">
      <alignment vertical="center"/>
    </xf>
    <xf numFmtId="193" fontId="31" fillId="0" borderId="12" xfId="33" applyFont="1" applyBorder="1" applyAlignment="1">
      <alignment vertical="center"/>
      <protection locked="0"/>
    </xf>
    <xf numFmtId="193" fontId="60" fillId="0" borderId="12" xfId="0" applyFont="1" applyBorder="1" applyAlignment="1" applyProtection="1">
      <alignment vertical="center"/>
    </xf>
    <xf numFmtId="10" fontId="60" fillId="0" borderId="12" xfId="0" applyNumberFormat="1" applyFont="1" applyBorder="1" applyAlignment="1" applyProtection="1">
      <alignment vertical="center"/>
    </xf>
    <xf numFmtId="193" fontId="39" fillId="0" borderId="0" xfId="33" applyFont="1" applyAlignment="1">
      <alignment horizontal="right" vertical="center"/>
      <protection locked="0"/>
    </xf>
    <xf numFmtId="10" fontId="60" fillId="0" borderId="0" xfId="0" applyNumberFormat="1" applyFont="1" applyAlignment="1" applyProtection="1">
      <alignment vertical="center"/>
    </xf>
    <xf numFmtId="193" fontId="36" fillId="0" borderId="2" xfId="0" applyFont="1" applyBorder="1" applyAlignment="1" applyProtection="1">
      <alignment horizontal="center" vertical="center"/>
    </xf>
    <xf numFmtId="193" fontId="38" fillId="0" borderId="2" xfId="0" applyFont="1" applyBorder="1" applyAlignment="1" applyProtection="1">
      <alignment vertical="center"/>
    </xf>
    <xf numFmtId="193" fontId="36" fillId="0" borderId="2" xfId="0" applyFont="1" applyBorder="1" applyAlignment="1" applyProtection="1">
      <alignment vertical="center"/>
    </xf>
    <xf numFmtId="193" fontId="31" fillId="0" borderId="12" xfId="0" applyFont="1" applyBorder="1" applyAlignment="1">
      <alignment vertical="center"/>
      <protection locked="0"/>
    </xf>
    <xf numFmtId="193" fontId="31" fillId="7" borderId="0" xfId="35" applyFont="1" applyFill="1">
      <protection locked="0"/>
    </xf>
    <xf numFmtId="193" fontId="19" fillId="0" borderId="0" xfId="56" applyFont="1" applyAlignment="1">
      <alignment horizontal="left" vertical="center"/>
    </xf>
    <xf numFmtId="193" fontId="41" fillId="0" borderId="0" xfId="56" applyFont="1" applyAlignment="1">
      <alignment vertical="center"/>
    </xf>
    <xf numFmtId="193" fontId="31" fillId="6" borderId="3" xfId="51" applyFont="1" applyFill="1" applyBorder="1" applyAlignment="1" applyProtection="1">
      <alignment horizontal="center" vertical="center" wrapText="1"/>
    </xf>
    <xf numFmtId="193" fontId="41" fillId="6" borderId="3" xfId="51" applyFont="1" applyFill="1" applyBorder="1" applyAlignment="1" applyProtection="1">
      <alignment horizontal="center" vertical="center" wrapText="1"/>
    </xf>
    <xf numFmtId="43" fontId="34" fillId="0" borderId="3" xfId="49" applyFont="1" applyFill="1" applyBorder="1" applyAlignment="1">
      <alignment horizontal="center" vertical="center"/>
    </xf>
    <xf numFmtId="196" fontId="34" fillId="8" borderId="3" xfId="51" applyNumberFormat="1" applyFont="1" applyFill="1" applyBorder="1" applyAlignment="1" applyProtection="1">
      <alignment horizontal="right" vertical="center"/>
    </xf>
    <xf numFmtId="193" fontId="34" fillId="8" borderId="3" xfId="51" applyFont="1" applyFill="1" applyBorder="1" applyAlignment="1" applyProtection="1">
      <alignment horizontal="center" vertical="center" wrapText="1"/>
    </xf>
    <xf numFmtId="193" fontId="41" fillId="6" borderId="3" xfId="0" applyFont="1" applyFill="1" applyBorder="1" applyAlignment="1">
      <alignment horizontal="center" vertical="center"/>
      <protection locked="0"/>
    </xf>
    <xf numFmtId="193" fontId="38" fillId="0" borderId="3" xfId="0" applyFont="1" applyBorder="1" applyAlignment="1" applyProtection="1">
      <alignment vertical="center"/>
    </xf>
    <xf numFmtId="193" fontId="57" fillId="0" borderId="0" xfId="0" applyFont="1" applyAlignment="1">
      <alignment vertical="center"/>
      <protection locked="0"/>
    </xf>
    <xf numFmtId="193" fontId="38" fillId="0" borderId="3" xfId="0" applyFont="1" applyBorder="1" applyAlignment="1">
      <alignment horizontal="right" vertical="center" wrapText="1"/>
      <protection locked="0"/>
    </xf>
    <xf numFmtId="193" fontId="48" fillId="0" borderId="3" xfId="0" applyFont="1" applyBorder="1" applyAlignment="1">
      <alignment horizontal="left" vertical="center" wrapText="1"/>
      <protection locked="0"/>
    </xf>
    <xf numFmtId="14" fontId="34" fillId="0" borderId="0" xfId="0" applyNumberFormat="1" applyFont="1" applyAlignment="1">
      <alignment vertical="center"/>
      <protection locked="0"/>
    </xf>
    <xf numFmtId="14" fontId="34" fillId="0" borderId="0" xfId="37" applyNumberFormat="1" applyFont="1" applyBorder="1" applyAlignment="1">
      <alignment vertical="center"/>
    </xf>
    <xf numFmtId="14" fontId="34" fillId="0" borderId="0" xfId="33" applyNumberFormat="1" applyFont="1" applyAlignment="1">
      <alignment vertical="center" wrapText="1"/>
      <protection locked="0"/>
    </xf>
    <xf numFmtId="43" fontId="34" fillId="0" borderId="3" xfId="51" applyNumberFormat="1" applyFont="1" applyBorder="1" applyAlignment="1" applyProtection="1">
      <alignment horizontal="left" vertical="center"/>
    </xf>
    <xf numFmtId="193" fontId="34" fillId="6" borderId="0" xfId="0" applyFont="1" applyFill="1" applyAlignment="1">
      <alignment vertical="center"/>
      <protection locked="0"/>
    </xf>
    <xf numFmtId="193" fontId="32" fillId="6" borderId="0" xfId="0" applyFont="1" applyFill="1">
      <protection locked="0"/>
    </xf>
    <xf numFmtId="193" fontId="32" fillId="6" borderId="0" xfId="0" applyFont="1" applyFill="1" applyAlignment="1">
      <alignment vertical="center"/>
      <protection locked="0"/>
    </xf>
    <xf numFmtId="193" fontId="19" fillId="6" borderId="0" xfId="0" applyFont="1" applyFill="1" applyAlignment="1">
      <alignment vertical="center"/>
      <protection locked="0"/>
    </xf>
    <xf numFmtId="193" fontId="42" fillId="6" borderId="0" xfId="0" applyFont="1" applyFill="1" applyAlignment="1">
      <alignment vertical="center"/>
      <protection locked="0"/>
    </xf>
    <xf numFmtId="43" fontId="38" fillId="0" borderId="3" xfId="45" applyFont="1" applyFill="1" applyBorder="1" applyAlignment="1">
      <alignment horizontal="right" vertical="center"/>
    </xf>
    <xf numFmtId="193" fontId="19" fillId="0" borderId="0" xfId="0" applyFont="1" applyAlignment="1">
      <alignment horizontal="center" vertical="center"/>
      <protection locked="0"/>
    </xf>
    <xf numFmtId="193" fontId="7" fillId="0" borderId="0" xfId="0" applyFont="1">
      <protection locked="0"/>
    </xf>
    <xf numFmtId="193" fontId="34" fillId="0" borderId="0" xfId="56" applyFont="1" applyAlignment="1">
      <alignment vertical="center"/>
    </xf>
    <xf numFmtId="193" fontId="34" fillId="0" borderId="0" xfId="56" applyFont="1" applyAlignment="1">
      <alignment horizontal="left" vertical="center"/>
    </xf>
    <xf numFmtId="193" fontId="34" fillId="0" borderId="2" xfId="56" applyFont="1" applyBorder="1" applyAlignment="1">
      <alignment vertical="center"/>
    </xf>
    <xf numFmtId="193" fontId="34" fillId="0" borderId="2" xfId="56" applyFont="1" applyBorder="1" applyAlignment="1">
      <alignment horizontal="center" vertical="center"/>
    </xf>
    <xf numFmtId="193" fontId="34" fillId="0" borderId="0" xfId="56" applyFont="1" applyAlignment="1">
      <alignment horizontal="center" vertical="center"/>
    </xf>
    <xf numFmtId="43" fontId="34" fillId="0" borderId="2" xfId="56" applyNumberFormat="1" applyFont="1" applyBorder="1" applyAlignment="1">
      <alignment vertical="center"/>
    </xf>
    <xf numFmtId="193" fontId="19" fillId="0" borderId="2" xfId="56" applyFont="1" applyBorder="1" applyAlignment="1">
      <alignment vertical="center"/>
    </xf>
    <xf numFmtId="43" fontId="34" fillId="0" borderId="0" xfId="37" applyNumberFormat="1" applyFont="1" applyFill="1" applyBorder="1" applyAlignment="1">
      <alignment vertical="center"/>
    </xf>
    <xf numFmtId="193" fontId="32" fillId="0" borderId="0" xfId="34" applyFont="1">
      <alignment vertical="center"/>
    </xf>
    <xf numFmtId="193" fontId="69" fillId="9" borderId="0" xfId="33" applyFont="1" applyFill="1" applyAlignment="1">
      <alignment horizontal="center" vertical="center"/>
      <protection locked="0"/>
    </xf>
    <xf numFmtId="193" fontId="34" fillId="0" borderId="0" xfId="33" applyFont="1" applyAlignment="1">
      <alignment horizontal="center" vertical="center"/>
      <protection locked="0"/>
    </xf>
    <xf numFmtId="193" fontId="34" fillId="9" borderId="0" xfId="33" applyFont="1" applyFill="1" applyAlignment="1">
      <alignment horizontal="left" vertical="center"/>
      <protection locked="0"/>
    </xf>
    <xf numFmtId="193" fontId="31" fillId="9" borderId="0" xfId="33" applyFont="1" applyFill="1" applyAlignment="1">
      <alignment vertical="center"/>
      <protection locked="0"/>
    </xf>
    <xf numFmtId="193" fontId="41" fillId="9" borderId="0" xfId="33" applyFont="1" applyFill="1" applyAlignment="1">
      <alignment vertical="center"/>
      <protection locked="0"/>
    </xf>
    <xf numFmtId="193" fontId="31" fillId="0" borderId="0" xfId="38" applyFont="1">
      <alignment vertical="center"/>
    </xf>
    <xf numFmtId="193" fontId="34" fillId="9" borderId="0" xfId="33" applyFont="1" applyFill="1" applyAlignment="1">
      <alignment horizontal="left" vertical="center" wrapText="1"/>
      <protection locked="0"/>
    </xf>
    <xf numFmtId="193" fontId="34" fillId="9" borderId="0" xfId="33" applyFont="1" applyFill="1" applyAlignment="1">
      <alignment vertical="center"/>
      <protection locked="0"/>
    </xf>
    <xf numFmtId="49" fontId="34" fillId="0" borderId="0" xfId="38" applyNumberFormat="1" applyFont="1" applyAlignment="1">
      <alignment horizontal="left" vertical="center"/>
    </xf>
    <xf numFmtId="193" fontId="34" fillId="0" borderId="15" xfId="38" applyFont="1" applyBorder="1">
      <alignment vertical="center"/>
    </xf>
    <xf numFmtId="193" fontId="70" fillId="0" borderId="0" xfId="33" applyFont="1" applyAlignment="1">
      <alignment vertical="center"/>
      <protection locked="0"/>
    </xf>
    <xf numFmtId="193" fontId="71" fillId="0" borderId="0" xfId="38" applyFont="1">
      <alignment vertical="center"/>
    </xf>
    <xf numFmtId="193" fontId="0" fillId="0" borderId="2" xfId="0" applyBorder="1">
      <protection locked="0"/>
    </xf>
    <xf numFmtId="193" fontId="73" fillId="10" borderId="0" xfId="0" applyFont="1" applyFill="1" applyAlignment="1" applyProtection="1">
      <alignment vertical="center"/>
    </xf>
    <xf numFmtId="193" fontId="74" fillId="11" borderId="0" xfId="0" applyFont="1" applyFill="1" applyAlignment="1" applyProtection="1">
      <alignment vertical="center"/>
    </xf>
    <xf numFmtId="193" fontId="36" fillId="6" borderId="12" xfId="0" applyFont="1" applyFill="1" applyBorder="1" applyAlignment="1">
      <alignment horizontal="centerContinuous" vertical="center" wrapText="1"/>
      <protection locked="0"/>
    </xf>
    <xf numFmtId="193" fontId="11" fillId="0" borderId="0" xfId="53">
      <protection locked="0"/>
    </xf>
    <xf numFmtId="14" fontId="38" fillId="0" borderId="0" xfId="58" applyNumberFormat="1" applyFont="1">
      <alignment vertical="center"/>
    </xf>
    <xf numFmtId="193" fontId="55" fillId="0" borderId="0" xfId="59" applyFont="1">
      <alignment vertical="center"/>
    </xf>
    <xf numFmtId="193" fontId="44" fillId="6" borderId="3" xfId="53" applyFont="1" applyFill="1" applyBorder="1" applyAlignment="1" applyProtection="1">
      <alignment vertical="center"/>
    </xf>
    <xf numFmtId="193" fontId="41" fillId="6" borderId="3" xfId="60" applyFont="1" applyFill="1" applyBorder="1" applyAlignment="1" applyProtection="1">
      <alignment horizontal="center" vertical="center" wrapText="1"/>
      <protection locked="0"/>
    </xf>
    <xf numFmtId="193" fontId="76" fillId="6" borderId="3" xfId="60" applyFont="1" applyFill="1" applyBorder="1" applyAlignment="1" applyProtection="1">
      <alignment horizontal="center" vertical="center" wrapText="1"/>
      <protection locked="0"/>
    </xf>
    <xf numFmtId="193" fontId="31" fillId="0" borderId="0" xfId="56" applyFont="1" applyAlignment="1">
      <alignment vertical="center"/>
    </xf>
    <xf numFmtId="43" fontId="57" fillId="0" borderId="0" xfId="37" applyNumberFormat="1" applyFont="1" applyFill="1" applyBorder="1" applyAlignment="1">
      <alignment vertical="center"/>
    </xf>
    <xf numFmtId="193" fontId="74" fillId="0" borderId="2" xfId="0" applyFont="1" applyBorder="1" applyAlignment="1" applyProtection="1">
      <alignment vertical="center"/>
    </xf>
    <xf numFmtId="49" fontId="60" fillId="0" borderId="0" xfId="37" applyNumberFormat="1" applyFont="1" applyFill="1" applyBorder="1" applyAlignment="1">
      <alignment vertical="center"/>
    </xf>
    <xf numFmtId="43" fontId="60" fillId="0" borderId="0" xfId="37" applyNumberFormat="1" applyFont="1" applyFill="1" applyBorder="1" applyAlignment="1">
      <alignment vertical="center"/>
    </xf>
    <xf numFmtId="193" fontId="60" fillId="0" borderId="0" xfId="0" applyFont="1" applyAlignment="1">
      <alignment horizontal="right" vertical="center"/>
      <protection locked="0"/>
    </xf>
    <xf numFmtId="193" fontId="78" fillId="0" borderId="0" xfId="0" applyFont="1" applyAlignment="1">
      <alignment vertical="center"/>
      <protection locked="0"/>
    </xf>
    <xf numFmtId="193" fontId="61" fillId="0" borderId="11" xfId="0" applyFont="1" applyBorder="1" applyAlignment="1">
      <alignment horizontal="center" vertical="center"/>
      <protection locked="0"/>
    </xf>
    <xf numFmtId="193" fontId="60" fillId="0" borderId="9" xfId="0" applyFont="1" applyBorder="1" applyAlignment="1">
      <alignment vertical="center"/>
      <protection locked="0"/>
    </xf>
    <xf numFmtId="43" fontId="34" fillId="0" borderId="9" xfId="45" applyFont="1" applyBorder="1" applyAlignment="1" applyProtection="1">
      <alignment vertical="center"/>
      <protection locked="0"/>
    </xf>
    <xf numFmtId="43" fontId="34" fillId="0" borderId="0" xfId="45" applyFont="1" applyBorder="1" applyAlignment="1" applyProtection="1">
      <alignment vertical="center"/>
      <protection locked="0"/>
    </xf>
    <xf numFmtId="43" fontId="34" fillId="0" borderId="10" xfId="45" applyFont="1" applyBorder="1" applyAlignment="1" applyProtection="1">
      <alignment vertical="center"/>
      <protection locked="0"/>
    </xf>
    <xf numFmtId="43" fontId="34" fillId="0" borderId="11" xfId="45" applyFont="1" applyBorder="1" applyAlignment="1" applyProtection="1">
      <alignment vertical="center"/>
      <protection locked="0"/>
    </xf>
    <xf numFmtId="193" fontId="79" fillId="0" borderId="11" xfId="0" applyFont="1" applyBorder="1" applyAlignment="1">
      <alignment horizontal="justify" vertical="center" wrapText="1"/>
      <protection locked="0"/>
    </xf>
    <xf numFmtId="193" fontId="79" fillId="0" borderId="11" xfId="0" applyFont="1" applyBorder="1" applyAlignment="1">
      <alignment horizontal="center" vertical="center" wrapText="1"/>
      <protection locked="0"/>
    </xf>
    <xf numFmtId="193" fontId="80" fillId="0" borderId="0" xfId="0" applyFont="1" applyAlignment="1">
      <alignment horizontal="justify" vertical="center" wrapText="1"/>
      <protection locked="0"/>
    </xf>
    <xf numFmtId="43" fontId="52" fillId="0" borderId="0" xfId="45" applyFont="1" applyAlignment="1" applyProtection="1">
      <alignment horizontal="right" vertical="center" wrapText="1"/>
      <protection locked="0"/>
    </xf>
    <xf numFmtId="193" fontId="81" fillId="0" borderId="0" xfId="0" applyFont="1" applyAlignment="1">
      <alignment horizontal="justify" vertical="center" wrapText="1"/>
      <protection locked="0"/>
    </xf>
    <xf numFmtId="43" fontId="52" fillId="0" borderId="10" xfId="45" applyFont="1" applyBorder="1" applyAlignment="1" applyProtection="1">
      <alignment vertical="center" wrapText="1"/>
      <protection locked="0"/>
    </xf>
    <xf numFmtId="43" fontId="79" fillId="0" borderId="11" xfId="45" applyFont="1" applyBorder="1" applyAlignment="1" applyProtection="1">
      <alignment vertical="center" wrapText="1"/>
      <protection locked="0"/>
    </xf>
    <xf numFmtId="43" fontId="52" fillId="0" borderId="11" xfId="45" applyFont="1" applyBorder="1" applyAlignment="1" applyProtection="1">
      <alignment vertical="center" wrapText="1"/>
      <protection locked="0"/>
    </xf>
    <xf numFmtId="193" fontId="61" fillId="0" borderId="11" xfId="0" applyFont="1" applyBorder="1" applyAlignment="1">
      <alignment horizontal="justify" vertical="center" wrapText="1"/>
      <protection locked="0"/>
    </xf>
    <xf numFmtId="193" fontId="79" fillId="0" borderId="11" xfId="0" applyFont="1" applyBorder="1" applyAlignment="1">
      <alignment horizontal="right" vertical="center" wrapText="1"/>
      <protection locked="0"/>
    </xf>
    <xf numFmtId="43" fontId="34" fillId="0" borderId="0" xfId="45" applyFont="1" applyAlignment="1" applyProtection="1">
      <alignment horizontal="left" vertical="center" wrapText="1"/>
      <protection locked="0"/>
    </xf>
    <xf numFmtId="43" fontId="52" fillId="0" borderId="11" xfId="45" applyFont="1" applyBorder="1" applyAlignment="1" applyProtection="1">
      <alignment horizontal="right" vertical="center" wrapText="1"/>
      <protection locked="0"/>
    </xf>
    <xf numFmtId="43" fontId="31" fillId="0" borderId="11" xfId="45" applyFont="1" applyBorder="1" applyAlignment="1" applyProtection="1">
      <alignment horizontal="justify" vertical="center" wrapText="1"/>
      <protection locked="0"/>
    </xf>
    <xf numFmtId="193" fontId="79" fillId="0" borderId="11" xfId="0" applyFont="1" applyBorder="1" applyAlignment="1" applyProtection="1">
      <alignment horizontal="right" vertical="center" wrapText="1"/>
    </xf>
    <xf numFmtId="193" fontId="61" fillId="0" borderId="11" xfId="0" applyFont="1" applyBorder="1" applyAlignment="1">
      <alignment horizontal="left" vertical="center" wrapText="1"/>
      <protection locked="0"/>
    </xf>
    <xf numFmtId="193" fontId="61" fillId="0" borderId="11" xfId="0" applyFont="1" applyBorder="1" applyAlignment="1">
      <alignment horizontal="right" vertical="center" wrapText="1"/>
      <protection locked="0"/>
    </xf>
    <xf numFmtId="193" fontId="81" fillId="0" borderId="9" xfId="0" applyFont="1" applyBorder="1" applyAlignment="1">
      <alignment horizontal="justify" vertical="center" wrapText="1"/>
      <protection locked="0"/>
    </xf>
    <xf numFmtId="193" fontId="81" fillId="0" borderId="10" xfId="0" applyFont="1" applyBorder="1" applyAlignment="1">
      <alignment horizontal="justify" vertical="center" wrapText="1"/>
      <protection locked="0"/>
    </xf>
    <xf numFmtId="193" fontId="61" fillId="0" borderId="10" xfId="0" applyFont="1" applyBorder="1" applyAlignment="1">
      <alignment horizontal="left" vertical="center" wrapText="1"/>
      <protection locked="0"/>
    </xf>
    <xf numFmtId="43" fontId="31" fillId="0" borderId="0" xfId="45" applyFont="1" applyAlignment="1" applyProtection="1">
      <alignment horizontal="right" vertical="center" wrapText="1"/>
      <protection locked="0"/>
    </xf>
    <xf numFmtId="43" fontId="52" fillId="0" borderId="11" xfId="45" applyFont="1" applyBorder="1" applyAlignment="1" applyProtection="1">
      <alignment vertical="center"/>
      <protection locked="0"/>
    </xf>
    <xf numFmtId="43" fontId="52" fillId="0" borderId="9" xfId="45" applyFont="1" applyBorder="1" applyAlignment="1" applyProtection="1">
      <alignment horizontal="right" vertical="center" wrapText="1"/>
      <protection locked="0"/>
    </xf>
    <xf numFmtId="43" fontId="49" fillId="0" borderId="9" xfId="45" applyFont="1" applyBorder="1" applyAlignment="1" applyProtection="1">
      <alignment horizontal="left" vertical="center" wrapText="1"/>
      <protection locked="0"/>
    </xf>
    <xf numFmtId="43" fontId="52" fillId="0" borderId="0" xfId="45" applyFont="1" applyBorder="1" applyAlignment="1" applyProtection="1">
      <alignment horizontal="right" vertical="center" wrapText="1"/>
      <protection locked="0"/>
    </xf>
    <xf numFmtId="43" fontId="49" fillId="0" borderId="0" xfId="45" applyFont="1" applyAlignment="1" applyProtection="1">
      <alignment horizontal="left" vertical="center" wrapText="1"/>
      <protection locked="0"/>
    </xf>
    <xf numFmtId="43" fontId="52" fillId="0" borderId="10" xfId="45" applyFont="1" applyBorder="1" applyAlignment="1" applyProtection="1">
      <alignment horizontal="right" vertical="center" wrapText="1"/>
      <protection locked="0"/>
    </xf>
    <xf numFmtId="43" fontId="49" fillId="0" borderId="10" xfId="45" applyFont="1" applyBorder="1" applyAlignment="1" applyProtection="1">
      <alignment horizontal="left" vertical="center" wrapText="1"/>
      <protection locked="0"/>
    </xf>
    <xf numFmtId="43" fontId="31" fillId="0" borderId="10" xfId="45" applyFont="1" applyBorder="1" applyAlignment="1" applyProtection="1">
      <alignment horizontal="right" vertical="center" wrapText="1"/>
      <protection locked="0"/>
    </xf>
    <xf numFmtId="43" fontId="19" fillId="0" borderId="0" xfId="37" applyNumberFormat="1" applyFont="1" applyBorder="1" applyAlignment="1">
      <alignment horizontal="right" vertical="center"/>
    </xf>
    <xf numFmtId="43" fontId="42" fillId="0" borderId="0" xfId="37" applyNumberFormat="1" applyFont="1" applyBorder="1" applyAlignment="1">
      <alignment horizontal="right" vertical="center"/>
    </xf>
    <xf numFmtId="193" fontId="61" fillId="0" borderId="0" xfId="0" applyFont="1" applyBorder="1" applyAlignment="1">
      <alignment horizontal="center" vertical="center"/>
      <protection locked="0"/>
    </xf>
    <xf numFmtId="193" fontId="79" fillId="0" borderId="0" xfId="0" applyFont="1" applyBorder="1" applyAlignment="1" applyProtection="1">
      <alignment horizontal="right" vertical="center" wrapText="1"/>
    </xf>
    <xf numFmtId="43" fontId="52" fillId="0" borderId="0" xfId="45" applyFont="1" applyBorder="1" applyAlignment="1" applyProtection="1">
      <alignment vertical="center"/>
      <protection locked="0"/>
    </xf>
    <xf numFmtId="193" fontId="61" fillId="0" borderId="0" xfId="0" applyFont="1" applyBorder="1" applyAlignment="1">
      <alignment horizontal="right" vertical="center" wrapText="1"/>
      <protection locked="0"/>
    </xf>
    <xf numFmtId="43" fontId="49" fillId="0" borderId="0" xfId="45" applyFont="1" applyBorder="1" applyAlignment="1" applyProtection="1">
      <alignment horizontal="left" vertical="center" wrapText="1"/>
      <protection locked="0"/>
    </xf>
    <xf numFmtId="43" fontId="31" fillId="0" borderId="0" xfId="45" applyFont="1" applyBorder="1" applyAlignment="1" applyProtection="1">
      <alignment horizontal="right" vertical="center" wrapText="1"/>
      <protection locked="0"/>
    </xf>
    <xf numFmtId="193" fontId="79" fillId="0" borderId="0" xfId="0" applyFont="1" applyBorder="1" applyAlignment="1">
      <alignment horizontal="center" vertical="center" wrapText="1"/>
      <protection locked="0"/>
    </xf>
    <xf numFmtId="43" fontId="52" fillId="0" borderId="0" xfId="45" applyFont="1" applyBorder="1" applyAlignment="1" applyProtection="1">
      <alignment vertical="center" wrapText="1"/>
      <protection locked="0"/>
    </xf>
    <xf numFmtId="193" fontId="79" fillId="0" borderId="0" xfId="0" applyFont="1" applyBorder="1" applyAlignment="1">
      <alignment horizontal="right" vertical="center" wrapText="1"/>
      <protection locked="0"/>
    </xf>
    <xf numFmtId="43" fontId="31" fillId="0" borderId="0" xfId="45" applyFont="1" applyBorder="1" applyAlignment="1" applyProtection="1">
      <alignment horizontal="justify" vertical="center" wrapText="1"/>
      <protection locked="0"/>
    </xf>
    <xf numFmtId="43" fontId="38" fillId="12" borderId="3" xfId="0" applyNumberFormat="1" applyFont="1" applyFill="1" applyBorder="1" applyAlignment="1">
      <alignment horizontal="right" vertical="center" wrapText="1"/>
      <protection locked="0"/>
    </xf>
    <xf numFmtId="43" fontId="36" fillId="12" borderId="3" xfId="0" applyNumberFormat="1" applyFont="1" applyFill="1" applyBorder="1" applyAlignment="1">
      <alignment horizontal="right" vertical="center" wrapText="1"/>
      <protection locked="0"/>
    </xf>
    <xf numFmtId="193" fontId="36" fillId="12" borderId="3" xfId="0" applyFont="1" applyFill="1" applyBorder="1" applyAlignment="1">
      <alignment horizontal="centerContinuous" vertical="center" wrapText="1"/>
      <protection locked="0"/>
    </xf>
    <xf numFmtId="193" fontId="31" fillId="12" borderId="3" xfId="0" applyFont="1" applyFill="1" applyBorder="1" applyAlignment="1">
      <alignment horizontal="left" vertical="center" wrapText="1"/>
      <protection locked="0"/>
    </xf>
    <xf numFmtId="43" fontId="34" fillId="12" borderId="3" xfId="49" applyFont="1" applyFill="1" applyBorder="1" applyAlignment="1">
      <alignment horizontal="center" vertical="center"/>
    </xf>
    <xf numFmtId="43" fontId="38" fillId="12" borderId="3" xfId="45" applyFont="1" applyFill="1" applyBorder="1" applyAlignment="1">
      <alignment horizontal="right" vertical="center"/>
    </xf>
    <xf numFmtId="43" fontId="34" fillId="12" borderId="3" xfId="45" applyFont="1" applyFill="1" applyBorder="1" applyAlignment="1">
      <alignment horizontal="right" vertical="center" wrapText="1"/>
    </xf>
    <xf numFmtId="10" fontId="34" fillId="12" borderId="3" xfId="32" applyNumberFormat="1" applyFont="1" applyFill="1" applyBorder="1" applyAlignment="1">
      <alignment horizontal="right" vertical="center" wrapText="1"/>
    </xf>
    <xf numFmtId="193" fontId="82" fillId="0" borderId="2" xfId="39" applyFont="1" applyBorder="1" applyAlignment="1" applyProtection="1">
      <alignment vertical="center"/>
    </xf>
    <xf numFmtId="193" fontId="34" fillId="0" borderId="0" xfId="33" applyFont="1" applyBorder="1" applyAlignment="1">
      <alignment vertical="center" wrapText="1"/>
      <protection locked="0"/>
    </xf>
    <xf numFmtId="193" fontId="31" fillId="0" borderId="0" xfId="33" applyFont="1" applyBorder="1" applyAlignment="1">
      <alignment horizontal="left" vertical="center"/>
      <protection locked="0"/>
    </xf>
    <xf numFmtId="193" fontId="31" fillId="0" borderId="0" xfId="33" applyFont="1" applyBorder="1" applyAlignment="1">
      <alignment horizontal="justify" vertical="center"/>
      <protection locked="0"/>
    </xf>
    <xf numFmtId="193" fontId="34" fillId="0" borderId="0" xfId="33" applyFont="1" applyBorder="1" applyAlignment="1">
      <alignment vertical="center"/>
      <protection locked="0"/>
    </xf>
    <xf numFmtId="49" fontId="41" fillId="0" borderId="0" xfId="53" applyNumberFormat="1" applyFont="1" applyBorder="1" applyAlignment="1">
      <alignment horizontal="left" vertical="center"/>
      <protection locked="0"/>
    </xf>
    <xf numFmtId="193" fontId="34" fillId="0" borderId="0" xfId="33" applyFont="1" applyBorder="1" applyAlignment="1">
      <alignment horizontal="center" vertical="center" wrapText="1"/>
      <protection locked="0"/>
    </xf>
    <xf numFmtId="193" fontId="41" fillId="6" borderId="3" xfId="58" applyFont="1" applyFill="1" applyBorder="1" applyAlignment="1" applyProtection="1">
      <alignment horizontal="center" vertical="center"/>
      <protection locked="0"/>
    </xf>
    <xf numFmtId="193" fontId="41" fillId="6" borderId="3" xfId="58" applyFont="1" applyFill="1" applyBorder="1" applyAlignment="1" applyProtection="1">
      <alignment horizontal="center" vertical="center" wrapText="1"/>
      <protection locked="0"/>
    </xf>
    <xf numFmtId="193" fontId="34" fillId="0" borderId="3" xfId="33" applyFont="1" applyFill="1" applyBorder="1" applyAlignment="1">
      <alignment vertical="center" wrapText="1"/>
      <protection locked="0"/>
    </xf>
    <xf numFmtId="49" fontId="34" fillId="0" borderId="3" xfId="38" applyNumberFormat="1" applyFont="1" applyFill="1" applyBorder="1" applyAlignment="1">
      <alignment horizontal="center" vertical="center"/>
    </xf>
    <xf numFmtId="193" fontId="34" fillId="0" borderId="5" xfId="33" applyFont="1" applyFill="1" applyBorder="1" applyAlignment="1">
      <alignment vertical="center" wrapText="1"/>
      <protection locked="0"/>
    </xf>
    <xf numFmtId="193" fontId="19" fillId="0" borderId="6" xfId="33" applyFont="1" applyFill="1" applyBorder="1" applyAlignment="1">
      <alignment horizontal="center" vertical="center" wrapText="1"/>
      <protection locked="0"/>
    </xf>
    <xf numFmtId="193" fontId="19" fillId="0" borderId="3" xfId="58" applyFont="1" applyFill="1" applyBorder="1" applyAlignment="1" applyProtection="1">
      <alignment horizontal="center" vertical="center"/>
      <protection locked="0"/>
    </xf>
    <xf numFmtId="193" fontId="34" fillId="0" borderId="3" xfId="53" applyFont="1" applyFill="1" applyBorder="1" applyAlignment="1">
      <alignment horizontal="left" vertical="center" wrapText="1"/>
      <protection locked="0"/>
    </xf>
    <xf numFmtId="193" fontId="19" fillId="0" borderId="3" xfId="53" applyFont="1" applyFill="1" applyBorder="1" applyAlignment="1">
      <alignment horizontal="left" vertical="center" wrapText="1"/>
      <protection locked="0"/>
    </xf>
    <xf numFmtId="193" fontId="66" fillId="9" borderId="0" xfId="33" applyFont="1" applyFill="1" applyAlignment="1">
      <alignment horizontal="left" vertical="center"/>
      <protection locked="0"/>
    </xf>
    <xf numFmtId="193" fontId="19" fillId="0" borderId="0" xfId="36" applyFont="1" applyAlignment="1">
      <alignment horizontal="left" vertical="center"/>
    </xf>
    <xf numFmtId="193" fontId="34" fillId="0" borderId="3" xfId="53" applyFont="1" applyBorder="1" applyAlignment="1">
      <alignment vertical="center"/>
      <protection locked="0"/>
    </xf>
    <xf numFmtId="43" fontId="34" fillId="0" borderId="3" xfId="65" applyFont="1" applyBorder="1" applyAlignment="1" applyProtection="1">
      <alignment vertical="center"/>
      <protection locked="0"/>
    </xf>
    <xf numFmtId="193" fontId="19" fillId="0" borderId="6" xfId="53" applyFont="1" applyFill="1" applyBorder="1" applyAlignment="1">
      <alignment horizontal="center" vertical="center" wrapText="1" shrinkToFit="1"/>
      <protection locked="0"/>
    </xf>
    <xf numFmtId="193" fontId="52" fillId="0" borderId="3" xfId="58" applyFont="1" applyFill="1" applyBorder="1" applyAlignment="1">
      <alignment horizontal="center" vertical="center" wrapText="1"/>
    </xf>
    <xf numFmtId="193" fontId="59" fillId="0" borderId="3" xfId="58" applyFont="1" applyFill="1" applyBorder="1" applyAlignment="1">
      <alignment horizontal="center" vertical="center" wrapText="1"/>
    </xf>
    <xf numFmtId="193" fontId="36" fillId="6" borderId="3" xfId="0" applyFont="1" applyFill="1" applyBorder="1" applyAlignment="1" applyProtection="1">
      <alignment horizontal="center" vertical="center"/>
    </xf>
    <xf numFmtId="193" fontId="19" fillId="0" borderId="0" xfId="0" applyFont="1" applyAlignment="1">
      <alignment horizontal="justify" vertical="center" wrapText="1"/>
      <protection locked="0"/>
    </xf>
    <xf numFmtId="193" fontId="49" fillId="0" borderId="0" xfId="36" applyFont="1" applyAlignment="1">
      <alignment horizontal="left" vertical="center"/>
    </xf>
    <xf numFmtId="193" fontId="41" fillId="0" borderId="3" xfId="58" applyFont="1" applyFill="1" applyBorder="1" applyAlignment="1" applyProtection="1">
      <alignment horizontal="center" vertical="center"/>
      <protection locked="0"/>
    </xf>
    <xf numFmtId="193" fontId="19" fillId="0" borderId="3" xfId="58" applyFont="1" applyFill="1" applyBorder="1" applyAlignment="1" applyProtection="1">
      <alignment horizontal="center" vertical="center" wrapText="1"/>
      <protection locked="0"/>
    </xf>
    <xf numFmtId="193" fontId="63" fillId="0" borderId="3" xfId="58" applyFont="1" applyFill="1" applyBorder="1" applyAlignment="1">
      <alignment horizontal="center" vertical="center" wrapText="1"/>
    </xf>
    <xf numFmtId="193" fontId="81" fillId="0" borderId="0" xfId="0" applyFont="1" applyAlignment="1" applyProtection="1">
      <alignment vertical="center"/>
    </xf>
    <xf numFmtId="193" fontId="11" fillId="0" borderId="0" xfId="72">
      <protection locked="0"/>
    </xf>
    <xf numFmtId="193" fontId="34" fillId="0" borderId="0" xfId="72" applyFont="1" applyBorder="1" applyAlignment="1">
      <alignment vertical="center"/>
      <protection locked="0"/>
    </xf>
    <xf numFmtId="193" fontId="34" fillId="0" borderId="0" xfId="74" applyFont="1">
      <protection locked="0"/>
    </xf>
    <xf numFmtId="193" fontId="19" fillId="0" borderId="0" xfId="72" applyFont="1" applyBorder="1" applyAlignment="1">
      <alignment vertical="center"/>
      <protection locked="0"/>
    </xf>
    <xf numFmtId="193" fontId="41" fillId="0" borderId="0" xfId="75" applyFont="1" applyAlignment="1">
      <alignment vertical="center"/>
    </xf>
    <xf numFmtId="193" fontId="41" fillId="0" borderId="0" xfId="75" applyFont="1" applyAlignment="1">
      <alignment vertical="center" wrapText="1"/>
    </xf>
    <xf numFmtId="193" fontId="34" fillId="0" borderId="0" xfId="75" applyFont="1" applyAlignment="1">
      <alignment horizontal="left" vertical="center"/>
    </xf>
    <xf numFmtId="193" fontId="41" fillId="0" borderId="0" xfId="75" applyFont="1" applyAlignment="1">
      <alignment horizontal="left" vertical="center" wrapText="1"/>
    </xf>
    <xf numFmtId="193" fontId="41" fillId="0" borderId="0" xfId="75" applyFont="1" applyAlignment="1">
      <alignment horizontal="left" vertical="center"/>
    </xf>
    <xf numFmtId="193" fontId="19" fillId="0" borderId="0" xfId="75" applyFont="1" applyAlignment="1">
      <alignment horizontal="left" vertical="center"/>
    </xf>
    <xf numFmtId="193" fontId="50" fillId="0" borderId="0" xfId="75" applyFont="1" applyAlignment="1">
      <alignment horizontal="left" vertical="center"/>
    </xf>
    <xf numFmtId="193" fontId="41" fillId="0" borderId="0" xfId="75" applyFont="1" applyBorder="1" applyAlignment="1">
      <alignment vertical="center"/>
    </xf>
    <xf numFmtId="193" fontId="19" fillId="0" borderId="0" xfId="72" applyFont="1">
      <protection locked="0"/>
    </xf>
    <xf numFmtId="193" fontId="41" fillId="6" borderId="3" xfId="72" applyFont="1" applyFill="1" applyBorder="1" applyAlignment="1">
      <alignment horizontal="center" vertical="center" wrapText="1"/>
      <protection locked="0"/>
    </xf>
    <xf numFmtId="193" fontId="19" fillId="0" borderId="0" xfId="72" applyFont="1" applyAlignment="1">
      <alignment horizontal="center"/>
      <protection locked="0"/>
    </xf>
    <xf numFmtId="193" fontId="41" fillId="0" borderId="0" xfId="72" applyFont="1" applyBorder="1" applyAlignment="1">
      <alignment vertical="center"/>
      <protection locked="0"/>
    </xf>
    <xf numFmtId="193" fontId="41" fillId="0" borderId="0" xfId="72" applyFont="1" applyAlignment="1">
      <alignment vertical="center"/>
      <protection locked="0"/>
    </xf>
    <xf numFmtId="193" fontId="34" fillId="0" borderId="0" xfId="63" applyFont="1" applyBorder="1" applyAlignment="1">
      <alignment vertical="center" wrapText="1"/>
    </xf>
    <xf numFmtId="193" fontId="32" fillId="0" borderId="0" xfId="63" applyFont="1" applyBorder="1" applyAlignment="1">
      <alignment vertical="center" wrapText="1"/>
    </xf>
    <xf numFmtId="43" fontId="34" fillId="0" borderId="0" xfId="77" applyNumberFormat="1" applyFont="1" applyBorder="1" applyAlignment="1">
      <alignment vertical="center"/>
    </xf>
    <xf numFmtId="193" fontId="34" fillId="0" borderId="0" xfId="72" applyFont="1" applyBorder="1" applyAlignment="1">
      <alignment vertical="center" wrapText="1"/>
      <protection locked="0"/>
    </xf>
    <xf numFmtId="14" fontId="34" fillId="0" borderId="0" xfId="72" applyNumberFormat="1" applyFont="1" applyBorder="1" applyAlignment="1">
      <alignment vertical="center"/>
      <protection locked="0"/>
    </xf>
    <xf numFmtId="49" fontId="34" fillId="0" borderId="0" xfId="77" applyNumberFormat="1" applyFont="1" applyBorder="1" applyAlignment="1">
      <alignment vertical="center"/>
    </xf>
    <xf numFmtId="193" fontId="81" fillId="0" borderId="0" xfId="72" applyFont="1" applyBorder="1" applyAlignment="1">
      <alignment vertical="center"/>
      <protection locked="0"/>
    </xf>
    <xf numFmtId="193" fontId="31" fillId="6" borderId="3" xfId="72" applyFont="1" applyFill="1" applyBorder="1" applyAlignment="1">
      <alignment horizontal="center" vertical="center" wrapText="1"/>
      <protection locked="0"/>
    </xf>
    <xf numFmtId="193" fontId="19" fillId="0" borderId="0" xfId="72" applyFont="1" applyBorder="1" applyAlignment="1">
      <alignment vertical="center" wrapText="1"/>
      <protection locked="0"/>
    </xf>
    <xf numFmtId="193" fontId="31" fillId="0" borderId="0" xfId="72" applyFont="1" applyBorder="1" applyAlignment="1">
      <alignment vertical="center" wrapText="1"/>
      <protection locked="0"/>
    </xf>
    <xf numFmtId="43" fontId="34" fillId="6" borderId="3" xfId="78" applyFont="1" applyFill="1" applyBorder="1" applyAlignment="1" applyProtection="1">
      <alignment vertical="center"/>
    </xf>
    <xf numFmtId="193" fontId="31" fillId="0" borderId="0" xfId="72" applyFont="1" applyBorder="1" applyAlignment="1">
      <alignment vertical="center"/>
      <protection locked="0"/>
    </xf>
    <xf numFmtId="193" fontId="35" fillId="0" borderId="0" xfId="72" applyFont="1" applyBorder="1" applyAlignment="1">
      <alignment vertical="center"/>
      <protection locked="0"/>
    </xf>
    <xf numFmtId="193" fontId="37" fillId="0" borderId="0" xfId="72" applyFont="1" applyBorder="1" applyAlignment="1">
      <alignment horizontal="right" vertical="center"/>
      <protection locked="0"/>
    </xf>
    <xf numFmtId="193" fontId="35" fillId="0" borderId="0" xfId="72" applyFont="1" applyBorder="1" applyAlignment="1">
      <alignment horizontal="right" vertical="center"/>
      <protection locked="0"/>
    </xf>
    <xf numFmtId="193" fontId="19" fillId="0" borderId="3" xfId="72" applyFont="1" applyFill="1" applyBorder="1" applyAlignment="1">
      <alignment horizontal="left" vertical="center" wrapText="1"/>
      <protection locked="0"/>
    </xf>
    <xf numFmtId="193" fontId="19" fillId="0" borderId="3" xfId="72" applyFont="1" applyBorder="1" applyAlignment="1">
      <alignment horizontal="center" vertical="center" wrapText="1"/>
      <protection locked="0"/>
    </xf>
    <xf numFmtId="193" fontId="56" fillId="0" borderId="3" xfId="33" applyFont="1" applyFill="1" applyBorder="1" applyAlignment="1">
      <alignment horizontal="left" vertical="center" wrapText="1"/>
      <protection locked="0"/>
    </xf>
    <xf numFmtId="193" fontId="38" fillId="0" borderId="3" xfId="53" applyFont="1" applyBorder="1" applyAlignment="1" applyProtection="1">
      <alignment vertical="center"/>
    </xf>
    <xf numFmtId="193" fontId="44" fillId="6" borderId="3" xfId="53" applyFont="1" applyFill="1" applyBorder="1" applyAlignment="1" applyProtection="1">
      <alignment vertical="center" wrapText="1"/>
    </xf>
    <xf numFmtId="193" fontId="52" fillId="0" borderId="3" xfId="79" applyFont="1" applyFill="1" applyBorder="1" applyAlignment="1">
      <alignment vertical="center" wrapText="1"/>
    </xf>
    <xf numFmtId="193" fontId="49" fillId="0" borderId="0" xfId="0" applyFont="1" applyAlignment="1" applyProtection="1">
      <alignment horizontal="left" vertical="center"/>
    </xf>
    <xf numFmtId="193" fontId="41" fillId="0" borderId="0" xfId="72" applyFont="1" applyBorder="1" applyAlignment="1">
      <alignment vertical="center" wrapText="1"/>
      <protection locked="0"/>
    </xf>
    <xf numFmtId="193" fontId="34" fillId="5" borderId="0" xfId="0" applyFont="1" applyFill="1" applyBorder="1" applyAlignment="1">
      <alignment horizontal="justify" vertical="center" wrapText="1"/>
      <protection locked="0"/>
    </xf>
    <xf numFmtId="193" fontId="34" fillId="0" borderId="3" xfId="0" applyFont="1" applyBorder="1" applyAlignment="1">
      <alignment horizontal="center" vertical="center" wrapText="1"/>
      <protection locked="0"/>
    </xf>
    <xf numFmtId="43" fontId="34" fillId="0" borderId="3" xfId="45" applyFont="1" applyBorder="1" applyAlignment="1" applyProtection="1">
      <alignment horizontal="left" vertical="center"/>
    </xf>
    <xf numFmtId="43" fontId="34" fillId="8" borderId="3" xfId="45" applyFont="1" applyFill="1" applyBorder="1" applyAlignment="1" applyProtection="1">
      <alignment horizontal="center" vertical="center"/>
    </xf>
    <xf numFmtId="196" fontId="34" fillId="8" borderId="3" xfId="51" applyNumberFormat="1" applyFont="1" applyFill="1" applyBorder="1" applyAlignment="1" applyProtection="1">
      <alignment horizontal="center" vertical="center"/>
    </xf>
    <xf numFmtId="193" fontId="34" fillId="0" borderId="3" xfId="51" applyFont="1" applyBorder="1" applyAlignment="1" applyProtection="1">
      <alignment horizontal="center" vertical="center"/>
    </xf>
    <xf numFmtId="193" fontId="38" fillId="0" borderId="3" xfId="48" applyFont="1" applyFill="1" applyBorder="1" applyAlignment="1" applyProtection="1">
      <alignment vertical="center"/>
    </xf>
    <xf numFmtId="43" fontId="38" fillId="0" borderId="3" xfId="45" applyFont="1" applyFill="1" applyBorder="1" applyAlignment="1" applyProtection="1">
      <alignment vertical="center"/>
    </xf>
    <xf numFmtId="193" fontId="38" fillId="0" borderId="3" xfId="48" applyFont="1" applyFill="1" applyBorder="1" applyAlignment="1" applyProtection="1">
      <alignment horizontal="center" vertical="center"/>
    </xf>
    <xf numFmtId="193" fontId="56" fillId="0" borderId="2" xfId="0" applyFont="1" applyBorder="1" applyAlignment="1" applyProtection="1">
      <alignment vertical="center"/>
    </xf>
    <xf numFmtId="49" fontId="38" fillId="0" borderId="2" xfId="0" applyNumberFormat="1" applyFont="1" applyBorder="1" applyAlignment="1" applyProtection="1">
      <alignment horizontal="center" vertical="center"/>
    </xf>
    <xf numFmtId="193" fontId="84" fillId="9" borderId="0" xfId="58" applyFont="1" applyFill="1" applyAlignment="1" applyProtection="1">
      <alignment horizontal="left" vertical="top" wrapText="1"/>
      <protection locked="0"/>
    </xf>
    <xf numFmtId="43" fontId="34" fillId="0" borderId="0" xfId="45" applyFont="1" applyAlignment="1" applyProtection="1">
      <alignment vertical="center"/>
      <protection locked="0"/>
    </xf>
    <xf numFmtId="193" fontId="31" fillId="6" borderId="3" xfId="0" applyFont="1" applyFill="1" applyBorder="1" applyAlignment="1">
      <alignment horizontal="center" vertical="center" wrapText="1"/>
      <protection locked="0"/>
    </xf>
    <xf numFmtId="43" fontId="61" fillId="6" borderId="3" xfId="45" applyFont="1" applyFill="1" applyBorder="1" applyAlignment="1" applyProtection="1">
      <alignment horizontal="center" vertical="center"/>
      <protection locked="0"/>
    </xf>
    <xf numFmtId="10" fontId="31" fillId="6" borderId="3" xfId="32" applyNumberFormat="1" applyFont="1" applyFill="1" applyBorder="1" applyAlignment="1" applyProtection="1">
      <alignment horizontal="right" vertical="center" wrapText="1"/>
      <protection locked="0"/>
    </xf>
    <xf numFmtId="193" fontId="31" fillId="6" borderId="3" xfId="53" applyFont="1" applyFill="1" applyBorder="1" applyAlignment="1">
      <alignment horizontal="center" vertical="center" wrapText="1"/>
      <protection locked="0"/>
    </xf>
    <xf numFmtId="193" fontId="48" fillId="0" borderId="0" xfId="53" applyFont="1" applyBorder="1" applyAlignment="1">
      <alignment vertical="center"/>
      <protection locked="0"/>
    </xf>
    <xf numFmtId="193" fontId="34" fillId="0" borderId="0" xfId="0" applyFont="1" applyAlignment="1" applyProtection="1">
      <alignment horizontal="left" vertical="center"/>
    </xf>
    <xf numFmtId="193" fontId="80" fillId="0" borderId="0" xfId="72" applyFont="1" applyAlignment="1">
      <alignment vertical="center"/>
      <protection locked="0"/>
    </xf>
    <xf numFmtId="193" fontId="88" fillId="0" borderId="0" xfId="72" applyFont="1" applyAlignment="1">
      <alignment vertical="center"/>
      <protection locked="0"/>
    </xf>
    <xf numFmtId="193" fontId="31" fillId="0" borderId="14" xfId="36" applyFont="1" applyBorder="1" applyAlignment="1">
      <alignment vertical="center"/>
    </xf>
    <xf numFmtId="193" fontId="41" fillId="6" borderId="3" xfId="53" applyFont="1" applyFill="1" applyBorder="1" applyAlignment="1">
      <alignment horizontal="center" vertical="center"/>
      <protection locked="0"/>
    </xf>
    <xf numFmtId="14" fontId="34" fillId="0" borderId="3" xfId="53" applyNumberFormat="1" applyFont="1" applyBorder="1" applyAlignment="1">
      <alignment horizontal="center" vertical="center"/>
      <protection locked="0"/>
    </xf>
    <xf numFmtId="49" fontId="34" fillId="0" borderId="3" xfId="53" applyNumberFormat="1" applyFont="1" applyBorder="1" applyAlignment="1">
      <alignment horizontal="center" vertical="center"/>
      <protection locked="0"/>
    </xf>
    <xf numFmtId="49" fontId="34" fillId="0" borderId="3" xfId="53" applyNumberFormat="1" applyFont="1" applyBorder="1" applyAlignment="1">
      <alignment vertical="center"/>
      <protection locked="0"/>
    </xf>
    <xf numFmtId="193" fontId="19" fillId="6" borderId="3" xfId="53" applyFont="1" applyFill="1" applyBorder="1" applyAlignment="1">
      <alignment vertical="center"/>
      <protection locked="0"/>
    </xf>
    <xf numFmtId="43" fontId="31" fillId="6" borderId="3" xfId="65" applyFont="1" applyFill="1" applyBorder="1" applyAlignment="1" applyProtection="1">
      <alignment vertical="center"/>
      <protection locked="0"/>
    </xf>
    <xf numFmtId="193" fontId="41" fillId="6" borderId="3" xfId="53" applyFont="1" applyFill="1" applyBorder="1" applyAlignment="1">
      <alignment vertical="center"/>
      <protection locked="0"/>
    </xf>
    <xf numFmtId="193" fontId="49" fillId="0" borderId="0" xfId="53" applyFont="1" applyAlignment="1">
      <alignment horizontal="left"/>
      <protection locked="0"/>
    </xf>
    <xf numFmtId="193" fontId="34" fillId="0" borderId="0" xfId="72" applyFont="1">
      <protection locked="0"/>
    </xf>
    <xf numFmtId="43" fontId="61" fillId="6" borderId="12" xfId="45" applyFont="1" applyFill="1" applyBorder="1" applyAlignment="1" applyProtection="1">
      <alignment horizontal="center" vertical="center"/>
      <protection locked="0"/>
    </xf>
    <xf numFmtId="193" fontId="48" fillId="0" borderId="0" xfId="0" applyFont="1" applyFill="1" applyBorder="1" applyAlignment="1">
      <alignment horizontal="left" vertical="center"/>
      <protection locked="0"/>
    </xf>
    <xf numFmtId="193" fontId="69" fillId="9" borderId="0" xfId="33" applyFont="1" applyFill="1" applyBorder="1" applyAlignment="1">
      <alignment horizontal="centerContinuous" vertical="center"/>
      <protection locked="0"/>
    </xf>
    <xf numFmtId="193" fontId="54" fillId="9" borderId="0" xfId="33" applyFont="1" applyFill="1" applyBorder="1" applyAlignment="1" applyProtection="1">
      <alignment horizontal="centerContinuous" vertical="center"/>
    </xf>
    <xf numFmtId="193" fontId="19" fillId="0" borderId="0" xfId="33" applyFont="1" applyBorder="1" applyAlignment="1">
      <alignment vertical="center"/>
      <protection locked="0"/>
    </xf>
    <xf numFmtId="193" fontId="19" fillId="0" borderId="3" xfId="53" applyFont="1" applyBorder="1" applyAlignment="1">
      <alignment horizontal="left" vertical="center" wrapText="1"/>
      <protection locked="0"/>
    </xf>
    <xf numFmtId="193" fontId="43" fillId="0" borderId="0" xfId="53" applyFont="1" applyBorder="1" applyAlignment="1">
      <alignment vertical="center"/>
      <protection locked="0"/>
    </xf>
    <xf numFmtId="43" fontId="61" fillId="6" borderId="4" xfId="45" applyFont="1" applyFill="1" applyBorder="1" applyAlignment="1" applyProtection="1">
      <alignment horizontal="center" vertical="center"/>
      <protection locked="0"/>
    </xf>
    <xf numFmtId="193" fontId="36" fillId="6" borderId="4" xfId="0" applyFont="1" applyFill="1" applyBorder="1" applyAlignment="1">
      <alignment horizontal="centerContinuous" vertical="center" wrapText="1"/>
      <protection locked="0"/>
    </xf>
    <xf numFmtId="193" fontId="31" fillId="6" borderId="4" xfId="0" applyFont="1" applyFill="1" applyBorder="1" applyAlignment="1">
      <alignment horizontal="centerContinuous" vertical="center" wrapText="1"/>
      <protection locked="0"/>
    </xf>
    <xf numFmtId="43" fontId="36" fillId="6" borderId="4" xfId="0" applyNumberFormat="1" applyFont="1" applyFill="1" applyBorder="1" applyAlignment="1">
      <alignment horizontal="right" vertical="center" wrapText="1"/>
      <protection locked="0"/>
    </xf>
    <xf numFmtId="43" fontId="53" fillId="6" borderId="4" xfId="45" applyFont="1" applyFill="1" applyBorder="1" applyAlignment="1" applyProtection="1">
      <alignment horizontal="center" vertical="center"/>
      <protection locked="0"/>
    </xf>
    <xf numFmtId="10" fontId="53" fillId="6" borderId="4" xfId="32" applyNumberFormat="1" applyFont="1" applyFill="1" applyBorder="1" applyAlignment="1" applyProtection="1">
      <alignment horizontal="center" vertical="center" wrapText="1"/>
      <protection locked="0"/>
    </xf>
    <xf numFmtId="193" fontId="31" fillId="6" borderId="4" xfId="0" applyFont="1" applyFill="1" applyBorder="1" applyAlignment="1">
      <alignment horizontal="left" vertical="center" wrapText="1"/>
      <protection locked="0"/>
    </xf>
    <xf numFmtId="193" fontId="31" fillId="6" borderId="5" xfId="0" applyFont="1" applyFill="1" applyBorder="1" applyAlignment="1">
      <alignment horizontal="left" vertical="center" wrapText="1"/>
      <protection locked="0"/>
    </xf>
    <xf numFmtId="193" fontId="41" fillId="6" borderId="3" xfId="51" applyFont="1" applyFill="1" applyBorder="1" applyAlignment="1" applyProtection="1">
      <alignment horizontal="center" vertical="center"/>
    </xf>
    <xf numFmtId="43" fontId="31" fillId="6" borderId="3" xfId="45" applyFont="1" applyFill="1" applyBorder="1" applyAlignment="1" applyProtection="1">
      <alignment vertical="center"/>
    </xf>
    <xf numFmtId="193" fontId="31" fillId="6" borderId="3" xfId="51" applyFont="1" applyFill="1" applyBorder="1" applyAlignment="1" applyProtection="1">
      <alignment vertical="center"/>
    </xf>
    <xf numFmtId="193" fontId="33" fillId="6" borderId="0" xfId="0" applyFont="1" applyFill="1" applyAlignment="1">
      <alignment vertical="center"/>
      <protection locked="0"/>
    </xf>
    <xf numFmtId="193" fontId="31" fillId="0" borderId="0" xfId="0" applyFont="1" applyBorder="1" applyAlignment="1">
      <alignment vertical="center"/>
      <protection locked="0"/>
    </xf>
    <xf numFmtId="193" fontId="31" fillId="0" borderId="0" xfId="0" applyFont="1" applyBorder="1" applyAlignment="1">
      <alignment vertical="center" wrapText="1"/>
      <protection locked="0"/>
    </xf>
    <xf numFmtId="0" fontId="31" fillId="6" borderId="3" xfId="0" applyNumberFormat="1" applyFont="1" applyFill="1" applyBorder="1" applyAlignment="1">
      <alignment horizontal="center" vertical="center"/>
      <protection locked="0"/>
    </xf>
    <xf numFmtId="193" fontId="34" fillId="0" borderId="3" xfId="0" applyFont="1" applyBorder="1" applyAlignment="1">
      <alignment horizontal="center" vertical="center"/>
      <protection locked="0"/>
    </xf>
    <xf numFmtId="9" fontId="34" fillId="0" borderId="3" xfId="65" applyNumberFormat="1" applyFont="1" applyBorder="1" applyAlignment="1" applyProtection="1">
      <alignment horizontal="center" vertical="center"/>
      <protection locked="0"/>
    </xf>
    <xf numFmtId="43" fontId="31" fillId="6" borderId="3" xfId="65" applyFont="1" applyFill="1" applyBorder="1" applyAlignment="1" applyProtection="1">
      <alignment horizontal="center" vertical="center"/>
      <protection locked="0"/>
    </xf>
    <xf numFmtId="193" fontId="34" fillId="0" borderId="0" xfId="38" applyFont="1" applyAlignment="1">
      <alignment horizontal="center" vertical="center"/>
    </xf>
    <xf numFmtId="193" fontId="34" fillId="0" borderId="0" xfId="33" applyFont="1" applyBorder="1" applyAlignment="1">
      <alignment horizontal="center" vertical="center"/>
      <protection locked="0"/>
    </xf>
    <xf numFmtId="193" fontId="34" fillId="0" borderId="3" xfId="53" applyFont="1" applyFill="1" applyBorder="1" applyAlignment="1">
      <alignment horizontal="center" vertical="center" wrapText="1"/>
      <protection locked="0"/>
    </xf>
    <xf numFmtId="193" fontId="34" fillId="0" borderId="3" xfId="33" applyFont="1" applyFill="1" applyBorder="1" applyAlignment="1">
      <alignment horizontal="center" vertical="center" wrapText="1"/>
      <protection locked="0"/>
    </xf>
    <xf numFmtId="193" fontId="34" fillId="0" borderId="3" xfId="53" applyFont="1" applyBorder="1" applyAlignment="1">
      <alignment horizontal="center" vertical="center" wrapText="1"/>
      <protection locked="0"/>
    </xf>
    <xf numFmtId="193" fontId="34" fillId="0" borderId="3" xfId="58" applyFont="1" applyFill="1" applyBorder="1" applyAlignment="1">
      <alignment horizontal="center" vertical="center" wrapText="1"/>
    </xf>
    <xf numFmtId="193" fontId="64" fillId="0" borderId="2" xfId="39" applyFont="1" applyBorder="1" applyAlignment="1" applyProtection="1">
      <alignment vertical="center"/>
    </xf>
    <xf numFmtId="193" fontId="38" fillId="0" borderId="2" xfId="0" applyFont="1" applyBorder="1" applyAlignment="1" applyProtection="1">
      <alignment horizontal="center" vertical="center"/>
    </xf>
    <xf numFmtId="193" fontId="64" fillId="0" borderId="2" xfId="39" quotePrefix="1" applyFont="1" applyBorder="1" applyAlignment="1" applyProtection="1">
      <alignment vertical="center"/>
    </xf>
    <xf numFmtId="193" fontId="19" fillId="0" borderId="0" xfId="0" applyFont="1" applyAlignment="1">
      <alignment horizontal="right" vertical="center"/>
      <protection locked="0"/>
    </xf>
    <xf numFmtId="193" fontId="35" fillId="0" borderId="0" xfId="39" applyFont="1" applyAlignment="1">
      <alignment vertical="center"/>
      <protection locked="0"/>
    </xf>
    <xf numFmtId="193" fontId="48" fillId="0" borderId="0" xfId="0" applyFont="1" applyAlignment="1" applyProtection="1">
      <alignment horizontal="left" vertical="center"/>
    </xf>
    <xf numFmtId="193" fontId="19" fillId="0" borderId="3" xfId="72" applyFont="1" applyBorder="1" applyAlignment="1">
      <alignment horizontal="left" vertical="center" wrapText="1"/>
      <protection locked="0"/>
    </xf>
    <xf numFmtId="193" fontId="41" fillId="6" borderId="3" xfId="53" applyFont="1" applyFill="1" applyBorder="1" applyAlignment="1">
      <alignment horizontal="center" vertical="center" wrapText="1"/>
      <protection locked="0"/>
    </xf>
    <xf numFmtId="193" fontId="48" fillId="0" borderId="3" xfId="53" applyFont="1" applyFill="1" applyBorder="1" applyAlignment="1">
      <alignment horizontal="center" vertical="center" wrapText="1"/>
      <protection locked="0"/>
    </xf>
    <xf numFmtId="193" fontId="19" fillId="0" borderId="2" xfId="39" applyFont="1" applyBorder="1" applyAlignment="1" applyProtection="1">
      <alignment vertical="center"/>
    </xf>
    <xf numFmtId="193" fontId="19" fillId="0" borderId="2" xfId="39" quotePrefix="1" applyFont="1" applyBorder="1" applyAlignment="1" applyProtection="1">
      <alignment vertical="center"/>
    </xf>
    <xf numFmtId="193" fontId="31" fillId="0" borderId="0" xfId="0" applyFont="1" applyFill="1" applyAlignment="1">
      <alignment vertical="center"/>
      <protection locked="0"/>
    </xf>
    <xf numFmtId="193" fontId="34" fillId="0" borderId="0" xfId="0" applyFont="1" applyFill="1" applyAlignment="1">
      <alignment vertical="center"/>
      <protection locked="0"/>
    </xf>
    <xf numFmtId="193" fontId="31" fillId="0" borderId="0" xfId="33" applyFont="1" applyFill="1" applyAlignment="1">
      <alignment horizontal="center" vertical="center"/>
      <protection locked="0"/>
    </xf>
    <xf numFmtId="43" fontId="34" fillId="0" borderId="3" xfId="45" applyFont="1" applyFill="1" applyBorder="1" applyAlignment="1" applyProtection="1">
      <alignment horizontal="center" vertical="center" wrapText="1"/>
    </xf>
    <xf numFmtId="43" fontId="31" fillId="6" borderId="3" xfId="45" applyFont="1" applyFill="1" applyBorder="1" applyAlignment="1" applyProtection="1">
      <alignment vertical="center"/>
      <protection locked="0"/>
    </xf>
    <xf numFmtId="43" fontId="34" fillId="6" borderId="3" xfId="49" applyFont="1" applyFill="1" applyBorder="1" applyAlignment="1">
      <alignment horizontal="center" vertical="center"/>
    </xf>
    <xf numFmtId="193" fontId="34" fillId="6" borderId="3" xfId="0" applyFont="1" applyFill="1" applyBorder="1" applyAlignment="1">
      <alignment vertical="center"/>
      <protection locked="0"/>
    </xf>
    <xf numFmtId="193" fontId="31" fillId="6" borderId="0" xfId="33" applyFont="1" applyFill="1" applyAlignment="1">
      <alignment horizontal="center" vertical="center"/>
      <protection locked="0"/>
    </xf>
    <xf numFmtId="196" fontId="41" fillId="6" borderId="3" xfId="51" applyNumberFormat="1" applyFont="1" applyFill="1" applyBorder="1" applyAlignment="1" applyProtection="1">
      <alignment horizontal="center" vertical="center"/>
    </xf>
    <xf numFmtId="196" fontId="34" fillId="0" borderId="3" xfId="51" applyNumberFormat="1" applyFont="1" applyFill="1" applyBorder="1" applyAlignment="1" applyProtection="1">
      <alignment vertical="center"/>
    </xf>
    <xf numFmtId="193" fontId="34" fillId="0" borderId="3" xfId="51" applyFont="1" applyFill="1" applyBorder="1" applyAlignment="1" applyProtection="1">
      <alignment vertical="center"/>
    </xf>
    <xf numFmtId="193" fontId="34" fillId="0" borderId="3" xfId="72" applyFont="1" applyFill="1" applyBorder="1" applyAlignment="1">
      <alignment horizontal="left" vertical="center" wrapText="1"/>
      <protection locked="0"/>
    </xf>
    <xf numFmtId="43" fontId="34" fillId="0" borderId="3" xfId="45" applyFont="1" applyFill="1" applyBorder="1" applyAlignment="1" applyProtection="1">
      <alignment horizontal="left" vertical="center" wrapText="1"/>
      <protection locked="0"/>
    </xf>
    <xf numFmtId="43" fontId="34" fillId="0" borderId="3" xfId="78" applyFont="1" applyFill="1" applyBorder="1" applyAlignment="1" applyProtection="1">
      <alignment vertical="center"/>
    </xf>
    <xf numFmtId="193" fontId="34" fillId="0" borderId="3" xfId="72" applyFont="1" applyFill="1" applyBorder="1" applyAlignment="1">
      <alignment horizontal="center" vertical="center" wrapText="1"/>
      <protection locked="0"/>
    </xf>
    <xf numFmtId="43" fontId="34" fillId="0" borderId="3" xfId="72" applyNumberFormat="1" applyFont="1" applyFill="1" applyBorder="1" applyAlignment="1">
      <alignment horizontal="left" vertical="center" wrapText="1"/>
      <protection locked="0"/>
    </xf>
    <xf numFmtId="193" fontId="34" fillId="0" borderId="0" xfId="72" applyFont="1" applyFill="1" applyBorder="1" applyAlignment="1">
      <alignment vertical="center" wrapText="1"/>
      <protection locked="0"/>
    </xf>
    <xf numFmtId="193" fontId="31" fillId="6" borderId="3" xfId="72" applyFont="1" applyFill="1" applyBorder="1" applyAlignment="1">
      <alignment horizontal="left" vertical="center" wrapText="1"/>
      <protection locked="0"/>
    </xf>
    <xf numFmtId="43" fontId="34" fillId="6" borderId="3" xfId="72" applyNumberFormat="1" applyFont="1" applyFill="1" applyBorder="1" applyAlignment="1">
      <alignment horizontal="left" vertical="center" wrapText="1"/>
      <protection locked="0"/>
    </xf>
    <xf numFmtId="193" fontId="34" fillId="6" borderId="0" xfId="72" applyFont="1" applyFill="1" applyBorder="1" applyAlignment="1">
      <alignment vertical="center" wrapText="1"/>
      <protection locked="0"/>
    </xf>
    <xf numFmtId="193" fontId="31" fillId="6" borderId="0" xfId="72" applyFont="1" applyFill="1" applyBorder="1" applyAlignment="1">
      <alignment vertical="center" wrapText="1"/>
      <protection locked="0"/>
    </xf>
    <xf numFmtId="193" fontId="62" fillId="6" borderId="0" xfId="72" applyFont="1" applyFill="1" applyBorder="1" applyAlignment="1">
      <alignment vertical="center" wrapText="1"/>
      <protection locked="0"/>
    </xf>
    <xf numFmtId="193" fontId="41" fillId="13" borderId="3" xfId="53" applyNumberFormat="1" applyFont="1" applyFill="1" applyBorder="1" applyAlignment="1" applyProtection="1">
      <alignment horizontal="center" vertical="center"/>
    </xf>
    <xf numFmtId="193" fontId="68" fillId="0" borderId="0" xfId="0" applyFont="1" applyAlignment="1">
      <alignment horizontal="center" vertical="center"/>
      <protection locked="0"/>
    </xf>
    <xf numFmtId="193" fontId="19" fillId="5" borderId="0" xfId="0" applyFont="1" applyFill="1" applyBorder="1" applyAlignment="1">
      <alignment horizontal="justify" vertical="center" wrapText="1"/>
      <protection locked="0"/>
    </xf>
    <xf numFmtId="193" fontId="50" fillId="0" borderId="0" xfId="82" applyFont="1" applyFill="1" applyAlignment="1">
      <alignment horizontal="left" vertical="center"/>
    </xf>
    <xf numFmtId="43" fontId="38" fillId="6" borderId="3" xfId="45" applyFont="1" applyFill="1" applyBorder="1" applyAlignment="1">
      <alignment horizontal="right" vertical="center"/>
    </xf>
    <xf numFmtId="193" fontId="53" fillId="6" borderId="12" xfId="0" applyFont="1" applyFill="1" applyBorder="1" applyAlignment="1">
      <alignment horizontal="center" vertical="center"/>
      <protection locked="0"/>
    </xf>
    <xf numFmtId="43" fontId="38" fillId="0" borderId="3" xfId="0" applyNumberFormat="1" applyFont="1" applyFill="1" applyBorder="1" applyAlignment="1">
      <alignment horizontal="right" vertical="center" wrapText="1"/>
      <protection locked="0"/>
    </xf>
    <xf numFmtId="193" fontId="50" fillId="0" borderId="0" xfId="72" applyFont="1" applyBorder="1" applyAlignment="1">
      <alignment vertical="center" wrapText="1"/>
      <protection locked="0"/>
    </xf>
    <xf numFmtId="193" fontId="50" fillId="0" borderId="0" xfId="36" applyFont="1" applyAlignment="1">
      <alignment horizontal="left" vertical="center"/>
    </xf>
    <xf numFmtId="193" fontId="19" fillId="0" borderId="3" xfId="0" applyFont="1" applyBorder="1" applyAlignment="1">
      <alignment horizontal="center" vertical="center"/>
      <protection locked="0"/>
    </xf>
    <xf numFmtId="193" fontId="66" fillId="0" borderId="0" xfId="33" applyFont="1" applyAlignment="1">
      <alignment vertical="center"/>
      <protection locked="0"/>
    </xf>
    <xf numFmtId="43" fontId="34" fillId="0" borderId="3" xfId="49" applyFont="1" applyBorder="1" applyAlignment="1" applyProtection="1">
      <alignment horizontal="center" vertical="center"/>
      <protection locked="0"/>
    </xf>
    <xf numFmtId="10" fontId="34" fillId="0" borderId="3" xfId="81" applyNumberFormat="1" applyFont="1" applyBorder="1" applyAlignment="1" applyProtection="1">
      <alignment horizontal="center" vertical="center"/>
      <protection locked="0"/>
    </xf>
    <xf numFmtId="193" fontId="48" fillId="0" borderId="0" xfId="33" applyFont="1" applyAlignment="1">
      <alignment vertical="center"/>
      <protection locked="0"/>
    </xf>
    <xf numFmtId="193" fontId="19" fillId="0" borderId="0" xfId="0" applyFont="1" applyBorder="1" applyAlignment="1">
      <alignment horizontal="center" vertical="center"/>
      <protection locked="0"/>
    </xf>
    <xf numFmtId="43" fontId="34" fillId="0" borderId="0" xfId="49" applyFont="1" applyBorder="1" applyAlignment="1" applyProtection="1">
      <alignment horizontal="center" vertical="center"/>
      <protection locked="0"/>
    </xf>
    <xf numFmtId="10" fontId="34" fillId="0" borderId="0" xfId="81" applyNumberFormat="1" applyFont="1" applyBorder="1" applyAlignment="1" applyProtection="1">
      <alignment horizontal="center" vertical="center"/>
      <protection locked="0"/>
    </xf>
    <xf numFmtId="193" fontId="34" fillId="0" borderId="4" xfId="0" applyFont="1" applyBorder="1" applyAlignment="1">
      <alignment vertical="center"/>
      <protection locked="0"/>
    </xf>
    <xf numFmtId="193" fontId="18" fillId="0" borderId="4" xfId="0" applyFont="1" applyBorder="1" applyAlignment="1">
      <alignment vertical="center" wrapText="1"/>
      <protection locked="0"/>
    </xf>
    <xf numFmtId="193" fontId="11" fillId="0" borderId="4" xfId="72" applyBorder="1">
      <protection locked="0"/>
    </xf>
    <xf numFmtId="193" fontId="33" fillId="0" borderId="0" xfId="0" applyFont="1" applyAlignment="1">
      <alignment horizontal="left" vertical="center" wrapText="1"/>
      <protection locked="0"/>
    </xf>
    <xf numFmtId="193" fontId="32" fillId="0" borderId="0" xfId="0" applyFont="1" applyAlignment="1">
      <alignment horizontal="left" vertical="center" wrapText="1"/>
      <protection locked="0"/>
    </xf>
    <xf numFmtId="193" fontId="41" fillId="6" borderId="3" xfId="58" applyFont="1" applyFill="1" applyBorder="1" applyAlignment="1" applyProtection="1">
      <alignment horizontal="center" vertical="center" wrapText="1"/>
      <protection locked="0"/>
    </xf>
    <xf numFmtId="193" fontId="31" fillId="6" borderId="3" xfId="58" applyFont="1" applyFill="1" applyBorder="1" applyAlignment="1" applyProtection="1">
      <alignment horizontal="center" vertical="center" wrapText="1"/>
      <protection locked="0"/>
    </xf>
    <xf numFmtId="193" fontId="20" fillId="0" borderId="0" xfId="34" applyFont="1" applyAlignment="1">
      <alignment horizontal="center" vertical="center"/>
    </xf>
    <xf numFmtId="193" fontId="68" fillId="0" borderId="0" xfId="34" applyFont="1" applyAlignment="1">
      <alignment horizontal="center" vertical="center"/>
    </xf>
    <xf numFmtId="193" fontId="41" fillId="0" borderId="0" xfId="33" applyFont="1" applyAlignment="1">
      <alignment horizontal="left" vertical="center"/>
      <protection locked="0"/>
    </xf>
    <xf numFmtId="193" fontId="41" fillId="0" borderId="0" xfId="33" applyFont="1" applyBorder="1" applyAlignment="1">
      <alignment horizontal="left" vertical="center"/>
      <protection locked="0"/>
    </xf>
    <xf numFmtId="193" fontId="31" fillId="0" borderId="0" xfId="33" applyFont="1" applyBorder="1" applyAlignment="1">
      <alignment horizontal="left" vertical="center"/>
      <protection locked="0"/>
    </xf>
    <xf numFmtId="193" fontId="41" fillId="6" borderId="3" xfId="58" applyFont="1" applyFill="1" applyBorder="1" applyAlignment="1" applyProtection="1">
      <alignment horizontal="center" vertical="center"/>
      <protection locked="0"/>
    </xf>
    <xf numFmtId="193" fontId="31" fillId="6" borderId="3" xfId="58" applyFont="1" applyFill="1" applyBorder="1" applyAlignment="1" applyProtection="1">
      <alignment horizontal="center" vertical="center"/>
      <protection locked="0"/>
    </xf>
    <xf numFmtId="49" fontId="41" fillId="6" borderId="8" xfId="33" applyNumberFormat="1" applyFont="1" applyFill="1" applyBorder="1" applyAlignment="1">
      <alignment horizontal="center" vertical="center"/>
      <protection locked="0"/>
    </xf>
    <xf numFmtId="49" fontId="41" fillId="6" borderId="7" xfId="33" applyNumberFormat="1" applyFont="1" applyFill="1" applyBorder="1" applyAlignment="1">
      <alignment horizontal="center" vertical="center"/>
      <protection locked="0"/>
    </xf>
    <xf numFmtId="193" fontId="41" fillId="6" borderId="8" xfId="33" applyFont="1" applyFill="1" applyBorder="1" applyAlignment="1">
      <alignment horizontal="center" vertical="center" wrapText="1"/>
      <protection locked="0"/>
    </xf>
    <xf numFmtId="193" fontId="41" fillId="6" borderId="7" xfId="33" applyFont="1" applyFill="1" applyBorder="1" applyAlignment="1">
      <alignment horizontal="center" vertical="center" wrapText="1"/>
      <protection locked="0"/>
    </xf>
    <xf numFmtId="193" fontId="34" fillId="0" borderId="3" xfId="53" applyFont="1" applyFill="1" applyBorder="1" applyAlignment="1">
      <alignment horizontal="left" vertical="center" wrapText="1"/>
      <protection locked="0"/>
    </xf>
    <xf numFmtId="193" fontId="31" fillId="6" borderId="3" xfId="53" applyFont="1" applyFill="1" applyBorder="1" applyAlignment="1">
      <alignment horizontal="center" vertical="center" wrapText="1"/>
      <protection locked="0"/>
    </xf>
    <xf numFmtId="193" fontId="19" fillId="0" borderId="3" xfId="53" applyFont="1" applyBorder="1" applyAlignment="1">
      <alignment horizontal="center" vertical="center" wrapText="1"/>
      <protection locked="0"/>
    </xf>
    <xf numFmtId="193" fontId="41" fillId="6" borderId="3" xfId="53" applyFont="1" applyFill="1" applyBorder="1" applyAlignment="1">
      <alignment horizontal="center" vertical="center" wrapText="1"/>
      <protection locked="0"/>
    </xf>
    <xf numFmtId="193" fontId="36" fillId="6" borderId="3" xfId="0" applyFont="1" applyFill="1" applyBorder="1" applyAlignment="1" applyProtection="1">
      <alignment horizontal="center" vertical="center"/>
    </xf>
    <xf numFmtId="193" fontId="36" fillId="6" borderId="3" xfId="0" applyFont="1" applyFill="1" applyBorder="1" applyAlignment="1" applyProtection="1">
      <alignment vertical="center"/>
    </xf>
    <xf numFmtId="193" fontId="31" fillId="6" borderId="6" xfId="50" applyFont="1" applyFill="1" applyBorder="1" applyAlignment="1" applyProtection="1">
      <alignment horizontal="center" vertical="center" wrapText="1"/>
      <protection locked="0"/>
    </xf>
    <xf numFmtId="193" fontId="31" fillId="6" borderId="4" xfId="50" applyFont="1" applyFill="1" applyBorder="1" applyAlignment="1" applyProtection="1">
      <alignment horizontal="center" vertical="center" wrapText="1"/>
      <protection locked="0"/>
    </xf>
    <xf numFmtId="193" fontId="31" fillId="6" borderId="5" xfId="50" applyFont="1" applyFill="1" applyBorder="1" applyAlignment="1" applyProtection="1">
      <alignment horizontal="center" vertical="center" wrapText="1"/>
      <protection locked="0"/>
    </xf>
    <xf numFmtId="193" fontId="36" fillId="6" borderId="3" xfId="51" applyNumberFormat="1" applyFont="1" applyFill="1" applyBorder="1" applyAlignment="1">
      <alignment horizontal="center" vertical="center" wrapText="1"/>
      <protection locked="0"/>
    </xf>
    <xf numFmtId="193" fontId="31" fillId="6" borderId="3" xfId="51" applyFont="1" applyFill="1" applyBorder="1" applyAlignment="1">
      <alignment horizontal="center" vertical="center" wrapText="1"/>
      <protection locked="0"/>
    </xf>
    <xf numFmtId="43" fontId="20" fillId="0" borderId="0" xfId="37" applyNumberFormat="1" applyFont="1" applyBorder="1" applyAlignment="1">
      <alignment horizontal="center" vertical="center"/>
    </xf>
    <xf numFmtId="43" fontId="68" fillId="0" borderId="0" xfId="37" applyNumberFormat="1" applyFont="1" applyBorder="1" applyAlignment="1">
      <alignment horizontal="center" vertical="center"/>
    </xf>
    <xf numFmtId="193" fontId="86" fillId="0" borderId="0" xfId="0" applyFont="1" applyAlignment="1">
      <alignment horizontal="center" vertical="center"/>
      <protection locked="0"/>
    </xf>
    <xf numFmtId="193" fontId="68" fillId="0" borderId="0" xfId="0" applyFont="1" applyAlignment="1">
      <alignment horizontal="center" vertical="center"/>
      <protection locked="0"/>
    </xf>
    <xf numFmtId="193" fontId="20" fillId="0" borderId="0" xfId="0" applyFont="1" applyAlignment="1">
      <alignment horizontal="center" vertical="center"/>
      <protection locked="0"/>
    </xf>
    <xf numFmtId="193" fontId="86" fillId="0" borderId="0" xfId="34" applyFont="1" applyAlignment="1">
      <alignment horizontal="center" vertical="center" wrapText="1"/>
    </xf>
    <xf numFmtId="193" fontId="87" fillId="0" borderId="0" xfId="34" applyFont="1" applyAlignment="1">
      <alignment horizontal="center" vertical="center" wrapText="1"/>
    </xf>
    <xf numFmtId="193" fontId="31" fillId="6" borderId="3" xfId="0" applyFont="1" applyFill="1" applyBorder="1" applyAlignment="1">
      <alignment horizontal="center" vertical="center" wrapText="1"/>
      <protection locked="0"/>
    </xf>
    <xf numFmtId="193" fontId="41" fillId="6" borderId="8" xfId="53" applyFont="1" applyFill="1" applyBorder="1" applyAlignment="1">
      <alignment horizontal="center" vertical="center" wrapText="1"/>
      <protection locked="0"/>
    </xf>
    <xf numFmtId="193" fontId="41" fillId="6" borderId="7" xfId="53" applyFont="1" applyFill="1" applyBorder="1" applyAlignment="1">
      <alignment horizontal="center" vertical="center" wrapText="1"/>
      <protection locked="0"/>
    </xf>
    <xf numFmtId="193" fontId="41" fillId="6" borderId="3" xfId="0" applyFont="1" applyFill="1" applyBorder="1" applyAlignment="1">
      <alignment horizontal="center" vertical="center" wrapText="1"/>
      <protection locked="0"/>
    </xf>
    <xf numFmtId="193" fontId="61" fillId="6" borderId="3" xfId="0" applyFont="1" applyFill="1" applyBorder="1" applyAlignment="1">
      <alignment horizontal="center" vertical="center" wrapText="1"/>
      <protection locked="0"/>
    </xf>
    <xf numFmtId="193" fontId="31" fillId="6" borderId="6" xfId="0" applyFont="1" applyFill="1" applyBorder="1" applyAlignment="1">
      <alignment horizontal="center" vertical="center" wrapText="1"/>
      <protection locked="0"/>
    </xf>
    <xf numFmtId="193" fontId="31" fillId="6" borderId="4" xfId="0" applyFont="1" applyFill="1" applyBorder="1" applyAlignment="1">
      <alignment horizontal="center" vertical="center" wrapText="1"/>
      <protection locked="0"/>
    </xf>
    <xf numFmtId="193" fontId="31" fillId="6" borderId="5" xfId="0" applyFont="1" applyFill="1" applyBorder="1" applyAlignment="1">
      <alignment horizontal="center" vertical="center" wrapText="1"/>
      <protection locked="0"/>
    </xf>
    <xf numFmtId="193" fontId="72" fillId="6" borderId="6" xfId="0" applyFont="1" applyFill="1" applyBorder="1" applyAlignment="1">
      <alignment horizontal="center" vertical="center" wrapText="1"/>
      <protection locked="0"/>
    </xf>
    <xf numFmtId="193" fontId="72" fillId="6" borderId="4" xfId="0" applyFont="1" applyFill="1" applyBorder="1" applyAlignment="1">
      <alignment horizontal="center" vertical="center" wrapText="1"/>
      <protection locked="0"/>
    </xf>
    <xf numFmtId="193" fontId="72" fillId="6" borderId="5" xfId="0" applyFont="1" applyFill="1" applyBorder="1" applyAlignment="1">
      <alignment horizontal="center" vertical="center" wrapText="1"/>
      <protection locked="0"/>
    </xf>
    <xf numFmtId="193" fontId="61" fillId="6" borderId="8" xfId="0" applyFont="1" applyFill="1" applyBorder="1" applyAlignment="1">
      <alignment horizontal="center" vertical="center" wrapText="1"/>
      <protection locked="0"/>
    </xf>
    <xf numFmtId="193" fontId="61" fillId="6" borderId="7" xfId="0" applyFont="1" applyFill="1" applyBorder="1" applyAlignment="1">
      <alignment horizontal="center" vertical="center" wrapText="1"/>
      <protection locked="0"/>
    </xf>
    <xf numFmtId="43" fontId="86" fillId="0" borderId="0" xfId="37" applyNumberFormat="1" applyFont="1" applyBorder="1" applyAlignment="1">
      <alignment horizontal="center" vertical="center"/>
    </xf>
    <xf numFmtId="43" fontId="83" fillId="0" borderId="0" xfId="37" applyNumberFormat="1" applyFont="1" applyBorder="1" applyAlignment="1">
      <alignment horizontal="center" vertical="center"/>
    </xf>
    <xf numFmtId="193" fontId="77" fillId="0" borderId="0" xfId="53" applyFont="1" applyAlignment="1">
      <alignment horizontal="left" vertical="center" wrapText="1"/>
      <protection locked="0"/>
    </xf>
    <xf numFmtId="193" fontId="32" fillId="0" borderId="0" xfId="53" applyFont="1" applyAlignment="1">
      <alignment horizontal="left" vertical="center" wrapText="1"/>
      <protection locked="0"/>
    </xf>
    <xf numFmtId="193" fontId="20" fillId="0" borderId="0" xfId="52" applyFont="1" applyAlignment="1">
      <alignment horizontal="center" vertical="center" wrapText="1"/>
    </xf>
    <xf numFmtId="193" fontId="68" fillId="0" borderId="0" xfId="52" applyFont="1" applyAlignment="1">
      <alignment horizontal="center" vertical="center" wrapText="1"/>
    </xf>
    <xf numFmtId="193" fontId="83" fillId="0" borderId="0" xfId="0" applyFont="1" applyAlignment="1">
      <alignment horizontal="center" vertical="center"/>
      <protection locked="0"/>
    </xf>
    <xf numFmtId="193" fontId="20" fillId="0" borderId="0" xfId="76" applyFont="1" applyBorder="1" applyAlignment="1">
      <alignment horizontal="center" vertical="center" wrapText="1"/>
    </xf>
    <xf numFmtId="193" fontId="33" fillId="0" borderId="0" xfId="76" applyFont="1" applyBorder="1" applyAlignment="1">
      <alignment horizontal="center" vertical="center" wrapText="1"/>
    </xf>
    <xf numFmtId="193" fontId="68" fillId="0" borderId="0" xfId="76" applyFont="1" applyBorder="1" applyAlignment="1">
      <alignment horizontal="center" vertical="center" wrapText="1"/>
    </xf>
    <xf numFmtId="193" fontId="83" fillId="0" borderId="0" xfId="76" applyFont="1" applyBorder="1" applyAlignment="1">
      <alignment horizontal="center" vertical="center" wrapText="1"/>
    </xf>
    <xf numFmtId="193" fontId="31" fillId="6" borderId="3" xfId="0" applyFont="1" applyFill="1" applyBorder="1" applyAlignment="1">
      <alignment horizontal="center" vertical="center"/>
      <protection locked="0"/>
    </xf>
    <xf numFmtId="193" fontId="41" fillId="13" borderId="3" xfId="68" applyFont="1" applyFill="1" applyBorder="1" applyAlignment="1" applyProtection="1">
      <alignment horizontal="center" vertical="center" wrapText="1"/>
    </xf>
    <xf numFmtId="193" fontId="41" fillId="6" borderId="3" xfId="48" applyFont="1" applyFill="1" applyBorder="1" applyAlignment="1" applyProtection="1">
      <alignment horizontal="center" vertical="center"/>
      <protection locked="0"/>
    </xf>
    <xf numFmtId="193" fontId="31" fillId="6" borderId="3" xfId="48" applyFont="1" applyFill="1" applyBorder="1" applyAlignment="1" applyProtection="1">
      <alignment horizontal="center" vertical="center"/>
      <protection locked="0"/>
    </xf>
    <xf numFmtId="193" fontId="86" fillId="0" borderId="0" xfId="63" applyFont="1" applyAlignment="1">
      <alignment horizontal="center" vertical="center" wrapText="1"/>
    </xf>
    <xf numFmtId="193" fontId="68" fillId="0" borderId="0" xfId="63" applyFont="1" applyAlignment="1">
      <alignment horizontal="center" vertical="center" wrapText="1"/>
    </xf>
    <xf numFmtId="193" fontId="41" fillId="6" borderId="6" xfId="53" applyFont="1" applyFill="1" applyBorder="1" applyAlignment="1">
      <alignment horizontal="center" vertical="center"/>
      <protection locked="0"/>
    </xf>
    <xf numFmtId="193" fontId="41" fillId="6" borderId="4" xfId="53" applyFont="1" applyFill="1" applyBorder="1" applyAlignment="1">
      <alignment horizontal="center" vertical="center"/>
      <protection locked="0"/>
    </xf>
    <xf numFmtId="193" fontId="41" fillId="6" borderId="5" xfId="53" applyFont="1" applyFill="1" applyBorder="1" applyAlignment="1">
      <alignment horizontal="center" vertical="center"/>
      <protection locked="0"/>
    </xf>
    <xf numFmtId="193" fontId="41" fillId="6" borderId="3" xfId="48" applyFont="1" applyFill="1" applyBorder="1" applyAlignment="1" applyProtection="1">
      <alignment horizontal="center" vertical="center" wrapText="1"/>
      <protection locked="0"/>
    </xf>
    <xf numFmtId="193" fontId="31" fillId="6" borderId="3" xfId="48" applyFont="1" applyFill="1" applyBorder="1" applyAlignment="1" applyProtection="1">
      <alignment horizontal="center" vertical="center" wrapText="1"/>
      <protection locked="0"/>
    </xf>
    <xf numFmtId="193" fontId="31" fillId="6" borderId="6" xfId="0" applyFont="1" applyFill="1" applyBorder="1" applyAlignment="1">
      <alignment horizontal="center" vertical="center"/>
      <protection locked="0"/>
    </xf>
    <xf numFmtId="193" fontId="31" fillId="6" borderId="4" xfId="0" applyFont="1" applyFill="1" applyBorder="1" applyAlignment="1">
      <alignment horizontal="center" vertical="center"/>
      <protection locked="0"/>
    </xf>
    <xf numFmtId="193" fontId="41" fillId="13" borderId="8" xfId="68" applyFont="1" applyFill="1" applyBorder="1" applyAlignment="1" applyProtection="1">
      <alignment horizontal="center" vertical="center" wrapText="1"/>
    </xf>
    <xf numFmtId="193" fontId="41" fillId="13" borderId="7" xfId="68" applyFont="1" applyFill="1" applyBorder="1" applyAlignment="1" applyProtection="1">
      <alignment horizontal="center" vertical="center" wrapText="1"/>
    </xf>
    <xf numFmtId="193" fontId="41" fillId="6" borderId="3" xfId="53" applyFont="1" applyFill="1" applyBorder="1" applyAlignment="1">
      <alignment horizontal="center" vertical="center"/>
      <protection locked="0"/>
    </xf>
    <xf numFmtId="43" fontId="31" fillId="6" borderId="3" xfId="65" applyFont="1" applyFill="1" applyBorder="1" applyAlignment="1" applyProtection="1">
      <alignment horizontal="center" vertical="center"/>
      <protection locked="0"/>
    </xf>
    <xf numFmtId="43" fontId="34" fillId="0" borderId="3" xfId="65" applyFont="1" applyBorder="1" applyAlignment="1" applyProtection="1">
      <alignment horizontal="center" vertical="center"/>
      <protection locked="0"/>
    </xf>
  </cellXfs>
  <cellStyles count="83">
    <cellStyle name="?" xfId="1"/>
    <cellStyle name="@_text" xfId="2"/>
    <cellStyle name="{Comma [0]}" xfId="3"/>
    <cellStyle name="{Comma}" xfId="4"/>
    <cellStyle name="{Date}" xfId="5"/>
    <cellStyle name="{Month}" xfId="6"/>
    <cellStyle name="{Percent}" xfId="7"/>
    <cellStyle name="{Thousand [0]}" xfId="8"/>
    <cellStyle name="{Thousand}" xfId="9"/>
    <cellStyle name="{Z'0000(1 dec)}" xfId="10"/>
    <cellStyle name="{Z'0000(4 dec)}" xfId="11"/>
    <cellStyle name="Black" xfId="12"/>
    <cellStyle name="Border" xfId="13"/>
    <cellStyle name="Comma [0]_1995" xfId="14"/>
    <cellStyle name="Comma_1995" xfId="15"/>
    <cellStyle name="Currency [0]_1995" xfId="16"/>
    <cellStyle name="Currency_1995" xfId="17"/>
    <cellStyle name="Dezimal [0]_laroux" xfId="18"/>
    <cellStyle name="Dezimal_laroux" xfId="19"/>
    <cellStyle name="Euro" xfId="20"/>
    <cellStyle name="Followed Hyperlink_AheadBehind.xls Chart 23" xfId="21"/>
    <cellStyle name="Grey" xfId="22"/>
    <cellStyle name="Hyperlink_AheadBehind.xls Chart 23" xfId="23"/>
    <cellStyle name="Input [yellow]" xfId="24"/>
    <cellStyle name="Milliers [0]_laroux" xfId="25"/>
    <cellStyle name="Milliers_laroux" xfId="26"/>
    <cellStyle name="Non défini" xfId="27"/>
    <cellStyle name="Normal - Style1" xfId="28"/>
    <cellStyle name="Normal 2" xfId="47"/>
    <cellStyle name="Normal 3 2" xfId="46"/>
    <cellStyle name="Normal_22-Jun EUS Forecasts" xfId="29"/>
    <cellStyle name="Percent [2]" xfId="30"/>
    <cellStyle name="Red" xfId="31"/>
    <cellStyle name="百分比" xfId="32" builtinId="5"/>
    <cellStyle name="百分比 2" xfId="62"/>
    <cellStyle name="百分比 2 2" xfId="66"/>
    <cellStyle name="百分比 4" xfId="81"/>
    <cellStyle name="常规" xfId="0" builtinId="0"/>
    <cellStyle name="常规 11 5" xfId="82"/>
    <cellStyle name="常规 13" xfId="79"/>
    <cellStyle name="常规 2" xfId="33"/>
    <cellStyle name="常规 2 2" xfId="48"/>
    <cellStyle name="常规 2 2 4" xfId="68"/>
    <cellStyle name="常规 2 3" xfId="57"/>
    <cellStyle name="常规 2 3 2" xfId="71"/>
    <cellStyle name="常规 2 8" xfId="53"/>
    <cellStyle name="常规 2 8 2" xfId="72"/>
    <cellStyle name="常规 3" xfId="51"/>
    <cellStyle name="常规 3 2" xfId="55"/>
    <cellStyle name="常规 4" xfId="50"/>
    <cellStyle name="常规 4 2" xfId="59"/>
    <cellStyle name="常规 4 2 2" xfId="60"/>
    <cellStyle name="常规 6" xfId="54"/>
    <cellStyle name="常规 6 6" xfId="69"/>
    <cellStyle name="常规 7" xfId="58"/>
    <cellStyle name="常规 7 2" xfId="80"/>
    <cellStyle name="常规 7 3" xfId="64"/>
    <cellStyle name="常规 9" xfId="67"/>
    <cellStyle name="常规_2-1项目审定表－模板" xfId="52"/>
    <cellStyle name="常规_2-1项目审定表－模板 2" xfId="76"/>
    <cellStyle name="常规_Book1" xfId="34"/>
    <cellStyle name="常规_Book1 2" xfId="63"/>
    <cellStyle name="常规_c-资产类" xfId="56"/>
    <cellStyle name="常规_sheet" xfId="35"/>
    <cellStyle name="常规_sheet 2" xfId="74"/>
    <cellStyle name="常规_进一步审计程序--销售与收款循环" xfId="36"/>
    <cellStyle name="常规_进一步审计程序--销售与收款循环 2" xfId="75"/>
    <cellStyle name="常规_新审定表" xfId="37"/>
    <cellStyle name="常规_新审定表 2" xfId="77"/>
    <cellStyle name="常规_制造费用" xfId="38"/>
    <cellStyle name="超链接" xfId="39" builtinId="8"/>
    <cellStyle name="超链接 2" xfId="73"/>
    <cellStyle name="超链接 3 2" xfId="61"/>
    <cellStyle name="普通_ 外G9(3)" xfId="40"/>
    <cellStyle name="千分位[0]_宁波" xfId="41"/>
    <cellStyle name="千分位_宁波" xfId="42"/>
    <cellStyle name="千位[0]_laroux" xfId="43"/>
    <cellStyle name="千位_laroux" xfId="44"/>
    <cellStyle name="千位分隔" xfId="45" builtinId="3"/>
    <cellStyle name="千位分隔 2" xfId="49"/>
    <cellStyle name="千位分隔 2 2" xfId="70"/>
    <cellStyle name="千位分隔 2 4" xfId="78"/>
    <cellStyle name="千位分隔 6" xfId="65"/>
  </cellStyles>
  <dxfs count="0"/>
  <tableStyles count="0" defaultTableStyle="TableStyleMedium9" defaultPivotStyle="PivotStyleLight16"/>
  <colors>
    <mruColors>
      <color rgb="FF0000FF"/>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36"/>
  <sheetViews>
    <sheetView tabSelected="1" workbookViewId="0"/>
  </sheetViews>
  <sheetFormatPr defaultRowHeight="20.100000000000001" customHeight="1"/>
  <cols>
    <col min="1" max="1" width="77.59765625" style="9" customWidth="1"/>
    <col min="2" max="2" width="6.59765625" style="9" customWidth="1"/>
    <col min="3" max="3" width="6" style="9" customWidth="1"/>
    <col min="4" max="4" width="6.09765625" style="9" customWidth="1"/>
    <col min="5" max="5" width="32.19921875" style="106" customWidth="1"/>
    <col min="6" max="6" width="7.5" style="9" customWidth="1"/>
  </cols>
  <sheetData>
    <row r="1" spans="1:8" s="4" customFormat="1" ht="20.100000000000001" customHeight="1">
      <c r="A1" s="3" t="s">
        <v>0</v>
      </c>
      <c r="B1" s="5"/>
      <c r="C1" s="5"/>
      <c r="D1" s="6"/>
      <c r="E1" s="53"/>
      <c r="F1" s="6"/>
    </row>
    <row r="2" spans="1:8" ht="20.100000000000001" customHeight="1">
      <c r="A2" s="269" t="s">
        <v>386</v>
      </c>
      <c r="B2" s="7"/>
      <c r="C2" s="7"/>
      <c r="D2" s="8"/>
      <c r="E2" s="105"/>
      <c r="F2" s="8"/>
      <c r="G2" s="1"/>
      <c r="H2" s="1"/>
    </row>
    <row r="3" spans="1:8" ht="20.100000000000001" customHeight="1">
      <c r="A3" s="269" t="s">
        <v>395</v>
      </c>
      <c r="B3" s="7"/>
      <c r="C3" s="7"/>
      <c r="D3" s="78" t="s">
        <v>77</v>
      </c>
      <c r="E3" s="78" t="s">
        <v>18</v>
      </c>
      <c r="F3" s="78" t="s">
        <v>78</v>
      </c>
      <c r="G3" s="78" t="s">
        <v>79</v>
      </c>
      <c r="H3" s="2"/>
    </row>
    <row r="4" spans="1:8" ht="20.100000000000001" customHeight="1">
      <c r="A4" s="366" t="s">
        <v>387</v>
      </c>
      <c r="D4" s="279">
        <v>1</v>
      </c>
      <c r="E4" s="199" t="s">
        <v>265</v>
      </c>
      <c r="F4" s="332" t="s">
        <v>159</v>
      </c>
      <c r="G4" s="128"/>
      <c r="H4" s="10"/>
    </row>
    <row r="5" spans="1:8" ht="20.100000000000001" customHeight="1">
      <c r="A5" s="366" t="s">
        <v>388</v>
      </c>
      <c r="D5" s="279">
        <v>2</v>
      </c>
      <c r="E5" s="199" t="s">
        <v>266</v>
      </c>
      <c r="F5" s="332" t="s">
        <v>160</v>
      </c>
      <c r="G5" s="80"/>
    </row>
    <row r="6" spans="1:8" ht="20.100000000000001" customHeight="1">
      <c r="A6" s="366" t="s">
        <v>389</v>
      </c>
      <c r="D6" s="279">
        <v>3</v>
      </c>
      <c r="E6" s="199" t="s">
        <v>170</v>
      </c>
      <c r="F6" s="332"/>
      <c r="G6" s="278"/>
      <c r="H6" s="53" t="s">
        <v>269</v>
      </c>
    </row>
    <row r="7" spans="1:8" ht="20.100000000000001" customHeight="1">
      <c r="A7" s="366" t="s">
        <v>390</v>
      </c>
      <c r="D7" s="279">
        <v>4</v>
      </c>
      <c r="E7" s="199" t="s">
        <v>171</v>
      </c>
      <c r="F7" s="332"/>
      <c r="G7" s="278"/>
      <c r="H7" s="53" t="s">
        <v>269</v>
      </c>
    </row>
    <row r="8" spans="1:8" ht="20.100000000000001" customHeight="1">
      <c r="A8" s="129" t="s">
        <v>136</v>
      </c>
      <c r="D8" s="279">
        <v>5</v>
      </c>
      <c r="E8" s="199" t="s">
        <v>267</v>
      </c>
      <c r="F8" s="332" t="s">
        <v>161</v>
      </c>
      <c r="G8" s="79"/>
    </row>
    <row r="9" spans="1:8" ht="20.100000000000001" customHeight="1">
      <c r="A9" s="130" t="s">
        <v>137</v>
      </c>
      <c r="D9" s="279">
        <v>6</v>
      </c>
      <c r="E9" s="199" t="s">
        <v>268</v>
      </c>
      <c r="F9" s="332" t="s">
        <v>162</v>
      </c>
      <c r="G9" s="140"/>
    </row>
    <row r="10" spans="1:8" ht="20.100000000000001" customHeight="1">
      <c r="A10" s="130" t="s">
        <v>138</v>
      </c>
      <c r="D10" s="279">
        <v>7</v>
      </c>
      <c r="E10" s="331" t="s">
        <v>354</v>
      </c>
      <c r="F10" s="332" t="s">
        <v>163</v>
      </c>
      <c r="G10" s="79"/>
    </row>
    <row r="11" spans="1:8" ht="20.100000000000001" customHeight="1">
      <c r="A11" s="130" t="s">
        <v>139</v>
      </c>
      <c r="D11" s="279">
        <v>8</v>
      </c>
      <c r="E11" s="340" t="s">
        <v>355</v>
      </c>
      <c r="F11" s="332" t="s">
        <v>356</v>
      </c>
      <c r="G11" s="79"/>
    </row>
    <row r="12" spans="1:8" ht="20.100000000000001" customHeight="1">
      <c r="A12" s="130" t="s">
        <v>135</v>
      </c>
      <c r="D12" s="279">
        <v>9</v>
      </c>
      <c r="E12" s="340" t="s">
        <v>357</v>
      </c>
      <c r="F12" s="332" t="s">
        <v>358</v>
      </c>
      <c r="G12" s="79"/>
    </row>
    <row r="13" spans="1:8" ht="20.100000000000001" customHeight="1">
      <c r="A13" s="130"/>
      <c r="D13" s="279">
        <v>10</v>
      </c>
      <c r="E13" s="340" t="s">
        <v>359</v>
      </c>
      <c r="F13" s="332" t="s">
        <v>360</v>
      </c>
      <c r="G13" s="79"/>
    </row>
    <row r="14" spans="1:8" ht="18.75" customHeight="1">
      <c r="A14" s="130"/>
      <c r="D14" s="279">
        <v>11</v>
      </c>
      <c r="E14" s="340" t="s">
        <v>361</v>
      </c>
      <c r="F14" s="332" t="s">
        <v>362</v>
      </c>
      <c r="G14" s="79"/>
    </row>
    <row r="15" spans="1:8" ht="20.100000000000001" customHeight="1">
      <c r="A15" s="130"/>
      <c r="D15" s="279">
        <v>12</v>
      </c>
      <c r="E15" s="340" t="s">
        <v>418</v>
      </c>
      <c r="F15" s="332" t="s">
        <v>419</v>
      </c>
      <c r="G15" s="79"/>
    </row>
    <row r="16" spans="1:8" ht="20.100000000000001" customHeight="1">
      <c r="A16" s="130"/>
      <c r="D16" s="279">
        <v>13</v>
      </c>
      <c r="E16" s="341" t="s">
        <v>363</v>
      </c>
      <c r="F16" s="332" t="s">
        <v>364</v>
      </c>
      <c r="G16" s="79"/>
    </row>
    <row r="17" spans="1:7" ht="20.100000000000001" customHeight="1">
      <c r="A17" s="129" t="s">
        <v>131</v>
      </c>
      <c r="D17" s="279">
        <v>14</v>
      </c>
      <c r="E17" s="341" t="s">
        <v>365</v>
      </c>
      <c r="F17" s="332" t="s">
        <v>366</v>
      </c>
      <c r="G17" s="79"/>
    </row>
    <row r="18" spans="1:7" ht="20.100000000000001" customHeight="1">
      <c r="A18" s="130" t="s">
        <v>132</v>
      </c>
      <c r="D18" s="279">
        <v>16</v>
      </c>
      <c r="E18" s="331" t="s">
        <v>372</v>
      </c>
      <c r="F18" s="332" t="s">
        <v>369</v>
      </c>
      <c r="G18" s="79"/>
    </row>
    <row r="19" spans="1:7" ht="20.100000000000001" customHeight="1">
      <c r="A19" s="130" t="s">
        <v>133</v>
      </c>
      <c r="D19" s="279">
        <v>17</v>
      </c>
      <c r="E19" s="331" t="s">
        <v>367</v>
      </c>
      <c r="F19" s="332" t="s">
        <v>370</v>
      </c>
      <c r="G19" s="79"/>
    </row>
    <row r="20" spans="1:7" ht="20.100000000000001" customHeight="1">
      <c r="A20" s="130" t="s">
        <v>134</v>
      </c>
      <c r="D20" s="279">
        <v>18</v>
      </c>
      <c r="E20" s="333" t="s">
        <v>368</v>
      </c>
      <c r="F20" s="332" t="s">
        <v>371</v>
      </c>
      <c r="G20" s="79"/>
    </row>
    <row r="21" spans="1:7" ht="20.100000000000001" customHeight="1">
      <c r="A21" s="130" t="s">
        <v>135</v>
      </c>
    </row>
    <row r="22" spans="1:7" ht="20.100000000000001" customHeight="1">
      <c r="A22" s="130"/>
    </row>
    <row r="23" spans="1:7" ht="20.100000000000001" customHeight="1">
      <c r="A23" s="130"/>
    </row>
    <row r="24" spans="1:7" ht="20.100000000000001" customHeight="1">
      <c r="A24" s="130"/>
    </row>
    <row r="25" spans="1:7" ht="20.100000000000001" customHeight="1">
      <c r="A25" s="130"/>
    </row>
    <row r="26" spans="1:7" ht="20.100000000000001" customHeight="1">
      <c r="A26" s="365" t="s">
        <v>396</v>
      </c>
    </row>
    <row r="27" spans="1:7" ht="20.100000000000001" customHeight="1">
      <c r="A27" s="384" t="s">
        <v>397</v>
      </c>
    </row>
    <row r="28" spans="1:7" ht="20.100000000000001" customHeight="1">
      <c r="A28" s="384"/>
    </row>
    <row r="29" spans="1:7" ht="20.100000000000001" customHeight="1">
      <c r="A29" s="384"/>
    </row>
    <row r="30" spans="1:7" ht="20.100000000000001" customHeight="1">
      <c r="A30" s="384"/>
    </row>
    <row r="31" spans="1:7" ht="20.100000000000001" customHeight="1">
      <c r="A31" s="384" t="s">
        <v>398</v>
      </c>
    </row>
    <row r="32" spans="1:7" ht="20.100000000000001" customHeight="1">
      <c r="A32" s="384"/>
    </row>
    <row r="33" spans="1:1" ht="20.100000000000001" customHeight="1">
      <c r="A33" s="384"/>
    </row>
    <row r="34" spans="1:1" ht="20.100000000000001" customHeight="1">
      <c r="A34" s="385" t="s">
        <v>399</v>
      </c>
    </row>
    <row r="35" spans="1:1" ht="20.100000000000001" customHeight="1">
      <c r="A35" s="385"/>
    </row>
    <row r="36" spans="1:1" ht="20.100000000000001" customHeight="1">
      <c r="A36" s="385"/>
    </row>
  </sheetData>
  <mergeCells count="3">
    <mergeCell ref="A27:A30"/>
    <mergeCell ref="A31:A33"/>
    <mergeCell ref="A34:A36"/>
  </mergeCells>
  <phoneticPr fontId="18" type="noConversion"/>
  <hyperlinks>
    <hyperlink ref="E5" location="'审定表K3-1'!Print_Area" display="审定表"/>
    <hyperlink ref="E6" location="'附注披露信息(上市公司)'!Print_Area" display="附注披露信息(上市公司)"/>
    <hyperlink ref="E8" location="'明细表K3-2'!Print_Area" display="明细表"/>
    <hyperlink ref="E7" location="'附注披露信息(国企)'!Print_Area" display="附注披露信息(国企)"/>
    <hyperlink ref="E10" location="'大额其他应付款情况分析表K3-4'!A1" display="大额其他应付款情况分析表"/>
    <hyperlink ref="E4" location="实质性程序表K3A!Print_Titles" display="实质性程序表"/>
    <hyperlink ref="E9" location="'调整分录汇总K3-3'!Print_Area" display="调整分录汇总"/>
    <hyperlink ref="E19" location="'关联方及交易检查表K3-6'!A1" display="关联方及交易检查表"/>
    <hyperlink ref="E18" location="'长期挂账检查表K3-5'!A1" display="长期挂账检查表"/>
    <hyperlink ref="E20" location="'其他应付款检查表K3-7'!A1" display="其他应付款检查表"/>
  </hyperlinks>
  <pageMargins left="0.74803149606299213" right="0.74803149606299213" top="0.98425196850393704" bottom="0.98425196850393704" header="0.51181102362204722" footer="0.51181102362204722"/>
  <pageSetup paperSize="9" orientation="portrait" blackAndWhite="1"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M210"/>
  <sheetViews>
    <sheetView view="pageBreakPreview" zoomScaleNormal="115" zoomScaleSheetLayoutView="100" workbookViewId="0">
      <selection sqref="A1:I1"/>
    </sheetView>
  </sheetViews>
  <sheetFormatPr defaultRowHeight="13.8"/>
  <cols>
    <col min="1" max="1" width="5.19921875" style="124" customWidth="1"/>
    <col min="2" max="2" width="60.3984375" style="125" customWidth="1"/>
    <col min="3" max="3" width="9.19921875" style="15" customWidth="1"/>
    <col min="4" max="4" width="5.296875" style="15" customWidth="1"/>
    <col min="5" max="5" width="6.19921875" style="15" customWidth="1"/>
    <col min="6" max="6" width="6.69921875" style="15" customWidth="1"/>
    <col min="7" max="7" width="7.296875" style="15" customWidth="1"/>
    <col min="8" max="8" width="5.19921875" style="15" customWidth="1"/>
    <col min="9" max="9" width="6.19921875" style="325" customWidth="1"/>
    <col min="10" max="10" width="58.8984375" style="15" customWidth="1"/>
    <col min="11" max="254" width="9" style="15"/>
    <col min="255" max="255" width="8.5" style="15" customWidth="1"/>
    <col min="256" max="256" width="93.69921875" style="15" customWidth="1"/>
    <col min="257" max="257" width="0" style="15" hidden="1" customWidth="1"/>
    <col min="258" max="258" width="11.69921875" style="15" customWidth="1"/>
    <col min="259" max="259" width="13.5" style="15" customWidth="1"/>
    <col min="260" max="260" width="6" style="15" customWidth="1"/>
    <col min="261" max="261" width="5.59765625" style="15" customWidth="1"/>
    <col min="262" max="262" width="4.59765625" style="15" customWidth="1"/>
    <col min="263" max="263" width="5.5" style="15" customWidth="1"/>
    <col min="264" max="264" width="14" style="15" customWidth="1"/>
    <col min="265" max="265" width="10.59765625" style="15" customWidth="1"/>
    <col min="266" max="266" width="31.59765625" style="15" bestFit="1" customWidth="1"/>
    <col min="267" max="510" width="9" style="15"/>
    <col min="511" max="511" width="8.5" style="15" customWidth="1"/>
    <col min="512" max="512" width="93.69921875" style="15" customWidth="1"/>
    <col min="513" max="513" width="0" style="15" hidden="1" customWidth="1"/>
    <col min="514" max="514" width="11.69921875" style="15" customWidth="1"/>
    <col min="515" max="515" width="13.5" style="15" customWidth="1"/>
    <col min="516" max="516" width="6" style="15" customWidth="1"/>
    <col min="517" max="517" width="5.59765625" style="15" customWidth="1"/>
    <col min="518" max="518" width="4.59765625" style="15" customWidth="1"/>
    <col min="519" max="519" width="5.5" style="15" customWidth="1"/>
    <col min="520" max="520" width="14" style="15" customWidth="1"/>
    <col min="521" max="521" width="10.59765625" style="15" customWidth="1"/>
    <col min="522" max="522" width="31.59765625" style="15" bestFit="1" customWidth="1"/>
    <col min="523" max="766" width="9" style="15"/>
    <col min="767" max="767" width="8.5" style="15" customWidth="1"/>
    <col min="768" max="768" width="93.69921875" style="15" customWidth="1"/>
    <col min="769" max="769" width="0" style="15" hidden="1" customWidth="1"/>
    <col min="770" max="770" width="11.69921875" style="15" customWidth="1"/>
    <col min="771" max="771" width="13.5" style="15" customWidth="1"/>
    <col min="772" max="772" width="6" style="15" customWidth="1"/>
    <col min="773" max="773" width="5.59765625" style="15" customWidth="1"/>
    <col min="774" max="774" width="4.59765625" style="15" customWidth="1"/>
    <col min="775" max="775" width="5.5" style="15" customWidth="1"/>
    <col min="776" max="776" width="14" style="15" customWidth="1"/>
    <col min="777" max="777" width="10.59765625" style="15" customWidth="1"/>
    <col min="778" max="778" width="31.59765625" style="15" bestFit="1" customWidth="1"/>
    <col min="779" max="1022" width="9" style="15"/>
    <col min="1023" max="1023" width="8.5" style="15" customWidth="1"/>
    <col min="1024" max="1024" width="93.69921875" style="15" customWidth="1"/>
    <col min="1025" max="1025" width="0" style="15" hidden="1" customWidth="1"/>
    <col min="1026" max="1026" width="11.69921875" style="15" customWidth="1"/>
    <col min="1027" max="1027" width="13.5" style="15" customWidth="1"/>
    <col min="1028" max="1028" width="6" style="15" customWidth="1"/>
    <col min="1029" max="1029" width="5.59765625" style="15" customWidth="1"/>
    <col min="1030" max="1030" width="4.59765625" style="15" customWidth="1"/>
    <col min="1031" max="1031" width="5.5" style="15" customWidth="1"/>
    <col min="1032" max="1032" width="14" style="15" customWidth="1"/>
    <col min="1033" max="1033" width="10.59765625" style="15" customWidth="1"/>
    <col min="1034" max="1034" width="31.59765625" style="15" bestFit="1" customWidth="1"/>
    <col min="1035" max="1278" width="9" style="15"/>
    <col min="1279" max="1279" width="8.5" style="15" customWidth="1"/>
    <col min="1280" max="1280" width="93.69921875" style="15" customWidth="1"/>
    <col min="1281" max="1281" width="0" style="15" hidden="1" customWidth="1"/>
    <col min="1282" max="1282" width="11.69921875" style="15" customWidth="1"/>
    <col min="1283" max="1283" width="13.5" style="15" customWidth="1"/>
    <col min="1284" max="1284" width="6" style="15" customWidth="1"/>
    <col min="1285" max="1285" width="5.59765625" style="15" customWidth="1"/>
    <col min="1286" max="1286" width="4.59765625" style="15" customWidth="1"/>
    <col min="1287" max="1287" width="5.5" style="15" customWidth="1"/>
    <col min="1288" max="1288" width="14" style="15" customWidth="1"/>
    <col min="1289" max="1289" width="10.59765625" style="15" customWidth="1"/>
    <col min="1290" max="1290" width="31.59765625" style="15" bestFit="1" customWidth="1"/>
    <col min="1291" max="1534" width="9" style="15"/>
    <col min="1535" max="1535" width="8.5" style="15" customWidth="1"/>
    <col min="1536" max="1536" width="93.69921875" style="15" customWidth="1"/>
    <col min="1537" max="1537" width="0" style="15" hidden="1" customWidth="1"/>
    <col min="1538" max="1538" width="11.69921875" style="15" customWidth="1"/>
    <col min="1539" max="1539" width="13.5" style="15" customWidth="1"/>
    <col min="1540" max="1540" width="6" style="15" customWidth="1"/>
    <col min="1541" max="1541" width="5.59765625" style="15" customWidth="1"/>
    <col min="1542" max="1542" width="4.59765625" style="15" customWidth="1"/>
    <col min="1543" max="1543" width="5.5" style="15" customWidth="1"/>
    <col min="1544" max="1544" width="14" style="15" customWidth="1"/>
    <col min="1545" max="1545" width="10.59765625" style="15" customWidth="1"/>
    <col min="1546" max="1546" width="31.59765625" style="15" bestFit="1" customWidth="1"/>
    <col min="1547" max="1790" width="9" style="15"/>
    <col min="1791" max="1791" width="8.5" style="15" customWidth="1"/>
    <col min="1792" max="1792" width="93.69921875" style="15" customWidth="1"/>
    <col min="1793" max="1793" width="0" style="15" hidden="1" customWidth="1"/>
    <col min="1794" max="1794" width="11.69921875" style="15" customWidth="1"/>
    <col min="1795" max="1795" width="13.5" style="15" customWidth="1"/>
    <col min="1796" max="1796" width="6" style="15" customWidth="1"/>
    <col min="1797" max="1797" width="5.59765625" style="15" customWidth="1"/>
    <col min="1798" max="1798" width="4.59765625" style="15" customWidth="1"/>
    <col min="1799" max="1799" width="5.5" style="15" customWidth="1"/>
    <col min="1800" max="1800" width="14" style="15" customWidth="1"/>
    <col min="1801" max="1801" width="10.59765625" style="15" customWidth="1"/>
    <col min="1802" max="1802" width="31.59765625" style="15" bestFit="1" customWidth="1"/>
    <col min="1803" max="2046" width="9" style="15"/>
    <col min="2047" max="2047" width="8.5" style="15" customWidth="1"/>
    <col min="2048" max="2048" width="93.69921875" style="15" customWidth="1"/>
    <col min="2049" max="2049" width="0" style="15" hidden="1" customWidth="1"/>
    <col min="2050" max="2050" width="11.69921875" style="15" customWidth="1"/>
    <col min="2051" max="2051" width="13.5" style="15" customWidth="1"/>
    <col min="2052" max="2052" width="6" style="15" customWidth="1"/>
    <col min="2053" max="2053" width="5.59765625" style="15" customWidth="1"/>
    <col min="2054" max="2054" width="4.59765625" style="15" customWidth="1"/>
    <col min="2055" max="2055" width="5.5" style="15" customWidth="1"/>
    <col min="2056" max="2056" width="14" style="15" customWidth="1"/>
    <col min="2057" max="2057" width="10.59765625" style="15" customWidth="1"/>
    <col min="2058" max="2058" width="31.59765625" style="15" bestFit="1" customWidth="1"/>
    <col min="2059" max="2302" width="9" style="15"/>
    <col min="2303" max="2303" width="8.5" style="15" customWidth="1"/>
    <col min="2304" max="2304" width="93.69921875" style="15" customWidth="1"/>
    <col min="2305" max="2305" width="0" style="15" hidden="1" customWidth="1"/>
    <col min="2306" max="2306" width="11.69921875" style="15" customWidth="1"/>
    <col min="2307" max="2307" width="13.5" style="15" customWidth="1"/>
    <col min="2308" max="2308" width="6" style="15" customWidth="1"/>
    <col min="2309" max="2309" width="5.59765625" style="15" customWidth="1"/>
    <col min="2310" max="2310" width="4.59765625" style="15" customWidth="1"/>
    <col min="2311" max="2311" width="5.5" style="15" customWidth="1"/>
    <col min="2312" max="2312" width="14" style="15" customWidth="1"/>
    <col min="2313" max="2313" width="10.59765625" style="15" customWidth="1"/>
    <col min="2314" max="2314" width="31.59765625" style="15" bestFit="1" customWidth="1"/>
    <col min="2315" max="2558" width="9" style="15"/>
    <col min="2559" max="2559" width="8.5" style="15" customWidth="1"/>
    <col min="2560" max="2560" width="93.69921875" style="15" customWidth="1"/>
    <col min="2561" max="2561" width="0" style="15" hidden="1" customWidth="1"/>
    <col min="2562" max="2562" width="11.69921875" style="15" customWidth="1"/>
    <col min="2563" max="2563" width="13.5" style="15" customWidth="1"/>
    <col min="2564" max="2564" width="6" style="15" customWidth="1"/>
    <col min="2565" max="2565" width="5.59765625" style="15" customWidth="1"/>
    <col min="2566" max="2566" width="4.59765625" style="15" customWidth="1"/>
    <col min="2567" max="2567" width="5.5" style="15" customWidth="1"/>
    <col min="2568" max="2568" width="14" style="15" customWidth="1"/>
    <col min="2569" max="2569" width="10.59765625" style="15" customWidth="1"/>
    <col min="2570" max="2570" width="31.59765625" style="15" bestFit="1" customWidth="1"/>
    <col min="2571" max="2814" width="9" style="15"/>
    <col min="2815" max="2815" width="8.5" style="15" customWidth="1"/>
    <col min="2816" max="2816" width="93.69921875" style="15" customWidth="1"/>
    <col min="2817" max="2817" width="0" style="15" hidden="1" customWidth="1"/>
    <col min="2818" max="2818" width="11.69921875" style="15" customWidth="1"/>
    <col min="2819" max="2819" width="13.5" style="15" customWidth="1"/>
    <col min="2820" max="2820" width="6" style="15" customWidth="1"/>
    <col min="2821" max="2821" width="5.59765625" style="15" customWidth="1"/>
    <col min="2822" max="2822" width="4.59765625" style="15" customWidth="1"/>
    <col min="2823" max="2823" width="5.5" style="15" customWidth="1"/>
    <col min="2824" max="2824" width="14" style="15" customWidth="1"/>
    <col min="2825" max="2825" width="10.59765625" style="15" customWidth="1"/>
    <col min="2826" max="2826" width="31.59765625" style="15" bestFit="1" customWidth="1"/>
    <col min="2827" max="3070" width="9" style="15"/>
    <col min="3071" max="3071" width="8.5" style="15" customWidth="1"/>
    <col min="3072" max="3072" width="93.69921875" style="15" customWidth="1"/>
    <col min="3073" max="3073" width="0" style="15" hidden="1" customWidth="1"/>
    <col min="3074" max="3074" width="11.69921875" style="15" customWidth="1"/>
    <col min="3075" max="3075" width="13.5" style="15" customWidth="1"/>
    <col min="3076" max="3076" width="6" style="15" customWidth="1"/>
    <col min="3077" max="3077" width="5.59765625" style="15" customWidth="1"/>
    <col min="3078" max="3078" width="4.59765625" style="15" customWidth="1"/>
    <col min="3079" max="3079" width="5.5" style="15" customWidth="1"/>
    <col min="3080" max="3080" width="14" style="15" customWidth="1"/>
    <col min="3081" max="3081" width="10.59765625" style="15" customWidth="1"/>
    <col min="3082" max="3082" width="31.59765625" style="15" bestFit="1" customWidth="1"/>
    <col min="3083" max="3326" width="9" style="15"/>
    <col min="3327" max="3327" width="8.5" style="15" customWidth="1"/>
    <col min="3328" max="3328" width="93.69921875" style="15" customWidth="1"/>
    <col min="3329" max="3329" width="0" style="15" hidden="1" customWidth="1"/>
    <col min="3330" max="3330" width="11.69921875" style="15" customWidth="1"/>
    <col min="3331" max="3331" width="13.5" style="15" customWidth="1"/>
    <col min="3332" max="3332" width="6" style="15" customWidth="1"/>
    <col min="3333" max="3333" width="5.59765625" style="15" customWidth="1"/>
    <col min="3334" max="3334" width="4.59765625" style="15" customWidth="1"/>
    <col min="3335" max="3335" width="5.5" style="15" customWidth="1"/>
    <col min="3336" max="3336" width="14" style="15" customWidth="1"/>
    <col min="3337" max="3337" width="10.59765625" style="15" customWidth="1"/>
    <col min="3338" max="3338" width="31.59765625" style="15" bestFit="1" customWidth="1"/>
    <col min="3339" max="3582" width="9" style="15"/>
    <col min="3583" max="3583" width="8.5" style="15" customWidth="1"/>
    <col min="3584" max="3584" width="93.69921875" style="15" customWidth="1"/>
    <col min="3585" max="3585" width="0" style="15" hidden="1" customWidth="1"/>
    <col min="3586" max="3586" width="11.69921875" style="15" customWidth="1"/>
    <col min="3587" max="3587" width="13.5" style="15" customWidth="1"/>
    <col min="3588" max="3588" width="6" style="15" customWidth="1"/>
    <col min="3589" max="3589" width="5.59765625" style="15" customWidth="1"/>
    <col min="3590" max="3590" width="4.59765625" style="15" customWidth="1"/>
    <col min="3591" max="3591" width="5.5" style="15" customWidth="1"/>
    <col min="3592" max="3592" width="14" style="15" customWidth="1"/>
    <col min="3593" max="3593" width="10.59765625" style="15" customWidth="1"/>
    <col min="3594" max="3594" width="31.59765625" style="15" bestFit="1" customWidth="1"/>
    <col min="3595" max="3838" width="9" style="15"/>
    <col min="3839" max="3839" width="8.5" style="15" customWidth="1"/>
    <col min="3840" max="3840" width="93.69921875" style="15" customWidth="1"/>
    <col min="3841" max="3841" width="0" style="15" hidden="1" customWidth="1"/>
    <col min="3842" max="3842" width="11.69921875" style="15" customWidth="1"/>
    <col min="3843" max="3843" width="13.5" style="15" customWidth="1"/>
    <col min="3844" max="3844" width="6" style="15" customWidth="1"/>
    <col min="3845" max="3845" width="5.59765625" style="15" customWidth="1"/>
    <col min="3846" max="3846" width="4.59765625" style="15" customWidth="1"/>
    <col min="3847" max="3847" width="5.5" style="15" customWidth="1"/>
    <col min="3848" max="3848" width="14" style="15" customWidth="1"/>
    <col min="3849" max="3849" width="10.59765625" style="15" customWidth="1"/>
    <col min="3850" max="3850" width="31.59765625" style="15" bestFit="1" customWidth="1"/>
    <col min="3851" max="4094" width="9" style="15"/>
    <col min="4095" max="4095" width="8.5" style="15" customWidth="1"/>
    <col min="4096" max="4096" width="93.69921875" style="15" customWidth="1"/>
    <col min="4097" max="4097" width="0" style="15" hidden="1" customWidth="1"/>
    <col min="4098" max="4098" width="11.69921875" style="15" customWidth="1"/>
    <col min="4099" max="4099" width="13.5" style="15" customWidth="1"/>
    <col min="4100" max="4100" width="6" style="15" customWidth="1"/>
    <col min="4101" max="4101" width="5.59765625" style="15" customWidth="1"/>
    <col min="4102" max="4102" width="4.59765625" style="15" customWidth="1"/>
    <col min="4103" max="4103" width="5.5" style="15" customWidth="1"/>
    <col min="4104" max="4104" width="14" style="15" customWidth="1"/>
    <col min="4105" max="4105" width="10.59765625" style="15" customWidth="1"/>
    <col min="4106" max="4106" width="31.59765625" style="15" bestFit="1" customWidth="1"/>
    <col min="4107" max="4350" width="9" style="15"/>
    <col min="4351" max="4351" width="8.5" style="15" customWidth="1"/>
    <col min="4352" max="4352" width="93.69921875" style="15" customWidth="1"/>
    <col min="4353" max="4353" width="0" style="15" hidden="1" customWidth="1"/>
    <col min="4354" max="4354" width="11.69921875" style="15" customWidth="1"/>
    <col min="4355" max="4355" width="13.5" style="15" customWidth="1"/>
    <col min="4356" max="4356" width="6" style="15" customWidth="1"/>
    <col min="4357" max="4357" width="5.59765625" style="15" customWidth="1"/>
    <col min="4358" max="4358" width="4.59765625" style="15" customWidth="1"/>
    <col min="4359" max="4359" width="5.5" style="15" customWidth="1"/>
    <col min="4360" max="4360" width="14" style="15" customWidth="1"/>
    <col min="4361" max="4361" width="10.59765625" style="15" customWidth="1"/>
    <col min="4362" max="4362" width="31.59765625" style="15" bestFit="1" customWidth="1"/>
    <col min="4363" max="4606" width="9" style="15"/>
    <col min="4607" max="4607" width="8.5" style="15" customWidth="1"/>
    <col min="4608" max="4608" width="93.69921875" style="15" customWidth="1"/>
    <col min="4609" max="4609" width="0" style="15" hidden="1" customWidth="1"/>
    <col min="4610" max="4610" width="11.69921875" style="15" customWidth="1"/>
    <col min="4611" max="4611" width="13.5" style="15" customWidth="1"/>
    <col min="4612" max="4612" width="6" style="15" customWidth="1"/>
    <col min="4613" max="4613" width="5.59765625" style="15" customWidth="1"/>
    <col min="4614" max="4614" width="4.59765625" style="15" customWidth="1"/>
    <col min="4615" max="4615" width="5.5" style="15" customWidth="1"/>
    <col min="4616" max="4616" width="14" style="15" customWidth="1"/>
    <col min="4617" max="4617" width="10.59765625" style="15" customWidth="1"/>
    <col min="4618" max="4618" width="31.59765625" style="15" bestFit="1" customWidth="1"/>
    <col min="4619" max="4862" width="9" style="15"/>
    <col min="4863" max="4863" width="8.5" style="15" customWidth="1"/>
    <col min="4864" max="4864" width="93.69921875" style="15" customWidth="1"/>
    <col min="4865" max="4865" width="0" style="15" hidden="1" customWidth="1"/>
    <col min="4866" max="4866" width="11.69921875" style="15" customWidth="1"/>
    <col min="4867" max="4867" width="13.5" style="15" customWidth="1"/>
    <col min="4868" max="4868" width="6" style="15" customWidth="1"/>
    <col min="4869" max="4869" width="5.59765625" style="15" customWidth="1"/>
    <col min="4870" max="4870" width="4.59765625" style="15" customWidth="1"/>
    <col min="4871" max="4871" width="5.5" style="15" customWidth="1"/>
    <col min="4872" max="4872" width="14" style="15" customWidth="1"/>
    <col min="4873" max="4873" width="10.59765625" style="15" customWidth="1"/>
    <col min="4874" max="4874" width="31.59765625" style="15" bestFit="1" customWidth="1"/>
    <col min="4875" max="5118" width="9" style="15"/>
    <col min="5119" max="5119" width="8.5" style="15" customWidth="1"/>
    <col min="5120" max="5120" width="93.69921875" style="15" customWidth="1"/>
    <col min="5121" max="5121" width="0" style="15" hidden="1" customWidth="1"/>
    <col min="5122" max="5122" width="11.69921875" style="15" customWidth="1"/>
    <col min="5123" max="5123" width="13.5" style="15" customWidth="1"/>
    <col min="5124" max="5124" width="6" style="15" customWidth="1"/>
    <col min="5125" max="5125" width="5.59765625" style="15" customWidth="1"/>
    <col min="5126" max="5126" width="4.59765625" style="15" customWidth="1"/>
    <col min="5127" max="5127" width="5.5" style="15" customWidth="1"/>
    <col min="5128" max="5128" width="14" style="15" customWidth="1"/>
    <col min="5129" max="5129" width="10.59765625" style="15" customWidth="1"/>
    <col min="5130" max="5130" width="31.59765625" style="15" bestFit="1" customWidth="1"/>
    <col min="5131" max="5374" width="9" style="15"/>
    <col min="5375" max="5375" width="8.5" style="15" customWidth="1"/>
    <col min="5376" max="5376" width="93.69921875" style="15" customWidth="1"/>
    <col min="5377" max="5377" width="0" style="15" hidden="1" customWidth="1"/>
    <col min="5378" max="5378" width="11.69921875" style="15" customWidth="1"/>
    <col min="5379" max="5379" width="13.5" style="15" customWidth="1"/>
    <col min="5380" max="5380" width="6" style="15" customWidth="1"/>
    <col min="5381" max="5381" width="5.59765625" style="15" customWidth="1"/>
    <col min="5382" max="5382" width="4.59765625" style="15" customWidth="1"/>
    <col min="5383" max="5383" width="5.5" style="15" customWidth="1"/>
    <col min="5384" max="5384" width="14" style="15" customWidth="1"/>
    <col min="5385" max="5385" width="10.59765625" style="15" customWidth="1"/>
    <col min="5386" max="5386" width="31.59765625" style="15" bestFit="1" customWidth="1"/>
    <col min="5387" max="5630" width="9" style="15"/>
    <col min="5631" max="5631" width="8.5" style="15" customWidth="1"/>
    <col min="5632" max="5632" width="93.69921875" style="15" customWidth="1"/>
    <col min="5633" max="5633" width="0" style="15" hidden="1" customWidth="1"/>
    <col min="5634" max="5634" width="11.69921875" style="15" customWidth="1"/>
    <col min="5635" max="5635" width="13.5" style="15" customWidth="1"/>
    <col min="5636" max="5636" width="6" style="15" customWidth="1"/>
    <col min="5637" max="5637" width="5.59765625" style="15" customWidth="1"/>
    <col min="5638" max="5638" width="4.59765625" style="15" customWidth="1"/>
    <col min="5639" max="5639" width="5.5" style="15" customWidth="1"/>
    <col min="5640" max="5640" width="14" style="15" customWidth="1"/>
    <col min="5641" max="5641" width="10.59765625" style="15" customWidth="1"/>
    <col min="5642" max="5642" width="31.59765625" style="15" bestFit="1" customWidth="1"/>
    <col min="5643" max="5886" width="9" style="15"/>
    <col min="5887" max="5887" width="8.5" style="15" customWidth="1"/>
    <col min="5888" max="5888" width="93.69921875" style="15" customWidth="1"/>
    <col min="5889" max="5889" width="0" style="15" hidden="1" customWidth="1"/>
    <col min="5890" max="5890" width="11.69921875" style="15" customWidth="1"/>
    <col min="5891" max="5891" width="13.5" style="15" customWidth="1"/>
    <col min="5892" max="5892" width="6" style="15" customWidth="1"/>
    <col min="5893" max="5893" width="5.59765625" style="15" customWidth="1"/>
    <col min="5894" max="5894" width="4.59765625" style="15" customWidth="1"/>
    <col min="5895" max="5895" width="5.5" style="15" customWidth="1"/>
    <col min="5896" max="5896" width="14" style="15" customWidth="1"/>
    <col min="5897" max="5897" width="10.59765625" style="15" customWidth="1"/>
    <col min="5898" max="5898" width="31.59765625" style="15" bestFit="1" customWidth="1"/>
    <col min="5899" max="6142" width="9" style="15"/>
    <col min="6143" max="6143" width="8.5" style="15" customWidth="1"/>
    <col min="6144" max="6144" width="93.69921875" style="15" customWidth="1"/>
    <col min="6145" max="6145" width="0" style="15" hidden="1" customWidth="1"/>
    <col min="6146" max="6146" width="11.69921875" style="15" customWidth="1"/>
    <col min="6147" max="6147" width="13.5" style="15" customWidth="1"/>
    <col min="6148" max="6148" width="6" style="15" customWidth="1"/>
    <col min="6149" max="6149" width="5.59765625" style="15" customWidth="1"/>
    <col min="6150" max="6150" width="4.59765625" style="15" customWidth="1"/>
    <col min="6151" max="6151" width="5.5" style="15" customWidth="1"/>
    <col min="6152" max="6152" width="14" style="15" customWidth="1"/>
    <col min="6153" max="6153" width="10.59765625" style="15" customWidth="1"/>
    <col min="6154" max="6154" width="31.59765625" style="15" bestFit="1" customWidth="1"/>
    <col min="6155" max="6398" width="9" style="15"/>
    <col min="6399" max="6399" width="8.5" style="15" customWidth="1"/>
    <col min="6400" max="6400" width="93.69921875" style="15" customWidth="1"/>
    <col min="6401" max="6401" width="0" style="15" hidden="1" customWidth="1"/>
    <col min="6402" max="6402" width="11.69921875" style="15" customWidth="1"/>
    <col min="6403" max="6403" width="13.5" style="15" customWidth="1"/>
    <col min="6404" max="6404" width="6" style="15" customWidth="1"/>
    <col min="6405" max="6405" width="5.59765625" style="15" customWidth="1"/>
    <col min="6406" max="6406" width="4.59765625" style="15" customWidth="1"/>
    <col min="6407" max="6407" width="5.5" style="15" customWidth="1"/>
    <col min="6408" max="6408" width="14" style="15" customWidth="1"/>
    <col min="6409" max="6409" width="10.59765625" style="15" customWidth="1"/>
    <col min="6410" max="6410" width="31.59765625" style="15" bestFit="1" customWidth="1"/>
    <col min="6411" max="6654" width="9" style="15"/>
    <col min="6655" max="6655" width="8.5" style="15" customWidth="1"/>
    <col min="6656" max="6656" width="93.69921875" style="15" customWidth="1"/>
    <col min="6657" max="6657" width="0" style="15" hidden="1" customWidth="1"/>
    <col min="6658" max="6658" width="11.69921875" style="15" customWidth="1"/>
    <col min="6659" max="6659" width="13.5" style="15" customWidth="1"/>
    <col min="6660" max="6660" width="6" style="15" customWidth="1"/>
    <col min="6661" max="6661" width="5.59765625" style="15" customWidth="1"/>
    <col min="6662" max="6662" width="4.59765625" style="15" customWidth="1"/>
    <col min="6663" max="6663" width="5.5" style="15" customWidth="1"/>
    <col min="6664" max="6664" width="14" style="15" customWidth="1"/>
    <col min="6665" max="6665" width="10.59765625" style="15" customWidth="1"/>
    <col min="6666" max="6666" width="31.59765625" style="15" bestFit="1" customWidth="1"/>
    <col min="6667" max="6910" width="9" style="15"/>
    <col min="6911" max="6911" width="8.5" style="15" customWidth="1"/>
    <col min="6912" max="6912" width="93.69921875" style="15" customWidth="1"/>
    <col min="6913" max="6913" width="0" style="15" hidden="1" customWidth="1"/>
    <col min="6914" max="6914" width="11.69921875" style="15" customWidth="1"/>
    <col min="6915" max="6915" width="13.5" style="15" customWidth="1"/>
    <col min="6916" max="6916" width="6" style="15" customWidth="1"/>
    <col min="6917" max="6917" width="5.59765625" style="15" customWidth="1"/>
    <col min="6918" max="6918" width="4.59765625" style="15" customWidth="1"/>
    <col min="6919" max="6919" width="5.5" style="15" customWidth="1"/>
    <col min="6920" max="6920" width="14" style="15" customWidth="1"/>
    <col min="6921" max="6921" width="10.59765625" style="15" customWidth="1"/>
    <col min="6922" max="6922" width="31.59765625" style="15" bestFit="1" customWidth="1"/>
    <col min="6923" max="7166" width="9" style="15"/>
    <col min="7167" max="7167" width="8.5" style="15" customWidth="1"/>
    <col min="7168" max="7168" width="93.69921875" style="15" customWidth="1"/>
    <col min="7169" max="7169" width="0" style="15" hidden="1" customWidth="1"/>
    <col min="7170" max="7170" width="11.69921875" style="15" customWidth="1"/>
    <col min="7171" max="7171" width="13.5" style="15" customWidth="1"/>
    <col min="7172" max="7172" width="6" style="15" customWidth="1"/>
    <col min="7173" max="7173" width="5.59765625" style="15" customWidth="1"/>
    <col min="7174" max="7174" width="4.59765625" style="15" customWidth="1"/>
    <col min="7175" max="7175" width="5.5" style="15" customWidth="1"/>
    <col min="7176" max="7176" width="14" style="15" customWidth="1"/>
    <col min="7177" max="7177" width="10.59765625" style="15" customWidth="1"/>
    <col min="7178" max="7178" width="31.59765625" style="15" bestFit="1" customWidth="1"/>
    <col min="7179" max="7422" width="9" style="15"/>
    <col min="7423" max="7423" width="8.5" style="15" customWidth="1"/>
    <col min="7424" max="7424" width="93.69921875" style="15" customWidth="1"/>
    <col min="7425" max="7425" width="0" style="15" hidden="1" customWidth="1"/>
    <col min="7426" max="7426" width="11.69921875" style="15" customWidth="1"/>
    <col min="7427" max="7427" width="13.5" style="15" customWidth="1"/>
    <col min="7428" max="7428" width="6" style="15" customWidth="1"/>
    <col min="7429" max="7429" width="5.59765625" style="15" customWidth="1"/>
    <col min="7430" max="7430" width="4.59765625" style="15" customWidth="1"/>
    <col min="7431" max="7431" width="5.5" style="15" customWidth="1"/>
    <col min="7432" max="7432" width="14" style="15" customWidth="1"/>
    <col min="7433" max="7433" width="10.59765625" style="15" customWidth="1"/>
    <col min="7434" max="7434" width="31.59765625" style="15" bestFit="1" customWidth="1"/>
    <col min="7435" max="7678" width="9" style="15"/>
    <col min="7679" max="7679" width="8.5" style="15" customWidth="1"/>
    <col min="7680" max="7680" width="93.69921875" style="15" customWidth="1"/>
    <col min="7681" max="7681" width="0" style="15" hidden="1" customWidth="1"/>
    <col min="7682" max="7682" width="11.69921875" style="15" customWidth="1"/>
    <col min="7683" max="7683" width="13.5" style="15" customWidth="1"/>
    <col min="7684" max="7684" width="6" style="15" customWidth="1"/>
    <col min="7685" max="7685" width="5.59765625" style="15" customWidth="1"/>
    <col min="7686" max="7686" width="4.59765625" style="15" customWidth="1"/>
    <col min="7687" max="7687" width="5.5" style="15" customWidth="1"/>
    <col min="7688" max="7688" width="14" style="15" customWidth="1"/>
    <col min="7689" max="7689" width="10.59765625" style="15" customWidth="1"/>
    <col min="7690" max="7690" width="31.59765625" style="15" bestFit="1" customWidth="1"/>
    <col min="7691" max="7934" width="9" style="15"/>
    <col min="7935" max="7935" width="8.5" style="15" customWidth="1"/>
    <col min="7936" max="7936" width="93.69921875" style="15" customWidth="1"/>
    <col min="7937" max="7937" width="0" style="15" hidden="1" customWidth="1"/>
    <col min="7938" max="7938" width="11.69921875" style="15" customWidth="1"/>
    <col min="7939" max="7939" width="13.5" style="15" customWidth="1"/>
    <col min="7940" max="7940" width="6" style="15" customWidth="1"/>
    <col min="7941" max="7941" width="5.59765625" style="15" customWidth="1"/>
    <col min="7942" max="7942" width="4.59765625" style="15" customWidth="1"/>
    <col min="7943" max="7943" width="5.5" style="15" customWidth="1"/>
    <col min="7944" max="7944" width="14" style="15" customWidth="1"/>
    <col min="7945" max="7945" width="10.59765625" style="15" customWidth="1"/>
    <col min="7946" max="7946" width="31.59765625" style="15" bestFit="1" customWidth="1"/>
    <col min="7947" max="8190" width="9" style="15"/>
    <col min="8191" max="8191" width="8.5" style="15" customWidth="1"/>
    <col min="8192" max="8192" width="93.69921875" style="15" customWidth="1"/>
    <col min="8193" max="8193" width="0" style="15" hidden="1" customWidth="1"/>
    <col min="8194" max="8194" width="11.69921875" style="15" customWidth="1"/>
    <col min="8195" max="8195" width="13.5" style="15" customWidth="1"/>
    <col min="8196" max="8196" width="6" style="15" customWidth="1"/>
    <col min="8197" max="8197" width="5.59765625" style="15" customWidth="1"/>
    <col min="8198" max="8198" width="4.59765625" style="15" customWidth="1"/>
    <col min="8199" max="8199" width="5.5" style="15" customWidth="1"/>
    <col min="8200" max="8200" width="14" style="15" customWidth="1"/>
    <col min="8201" max="8201" width="10.59765625" style="15" customWidth="1"/>
    <col min="8202" max="8202" width="31.59765625" style="15" bestFit="1" customWidth="1"/>
    <col min="8203" max="8446" width="9" style="15"/>
    <col min="8447" max="8447" width="8.5" style="15" customWidth="1"/>
    <col min="8448" max="8448" width="93.69921875" style="15" customWidth="1"/>
    <col min="8449" max="8449" width="0" style="15" hidden="1" customWidth="1"/>
    <col min="8450" max="8450" width="11.69921875" style="15" customWidth="1"/>
    <col min="8451" max="8451" width="13.5" style="15" customWidth="1"/>
    <col min="8452" max="8452" width="6" style="15" customWidth="1"/>
    <col min="8453" max="8453" width="5.59765625" style="15" customWidth="1"/>
    <col min="8454" max="8454" width="4.59765625" style="15" customWidth="1"/>
    <col min="8455" max="8455" width="5.5" style="15" customWidth="1"/>
    <col min="8456" max="8456" width="14" style="15" customWidth="1"/>
    <col min="8457" max="8457" width="10.59765625" style="15" customWidth="1"/>
    <col min="8458" max="8458" width="31.59765625" style="15" bestFit="1" customWidth="1"/>
    <col min="8459" max="8702" width="9" style="15"/>
    <col min="8703" max="8703" width="8.5" style="15" customWidth="1"/>
    <col min="8704" max="8704" width="93.69921875" style="15" customWidth="1"/>
    <col min="8705" max="8705" width="0" style="15" hidden="1" customWidth="1"/>
    <col min="8706" max="8706" width="11.69921875" style="15" customWidth="1"/>
    <col min="8707" max="8707" width="13.5" style="15" customWidth="1"/>
    <col min="8708" max="8708" width="6" style="15" customWidth="1"/>
    <col min="8709" max="8709" width="5.59765625" style="15" customWidth="1"/>
    <col min="8710" max="8710" width="4.59765625" style="15" customWidth="1"/>
    <col min="8711" max="8711" width="5.5" style="15" customWidth="1"/>
    <col min="8712" max="8712" width="14" style="15" customWidth="1"/>
    <col min="8713" max="8713" width="10.59765625" style="15" customWidth="1"/>
    <col min="8714" max="8714" width="31.59765625" style="15" bestFit="1" customWidth="1"/>
    <col min="8715" max="8958" width="9" style="15"/>
    <col min="8959" max="8959" width="8.5" style="15" customWidth="1"/>
    <col min="8960" max="8960" width="93.69921875" style="15" customWidth="1"/>
    <col min="8961" max="8961" width="0" style="15" hidden="1" customWidth="1"/>
    <col min="8962" max="8962" width="11.69921875" style="15" customWidth="1"/>
    <col min="8963" max="8963" width="13.5" style="15" customWidth="1"/>
    <col min="8964" max="8964" width="6" style="15" customWidth="1"/>
    <col min="8965" max="8965" width="5.59765625" style="15" customWidth="1"/>
    <col min="8966" max="8966" width="4.59765625" style="15" customWidth="1"/>
    <col min="8967" max="8967" width="5.5" style="15" customWidth="1"/>
    <col min="8968" max="8968" width="14" style="15" customWidth="1"/>
    <col min="8969" max="8969" width="10.59765625" style="15" customWidth="1"/>
    <col min="8970" max="8970" width="31.59765625" style="15" bestFit="1" customWidth="1"/>
    <col min="8971" max="9214" width="9" style="15"/>
    <col min="9215" max="9215" width="8.5" style="15" customWidth="1"/>
    <col min="9216" max="9216" width="93.69921875" style="15" customWidth="1"/>
    <col min="9217" max="9217" width="0" style="15" hidden="1" customWidth="1"/>
    <col min="9218" max="9218" width="11.69921875" style="15" customWidth="1"/>
    <col min="9219" max="9219" width="13.5" style="15" customWidth="1"/>
    <col min="9220" max="9220" width="6" style="15" customWidth="1"/>
    <col min="9221" max="9221" width="5.59765625" style="15" customWidth="1"/>
    <col min="9222" max="9222" width="4.59765625" style="15" customWidth="1"/>
    <col min="9223" max="9223" width="5.5" style="15" customWidth="1"/>
    <col min="9224" max="9224" width="14" style="15" customWidth="1"/>
    <col min="9225" max="9225" width="10.59765625" style="15" customWidth="1"/>
    <col min="9226" max="9226" width="31.59765625" style="15" bestFit="1" customWidth="1"/>
    <col min="9227" max="9470" width="9" style="15"/>
    <col min="9471" max="9471" width="8.5" style="15" customWidth="1"/>
    <col min="9472" max="9472" width="93.69921875" style="15" customWidth="1"/>
    <col min="9473" max="9473" width="0" style="15" hidden="1" customWidth="1"/>
    <col min="9474" max="9474" width="11.69921875" style="15" customWidth="1"/>
    <col min="9475" max="9475" width="13.5" style="15" customWidth="1"/>
    <col min="9476" max="9476" width="6" style="15" customWidth="1"/>
    <col min="9477" max="9477" width="5.59765625" style="15" customWidth="1"/>
    <col min="9478" max="9478" width="4.59765625" style="15" customWidth="1"/>
    <col min="9479" max="9479" width="5.5" style="15" customWidth="1"/>
    <col min="9480" max="9480" width="14" style="15" customWidth="1"/>
    <col min="9481" max="9481" width="10.59765625" style="15" customWidth="1"/>
    <col min="9482" max="9482" width="31.59765625" style="15" bestFit="1" customWidth="1"/>
    <col min="9483" max="9726" width="9" style="15"/>
    <col min="9727" max="9727" width="8.5" style="15" customWidth="1"/>
    <col min="9728" max="9728" width="93.69921875" style="15" customWidth="1"/>
    <col min="9729" max="9729" width="0" style="15" hidden="1" customWidth="1"/>
    <col min="9730" max="9730" width="11.69921875" style="15" customWidth="1"/>
    <col min="9731" max="9731" width="13.5" style="15" customWidth="1"/>
    <col min="9732" max="9732" width="6" style="15" customWidth="1"/>
    <col min="9733" max="9733" width="5.59765625" style="15" customWidth="1"/>
    <col min="9734" max="9734" width="4.59765625" style="15" customWidth="1"/>
    <col min="9735" max="9735" width="5.5" style="15" customWidth="1"/>
    <col min="9736" max="9736" width="14" style="15" customWidth="1"/>
    <col min="9737" max="9737" width="10.59765625" style="15" customWidth="1"/>
    <col min="9738" max="9738" width="31.59765625" style="15" bestFit="1" customWidth="1"/>
    <col min="9739" max="9982" width="9" style="15"/>
    <col min="9983" max="9983" width="8.5" style="15" customWidth="1"/>
    <col min="9984" max="9984" width="93.69921875" style="15" customWidth="1"/>
    <col min="9985" max="9985" width="0" style="15" hidden="1" customWidth="1"/>
    <col min="9986" max="9986" width="11.69921875" style="15" customWidth="1"/>
    <col min="9987" max="9987" width="13.5" style="15" customWidth="1"/>
    <col min="9988" max="9988" width="6" style="15" customWidth="1"/>
    <col min="9989" max="9989" width="5.59765625" style="15" customWidth="1"/>
    <col min="9990" max="9990" width="4.59765625" style="15" customWidth="1"/>
    <col min="9991" max="9991" width="5.5" style="15" customWidth="1"/>
    <col min="9992" max="9992" width="14" style="15" customWidth="1"/>
    <col min="9993" max="9993" width="10.59765625" style="15" customWidth="1"/>
    <col min="9994" max="9994" width="31.59765625" style="15" bestFit="1" customWidth="1"/>
    <col min="9995" max="10238" width="9" style="15"/>
    <col min="10239" max="10239" width="8.5" style="15" customWidth="1"/>
    <col min="10240" max="10240" width="93.69921875" style="15" customWidth="1"/>
    <col min="10241" max="10241" width="0" style="15" hidden="1" customWidth="1"/>
    <col min="10242" max="10242" width="11.69921875" style="15" customWidth="1"/>
    <col min="10243" max="10243" width="13.5" style="15" customWidth="1"/>
    <col min="10244" max="10244" width="6" style="15" customWidth="1"/>
    <col min="10245" max="10245" width="5.59765625" style="15" customWidth="1"/>
    <col min="10246" max="10246" width="4.59765625" style="15" customWidth="1"/>
    <col min="10247" max="10247" width="5.5" style="15" customWidth="1"/>
    <col min="10248" max="10248" width="14" style="15" customWidth="1"/>
    <col min="10249" max="10249" width="10.59765625" style="15" customWidth="1"/>
    <col min="10250" max="10250" width="31.59765625" style="15" bestFit="1" customWidth="1"/>
    <col min="10251" max="10494" width="9" style="15"/>
    <col min="10495" max="10495" width="8.5" style="15" customWidth="1"/>
    <col min="10496" max="10496" width="93.69921875" style="15" customWidth="1"/>
    <col min="10497" max="10497" width="0" style="15" hidden="1" customWidth="1"/>
    <col min="10498" max="10498" width="11.69921875" style="15" customWidth="1"/>
    <col min="10499" max="10499" width="13.5" style="15" customWidth="1"/>
    <col min="10500" max="10500" width="6" style="15" customWidth="1"/>
    <col min="10501" max="10501" width="5.59765625" style="15" customWidth="1"/>
    <col min="10502" max="10502" width="4.59765625" style="15" customWidth="1"/>
    <col min="10503" max="10503" width="5.5" style="15" customWidth="1"/>
    <col min="10504" max="10504" width="14" style="15" customWidth="1"/>
    <col min="10505" max="10505" width="10.59765625" style="15" customWidth="1"/>
    <col min="10506" max="10506" width="31.59765625" style="15" bestFit="1" customWidth="1"/>
    <col min="10507" max="10750" width="9" style="15"/>
    <col min="10751" max="10751" width="8.5" style="15" customWidth="1"/>
    <col min="10752" max="10752" width="93.69921875" style="15" customWidth="1"/>
    <col min="10753" max="10753" width="0" style="15" hidden="1" customWidth="1"/>
    <col min="10754" max="10754" width="11.69921875" style="15" customWidth="1"/>
    <col min="10755" max="10755" width="13.5" style="15" customWidth="1"/>
    <col min="10756" max="10756" width="6" style="15" customWidth="1"/>
    <col min="10757" max="10757" width="5.59765625" style="15" customWidth="1"/>
    <col min="10758" max="10758" width="4.59765625" style="15" customWidth="1"/>
    <col min="10759" max="10759" width="5.5" style="15" customWidth="1"/>
    <col min="10760" max="10760" width="14" style="15" customWidth="1"/>
    <col min="10761" max="10761" width="10.59765625" style="15" customWidth="1"/>
    <col min="10762" max="10762" width="31.59765625" style="15" bestFit="1" customWidth="1"/>
    <col min="10763" max="11006" width="9" style="15"/>
    <col min="11007" max="11007" width="8.5" style="15" customWidth="1"/>
    <col min="11008" max="11008" width="93.69921875" style="15" customWidth="1"/>
    <col min="11009" max="11009" width="0" style="15" hidden="1" customWidth="1"/>
    <col min="11010" max="11010" width="11.69921875" style="15" customWidth="1"/>
    <col min="11011" max="11011" width="13.5" style="15" customWidth="1"/>
    <col min="11012" max="11012" width="6" style="15" customWidth="1"/>
    <col min="11013" max="11013" width="5.59765625" style="15" customWidth="1"/>
    <col min="11014" max="11014" width="4.59765625" style="15" customWidth="1"/>
    <col min="11015" max="11015" width="5.5" style="15" customWidth="1"/>
    <col min="11016" max="11016" width="14" style="15" customWidth="1"/>
    <col min="11017" max="11017" width="10.59765625" style="15" customWidth="1"/>
    <col min="11018" max="11018" width="31.59765625" style="15" bestFit="1" customWidth="1"/>
    <col min="11019" max="11262" width="9" style="15"/>
    <col min="11263" max="11263" width="8.5" style="15" customWidth="1"/>
    <col min="11264" max="11264" width="93.69921875" style="15" customWidth="1"/>
    <col min="11265" max="11265" width="0" style="15" hidden="1" customWidth="1"/>
    <col min="11266" max="11266" width="11.69921875" style="15" customWidth="1"/>
    <col min="11267" max="11267" width="13.5" style="15" customWidth="1"/>
    <col min="11268" max="11268" width="6" style="15" customWidth="1"/>
    <col min="11269" max="11269" width="5.59765625" style="15" customWidth="1"/>
    <col min="11270" max="11270" width="4.59765625" style="15" customWidth="1"/>
    <col min="11271" max="11271" width="5.5" style="15" customWidth="1"/>
    <col min="11272" max="11272" width="14" style="15" customWidth="1"/>
    <col min="11273" max="11273" width="10.59765625" style="15" customWidth="1"/>
    <col min="11274" max="11274" width="31.59765625" style="15" bestFit="1" customWidth="1"/>
    <col min="11275" max="11518" width="9" style="15"/>
    <col min="11519" max="11519" width="8.5" style="15" customWidth="1"/>
    <col min="11520" max="11520" width="93.69921875" style="15" customWidth="1"/>
    <col min="11521" max="11521" width="0" style="15" hidden="1" customWidth="1"/>
    <col min="11522" max="11522" width="11.69921875" style="15" customWidth="1"/>
    <col min="11523" max="11523" width="13.5" style="15" customWidth="1"/>
    <col min="11524" max="11524" width="6" style="15" customWidth="1"/>
    <col min="11525" max="11525" width="5.59765625" style="15" customWidth="1"/>
    <col min="11526" max="11526" width="4.59765625" style="15" customWidth="1"/>
    <col min="11527" max="11527" width="5.5" style="15" customWidth="1"/>
    <col min="11528" max="11528" width="14" style="15" customWidth="1"/>
    <col min="11529" max="11529" width="10.59765625" style="15" customWidth="1"/>
    <col min="11530" max="11530" width="31.59765625" style="15" bestFit="1" customWidth="1"/>
    <col min="11531" max="11774" width="9" style="15"/>
    <col min="11775" max="11775" width="8.5" style="15" customWidth="1"/>
    <col min="11776" max="11776" width="93.69921875" style="15" customWidth="1"/>
    <col min="11777" max="11777" width="0" style="15" hidden="1" customWidth="1"/>
    <col min="11778" max="11778" width="11.69921875" style="15" customWidth="1"/>
    <col min="11779" max="11779" width="13.5" style="15" customWidth="1"/>
    <col min="11780" max="11780" width="6" style="15" customWidth="1"/>
    <col min="11781" max="11781" width="5.59765625" style="15" customWidth="1"/>
    <col min="11782" max="11782" width="4.59765625" style="15" customWidth="1"/>
    <col min="11783" max="11783" width="5.5" style="15" customWidth="1"/>
    <col min="11784" max="11784" width="14" style="15" customWidth="1"/>
    <col min="11785" max="11785" width="10.59765625" style="15" customWidth="1"/>
    <col min="11786" max="11786" width="31.59765625" style="15" bestFit="1" customWidth="1"/>
    <col min="11787" max="12030" width="9" style="15"/>
    <col min="12031" max="12031" width="8.5" style="15" customWidth="1"/>
    <col min="12032" max="12032" width="93.69921875" style="15" customWidth="1"/>
    <col min="12033" max="12033" width="0" style="15" hidden="1" customWidth="1"/>
    <col min="12034" max="12034" width="11.69921875" style="15" customWidth="1"/>
    <col min="12035" max="12035" width="13.5" style="15" customWidth="1"/>
    <col min="12036" max="12036" width="6" style="15" customWidth="1"/>
    <col min="12037" max="12037" width="5.59765625" style="15" customWidth="1"/>
    <col min="12038" max="12038" width="4.59765625" style="15" customWidth="1"/>
    <col min="12039" max="12039" width="5.5" style="15" customWidth="1"/>
    <col min="12040" max="12040" width="14" style="15" customWidth="1"/>
    <col min="12041" max="12041" width="10.59765625" style="15" customWidth="1"/>
    <col min="12042" max="12042" width="31.59765625" style="15" bestFit="1" customWidth="1"/>
    <col min="12043" max="12286" width="9" style="15"/>
    <col min="12287" max="12287" width="8.5" style="15" customWidth="1"/>
    <col min="12288" max="12288" width="93.69921875" style="15" customWidth="1"/>
    <col min="12289" max="12289" width="0" style="15" hidden="1" customWidth="1"/>
    <col min="12290" max="12290" width="11.69921875" style="15" customWidth="1"/>
    <col min="12291" max="12291" width="13.5" style="15" customWidth="1"/>
    <col min="12292" max="12292" width="6" style="15" customWidth="1"/>
    <col min="12293" max="12293" width="5.59765625" style="15" customWidth="1"/>
    <col min="12294" max="12294" width="4.59765625" style="15" customWidth="1"/>
    <col min="12295" max="12295" width="5.5" style="15" customWidth="1"/>
    <col min="12296" max="12296" width="14" style="15" customWidth="1"/>
    <col min="12297" max="12297" width="10.59765625" style="15" customWidth="1"/>
    <col min="12298" max="12298" width="31.59765625" style="15" bestFit="1" customWidth="1"/>
    <col min="12299" max="12542" width="9" style="15"/>
    <col min="12543" max="12543" width="8.5" style="15" customWidth="1"/>
    <col min="12544" max="12544" width="93.69921875" style="15" customWidth="1"/>
    <col min="12545" max="12545" width="0" style="15" hidden="1" customWidth="1"/>
    <col min="12546" max="12546" width="11.69921875" style="15" customWidth="1"/>
    <col min="12547" max="12547" width="13.5" style="15" customWidth="1"/>
    <col min="12548" max="12548" width="6" style="15" customWidth="1"/>
    <col min="12549" max="12549" width="5.59765625" style="15" customWidth="1"/>
    <col min="12550" max="12550" width="4.59765625" style="15" customWidth="1"/>
    <col min="12551" max="12551" width="5.5" style="15" customWidth="1"/>
    <col min="12552" max="12552" width="14" style="15" customWidth="1"/>
    <col min="12553" max="12553" width="10.59765625" style="15" customWidth="1"/>
    <col min="12554" max="12554" width="31.59765625" style="15" bestFit="1" customWidth="1"/>
    <col min="12555" max="12798" width="9" style="15"/>
    <col min="12799" max="12799" width="8.5" style="15" customWidth="1"/>
    <col min="12800" max="12800" width="93.69921875" style="15" customWidth="1"/>
    <col min="12801" max="12801" width="0" style="15" hidden="1" customWidth="1"/>
    <col min="12802" max="12802" width="11.69921875" style="15" customWidth="1"/>
    <col min="12803" max="12803" width="13.5" style="15" customWidth="1"/>
    <col min="12804" max="12804" width="6" style="15" customWidth="1"/>
    <col min="12805" max="12805" width="5.59765625" style="15" customWidth="1"/>
    <col min="12806" max="12806" width="4.59765625" style="15" customWidth="1"/>
    <col min="12807" max="12807" width="5.5" style="15" customWidth="1"/>
    <col min="12808" max="12808" width="14" style="15" customWidth="1"/>
    <col min="12809" max="12809" width="10.59765625" style="15" customWidth="1"/>
    <col min="12810" max="12810" width="31.59765625" style="15" bestFit="1" customWidth="1"/>
    <col min="12811" max="13054" width="9" style="15"/>
    <col min="13055" max="13055" width="8.5" style="15" customWidth="1"/>
    <col min="13056" max="13056" width="93.69921875" style="15" customWidth="1"/>
    <col min="13057" max="13057" width="0" style="15" hidden="1" customWidth="1"/>
    <col min="13058" max="13058" width="11.69921875" style="15" customWidth="1"/>
    <col min="13059" max="13059" width="13.5" style="15" customWidth="1"/>
    <col min="13060" max="13060" width="6" style="15" customWidth="1"/>
    <col min="13061" max="13061" width="5.59765625" style="15" customWidth="1"/>
    <col min="13062" max="13062" width="4.59765625" style="15" customWidth="1"/>
    <col min="13063" max="13063" width="5.5" style="15" customWidth="1"/>
    <col min="13064" max="13064" width="14" style="15" customWidth="1"/>
    <col min="13065" max="13065" width="10.59765625" style="15" customWidth="1"/>
    <col min="13066" max="13066" width="31.59765625" style="15" bestFit="1" customWidth="1"/>
    <col min="13067" max="13310" width="9" style="15"/>
    <col min="13311" max="13311" width="8.5" style="15" customWidth="1"/>
    <col min="13312" max="13312" width="93.69921875" style="15" customWidth="1"/>
    <col min="13313" max="13313" width="0" style="15" hidden="1" customWidth="1"/>
    <col min="13314" max="13314" width="11.69921875" style="15" customWidth="1"/>
    <col min="13315" max="13315" width="13.5" style="15" customWidth="1"/>
    <col min="13316" max="13316" width="6" style="15" customWidth="1"/>
    <col min="13317" max="13317" width="5.59765625" style="15" customWidth="1"/>
    <col min="13318" max="13318" width="4.59765625" style="15" customWidth="1"/>
    <col min="13319" max="13319" width="5.5" style="15" customWidth="1"/>
    <col min="13320" max="13320" width="14" style="15" customWidth="1"/>
    <col min="13321" max="13321" width="10.59765625" style="15" customWidth="1"/>
    <col min="13322" max="13322" width="31.59765625" style="15" bestFit="1" customWidth="1"/>
    <col min="13323" max="13566" width="9" style="15"/>
    <col min="13567" max="13567" width="8.5" style="15" customWidth="1"/>
    <col min="13568" max="13568" width="93.69921875" style="15" customWidth="1"/>
    <col min="13569" max="13569" width="0" style="15" hidden="1" customWidth="1"/>
    <col min="13570" max="13570" width="11.69921875" style="15" customWidth="1"/>
    <col min="13571" max="13571" width="13.5" style="15" customWidth="1"/>
    <col min="13572" max="13572" width="6" style="15" customWidth="1"/>
    <col min="13573" max="13573" width="5.59765625" style="15" customWidth="1"/>
    <col min="13574" max="13574" width="4.59765625" style="15" customWidth="1"/>
    <col min="13575" max="13575" width="5.5" style="15" customWidth="1"/>
    <col min="13576" max="13576" width="14" style="15" customWidth="1"/>
    <col min="13577" max="13577" width="10.59765625" style="15" customWidth="1"/>
    <col min="13578" max="13578" width="31.59765625" style="15" bestFit="1" customWidth="1"/>
    <col min="13579" max="13822" width="9" style="15"/>
    <col min="13823" max="13823" width="8.5" style="15" customWidth="1"/>
    <col min="13824" max="13824" width="93.69921875" style="15" customWidth="1"/>
    <col min="13825" max="13825" width="0" style="15" hidden="1" customWidth="1"/>
    <col min="13826" max="13826" width="11.69921875" style="15" customWidth="1"/>
    <col min="13827" max="13827" width="13.5" style="15" customWidth="1"/>
    <col min="13828" max="13828" width="6" style="15" customWidth="1"/>
    <col min="13829" max="13829" width="5.59765625" style="15" customWidth="1"/>
    <col min="13830" max="13830" width="4.59765625" style="15" customWidth="1"/>
    <col min="13831" max="13831" width="5.5" style="15" customWidth="1"/>
    <col min="13832" max="13832" width="14" style="15" customWidth="1"/>
    <col min="13833" max="13833" width="10.59765625" style="15" customWidth="1"/>
    <col min="13834" max="13834" width="31.59765625" style="15" bestFit="1" customWidth="1"/>
    <col min="13835" max="14078" width="9" style="15"/>
    <col min="14079" max="14079" width="8.5" style="15" customWidth="1"/>
    <col min="14080" max="14080" width="93.69921875" style="15" customWidth="1"/>
    <col min="14081" max="14081" width="0" style="15" hidden="1" customWidth="1"/>
    <col min="14082" max="14082" width="11.69921875" style="15" customWidth="1"/>
    <col min="14083" max="14083" width="13.5" style="15" customWidth="1"/>
    <col min="14084" max="14084" width="6" style="15" customWidth="1"/>
    <col min="14085" max="14085" width="5.59765625" style="15" customWidth="1"/>
    <col min="14086" max="14086" width="4.59765625" style="15" customWidth="1"/>
    <col min="14087" max="14087" width="5.5" style="15" customWidth="1"/>
    <col min="14088" max="14088" width="14" style="15" customWidth="1"/>
    <col min="14089" max="14089" width="10.59765625" style="15" customWidth="1"/>
    <col min="14090" max="14090" width="31.59765625" style="15" bestFit="1" customWidth="1"/>
    <col min="14091" max="14334" width="9" style="15"/>
    <col min="14335" max="14335" width="8.5" style="15" customWidth="1"/>
    <col min="14336" max="14336" width="93.69921875" style="15" customWidth="1"/>
    <col min="14337" max="14337" width="0" style="15" hidden="1" customWidth="1"/>
    <col min="14338" max="14338" width="11.69921875" style="15" customWidth="1"/>
    <col min="14339" max="14339" width="13.5" style="15" customWidth="1"/>
    <col min="14340" max="14340" width="6" style="15" customWidth="1"/>
    <col min="14341" max="14341" width="5.59765625" style="15" customWidth="1"/>
    <col min="14342" max="14342" width="4.59765625" style="15" customWidth="1"/>
    <col min="14343" max="14343" width="5.5" style="15" customWidth="1"/>
    <col min="14344" max="14344" width="14" style="15" customWidth="1"/>
    <col min="14345" max="14345" width="10.59765625" style="15" customWidth="1"/>
    <col min="14346" max="14346" width="31.59765625" style="15" bestFit="1" customWidth="1"/>
    <col min="14347" max="14590" width="9" style="15"/>
    <col min="14591" max="14591" width="8.5" style="15" customWidth="1"/>
    <col min="14592" max="14592" width="93.69921875" style="15" customWidth="1"/>
    <col min="14593" max="14593" width="0" style="15" hidden="1" customWidth="1"/>
    <col min="14594" max="14594" width="11.69921875" style="15" customWidth="1"/>
    <col min="14595" max="14595" width="13.5" style="15" customWidth="1"/>
    <col min="14596" max="14596" width="6" style="15" customWidth="1"/>
    <col min="14597" max="14597" width="5.59765625" style="15" customWidth="1"/>
    <col min="14598" max="14598" width="4.59765625" style="15" customWidth="1"/>
    <col min="14599" max="14599" width="5.5" style="15" customWidth="1"/>
    <col min="14600" max="14600" width="14" style="15" customWidth="1"/>
    <col min="14601" max="14601" width="10.59765625" style="15" customWidth="1"/>
    <col min="14602" max="14602" width="31.59765625" style="15" bestFit="1" customWidth="1"/>
    <col min="14603" max="14846" width="9" style="15"/>
    <col min="14847" max="14847" width="8.5" style="15" customWidth="1"/>
    <col min="14848" max="14848" width="93.69921875" style="15" customWidth="1"/>
    <col min="14849" max="14849" width="0" style="15" hidden="1" customWidth="1"/>
    <col min="14850" max="14850" width="11.69921875" style="15" customWidth="1"/>
    <col min="14851" max="14851" width="13.5" style="15" customWidth="1"/>
    <col min="14852" max="14852" width="6" style="15" customWidth="1"/>
    <col min="14853" max="14853" width="5.59765625" style="15" customWidth="1"/>
    <col min="14854" max="14854" width="4.59765625" style="15" customWidth="1"/>
    <col min="14855" max="14855" width="5.5" style="15" customWidth="1"/>
    <col min="14856" max="14856" width="14" style="15" customWidth="1"/>
    <col min="14857" max="14857" width="10.59765625" style="15" customWidth="1"/>
    <col min="14858" max="14858" width="31.59765625" style="15" bestFit="1" customWidth="1"/>
    <col min="14859" max="15102" width="9" style="15"/>
    <col min="15103" max="15103" width="8.5" style="15" customWidth="1"/>
    <col min="15104" max="15104" width="93.69921875" style="15" customWidth="1"/>
    <col min="15105" max="15105" width="0" style="15" hidden="1" customWidth="1"/>
    <col min="15106" max="15106" width="11.69921875" style="15" customWidth="1"/>
    <col min="15107" max="15107" width="13.5" style="15" customWidth="1"/>
    <col min="15108" max="15108" width="6" style="15" customWidth="1"/>
    <col min="15109" max="15109" width="5.59765625" style="15" customWidth="1"/>
    <col min="15110" max="15110" width="4.59765625" style="15" customWidth="1"/>
    <col min="15111" max="15111" width="5.5" style="15" customWidth="1"/>
    <col min="15112" max="15112" width="14" style="15" customWidth="1"/>
    <col min="15113" max="15113" width="10.59765625" style="15" customWidth="1"/>
    <col min="15114" max="15114" width="31.59765625" style="15" bestFit="1" customWidth="1"/>
    <col min="15115" max="15358" width="9" style="15"/>
    <col min="15359" max="15359" width="8.5" style="15" customWidth="1"/>
    <col min="15360" max="15360" width="93.69921875" style="15" customWidth="1"/>
    <col min="15361" max="15361" width="0" style="15" hidden="1" customWidth="1"/>
    <col min="15362" max="15362" width="11.69921875" style="15" customWidth="1"/>
    <col min="15363" max="15363" width="13.5" style="15" customWidth="1"/>
    <col min="15364" max="15364" width="6" style="15" customWidth="1"/>
    <col min="15365" max="15365" width="5.59765625" style="15" customWidth="1"/>
    <col min="15366" max="15366" width="4.59765625" style="15" customWidth="1"/>
    <col min="15367" max="15367" width="5.5" style="15" customWidth="1"/>
    <col min="15368" max="15368" width="14" style="15" customWidth="1"/>
    <col min="15369" max="15369" width="10.59765625" style="15" customWidth="1"/>
    <col min="15370" max="15370" width="31.59765625" style="15" bestFit="1" customWidth="1"/>
    <col min="15371" max="15614" width="9" style="15"/>
    <col min="15615" max="15615" width="8.5" style="15" customWidth="1"/>
    <col min="15616" max="15616" width="93.69921875" style="15" customWidth="1"/>
    <col min="15617" max="15617" width="0" style="15" hidden="1" customWidth="1"/>
    <col min="15618" max="15618" width="11.69921875" style="15" customWidth="1"/>
    <col min="15619" max="15619" width="13.5" style="15" customWidth="1"/>
    <col min="15620" max="15620" width="6" style="15" customWidth="1"/>
    <col min="15621" max="15621" width="5.59765625" style="15" customWidth="1"/>
    <col min="15622" max="15622" width="4.59765625" style="15" customWidth="1"/>
    <col min="15623" max="15623" width="5.5" style="15" customWidth="1"/>
    <col min="15624" max="15624" width="14" style="15" customWidth="1"/>
    <col min="15625" max="15625" width="10.59765625" style="15" customWidth="1"/>
    <col min="15626" max="15626" width="31.59765625" style="15" bestFit="1" customWidth="1"/>
    <col min="15627" max="15870" width="9" style="15"/>
    <col min="15871" max="15871" width="8.5" style="15" customWidth="1"/>
    <col min="15872" max="15872" width="93.69921875" style="15" customWidth="1"/>
    <col min="15873" max="15873" width="0" style="15" hidden="1" customWidth="1"/>
    <col min="15874" max="15874" width="11.69921875" style="15" customWidth="1"/>
    <col min="15875" max="15875" width="13.5" style="15" customWidth="1"/>
    <col min="15876" max="15876" width="6" style="15" customWidth="1"/>
    <col min="15877" max="15877" width="5.59765625" style="15" customWidth="1"/>
    <col min="15878" max="15878" width="4.59765625" style="15" customWidth="1"/>
    <col min="15879" max="15879" width="5.5" style="15" customWidth="1"/>
    <col min="15880" max="15880" width="14" style="15" customWidth="1"/>
    <col min="15881" max="15881" width="10.59765625" style="15" customWidth="1"/>
    <col min="15882" max="15882" width="31.59765625" style="15" bestFit="1" customWidth="1"/>
    <col min="15883" max="16126" width="9" style="15"/>
    <col min="16127" max="16127" width="8.5" style="15" customWidth="1"/>
    <col min="16128" max="16128" width="93.69921875" style="15" customWidth="1"/>
    <col min="16129" max="16129" width="0" style="15" hidden="1" customWidth="1"/>
    <col min="16130" max="16130" width="11.69921875" style="15" customWidth="1"/>
    <col min="16131" max="16131" width="13.5" style="15" customWidth="1"/>
    <col min="16132" max="16132" width="6" style="15" customWidth="1"/>
    <col min="16133" max="16133" width="5.59765625" style="15" customWidth="1"/>
    <col min="16134" max="16134" width="4.59765625" style="15" customWidth="1"/>
    <col min="16135" max="16135" width="5.5" style="15" customWidth="1"/>
    <col min="16136" max="16136" width="14" style="15" customWidth="1"/>
    <col min="16137" max="16137" width="10.59765625" style="15" customWidth="1"/>
    <col min="16138" max="16138" width="31.59765625" style="15" bestFit="1" customWidth="1"/>
    <col min="16139" max="16383" width="9" style="15"/>
    <col min="16384" max="16384" width="9" style="15" customWidth="1"/>
  </cols>
  <sheetData>
    <row r="1" spans="1:13" s="115" customFormat="1" ht="19.95" customHeight="1">
      <c r="A1" s="388" t="s">
        <v>117</v>
      </c>
      <c r="B1" s="388"/>
      <c r="C1" s="388"/>
      <c r="D1" s="388"/>
      <c r="E1" s="388"/>
      <c r="F1" s="388"/>
      <c r="G1" s="388"/>
      <c r="H1" s="388"/>
      <c r="I1" s="388"/>
    </row>
    <row r="2" spans="1:13" s="115" customFormat="1" ht="19.95" customHeight="1">
      <c r="A2" s="389" t="s">
        <v>195</v>
      </c>
      <c r="B2" s="389"/>
      <c r="C2" s="389"/>
      <c r="D2" s="389"/>
      <c r="E2" s="389"/>
      <c r="F2" s="389"/>
      <c r="G2" s="389"/>
      <c r="H2" s="389"/>
      <c r="I2" s="389"/>
    </row>
    <row r="3" spans="1:13" s="26" customFormat="1" ht="19.95" customHeight="1">
      <c r="A3" s="26" t="str">
        <f>底稿目录!A2</f>
        <v>被审计单位：</v>
      </c>
      <c r="C3" s="26" t="str">
        <f>底稿目录!A4</f>
        <v>编制人：</v>
      </c>
      <c r="E3" s="26" t="str">
        <f>底稿目录!A5</f>
        <v>编制日期：</v>
      </c>
      <c r="H3" s="31" t="s">
        <v>164</v>
      </c>
      <c r="I3" s="335" t="str">
        <f>底稿目录!F4</f>
        <v>K3A</v>
      </c>
    </row>
    <row r="4" spans="1:13" s="26" customFormat="1" ht="19.95" customHeight="1">
      <c r="A4" s="26" t="s">
        <v>118</v>
      </c>
      <c r="C4" s="126" t="str">
        <f>底稿目录!A6</f>
        <v>复核人：</v>
      </c>
      <c r="E4" s="26" t="str">
        <f>底稿目录!A7</f>
        <v>复核日期：</v>
      </c>
      <c r="H4" s="31" t="s">
        <v>314</v>
      </c>
      <c r="I4" s="117"/>
    </row>
    <row r="5" spans="1:13" ht="19.95" customHeight="1">
      <c r="A5" s="390" t="s">
        <v>172</v>
      </c>
      <c r="B5" s="390"/>
    </row>
    <row r="6" spans="1:13" ht="19.95" customHeight="1">
      <c r="A6" s="304" t="s">
        <v>115</v>
      </c>
      <c r="B6" s="200"/>
      <c r="C6" s="200"/>
      <c r="D6" s="200"/>
      <c r="E6" s="200"/>
      <c r="F6" s="200"/>
      <c r="G6" s="200"/>
      <c r="H6" s="200"/>
      <c r="I6" s="205"/>
    </row>
    <row r="7" spans="1:13" s="26" customFormat="1" ht="19.95" customHeight="1">
      <c r="A7" s="204" t="s">
        <v>173</v>
      </c>
      <c r="B7" s="201"/>
      <c r="C7" s="202"/>
      <c r="D7" s="203"/>
      <c r="E7" s="203"/>
      <c r="F7" s="203"/>
      <c r="G7" s="203"/>
      <c r="H7" s="203"/>
      <c r="I7" s="326"/>
    </row>
    <row r="8" spans="1:13" s="26" customFormat="1" ht="19.95" customHeight="1">
      <c r="A8" s="402" t="s">
        <v>174</v>
      </c>
      <c r="B8" s="402"/>
      <c r="C8" s="402"/>
      <c r="D8" s="402"/>
      <c r="E8" s="402"/>
      <c r="F8" s="402"/>
      <c r="G8" s="400" t="s">
        <v>119</v>
      </c>
      <c r="H8" s="400"/>
      <c r="I8" s="400"/>
    </row>
    <row r="9" spans="1:13" s="26" customFormat="1" ht="19.95" customHeight="1">
      <c r="A9" s="399" t="s">
        <v>313</v>
      </c>
      <c r="B9" s="399"/>
      <c r="C9" s="399"/>
      <c r="D9" s="399"/>
      <c r="E9" s="399"/>
      <c r="F9" s="399"/>
      <c r="G9" s="401" t="s">
        <v>175</v>
      </c>
      <c r="H9" s="401"/>
      <c r="I9" s="401"/>
    </row>
    <row r="10" spans="1:13" s="26" customFormat="1" ht="19.95" customHeight="1">
      <c r="A10" s="399" t="s">
        <v>391</v>
      </c>
      <c r="B10" s="399"/>
      <c r="C10" s="399"/>
      <c r="D10" s="399"/>
      <c r="E10" s="399"/>
      <c r="F10" s="399"/>
      <c r="G10" s="401" t="s">
        <v>176</v>
      </c>
      <c r="H10" s="401"/>
      <c r="I10" s="401"/>
    </row>
    <row r="11" spans="1:13" s="26" customFormat="1" ht="19.95" customHeight="1">
      <c r="A11" s="399" t="s">
        <v>392</v>
      </c>
      <c r="B11" s="399"/>
      <c r="C11" s="399"/>
      <c r="D11" s="399"/>
      <c r="E11" s="399"/>
      <c r="F11" s="399"/>
      <c r="G11" s="401" t="s">
        <v>177</v>
      </c>
      <c r="H11" s="401"/>
      <c r="I11" s="401"/>
    </row>
    <row r="12" spans="1:13" s="26" customFormat="1" ht="19.95" customHeight="1">
      <c r="A12" s="399" t="s">
        <v>393</v>
      </c>
      <c r="B12" s="399"/>
      <c r="C12" s="399"/>
      <c r="D12" s="399"/>
      <c r="E12" s="399"/>
      <c r="F12" s="399"/>
      <c r="G12" s="401" t="s">
        <v>191</v>
      </c>
      <c r="H12" s="401"/>
      <c r="I12" s="401"/>
    </row>
    <row r="13" spans="1:13" s="26" customFormat="1" ht="19.95" customHeight="1">
      <c r="A13" s="399" t="s">
        <v>394</v>
      </c>
      <c r="B13" s="399"/>
      <c r="C13" s="399"/>
      <c r="D13" s="399"/>
      <c r="E13" s="399"/>
      <c r="F13" s="399"/>
      <c r="G13" s="401" t="s">
        <v>192</v>
      </c>
      <c r="H13" s="401"/>
      <c r="I13" s="401"/>
      <c r="J13" s="203"/>
      <c r="K13" s="203"/>
      <c r="L13" s="203"/>
    </row>
    <row r="14" spans="1:13" s="26" customFormat="1" ht="19.95" customHeight="1">
      <c r="A14" s="391" t="s">
        <v>122</v>
      </c>
      <c r="B14" s="392"/>
      <c r="C14" s="202"/>
      <c r="D14" s="203"/>
      <c r="E14" s="203"/>
      <c r="F14" s="203"/>
      <c r="G14" s="203"/>
      <c r="H14" s="203"/>
      <c r="I14" s="326"/>
      <c r="J14" s="302"/>
      <c r="K14" s="303"/>
      <c r="L14" s="303"/>
    </row>
    <row r="15" spans="1:13" s="117" customFormat="1" ht="19.95" customHeight="1">
      <c r="A15" s="395" t="s">
        <v>123</v>
      </c>
      <c r="B15" s="386" t="s">
        <v>401</v>
      </c>
      <c r="C15" s="397" t="s">
        <v>178</v>
      </c>
      <c r="D15" s="393" t="s">
        <v>179</v>
      </c>
      <c r="E15" s="394"/>
      <c r="F15" s="394"/>
      <c r="G15" s="394"/>
      <c r="H15" s="394"/>
      <c r="I15" s="386" t="s">
        <v>274</v>
      </c>
      <c r="J15" s="116"/>
      <c r="K15" s="116"/>
      <c r="L15" s="116"/>
    </row>
    <row r="16" spans="1:13" s="119" customFormat="1" ht="37.200000000000003" customHeight="1">
      <c r="A16" s="396"/>
      <c r="B16" s="386"/>
      <c r="C16" s="398"/>
      <c r="D16" s="206" t="s">
        <v>120</v>
      </c>
      <c r="E16" s="206" t="s">
        <v>180</v>
      </c>
      <c r="F16" s="207" t="s">
        <v>181</v>
      </c>
      <c r="G16" s="207" t="s">
        <v>191</v>
      </c>
      <c r="H16" s="207" t="s">
        <v>192</v>
      </c>
      <c r="I16" s="387"/>
      <c r="J16" s="367" t="s">
        <v>400</v>
      </c>
      <c r="M16" s="120"/>
    </row>
    <row r="17" spans="1:13" s="119" customFormat="1" ht="124.8" customHeight="1">
      <c r="A17" s="209" t="s">
        <v>125</v>
      </c>
      <c r="B17" s="213" t="s">
        <v>382</v>
      </c>
      <c r="C17" s="211" t="s">
        <v>124</v>
      </c>
      <c r="D17" s="221" t="s">
        <v>243</v>
      </c>
      <c r="E17" s="221" t="s">
        <v>244</v>
      </c>
      <c r="F17" s="220"/>
      <c r="G17" s="227" t="s">
        <v>245</v>
      </c>
      <c r="H17" s="220"/>
      <c r="I17" s="327" t="s">
        <v>348</v>
      </c>
      <c r="J17" s="215"/>
      <c r="M17" s="120"/>
    </row>
    <row r="18" spans="1:13" s="127" customFormat="1" ht="54" customHeight="1">
      <c r="A18" s="209" t="s">
        <v>234</v>
      </c>
      <c r="B18" s="214" t="s">
        <v>196</v>
      </c>
      <c r="C18" s="211" t="s">
        <v>124</v>
      </c>
      <c r="D18" s="212"/>
      <c r="E18" s="225" t="s">
        <v>201</v>
      </c>
      <c r="F18" s="212"/>
      <c r="G18" s="221" t="s">
        <v>201</v>
      </c>
      <c r="H18" s="226"/>
      <c r="I18" s="339" t="s">
        <v>349</v>
      </c>
      <c r="J18" s="280" t="s">
        <v>275</v>
      </c>
    </row>
    <row r="19" spans="1:13" s="127" customFormat="1" ht="52.8" customHeight="1">
      <c r="A19" s="209" t="s">
        <v>185</v>
      </c>
      <c r="B19" s="214" t="s">
        <v>383</v>
      </c>
      <c r="C19" s="211" t="s">
        <v>150</v>
      </c>
      <c r="D19" s="221" t="s">
        <v>243</v>
      </c>
      <c r="E19" s="227" t="s">
        <v>182</v>
      </c>
      <c r="F19" s="221" t="s">
        <v>243</v>
      </c>
      <c r="G19" s="221" t="s">
        <v>243</v>
      </c>
      <c r="H19" s="266"/>
      <c r="I19" s="327"/>
      <c r="J19" s="280" t="s">
        <v>276</v>
      </c>
    </row>
    <row r="20" spans="1:13" s="119" customFormat="1" ht="31.8" customHeight="1">
      <c r="A20" s="209" t="s">
        <v>186</v>
      </c>
      <c r="B20" s="214" t="s">
        <v>198</v>
      </c>
      <c r="C20" s="219" t="s">
        <v>199</v>
      </c>
      <c r="D20" s="221" t="s">
        <v>202</v>
      </c>
      <c r="E20" s="221" t="s">
        <v>202</v>
      </c>
      <c r="F20" s="220"/>
      <c r="G20" s="221" t="s">
        <v>182</v>
      </c>
      <c r="H20" s="220"/>
      <c r="I20" s="330" t="s">
        <v>350</v>
      </c>
      <c r="J20" s="118"/>
      <c r="M20" s="120"/>
    </row>
    <row r="21" spans="1:13" s="121" customFormat="1" ht="39.6" customHeight="1">
      <c r="A21" s="209" t="s">
        <v>187</v>
      </c>
      <c r="B21" s="214" t="s">
        <v>375</v>
      </c>
      <c r="C21" s="211" t="s">
        <v>124</v>
      </c>
      <c r="D21" s="227" t="s">
        <v>246</v>
      </c>
      <c r="E21" s="227"/>
      <c r="F21" s="220"/>
      <c r="G21" s="221" t="s">
        <v>247</v>
      </c>
      <c r="H21" s="208"/>
      <c r="I21" s="328" t="s">
        <v>190</v>
      </c>
      <c r="J21" s="118"/>
      <c r="M21" s="28"/>
    </row>
    <row r="22" spans="1:13" s="119" customFormat="1" ht="199.2" customHeight="1">
      <c r="A22" s="209" t="s">
        <v>270</v>
      </c>
      <c r="B22" s="213" t="s">
        <v>315</v>
      </c>
      <c r="C22" s="211" t="s">
        <v>124</v>
      </c>
      <c r="D22" s="227" t="s">
        <v>237</v>
      </c>
      <c r="E22" s="227" t="s">
        <v>238</v>
      </c>
      <c r="F22" s="227" t="s">
        <v>239</v>
      </c>
      <c r="G22" s="221" t="s">
        <v>240</v>
      </c>
      <c r="H22" s="210"/>
      <c r="I22" s="328" t="s">
        <v>351</v>
      </c>
      <c r="J22" s="118"/>
      <c r="M22" s="120"/>
    </row>
    <row r="23" spans="1:13" s="121" customFormat="1" ht="49.2" customHeight="1">
      <c r="A23" s="209" t="s">
        <v>271</v>
      </c>
      <c r="B23" s="263" t="s">
        <v>316</v>
      </c>
      <c r="C23" s="211" t="s">
        <v>124</v>
      </c>
      <c r="D23" s="212" t="s">
        <v>182</v>
      </c>
      <c r="E23" s="212"/>
      <c r="F23" s="212"/>
      <c r="G23" s="225" t="s">
        <v>183</v>
      </c>
      <c r="H23" s="208"/>
      <c r="I23" s="328" t="s">
        <v>352</v>
      </c>
      <c r="J23" s="118"/>
      <c r="M23" s="28"/>
    </row>
    <row r="24" spans="1:13" s="119" customFormat="1" ht="154.19999999999999" customHeight="1">
      <c r="A24" s="209" t="s">
        <v>188</v>
      </c>
      <c r="B24" s="214" t="s">
        <v>317</v>
      </c>
      <c r="C24" s="211" t="s">
        <v>124</v>
      </c>
      <c r="D24" s="227" t="s">
        <v>193</v>
      </c>
      <c r="E24" s="221" t="s">
        <v>193</v>
      </c>
      <c r="F24" s="221" t="s">
        <v>193</v>
      </c>
      <c r="G24" s="227" t="s">
        <v>193</v>
      </c>
      <c r="H24" s="221" t="s">
        <v>193</v>
      </c>
      <c r="I24" s="328" t="s">
        <v>353</v>
      </c>
      <c r="J24" s="118"/>
      <c r="M24" s="120"/>
    </row>
    <row r="25" spans="1:13" s="119" customFormat="1" ht="33" customHeight="1">
      <c r="A25" s="209" t="s">
        <v>189</v>
      </c>
      <c r="B25" s="261" t="s">
        <v>384</v>
      </c>
      <c r="C25" s="221" t="s">
        <v>232</v>
      </c>
      <c r="D25" s="227" t="s">
        <v>233</v>
      </c>
      <c r="E25" s="220"/>
      <c r="F25" s="221" t="s">
        <v>121</v>
      </c>
      <c r="G25" s="221" t="s">
        <v>121</v>
      </c>
      <c r="H25" s="220"/>
      <c r="I25" s="328" t="s">
        <v>272</v>
      </c>
      <c r="J25" s="118"/>
      <c r="M25" s="120"/>
    </row>
    <row r="26" spans="1:13" s="123" customFormat="1" ht="51.6" customHeight="1">
      <c r="A26" s="209" t="s">
        <v>197</v>
      </c>
      <c r="B26" s="337" t="s">
        <v>381</v>
      </c>
      <c r="C26" s="221" t="s">
        <v>318</v>
      </c>
      <c r="D26" s="262"/>
      <c r="E26" s="262"/>
      <c r="F26" s="262"/>
      <c r="G26" s="262"/>
      <c r="H26" s="210"/>
      <c r="I26" s="328"/>
      <c r="J26" s="122"/>
      <c r="M26" s="120"/>
    </row>
    <row r="27" spans="1:13" s="123" customFormat="1" ht="27.75" customHeight="1">
      <c r="A27" s="209" t="s">
        <v>235</v>
      </c>
      <c r="B27" s="305" t="s">
        <v>319</v>
      </c>
      <c r="C27" s="211" t="s">
        <v>124</v>
      </c>
      <c r="D27" s="208"/>
      <c r="E27" s="208"/>
      <c r="F27" s="208"/>
      <c r="G27" s="208"/>
      <c r="H27" s="212" t="s">
        <v>184</v>
      </c>
      <c r="I27" s="329" t="s">
        <v>273</v>
      </c>
      <c r="M27" s="120"/>
    </row>
    <row r="28" spans="1:13">
      <c r="B28" s="15"/>
    </row>
    <row r="29" spans="1:13">
      <c r="B29" s="15"/>
    </row>
    <row r="30" spans="1:13">
      <c r="B30" s="15"/>
    </row>
    <row r="31" spans="1:13">
      <c r="B31" s="15"/>
    </row>
    <row r="32" spans="1:13">
      <c r="B32" s="15"/>
    </row>
    <row r="33" spans="2:2">
      <c r="B33" s="15"/>
    </row>
    <row r="34" spans="2:2">
      <c r="B34" s="15"/>
    </row>
    <row r="35" spans="2:2">
      <c r="B35" s="15"/>
    </row>
    <row r="36" spans="2:2">
      <c r="B36" s="15"/>
    </row>
    <row r="37" spans="2:2">
      <c r="B37" s="15"/>
    </row>
    <row r="38" spans="2:2">
      <c r="B38" s="15"/>
    </row>
    <row r="39" spans="2:2">
      <c r="B39" s="15"/>
    </row>
    <row r="40" spans="2:2">
      <c r="B40" s="15"/>
    </row>
    <row r="41" spans="2:2">
      <c r="B41" s="15"/>
    </row>
    <row r="42" spans="2:2">
      <c r="B42" s="15"/>
    </row>
    <row r="43" spans="2:2">
      <c r="B43" s="15"/>
    </row>
    <row r="44" spans="2:2">
      <c r="B44" s="15"/>
    </row>
    <row r="45" spans="2:2">
      <c r="B45" s="15"/>
    </row>
    <row r="46" spans="2:2">
      <c r="B46" s="15"/>
    </row>
    <row r="47" spans="2:2">
      <c r="B47" s="15"/>
    </row>
    <row r="48" spans="2:2">
      <c r="B48" s="15"/>
    </row>
    <row r="49" spans="2:2">
      <c r="B49" s="15"/>
    </row>
    <row r="50" spans="2:2">
      <c r="B50" s="15"/>
    </row>
    <row r="51" spans="2:2">
      <c r="B51" s="15"/>
    </row>
    <row r="52" spans="2:2">
      <c r="B52" s="15"/>
    </row>
    <row r="53" spans="2:2">
      <c r="B53" s="15"/>
    </row>
    <row r="54" spans="2:2">
      <c r="B54" s="15"/>
    </row>
    <row r="55" spans="2:2">
      <c r="B55" s="15"/>
    </row>
    <row r="56" spans="2:2">
      <c r="B56" s="15"/>
    </row>
    <row r="57" spans="2:2">
      <c r="B57" s="15"/>
    </row>
    <row r="58" spans="2:2">
      <c r="B58" s="15"/>
    </row>
    <row r="59" spans="2:2">
      <c r="B59" s="15"/>
    </row>
    <row r="60" spans="2:2">
      <c r="B60" s="15"/>
    </row>
    <row r="61" spans="2:2">
      <c r="B61" s="15"/>
    </row>
    <row r="62" spans="2:2">
      <c r="B62" s="15"/>
    </row>
    <row r="63" spans="2:2">
      <c r="B63" s="15"/>
    </row>
    <row r="64" spans="2:2">
      <c r="B64" s="15"/>
    </row>
    <row r="65" spans="2:2">
      <c r="B65" s="15"/>
    </row>
    <row r="66" spans="2:2">
      <c r="B66" s="15"/>
    </row>
    <row r="67" spans="2:2">
      <c r="B67" s="15"/>
    </row>
    <row r="68" spans="2:2">
      <c r="B68" s="15"/>
    </row>
    <row r="69" spans="2:2">
      <c r="B69" s="15"/>
    </row>
    <row r="70" spans="2:2">
      <c r="B70" s="15"/>
    </row>
    <row r="71" spans="2:2">
      <c r="B71" s="15"/>
    </row>
    <row r="72" spans="2:2">
      <c r="B72" s="15"/>
    </row>
    <row r="73" spans="2:2">
      <c r="B73" s="15"/>
    </row>
    <row r="74" spans="2:2">
      <c r="B74" s="15"/>
    </row>
    <row r="75" spans="2:2">
      <c r="B75" s="15"/>
    </row>
    <row r="76" spans="2:2">
      <c r="B76" s="15"/>
    </row>
    <row r="77" spans="2:2">
      <c r="B77" s="15"/>
    </row>
    <row r="78" spans="2:2">
      <c r="B78" s="15"/>
    </row>
    <row r="79" spans="2:2">
      <c r="B79" s="15"/>
    </row>
    <row r="80" spans="2:2">
      <c r="B80" s="15"/>
    </row>
    <row r="81" spans="2:2">
      <c r="B81" s="15"/>
    </row>
    <row r="82" spans="2:2">
      <c r="B82" s="15"/>
    </row>
    <row r="83" spans="2:2">
      <c r="B83" s="15"/>
    </row>
    <row r="84" spans="2:2">
      <c r="B84" s="15"/>
    </row>
    <row r="85" spans="2:2">
      <c r="B85" s="15"/>
    </row>
    <row r="86" spans="2:2">
      <c r="B86" s="15"/>
    </row>
    <row r="87" spans="2:2">
      <c r="B87" s="15"/>
    </row>
    <row r="88" spans="2:2">
      <c r="B88" s="15"/>
    </row>
    <row r="89" spans="2:2">
      <c r="B89" s="15"/>
    </row>
    <row r="90" spans="2:2">
      <c r="B90" s="15"/>
    </row>
    <row r="91" spans="2:2">
      <c r="B91" s="15"/>
    </row>
    <row r="92" spans="2:2">
      <c r="B92" s="15"/>
    </row>
    <row r="93" spans="2:2">
      <c r="B93" s="15"/>
    </row>
    <row r="94" spans="2:2">
      <c r="B94" s="15"/>
    </row>
    <row r="95" spans="2:2">
      <c r="B95" s="15"/>
    </row>
    <row r="96" spans="2:2">
      <c r="B96" s="15"/>
    </row>
    <row r="97" spans="2:2">
      <c r="B97" s="15"/>
    </row>
    <row r="98" spans="2:2">
      <c r="B98" s="15"/>
    </row>
    <row r="99" spans="2:2">
      <c r="B99" s="15"/>
    </row>
    <row r="100" spans="2:2">
      <c r="B100" s="15"/>
    </row>
    <row r="101" spans="2:2">
      <c r="B101" s="15"/>
    </row>
    <row r="102" spans="2:2">
      <c r="B102" s="15"/>
    </row>
    <row r="103" spans="2:2">
      <c r="B103" s="15"/>
    </row>
    <row r="104" spans="2:2">
      <c r="B104" s="15"/>
    </row>
    <row r="105" spans="2:2">
      <c r="B105" s="15"/>
    </row>
    <row r="106" spans="2:2">
      <c r="B106" s="15"/>
    </row>
    <row r="107" spans="2:2">
      <c r="B107" s="15"/>
    </row>
    <row r="108" spans="2:2">
      <c r="B108" s="15"/>
    </row>
    <row r="109" spans="2:2">
      <c r="B109" s="15"/>
    </row>
    <row r="110" spans="2:2">
      <c r="B110" s="15"/>
    </row>
    <row r="111" spans="2:2">
      <c r="B111" s="15"/>
    </row>
    <row r="112" spans="2:2">
      <c r="B112" s="15"/>
    </row>
    <row r="113" spans="2:2">
      <c r="B113" s="15"/>
    </row>
    <row r="114" spans="2:2">
      <c r="B114" s="15"/>
    </row>
    <row r="115" spans="2:2">
      <c r="B115" s="15"/>
    </row>
    <row r="116" spans="2:2">
      <c r="B116" s="15"/>
    </row>
    <row r="117" spans="2:2">
      <c r="B117" s="15"/>
    </row>
    <row r="118" spans="2:2">
      <c r="B118" s="15"/>
    </row>
    <row r="119" spans="2:2">
      <c r="B119" s="15"/>
    </row>
    <row r="120" spans="2:2">
      <c r="B120" s="15"/>
    </row>
    <row r="121" spans="2:2">
      <c r="B121" s="15"/>
    </row>
    <row r="122" spans="2:2">
      <c r="B122" s="15"/>
    </row>
    <row r="123" spans="2:2">
      <c r="B123" s="15"/>
    </row>
    <row r="124" spans="2:2">
      <c r="B124" s="15"/>
    </row>
    <row r="125" spans="2:2">
      <c r="B125" s="15"/>
    </row>
    <row r="126" spans="2:2">
      <c r="B126" s="15"/>
    </row>
    <row r="127" spans="2:2">
      <c r="B127" s="15"/>
    </row>
    <row r="128" spans="2:2">
      <c r="B128" s="15"/>
    </row>
    <row r="129" spans="2:2">
      <c r="B129" s="15"/>
    </row>
    <row r="130" spans="2:2">
      <c r="B130" s="15"/>
    </row>
    <row r="131" spans="2:2">
      <c r="B131" s="15"/>
    </row>
    <row r="132" spans="2:2">
      <c r="B132" s="15"/>
    </row>
    <row r="133" spans="2:2">
      <c r="B133" s="15"/>
    </row>
    <row r="134" spans="2:2">
      <c r="B134" s="15"/>
    </row>
    <row r="135" spans="2:2">
      <c r="B135" s="15"/>
    </row>
    <row r="136" spans="2:2">
      <c r="B136" s="15"/>
    </row>
    <row r="137" spans="2:2">
      <c r="B137" s="15"/>
    </row>
    <row r="138" spans="2:2">
      <c r="B138" s="15"/>
    </row>
    <row r="139" spans="2:2">
      <c r="B139" s="15"/>
    </row>
    <row r="140" spans="2:2">
      <c r="B140" s="15"/>
    </row>
    <row r="141" spans="2:2">
      <c r="B141" s="15"/>
    </row>
    <row r="142" spans="2:2">
      <c r="B142" s="15"/>
    </row>
    <row r="143" spans="2:2">
      <c r="B143" s="15"/>
    </row>
    <row r="144" spans="2:2">
      <c r="B144" s="15"/>
    </row>
    <row r="145" spans="2:2">
      <c r="B145" s="15"/>
    </row>
    <row r="146" spans="2:2">
      <c r="B146" s="15"/>
    </row>
    <row r="147" spans="2:2">
      <c r="B147" s="15"/>
    </row>
    <row r="148" spans="2:2">
      <c r="B148" s="15"/>
    </row>
    <row r="149" spans="2:2">
      <c r="B149" s="15"/>
    </row>
    <row r="150" spans="2:2">
      <c r="B150" s="15"/>
    </row>
    <row r="151" spans="2:2">
      <c r="B151" s="15"/>
    </row>
    <row r="152" spans="2:2">
      <c r="B152" s="15"/>
    </row>
    <row r="153" spans="2:2">
      <c r="B153" s="15"/>
    </row>
    <row r="154" spans="2:2">
      <c r="B154" s="15"/>
    </row>
    <row r="155" spans="2:2">
      <c r="B155" s="15"/>
    </row>
    <row r="156" spans="2:2">
      <c r="B156" s="15"/>
    </row>
    <row r="157" spans="2:2">
      <c r="B157" s="15"/>
    </row>
    <row r="158" spans="2:2">
      <c r="B158" s="15"/>
    </row>
    <row r="159" spans="2:2">
      <c r="B159" s="15"/>
    </row>
    <row r="160" spans="2:2">
      <c r="B160" s="15"/>
    </row>
    <row r="161" spans="2:2">
      <c r="B161" s="15"/>
    </row>
    <row r="162" spans="2:2">
      <c r="B162" s="15"/>
    </row>
    <row r="163" spans="2:2">
      <c r="B163" s="15"/>
    </row>
    <row r="164" spans="2:2">
      <c r="B164" s="15"/>
    </row>
    <row r="165" spans="2:2">
      <c r="B165" s="15"/>
    </row>
    <row r="166" spans="2:2">
      <c r="B166" s="15"/>
    </row>
    <row r="167" spans="2:2">
      <c r="B167" s="15"/>
    </row>
    <row r="168" spans="2:2">
      <c r="B168" s="15"/>
    </row>
    <row r="169" spans="2:2">
      <c r="B169" s="15"/>
    </row>
    <row r="170" spans="2:2">
      <c r="B170" s="15"/>
    </row>
    <row r="171" spans="2:2">
      <c r="B171" s="15"/>
    </row>
    <row r="172" spans="2:2">
      <c r="B172" s="15"/>
    </row>
    <row r="173" spans="2:2">
      <c r="B173" s="15"/>
    </row>
    <row r="174" spans="2:2">
      <c r="B174" s="15"/>
    </row>
    <row r="175" spans="2:2">
      <c r="B175" s="15"/>
    </row>
    <row r="176" spans="2:2">
      <c r="B176" s="15"/>
    </row>
    <row r="177" spans="2:2">
      <c r="B177" s="15"/>
    </row>
    <row r="178" spans="2:2">
      <c r="B178" s="15"/>
    </row>
    <row r="179" spans="2:2">
      <c r="B179" s="15"/>
    </row>
    <row r="180" spans="2:2">
      <c r="B180" s="15"/>
    </row>
    <row r="181" spans="2:2">
      <c r="B181" s="15"/>
    </row>
    <row r="182" spans="2:2">
      <c r="B182" s="15"/>
    </row>
    <row r="183" spans="2:2">
      <c r="B183" s="15"/>
    </row>
    <row r="184" spans="2:2">
      <c r="B184" s="15"/>
    </row>
    <row r="185" spans="2:2">
      <c r="B185" s="15"/>
    </row>
    <row r="186" spans="2:2">
      <c r="B186" s="15"/>
    </row>
    <row r="187" spans="2:2">
      <c r="B187" s="15"/>
    </row>
    <row r="188" spans="2:2">
      <c r="B188" s="15"/>
    </row>
    <row r="189" spans="2:2">
      <c r="B189" s="15"/>
    </row>
    <row r="190" spans="2:2">
      <c r="B190" s="15"/>
    </row>
    <row r="191" spans="2:2">
      <c r="B191" s="15"/>
    </row>
    <row r="192" spans="2:2">
      <c r="B192" s="15"/>
    </row>
    <row r="193" spans="2:2">
      <c r="B193" s="15"/>
    </row>
    <row r="194" spans="2:2">
      <c r="B194" s="15"/>
    </row>
    <row r="195" spans="2:2">
      <c r="B195" s="15"/>
    </row>
    <row r="196" spans="2:2">
      <c r="B196" s="15"/>
    </row>
    <row r="197" spans="2:2">
      <c r="B197" s="15"/>
    </row>
    <row r="198" spans="2:2">
      <c r="B198" s="15"/>
    </row>
    <row r="199" spans="2:2">
      <c r="B199" s="15"/>
    </row>
    <row r="200" spans="2:2">
      <c r="B200" s="15"/>
    </row>
    <row r="201" spans="2:2">
      <c r="B201" s="15"/>
    </row>
    <row r="202" spans="2:2">
      <c r="B202" s="15"/>
    </row>
    <row r="203" spans="2:2">
      <c r="B203" s="15"/>
    </row>
    <row r="204" spans="2:2">
      <c r="B204" s="15"/>
    </row>
    <row r="205" spans="2:2">
      <c r="B205" s="15"/>
    </row>
    <row r="206" spans="2:2">
      <c r="B206" s="15"/>
    </row>
    <row r="207" spans="2:2">
      <c r="B207" s="15"/>
    </row>
    <row r="208" spans="2:2">
      <c r="B208" s="15"/>
    </row>
    <row r="209" spans="2:2">
      <c r="B209" s="15"/>
    </row>
    <row r="210" spans="2:2">
      <c r="B210" s="15"/>
    </row>
  </sheetData>
  <mergeCells count="21">
    <mergeCell ref="A8:F8"/>
    <mergeCell ref="A9:F9"/>
    <mergeCell ref="A10:F10"/>
    <mergeCell ref="A11:F11"/>
    <mergeCell ref="A12:F12"/>
    <mergeCell ref="I15:I16"/>
    <mergeCell ref="A1:I1"/>
    <mergeCell ref="A2:I2"/>
    <mergeCell ref="A5:B5"/>
    <mergeCell ref="A14:B14"/>
    <mergeCell ref="D15:H15"/>
    <mergeCell ref="A15:A16"/>
    <mergeCell ref="B15:B16"/>
    <mergeCell ref="C15:C16"/>
    <mergeCell ref="A13:F13"/>
    <mergeCell ref="G8:I8"/>
    <mergeCell ref="G9:I9"/>
    <mergeCell ref="G10:I10"/>
    <mergeCell ref="G11:I11"/>
    <mergeCell ref="G12:I12"/>
    <mergeCell ref="G13:I13"/>
  </mergeCells>
  <phoneticPr fontId="18" type="noConversion"/>
  <hyperlinks>
    <hyperlink ref="I3" location="底稿目录!A1" display="底稿目录!A1"/>
  </hyperlinks>
  <printOptions horizontalCentered="1"/>
  <pageMargins left="0.59055118110236227" right="0.39370078740157483" top="0.55118110236220474" bottom="0.35433070866141736" header="0.51181102362204722" footer="0.19685039370078741"/>
  <pageSetup paperSize="9" scale="70" fitToHeight="50" orientation="portrait" blackAndWhite="1" cellComments="atEnd" horizontalDpi="300"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K48"/>
  <sheetViews>
    <sheetView view="pageBreakPreview" zoomScaleSheetLayoutView="100" workbookViewId="0">
      <selection sqref="A1:K1"/>
    </sheetView>
  </sheetViews>
  <sheetFormatPr defaultColWidth="9" defaultRowHeight="15.6"/>
  <cols>
    <col min="1" max="1" width="18.59765625" style="38" customWidth="1"/>
    <col min="2" max="2" width="10.5" style="38" customWidth="1"/>
    <col min="3" max="3" width="9.69921875" style="38" customWidth="1"/>
    <col min="4" max="4" width="10.19921875" style="38" bestFit="1" customWidth="1"/>
    <col min="5" max="5" width="11.8984375" style="38" customWidth="1"/>
    <col min="6" max="6" width="14.3984375" style="38" customWidth="1"/>
    <col min="7" max="7" width="9" style="38"/>
    <col min="8" max="8" width="10.8984375" style="38" customWidth="1"/>
    <col min="9" max="9" width="11.59765625" style="38" customWidth="1"/>
    <col min="10" max="11" width="13.8984375" style="38" customWidth="1"/>
    <col min="12" max="16384" width="9" style="38"/>
  </cols>
  <sheetData>
    <row r="1" spans="1:11" ht="19.95" customHeight="1">
      <c r="A1" s="410" t="s">
        <v>19</v>
      </c>
      <c r="B1" s="410"/>
      <c r="C1" s="410"/>
      <c r="D1" s="410"/>
      <c r="E1" s="410"/>
      <c r="F1" s="410"/>
      <c r="G1" s="410"/>
      <c r="H1" s="410"/>
      <c r="I1" s="410"/>
      <c r="J1" s="410"/>
      <c r="K1" s="410"/>
    </row>
    <row r="2" spans="1:11" ht="19.95" customHeight="1">
      <c r="A2" s="411" t="s">
        <v>67</v>
      </c>
      <c r="B2" s="411"/>
      <c r="C2" s="411"/>
      <c r="D2" s="411"/>
      <c r="E2" s="411"/>
      <c r="F2" s="411"/>
      <c r="G2" s="411"/>
      <c r="H2" s="411"/>
      <c r="I2" s="411"/>
      <c r="J2" s="411"/>
      <c r="K2" s="411"/>
    </row>
    <row r="3" spans="1:11" ht="19.95" customHeight="1">
      <c r="A3" s="11" t="str">
        <f>底稿目录!A2</f>
        <v>被审计单位：</v>
      </c>
      <c r="B3" s="11"/>
      <c r="D3" s="11"/>
      <c r="E3" s="11" t="str">
        <f>底稿目录!A4</f>
        <v>编制人：</v>
      </c>
      <c r="H3" s="11" t="str">
        <f>底稿目录!A5</f>
        <v>编制日期：</v>
      </c>
      <c r="J3" s="179" t="s">
        <v>165</v>
      </c>
      <c r="K3" s="335" t="str">
        <f>底稿目录!F5</f>
        <v>K3-1</v>
      </c>
    </row>
    <row r="4" spans="1:11" ht="19.95" customHeight="1">
      <c r="A4" s="11" t="str">
        <f>底稿目录!A3</f>
        <v>截止日：202X年12月31日</v>
      </c>
      <c r="B4" s="12"/>
      <c r="D4" s="11"/>
      <c r="E4" s="11" t="str">
        <f>底稿目录!A6</f>
        <v>复核人：</v>
      </c>
      <c r="H4" s="11" t="str">
        <f>底稿目录!A7</f>
        <v>复核日期：</v>
      </c>
      <c r="J4" s="180" t="s">
        <v>166</v>
      </c>
      <c r="K4" s="12">
        <v>1</v>
      </c>
    </row>
    <row r="5" spans="1:11" ht="19.95" customHeight="1">
      <c r="A5" s="42" t="s">
        <v>40</v>
      </c>
      <c r="B5" s="12"/>
      <c r="D5" s="11"/>
      <c r="E5" s="11"/>
      <c r="F5" s="11"/>
      <c r="H5" s="13"/>
    </row>
    <row r="6" spans="1:11" ht="35.4" customHeight="1">
      <c r="A6" s="403" t="s">
        <v>25</v>
      </c>
      <c r="B6" s="405" t="s">
        <v>26</v>
      </c>
      <c r="C6" s="406"/>
      <c r="D6" s="406"/>
      <c r="E6" s="407"/>
      <c r="F6" s="405" t="s">
        <v>27</v>
      </c>
      <c r="G6" s="406"/>
      <c r="H6" s="406"/>
      <c r="I6" s="407"/>
      <c r="J6" s="408" t="s">
        <v>28</v>
      </c>
      <c r="K6" s="409"/>
    </row>
    <row r="7" spans="1:11" ht="19.95" customHeight="1">
      <c r="A7" s="404"/>
      <c r="B7" s="39" t="s">
        <v>29</v>
      </c>
      <c r="C7" s="39" t="s">
        <v>30</v>
      </c>
      <c r="D7" s="39" t="s">
        <v>31</v>
      </c>
      <c r="E7" s="39" t="s">
        <v>32</v>
      </c>
      <c r="F7" s="39" t="s">
        <v>29</v>
      </c>
      <c r="G7" s="39" t="s">
        <v>30</v>
      </c>
      <c r="H7" s="39" t="s">
        <v>31</v>
      </c>
      <c r="I7" s="39" t="s">
        <v>32</v>
      </c>
      <c r="J7" s="40" t="s">
        <v>33</v>
      </c>
      <c r="K7" s="41" t="s">
        <v>34</v>
      </c>
    </row>
    <row r="8" spans="1:11" ht="19.95" customHeight="1">
      <c r="A8" s="91" t="str">
        <f>底稿目录!A9</f>
        <v>押金</v>
      </c>
      <c r="B8" s="196">
        <f>SUMIF('明细表K3-2'!$D$10:$D$30,'审定表K3-1'!A8,'明细表K3-2'!$E$10:$E$30)</f>
        <v>0</v>
      </c>
      <c r="C8" s="196">
        <f>SUMIF('明细表K3-2'!$D$10:$D$30,'审定表K3-1'!A8,'明细表K3-2'!$F$10:$F$30)</f>
        <v>0</v>
      </c>
      <c r="D8" s="196">
        <f>SUMIF('明细表K3-2'!$D$10:$D$30,'审定表K3-1'!A8,'明细表K3-2'!$G$10:$G$30)</f>
        <v>0</v>
      </c>
      <c r="E8" s="196">
        <f>B8+C8+D8</f>
        <v>0</v>
      </c>
      <c r="F8" s="196">
        <f>SUMIF('明细表K3-2'!$D$10:$D$30,'审定表K3-1'!A8,'明细表K3-2'!$O$10:$O$30)</f>
        <v>0</v>
      </c>
      <c r="G8" s="196">
        <f>SUMIF('明细表K3-2'!$D$10:$D$30,'审定表K3-1'!A8,'明细表K3-2'!$R$10:$R$30)</f>
        <v>0</v>
      </c>
      <c r="H8" s="196">
        <f>SUMIF('明细表K3-2'!$D$10:$D$30,'审定表K3-1'!A8,'明细表K3-2'!$S$10:$S$30)</f>
        <v>0</v>
      </c>
      <c r="I8" s="196">
        <f>F8+G8+H8</f>
        <v>0</v>
      </c>
      <c r="J8" s="197">
        <f>I8-E8</f>
        <v>0</v>
      </c>
      <c r="K8" s="198">
        <f>IF(AND(E8=0,J8=0),0,IF(AND(E8=0,J8&gt;0),1,J8/E8))</f>
        <v>0</v>
      </c>
    </row>
    <row r="9" spans="1:11" ht="19.95" customHeight="1">
      <c r="A9" s="91" t="str">
        <f>底稿目录!A10</f>
        <v>保证金</v>
      </c>
      <c r="B9" s="196">
        <f>SUMIF('明细表K3-2'!$D$10:$D$30,'审定表K3-1'!A9,'明细表K3-2'!$E$10:$E$30)</f>
        <v>0</v>
      </c>
      <c r="C9" s="196">
        <f>SUMIF('明细表K3-2'!$D$10:$D$30,'审定表K3-1'!A9,'明细表K3-2'!$F$10:$F$30)</f>
        <v>0</v>
      </c>
      <c r="D9" s="196">
        <f>SUMIF('明细表K3-2'!$D$10:$D$30,'审定表K3-1'!A9,'明细表K3-2'!$G$10:$G$30)</f>
        <v>0</v>
      </c>
      <c r="E9" s="196">
        <f>B9+C9+D9</f>
        <v>0</v>
      </c>
      <c r="F9" s="196">
        <f>SUMIF('明细表K3-2'!$D$10:$D$30,'审定表K3-1'!A9,'明细表K3-2'!$O$10:$O$30)</f>
        <v>0</v>
      </c>
      <c r="G9" s="196">
        <f>SUMIF('明细表K3-2'!$D$10:$D$30,'审定表K3-1'!A9,'明细表K3-2'!$R$10:$R$30)</f>
        <v>0</v>
      </c>
      <c r="H9" s="196">
        <f>SUMIF('明细表K3-2'!$D$10:$D$30,'审定表K3-1'!A9,'明细表K3-2'!$S$10:$S$30)</f>
        <v>0</v>
      </c>
      <c r="I9" s="196">
        <f>F9+G9+H9</f>
        <v>0</v>
      </c>
      <c r="J9" s="197">
        <f>I9-E9</f>
        <v>0</v>
      </c>
      <c r="K9" s="198">
        <f>IF(AND(E9=0,J9=0),0,IF(AND(E9=0,J9&gt;0),1,J9/E9))</f>
        <v>0</v>
      </c>
    </row>
    <row r="10" spans="1:11" ht="19.95" customHeight="1">
      <c r="A10" s="91" t="str">
        <f>底稿目录!A11</f>
        <v>其他</v>
      </c>
      <c r="B10" s="196">
        <f>SUMIF('明细表K3-2'!$D$10:$D$30,'审定表K3-1'!A10,'明细表K3-2'!$E$10:$E$30)</f>
        <v>0</v>
      </c>
      <c r="C10" s="196">
        <f>SUMIF('明细表K3-2'!$D$10:$D$30,'审定表K3-1'!A10,'明细表K3-2'!$F$10:$F$30)</f>
        <v>0</v>
      </c>
      <c r="D10" s="196">
        <f>SUMIF('明细表K3-2'!$D$10:$D$30,'审定表K3-1'!A10,'明细表K3-2'!$G$10:$G$30)</f>
        <v>0</v>
      </c>
      <c r="E10" s="196">
        <f>B10+C10+D10</f>
        <v>0</v>
      </c>
      <c r="F10" s="196">
        <f>SUMIF('明细表K3-2'!$D$10:$D$30,'审定表K3-1'!A10,'明细表K3-2'!$O$10:$O$30)</f>
        <v>0</v>
      </c>
      <c r="G10" s="196">
        <f>SUMIF('明细表K3-2'!$D$10:$D$30,'审定表K3-1'!A10,'明细表K3-2'!$R$10:$R$30)</f>
        <v>0</v>
      </c>
      <c r="H10" s="196">
        <f>SUMIF('明细表K3-2'!$D$10:$D$30,'审定表K3-1'!A10,'明细表K3-2'!$S$10:$S$30)</f>
        <v>0</v>
      </c>
      <c r="I10" s="196">
        <f>F10+G10+H10</f>
        <v>0</v>
      </c>
      <c r="J10" s="197">
        <f>I10-E10</f>
        <v>0</v>
      </c>
      <c r="K10" s="198">
        <f>IF(AND(E10=0,J10=0),0,IF(AND(E10=0,J10&gt;0),1,J10/E10))</f>
        <v>0</v>
      </c>
    </row>
    <row r="11" spans="1:11" ht="19.95" customHeight="1">
      <c r="A11" s="37" t="s">
        <v>38</v>
      </c>
      <c r="B11" s="196">
        <f t="shared" ref="B11:I11" si="0">SUM(B8:B10)</f>
        <v>0</v>
      </c>
      <c r="C11" s="196">
        <f t="shared" si="0"/>
        <v>0</v>
      </c>
      <c r="D11" s="196">
        <f t="shared" si="0"/>
        <v>0</v>
      </c>
      <c r="E11" s="196">
        <f t="shared" si="0"/>
        <v>0</v>
      </c>
      <c r="F11" s="196">
        <f t="shared" si="0"/>
        <v>0</v>
      </c>
      <c r="G11" s="196">
        <f t="shared" si="0"/>
        <v>0</v>
      </c>
      <c r="H11" s="196">
        <f t="shared" si="0"/>
        <v>0</v>
      </c>
      <c r="I11" s="196">
        <f t="shared" si="0"/>
        <v>0</v>
      </c>
      <c r="J11" s="196">
        <f>SUM(J8:J10)</f>
        <v>0</v>
      </c>
      <c r="K11" s="198">
        <f>IF(AND(E11=0,J11=0),0,IF(AND(E11=0,J11&gt;0),1,J11/E11))</f>
        <v>0</v>
      </c>
    </row>
    <row r="12" spans="1:11" ht="19.95" customHeight="1">
      <c r="A12" s="37" t="s">
        <v>151</v>
      </c>
      <c r="B12" s="104"/>
      <c r="C12" s="104"/>
      <c r="D12" s="104"/>
      <c r="E12" s="104"/>
      <c r="F12" s="104"/>
      <c r="G12" s="104"/>
      <c r="H12" s="104"/>
      <c r="I12" s="104"/>
      <c r="J12" s="104"/>
      <c r="K12" s="104"/>
    </row>
    <row r="13" spans="1:11" ht="19.95" customHeight="1">
      <c r="A13" s="37" t="s">
        <v>152</v>
      </c>
      <c r="B13" s="196">
        <f>B11-B12</f>
        <v>0</v>
      </c>
      <c r="C13" s="196">
        <f t="shared" ref="C13:I13" si="1">C11-C12</f>
        <v>0</v>
      </c>
      <c r="D13" s="196">
        <f t="shared" si="1"/>
        <v>0</v>
      </c>
      <c r="E13" s="196">
        <f t="shared" si="1"/>
        <v>0</v>
      </c>
      <c r="F13" s="196">
        <f t="shared" si="1"/>
        <v>0</v>
      </c>
      <c r="G13" s="196">
        <f t="shared" si="1"/>
        <v>0</v>
      </c>
      <c r="H13" s="196">
        <f t="shared" si="1"/>
        <v>0</v>
      </c>
      <c r="I13" s="196">
        <f t="shared" si="1"/>
        <v>0</v>
      </c>
      <c r="J13" s="368"/>
      <c r="K13" s="368"/>
    </row>
    <row r="14" spans="1:11" ht="19.95" customHeight="1">
      <c r="A14" s="42" t="s">
        <v>41</v>
      </c>
    </row>
    <row r="15" spans="1:11" ht="19.95" customHeight="1">
      <c r="A15" s="403" t="s">
        <v>25</v>
      </c>
      <c r="B15" s="405" t="s">
        <v>26</v>
      </c>
      <c r="C15" s="406"/>
      <c r="D15" s="406"/>
      <c r="E15" s="407"/>
      <c r="F15" s="405" t="s">
        <v>27</v>
      </c>
      <c r="G15" s="406"/>
      <c r="H15" s="406"/>
      <c r="I15" s="407"/>
      <c r="J15" s="408" t="s">
        <v>28</v>
      </c>
      <c r="K15" s="409"/>
    </row>
    <row r="16" spans="1:11" ht="19.95" customHeight="1">
      <c r="A16" s="404"/>
      <c r="B16" s="39" t="s">
        <v>29</v>
      </c>
      <c r="C16" s="39" t="s">
        <v>30</v>
      </c>
      <c r="D16" s="39" t="s">
        <v>31</v>
      </c>
      <c r="E16" s="39" t="s">
        <v>32</v>
      </c>
      <c r="F16" s="39" t="s">
        <v>29</v>
      </c>
      <c r="G16" s="39" t="s">
        <v>30</v>
      </c>
      <c r="H16" s="39" t="s">
        <v>31</v>
      </c>
      <c r="I16" s="39" t="s">
        <v>32</v>
      </c>
      <c r="J16" s="40" t="s">
        <v>33</v>
      </c>
      <c r="K16" s="41" t="s">
        <v>34</v>
      </c>
    </row>
    <row r="17" spans="1:11" ht="19.95" customHeight="1">
      <c r="A17" s="91" t="s">
        <v>39</v>
      </c>
      <c r="B17" s="104"/>
      <c r="C17" s="104"/>
      <c r="D17" s="104"/>
      <c r="E17" s="196">
        <f>'明细表K3-2'!I31</f>
        <v>0</v>
      </c>
      <c r="F17" s="104"/>
      <c r="G17" s="104"/>
      <c r="H17" s="104"/>
      <c r="I17" s="196">
        <f>'明细表K3-2'!U31</f>
        <v>0</v>
      </c>
      <c r="J17" s="197">
        <f>I17-E17</f>
        <v>0</v>
      </c>
      <c r="K17" s="198">
        <f>IF(AND(E17=0,J17=0),0,IF(AND(E17=0,J17&gt;0),1,J17/E17))</f>
        <v>0</v>
      </c>
    </row>
    <row r="18" spans="1:11" ht="19.95" customHeight="1">
      <c r="A18" s="91" t="s">
        <v>35</v>
      </c>
      <c r="B18" s="104"/>
      <c r="C18" s="104"/>
      <c r="D18" s="104"/>
      <c r="E18" s="196">
        <f>'明细表K3-2'!J31</f>
        <v>0</v>
      </c>
      <c r="F18" s="104"/>
      <c r="G18" s="104"/>
      <c r="H18" s="104"/>
      <c r="I18" s="196">
        <f>'明细表K3-2'!V31</f>
        <v>0</v>
      </c>
      <c r="J18" s="197">
        <f>I18-E18</f>
        <v>0</v>
      </c>
      <c r="K18" s="198">
        <f>IF(AND(E18=0,J18=0),0,IF(AND(E18=0,J18&gt;0),1,J18/E18))</f>
        <v>0</v>
      </c>
    </row>
    <row r="19" spans="1:11" ht="19.95" customHeight="1">
      <c r="A19" s="91" t="s">
        <v>36</v>
      </c>
      <c r="B19" s="104"/>
      <c r="C19" s="104"/>
      <c r="D19" s="104"/>
      <c r="E19" s="196">
        <f>'明细表K3-2'!K31</f>
        <v>0</v>
      </c>
      <c r="F19" s="104"/>
      <c r="G19" s="104"/>
      <c r="H19" s="104"/>
      <c r="I19" s="196">
        <f>'明细表K3-2'!W31</f>
        <v>0</v>
      </c>
      <c r="J19" s="197">
        <f>I19-E19</f>
        <v>0</v>
      </c>
      <c r="K19" s="198">
        <f>IF(AND(E19=0,J19=0),0,IF(AND(E19=0,J19&gt;0),1,J19/E19))</f>
        <v>0</v>
      </c>
    </row>
    <row r="20" spans="1:11" ht="19.95" customHeight="1">
      <c r="A20" s="91" t="s">
        <v>37</v>
      </c>
      <c r="B20" s="104"/>
      <c r="C20" s="104"/>
      <c r="D20" s="104"/>
      <c r="E20" s="196">
        <f>'明细表K3-2'!L31</f>
        <v>0</v>
      </c>
      <c r="F20" s="104"/>
      <c r="G20" s="104"/>
      <c r="H20" s="104"/>
      <c r="I20" s="196">
        <f>'明细表K3-2'!X31</f>
        <v>0</v>
      </c>
      <c r="J20" s="197">
        <f>I20-E20</f>
        <v>0</v>
      </c>
      <c r="K20" s="198">
        <f>IF(AND(E20=0,J20=0),0,IF(AND(E20=0,J20&gt;0),1,J20/E20))</f>
        <v>0</v>
      </c>
    </row>
    <row r="21" spans="1:11" ht="19.95" customHeight="1">
      <c r="A21" s="104"/>
      <c r="B21" s="104"/>
      <c r="C21" s="104"/>
      <c r="D21" s="104"/>
      <c r="E21" s="104"/>
      <c r="F21" s="104"/>
      <c r="G21" s="104"/>
      <c r="H21" s="104"/>
      <c r="I21" s="104"/>
      <c r="J21" s="104"/>
      <c r="K21" s="104"/>
    </row>
    <row r="22" spans="1:11" ht="19.95" customHeight="1">
      <c r="A22" s="37" t="s">
        <v>38</v>
      </c>
      <c r="B22" s="196">
        <f t="shared" ref="B22:J22" si="2">SUM(B17:B21)</f>
        <v>0</v>
      </c>
      <c r="C22" s="196">
        <f t="shared" si="2"/>
        <v>0</v>
      </c>
      <c r="D22" s="196">
        <f t="shared" si="2"/>
        <v>0</v>
      </c>
      <c r="E22" s="196">
        <f t="shared" si="2"/>
        <v>0</v>
      </c>
      <c r="F22" s="196">
        <f t="shared" si="2"/>
        <v>0</v>
      </c>
      <c r="G22" s="196">
        <f t="shared" si="2"/>
        <v>0</v>
      </c>
      <c r="H22" s="196">
        <f t="shared" si="2"/>
        <v>0</v>
      </c>
      <c r="I22" s="196">
        <f t="shared" si="2"/>
        <v>0</v>
      </c>
      <c r="J22" s="196">
        <f t="shared" si="2"/>
        <v>0</v>
      </c>
      <c r="K22" s="198">
        <f>IF(AND(E22=0,J22=0),0,IF(AND(E22=0,J22&gt;0),1,J22/E22))</f>
        <v>0</v>
      </c>
    </row>
    <row r="23" spans="1:11" ht="19.95" customHeight="1">
      <c r="A23" s="222" t="s">
        <v>200</v>
      </c>
      <c r="B23" s="104"/>
      <c r="C23" s="104"/>
      <c r="D23" s="104"/>
      <c r="E23" s="104"/>
      <c r="F23" s="104"/>
      <c r="G23" s="104"/>
      <c r="H23" s="104"/>
      <c r="I23" s="104"/>
      <c r="J23" s="104"/>
      <c r="K23" s="104"/>
    </row>
    <row r="24" spans="1:11" ht="19.95" customHeight="1">
      <c r="A24" s="37" t="s">
        <v>152</v>
      </c>
      <c r="B24" s="196">
        <f t="shared" ref="B24:I24" si="3">B22-B23</f>
        <v>0</v>
      </c>
      <c r="C24" s="196">
        <f t="shared" si="3"/>
        <v>0</v>
      </c>
      <c r="D24" s="196">
        <f t="shared" si="3"/>
        <v>0</v>
      </c>
      <c r="E24" s="196">
        <f t="shared" si="3"/>
        <v>0</v>
      </c>
      <c r="F24" s="196">
        <f t="shared" si="3"/>
        <v>0</v>
      </c>
      <c r="G24" s="196">
        <f t="shared" si="3"/>
        <v>0</v>
      </c>
      <c r="H24" s="196">
        <f t="shared" si="3"/>
        <v>0</v>
      </c>
      <c r="I24" s="196">
        <f t="shared" si="3"/>
        <v>0</v>
      </c>
      <c r="J24" s="104"/>
      <c r="K24" s="104"/>
    </row>
    <row r="25" spans="1:11" ht="19.95" customHeight="1">
      <c r="A25" s="138" t="s">
        <v>295</v>
      </c>
      <c r="F25" s="107" t="s">
        <v>103</v>
      </c>
      <c r="G25" s="107"/>
      <c r="H25" s="107"/>
      <c r="I25" s="108"/>
    </row>
    <row r="26" spans="1:11" ht="19.95" customHeight="1">
      <c r="A26" s="107" t="s">
        <v>254</v>
      </c>
      <c r="F26" s="109"/>
      <c r="G26" s="110" t="s">
        <v>104</v>
      </c>
      <c r="H26" s="110" t="s">
        <v>105</v>
      </c>
      <c r="I26" s="111" t="s">
        <v>106</v>
      </c>
    </row>
    <row r="27" spans="1:11" ht="19.95" customHeight="1">
      <c r="A27" s="107" t="s">
        <v>300</v>
      </c>
      <c r="F27" s="113" t="s">
        <v>108</v>
      </c>
      <c r="G27" s="112"/>
      <c r="H27" s="112"/>
      <c r="I27" s="107" t="s">
        <v>110</v>
      </c>
    </row>
    <row r="28" spans="1:11" ht="19.95" customHeight="1">
      <c r="A28" s="83" t="s">
        <v>81</v>
      </c>
      <c r="F28" s="113" t="s">
        <v>109</v>
      </c>
      <c r="G28" s="112"/>
      <c r="H28" s="112"/>
      <c r="I28" s="107" t="s">
        <v>111</v>
      </c>
    </row>
    <row r="29" spans="1:11" ht="19.95" customHeight="1">
      <c r="F29" s="109" t="s">
        <v>256</v>
      </c>
      <c r="G29" s="112">
        <f>I11</f>
        <v>0</v>
      </c>
      <c r="H29" s="112">
        <f>E11</f>
        <v>0</v>
      </c>
      <c r="I29" s="107"/>
    </row>
    <row r="30" spans="1:11" ht="19.95" customHeight="1">
      <c r="F30" s="109" t="s">
        <v>257</v>
      </c>
      <c r="G30" s="112">
        <f>SUM(G27:G29)</f>
        <v>0</v>
      </c>
      <c r="H30" s="112">
        <f>SUM(H27:H29)</f>
        <v>0</v>
      </c>
      <c r="I30" s="107"/>
    </row>
    <row r="31" spans="1:11" ht="19.95" customHeight="1">
      <c r="F31" s="109" t="s">
        <v>258</v>
      </c>
      <c r="G31" s="112"/>
      <c r="H31" s="112"/>
      <c r="I31" s="107" t="s">
        <v>107</v>
      </c>
    </row>
    <row r="32" spans="1:11" ht="19.95" customHeight="1">
      <c r="F32" s="109" t="s">
        <v>259</v>
      </c>
      <c r="G32" s="112">
        <f>G30-G31</f>
        <v>0</v>
      </c>
      <c r="H32" s="112">
        <f>H30-H31</f>
        <v>0</v>
      </c>
      <c r="I32" s="107"/>
    </row>
    <row r="33" spans="1:11" ht="19.95" customHeight="1"/>
    <row r="34" spans="1:11" ht="19.95" customHeight="1">
      <c r="A34" s="138" t="s">
        <v>255</v>
      </c>
    </row>
    <row r="35" spans="1:11" ht="19.95" customHeight="1">
      <c r="A35" s="84"/>
    </row>
    <row r="39" spans="1:11">
      <c r="J39" s="100"/>
      <c r="K39" s="100"/>
    </row>
    <row r="40" spans="1:11">
      <c r="J40" s="100"/>
      <c r="K40" s="100"/>
    </row>
    <row r="47" spans="1:11">
      <c r="J47" s="100"/>
      <c r="K47" s="100"/>
    </row>
    <row r="48" spans="1:11">
      <c r="J48" s="100"/>
      <c r="K48" s="100"/>
    </row>
  </sheetData>
  <mergeCells count="10">
    <mergeCell ref="A15:A16"/>
    <mergeCell ref="B15:E15"/>
    <mergeCell ref="F15:I15"/>
    <mergeCell ref="J15:K15"/>
    <mergeCell ref="A1:K1"/>
    <mergeCell ref="A2:K2"/>
    <mergeCell ref="A6:A7"/>
    <mergeCell ref="B6:E6"/>
    <mergeCell ref="F6:I6"/>
    <mergeCell ref="J6:K6"/>
  </mergeCells>
  <phoneticPr fontId="18" type="noConversion"/>
  <hyperlinks>
    <hyperlink ref="K3" location="底稿目录!A1" display="底稿目录!A1"/>
  </hyperlinks>
  <pageMargins left="0.70866141732283472" right="0.51181102362204722" top="0.74803149606299213" bottom="0.74803149606299213" header="0.31496062992125984" footer="0.31496062992125984"/>
  <pageSetup paperSize="9" scale="62" fitToHeight="0" orientation="portrait" blackAndWhite="1" r:id="rId1"/>
  <ignoredErrors>
    <ignoredError sqref="K11 K22"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O51"/>
  <sheetViews>
    <sheetView view="pageBreakPreview" zoomScaleSheetLayoutView="100" workbookViewId="0">
      <selection activeCell="C20" sqref="C20"/>
    </sheetView>
  </sheetViews>
  <sheetFormatPr defaultColWidth="9" defaultRowHeight="13.8"/>
  <cols>
    <col min="1" max="1" width="28" style="14" customWidth="1"/>
    <col min="2" max="2" width="15.09765625" style="14" customWidth="1"/>
    <col min="3" max="3" width="21.8984375" style="14" customWidth="1"/>
    <col min="4" max="4" width="8.59765625" style="14" customWidth="1"/>
    <col min="5" max="5" width="10.69921875" style="14" customWidth="1"/>
    <col min="6" max="16384" width="9" style="14"/>
  </cols>
  <sheetData>
    <row r="1" spans="1:5" ht="19.95" customHeight="1">
      <c r="A1" s="412" t="s">
        <v>19</v>
      </c>
      <c r="B1" s="412"/>
      <c r="C1" s="412"/>
      <c r="D1" s="412"/>
      <c r="E1" s="412"/>
    </row>
    <row r="2" spans="1:5" s="54" customFormat="1" ht="19.95" customHeight="1">
      <c r="A2" s="413" t="s">
        <v>69</v>
      </c>
      <c r="B2" s="413"/>
      <c r="C2" s="413"/>
      <c r="D2" s="413"/>
      <c r="E2" s="413"/>
    </row>
    <row r="3" spans="1:5" ht="19.95" customHeight="1">
      <c r="A3" s="14" t="str">
        <f>底稿目录!A2</f>
        <v>被审计单位：</v>
      </c>
      <c r="B3" s="14" t="str">
        <f>底稿目录!A4</f>
        <v>编制人：</v>
      </c>
      <c r="C3" s="14" t="str">
        <f>底稿目录!A5</f>
        <v>编制日期：</v>
      </c>
      <c r="D3" s="66" t="s">
        <v>167</v>
      </c>
      <c r="E3" s="281">
        <f>底稿目录!F6</f>
        <v>0</v>
      </c>
    </row>
    <row r="4" spans="1:5" ht="19.95" customHeight="1">
      <c r="A4" s="14" t="str">
        <f>底稿目录!A3</f>
        <v>截止日：202X年12月31日</v>
      </c>
      <c r="B4" s="14" t="str">
        <f>底稿目录!A6</f>
        <v>复核人：</v>
      </c>
      <c r="C4" s="14" t="str">
        <f>底稿目录!A7</f>
        <v>复核日期：</v>
      </c>
      <c r="D4" s="66" t="s">
        <v>20</v>
      </c>
    </row>
    <row r="5" spans="1:5" s="67" customFormat="1" ht="19.95" customHeight="1" thickBot="1">
      <c r="A5" s="65" t="s">
        <v>115</v>
      </c>
      <c r="B5" s="141"/>
      <c r="C5" s="142"/>
    </row>
    <row r="6" spans="1:5" s="67" customFormat="1" ht="19.95" customHeight="1" thickBot="1">
      <c r="A6" s="145" t="s">
        <v>112</v>
      </c>
      <c r="B6" s="145" t="s">
        <v>157</v>
      </c>
      <c r="C6" s="145" t="s">
        <v>158</v>
      </c>
      <c r="D6" s="181"/>
    </row>
    <row r="7" spans="1:5" s="67" customFormat="1" ht="19.95" customHeight="1">
      <c r="A7" s="146" t="s">
        <v>113</v>
      </c>
      <c r="B7" s="147"/>
      <c r="C7" s="147"/>
      <c r="D7" s="148"/>
    </row>
    <row r="8" spans="1:5" s="67" customFormat="1" ht="19.95" customHeight="1">
      <c r="A8" s="67" t="s">
        <v>114</v>
      </c>
      <c r="B8" s="148"/>
      <c r="C8" s="148"/>
      <c r="D8" s="148"/>
    </row>
    <row r="9" spans="1:5" s="67" customFormat="1" ht="19.95" customHeight="1" thickBot="1">
      <c r="A9" s="67" t="s">
        <v>115</v>
      </c>
      <c r="B9" s="148">
        <f>B17</f>
        <v>0</v>
      </c>
      <c r="C9" s="149">
        <f>C17</f>
        <v>0</v>
      </c>
      <c r="D9" s="148"/>
    </row>
    <row r="10" spans="1:5" s="67" customFormat="1" ht="19.95" customHeight="1" thickBot="1">
      <c r="A10" s="145" t="s">
        <v>21</v>
      </c>
      <c r="B10" s="150">
        <f>SUM(B7:B9)</f>
        <v>0</v>
      </c>
      <c r="C10" s="150">
        <f>SUM(C7:C9)</f>
        <v>0</v>
      </c>
      <c r="D10" s="148"/>
    </row>
    <row r="11" spans="1:5" s="67" customFormat="1" ht="19.95" customHeight="1" thickBot="1">
      <c r="A11" s="67" t="s">
        <v>156</v>
      </c>
    </row>
    <row r="12" spans="1:5" s="67" customFormat="1" ht="19.95" customHeight="1" thickBot="1">
      <c r="A12" s="159" t="s">
        <v>95</v>
      </c>
      <c r="B12" s="164" t="s">
        <v>92</v>
      </c>
      <c r="C12" s="164" t="s">
        <v>154</v>
      </c>
      <c r="D12" s="182"/>
    </row>
    <row r="13" spans="1:5" s="67" customFormat="1" ht="19.95" customHeight="1">
      <c r="A13" s="153" t="s">
        <v>137</v>
      </c>
      <c r="B13" s="154">
        <f>'审定表K3-1'!I8</f>
        <v>0</v>
      </c>
      <c r="C13" s="154">
        <f>'审定表K3-1'!E8</f>
        <v>0</v>
      </c>
      <c r="D13" s="154"/>
    </row>
    <row r="14" spans="1:5" s="67" customFormat="1" ht="19.95" customHeight="1">
      <c r="A14" s="153" t="s">
        <v>138</v>
      </c>
      <c r="B14" s="154">
        <f>'审定表K3-1'!I9</f>
        <v>0</v>
      </c>
      <c r="C14" s="154">
        <f>'审定表K3-1'!E9</f>
        <v>0</v>
      </c>
      <c r="D14" s="154"/>
    </row>
    <row r="15" spans="1:5" s="67" customFormat="1" ht="19.95" customHeight="1">
      <c r="A15" s="153" t="s">
        <v>139</v>
      </c>
      <c r="B15" s="154">
        <f>'审定表K3-1'!I10</f>
        <v>0</v>
      </c>
      <c r="C15" s="154">
        <f>'审定表K3-1'!E10</f>
        <v>0</v>
      </c>
      <c r="D15" s="154"/>
    </row>
    <row r="16" spans="1:5" s="67" customFormat="1" ht="19.95" customHeight="1" thickBot="1">
      <c r="A16" s="155" t="s">
        <v>94</v>
      </c>
      <c r="B16" s="170"/>
      <c r="C16" s="170"/>
      <c r="D16" s="170"/>
    </row>
    <row r="17" spans="1:15" s="67" customFormat="1" ht="19.95" customHeight="1" thickBot="1">
      <c r="A17" s="159" t="s">
        <v>98</v>
      </c>
      <c r="B17" s="171">
        <f>SUM(B13:B16)</f>
        <v>0</v>
      </c>
      <c r="C17" s="171">
        <f>SUM(C13:C16)</f>
        <v>0</v>
      </c>
      <c r="D17" s="183"/>
    </row>
    <row r="18" spans="1:15" s="67" customFormat="1" ht="19.95" customHeight="1" thickBot="1">
      <c r="A18" s="64" t="s">
        <v>68</v>
      </c>
    </row>
    <row r="19" spans="1:15" s="67" customFormat="1" ht="19.95" customHeight="1" thickBot="1">
      <c r="A19" s="165" t="s">
        <v>99</v>
      </c>
      <c r="B19" s="166" t="s">
        <v>153</v>
      </c>
      <c r="C19" s="166" t="s">
        <v>100</v>
      </c>
      <c r="D19" s="184"/>
    </row>
    <row r="20" spans="1:15" s="67" customFormat="1" ht="19.95" customHeight="1">
      <c r="A20" s="167">
        <f>'长期挂账检查表K3-5'!A9</f>
        <v>0</v>
      </c>
      <c r="B20" s="172">
        <f>'长期挂账检查表K3-5'!I9</f>
        <v>0</v>
      </c>
      <c r="C20" s="173">
        <f>'长期挂账检查表K3-5'!E9</f>
        <v>0</v>
      </c>
      <c r="D20" s="185"/>
    </row>
    <row r="21" spans="1:15" s="67" customFormat="1" ht="19.95" customHeight="1">
      <c r="A21" s="155">
        <f>'长期挂账检查表K3-5'!A12</f>
        <v>0</v>
      </c>
      <c r="B21" s="174">
        <f>'长期挂账检查表K3-5'!I12</f>
        <v>0</v>
      </c>
      <c r="C21" s="175">
        <f>'长期挂账检查表K3-5'!E12</f>
        <v>0</v>
      </c>
      <c r="D21" s="175"/>
    </row>
    <row r="22" spans="1:15" s="67" customFormat="1" ht="19.95" customHeight="1" thickBot="1">
      <c r="A22" s="168">
        <f>'长期挂账检查表K3-5'!A13</f>
        <v>0</v>
      </c>
      <c r="B22" s="176">
        <f>'长期挂账检查表K3-5'!I13</f>
        <v>0</v>
      </c>
      <c r="C22" s="177">
        <f>'长期挂账检查表K3-5'!E13</f>
        <v>0</v>
      </c>
      <c r="D22" s="185"/>
    </row>
    <row r="23" spans="1:15" s="67" customFormat="1" ht="19.95" customHeight="1" thickBot="1">
      <c r="A23" s="169" t="s">
        <v>98</v>
      </c>
      <c r="B23" s="176">
        <f>SUM(B20:B22)</f>
        <v>0</v>
      </c>
      <c r="C23" s="178"/>
      <c r="D23" s="186"/>
    </row>
    <row r="24" spans="1:15" s="67" customFormat="1" ht="19.95" customHeight="1"/>
    <row r="25" spans="1:15" s="144" customFormat="1" ht="19.95" customHeight="1"/>
    <row r="26" spans="1:15" s="54" customFormat="1" ht="19.95" customHeight="1">
      <c r="A26" s="92"/>
      <c r="B26" s="92"/>
      <c r="C26" s="92"/>
      <c r="D26" s="92"/>
      <c r="E26" s="92"/>
    </row>
    <row r="27" spans="1:15" ht="18" customHeight="1"/>
    <row r="28" spans="1:15" ht="18" customHeight="1">
      <c r="K28" s="99"/>
      <c r="L28" s="99"/>
      <c r="M28" s="99"/>
      <c r="N28" s="99"/>
      <c r="O28" s="99"/>
    </row>
    <row r="29" spans="1:15" ht="18" customHeight="1">
      <c r="K29" s="99"/>
      <c r="L29" s="99"/>
      <c r="M29" s="99"/>
      <c r="N29" s="99"/>
      <c r="O29" s="99"/>
    </row>
    <row r="30" spans="1:15" ht="18" customHeight="1"/>
    <row r="31" spans="1:15" ht="18" customHeight="1"/>
    <row r="32" spans="1:15" ht="18" customHeight="1"/>
    <row r="33" spans="11:15" ht="18" customHeight="1"/>
    <row r="34" spans="11:15" ht="18" customHeight="1"/>
    <row r="35" spans="11:15" ht="18" customHeight="1"/>
    <row r="36" spans="11:15" ht="18" customHeight="1">
      <c r="K36" s="99"/>
      <c r="L36" s="99"/>
      <c r="M36" s="99"/>
      <c r="N36" s="99"/>
      <c r="O36" s="99"/>
    </row>
    <row r="37" spans="11:15" ht="18" customHeight="1">
      <c r="K37" s="99"/>
      <c r="L37" s="99"/>
      <c r="M37" s="99"/>
      <c r="N37" s="99"/>
      <c r="O37" s="99"/>
    </row>
    <row r="38" spans="11:15" ht="18" customHeight="1"/>
    <row r="39" spans="11:15" ht="18" customHeight="1"/>
    <row r="40" spans="11:15" ht="18" customHeight="1"/>
    <row r="41" spans="11:15" ht="18" customHeight="1"/>
    <row r="42" spans="11:15" ht="18" customHeight="1"/>
    <row r="43" spans="11:15" ht="18" customHeight="1"/>
    <row r="44" spans="11:15" ht="18" customHeight="1">
      <c r="K44" s="99"/>
      <c r="L44" s="99"/>
      <c r="M44" s="99"/>
      <c r="N44" s="99"/>
      <c r="O44" s="99"/>
    </row>
    <row r="45" spans="11:15" ht="18" customHeight="1">
      <c r="K45" s="99"/>
      <c r="L45" s="99"/>
      <c r="M45" s="99"/>
      <c r="N45" s="99"/>
      <c r="O45" s="99"/>
    </row>
    <row r="46" spans="11:15" ht="18" customHeight="1"/>
    <row r="47" spans="11:15" ht="18" customHeight="1"/>
    <row r="48" spans="11:15" ht="18" customHeight="1"/>
    <row r="49" ht="18" customHeight="1"/>
    <row r="50" ht="18" customHeight="1"/>
    <row r="51" ht="18" customHeight="1"/>
  </sheetData>
  <mergeCells count="2">
    <mergeCell ref="A1:E1"/>
    <mergeCell ref="A2:E2"/>
  </mergeCells>
  <phoneticPr fontId="18" type="noConversion"/>
  <printOptions horizontalCentered="1"/>
  <pageMargins left="0.98425196850393704" right="0.74803149606299213" top="0.98425196850393704" bottom="0.98425196850393704" header="0.51181102362204722" footer="0.51181102362204722"/>
  <pageSetup paperSize="9" scale="92" fitToHeight="100" orientation="portrait" blackAndWhite="1" cellComments="atEnd"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O45"/>
  <sheetViews>
    <sheetView view="pageBreakPreview" zoomScaleSheetLayoutView="100" workbookViewId="0">
      <selection activeCell="A12" sqref="A12"/>
    </sheetView>
  </sheetViews>
  <sheetFormatPr defaultColWidth="9" defaultRowHeight="12"/>
  <cols>
    <col min="1" max="1" width="25.5" style="27" customWidth="1"/>
    <col min="2" max="2" width="22.8984375" style="27" customWidth="1"/>
    <col min="3" max="3" width="20.09765625" style="27" customWidth="1"/>
    <col min="4" max="4" width="8.5" style="27" customWidth="1"/>
    <col min="5" max="5" width="6.59765625" style="27" customWidth="1"/>
    <col min="6" max="16384" width="9" style="27"/>
  </cols>
  <sheetData>
    <row r="1" spans="1:5" ht="19.95" customHeight="1">
      <c r="A1" s="414" t="s">
        <v>19</v>
      </c>
      <c r="B1" s="414"/>
      <c r="C1" s="414"/>
      <c r="D1" s="414"/>
      <c r="E1" s="414"/>
    </row>
    <row r="2" spans="1:5" s="36" customFormat="1" ht="19.95" customHeight="1">
      <c r="A2" s="413" t="s">
        <v>70</v>
      </c>
      <c r="B2" s="413"/>
      <c r="C2" s="413"/>
      <c r="D2" s="413"/>
      <c r="E2" s="413"/>
    </row>
    <row r="3" spans="1:5" ht="19.95" customHeight="1">
      <c r="A3" s="14" t="str">
        <f>底稿目录!A2</f>
        <v>被审计单位：</v>
      </c>
      <c r="B3" s="14" t="str">
        <f>底稿目录!A4</f>
        <v>编制人：</v>
      </c>
      <c r="C3" s="14" t="str">
        <f>底稿目录!A5</f>
        <v>编制日期：</v>
      </c>
      <c r="D3" s="66" t="s">
        <v>164</v>
      </c>
      <c r="E3" s="281">
        <f>底稿目录!F7</f>
        <v>0</v>
      </c>
    </row>
    <row r="4" spans="1:5" ht="19.95" customHeight="1">
      <c r="A4" s="14" t="str">
        <f>底稿目录!A3</f>
        <v>截止日：202X年12月31日</v>
      </c>
      <c r="B4" s="14" t="str">
        <f>底稿目录!A6</f>
        <v>复核人：</v>
      </c>
      <c r="C4" s="14" t="str">
        <f>底稿目录!A7</f>
        <v>复核日期：</v>
      </c>
      <c r="D4" s="66" t="s">
        <v>20</v>
      </c>
      <c r="E4" s="14"/>
    </row>
    <row r="5" spans="1:5" s="67" customFormat="1" ht="19.95" customHeight="1" thickBot="1">
      <c r="A5" s="65" t="s">
        <v>116</v>
      </c>
      <c r="B5" s="141"/>
      <c r="C5" s="142"/>
      <c r="D5" s="142"/>
      <c r="E5" s="143"/>
    </row>
    <row r="6" spans="1:5" s="67" customFormat="1" ht="19.95" customHeight="1" thickBot="1">
      <c r="A6" s="145" t="s">
        <v>112</v>
      </c>
      <c r="B6" s="145" t="s">
        <v>157</v>
      </c>
      <c r="C6" s="145" t="s">
        <v>158</v>
      </c>
      <c r="D6" s="181"/>
      <c r="E6" s="143"/>
    </row>
    <row r="7" spans="1:5" s="67" customFormat="1" ht="19.95" customHeight="1">
      <c r="A7" s="146" t="s">
        <v>113</v>
      </c>
      <c r="B7" s="147"/>
      <c r="C7" s="147"/>
      <c r="D7" s="148"/>
      <c r="E7" s="143"/>
    </row>
    <row r="8" spans="1:5" s="67" customFormat="1" ht="19.95" customHeight="1">
      <c r="A8" s="67" t="s">
        <v>114</v>
      </c>
      <c r="B8" s="148"/>
      <c r="C8" s="148"/>
      <c r="D8" s="148"/>
      <c r="E8" s="143"/>
    </row>
    <row r="9" spans="1:5" s="67" customFormat="1" ht="19.95" customHeight="1" thickBot="1">
      <c r="A9" s="67" t="s">
        <v>115</v>
      </c>
      <c r="B9" s="148">
        <f>B17</f>
        <v>0</v>
      </c>
      <c r="C9" s="149">
        <f>C17</f>
        <v>0</v>
      </c>
      <c r="D9" s="148"/>
      <c r="E9" s="143"/>
    </row>
    <row r="10" spans="1:5" s="67" customFormat="1" ht="19.95" customHeight="1" thickBot="1">
      <c r="A10" s="145" t="s">
        <v>21</v>
      </c>
      <c r="B10" s="150">
        <f>SUM(B7:B9)</f>
        <v>0</v>
      </c>
      <c r="C10" s="150">
        <f>SUM(C7:C9)</f>
        <v>0</v>
      </c>
      <c r="D10" s="148"/>
      <c r="E10" s="143"/>
    </row>
    <row r="11" spans="1:5" s="67" customFormat="1" ht="19.95" customHeight="1" thickBot="1">
      <c r="A11" s="14" t="s">
        <v>302</v>
      </c>
    </row>
    <row r="12" spans="1:5" s="67" customFormat="1" ht="19.95" customHeight="1" thickBot="1">
      <c r="A12" s="151" t="s">
        <v>101</v>
      </c>
      <c r="B12" s="152" t="s">
        <v>1</v>
      </c>
      <c r="C12" s="152" t="s">
        <v>155</v>
      </c>
      <c r="D12" s="187"/>
    </row>
    <row r="13" spans="1:5" s="67" customFormat="1" ht="19.95" customHeight="1">
      <c r="A13" s="153" t="s">
        <v>93</v>
      </c>
      <c r="B13" s="154">
        <f>'审定表K3-1'!I8</f>
        <v>0</v>
      </c>
      <c r="C13" s="154">
        <f>'审定表K3-1'!E8</f>
        <v>0</v>
      </c>
      <c r="D13" s="154"/>
    </row>
    <row r="14" spans="1:5" s="67" customFormat="1" ht="19.95" customHeight="1">
      <c r="A14" s="153" t="s">
        <v>96</v>
      </c>
      <c r="B14" s="154">
        <f>'审定表K3-1'!I9</f>
        <v>0</v>
      </c>
      <c r="C14" s="154">
        <f>'审定表K3-1'!E9</f>
        <v>0</v>
      </c>
      <c r="D14" s="154"/>
    </row>
    <row r="15" spans="1:5" s="67" customFormat="1" ht="19.95" customHeight="1">
      <c r="A15" s="153" t="s">
        <v>97</v>
      </c>
      <c r="B15" s="154">
        <f>'审定表K3-1'!I10</f>
        <v>0</v>
      </c>
      <c r="C15" s="154">
        <f>'审定表K3-1'!E10</f>
        <v>0</v>
      </c>
      <c r="D15" s="154"/>
    </row>
    <row r="16" spans="1:5" s="67" customFormat="1" ht="19.95" customHeight="1" thickBot="1">
      <c r="A16" s="155" t="s">
        <v>94</v>
      </c>
      <c r="B16" s="156"/>
      <c r="C16" s="156"/>
      <c r="D16" s="188"/>
    </row>
    <row r="17" spans="1:15" s="67" customFormat="1" ht="19.95" customHeight="1" thickBot="1">
      <c r="A17" s="157" t="s">
        <v>102</v>
      </c>
      <c r="B17" s="158">
        <f>SUM(B13:B16)</f>
        <v>0</v>
      </c>
      <c r="C17" s="158">
        <f>SUM(C13:C16)</f>
        <v>0</v>
      </c>
      <c r="D17" s="188"/>
    </row>
    <row r="18" spans="1:15" s="67" customFormat="1" ht="19.95" customHeight="1" thickBot="1">
      <c r="A18" s="25" t="s">
        <v>301</v>
      </c>
    </row>
    <row r="19" spans="1:15" s="67" customFormat="1" ht="19.95" customHeight="1" thickBot="1">
      <c r="A19" s="159" t="s">
        <v>23</v>
      </c>
      <c r="B19" s="160" t="s">
        <v>1</v>
      </c>
      <c r="C19" s="160" t="s">
        <v>24</v>
      </c>
      <c r="D19" s="189"/>
    </row>
    <row r="20" spans="1:15" s="67" customFormat="1" ht="19.95" customHeight="1">
      <c r="A20" s="223">
        <f>'长期挂账检查表K3-5'!A9</f>
        <v>0</v>
      </c>
      <c r="B20" s="154">
        <f>'长期挂账检查表K3-5'!I9</f>
        <v>0</v>
      </c>
      <c r="C20" s="161">
        <f>'长期挂账检查表K3-5'!E9</f>
        <v>0</v>
      </c>
      <c r="D20" s="161"/>
    </row>
    <row r="21" spans="1:15" s="67" customFormat="1" ht="19.95" customHeight="1">
      <c r="A21" s="223">
        <f>'长期挂账检查表K3-5'!A12</f>
        <v>0</v>
      </c>
      <c r="B21" s="154">
        <f>'长期挂账检查表K3-5'!I12</f>
        <v>0</v>
      </c>
      <c r="C21" s="161">
        <f>'长期挂账检查表K3-5'!E12</f>
        <v>0</v>
      </c>
      <c r="D21" s="161"/>
    </row>
    <row r="22" spans="1:15" s="67" customFormat="1" ht="19.95" customHeight="1" thickBot="1">
      <c r="A22" s="223">
        <f>'长期挂账检查表K3-5'!A13</f>
        <v>0</v>
      </c>
      <c r="B22" s="154">
        <f>'长期挂账检查表K3-5'!I13</f>
        <v>0</v>
      </c>
      <c r="C22" s="161">
        <f>'长期挂账检查表K3-5'!E13</f>
        <v>0</v>
      </c>
      <c r="D22" s="161"/>
    </row>
    <row r="23" spans="1:15" s="67" customFormat="1" ht="19.95" customHeight="1" thickBot="1">
      <c r="A23" s="159" t="s">
        <v>21</v>
      </c>
      <c r="B23" s="162">
        <f>SUM(B20:B22)</f>
        <v>0</v>
      </c>
      <c r="C23" s="163"/>
      <c r="D23" s="190"/>
    </row>
    <row r="24" spans="1:15" s="67" customFormat="1" ht="19.95" customHeight="1"/>
    <row r="25" spans="1:15" s="67" customFormat="1" ht="19.95" customHeight="1"/>
    <row r="26" spans="1:15" s="53" customFormat="1" ht="15.6">
      <c r="A26" s="6"/>
      <c r="B26" s="6"/>
      <c r="C26" s="6"/>
      <c r="D26" s="6"/>
      <c r="E26" s="6"/>
    </row>
    <row r="27" spans="1:15" s="53" customFormat="1"/>
    <row r="28" spans="1:15" s="53" customFormat="1">
      <c r="K28" s="102"/>
      <c r="L28" s="102"/>
      <c r="M28" s="102"/>
      <c r="N28" s="102"/>
      <c r="O28" s="102"/>
    </row>
    <row r="29" spans="1:15" s="53" customFormat="1">
      <c r="K29" s="102"/>
      <c r="L29" s="102"/>
      <c r="M29" s="102"/>
      <c r="N29" s="102"/>
      <c r="O29" s="102"/>
    </row>
    <row r="30" spans="1:15" s="53" customFormat="1"/>
    <row r="31" spans="1:15" ht="18" customHeight="1"/>
    <row r="32" spans="1:15" ht="18" customHeight="1"/>
    <row r="33" spans="11:15" ht="18" customHeight="1"/>
    <row r="34" spans="11:15" ht="18" customHeight="1"/>
    <row r="36" spans="11:15">
      <c r="K36" s="103"/>
      <c r="L36" s="103"/>
      <c r="M36" s="103"/>
      <c r="N36" s="103"/>
      <c r="O36" s="103"/>
    </row>
    <row r="37" spans="11:15">
      <c r="K37" s="103"/>
      <c r="L37" s="103"/>
      <c r="M37" s="103"/>
      <c r="N37" s="103"/>
      <c r="O37" s="103"/>
    </row>
    <row r="44" spans="11:15">
      <c r="K44" s="103"/>
      <c r="L44" s="103"/>
      <c r="M44" s="103"/>
      <c r="N44" s="103"/>
      <c r="O44" s="103"/>
    </row>
    <row r="45" spans="11:15">
      <c r="K45" s="103"/>
      <c r="L45" s="103"/>
      <c r="M45" s="103"/>
      <c r="N45" s="103"/>
      <c r="O45" s="103"/>
    </row>
  </sheetData>
  <mergeCells count="2">
    <mergeCell ref="A1:E1"/>
    <mergeCell ref="A2:E2"/>
  </mergeCells>
  <phoneticPr fontId="18" type="noConversion"/>
  <printOptions horizontalCentered="1"/>
  <pageMargins left="0.98425196850393704" right="0.74803149606299213" top="0.98425196850393704" bottom="0.98425196850393704" header="0.51181102362204722" footer="0.51181102362204722"/>
  <pageSetup paperSize="9" scale="93" fitToHeight="100" orientation="portrait" blackAndWhite="1" cellComments="atEnd"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AA53"/>
  <sheetViews>
    <sheetView view="pageBreakPreview" zoomScaleSheetLayoutView="100" workbookViewId="0">
      <selection sqref="A1:AA1"/>
    </sheetView>
  </sheetViews>
  <sheetFormatPr defaultColWidth="7" defaultRowHeight="13.8"/>
  <cols>
    <col min="1" max="1" width="13" style="16" customWidth="1"/>
    <col min="2" max="2" width="14.59765625" style="16" customWidth="1"/>
    <col min="3" max="3" width="10.3984375" style="16" customWidth="1"/>
    <col min="4" max="4" width="9.3984375" style="16" customWidth="1"/>
    <col min="5" max="5" width="9.296875" style="16" customWidth="1"/>
    <col min="6" max="6" width="9.3984375" style="16" customWidth="1"/>
    <col min="7" max="7" width="9.19921875" style="16" customWidth="1"/>
    <col min="8" max="8" width="9.8984375" style="16" customWidth="1"/>
    <col min="9" max="12" width="8.8984375" style="16" customWidth="1"/>
    <col min="13" max="15" width="9.296875" style="16" customWidth="1"/>
    <col min="16" max="17" width="10.19921875" style="16" customWidth="1"/>
    <col min="18" max="20" width="9.09765625" style="16" customWidth="1"/>
    <col min="21" max="24" width="8.296875" style="16" customWidth="1"/>
    <col min="25" max="25" width="5.296875" style="16" customWidth="1"/>
    <col min="26" max="26" width="8" style="16" customWidth="1"/>
    <col min="27" max="27" width="8.59765625" style="16" customWidth="1"/>
    <col min="28" max="16384" width="7" style="16"/>
  </cols>
  <sheetData>
    <row r="1" spans="1:27" ht="19.95" customHeight="1">
      <c r="A1" s="415" t="s">
        <v>19</v>
      </c>
      <c r="B1" s="415"/>
      <c r="C1" s="415"/>
      <c r="D1" s="415"/>
      <c r="E1" s="415"/>
      <c r="F1" s="415"/>
      <c r="G1" s="415"/>
      <c r="H1" s="415"/>
      <c r="I1" s="415"/>
      <c r="J1" s="415"/>
      <c r="K1" s="415"/>
      <c r="L1" s="415"/>
      <c r="M1" s="415"/>
      <c r="N1" s="415"/>
      <c r="O1" s="415"/>
      <c r="P1" s="415"/>
      <c r="Q1" s="415"/>
      <c r="R1" s="415"/>
      <c r="S1" s="415"/>
      <c r="T1" s="415"/>
      <c r="U1" s="415"/>
      <c r="V1" s="415"/>
      <c r="W1" s="415"/>
      <c r="X1" s="415"/>
      <c r="Y1" s="415"/>
      <c r="Z1" s="415"/>
      <c r="AA1" s="415"/>
    </row>
    <row r="2" spans="1:27" s="29" customFormat="1" ht="19.95" customHeight="1">
      <c r="A2" s="416" t="s">
        <v>71</v>
      </c>
      <c r="B2" s="416"/>
      <c r="C2" s="416"/>
      <c r="D2" s="416"/>
      <c r="E2" s="416"/>
      <c r="F2" s="416"/>
      <c r="G2" s="416"/>
      <c r="H2" s="416"/>
      <c r="I2" s="416"/>
      <c r="J2" s="416"/>
      <c r="K2" s="416"/>
      <c r="L2" s="416"/>
      <c r="M2" s="416"/>
      <c r="N2" s="416"/>
      <c r="O2" s="416"/>
      <c r="P2" s="416"/>
      <c r="Q2" s="416"/>
      <c r="R2" s="416"/>
      <c r="S2" s="416"/>
      <c r="T2" s="416"/>
      <c r="U2" s="416"/>
      <c r="V2" s="416"/>
      <c r="W2" s="416"/>
      <c r="X2" s="416"/>
      <c r="Y2" s="416"/>
      <c r="Z2" s="416"/>
      <c r="AA2" s="416"/>
    </row>
    <row r="3" spans="1:27" ht="19.95" customHeight="1">
      <c r="A3" s="14" t="str">
        <f>底稿目录!A2</f>
        <v>被审计单位：</v>
      </c>
      <c r="B3" s="14"/>
      <c r="C3" s="14"/>
      <c r="D3" s="14"/>
      <c r="E3" s="14"/>
      <c r="F3" s="14"/>
      <c r="G3" s="14"/>
      <c r="H3" s="14"/>
      <c r="I3" s="14" t="str">
        <f>底稿目录!A4</f>
        <v>编制人：</v>
      </c>
      <c r="J3" s="14"/>
      <c r="K3" s="14"/>
      <c r="L3" s="14"/>
      <c r="M3" s="14"/>
      <c r="N3" s="14"/>
      <c r="R3" s="95" t="str">
        <f>底稿目录!A5</f>
        <v>编制日期：</v>
      </c>
      <c r="U3" s="95"/>
      <c r="X3" s="14"/>
      <c r="Y3" s="14"/>
      <c r="Z3" s="53" t="s">
        <v>168</v>
      </c>
      <c r="AA3" s="335" t="str">
        <f>底稿目录!F8</f>
        <v>K3-2</v>
      </c>
    </row>
    <row r="4" spans="1:27" ht="19.95" customHeight="1">
      <c r="A4" s="14" t="str">
        <f>底稿目录!A3</f>
        <v>截止日：202X年12月31日</v>
      </c>
      <c r="B4" s="14"/>
      <c r="C4" s="14"/>
      <c r="D4" s="14"/>
      <c r="E4" s="14"/>
      <c r="F4" s="14"/>
      <c r="G4" s="14"/>
      <c r="H4" s="14"/>
      <c r="I4" s="14" t="str">
        <f>底稿目录!A6</f>
        <v>复核人：</v>
      </c>
      <c r="J4" s="14"/>
      <c r="K4" s="14"/>
      <c r="L4" s="14"/>
      <c r="M4" s="14"/>
      <c r="N4" s="14"/>
      <c r="R4" s="95" t="str">
        <f>底稿目录!A7</f>
        <v>复核日期：</v>
      </c>
      <c r="U4" s="95"/>
      <c r="X4" s="14"/>
      <c r="Y4" s="14"/>
      <c r="Z4" s="14" t="s">
        <v>22</v>
      </c>
      <c r="AA4" s="14"/>
    </row>
    <row r="5" spans="1:27" ht="19.95" customHeight="1">
      <c r="A5" s="44" t="s">
        <v>42</v>
      </c>
      <c r="B5" s="44"/>
      <c r="C5" s="44"/>
      <c r="D5" s="45"/>
      <c r="E5" s="14"/>
      <c r="F5" s="14"/>
      <c r="G5" s="14"/>
      <c r="H5" s="14"/>
      <c r="I5" s="14"/>
      <c r="J5" s="14"/>
      <c r="K5" s="14"/>
      <c r="L5" s="14"/>
      <c r="M5" s="14"/>
      <c r="N5" s="14"/>
      <c r="O5" s="14"/>
      <c r="P5" s="14"/>
      <c r="Q5" s="14"/>
      <c r="T5" s="15"/>
      <c r="U5" s="14"/>
      <c r="V5" s="14"/>
      <c r="X5" s="14"/>
      <c r="Y5" s="14"/>
      <c r="Z5" s="14"/>
    </row>
    <row r="6" spans="1:27" ht="19.95" customHeight="1">
      <c r="A6" s="21" t="s">
        <v>249</v>
      </c>
      <c r="B6" s="21"/>
      <c r="C6" s="21"/>
      <c r="D6" s="63"/>
      <c r="E6" s="14"/>
      <c r="F6" s="21" t="s">
        <v>261</v>
      </c>
      <c r="H6" s="14"/>
      <c r="J6" s="14"/>
      <c r="K6" s="14"/>
      <c r="L6" s="14"/>
      <c r="M6" s="14" t="s">
        <v>260</v>
      </c>
      <c r="T6" s="15"/>
      <c r="U6" s="14"/>
      <c r="V6" s="14"/>
      <c r="X6" s="14"/>
      <c r="Y6" s="14"/>
      <c r="Z6" s="14"/>
    </row>
    <row r="7" spans="1:27" ht="19.95" customHeight="1">
      <c r="A7" s="65" t="s">
        <v>72</v>
      </c>
      <c r="B7" s="65"/>
      <c r="C7" s="65"/>
      <c r="E7" s="14"/>
      <c r="F7" s="14"/>
      <c r="G7" s="14"/>
      <c r="H7" s="14"/>
      <c r="I7" s="14"/>
      <c r="J7" s="14"/>
      <c r="K7" s="14"/>
      <c r="L7" s="14"/>
      <c r="M7" s="14"/>
      <c r="O7" s="14"/>
      <c r="P7" s="14"/>
      <c r="Q7" s="14"/>
      <c r="T7" s="15"/>
      <c r="U7" s="14"/>
      <c r="V7" s="14"/>
      <c r="X7" s="14"/>
      <c r="Y7" s="14"/>
      <c r="Z7" s="14"/>
    </row>
    <row r="8" spans="1:27" ht="19.95" customHeight="1">
      <c r="A8" s="417" t="s">
        <v>43</v>
      </c>
      <c r="B8" s="420" t="s">
        <v>307</v>
      </c>
      <c r="C8" s="421" t="s">
        <v>308</v>
      </c>
      <c r="D8" s="417" t="s">
        <v>310</v>
      </c>
      <c r="E8" s="420" t="s">
        <v>127</v>
      </c>
      <c r="F8" s="420" t="s">
        <v>128</v>
      </c>
      <c r="G8" s="420" t="s">
        <v>129</v>
      </c>
      <c r="H8" s="420" t="s">
        <v>126</v>
      </c>
      <c r="I8" s="425" t="s">
        <v>130</v>
      </c>
      <c r="J8" s="426"/>
      <c r="K8" s="426"/>
      <c r="L8" s="427"/>
      <c r="M8" s="417" t="s">
        <v>50</v>
      </c>
      <c r="N8" s="417" t="s">
        <v>51</v>
      </c>
      <c r="O8" s="417" t="s">
        <v>52</v>
      </c>
      <c r="P8" s="428" t="s">
        <v>402</v>
      </c>
      <c r="Q8" s="428" t="s">
        <v>404</v>
      </c>
      <c r="R8" s="417" t="s">
        <v>44</v>
      </c>
      <c r="S8" s="417" t="s">
        <v>45</v>
      </c>
      <c r="T8" s="417" t="s">
        <v>46</v>
      </c>
      <c r="U8" s="422" t="s">
        <v>47</v>
      </c>
      <c r="V8" s="423"/>
      <c r="W8" s="423"/>
      <c r="X8" s="424"/>
      <c r="Y8" s="418" t="s">
        <v>253</v>
      </c>
      <c r="Z8" s="417" t="s">
        <v>48</v>
      </c>
      <c r="AA8" s="417" t="s">
        <v>49</v>
      </c>
    </row>
    <row r="9" spans="1:27" ht="19.95" customHeight="1">
      <c r="A9" s="417"/>
      <c r="B9" s="417"/>
      <c r="C9" s="421" t="s">
        <v>309</v>
      </c>
      <c r="D9" s="417" t="s">
        <v>311</v>
      </c>
      <c r="E9" s="417"/>
      <c r="F9" s="417"/>
      <c r="G9" s="417"/>
      <c r="H9" s="417"/>
      <c r="I9" s="285" t="s">
        <v>284</v>
      </c>
      <c r="J9" s="285" t="s">
        <v>287</v>
      </c>
      <c r="K9" s="285" t="s">
        <v>288</v>
      </c>
      <c r="L9" s="282" t="s">
        <v>283</v>
      </c>
      <c r="M9" s="417"/>
      <c r="N9" s="417"/>
      <c r="O9" s="417"/>
      <c r="P9" s="429"/>
      <c r="Q9" s="429" t="s">
        <v>403</v>
      </c>
      <c r="R9" s="417"/>
      <c r="S9" s="417"/>
      <c r="T9" s="417"/>
      <c r="U9" s="285" t="s">
        <v>284</v>
      </c>
      <c r="V9" s="285" t="s">
        <v>285</v>
      </c>
      <c r="W9" s="285" t="s">
        <v>286</v>
      </c>
      <c r="X9" s="282" t="s">
        <v>282</v>
      </c>
      <c r="Y9" s="419"/>
      <c r="Z9" s="417"/>
      <c r="AA9" s="417"/>
    </row>
    <row r="10" spans="1:27" ht="19.95" customHeight="1">
      <c r="A10" s="20"/>
      <c r="B10" s="20"/>
      <c r="C10" s="93"/>
      <c r="D10" s="94"/>
      <c r="E10" s="18"/>
      <c r="F10" s="18"/>
      <c r="G10" s="18"/>
      <c r="H10" s="191">
        <f>E10+F10+G10</f>
        <v>0</v>
      </c>
      <c r="I10" s="18"/>
      <c r="J10" s="18"/>
      <c r="K10" s="18"/>
      <c r="L10" s="18"/>
      <c r="M10" s="18"/>
      <c r="N10" s="18"/>
      <c r="O10" s="191">
        <f>E10-M10+N10</f>
        <v>0</v>
      </c>
      <c r="P10" s="370"/>
      <c r="Q10" s="191">
        <f>O10+P10</f>
        <v>0</v>
      </c>
      <c r="R10" s="19"/>
      <c r="S10" s="19"/>
      <c r="T10" s="191">
        <f>O10+R10+S10</f>
        <v>0</v>
      </c>
      <c r="U10" s="18"/>
      <c r="V10" s="19"/>
      <c r="W10" s="18"/>
      <c r="X10" s="18"/>
      <c r="Y10" s="270"/>
      <c r="Z10" s="18"/>
      <c r="AA10" s="17"/>
    </row>
    <row r="11" spans="1:27" ht="19.95" customHeight="1">
      <c r="A11" s="20"/>
      <c r="B11" s="20"/>
      <c r="C11" s="93"/>
      <c r="D11" s="94"/>
      <c r="E11" s="18"/>
      <c r="F11" s="18"/>
      <c r="G11" s="18"/>
      <c r="H11" s="191">
        <f t="shared" ref="H11:H30" si="0">E11+F11+G11</f>
        <v>0</v>
      </c>
      <c r="I11" s="18"/>
      <c r="J11" s="18"/>
      <c r="K11" s="18"/>
      <c r="L11" s="18"/>
      <c r="M11" s="18"/>
      <c r="N11" s="18"/>
      <c r="O11" s="191">
        <f t="shared" ref="O11:O30" si="1">E11-M11+N11</f>
        <v>0</v>
      </c>
      <c r="P11" s="370"/>
      <c r="Q11" s="191">
        <f t="shared" ref="Q11:Q30" si="2">O11+P11</f>
        <v>0</v>
      </c>
      <c r="R11" s="19"/>
      <c r="S11" s="19"/>
      <c r="T11" s="191">
        <f t="shared" ref="T11:T30" si="3">O11+R11+S11</f>
        <v>0</v>
      </c>
      <c r="U11" s="18"/>
      <c r="V11" s="19"/>
      <c r="W11" s="18"/>
      <c r="X11" s="18"/>
      <c r="Y11" s="270"/>
      <c r="Z11" s="18"/>
      <c r="AA11" s="17"/>
    </row>
    <row r="12" spans="1:27" ht="19.95" customHeight="1">
      <c r="A12" s="20"/>
      <c r="B12" s="20"/>
      <c r="C12" s="93"/>
      <c r="D12" s="94"/>
      <c r="E12" s="18"/>
      <c r="F12" s="18"/>
      <c r="G12" s="18"/>
      <c r="H12" s="191">
        <f t="shared" si="0"/>
        <v>0</v>
      </c>
      <c r="I12" s="18"/>
      <c r="J12" s="18"/>
      <c r="K12" s="18"/>
      <c r="L12" s="18"/>
      <c r="M12" s="18"/>
      <c r="N12" s="18"/>
      <c r="O12" s="191">
        <f t="shared" si="1"/>
        <v>0</v>
      </c>
      <c r="P12" s="370"/>
      <c r="Q12" s="191">
        <f t="shared" si="2"/>
        <v>0</v>
      </c>
      <c r="R12" s="19"/>
      <c r="S12" s="19"/>
      <c r="T12" s="191">
        <f t="shared" si="3"/>
        <v>0</v>
      </c>
      <c r="U12" s="18"/>
      <c r="V12" s="19"/>
      <c r="W12" s="18"/>
      <c r="X12" s="18"/>
      <c r="Y12" s="270"/>
      <c r="Z12" s="18"/>
      <c r="AA12" s="17"/>
    </row>
    <row r="13" spans="1:27" ht="19.95" customHeight="1">
      <c r="A13" s="20"/>
      <c r="B13" s="20"/>
      <c r="C13" s="93"/>
      <c r="D13" s="94"/>
      <c r="E13" s="18"/>
      <c r="F13" s="18"/>
      <c r="G13" s="18"/>
      <c r="H13" s="191">
        <f t="shared" si="0"/>
        <v>0</v>
      </c>
      <c r="I13" s="18"/>
      <c r="J13" s="18"/>
      <c r="K13" s="18"/>
      <c r="L13" s="18"/>
      <c r="M13" s="18"/>
      <c r="N13" s="18"/>
      <c r="O13" s="191">
        <f t="shared" si="1"/>
        <v>0</v>
      </c>
      <c r="P13" s="370"/>
      <c r="Q13" s="191">
        <f t="shared" si="2"/>
        <v>0</v>
      </c>
      <c r="R13" s="19"/>
      <c r="S13" s="19"/>
      <c r="T13" s="191">
        <f t="shared" si="3"/>
        <v>0</v>
      </c>
      <c r="U13" s="18"/>
      <c r="V13" s="19"/>
      <c r="W13" s="18"/>
      <c r="X13" s="18"/>
      <c r="Y13" s="270"/>
      <c r="Z13" s="18"/>
      <c r="AA13" s="17"/>
    </row>
    <row r="14" spans="1:27" ht="19.95" customHeight="1">
      <c r="A14" s="20"/>
      <c r="B14" s="20"/>
      <c r="C14" s="93"/>
      <c r="D14" s="94"/>
      <c r="E14" s="18"/>
      <c r="F14" s="18"/>
      <c r="G14" s="18"/>
      <c r="H14" s="191">
        <f t="shared" si="0"/>
        <v>0</v>
      </c>
      <c r="I14" s="18"/>
      <c r="J14" s="18"/>
      <c r="K14" s="18"/>
      <c r="L14" s="18"/>
      <c r="M14" s="18"/>
      <c r="N14" s="18"/>
      <c r="O14" s="191">
        <f t="shared" si="1"/>
        <v>0</v>
      </c>
      <c r="P14" s="370"/>
      <c r="Q14" s="191">
        <f t="shared" si="2"/>
        <v>0</v>
      </c>
      <c r="R14" s="19"/>
      <c r="S14" s="19"/>
      <c r="T14" s="191">
        <f t="shared" si="3"/>
        <v>0</v>
      </c>
      <c r="U14" s="18"/>
      <c r="V14" s="19"/>
      <c r="W14" s="18"/>
      <c r="X14" s="18"/>
      <c r="Y14" s="270"/>
      <c r="Z14" s="18"/>
      <c r="AA14" s="17"/>
    </row>
    <row r="15" spans="1:27" ht="19.95" customHeight="1">
      <c r="A15" s="20"/>
      <c r="B15" s="20"/>
      <c r="C15" s="93"/>
      <c r="D15" s="94"/>
      <c r="E15" s="18"/>
      <c r="F15" s="18"/>
      <c r="G15" s="18"/>
      <c r="H15" s="191">
        <f t="shared" si="0"/>
        <v>0</v>
      </c>
      <c r="I15" s="18"/>
      <c r="J15" s="18"/>
      <c r="K15" s="18"/>
      <c r="L15" s="18"/>
      <c r="M15" s="18"/>
      <c r="N15" s="18"/>
      <c r="O15" s="191">
        <f t="shared" si="1"/>
        <v>0</v>
      </c>
      <c r="P15" s="370"/>
      <c r="Q15" s="191">
        <f t="shared" si="2"/>
        <v>0</v>
      </c>
      <c r="R15" s="19"/>
      <c r="S15" s="19"/>
      <c r="T15" s="191">
        <f t="shared" si="3"/>
        <v>0</v>
      </c>
      <c r="U15" s="18"/>
      <c r="V15" s="19"/>
      <c r="W15" s="18"/>
      <c r="X15" s="18"/>
      <c r="Y15" s="270"/>
      <c r="Z15" s="18"/>
      <c r="AA15" s="17"/>
    </row>
    <row r="16" spans="1:27" ht="19.95" customHeight="1">
      <c r="A16" s="20"/>
      <c r="B16" s="20"/>
      <c r="C16" s="93"/>
      <c r="D16" s="94"/>
      <c r="E16" s="18"/>
      <c r="F16" s="18"/>
      <c r="G16" s="18"/>
      <c r="H16" s="191">
        <f t="shared" si="0"/>
        <v>0</v>
      </c>
      <c r="I16" s="18"/>
      <c r="J16" s="18"/>
      <c r="K16" s="18"/>
      <c r="L16" s="18"/>
      <c r="M16" s="18"/>
      <c r="N16" s="18"/>
      <c r="O16" s="191">
        <f t="shared" si="1"/>
        <v>0</v>
      </c>
      <c r="P16" s="370"/>
      <c r="Q16" s="191">
        <f t="shared" si="2"/>
        <v>0</v>
      </c>
      <c r="R16" s="19"/>
      <c r="S16" s="19"/>
      <c r="T16" s="191">
        <f t="shared" si="3"/>
        <v>0</v>
      </c>
      <c r="U16" s="18"/>
      <c r="V16" s="19"/>
      <c r="W16" s="18"/>
      <c r="X16" s="18"/>
      <c r="Y16" s="270"/>
      <c r="Z16" s="18"/>
      <c r="AA16" s="17"/>
    </row>
    <row r="17" spans="1:27" ht="19.95" customHeight="1">
      <c r="A17" s="20"/>
      <c r="B17" s="20"/>
      <c r="C17" s="93"/>
      <c r="D17" s="94"/>
      <c r="E17" s="18"/>
      <c r="F17" s="18"/>
      <c r="G17" s="18"/>
      <c r="H17" s="191">
        <f t="shared" si="0"/>
        <v>0</v>
      </c>
      <c r="I17" s="18"/>
      <c r="J17" s="18"/>
      <c r="K17" s="18"/>
      <c r="L17" s="18"/>
      <c r="M17" s="18"/>
      <c r="N17" s="18"/>
      <c r="O17" s="191">
        <f t="shared" si="1"/>
        <v>0</v>
      </c>
      <c r="P17" s="370"/>
      <c r="Q17" s="191">
        <f t="shared" si="2"/>
        <v>0</v>
      </c>
      <c r="R17" s="19"/>
      <c r="S17" s="19"/>
      <c r="T17" s="191">
        <f t="shared" si="3"/>
        <v>0</v>
      </c>
      <c r="U17" s="18"/>
      <c r="V17" s="19"/>
      <c r="W17" s="18"/>
      <c r="X17" s="18"/>
      <c r="Y17" s="270"/>
      <c r="Z17" s="18"/>
      <c r="AA17" s="17"/>
    </row>
    <row r="18" spans="1:27" ht="19.95" customHeight="1">
      <c r="A18" s="20"/>
      <c r="B18" s="20"/>
      <c r="C18" s="93"/>
      <c r="D18" s="94"/>
      <c r="E18" s="18"/>
      <c r="F18" s="18"/>
      <c r="G18" s="18"/>
      <c r="H18" s="191">
        <f t="shared" si="0"/>
        <v>0</v>
      </c>
      <c r="I18" s="18"/>
      <c r="J18" s="18"/>
      <c r="K18" s="18"/>
      <c r="L18" s="18"/>
      <c r="M18" s="18"/>
      <c r="N18" s="18"/>
      <c r="O18" s="191">
        <f t="shared" si="1"/>
        <v>0</v>
      </c>
      <c r="P18" s="370"/>
      <c r="Q18" s="191">
        <f t="shared" si="2"/>
        <v>0</v>
      </c>
      <c r="R18" s="19"/>
      <c r="S18" s="19"/>
      <c r="T18" s="191">
        <f t="shared" si="3"/>
        <v>0</v>
      </c>
      <c r="U18" s="18"/>
      <c r="V18" s="19"/>
      <c r="W18" s="18"/>
      <c r="X18" s="18"/>
      <c r="Y18" s="270"/>
      <c r="Z18" s="18"/>
      <c r="AA18" s="17"/>
    </row>
    <row r="19" spans="1:27" ht="19.95" customHeight="1">
      <c r="A19" s="20"/>
      <c r="B19" s="20"/>
      <c r="C19" s="93"/>
      <c r="D19" s="94"/>
      <c r="E19" s="18"/>
      <c r="F19" s="18"/>
      <c r="G19" s="18"/>
      <c r="H19" s="191">
        <f t="shared" si="0"/>
        <v>0</v>
      </c>
      <c r="I19" s="18"/>
      <c r="J19" s="18"/>
      <c r="K19" s="18"/>
      <c r="L19" s="18"/>
      <c r="M19" s="18"/>
      <c r="N19" s="18"/>
      <c r="O19" s="191">
        <f t="shared" si="1"/>
        <v>0</v>
      </c>
      <c r="P19" s="370"/>
      <c r="Q19" s="191">
        <f t="shared" si="2"/>
        <v>0</v>
      </c>
      <c r="R19" s="19"/>
      <c r="S19" s="19"/>
      <c r="T19" s="191">
        <f t="shared" si="3"/>
        <v>0</v>
      </c>
      <c r="U19" s="18"/>
      <c r="V19" s="19"/>
      <c r="W19" s="18"/>
      <c r="X19" s="18"/>
      <c r="Y19" s="270"/>
      <c r="Z19" s="18"/>
      <c r="AA19" s="17"/>
    </row>
    <row r="20" spans="1:27" ht="19.95" customHeight="1">
      <c r="A20" s="20"/>
      <c r="B20" s="20"/>
      <c r="C20" s="93"/>
      <c r="D20" s="94"/>
      <c r="E20" s="18"/>
      <c r="F20" s="18"/>
      <c r="G20" s="18"/>
      <c r="H20" s="191">
        <f t="shared" si="0"/>
        <v>0</v>
      </c>
      <c r="I20" s="18"/>
      <c r="J20" s="18"/>
      <c r="K20" s="18"/>
      <c r="L20" s="18"/>
      <c r="M20" s="18"/>
      <c r="N20" s="18"/>
      <c r="O20" s="191">
        <f t="shared" si="1"/>
        <v>0</v>
      </c>
      <c r="P20" s="370"/>
      <c r="Q20" s="191">
        <f t="shared" si="2"/>
        <v>0</v>
      </c>
      <c r="R20" s="19"/>
      <c r="S20" s="19"/>
      <c r="T20" s="191">
        <f t="shared" si="3"/>
        <v>0</v>
      </c>
      <c r="U20" s="18"/>
      <c r="V20" s="19"/>
      <c r="W20" s="18"/>
      <c r="X20" s="18"/>
      <c r="Y20" s="270"/>
      <c r="Z20" s="18"/>
      <c r="AA20" s="17"/>
    </row>
    <row r="21" spans="1:27" ht="19.95" customHeight="1">
      <c r="A21" s="20"/>
      <c r="B21" s="20"/>
      <c r="C21" s="93"/>
      <c r="D21" s="94"/>
      <c r="E21" s="18"/>
      <c r="F21" s="18"/>
      <c r="G21" s="18"/>
      <c r="H21" s="191">
        <f t="shared" si="0"/>
        <v>0</v>
      </c>
      <c r="I21" s="18"/>
      <c r="J21" s="18"/>
      <c r="K21" s="18"/>
      <c r="L21" s="18"/>
      <c r="M21" s="18"/>
      <c r="N21" s="18"/>
      <c r="O21" s="191">
        <f t="shared" si="1"/>
        <v>0</v>
      </c>
      <c r="P21" s="370"/>
      <c r="Q21" s="191">
        <f t="shared" si="2"/>
        <v>0</v>
      </c>
      <c r="R21" s="19"/>
      <c r="S21" s="19"/>
      <c r="T21" s="191">
        <f t="shared" si="3"/>
        <v>0</v>
      </c>
      <c r="U21" s="18"/>
      <c r="V21" s="19"/>
      <c r="W21" s="18"/>
      <c r="X21" s="18"/>
      <c r="Y21" s="270"/>
      <c r="Z21" s="18"/>
      <c r="AA21" s="17"/>
    </row>
    <row r="22" spans="1:27" ht="19.95" customHeight="1">
      <c r="A22" s="20"/>
      <c r="B22" s="20"/>
      <c r="C22" s="93"/>
      <c r="D22" s="94"/>
      <c r="E22" s="18"/>
      <c r="F22" s="18"/>
      <c r="G22" s="18"/>
      <c r="H22" s="191">
        <f t="shared" si="0"/>
        <v>0</v>
      </c>
      <c r="I22" s="18"/>
      <c r="J22" s="18"/>
      <c r="K22" s="18"/>
      <c r="L22" s="18"/>
      <c r="M22" s="18"/>
      <c r="N22" s="18"/>
      <c r="O22" s="191">
        <f t="shared" si="1"/>
        <v>0</v>
      </c>
      <c r="P22" s="370"/>
      <c r="Q22" s="191">
        <f t="shared" si="2"/>
        <v>0</v>
      </c>
      <c r="R22" s="19"/>
      <c r="S22" s="19"/>
      <c r="T22" s="191">
        <f t="shared" si="3"/>
        <v>0</v>
      </c>
      <c r="U22" s="18"/>
      <c r="V22" s="19"/>
      <c r="W22" s="18"/>
      <c r="X22" s="18"/>
      <c r="Y22" s="270"/>
      <c r="Z22" s="18"/>
      <c r="AA22" s="17"/>
    </row>
    <row r="23" spans="1:27" ht="19.95" customHeight="1">
      <c r="A23" s="20"/>
      <c r="B23" s="20"/>
      <c r="C23" s="93"/>
      <c r="D23" s="94"/>
      <c r="E23" s="18"/>
      <c r="F23" s="18"/>
      <c r="G23" s="18"/>
      <c r="H23" s="191">
        <f t="shared" si="0"/>
        <v>0</v>
      </c>
      <c r="I23" s="18"/>
      <c r="J23" s="18"/>
      <c r="K23" s="18"/>
      <c r="L23" s="18"/>
      <c r="M23" s="18"/>
      <c r="N23" s="18"/>
      <c r="O23" s="191">
        <f t="shared" si="1"/>
        <v>0</v>
      </c>
      <c r="P23" s="370"/>
      <c r="Q23" s="191">
        <f t="shared" si="2"/>
        <v>0</v>
      </c>
      <c r="R23" s="19"/>
      <c r="S23" s="19"/>
      <c r="T23" s="191">
        <f t="shared" si="3"/>
        <v>0</v>
      </c>
      <c r="U23" s="18"/>
      <c r="V23" s="19"/>
      <c r="W23" s="18"/>
      <c r="X23" s="18"/>
      <c r="Y23" s="270"/>
      <c r="Z23" s="18"/>
      <c r="AA23" s="17"/>
    </row>
    <row r="24" spans="1:27" ht="19.95" customHeight="1">
      <c r="A24" s="20"/>
      <c r="B24" s="20"/>
      <c r="C24" s="93"/>
      <c r="D24" s="94"/>
      <c r="E24" s="18"/>
      <c r="F24" s="18"/>
      <c r="G24" s="18"/>
      <c r="H24" s="191">
        <f t="shared" si="0"/>
        <v>0</v>
      </c>
      <c r="I24" s="18"/>
      <c r="J24" s="18"/>
      <c r="K24" s="18"/>
      <c r="L24" s="18"/>
      <c r="M24" s="18"/>
      <c r="N24" s="18"/>
      <c r="O24" s="191">
        <f t="shared" si="1"/>
        <v>0</v>
      </c>
      <c r="P24" s="370"/>
      <c r="Q24" s="191">
        <f t="shared" si="2"/>
        <v>0</v>
      </c>
      <c r="R24" s="19"/>
      <c r="S24" s="19"/>
      <c r="T24" s="191">
        <f t="shared" si="3"/>
        <v>0</v>
      </c>
      <c r="U24" s="18"/>
      <c r="V24" s="19"/>
      <c r="W24" s="18"/>
      <c r="X24" s="18"/>
      <c r="Y24" s="270"/>
      <c r="Z24" s="18"/>
      <c r="AA24" s="17"/>
    </row>
    <row r="25" spans="1:27" ht="19.95" customHeight="1">
      <c r="A25" s="20"/>
      <c r="B25" s="20"/>
      <c r="C25" s="93"/>
      <c r="D25" s="94"/>
      <c r="E25" s="18"/>
      <c r="F25" s="18"/>
      <c r="G25" s="18"/>
      <c r="H25" s="191">
        <f t="shared" si="0"/>
        <v>0</v>
      </c>
      <c r="I25" s="18"/>
      <c r="J25" s="18"/>
      <c r="K25" s="18"/>
      <c r="L25" s="18"/>
      <c r="M25" s="18"/>
      <c r="N25" s="18"/>
      <c r="O25" s="191">
        <f t="shared" si="1"/>
        <v>0</v>
      </c>
      <c r="P25" s="370"/>
      <c r="Q25" s="191">
        <f t="shared" si="2"/>
        <v>0</v>
      </c>
      <c r="R25" s="19"/>
      <c r="S25" s="19"/>
      <c r="T25" s="191">
        <f t="shared" si="3"/>
        <v>0</v>
      </c>
      <c r="U25" s="18"/>
      <c r="V25" s="19"/>
      <c r="W25" s="18"/>
      <c r="X25" s="18"/>
      <c r="Y25" s="270"/>
      <c r="Z25" s="18"/>
      <c r="AA25" s="17"/>
    </row>
    <row r="26" spans="1:27" ht="19.95" customHeight="1">
      <c r="A26" s="20"/>
      <c r="B26" s="20"/>
      <c r="C26" s="93"/>
      <c r="D26" s="94"/>
      <c r="E26" s="18"/>
      <c r="F26" s="18"/>
      <c r="G26" s="18"/>
      <c r="H26" s="191">
        <f t="shared" si="0"/>
        <v>0</v>
      </c>
      <c r="I26" s="18"/>
      <c r="J26" s="18"/>
      <c r="K26" s="18"/>
      <c r="L26" s="18"/>
      <c r="M26" s="18"/>
      <c r="N26" s="18"/>
      <c r="O26" s="191">
        <f t="shared" si="1"/>
        <v>0</v>
      </c>
      <c r="P26" s="370"/>
      <c r="Q26" s="191">
        <f t="shared" si="2"/>
        <v>0</v>
      </c>
      <c r="R26" s="19"/>
      <c r="S26" s="19"/>
      <c r="T26" s="191">
        <f t="shared" si="3"/>
        <v>0</v>
      </c>
      <c r="U26" s="18"/>
      <c r="V26" s="19"/>
      <c r="W26" s="18"/>
      <c r="X26" s="18"/>
      <c r="Y26" s="270"/>
      <c r="Z26" s="18"/>
      <c r="AA26" s="17"/>
    </row>
    <row r="27" spans="1:27" ht="19.95" customHeight="1">
      <c r="A27" s="20"/>
      <c r="B27" s="20"/>
      <c r="C27" s="93"/>
      <c r="D27" s="94"/>
      <c r="E27" s="18"/>
      <c r="F27" s="18"/>
      <c r="G27" s="18"/>
      <c r="H27" s="191">
        <f t="shared" si="0"/>
        <v>0</v>
      </c>
      <c r="I27" s="18"/>
      <c r="J27" s="18"/>
      <c r="K27" s="18"/>
      <c r="L27" s="18"/>
      <c r="M27" s="18"/>
      <c r="N27" s="18"/>
      <c r="O27" s="191">
        <f t="shared" si="1"/>
        <v>0</v>
      </c>
      <c r="P27" s="370"/>
      <c r="Q27" s="191">
        <f t="shared" si="2"/>
        <v>0</v>
      </c>
      <c r="R27" s="19"/>
      <c r="S27" s="19"/>
      <c r="T27" s="191">
        <f t="shared" si="3"/>
        <v>0</v>
      </c>
      <c r="U27" s="18"/>
      <c r="V27" s="19"/>
      <c r="W27" s="18"/>
      <c r="X27" s="18"/>
      <c r="Y27" s="270"/>
      <c r="Z27" s="18"/>
      <c r="AA27" s="17"/>
    </row>
    <row r="28" spans="1:27" ht="19.95" customHeight="1">
      <c r="A28" s="20"/>
      <c r="B28" s="20"/>
      <c r="C28" s="93"/>
      <c r="D28" s="94"/>
      <c r="E28" s="18"/>
      <c r="F28" s="18"/>
      <c r="G28" s="18"/>
      <c r="H28" s="191">
        <f t="shared" si="0"/>
        <v>0</v>
      </c>
      <c r="I28" s="18"/>
      <c r="J28" s="18"/>
      <c r="K28" s="18"/>
      <c r="L28" s="18"/>
      <c r="M28" s="18"/>
      <c r="N28" s="18"/>
      <c r="O28" s="191">
        <f t="shared" si="1"/>
        <v>0</v>
      </c>
      <c r="P28" s="370"/>
      <c r="Q28" s="191">
        <f t="shared" si="2"/>
        <v>0</v>
      </c>
      <c r="R28" s="19"/>
      <c r="S28" s="19"/>
      <c r="T28" s="191">
        <f t="shared" si="3"/>
        <v>0</v>
      </c>
      <c r="U28" s="18"/>
      <c r="V28" s="19"/>
      <c r="W28" s="18"/>
      <c r="X28" s="18"/>
      <c r="Y28" s="270"/>
      <c r="Z28" s="18"/>
      <c r="AA28" s="17"/>
    </row>
    <row r="29" spans="1:27" ht="19.95" customHeight="1">
      <c r="A29" s="20"/>
      <c r="B29" s="20"/>
      <c r="C29" s="93"/>
      <c r="D29" s="94"/>
      <c r="E29" s="18"/>
      <c r="F29" s="18"/>
      <c r="G29" s="18"/>
      <c r="H29" s="191">
        <f t="shared" si="0"/>
        <v>0</v>
      </c>
      <c r="I29" s="18"/>
      <c r="J29" s="18"/>
      <c r="K29" s="18"/>
      <c r="L29" s="18"/>
      <c r="M29" s="18"/>
      <c r="N29" s="18"/>
      <c r="O29" s="191">
        <f t="shared" si="1"/>
        <v>0</v>
      </c>
      <c r="P29" s="370"/>
      <c r="Q29" s="191">
        <f t="shared" si="2"/>
        <v>0</v>
      </c>
      <c r="R29" s="19"/>
      <c r="S29" s="19"/>
      <c r="T29" s="191">
        <f t="shared" si="3"/>
        <v>0</v>
      </c>
      <c r="U29" s="18"/>
      <c r="V29" s="19"/>
      <c r="W29" s="18"/>
      <c r="X29" s="18"/>
      <c r="Y29" s="270"/>
      <c r="Z29" s="18"/>
      <c r="AA29" s="17"/>
    </row>
    <row r="30" spans="1:27" ht="19.95" customHeight="1">
      <c r="A30" s="20"/>
      <c r="B30" s="20"/>
      <c r="C30" s="93"/>
      <c r="D30" s="94"/>
      <c r="E30" s="18"/>
      <c r="F30" s="18"/>
      <c r="G30" s="18"/>
      <c r="H30" s="191">
        <f t="shared" si="0"/>
        <v>0</v>
      </c>
      <c r="I30" s="18"/>
      <c r="J30" s="18"/>
      <c r="K30" s="18"/>
      <c r="L30" s="18"/>
      <c r="M30" s="18"/>
      <c r="N30" s="18"/>
      <c r="O30" s="191">
        <f t="shared" si="1"/>
        <v>0</v>
      </c>
      <c r="P30" s="370"/>
      <c r="Q30" s="191">
        <f t="shared" si="2"/>
        <v>0</v>
      </c>
      <c r="R30" s="19"/>
      <c r="S30" s="19"/>
      <c r="T30" s="191">
        <f t="shared" si="3"/>
        <v>0</v>
      </c>
      <c r="U30" s="18"/>
      <c r="V30" s="19"/>
      <c r="W30" s="18"/>
      <c r="X30" s="18"/>
      <c r="Y30" s="270"/>
      <c r="Z30" s="18"/>
      <c r="AA30" s="17"/>
    </row>
    <row r="31" spans="1:27" s="82" customFormat="1" ht="19.95" customHeight="1">
      <c r="A31" s="193" t="s">
        <v>80</v>
      </c>
      <c r="B31" s="193"/>
      <c r="C31" s="193"/>
      <c r="D31" s="193"/>
      <c r="E31" s="192">
        <f>SUM(E10:E30)</f>
        <v>0</v>
      </c>
      <c r="F31" s="192">
        <f t="shared" ref="F31:X31" si="4">SUM(F10:F30)</f>
        <v>0</v>
      </c>
      <c r="G31" s="192">
        <f t="shared" si="4"/>
        <v>0</v>
      </c>
      <c r="H31" s="192">
        <f t="shared" si="4"/>
        <v>0</v>
      </c>
      <c r="I31" s="192">
        <f t="shared" si="4"/>
        <v>0</v>
      </c>
      <c r="J31" s="192">
        <f t="shared" si="4"/>
        <v>0</v>
      </c>
      <c r="K31" s="192">
        <f t="shared" si="4"/>
        <v>0</v>
      </c>
      <c r="L31" s="192">
        <f t="shared" si="4"/>
        <v>0</v>
      </c>
      <c r="M31" s="192">
        <f t="shared" si="4"/>
        <v>0</v>
      </c>
      <c r="N31" s="192">
        <f t="shared" si="4"/>
        <v>0</v>
      </c>
      <c r="O31" s="192">
        <f t="shared" si="4"/>
        <v>0</v>
      </c>
      <c r="P31" s="192">
        <f t="shared" si="4"/>
        <v>0</v>
      </c>
      <c r="Q31" s="192">
        <f t="shared" si="4"/>
        <v>0</v>
      </c>
      <c r="R31" s="192">
        <f t="shared" si="4"/>
        <v>0</v>
      </c>
      <c r="S31" s="192">
        <f t="shared" si="4"/>
        <v>0</v>
      </c>
      <c r="T31" s="192">
        <f t="shared" si="4"/>
        <v>0</v>
      </c>
      <c r="U31" s="192">
        <f t="shared" si="4"/>
        <v>0</v>
      </c>
      <c r="V31" s="192">
        <f t="shared" si="4"/>
        <v>0</v>
      </c>
      <c r="W31" s="192">
        <f t="shared" si="4"/>
        <v>0</v>
      </c>
      <c r="X31" s="192">
        <f t="shared" si="4"/>
        <v>0</v>
      </c>
      <c r="Y31" s="192"/>
      <c r="Z31" s="192">
        <f>SUM(Z10:Z30)</f>
        <v>0</v>
      </c>
      <c r="AA31" s="194"/>
    </row>
    <row r="32" spans="1:27" s="43" customFormat="1" ht="19.95" customHeight="1">
      <c r="A32" s="283" t="s">
        <v>280</v>
      </c>
      <c r="B32" s="300"/>
      <c r="C32" s="131"/>
      <c r="D32" s="49"/>
      <c r="E32" s="50"/>
      <c r="F32" s="50"/>
      <c r="G32" s="50"/>
      <c r="H32" s="48" t="str">
        <f>IF((ROUND(H31-I31-J31-K31-L31,2))=0,"OK","账龄与审定不匹配")</f>
        <v>OK</v>
      </c>
      <c r="I32" s="284" t="str">
        <f>IF(I31=0,"",I31/$H$31)</f>
        <v/>
      </c>
      <c r="J32" s="284" t="str">
        <f t="shared" ref="J32:L32" si="5">IF(J31=0,"",J31/$H$31)</f>
        <v/>
      </c>
      <c r="K32" s="284" t="str">
        <f t="shared" si="5"/>
        <v/>
      </c>
      <c r="L32" s="284" t="str">
        <f t="shared" si="5"/>
        <v/>
      </c>
      <c r="M32" s="284"/>
      <c r="N32" s="284"/>
      <c r="O32" s="48"/>
      <c r="P32" s="369"/>
      <c r="Q32" s="369"/>
      <c r="R32" s="50"/>
      <c r="S32" s="50"/>
      <c r="T32" s="48" t="str">
        <f>IF((ROUND(T31-U31-V31-W31-X31,2))=0,"OK","账龄与审定不匹配")</f>
        <v>OK</v>
      </c>
      <c r="U32" s="284" t="str">
        <f>IF(U31=0,"",U31/$T$31)</f>
        <v/>
      </c>
      <c r="V32" s="284" t="str">
        <f t="shared" ref="V32:X32" si="6">IF(V31=0,"",V31/$T$31)</f>
        <v/>
      </c>
      <c r="W32" s="284" t="str">
        <f t="shared" si="6"/>
        <v/>
      </c>
      <c r="X32" s="284" t="str">
        <f t="shared" si="6"/>
        <v/>
      </c>
      <c r="Y32" s="51"/>
      <c r="Z32" s="50"/>
      <c r="AA32" s="52"/>
    </row>
    <row r="33" spans="1:27" s="43" customFormat="1" ht="19.95" customHeight="1">
      <c r="A33" s="283" t="s">
        <v>281</v>
      </c>
      <c r="B33" s="307"/>
      <c r="C33" s="308"/>
      <c r="D33" s="309"/>
      <c r="E33" s="310"/>
      <c r="F33" s="310"/>
      <c r="G33" s="310"/>
      <c r="H33" s="48"/>
      <c r="I33" s="310"/>
      <c r="J33" s="310"/>
      <c r="K33" s="310"/>
      <c r="L33" s="310"/>
      <c r="M33" s="310"/>
      <c r="N33" s="310"/>
      <c r="O33" s="48"/>
      <c r="P33" s="48"/>
      <c r="Q33" s="48"/>
      <c r="R33" s="310"/>
      <c r="S33" s="310"/>
      <c r="T33" s="311">
        <f>T31-SUM(U31:X31)</f>
        <v>0</v>
      </c>
      <c r="U33" s="310"/>
      <c r="V33" s="312" t="b">
        <f>IF(V31&lt;=I31,TRUE,FALSE)</f>
        <v>1</v>
      </c>
      <c r="W33" s="312" t="b">
        <f t="shared" ref="W33" si="7">IF(W31&lt;=J31,TRUE,FALSE)</f>
        <v>1</v>
      </c>
      <c r="X33" s="312" t="b">
        <f>IF(X31&lt;=(K31+L31),TRUE,FALSE)</f>
        <v>1</v>
      </c>
      <c r="Y33" s="313"/>
      <c r="Z33" s="310"/>
      <c r="AA33" s="314"/>
    </row>
    <row r="34" spans="1:27" ht="19.95" customHeight="1">
      <c r="A34" s="81" t="s">
        <v>53</v>
      </c>
      <c r="B34" s="81"/>
      <c r="C34" s="81"/>
      <c r="D34" s="33"/>
      <c r="E34" s="33"/>
      <c r="F34" s="33"/>
      <c r="G34" s="33"/>
      <c r="H34" s="33"/>
      <c r="I34" s="33"/>
      <c r="J34" s="33"/>
      <c r="K34" s="33"/>
      <c r="L34" s="33"/>
      <c r="M34" s="33"/>
      <c r="N34" s="33"/>
      <c r="O34" s="33"/>
      <c r="P34" s="33"/>
      <c r="Q34" s="33"/>
      <c r="R34" s="33"/>
      <c r="S34" s="33"/>
      <c r="T34" s="34"/>
      <c r="U34" s="35"/>
      <c r="V34" s="35"/>
      <c r="W34" s="35"/>
      <c r="X34" s="35"/>
      <c r="Y34" s="33"/>
      <c r="Z34" s="35"/>
      <c r="AA34" s="35"/>
    </row>
    <row r="35" spans="1:27" ht="19.95" customHeight="1">
      <c r="A35" s="336" t="s">
        <v>379</v>
      </c>
      <c r="B35" s="267"/>
      <c r="C35" s="287"/>
      <c r="D35" s="46"/>
      <c r="E35" s="14"/>
      <c r="F35" s="14"/>
      <c r="G35" s="14"/>
      <c r="H35" s="14"/>
      <c r="I35" s="14"/>
      <c r="J35" s="14"/>
      <c r="K35" s="14"/>
      <c r="L35" s="14"/>
      <c r="M35" s="14"/>
      <c r="N35" s="14"/>
      <c r="O35" s="14"/>
      <c r="P35" s="14"/>
      <c r="Q35" s="14"/>
      <c r="R35" s="14"/>
      <c r="S35" s="14"/>
      <c r="T35" s="21"/>
      <c r="U35" s="21"/>
      <c r="V35" s="21"/>
      <c r="W35" s="21"/>
      <c r="X35" s="21"/>
      <c r="Y35" s="14"/>
      <c r="Z35" s="21"/>
      <c r="AA35" s="21"/>
    </row>
    <row r="36" spans="1:27" ht="19.95" customHeight="1">
      <c r="A36" s="336" t="s">
        <v>376</v>
      </c>
      <c r="B36" s="267"/>
      <c r="C36" s="25"/>
      <c r="D36" s="14"/>
      <c r="E36" s="14"/>
      <c r="F36" s="14"/>
      <c r="G36" s="14"/>
      <c r="H36" s="14"/>
      <c r="I36" s="14"/>
      <c r="J36" s="14"/>
      <c r="K36" s="14"/>
      <c r="L36" s="14"/>
      <c r="M36" s="14"/>
      <c r="N36" s="14"/>
      <c r="O36" s="14"/>
      <c r="P36" s="14"/>
      <c r="Q36" s="14"/>
      <c r="R36" s="14"/>
      <c r="S36" s="14"/>
      <c r="T36" s="21"/>
      <c r="U36" s="21"/>
      <c r="V36" s="21"/>
      <c r="W36" s="21"/>
      <c r="X36" s="21"/>
      <c r="Y36" s="14"/>
      <c r="Z36" s="21"/>
      <c r="AA36" s="21"/>
    </row>
    <row r="37" spans="1:27" ht="19.95" customHeight="1">
      <c r="A37" s="336" t="s">
        <v>380</v>
      </c>
      <c r="B37" s="267"/>
      <c r="C37" s="25"/>
      <c r="D37" s="67"/>
      <c r="E37" s="14"/>
      <c r="F37" s="14"/>
      <c r="G37" s="14"/>
      <c r="H37" s="14"/>
      <c r="I37" s="14"/>
      <c r="J37" s="14"/>
      <c r="K37" s="14"/>
      <c r="L37" s="14"/>
      <c r="M37" s="14"/>
      <c r="N37" s="14"/>
      <c r="O37" s="14"/>
      <c r="P37" s="14"/>
      <c r="Q37" s="14"/>
      <c r="R37" s="14"/>
      <c r="S37" s="14"/>
      <c r="T37" s="21"/>
      <c r="U37" s="21"/>
      <c r="V37" s="21"/>
      <c r="W37" s="21"/>
      <c r="X37" s="21"/>
      <c r="Y37" s="14"/>
      <c r="Z37" s="21"/>
      <c r="AA37" s="21"/>
    </row>
    <row r="38" spans="1:27" ht="19.95" customHeight="1">
      <c r="A38" s="336" t="s">
        <v>377</v>
      </c>
      <c r="B38" s="267"/>
      <c r="C38" s="25"/>
      <c r="D38" s="67"/>
      <c r="E38" s="14"/>
      <c r="F38" s="14"/>
      <c r="G38" s="14"/>
      <c r="H38" s="14"/>
      <c r="I38" s="14"/>
      <c r="J38" s="14"/>
      <c r="K38" s="14"/>
      <c r="L38" s="14"/>
      <c r="M38" s="14"/>
      <c r="N38" s="14"/>
      <c r="O38" s="14"/>
      <c r="P38" s="14"/>
      <c r="Q38" s="14"/>
      <c r="R38" s="14"/>
      <c r="S38" s="14"/>
      <c r="T38" s="21"/>
      <c r="U38" s="21"/>
      <c r="V38" s="21"/>
      <c r="W38" s="21"/>
      <c r="X38" s="21"/>
      <c r="Y38" s="14"/>
      <c r="Z38" s="21"/>
      <c r="AA38" s="21"/>
    </row>
    <row r="39" spans="1:27" ht="19.95" customHeight="1">
      <c r="A39" s="336" t="s">
        <v>378</v>
      </c>
      <c r="B39" s="267"/>
      <c r="C39" s="25"/>
      <c r="D39" s="14"/>
      <c r="E39" s="14"/>
      <c r="F39" s="14"/>
      <c r="G39" s="14"/>
      <c r="H39" s="14"/>
      <c r="I39" s="14"/>
      <c r="J39" s="14"/>
      <c r="K39" s="14"/>
      <c r="L39" s="14"/>
      <c r="M39" s="14"/>
      <c r="N39" s="14"/>
      <c r="O39" s="14"/>
      <c r="P39" s="14"/>
      <c r="Q39" s="14"/>
      <c r="R39" s="14"/>
      <c r="S39" s="14"/>
      <c r="T39" s="21"/>
      <c r="U39" s="21"/>
      <c r="V39" s="21"/>
      <c r="W39" s="21"/>
      <c r="X39" s="21"/>
      <c r="Y39" s="14"/>
      <c r="Z39" s="21"/>
      <c r="AA39" s="21"/>
    </row>
    <row r="40" spans="1:27" ht="19.95" customHeight="1">
      <c r="A40" s="55" t="s">
        <v>54</v>
      </c>
      <c r="B40" s="55"/>
      <c r="C40" s="55"/>
      <c r="D40" s="14"/>
      <c r="E40" s="14"/>
      <c r="F40" s="14"/>
      <c r="G40" s="14"/>
      <c r="H40" s="14"/>
      <c r="I40" s="14"/>
      <c r="J40" s="14"/>
      <c r="K40" s="14"/>
      <c r="L40" s="14"/>
      <c r="M40" s="14"/>
      <c r="N40" s="14"/>
      <c r="O40" s="14"/>
      <c r="P40" s="14"/>
      <c r="Q40" s="14"/>
      <c r="R40" s="14"/>
      <c r="S40" s="14"/>
      <c r="T40" s="21"/>
      <c r="U40" s="21"/>
      <c r="V40" s="21"/>
      <c r="W40" s="21"/>
      <c r="X40" s="21"/>
      <c r="Y40" s="14"/>
      <c r="Z40" s="21"/>
      <c r="AA40" s="21"/>
    </row>
    <row r="41" spans="1:27" ht="19.95" customHeight="1">
      <c r="A41" s="14"/>
      <c r="B41" s="14"/>
      <c r="C41" s="14"/>
      <c r="D41" s="14"/>
      <c r="E41" s="14"/>
      <c r="F41" s="14"/>
      <c r="G41" s="14"/>
      <c r="H41" s="14"/>
      <c r="I41" s="14"/>
      <c r="J41" s="14"/>
      <c r="K41" s="14"/>
      <c r="L41" s="14"/>
      <c r="M41" s="14"/>
      <c r="N41" s="14"/>
      <c r="O41" s="14"/>
      <c r="P41" s="14"/>
      <c r="Q41" s="14"/>
      <c r="R41" s="14"/>
      <c r="S41" s="14"/>
      <c r="Y41" s="14"/>
    </row>
    <row r="42" spans="1:27" ht="18" customHeight="1">
      <c r="A42" s="306" t="s">
        <v>320</v>
      </c>
      <c r="B42" s="47"/>
      <c r="C42" s="47"/>
      <c r="D42" s="14"/>
      <c r="E42" s="14"/>
      <c r="F42" s="14"/>
      <c r="G42" s="14"/>
      <c r="H42" s="14"/>
      <c r="I42" s="14"/>
      <c r="J42" s="14"/>
      <c r="K42" s="14"/>
      <c r="L42" s="14"/>
      <c r="M42" s="14"/>
      <c r="N42" s="14"/>
      <c r="O42" s="14"/>
      <c r="P42" s="14"/>
      <c r="Q42" s="14"/>
      <c r="R42" s="14"/>
      <c r="S42" s="14"/>
      <c r="Y42" s="14"/>
    </row>
    <row r="43" spans="1:27" ht="18" customHeight="1">
      <c r="A43" s="22" t="s">
        <v>321</v>
      </c>
      <c r="B43" s="22"/>
      <c r="C43" s="22"/>
      <c r="D43" s="14"/>
      <c r="E43" s="14"/>
      <c r="F43" s="14"/>
      <c r="G43" s="14"/>
      <c r="H43" s="14"/>
      <c r="I43" s="14"/>
      <c r="J43" s="14"/>
      <c r="K43" s="14"/>
      <c r="L43" s="14"/>
      <c r="M43" s="14"/>
      <c r="N43" s="14"/>
      <c r="O43" s="14"/>
      <c r="P43" s="14"/>
      <c r="Q43" s="14"/>
      <c r="R43" s="14"/>
      <c r="S43" s="14"/>
      <c r="Y43" s="14"/>
    </row>
    <row r="44" spans="1:27" ht="18" customHeight="1">
      <c r="A44" s="22" t="s">
        <v>322</v>
      </c>
      <c r="B44" s="22"/>
      <c r="C44" s="22"/>
      <c r="D44" s="14"/>
      <c r="E44" s="14"/>
      <c r="F44" s="14"/>
      <c r="G44" s="14"/>
      <c r="H44" s="14"/>
      <c r="I44" s="14"/>
      <c r="J44" s="14"/>
      <c r="K44" s="14"/>
      <c r="L44" s="14"/>
      <c r="M44" s="14"/>
      <c r="N44" s="14"/>
      <c r="O44" s="14"/>
      <c r="P44" s="14"/>
      <c r="Q44" s="14"/>
      <c r="R44" s="14"/>
      <c r="S44" s="14"/>
      <c r="Y44" s="14"/>
    </row>
    <row r="45" spans="1:27" ht="18" customHeight="1">
      <c r="D45" s="14"/>
      <c r="E45" s="14"/>
      <c r="F45" s="14"/>
      <c r="G45" s="14"/>
      <c r="H45" s="14"/>
      <c r="I45" s="14"/>
      <c r="J45" s="14"/>
      <c r="K45" s="14"/>
      <c r="L45" s="14"/>
      <c r="M45" s="14"/>
      <c r="N45" s="14"/>
      <c r="O45" s="14"/>
      <c r="P45" s="14"/>
      <c r="Q45" s="14"/>
      <c r="R45" s="14"/>
      <c r="S45" s="14"/>
      <c r="Y45" s="14"/>
    </row>
    <row r="46" spans="1:27" ht="18" customHeight="1">
      <c r="A46" s="22"/>
      <c r="B46" s="22"/>
      <c r="C46" s="22"/>
      <c r="D46" s="14"/>
      <c r="E46" s="14"/>
      <c r="F46" s="14"/>
      <c r="G46" s="14"/>
      <c r="H46" s="14"/>
      <c r="I46" s="14"/>
      <c r="J46" s="14"/>
      <c r="K46" s="14"/>
      <c r="L46" s="14"/>
      <c r="M46" s="14"/>
      <c r="N46" s="14"/>
      <c r="O46" s="14"/>
      <c r="P46" s="14"/>
      <c r="Q46" s="14"/>
      <c r="R46" s="14"/>
      <c r="S46" s="14"/>
      <c r="Y46" s="14"/>
    </row>
    <row r="47" spans="1:27" ht="18" customHeight="1">
      <c r="A47" s="22"/>
      <c r="B47" s="22"/>
      <c r="C47" s="22"/>
      <c r="E47" s="14"/>
      <c r="F47" s="14"/>
      <c r="G47" s="14"/>
      <c r="H47" s="14"/>
      <c r="I47" s="14"/>
      <c r="J47" s="14"/>
      <c r="K47" s="14"/>
      <c r="L47" s="14"/>
      <c r="M47" s="14"/>
      <c r="N47" s="14"/>
      <c r="O47" s="14"/>
      <c r="P47" s="14"/>
      <c r="Q47" s="14"/>
      <c r="R47" s="14"/>
      <c r="S47" s="14"/>
      <c r="Y47" s="14"/>
    </row>
    <row r="48" spans="1:27" ht="18" customHeight="1">
      <c r="A48" s="23"/>
      <c r="B48" s="23"/>
      <c r="C48" s="23"/>
      <c r="E48" s="14"/>
      <c r="F48" s="14"/>
      <c r="G48" s="14"/>
      <c r="H48" s="14"/>
      <c r="I48" s="14"/>
      <c r="J48" s="14"/>
      <c r="K48" s="14"/>
      <c r="L48" s="14"/>
      <c r="M48" s="14"/>
      <c r="N48" s="14"/>
      <c r="O48" s="14"/>
      <c r="P48" s="14"/>
      <c r="Q48" s="14"/>
      <c r="R48" s="14"/>
      <c r="S48" s="14"/>
      <c r="Y48" s="14"/>
    </row>
    <row r="49" spans="1:25" ht="18" customHeight="1">
      <c r="A49" s="24"/>
      <c r="B49" s="22"/>
      <c r="E49" s="14"/>
      <c r="F49" s="14"/>
      <c r="G49" s="14"/>
      <c r="H49" s="14"/>
      <c r="I49" s="14"/>
      <c r="J49" s="14"/>
      <c r="K49" s="14"/>
      <c r="L49" s="14"/>
      <c r="M49" s="14"/>
      <c r="N49" s="14"/>
      <c r="O49" s="14"/>
      <c r="P49" s="14"/>
      <c r="Q49" s="14"/>
      <c r="R49" s="14"/>
      <c r="S49" s="14"/>
      <c r="Y49" s="14"/>
    </row>
    <row r="50" spans="1:25" ht="18" customHeight="1">
      <c r="A50" s="24"/>
      <c r="B50" s="22"/>
    </row>
    <row r="51" spans="1:25" ht="18" customHeight="1">
      <c r="A51" s="24"/>
      <c r="B51" s="22"/>
    </row>
    <row r="52" spans="1:25" ht="18" customHeight="1"/>
    <row r="53" spans="1:25" ht="18" customHeight="1"/>
  </sheetData>
  <mergeCells count="23">
    <mergeCell ref="N8:N9"/>
    <mergeCell ref="O8:O9"/>
    <mergeCell ref="A8:A9"/>
    <mergeCell ref="R8:R9"/>
    <mergeCell ref="I8:L8"/>
    <mergeCell ref="P8:P9"/>
    <mergeCell ref="Q8:Q9"/>
    <mergeCell ref="A1:AA1"/>
    <mergeCell ref="A2:AA2"/>
    <mergeCell ref="T8:T9"/>
    <mergeCell ref="Z8:Z9"/>
    <mergeCell ref="AA8:AA9"/>
    <mergeCell ref="Y8:Y9"/>
    <mergeCell ref="S8:S9"/>
    <mergeCell ref="D8:D9"/>
    <mergeCell ref="E8:E9"/>
    <mergeCell ref="F8:F9"/>
    <mergeCell ref="G8:G9"/>
    <mergeCell ref="C8:C9"/>
    <mergeCell ref="H8:H9"/>
    <mergeCell ref="B8:B9"/>
    <mergeCell ref="U8:X8"/>
    <mergeCell ref="M8:M9"/>
  </mergeCells>
  <phoneticPr fontId="22" type="noConversion"/>
  <dataValidations xWindow="380" yWindow="874" count="1">
    <dataValidation type="list" allowBlank="1" showInputMessage="1" showErrorMessage="1" sqref="Y10:Y30">
      <formula1>"是,否"</formula1>
    </dataValidation>
  </dataValidations>
  <hyperlinks>
    <hyperlink ref="AA3" location="底稿目录!A1" display="底稿目录!A1"/>
  </hyperlinks>
  <printOptions horizontalCentered="1"/>
  <pageMargins left="0.39370078740157483" right="0.31496062992125984" top="0.47244094488188981" bottom="0.43307086614173229" header="0.39370078740157483" footer="0.27559055118110237"/>
  <pageSetup paperSize="9" scale="52" fitToWidth="0" fitToHeight="0" orientation="landscape" blackAndWhite="1" cellComments="asDisplayed" r:id="rId1"/>
  <headerFooter alignWithMargins="0">
    <oddFooter>&amp;C&amp;P/&amp;N</oddFooter>
  </headerFooter>
  <legacyDrawing r:id="rId2"/>
  <extLst>
    <ext xmlns:x14="http://schemas.microsoft.com/office/spreadsheetml/2009/9/main" uri="{CCE6A557-97BC-4b89-ADB6-D9C93CAAB3DF}">
      <x14:dataValidations xmlns:xm="http://schemas.microsoft.com/office/excel/2006/main" xWindow="380" yWindow="874" count="2">
        <x14:dataValidation type="list" allowBlank="1" showInputMessage="1" showErrorMessage="1">
          <x14:formula1>
            <xm:f>底稿目录!$A$18:$A$25</xm:f>
          </x14:formula1>
          <xm:sqref>C10:C30</xm:sqref>
        </x14:dataValidation>
        <x14:dataValidation type="list" allowBlank="1" showInputMessage="1" showErrorMessage="1" prompt="如要修改下列框的选项，单击“数据-数据有效性-设置-序列-来源”，并相应修改审定表和附注披露表中的款项性质。">
          <x14:formula1>
            <xm:f>底稿目录!$A$9:$A$16</xm:f>
          </x14:formula1>
          <xm:sqref>D10:D30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21"/>
  <sheetViews>
    <sheetView view="pageBreakPreview" zoomScaleNormal="100" zoomScaleSheetLayoutView="100" workbookViewId="0">
      <selection sqref="A1:J1"/>
    </sheetView>
  </sheetViews>
  <sheetFormatPr defaultColWidth="8.69921875" defaultRowHeight="15.6"/>
  <cols>
    <col min="1" max="1" width="18" style="132" customWidth="1"/>
    <col min="2" max="2" width="14.3984375" style="132" customWidth="1"/>
    <col min="3" max="3" width="13" style="132" customWidth="1"/>
    <col min="4" max="4" width="8.69921875" style="132"/>
    <col min="5" max="5" width="15.3984375" style="132" customWidth="1"/>
    <col min="6" max="6" width="8.69921875" style="132"/>
    <col min="7" max="7" width="12.09765625" style="132" customWidth="1"/>
    <col min="8" max="8" width="12" style="132" customWidth="1"/>
    <col min="9" max="16384" width="8.69921875" style="132"/>
  </cols>
  <sheetData>
    <row r="1" spans="1:10" ht="19.95" customHeight="1">
      <c r="A1" s="430" t="s">
        <v>19</v>
      </c>
      <c r="B1" s="430"/>
      <c r="C1" s="430"/>
      <c r="D1" s="430"/>
      <c r="E1" s="430"/>
      <c r="F1" s="430"/>
      <c r="G1" s="430"/>
      <c r="H1" s="430"/>
      <c r="I1" s="430"/>
      <c r="J1" s="430"/>
    </row>
    <row r="2" spans="1:10" ht="19.95" customHeight="1">
      <c r="A2" s="411" t="s">
        <v>149</v>
      </c>
      <c r="B2" s="411"/>
      <c r="C2" s="411"/>
      <c r="D2" s="431"/>
      <c r="E2" s="431"/>
      <c r="F2" s="431"/>
      <c r="G2" s="431"/>
      <c r="H2" s="431"/>
      <c r="I2" s="431"/>
      <c r="J2" s="431"/>
    </row>
    <row r="3" spans="1:10" ht="19.95" customHeight="1">
      <c r="A3" s="114" t="str">
        <f>底稿目录!A2</f>
        <v>被审计单位：</v>
      </c>
      <c r="C3" s="114" t="str">
        <f>底稿目录!A4</f>
        <v>编制人：</v>
      </c>
      <c r="E3" s="114"/>
      <c r="F3" s="114" t="str">
        <f>底稿目录!A5</f>
        <v>编制日期：</v>
      </c>
      <c r="G3" s="114"/>
      <c r="H3" s="139"/>
      <c r="I3" s="133" t="s">
        <v>140</v>
      </c>
      <c r="J3" s="335" t="str">
        <f>底稿目录!F9</f>
        <v>K3-3</v>
      </c>
    </row>
    <row r="4" spans="1:10" ht="19.95" customHeight="1">
      <c r="A4" s="114" t="str">
        <f>底稿目录!A3</f>
        <v>截止日：202X年12月31日</v>
      </c>
      <c r="C4" s="114" t="str">
        <f>底稿目录!A6</f>
        <v>复核人：</v>
      </c>
      <c r="E4" s="114"/>
      <c r="F4" s="114" t="str">
        <f>底稿目录!A7</f>
        <v>复核日期：</v>
      </c>
      <c r="G4" s="114"/>
      <c r="H4" s="114"/>
      <c r="I4" s="133" t="s">
        <v>20</v>
      </c>
      <c r="J4" s="134"/>
    </row>
    <row r="5" spans="1:10" ht="35.4" customHeight="1">
      <c r="A5" s="135" t="s">
        <v>141</v>
      </c>
      <c r="B5" s="265" t="s">
        <v>142</v>
      </c>
      <c r="C5" s="136" t="s">
        <v>242</v>
      </c>
      <c r="D5" s="136" t="s">
        <v>143</v>
      </c>
      <c r="E5" s="136" t="s">
        <v>144</v>
      </c>
      <c r="F5" s="137" t="s">
        <v>135</v>
      </c>
      <c r="G5" s="136" t="s">
        <v>145</v>
      </c>
      <c r="H5" s="136" t="s">
        <v>146</v>
      </c>
      <c r="I5" s="136" t="s">
        <v>147</v>
      </c>
      <c r="J5" s="136" t="s">
        <v>148</v>
      </c>
    </row>
    <row r="6" spans="1:10" ht="19.95" customHeight="1">
      <c r="A6" s="275"/>
      <c r="B6" s="275"/>
      <c r="C6" s="264"/>
      <c r="D6" s="275"/>
      <c r="E6" s="275"/>
      <c r="F6" s="275"/>
      <c r="G6" s="276"/>
      <c r="H6" s="276"/>
      <c r="I6" s="277"/>
      <c r="J6" s="275"/>
    </row>
    <row r="7" spans="1:10" ht="19.95" customHeight="1">
      <c r="A7" s="275"/>
      <c r="B7" s="275"/>
      <c r="C7" s="264"/>
      <c r="D7" s="275"/>
      <c r="E7" s="275"/>
      <c r="F7" s="275"/>
      <c r="G7" s="276"/>
      <c r="H7" s="276"/>
      <c r="I7" s="277"/>
      <c r="J7" s="275"/>
    </row>
    <row r="8" spans="1:10" ht="19.95" customHeight="1">
      <c r="A8" s="275"/>
      <c r="B8" s="275"/>
      <c r="C8" s="264"/>
      <c r="D8" s="275"/>
      <c r="E8" s="275"/>
      <c r="F8" s="275"/>
      <c r="G8" s="276"/>
      <c r="H8" s="276"/>
      <c r="I8" s="277"/>
      <c r="J8" s="275"/>
    </row>
    <row r="9" spans="1:10" ht="19.95" customHeight="1">
      <c r="A9" s="275"/>
      <c r="B9" s="275"/>
      <c r="C9" s="264"/>
      <c r="D9" s="275"/>
      <c r="E9" s="275"/>
      <c r="F9" s="275"/>
      <c r="G9" s="276"/>
      <c r="H9" s="276"/>
      <c r="I9" s="277"/>
      <c r="J9" s="275"/>
    </row>
    <row r="10" spans="1:10" ht="19.95" customHeight="1">
      <c r="A10" s="275"/>
      <c r="B10" s="275"/>
      <c r="C10" s="264"/>
      <c r="D10" s="275"/>
      <c r="E10" s="275"/>
      <c r="F10" s="275"/>
      <c r="G10" s="276"/>
      <c r="H10" s="276"/>
      <c r="I10" s="277"/>
      <c r="J10" s="275"/>
    </row>
    <row r="11" spans="1:10" ht="19.95" customHeight="1">
      <c r="A11" s="275"/>
      <c r="B11" s="275"/>
      <c r="C11" s="264"/>
      <c r="D11" s="275"/>
      <c r="E11" s="275"/>
      <c r="F11" s="275"/>
      <c r="G11" s="276"/>
      <c r="H11" s="276"/>
      <c r="I11" s="277"/>
      <c r="J11" s="275"/>
    </row>
    <row r="12" spans="1:10" ht="19.95" customHeight="1">
      <c r="A12" s="275"/>
      <c r="B12" s="275"/>
      <c r="C12" s="264"/>
      <c r="D12" s="275"/>
      <c r="E12" s="275"/>
      <c r="F12" s="275"/>
      <c r="G12" s="276"/>
      <c r="H12" s="276"/>
      <c r="I12" s="277"/>
      <c r="J12" s="275"/>
    </row>
    <row r="13" spans="1:10" ht="19.95" customHeight="1">
      <c r="A13" s="275"/>
      <c r="B13" s="275"/>
      <c r="C13" s="264"/>
      <c r="D13" s="275"/>
      <c r="E13" s="275"/>
      <c r="F13" s="275"/>
      <c r="G13" s="276"/>
      <c r="H13" s="276"/>
      <c r="I13" s="277"/>
      <c r="J13" s="275"/>
    </row>
    <row r="14" spans="1:10" ht="19.95" customHeight="1">
      <c r="A14" s="275"/>
      <c r="B14" s="275"/>
      <c r="C14" s="264"/>
      <c r="D14" s="275"/>
      <c r="E14" s="275"/>
      <c r="F14" s="275"/>
      <c r="G14" s="276"/>
      <c r="H14" s="276"/>
      <c r="I14" s="277"/>
      <c r="J14" s="275"/>
    </row>
    <row r="15" spans="1:10" ht="19.95" customHeight="1">
      <c r="A15" s="275"/>
      <c r="B15" s="275"/>
      <c r="C15" s="264"/>
      <c r="D15" s="275"/>
      <c r="E15" s="275"/>
      <c r="F15" s="275"/>
      <c r="G15" s="276"/>
      <c r="H15" s="276"/>
      <c r="I15" s="277"/>
      <c r="J15" s="275"/>
    </row>
    <row r="16" spans="1:10" ht="19.95" customHeight="1">
      <c r="A16" s="275"/>
      <c r="B16" s="275"/>
      <c r="C16" s="264"/>
      <c r="D16" s="275"/>
      <c r="E16" s="275"/>
      <c r="F16" s="275"/>
      <c r="G16" s="276"/>
      <c r="H16" s="276"/>
      <c r="I16" s="277"/>
      <c r="J16" s="275"/>
    </row>
    <row r="17" spans="1:10" ht="19.95" customHeight="1">
      <c r="A17" s="275"/>
      <c r="B17" s="275"/>
      <c r="C17" s="264"/>
      <c r="D17" s="275"/>
      <c r="E17" s="275"/>
      <c r="F17" s="275"/>
      <c r="G17" s="276"/>
      <c r="H17" s="276"/>
      <c r="I17" s="277"/>
      <c r="J17" s="275"/>
    </row>
    <row r="18" spans="1:10" ht="19.95" customHeight="1">
      <c r="A18" s="275"/>
      <c r="B18" s="275"/>
      <c r="C18" s="264"/>
      <c r="D18" s="275"/>
      <c r="E18" s="275"/>
      <c r="F18" s="275"/>
      <c r="G18" s="276"/>
      <c r="H18" s="276"/>
      <c r="I18" s="277"/>
      <c r="J18" s="275"/>
    </row>
    <row r="19" spans="1:10" ht="19.95" customHeight="1">
      <c r="A19" s="275"/>
      <c r="B19" s="275"/>
      <c r="C19" s="264"/>
      <c r="D19" s="275"/>
      <c r="E19" s="275"/>
      <c r="F19" s="275"/>
      <c r="G19" s="276"/>
      <c r="H19" s="276"/>
      <c r="I19" s="277"/>
      <c r="J19" s="275"/>
    </row>
    <row r="20" spans="1:10" ht="19.95" customHeight="1">
      <c r="A20" s="275"/>
      <c r="B20" s="275"/>
      <c r="C20" s="264"/>
      <c r="D20" s="275"/>
      <c r="E20" s="275"/>
      <c r="F20" s="275"/>
      <c r="G20" s="276"/>
      <c r="H20" s="276"/>
      <c r="I20" s="277"/>
      <c r="J20" s="275"/>
    </row>
    <row r="21" spans="1:10" ht="28.5" customHeight="1">
      <c r="A21" s="432" t="s">
        <v>303</v>
      </c>
      <c r="B21" s="433"/>
      <c r="C21" s="433"/>
      <c r="D21" s="433"/>
      <c r="E21" s="433"/>
      <c r="F21" s="433"/>
      <c r="G21" s="433"/>
      <c r="H21" s="433"/>
      <c r="I21" s="433"/>
      <c r="J21" s="433"/>
    </row>
  </sheetData>
  <mergeCells count="3">
    <mergeCell ref="A1:J1"/>
    <mergeCell ref="A2:J2"/>
    <mergeCell ref="A21:J21"/>
  </mergeCells>
  <phoneticPr fontId="18"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J32"/>
  <sheetViews>
    <sheetView view="pageBreakPreview" zoomScaleSheetLayoutView="100" workbookViewId="0">
      <selection sqref="A1:J1"/>
    </sheetView>
  </sheetViews>
  <sheetFormatPr defaultRowHeight="13.8"/>
  <cols>
    <col min="1" max="1" width="16.296875" style="30" customWidth="1"/>
    <col min="2" max="2" width="13.8984375" style="30" customWidth="1"/>
    <col min="3" max="3" width="11.796875" style="30" customWidth="1"/>
    <col min="4" max="4" width="13.8984375" style="30" customWidth="1"/>
    <col min="5" max="5" width="11.796875" style="30" customWidth="1"/>
    <col min="6" max="7" width="13.8984375" style="30" customWidth="1"/>
    <col min="8" max="8" width="7.69921875" style="30" customWidth="1"/>
    <col min="9" max="9" width="13.69921875" style="30" customWidth="1"/>
    <col min="10" max="247" width="9" style="30"/>
    <col min="248" max="248" width="10.19921875" style="30" customWidth="1"/>
    <col min="249" max="249" width="14.69921875" style="30" customWidth="1"/>
    <col min="250" max="250" width="12.3984375" style="30" customWidth="1"/>
    <col min="251" max="251" width="7.8984375" style="30" customWidth="1"/>
    <col min="252" max="252" width="13.59765625" style="30" customWidth="1"/>
    <col min="253" max="253" width="8.09765625" style="30" customWidth="1"/>
    <col min="254" max="254" width="11.5" style="30" customWidth="1"/>
    <col min="255" max="255" width="9.59765625" style="30" customWidth="1"/>
    <col min="256" max="256" width="11.3984375" style="30" customWidth="1"/>
    <col min="257" max="503" width="9" style="30"/>
    <col min="504" max="504" width="10.19921875" style="30" customWidth="1"/>
    <col min="505" max="505" width="14.69921875" style="30" customWidth="1"/>
    <col min="506" max="506" width="12.3984375" style="30" customWidth="1"/>
    <col min="507" max="507" width="7.8984375" style="30" customWidth="1"/>
    <col min="508" max="508" width="13.59765625" style="30" customWidth="1"/>
    <col min="509" max="509" width="8.09765625" style="30" customWidth="1"/>
    <col min="510" max="510" width="11.5" style="30" customWidth="1"/>
    <col min="511" max="511" width="9.59765625" style="30" customWidth="1"/>
    <col min="512" max="512" width="11.3984375" style="30" customWidth="1"/>
    <col min="513" max="759" width="9" style="30"/>
    <col min="760" max="760" width="10.19921875" style="30" customWidth="1"/>
    <col min="761" max="761" width="14.69921875" style="30" customWidth="1"/>
    <col min="762" max="762" width="12.3984375" style="30" customWidth="1"/>
    <col min="763" max="763" width="7.8984375" style="30" customWidth="1"/>
    <col min="764" max="764" width="13.59765625" style="30" customWidth="1"/>
    <col min="765" max="765" width="8.09765625" style="30" customWidth="1"/>
    <col min="766" max="766" width="11.5" style="30" customWidth="1"/>
    <col min="767" max="767" width="9.59765625" style="30" customWidth="1"/>
    <col min="768" max="768" width="11.3984375" style="30" customWidth="1"/>
    <col min="769" max="1015" width="9" style="30"/>
    <col min="1016" max="1016" width="10.19921875" style="30" customWidth="1"/>
    <col min="1017" max="1017" width="14.69921875" style="30" customWidth="1"/>
    <col min="1018" max="1018" width="12.3984375" style="30" customWidth="1"/>
    <col min="1019" max="1019" width="7.8984375" style="30" customWidth="1"/>
    <col min="1020" max="1020" width="13.59765625" style="30" customWidth="1"/>
    <col min="1021" max="1021" width="8.09765625" style="30" customWidth="1"/>
    <col min="1022" max="1022" width="11.5" style="30" customWidth="1"/>
    <col min="1023" max="1023" width="9.59765625" style="30" customWidth="1"/>
    <col min="1024" max="1024" width="11.3984375" style="30" customWidth="1"/>
    <col min="1025" max="1271" width="9" style="30"/>
    <col min="1272" max="1272" width="10.19921875" style="30" customWidth="1"/>
    <col min="1273" max="1273" width="14.69921875" style="30" customWidth="1"/>
    <col min="1274" max="1274" width="12.3984375" style="30" customWidth="1"/>
    <col min="1275" max="1275" width="7.8984375" style="30" customWidth="1"/>
    <col min="1276" max="1276" width="13.59765625" style="30" customWidth="1"/>
    <col min="1277" max="1277" width="8.09765625" style="30" customWidth="1"/>
    <col min="1278" max="1278" width="11.5" style="30" customWidth="1"/>
    <col min="1279" max="1279" width="9.59765625" style="30" customWidth="1"/>
    <col min="1280" max="1280" width="11.3984375" style="30" customWidth="1"/>
    <col min="1281" max="1527" width="9" style="30"/>
    <col min="1528" max="1528" width="10.19921875" style="30" customWidth="1"/>
    <col min="1529" max="1529" width="14.69921875" style="30" customWidth="1"/>
    <col min="1530" max="1530" width="12.3984375" style="30" customWidth="1"/>
    <col min="1531" max="1531" width="7.8984375" style="30" customWidth="1"/>
    <col min="1532" max="1532" width="13.59765625" style="30" customWidth="1"/>
    <col min="1533" max="1533" width="8.09765625" style="30" customWidth="1"/>
    <col min="1534" max="1534" width="11.5" style="30" customWidth="1"/>
    <col min="1535" max="1535" width="9.59765625" style="30" customWidth="1"/>
    <col min="1536" max="1536" width="11.3984375" style="30" customWidth="1"/>
    <col min="1537" max="1783" width="9" style="30"/>
    <col min="1784" max="1784" width="10.19921875" style="30" customWidth="1"/>
    <col min="1785" max="1785" width="14.69921875" style="30" customWidth="1"/>
    <col min="1786" max="1786" width="12.3984375" style="30" customWidth="1"/>
    <col min="1787" max="1787" width="7.8984375" style="30" customWidth="1"/>
    <col min="1788" max="1788" width="13.59765625" style="30" customWidth="1"/>
    <col min="1789" max="1789" width="8.09765625" style="30" customWidth="1"/>
    <col min="1790" max="1790" width="11.5" style="30" customWidth="1"/>
    <col min="1791" max="1791" width="9.59765625" style="30" customWidth="1"/>
    <col min="1792" max="1792" width="11.3984375" style="30" customWidth="1"/>
    <col min="1793" max="2039" width="9" style="30"/>
    <col min="2040" max="2040" width="10.19921875" style="30" customWidth="1"/>
    <col min="2041" max="2041" width="14.69921875" style="30" customWidth="1"/>
    <col min="2042" max="2042" width="12.3984375" style="30" customWidth="1"/>
    <col min="2043" max="2043" width="7.8984375" style="30" customWidth="1"/>
    <col min="2044" max="2044" width="13.59765625" style="30" customWidth="1"/>
    <col min="2045" max="2045" width="8.09765625" style="30" customWidth="1"/>
    <col min="2046" max="2046" width="11.5" style="30" customWidth="1"/>
    <col min="2047" max="2047" width="9.59765625" style="30" customWidth="1"/>
    <col min="2048" max="2048" width="11.3984375" style="30" customWidth="1"/>
    <col min="2049" max="2295" width="9" style="30"/>
    <col min="2296" max="2296" width="10.19921875" style="30" customWidth="1"/>
    <col min="2297" max="2297" width="14.69921875" style="30" customWidth="1"/>
    <col min="2298" max="2298" width="12.3984375" style="30" customWidth="1"/>
    <col min="2299" max="2299" width="7.8984375" style="30" customWidth="1"/>
    <col min="2300" max="2300" width="13.59765625" style="30" customWidth="1"/>
    <col min="2301" max="2301" width="8.09765625" style="30" customWidth="1"/>
    <col min="2302" max="2302" width="11.5" style="30" customWidth="1"/>
    <col min="2303" max="2303" width="9.59765625" style="30" customWidth="1"/>
    <col min="2304" max="2304" width="11.3984375" style="30" customWidth="1"/>
    <col min="2305" max="2551" width="9" style="30"/>
    <col min="2552" max="2552" width="10.19921875" style="30" customWidth="1"/>
    <col min="2553" max="2553" width="14.69921875" style="30" customWidth="1"/>
    <col min="2554" max="2554" width="12.3984375" style="30" customWidth="1"/>
    <col min="2555" max="2555" width="7.8984375" style="30" customWidth="1"/>
    <col min="2556" max="2556" width="13.59765625" style="30" customWidth="1"/>
    <col min="2557" max="2557" width="8.09765625" style="30" customWidth="1"/>
    <col min="2558" max="2558" width="11.5" style="30" customWidth="1"/>
    <col min="2559" max="2559" width="9.59765625" style="30" customWidth="1"/>
    <col min="2560" max="2560" width="11.3984375" style="30" customWidth="1"/>
    <col min="2561" max="2807" width="9" style="30"/>
    <col min="2808" max="2808" width="10.19921875" style="30" customWidth="1"/>
    <col min="2809" max="2809" width="14.69921875" style="30" customWidth="1"/>
    <col min="2810" max="2810" width="12.3984375" style="30" customWidth="1"/>
    <col min="2811" max="2811" width="7.8984375" style="30" customWidth="1"/>
    <col min="2812" max="2812" width="13.59765625" style="30" customWidth="1"/>
    <col min="2813" max="2813" width="8.09765625" style="30" customWidth="1"/>
    <col min="2814" max="2814" width="11.5" style="30" customWidth="1"/>
    <col min="2815" max="2815" width="9.59765625" style="30" customWidth="1"/>
    <col min="2816" max="2816" width="11.3984375" style="30" customWidth="1"/>
    <col min="2817" max="3063" width="9" style="30"/>
    <col min="3064" max="3064" width="10.19921875" style="30" customWidth="1"/>
    <col min="3065" max="3065" width="14.69921875" style="30" customWidth="1"/>
    <col min="3066" max="3066" width="12.3984375" style="30" customWidth="1"/>
    <col min="3067" max="3067" width="7.8984375" style="30" customWidth="1"/>
    <col min="3068" max="3068" width="13.59765625" style="30" customWidth="1"/>
    <col min="3069" max="3069" width="8.09765625" style="30" customWidth="1"/>
    <col min="3070" max="3070" width="11.5" style="30" customWidth="1"/>
    <col min="3071" max="3071" width="9.59765625" style="30" customWidth="1"/>
    <col min="3072" max="3072" width="11.3984375" style="30" customWidth="1"/>
    <col min="3073" max="3319" width="9" style="30"/>
    <col min="3320" max="3320" width="10.19921875" style="30" customWidth="1"/>
    <col min="3321" max="3321" width="14.69921875" style="30" customWidth="1"/>
    <col min="3322" max="3322" width="12.3984375" style="30" customWidth="1"/>
    <col min="3323" max="3323" width="7.8984375" style="30" customWidth="1"/>
    <col min="3324" max="3324" width="13.59765625" style="30" customWidth="1"/>
    <col min="3325" max="3325" width="8.09765625" style="30" customWidth="1"/>
    <col min="3326" max="3326" width="11.5" style="30" customWidth="1"/>
    <col min="3327" max="3327" width="9.59765625" style="30" customWidth="1"/>
    <col min="3328" max="3328" width="11.3984375" style="30" customWidth="1"/>
    <col min="3329" max="3575" width="9" style="30"/>
    <col min="3576" max="3576" width="10.19921875" style="30" customWidth="1"/>
    <col min="3577" max="3577" width="14.69921875" style="30" customWidth="1"/>
    <col min="3578" max="3578" width="12.3984375" style="30" customWidth="1"/>
    <col min="3579" max="3579" width="7.8984375" style="30" customWidth="1"/>
    <col min="3580" max="3580" width="13.59765625" style="30" customWidth="1"/>
    <col min="3581" max="3581" width="8.09765625" style="30" customWidth="1"/>
    <col min="3582" max="3582" width="11.5" style="30" customWidth="1"/>
    <col min="3583" max="3583" width="9.59765625" style="30" customWidth="1"/>
    <col min="3584" max="3584" width="11.3984375" style="30" customWidth="1"/>
    <col min="3585" max="3831" width="9" style="30"/>
    <col min="3832" max="3832" width="10.19921875" style="30" customWidth="1"/>
    <col min="3833" max="3833" width="14.69921875" style="30" customWidth="1"/>
    <col min="3834" max="3834" width="12.3984375" style="30" customWidth="1"/>
    <col min="3835" max="3835" width="7.8984375" style="30" customWidth="1"/>
    <col min="3836" max="3836" width="13.59765625" style="30" customWidth="1"/>
    <col min="3837" max="3837" width="8.09765625" style="30" customWidth="1"/>
    <col min="3838" max="3838" width="11.5" style="30" customWidth="1"/>
    <col min="3839" max="3839" width="9.59765625" style="30" customWidth="1"/>
    <col min="3840" max="3840" width="11.3984375" style="30" customWidth="1"/>
    <col min="3841" max="4087" width="9" style="30"/>
    <col min="4088" max="4088" width="10.19921875" style="30" customWidth="1"/>
    <col min="4089" max="4089" width="14.69921875" style="30" customWidth="1"/>
    <col min="4090" max="4090" width="12.3984375" style="30" customWidth="1"/>
    <col min="4091" max="4091" width="7.8984375" style="30" customWidth="1"/>
    <col min="4092" max="4092" width="13.59765625" style="30" customWidth="1"/>
    <col min="4093" max="4093" width="8.09765625" style="30" customWidth="1"/>
    <col min="4094" max="4094" width="11.5" style="30" customWidth="1"/>
    <col min="4095" max="4095" width="9.59765625" style="30" customWidth="1"/>
    <col min="4096" max="4096" width="11.3984375" style="30" customWidth="1"/>
    <col min="4097" max="4343" width="9" style="30"/>
    <col min="4344" max="4344" width="10.19921875" style="30" customWidth="1"/>
    <col min="4345" max="4345" width="14.69921875" style="30" customWidth="1"/>
    <col min="4346" max="4346" width="12.3984375" style="30" customWidth="1"/>
    <col min="4347" max="4347" width="7.8984375" style="30" customWidth="1"/>
    <col min="4348" max="4348" width="13.59765625" style="30" customWidth="1"/>
    <col min="4349" max="4349" width="8.09765625" style="30" customWidth="1"/>
    <col min="4350" max="4350" width="11.5" style="30" customWidth="1"/>
    <col min="4351" max="4351" width="9.59765625" style="30" customWidth="1"/>
    <col min="4352" max="4352" width="11.3984375" style="30" customWidth="1"/>
    <col min="4353" max="4599" width="9" style="30"/>
    <col min="4600" max="4600" width="10.19921875" style="30" customWidth="1"/>
    <col min="4601" max="4601" width="14.69921875" style="30" customWidth="1"/>
    <col min="4602" max="4602" width="12.3984375" style="30" customWidth="1"/>
    <col min="4603" max="4603" width="7.8984375" style="30" customWidth="1"/>
    <col min="4604" max="4604" width="13.59765625" style="30" customWidth="1"/>
    <col min="4605" max="4605" width="8.09765625" style="30" customWidth="1"/>
    <col min="4606" max="4606" width="11.5" style="30" customWidth="1"/>
    <col min="4607" max="4607" width="9.59765625" style="30" customWidth="1"/>
    <col min="4608" max="4608" width="11.3984375" style="30" customWidth="1"/>
    <col min="4609" max="4855" width="9" style="30"/>
    <col min="4856" max="4856" width="10.19921875" style="30" customWidth="1"/>
    <col min="4857" max="4857" width="14.69921875" style="30" customWidth="1"/>
    <col min="4858" max="4858" width="12.3984375" style="30" customWidth="1"/>
    <col min="4859" max="4859" width="7.8984375" style="30" customWidth="1"/>
    <col min="4860" max="4860" width="13.59765625" style="30" customWidth="1"/>
    <col min="4861" max="4861" width="8.09765625" style="30" customWidth="1"/>
    <col min="4862" max="4862" width="11.5" style="30" customWidth="1"/>
    <col min="4863" max="4863" width="9.59765625" style="30" customWidth="1"/>
    <col min="4864" max="4864" width="11.3984375" style="30" customWidth="1"/>
    <col min="4865" max="5111" width="9" style="30"/>
    <col min="5112" max="5112" width="10.19921875" style="30" customWidth="1"/>
    <col min="5113" max="5113" width="14.69921875" style="30" customWidth="1"/>
    <col min="5114" max="5114" width="12.3984375" style="30" customWidth="1"/>
    <col min="5115" max="5115" width="7.8984375" style="30" customWidth="1"/>
    <col min="5116" max="5116" width="13.59765625" style="30" customWidth="1"/>
    <col min="5117" max="5117" width="8.09765625" style="30" customWidth="1"/>
    <col min="5118" max="5118" width="11.5" style="30" customWidth="1"/>
    <col min="5119" max="5119" width="9.59765625" style="30" customWidth="1"/>
    <col min="5120" max="5120" width="11.3984375" style="30" customWidth="1"/>
    <col min="5121" max="5367" width="9" style="30"/>
    <col min="5368" max="5368" width="10.19921875" style="30" customWidth="1"/>
    <col min="5369" max="5369" width="14.69921875" style="30" customWidth="1"/>
    <col min="5370" max="5370" width="12.3984375" style="30" customWidth="1"/>
    <col min="5371" max="5371" width="7.8984375" style="30" customWidth="1"/>
    <col min="5372" max="5372" width="13.59765625" style="30" customWidth="1"/>
    <col min="5373" max="5373" width="8.09765625" style="30" customWidth="1"/>
    <col min="5374" max="5374" width="11.5" style="30" customWidth="1"/>
    <col min="5375" max="5375" width="9.59765625" style="30" customWidth="1"/>
    <col min="5376" max="5376" width="11.3984375" style="30" customWidth="1"/>
    <col min="5377" max="5623" width="9" style="30"/>
    <col min="5624" max="5624" width="10.19921875" style="30" customWidth="1"/>
    <col min="5625" max="5625" width="14.69921875" style="30" customWidth="1"/>
    <col min="5626" max="5626" width="12.3984375" style="30" customWidth="1"/>
    <col min="5627" max="5627" width="7.8984375" style="30" customWidth="1"/>
    <col min="5628" max="5628" width="13.59765625" style="30" customWidth="1"/>
    <col min="5629" max="5629" width="8.09765625" style="30" customWidth="1"/>
    <col min="5630" max="5630" width="11.5" style="30" customWidth="1"/>
    <col min="5631" max="5631" width="9.59765625" style="30" customWidth="1"/>
    <col min="5632" max="5632" width="11.3984375" style="30" customWidth="1"/>
    <col min="5633" max="5879" width="9" style="30"/>
    <col min="5880" max="5880" width="10.19921875" style="30" customWidth="1"/>
    <col min="5881" max="5881" width="14.69921875" style="30" customWidth="1"/>
    <col min="5882" max="5882" width="12.3984375" style="30" customWidth="1"/>
    <col min="5883" max="5883" width="7.8984375" style="30" customWidth="1"/>
    <col min="5884" max="5884" width="13.59765625" style="30" customWidth="1"/>
    <col min="5885" max="5885" width="8.09765625" style="30" customWidth="1"/>
    <col min="5886" max="5886" width="11.5" style="30" customWidth="1"/>
    <col min="5887" max="5887" width="9.59765625" style="30" customWidth="1"/>
    <col min="5888" max="5888" width="11.3984375" style="30" customWidth="1"/>
    <col min="5889" max="6135" width="9" style="30"/>
    <col min="6136" max="6136" width="10.19921875" style="30" customWidth="1"/>
    <col min="6137" max="6137" width="14.69921875" style="30" customWidth="1"/>
    <col min="6138" max="6138" width="12.3984375" style="30" customWidth="1"/>
    <col min="6139" max="6139" width="7.8984375" style="30" customWidth="1"/>
    <col min="6140" max="6140" width="13.59765625" style="30" customWidth="1"/>
    <col min="6141" max="6141" width="8.09765625" style="30" customWidth="1"/>
    <col min="6142" max="6142" width="11.5" style="30" customWidth="1"/>
    <col min="6143" max="6143" width="9.59765625" style="30" customWidth="1"/>
    <col min="6144" max="6144" width="11.3984375" style="30" customWidth="1"/>
    <col min="6145" max="6391" width="9" style="30"/>
    <col min="6392" max="6392" width="10.19921875" style="30" customWidth="1"/>
    <col min="6393" max="6393" width="14.69921875" style="30" customWidth="1"/>
    <col min="6394" max="6394" width="12.3984375" style="30" customWidth="1"/>
    <col min="6395" max="6395" width="7.8984375" style="30" customWidth="1"/>
    <col min="6396" max="6396" width="13.59765625" style="30" customWidth="1"/>
    <col min="6397" max="6397" width="8.09765625" style="30" customWidth="1"/>
    <col min="6398" max="6398" width="11.5" style="30" customWidth="1"/>
    <col min="6399" max="6399" width="9.59765625" style="30" customWidth="1"/>
    <col min="6400" max="6400" width="11.3984375" style="30" customWidth="1"/>
    <col min="6401" max="6647" width="9" style="30"/>
    <col min="6648" max="6648" width="10.19921875" style="30" customWidth="1"/>
    <col min="6649" max="6649" width="14.69921875" style="30" customWidth="1"/>
    <col min="6650" max="6650" width="12.3984375" style="30" customWidth="1"/>
    <col min="6651" max="6651" width="7.8984375" style="30" customWidth="1"/>
    <col min="6652" max="6652" width="13.59765625" style="30" customWidth="1"/>
    <col min="6653" max="6653" width="8.09765625" style="30" customWidth="1"/>
    <col min="6654" max="6654" width="11.5" style="30" customWidth="1"/>
    <col min="6655" max="6655" width="9.59765625" style="30" customWidth="1"/>
    <col min="6656" max="6656" width="11.3984375" style="30" customWidth="1"/>
    <col min="6657" max="6903" width="9" style="30"/>
    <col min="6904" max="6904" width="10.19921875" style="30" customWidth="1"/>
    <col min="6905" max="6905" width="14.69921875" style="30" customWidth="1"/>
    <col min="6906" max="6906" width="12.3984375" style="30" customWidth="1"/>
    <col min="6907" max="6907" width="7.8984375" style="30" customWidth="1"/>
    <col min="6908" max="6908" width="13.59765625" style="30" customWidth="1"/>
    <col min="6909" max="6909" width="8.09765625" style="30" customWidth="1"/>
    <col min="6910" max="6910" width="11.5" style="30" customWidth="1"/>
    <col min="6911" max="6911" width="9.59765625" style="30" customWidth="1"/>
    <col min="6912" max="6912" width="11.3984375" style="30" customWidth="1"/>
    <col min="6913" max="7159" width="9" style="30"/>
    <col min="7160" max="7160" width="10.19921875" style="30" customWidth="1"/>
    <col min="7161" max="7161" width="14.69921875" style="30" customWidth="1"/>
    <col min="7162" max="7162" width="12.3984375" style="30" customWidth="1"/>
    <col min="7163" max="7163" width="7.8984375" style="30" customWidth="1"/>
    <col min="7164" max="7164" width="13.59765625" style="30" customWidth="1"/>
    <col min="7165" max="7165" width="8.09765625" style="30" customWidth="1"/>
    <col min="7166" max="7166" width="11.5" style="30" customWidth="1"/>
    <col min="7167" max="7167" width="9.59765625" style="30" customWidth="1"/>
    <col min="7168" max="7168" width="11.3984375" style="30" customWidth="1"/>
    <col min="7169" max="7415" width="9" style="30"/>
    <col min="7416" max="7416" width="10.19921875" style="30" customWidth="1"/>
    <col min="7417" max="7417" width="14.69921875" style="30" customWidth="1"/>
    <col min="7418" max="7418" width="12.3984375" style="30" customWidth="1"/>
    <col min="7419" max="7419" width="7.8984375" style="30" customWidth="1"/>
    <col min="7420" max="7420" width="13.59765625" style="30" customWidth="1"/>
    <col min="7421" max="7421" width="8.09765625" style="30" customWidth="1"/>
    <col min="7422" max="7422" width="11.5" style="30" customWidth="1"/>
    <col min="7423" max="7423" width="9.59765625" style="30" customWidth="1"/>
    <col min="7424" max="7424" width="11.3984375" style="30" customWidth="1"/>
    <col min="7425" max="7671" width="9" style="30"/>
    <col min="7672" max="7672" width="10.19921875" style="30" customWidth="1"/>
    <col min="7673" max="7673" width="14.69921875" style="30" customWidth="1"/>
    <col min="7674" max="7674" width="12.3984375" style="30" customWidth="1"/>
    <col min="7675" max="7675" width="7.8984375" style="30" customWidth="1"/>
    <col min="7676" max="7676" width="13.59765625" style="30" customWidth="1"/>
    <col min="7677" max="7677" width="8.09765625" style="30" customWidth="1"/>
    <col min="7678" max="7678" width="11.5" style="30" customWidth="1"/>
    <col min="7679" max="7679" width="9.59765625" style="30" customWidth="1"/>
    <col min="7680" max="7680" width="11.3984375" style="30" customWidth="1"/>
    <col min="7681" max="7927" width="9" style="30"/>
    <col min="7928" max="7928" width="10.19921875" style="30" customWidth="1"/>
    <col min="7929" max="7929" width="14.69921875" style="30" customWidth="1"/>
    <col min="7930" max="7930" width="12.3984375" style="30" customWidth="1"/>
    <col min="7931" max="7931" width="7.8984375" style="30" customWidth="1"/>
    <col min="7932" max="7932" width="13.59765625" style="30" customWidth="1"/>
    <col min="7933" max="7933" width="8.09765625" style="30" customWidth="1"/>
    <col min="7934" max="7934" width="11.5" style="30" customWidth="1"/>
    <col min="7935" max="7935" width="9.59765625" style="30" customWidth="1"/>
    <col min="7936" max="7936" width="11.3984375" style="30" customWidth="1"/>
    <col min="7937" max="8183" width="9" style="30"/>
    <col min="8184" max="8184" width="10.19921875" style="30" customWidth="1"/>
    <col min="8185" max="8185" width="14.69921875" style="30" customWidth="1"/>
    <col min="8186" max="8186" width="12.3984375" style="30" customWidth="1"/>
    <col min="8187" max="8187" width="7.8984375" style="30" customWidth="1"/>
    <col min="8188" max="8188" width="13.59765625" style="30" customWidth="1"/>
    <col min="8189" max="8189" width="8.09765625" style="30" customWidth="1"/>
    <col min="8190" max="8190" width="11.5" style="30" customWidth="1"/>
    <col min="8191" max="8191" width="9.59765625" style="30" customWidth="1"/>
    <col min="8192" max="8192" width="11.3984375" style="30" customWidth="1"/>
    <col min="8193" max="8439" width="9" style="30"/>
    <col min="8440" max="8440" width="10.19921875" style="30" customWidth="1"/>
    <col min="8441" max="8441" width="14.69921875" style="30" customWidth="1"/>
    <col min="8442" max="8442" width="12.3984375" style="30" customWidth="1"/>
    <col min="8443" max="8443" width="7.8984375" style="30" customWidth="1"/>
    <col min="8444" max="8444" width="13.59765625" style="30" customWidth="1"/>
    <col min="8445" max="8445" width="8.09765625" style="30" customWidth="1"/>
    <col min="8446" max="8446" width="11.5" style="30" customWidth="1"/>
    <col min="8447" max="8447" width="9.59765625" style="30" customWidth="1"/>
    <col min="8448" max="8448" width="11.3984375" style="30" customWidth="1"/>
    <col min="8449" max="8695" width="9" style="30"/>
    <col min="8696" max="8696" width="10.19921875" style="30" customWidth="1"/>
    <col min="8697" max="8697" width="14.69921875" style="30" customWidth="1"/>
    <col min="8698" max="8698" width="12.3984375" style="30" customWidth="1"/>
    <col min="8699" max="8699" width="7.8984375" style="30" customWidth="1"/>
    <col min="8700" max="8700" width="13.59765625" style="30" customWidth="1"/>
    <col min="8701" max="8701" width="8.09765625" style="30" customWidth="1"/>
    <col min="8702" max="8702" width="11.5" style="30" customWidth="1"/>
    <col min="8703" max="8703" width="9.59765625" style="30" customWidth="1"/>
    <col min="8704" max="8704" width="11.3984375" style="30" customWidth="1"/>
    <col min="8705" max="8951" width="9" style="30"/>
    <col min="8952" max="8952" width="10.19921875" style="30" customWidth="1"/>
    <col min="8953" max="8953" width="14.69921875" style="30" customWidth="1"/>
    <col min="8954" max="8954" width="12.3984375" style="30" customWidth="1"/>
    <col min="8955" max="8955" width="7.8984375" style="30" customWidth="1"/>
    <col min="8956" max="8956" width="13.59765625" style="30" customWidth="1"/>
    <col min="8957" max="8957" width="8.09765625" style="30" customWidth="1"/>
    <col min="8958" max="8958" width="11.5" style="30" customWidth="1"/>
    <col min="8959" max="8959" width="9.59765625" style="30" customWidth="1"/>
    <col min="8960" max="8960" width="11.3984375" style="30" customWidth="1"/>
    <col min="8961" max="9207" width="9" style="30"/>
    <col min="9208" max="9208" width="10.19921875" style="30" customWidth="1"/>
    <col min="9209" max="9209" width="14.69921875" style="30" customWidth="1"/>
    <col min="9210" max="9210" width="12.3984375" style="30" customWidth="1"/>
    <col min="9211" max="9211" width="7.8984375" style="30" customWidth="1"/>
    <col min="9212" max="9212" width="13.59765625" style="30" customWidth="1"/>
    <col min="9213" max="9213" width="8.09765625" style="30" customWidth="1"/>
    <col min="9214" max="9214" width="11.5" style="30" customWidth="1"/>
    <col min="9215" max="9215" width="9.59765625" style="30" customWidth="1"/>
    <col min="9216" max="9216" width="11.3984375" style="30" customWidth="1"/>
    <col min="9217" max="9463" width="9" style="30"/>
    <col min="9464" max="9464" width="10.19921875" style="30" customWidth="1"/>
    <col min="9465" max="9465" width="14.69921875" style="30" customWidth="1"/>
    <col min="9466" max="9466" width="12.3984375" style="30" customWidth="1"/>
    <col min="9467" max="9467" width="7.8984375" style="30" customWidth="1"/>
    <col min="9468" max="9468" width="13.59765625" style="30" customWidth="1"/>
    <col min="9469" max="9469" width="8.09765625" style="30" customWidth="1"/>
    <col min="9470" max="9470" width="11.5" style="30" customWidth="1"/>
    <col min="9471" max="9471" width="9.59765625" style="30" customWidth="1"/>
    <col min="9472" max="9472" width="11.3984375" style="30" customWidth="1"/>
    <col min="9473" max="9719" width="9" style="30"/>
    <col min="9720" max="9720" width="10.19921875" style="30" customWidth="1"/>
    <col min="9721" max="9721" width="14.69921875" style="30" customWidth="1"/>
    <col min="9722" max="9722" width="12.3984375" style="30" customWidth="1"/>
    <col min="9723" max="9723" width="7.8984375" style="30" customWidth="1"/>
    <col min="9724" max="9724" width="13.59765625" style="30" customWidth="1"/>
    <col min="9725" max="9725" width="8.09765625" style="30" customWidth="1"/>
    <col min="9726" max="9726" width="11.5" style="30" customWidth="1"/>
    <col min="9727" max="9727" width="9.59765625" style="30" customWidth="1"/>
    <col min="9728" max="9728" width="11.3984375" style="30" customWidth="1"/>
    <col min="9729" max="9975" width="9" style="30"/>
    <col min="9976" max="9976" width="10.19921875" style="30" customWidth="1"/>
    <col min="9977" max="9977" width="14.69921875" style="30" customWidth="1"/>
    <col min="9978" max="9978" width="12.3984375" style="30" customWidth="1"/>
    <col min="9979" max="9979" width="7.8984375" style="30" customWidth="1"/>
    <col min="9980" max="9980" width="13.59765625" style="30" customWidth="1"/>
    <col min="9981" max="9981" width="8.09765625" style="30" customWidth="1"/>
    <col min="9982" max="9982" width="11.5" style="30" customWidth="1"/>
    <col min="9983" max="9983" width="9.59765625" style="30" customWidth="1"/>
    <col min="9984" max="9984" width="11.3984375" style="30" customWidth="1"/>
    <col min="9985" max="10231" width="9" style="30"/>
    <col min="10232" max="10232" width="10.19921875" style="30" customWidth="1"/>
    <col min="10233" max="10233" width="14.69921875" style="30" customWidth="1"/>
    <col min="10234" max="10234" width="12.3984375" style="30" customWidth="1"/>
    <col min="10235" max="10235" width="7.8984375" style="30" customWidth="1"/>
    <col min="10236" max="10236" width="13.59765625" style="30" customWidth="1"/>
    <col min="10237" max="10237" width="8.09765625" style="30" customWidth="1"/>
    <col min="10238" max="10238" width="11.5" style="30" customWidth="1"/>
    <col min="10239" max="10239" width="9.59765625" style="30" customWidth="1"/>
    <col min="10240" max="10240" width="11.3984375" style="30" customWidth="1"/>
    <col min="10241" max="10487" width="9" style="30"/>
    <col min="10488" max="10488" width="10.19921875" style="30" customWidth="1"/>
    <col min="10489" max="10489" width="14.69921875" style="30" customWidth="1"/>
    <col min="10490" max="10490" width="12.3984375" style="30" customWidth="1"/>
    <col min="10491" max="10491" width="7.8984375" style="30" customWidth="1"/>
    <col min="10492" max="10492" width="13.59765625" style="30" customWidth="1"/>
    <col min="10493" max="10493" width="8.09765625" style="30" customWidth="1"/>
    <col min="10494" max="10494" width="11.5" style="30" customWidth="1"/>
    <col min="10495" max="10495" width="9.59765625" style="30" customWidth="1"/>
    <col min="10496" max="10496" width="11.3984375" style="30" customWidth="1"/>
    <col min="10497" max="10743" width="9" style="30"/>
    <col min="10744" max="10744" width="10.19921875" style="30" customWidth="1"/>
    <col min="10745" max="10745" width="14.69921875" style="30" customWidth="1"/>
    <col min="10746" max="10746" width="12.3984375" style="30" customWidth="1"/>
    <col min="10747" max="10747" width="7.8984375" style="30" customWidth="1"/>
    <col min="10748" max="10748" width="13.59765625" style="30" customWidth="1"/>
    <col min="10749" max="10749" width="8.09765625" style="30" customWidth="1"/>
    <col min="10750" max="10750" width="11.5" style="30" customWidth="1"/>
    <col min="10751" max="10751" width="9.59765625" style="30" customWidth="1"/>
    <col min="10752" max="10752" width="11.3984375" style="30" customWidth="1"/>
    <col min="10753" max="10999" width="9" style="30"/>
    <col min="11000" max="11000" width="10.19921875" style="30" customWidth="1"/>
    <col min="11001" max="11001" width="14.69921875" style="30" customWidth="1"/>
    <col min="11002" max="11002" width="12.3984375" style="30" customWidth="1"/>
    <col min="11003" max="11003" width="7.8984375" style="30" customWidth="1"/>
    <col min="11004" max="11004" width="13.59765625" style="30" customWidth="1"/>
    <col min="11005" max="11005" width="8.09765625" style="30" customWidth="1"/>
    <col min="11006" max="11006" width="11.5" style="30" customWidth="1"/>
    <col min="11007" max="11007" width="9.59765625" style="30" customWidth="1"/>
    <col min="11008" max="11008" width="11.3984375" style="30" customWidth="1"/>
    <col min="11009" max="11255" width="9" style="30"/>
    <col min="11256" max="11256" width="10.19921875" style="30" customWidth="1"/>
    <col min="11257" max="11257" width="14.69921875" style="30" customWidth="1"/>
    <col min="11258" max="11258" width="12.3984375" style="30" customWidth="1"/>
    <col min="11259" max="11259" width="7.8984375" style="30" customWidth="1"/>
    <col min="11260" max="11260" width="13.59765625" style="30" customWidth="1"/>
    <col min="11261" max="11261" width="8.09765625" style="30" customWidth="1"/>
    <col min="11262" max="11262" width="11.5" style="30" customWidth="1"/>
    <col min="11263" max="11263" width="9.59765625" style="30" customWidth="1"/>
    <col min="11264" max="11264" width="11.3984375" style="30" customWidth="1"/>
    <col min="11265" max="11511" width="9" style="30"/>
    <col min="11512" max="11512" width="10.19921875" style="30" customWidth="1"/>
    <col min="11513" max="11513" width="14.69921875" style="30" customWidth="1"/>
    <col min="11514" max="11514" width="12.3984375" style="30" customWidth="1"/>
    <col min="11515" max="11515" width="7.8984375" style="30" customWidth="1"/>
    <col min="11516" max="11516" width="13.59765625" style="30" customWidth="1"/>
    <col min="11517" max="11517" width="8.09765625" style="30" customWidth="1"/>
    <col min="11518" max="11518" width="11.5" style="30" customWidth="1"/>
    <col min="11519" max="11519" width="9.59765625" style="30" customWidth="1"/>
    <col min="11520" max="11520" width="11.3984375" style="30" customWidth="1"/>
    <col min="11521" max="11767" width="9" style="30"/>
    <col min="11768" max="11768" width="10.19921875" style="30" customWidth="1"/>
    <col min="11769" max="11769" width="14.69921875" style="30" customWidth="1"/>
    <col min="11770" max="11770" width="12.3984375" style="30" customWidth="1"/>
    <col min="11771" max="11771" width="7.8984375" style="30" customWidth="1"/>
    <col min="11772" max="11772" width="13.59765625" style="30" customWidth="1"/>
    <col min="11773" max="11773" width="8.09765625" style="30" customWidth="1"/>
    <col min="11774" max="11774" width="11.5" style="30" customWidth="1"/>
    <col min="11775" max="11775" width="9.59765625" style="30" customWidth="1"/>
    <col min="11776" max="11776" width="11.3984375" style="30" customWidth="1"/>
    <col min="11777" max="12023" width="9" style="30"/>
    <col min="12024" max="12024" width="10.19921875" style="30" customWidth="1"/>
    <col min="12025" max="12025" width="14.69921875" style="30" customWidth="1"/>
    <col min="12026" max="12026" width="12.3984375" style="30" customWidth="1"/>
    <col min="12027" max="12027" width="7.8984375" style="30" customWidth="1"/>
    <col min="12028" max="12028" width="13.59765625" style="30" customWidth="1"/>
    <col min="12029" max="12029" width="8.09765625" style="30" customWidth="1"/>
    <col min="12030" max="12030" width="11.5" style="30" customWidth="1"/>
    <col min="12031" max="12031" width="9.59765625" style="30" customWidth="1"/>
    <col min="12032" max="12032" width="11.3984375" style="30" customWidth="1"/>
    <col min="12033" max="12279" width="9" style="30"/>
    <col min="12280" max="12280" width="10.19921875" style="30" customWidth="1"/>
    <col min="12281" max="12281" width="14.69921875" style="30" customWidth="1"/>
    <col min="12282" max="12282" width="12.3984375" style="30" customWidth="1"/>
    <col min="12283" max="12283" width="7.8984375" style="30" customWidth="1"/>
    <col min="12284" max="12284" width="13.59765625" style="30" customWidth="1"/>
    <col min="12285" max="12285" width="8.09765625" style="30" customWidth="1"/>
    <col min="12286" max="12286" width="11.5" style="30" customWidth="1"/>
    <col min="12287" max="12287" width="9.59765625" style="30" customWidth="1"/>
    <col min="12288" max="12288" width="11.3984375" style="30" customWidth="1"/>
    <col min="12289" max="12535" width="9" style="30"/>
    <col min="12536" max="12536" width="10.19921875" style="30" customWidth="1"/>
    <col min="12537" max="12537" width="14.69921875" style="30" customWidth="1"/>
    <col min="12538" max="12538" width="12.3984375" style="30" customWidth="1"/>
    <col min="12539" max="12539" width="7.8984375" style="30" customWidth="1"/>
    <col min="12540" max="12540" width="13.59765625" style="30" customWidth="1"/>
    <col min="12541" max="12541" width="8.09765625" style="30" customWidth="1"/>
    <col min="12542" max="12542" width="11.5" style="30" customWidth="1"/>
    <col min="12543" max="12543" width="9.59765625" style="30" customWidth="1"/>
    <col min="12544" max="12544" width="11.3984375" style="30" customWidth="1"/>
    <col min="12545" max="12791" width="9" style="30"/>
    <col min="12792" max="12792" width="10.19921875" style="30" customWidth="1"/>
    <col min="12793" max="12793" width="14.69921875" style="30" customWidth="1"/>
    <col min="12794" max="12794" width="12.3984375" style="30" customWidth="1"/>
    <col min="12795" max="12795" width="7.8984375" style="30" customWidth="1"/>
    <col min="12796" max="12796" width="13.59765625" style="30" customWidth="1"/>
    <col min="12797" max="12797" width="8.09765625" style="30" customWidth="1"/>
    <col min="12798" max="12798" width="11.5" style="30" customWidth="1"/>
    <col min="12799" max="12799" width="9.59765625" style="30" customWidth="1"/>
    <col min="12800" max="12800" width="11.3984375" style="30" customWidth="1"/>
    <col min="12801" max="13047" width="9" style="30"/>
    <col min="13048" max="13048" width="10.19921875" style="30" customWidth="1"/>
    <col min="13049" max="13049" width="14.69921875" style="30" customWidth="1"/>
    <col min="13050" max="13050" width="12.3984375" style="30" customWidth="1"/>
    <col min="13051" max="13051" width="7.8984375" style="30" customWidth="1"/>
    <col min="13052" max="13052" width="13.59765625" style="30" customWidth="1"/>
    <col min="13053" max="13053" width="8.09765625" style="30" customWidth="1"/>
    <col min="13054" max="13054" width="11.5" style="30" customWidth="1"/>
    <col min="13055" max="13055" width="9.59765625" style="30" customWidth="1"/>
    <col min="13056" max="13056" width="11.3984375" style="30" customWidth="1"/>
    <col min="13057" max="13303" width="9" style="30"/>
    <col min="13304" max="13304" width="10.19921875" style="30" customWidth="1"/>
    <col min="13305" max="13305" width="14.69921875" style="30" customWidth="1"/>
    <col min="13306" max="13306" width="12.3984375" style="30" customWidth="1"/>
    <col min="13307" max="13307" width="7.8984375" style="30" customWidth="1"/>
    <col min="13308" max="13308" width="13.59765625" style="30" customWidth="1"/>
    <col min="13309" max="13309" width="8.09765625" style="30" customWidth="1"/>
    <col min="13310" max="13310" width="11.5" style="30" customWidth="1"/>
    <col min="13311" max="13311" width="9.59765625" style="30" customWidth="1"/>
    <col min="13312" max="13312" width="11.3984375" style="30" customWidth="1"/>
    <col min="13313" max="13559" width="9" style="30"/>
    <col min="13560" max="13560" width="10.19921875" style="30" customWidth="1"/>
    <col min="13561" max="13561" width="14.69921875" style="30" customWidth="1"/>
    <col min="13562" max="13562" width="12.3984375" style="30" customWidth="1"/>
    <col min="13563" max="13563" width="7.8984375" style="30" customWidth="1"/>
    <col min="13564" max="13564" width="13.59765625" style="30" customWidth="1"/>
    <col min="13565" max="13565" width="8.09765625" style="30" customWidth="1"/>
    <col min="13566" max="13566" width="11.5" style="30" customWidth="1"/>
    <col min="13567" max="13567" width="9.59765625" style="30" customWidth="1"/>
    <col min="13568" max="13568" width="11.3984375" style="30" customWidth="1"/>
    <col min="13569" max="13815" width="9" style="30"/>
    <col min="13816" max="13816" width="10.19921875" style="30" customWidth="1"/>
    <col min="13817" max="13817" width="14.69921875" style="30" customWidth="1"/>
    <col min="13818" max="13818" width="12.3984375" style="30" customWidth="1"/>
    <col min="13819" max="13819" width="7.8984375" style="30" customWidth="1"/>
    <col min="13820" max="13820" width="13.59765625" style="30" customWidth="1"/>
    <col min="13821" max="13821" width="8.09765625" style="30" customWidth="1"/>
    <col min="13822" max="13822" width="11.5" style="30" customWidth="1"/>
    <col min="13823" max="13823" width="9.59765625" style="30" customWidth="1"/>
    <col min="13824" max="13824" width="11.3984375" style="30" customWidth="1"/>
    <col min="13825" max="14071" width="9" style="30"/>
    <col min="14072" max="14072" width="10.19921875" style="30" customWidth="1"/>
    <col min="14073" max="14073" width="14.69921875" style="30" customWidth="1"/>
    <col min="14074" max="14074" width="12.3984375" style="30" customWidth="1"/>
    <col min="14075" max="14075" width="7.8984375" style="30" customWidth="1"/>
    <col min="14076" max="14076" width="13.59765625" style="30" customWidth="1"/>
    <col min="14077" max="14077" width="8.09765625" style="30" customWidth="1"/>
    <col min="14078" max="14078" width="11.5" style="30" customWidth="1"/>
    <col min="14079" max="14079" width="9.59765625" style="30" customWidth="1"/>
    <col min="14080" max="14080" width="11.3984375" style="30" customWidth="1"/>
    <col min="14081" max="14327" width="9" style="30"/>
    <col min="14328" max="14328" width="10.19921875" style="30" customWidth="1"/>
    <col min="14329" max="14329" width="14.69921875" style="30" customWidth="1"/>
    <col min="14330" max="14330" width="12.3984375" style="30" customWidth="1"/>
    <col min="14331" max="14331" width="7.8984375" style="30" customWidth="1"/>
    <col min="14332" max="14332" width="13.59765625" style="30" customWidth="1"/>
    <col min="14333" max="14333" width="8.09765625" style="30" customWidth="1"/>
    <col min="14334" max="14334" width="11.5" style="30" customWidth="1"/>
    <col min="14335" max="14335" width="9.59765625" style="30" customWidth="1"/>
    <col min="14336" max="14336" width="11.3984375" style="30" customWidth="1"/>
    <col min="14337" max="14583" width="9" style="30"/>
    <col min="14584" max="14584" width="10.19921875" style="30" customWidth="1"/>
    <col min="14585" max="14585" width="14.69921875" style="30" customWidth="1"/>
    <col min="14586" max="14586" width="12.3984375" style="30" customWidth="1"/>
    <col min="14587" max="14587" width="7.8984375" style="30" customWidth="1"/>
    <col min="14588" max="14588" width="13.59765625" style="30" customWidth="1"/>
    <col min="14589" max="14589" width="8.09765625" style="30" customWidth="1"/>
    <col min="14590" max="14590" width="11.5" style="30" customWidth="1"/>
    <col min="14591" max="14591" width="9.59765625" style="30" customWidth="1"/>
    <col min="14592" max="14592" width="11.3984375" style="30" customWidth="1"/>
    <col min="14593" max="14839" width="9" style="30"/>
    <col min="14840" max="14840" width="10.19921875" style="30" customWidth="1"/>
    <col min="14841" max="14841" width="14.69921875" style="30" customWidth="1"/>
    <col min="14842" max="14842" width="12.3984375" style="30" customWidth="1"/>
    <col min="14843" max="14843" width="7.8984375" style="30" customWidth="1"/>
    <col min="14844" max="14844" width="13.59765625" style="30" customWidth="1"/>
    <col min="14845" max="14845" width="8.09765625" style="30" customWidth="1"/>
    <col min="14846" max="14846" width="11.5" style="30" customWidth="1"/>
    <col min="14847" max="14847" width="9.59765625" style="30" customWidth="1"/>
    <col min="14848" max="14848" width="11.3984375" style="30" customWidth="1"/>
    <col min="14849" max="15095" width="9" style="30"/>
    <col min="15096" max="15096" width="10.19921875" style="30" customWidth="1"/>
    <col min="15097" max="15097" width="14.69921875" style="30" customWidth="1"/>
    <col min="15098" max="15098" width="12.3984375" style="30" customWidth="1"/>
    <col min="15099" max="15099" width="7.8984375" style="30" customWidth="1"/>
    <col min="15100" max="15100" width="13.59765625" style="30" customWidth="1"/>
    <col min="15101" max="15101" width="8.09765625" style="30" customWidth="1"/>
    <col min="15102" max="15102" width="11.5" style="30" customWidth="1"/>
    <col min="15103" max="15103" width="9.59765625" style="30" customWidth="1"/>
    <col min="15104" max="15104" width="11.3984375" style="30" customWidth="1"/>
    <col min="15105" max="15351" width="9" style="30"/>
    <col min="15352" max="15352" width="10.19921875" style="30" customWidth="1"/>
    <col min="15353" max="15353" width="14.69921875" style="30" customWidth="1"/>
    <col min="15354" max="15354" width="12.3984375" style="30" customWidth="1"/>
    <col min="15355" max="15355" width="7.8984375" style="30" customWidth="1"/>
    <col min="15356" max="15356" width="13.59765625" style="30" customWidth="1"/>
    <col min="15357" max="15357" width="8.09765625" style="30" customWidth="1"/>
    <col min="15358" max="15358" width="11.5" style="30" customWidth="1"/>
    <col min="15359" max="15359" width="9.59765625" style="30" customWidth="1"/>
    <col min="15360" max="15360" width="11.3984375" style="30" customWidth="1"/>
    <col min="15361" max="15607" width="9" style="30"/>
    <col min="15608" max="15608" width="10.19921875" style="30" customWidth="1"/>
    <col min="15609" max="15609" width="14.69921875" style="30" customWidth="1"/>
    <col min="15610" max="15610" width="12.3984375" style="30" customWidth="1"/>
    <col min="15611" max="15611" width="7.8984375" style="30" customWidth="1"/>
    <col min="15612" max="15612" width="13.59765625" style="30" customWidth="1"/>
    <col min="15613" max="15613" width="8.09765625" style="30" customWidth="1"/>
    <col min="15614" max="15614" width="11.5" style="30" customWidth="1"/>
    <col min="15615" max="15615" width="9.59765625" style="30" customWidth="1"/>
    <col min="15616" max="15616" width="11.3984375" style="30" customWidth="1"/>
    <col min="15617" max="15863" width="9" style="30"/>
    <col min="15864" max="15864" width="10.19921875" style="30" customWidth="1"/>
    <col min="15865" max="15865" width="14.69921875" style="30" customWidth="1"/>
    <col min="15866" max="15866" width="12.3984375" style="30" customWidth="1"/>
    <col min="15867" max="15867" width="7.8984375" style="30" customWidth="1"/>
    <col min="15868" max="15868" width="13.59765625" style="30" customWidth="1"/>
    <col min="15869" max="15869" width="8.09765625" style="30" customWidth="1"/>
    <col min="15870" max="15870" width="11.5" style="30" customWidth="1"/>
    <col min="15871" max="15871" width="9.59765625" style="30" customWidth="1"/>
    <col min="15872" max="15872" width="11.3984375" style="30" customWidth="1"/>
    <col min="15873" max="16119" width="9" style="30"/>
    <col min="16120" max="16120" width="10.19921875" style="30" customWidth="1"/>
    <col min="16121" max="16121" width="14.69921875" style="30" customWidth="1"/>
    <col min="16122" max="16122" width="12.3984375" style="30" customWidth="1"/>
    <col min="16123" max="16123" width="7.8984375" style="30" customWidth="1"/>
    <col min="16124" max="16124" width="13.59765625" style="30" customWidth="1"/>
    <col min="16125" max="16125" width="8.09765625" style="30" customWidth="1"/>
    <col min="16126" max="16126" width="11.5" style="30" customWidth="1"/>
    <col min="16127" max="16127" width="9.59765625" style="30" customWidth="1"/>
    <col min="16128" max="16128" width="11.3984375" style="30" customWidth="1"/>
    <col min="16129" max="16373" width="9" style="30"/>
    <col min="16374" max="16384" width="9" style="30" customWidth="1"/>
  </cols>
  <sheetData>
    <row r="1" spans="1:10" s="71" customFormat="1" ht="20.100000000000001" customHeight="1">
      <c r="A1" s="434" t="s">
        <v>19</v>
      </c>
      <c r="B1" s="434"/>
      <c r="C1" s="434"/>
      <c r="D1" s="434"/>
      <c r="E1" s="434"/>
      <c r="F1" s="434"/>
      <c r="G1" s="434"/>
      <c r="H1" s="434"/>
      <c r="I1" s="434"/>
      <c r="J1" s="434"/>
    </row>
    <row r="2" spans="1:10" s="71" customFormat="1" ht="24.9" customHeight="1">
      <c r="A2" s="435" t="s">
        <v>323</v>
      </c>
      <c r="B2" s="435"/>
      <c r="C2" s="435"/>
      <c r="D2" s="435"/>
      <c r="E2" s="435"/>
      <c r="F2" s="435"/>
      <c r="G2" s="435"/>
      <c r="H2" s="435"/>
      <c r="I2" s="435"/>
      <c r="J2" s="435"/>
    </row>
    <row r="3" spans="1:10" ht="20.100000000000001" customHeight="1">
      <c r="A3" s="11" t="str">
        <f>底稿目录!A2</f>
        <v>被审计单位：</v>
      </c>
      <c r="D3" s="11"/>
      <c r="E3" s="11" t="str">
        <f>底稿目录!A4</f>
        <v>编制人：</v>
      </c>
      <c r="G3" s="96" t="str">
        <f>底稿目录!A5</f>
        <v>编制日期：</v>
      </c>
      <c r="H3" s="97"/>
      <c r="I3" s="31" t="s">
        <v>169</v>
      </c>
      <c r="J3" s="335" t="str">
        <f>底稿目录!F10</f>
        <v>K3-4</v>
      </c>
    </row>
    <row r="4" spans="1:10" ht="20.100000000000001" customHeight="1">
      <c r="A4" s="11" t="str">
        <f>底稿目录!A3</f>
        <v>截止日：202X年12月31日</v>
      </c>
      <c r="D4" s="11"/>
      <c r="E4" s="11" t="str">
        <f>底稿目录!A6</f>
        <v>复核人：</v>
      </c>
      <c r="G4" s="96" t="str">
        <f>底稿目录!A7</f>
        <v>复核日期：</v>
      </c>
      <c r="H4" s="97"/>
      <c r="I4" s="31" t="s">
        <v>373</v>
      </c>
    </row>
    <row r="5" spans="1:10" s="26" customFormat="1" ht="20.100000000000001" customHeight="1">
      <c r="A5" s="68" t="s">
        <v>73</v>
      </c>
      <c r="B5" s="69"/>
      <c r="G5" s="30"/>
    </row>
    <row r="6" spans="1:10" s="26" customFormat="1" ht="20.100000000000001" customHeight="1">
      <c r="A6" s="21" t="s">
        <v>249</v>
      </c>
      <c r="B6" s="21"/>
      <c r="C6" s="63"/>
      <c r="D6" s="14"/>
      <c r="E6" s="14"/>
      <c r="F6" s="21"/>
      <c r="G6" s="16"/>
      <c r="H6" s="14"/>
    </row>
    <row r="7" spans="1:10" s="26" customFormat="1" ht="20.100000000000001" customHeight="1">
      <c r="A7" s="21" t="s">
        <v>250</v>
      </c>
      <c r="B7" s="21"/>
      <c r="C7" s="63"/>
      <c r="D7" s="14"/>
      <c r="E7" s="14"/>
      <c r="F7" s="21"/>
      <c r="G7" s="16"/>
      <c r="H7" s="14"/>
    </row>
    <row r="8" spans="1:10" s="26" customFormat="1" ht="20.100000000000001" customHeight="1">
      <c r="A8" s="14" t="s">
        <v>248</v>
      </c>
      <c r="B8" s="21"/>
      <c r="C8" s="63"/>
      <c r="D8" s="14"/>
      <c r="E8" s="14"/>
      <c r="F8" s="14"/>
      <c r="G8" s="16"/>
      <c r="H8" s="14"/>
    </row>
    <row r="9" spans="1:10" s="26" customFormat="1" ht="20.100000000000001" customHeight="1">
      <c r="A9" s="70" t="s">
        <v>74</v>
      </c>
      <c r="F9" s="15"/>
    </row>
    <row r="10" spans="1:10" s="344" customFormat="1" ht="23.4" customHeight="1">
      <c r="A10" s="342" t="s">
        <v>385</v>
      </c>
      <c r="B10" s="343"/>
      <c r="C10" s="343"/>
      <c r="D10" s="343"/>
      <c r="E10" s="343"/>
      <c r="F10" s="343"/>
      <c r="G10" s="343"/>
      <c r="H10" s="343"/>
      <c r="I10" s="343"/>
      <c r="J10" s="343"/>
    </row>
    <row r="11" spans="1:10" s="349" customFormat="1" ht="30.6" customHeight="1">
      <c r="A11" s="86" t="s">
        <v>91</v>
      </c>
      <c r="B11" s="85" t="s">
        <v>82</v>
      </c>
      <c r="C11" s="85" t="s">
        <v>83</v>
      </c>
      <c r="D11" s="85" t="s">
        <v>84</v>
      </c>
      <c r="E11" s="86" t="s">
        <v>298</v>
      </c>
      <c r="F11" s="86" t="s">
        <v>85</v>
      </c>
      <c r="G11" s="85" t="s">
        <v>86</v>
      </c>
      <c r="H11" s="85" t="s">
        <v>87</v>
      </c>
      <c r="I11" s="85" t="s">
        <v>88</v>
      </c>
      <c r="J11" s="86" t="s">
        <v>203</v>
      </c>
    </row>
    <row r="12" spans="1:10" s="62" customFormat="1" ht="20.100000000000001" customHeight="1">
      <c r="A12" s="98"/>
      <c r="B12" s="271"/>
      <c r="C12" s="271"/>
      <c r="D12" s="272"/>
      <c r="E12" s="195">
        <f>B12-C12+D12</f>
        <v>0</v>
      </c>
      <c r="F12" s="87"/>
      <c r="G12" s="88"/>
      <c r="H12" s="273"/>
      <c r="I12" s="89"/>
      <c r="J12" s="345"/>
    </row>
    <row r="13" spans="1:10" s="62" customFormat="1" ht="20.100000000000001" customHeight="1">
      <c r="A13" s="98"/>
      <c r="B13" s="271"/>
      <c r="C13" s="271"/>
      <c r="D13" s="272"/>
      <c r="E13" s="195">
        <f>B13-C13+D13</f>
        <v>0</v>
      </c>
      <c r="F13" s="87"/>
      <c r="G13" s="88"/>
      <c r="H13" s="273"/>
      <c r="I13" s="89"/>
      <c r="J13" s="345"/>
    </row>
    <row r="14" spans="1:10" s="62" customFormat="1" ht="20.100000000000001" customHeight="1">
      <c r="A14" s="98"/>
      <c r="B14" s="271"/>
      <c r="C14" s="271"/>
      <c r="D14" s="272"/>
      <c r="E14" s="195">
        <f>B14-C14+D14</f>
        <v>0</v>
      </c>
      <c r="F14" s="87"/>
      <c r="G14" s="88"/>
      <c r="H14" s="273"/>
      <c r="I14" s="89"/>
      <c r="J14" s="345"/>
    </row>
    <row r="15" spans="1:10" s="62" customFormat="1" ht="20.100000000000001" customHeight="1">
      <c r="A15" s="98"/>
      <c r="B15" s="271"/>
      <c r="C15" s="271"/>
      <c r="D15" s="272"/>
      <c r="E15" s="195">
        <f>B15-C15+D15</f>
        <v>0</v>
      </c>
      <c r="F15" s="87"/>
      <c r="G15" s="88"/>
      <c r="H15" s="273"/>
      <c r="I15" s="89"/>
      <c r="J15" s="345"/>
    </row>
    <row r="16" spans="1:10" s="62" customFormat="1" ht="20.100000000000001" customHeight="1">
      <c r="A16" s="98"/>
      <c r="B16" s="271"/>
      <c r="C16" s="271"/>
      <c r="D16" s="272"/>
      <c r="E16" s="195">
        <f t="shared" ref="E16:E21" si="0">B16-C16+D16</f>
        <v>0</v>
      </c>
      <c r="F16" s="87"/>
      <c r="G16" s="88"/>
      <c r="H16" s="273"/>
      <c r="I16" s="89"/>
      <c r="J16" s="345"/>
    </row>
    <row r="17" spans="1:10" s="62" customFormat="1" ht="20.100000000000001" customHeight="1">
      <c r="A17" s="98"/>
      <c r="B17" s="271"/>
      <c r="C17" s="271"/>
      <c r="D17" s="272"/>
      <c r="E17" s="195">
        <f t="shared" si="0"/>
        <v>0</v>
      </c>
      <c r="F17" s="87"/>
      <c r="G17" s="88"/>
      <c r="H17" s="273"/>
      <c r="I17" s="89"/>
      <c r="J17" s="345"/>
    </row>
    <row r="18" spans="1:10" s="62" customFormat="1" ht="20.100000000000001" customHeight="1">
      <c r="A18" s="98"/>
      <c r="B18" s="271"/>
      <c r="C18" s="271"/>
      <c r="D18" s="272"/>
      <c r="E18" s="195">
        <f t="shared" si="0"/>
        <v>0</v>
      </c>
      <c r="F18" s="87"/>
      <c r="G18" s="88"/>
      <c r="H18" s="273"/>
      <c r="I18" s="89"/>
      <c r="J18" s="345"/>
    </row>
    <row r="19" spans="1:10" s="62" customFormat="1" ht="20.100000000000001" customHeight="1">
      <c r="A19" s="98"/>
      <c r="B19" s="271"/>
      <c r="C19" s="271"/>
      <c r="D19" s="272"/>
      <c r="E19" s="195">
        <f t="shared" si="0"/>
        <v>0</v>
      </c>
      <c r="F19" s="87"/>
      <c r="G19" s="88"/>
      <c r="H19" s="273"/>
      <c r="I19" s="89"/>
      <c r="J19" s="345"/>
    </row>
    <row r="20" spans="1:10" s="62" customFormat="1" ht="20.100000000000001" customHeight="1">
      <c r="A20" s="98"/>
      <c r="B20" s="271"/>
      <c r="C20" s="271"/>
      <c r="D20" s="272"/>
      <c r="E20" s="195">
        <f t="shared" si="0"/>
        <v>0</v>
      </c>
      <c r="F20" s="87"/>
      <c r="G20" s="88"/>
      <c r="H20" s="273"/>
      <c r="I20" s="89"/>
      <c r="J20" s="345"/>
    </row>
    <row r="21" spans="1:10" s="62" customFormat="1" ht="20.100000000000001" customHeight="1">
      <c r="A21" s="98"/>
      <c r="B21" s="271"/>
      <c r="C21" s="271"/>
      <c r="D21" s="272"/>
      <c r="E21" s="195">
        <f t="shared" si="0"/>
        <v>0</v>
      </c>
      <c r="F21" s="87"/>
      <c r="G21" s="88"/>
      <c r="H21" s="273"/>
      <c r="I21" s="89"/>
      <c r="J21" s="345"/>
    </row>
    <row r="22" spans="1:10" s="349" customFormat="1" ht="20.100000000000001" customHeight="1">
      <c r="A22" s="90" t="s">
        <v>89</v>
      </c>
      <c r="B22" s="346">
        <f>SUM(B12:B21)</f>
        <v>0</v>
      </c>
      <c r="C22" s="346">
        <f>SUM(C12:C21)</f>
        <v>0</v>
      </c>
      <c r="D22" s="346">
        <f>SUM(D12:D21)</f>
        <v>0</v>
      </c>
      <c r="E22" s="347">
        <f>SUM(E12:E21)</f>
        <v>0</v>
      </c>
      <c r="F22" s="348"/>
      <c r="G22" s="348"/>
      <c r="H22" s="348"/>
      <c r="I22" s="348"/>
      <c r="J22" s="346">
        <f>SUM(J12:J21)</f>
        <v>0</v>
      </c>
    </row>
    <row r="23" spans="1:10" s="26" customFormat="1" ht="20.100000000000001" customHeight="1">
      <c r="A23" s="73" t="s">
        <v>75</v>
      </c>
      <c r="B23" s="74"/>
      <c r="C23" s="74"/>
      <c r="D23" s="74"/>
      <c r="E23" s="75"/>
      <c r="F23" s="74"/>
      <c r="G23" s="74"/>
      <c r="H23" s="74"/>
    </row>
    <row r="24" spans="1:10" s="26" customFormat="1" ht="20.100000000000001" customHeight="1">
      <c r="A24" s="286" t="s">
        <v>296</v>
      </c>
      <c r="B24" s="228"/>
      <c r="E24" s="77"/>
      <c r="F24" s="72"/>
      <c r="G24" s="72"/>
      <c r="H24" s="72"/>
    </row>
    <row r="25" spans="1:10" ht="20.100000000000001" customHeight="1">
      <c r="A25" s="76"/>
      <c r="B25" s="72"/>
      <c r="E25" s="77"/>
      <c r="F25" s="72"/>
      <c r="G25" s="72"/>
      <c r="H25" s="72"/>
    </row>
    <row r="26" spans="1:10" ht="20.100000000000001" customHeight="1">
      <c r="A26" s="76"/>
      <c r="B26" s="72"/>
      <c r="E26" s="77"/>
      <c r="F26" s="72"/>
      <c r="G26" s="72"/>
      <c r="H26" s="72"/>
    </row>
    <row r="27" spans="1:10" ht="20.100000000000001" customHeight="1">
      <c r="A27" s="32" t="s">
        <v>76</v>
      </c>
      <c r="B27" s="72"/>
      <c r="C27" s="77"/>
      <c r="D27" s="77"/>
      <c r="E27" s="72"/>
      <c r="F27" s="72"/>
      <c r="G27" s="72"/>
      <c r="H27" s="72"/>
    </row>
    <row r="28" spans="1:10" ht="20.100000000000001" customHeight="1"/>
    <row r="29" spans="1:10" ht="19.5" customHeight="1"/>
    <row r="30" spans="1:10" ht="19.5" customHeight="1"/>
    <row r="31" spans="1:10" ht="19.5" customHeight="1"/>
    <row r="32" spans="1:10" ht="19.5" customHeight="1"/>
  </sheetData>
  <mergeCells count="2">
    <mergeCell ref="A1:J1"/>
    <mergeCell ref="A2:J2"/>
  </mergeCells>
  <phoneticPr fontId="22" type="noConversion"/>
  <dataValidations count="1">
    <dataValidation type="list" allowBlank="1" showInputMessage="1" showErrorMessage="1" sqref="H12:H21">
      <formula1>"√,×"</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scale="80"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O40"/>
  <sheetViews>
    <sheetView view="pageBreakPreview" zoomScaleSheetLayoutView="100" workbookViewId="0">
      <selection sqref="A1:K1"/>
    </sheetView>
  </sheetViews>
  <sheetFormatPr defaultColWidth="9" defaultRowHeight="15.6"/>
  <cols>
    <col min="1" max="1" width="19.3984375" style="54" customWidth="1"/>
    <col min="2" max="2" width="9.59765625" style="54" customWidth="1"/>
    <col min="3" max="3" width="14.09765625" style="54" customWidth="1"/>
    <col min="4" max="4" width="15.19921875" style="54" customWidth="1"/>
    <col min="5" max="5" width="20.69921875" style="54" customWidth="1"/>
    <col min="6" max="6" width="11.296875" style="54" customWidth="1"/>
    <col min="7" max="7" width="15.09765625" style="54" customWidth="1"/>
    <col min="8" max="8" width="12.19921875" style="54" customWidth="1"/>
    <col min="9" max="10" width="14.5" style="54" customWidth="1"/>
    <col min="11" max="11" width="10.8984375" style="54" customWidth="1"/>
    <col min="12" max="16384" width="9" style="54"/>
  </cols>
  <sheetData>
    <row r="1" spans="1:11" ht="20.100000000000001" customHeight="1">
      <c r="A1" s="412" t="s">
        <v>277</v>
      </c>
      <c r="B1" s="412"/>
      <c r="C1" s="412"/>
      <c r="D1" s="412"/>
      <c r="E1" s="412"/>
      <c r="F1" s="412"/>
      <c r="G1" s="412"/>
      <c r="H1" s="412"/>
      <c r="I1" s="412"/>
      <c r="J1" s="412"/>
      <c r="K1" s="412"/>
    </row>
    <row r="2" spans="1:11" ht="24.9" customHeight="1">
      <c r="A2" s="413" t="s">
        <v>278</v>
      </c>
      <c r="B2" s="436"/>
      <c r="C2" s="436"/>
      <c r="D2" s="436"/>
      <c r="E2" s="436"/>
      <c r="F2" s="436"/>
      <c r="G2" s="436"/>
      <c r="H2" s="436"/>
      <c r="I2" s="436"/>
      <c r="J2" s="436"/>
      <c r="K2" s="436"/>
    </row>
    <row r="3" spans="1:11" ht="20.100000000000001" customHeight="1">
      <c r="A3" s="14" t="str">
        <f>底稿目录!A2</f>
        <v>被审计单位：</v>
      </c>
      <c r="B3" s="60"/>
      <c r="D3" s="14" t="str">
        <f>底稿目录!A4</f>
        <v>编制人：</v>
      </c>
      <c r="H3" s="14" t="str">
        <f>底稿目录!A5</f>
        <v>编制日期：</v>
      </c>
      <c r="J3" s="66" t="s">
        <v>236</v>
      </c>
      <c r="K3" s="335" t="str">
        <f>底稿目录!F18</f>
        <v>K3-5</v>
      </c>
    </row>
    <row r="4" spans="1:11" ht="20.100000000000001" customHeight="1">
      <c r="A4" s="14" t="str">
        <f>底稿目录!A3</f>
        <v>截止日：202X年12月31日</v>
      </c>
      <c r="B4" s="60"/>
      <c r="D4" s="14" t="str">
        <f>底稿目录!A6</f>
        <v>复核人：</v>
      </c>
      <c r="H4" s="14" t="str">
        <f>底稿目录!A7</f>
        <v>复核日期：</v>
      </c>
      <c r="J4" s="334" t="s">
        <v>374</v>
      </c>
      <c r="K4" s="14"/>
    </row>
    <row r="5" spans="1:11" s="14" customFormat="1" ht="20.100000000000001" customHeight="1">
      <c r="A5" s="55" t="s">
        <v>55</v>
      </c>
    </row>
    <row r="6" spans="1:11" s="14" customFormat="1" ht="20.100000000000001" customHeight="1">
      <c r="A6" s="14" t="s">
        <v>262</v>
      </c>
      <c r="E6" s="14" t="s">
        <v>263</v>
      </c>
    </row>
    <row r="7" spans="1:11" s="14" customFormat="1" ht="20.100000000000001" customHeight="1">
      <c r="A7" s="55" t="s">
        <v>56</v>
      </c>
    </row>
    <row r="8" spans="1:11" s="101" customFormat="1" ht="32.25" customHeight="1">
      <c r="A8" s="59" t="s">
        <v>57</v>
      </c>
      <c r="B8" s="59" t="s">
        <v>58</v>
      </c>
      <c r="C8" s="58" t="s">
        <v>59</v>
      </c>
      <c r="D8" s="59" t="s">
        <v>60</v>
      </c>
      <c r="E8" s="61" t="s">
        <v>66</v>
      </c>
      <c r="F8" s="59" t="s">
        <v>61</v>
      </c>
      <c r="G8" s="350" t="s">
        <v>325</v>
      </c>
      <c r="H8" s="350" t="s">
        <v>324</v>
      </c>
      <c r="I8" s="59" t="s">
        <v>62</v>
      </c>
      <c r="J8" s="86" t="s">
        <v>203</v>
      </c>
      <c r="K8" s="59" t="s">
        <v>63</v>
      </c>
    </row>
    <row r="9" spans="1:11" ht="20.100000000000001" customHeight="1">
      <c r="A9" s="56"/>
      <c r="B9" s="57"/>
      <c r="C9" s="57"/>
      <c r="D9" s="56"/>
      <c r="E9" s="56"/>
      <c r="F9" s="274"/>
      <c r="G9" s="274"/>
      <c r="H9" s="274"/>
      <c r="I9" s="57"/>
      <c r="J9" s="351"/>
      <c r="K9" s="352"/>
    </row>
    <row r="10" spans="1:11" ht="20.100000000000001" customHeight="1">
      <c r="A10" s="56"/>
      <c r="B10" s="57"/>
      <c r="C10" s="57"/>
      <c r="D10" s="56"/>
      <c r="E10" s="56"/>
      <c r="F10" s="274"/>
      <c r="G10" s="274"/>
      <c r="H10" s="274"/>
      <c r="I10" s="57"/>
      <c r="J10" s="351"/>
      <c r="K10" s="352"/>
    </row>
    <row r="11" spans="1:11" ht="20.100000000000001" customHeight="1">
      <c r="A11" s="56"/>
      <c r="B11" s="57"/>
      <c r="C11" s="57"/>
      <c r="D11" s="56"/>
      <c r="E11" s="56"/>
      <c r="F11" s="274"/>
      <c r="G11" s="274"/>
      <c r="H11" s="274"/>
      <c r="I11" s="57"/>
      <c r="J11" s="351"/>
      <c r="K11" s="352"/>
    </row>
    <row r="12" spans="1:11" ht="20.100000000000001" customHeight="1">
      <c r="A12" s="56"/>
      <c r="B12" s="57"/>
      <c r="C12" s="57"/>
      <c r="D12" s="56"/>
      <c r="E12" s="56"/>
      <c r="F12" s="274"/>
      <c r="G12" s="274"/>
      <c r="H12" s="274"/>
      <c r="I12" s="57"/>
      <c r="J12" s="351"/>
      <c r="K12" s="352"/>
    </row>
    <row r="13" spans="1:11" ht="20.100000000000001" customHeight="1">
      <c r="A13" s="56"/>
      <c r="B13" s="57"/>
      <c r="C13" s="57"/>
      <c r="D13" s="56"/>
      <c r="E13" s="56"/>
      <c r="F13" s="274"/>
      <c r="G13" s="274"/>
      <c r="H13" s="274"/>
      <c r="I13" s="57"/>
      <c r="J13" s="351"/>
      <c r="K13" s="352"/>
    </row>
    <row r="14" spans="1:11" s="318" customFormat="1" ht="20.100000000000001" customHeight="1">
      <c r="A14" s="315" t="s">
        <v>326</v>
      </c>
      <c r="B14" s="316">
        <f>SUM(B9:B13)</f>
        <v>0</v>
      </c>
      <c r="C14" s="316"/>
      <c r="D14" s="316"/>
      <c r="E14" s="316"/>
      <c r="F14" s="316"/>
      <c r="G14" s="316"/>
      <c r="H14" s="316"/>
      <c r="I14" s="316">
        <f>SUM(I9:I13)</f>
        <v>0</v>
      </c>
      <c r="J14" s="316">
        <f>SUM(J9:J13)</f>
        <v>0</v>
      </c>
      <c r="K14" s="317"/>
    </row>
    <row r="15" spans="1:11" ht="20.100000000000001" customHeight="1">
      <c r="A15" s="55" t="s">
        <v>64</v>
      </c>
    </row>
    <row r="16" spans="1:11" ht="20.100000000000001" customHeight="1">
      <c r="A16" s="286" t="s">
        <v>296</v>
      </c>
    </row>
    <row r="17" spans="1:15" ht="20.100000000000001" customHeight="1"/>
    <row r="18" spans="1:15" ht="20.100000000000001" customHeight="1">
      <c r="A18" s="55" t="s">
        <v>65</v>
      </c>
    </row>
    <row r="19" spans="1:15" ht="20.100000000000001" customHeight="1"/>
    <row r="20" spans="1:15" ht="20.100000000000001" customHeight="1"/>
    <row r="23" spans="1:15">
      <c r="K23" s="101"/>
      <c r="L23" s="101"/>
      <c r="M23" s="101"/>
      <c r="N23" s="101"/>
      <c r="O23" s="101"/>
    </row>
    <row r="24" spans="1:15">
      <c r="K24" s="101"/>
      <c r="L24" s="101"/>
      <c r="M24" s="101"/>
      <c r="N24" s="101"/>
      <c r="O24" s="101"/>
    </row>
    <row r="31" spans="1:15">
      <c r="K31" s="101"/>
      <c r="L31" s="101"/>
      <c r="M31" s="101"/>
      <c r="N31" s="101"/>
      <c r="O31" s="101"/>
    </row>
    <row r="32" spans="1:15">
      <c r="K32" s="101"/>
      <c r="L32" s="101"/>
      <c r="M32" s="101"/>
      <c r="N32" s="101"/>
      <c r="O32" s="101"/>
    </row>
    <row r="39" spans="11:15">
      <c r="K39" s="101"/>
      <c r="L39" s="101"/>
      <c r="M39" s="101"/>
      <c r="N39" s="101"/>
      <c r="O39" s="101"/>
    </row>
    <row r="40" spans="11:15">
      <c r="K40" s="101"/>
      <c r="L40" s="101"/>
      <c r="M40" s="101"/>
      <c r="N40" s="101"/>
      <c r="O40" s="101"/>
    </row>
  </sheetData>
  <mergeCells count="2">
    <mergeCell ref="A1:K1"/>
    <mergeCell ref="A2:K2"/>
  </mergeCells>
  <phoneticPr fontId="18" type="noConversion"/>
  <dataValidations count="1">
    <dataValidation type="list" allowBlank="1" showInputMessage="1" showErrorMessage="1" sqref="F9:G13">
      <formula1>"是,否"</formula1>
    </dataValidation>
  </dataValidations>
  <hyperlinks>
    <hyperlink ref="K3" location="底稿目录!A1" display="底稿目录!A1"/>
  </hyperlinks>
  <pageMargins left="0.70866141732283472" right="0.70866141732283472" top="0.74803149606299213" bottom="0.74803149606299213" header="0.31496062992125984" footer="0.31496062992125984"/>
  <pageSetup paperSize="9" scale="75" fitToHeight="0"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25"/>
  <sheetViews>
    <sheetView view="pageBreakPreview" zoomScaleNormal="130" zoomScaleSheetLayoutView="100" workbookViewId="0">
      <selection activeCell="J3" sqref="J3"/>
    </sheetView>
  </sheetViews>
  <sheetFormatPr defaultColWidth="9" defaultRowHeight="13.8"/>
  <cols>
    <col min="1" max="2" width="22.09765625" style="249" customWidth="1"/>
    <col min="3" max="6" width="10.796875" style="249" customWidth="1"/>
    <col min="7" max="7" width="13.59765625" style="249" customWidth="1"/>
    <col min="8" max="8" width="28.5" style="249" customWidth="1"/>
    <col min="9" max="9" width="11.69921875" style="249" customWidth="1"/>
    <col min="10" max="10" width="8.09765625" style="249" customWidth="1"/>
    <col min="11" max="11" width="27.09765625" style="249" customWidth="1"/>
    <col min="12" max="16384" width="9" style="249"/>
  </cols>
  <sheetData>
    <row r="1" spans="1:12" s="246" customFormat="1" ht="20.100000000000001" customHeight="1">
      <c r="A1" s="437" t="s">
        <v>210</v>
      </c>
      <c r="B1" s="437"/>
      <c r="C1" s="437"/>
      <c r="D1" s="437"/>
      <c r="E1" s="437"/>
      <c r="F1" s="438"/>
      <c r="G1" s="438"/>
      <c r="H1" s="438"/>
      <c r="I1" s="438"/>
      <c r="J1" s="438"/>
    </row>
    <row r="2" spans="1:12" s="247" customFormat="1" ht="25.05" customHeight="1">
      <c r="A2" s="439" t="s">
        <v>327</v>
      </c>
      <c r="B2" s="439"/>
      <c r="C2" s="439"/>
      <c r="D2" s="439"/>
      <c r="E2" s="439"/>
      <c r="F2" s="440"/>
      <c r="G2" s="440"/>
      <c r="H2" s="440"/>
      <c r="I2" s="440"/>
      <c r="J2" s="440"/>
    </row>
    <row r="3" spans="1:12" ht="20.100000000000001" customHeight="1">
      <c r="A3" s="248" t="str">
        <f>底稿目录!A2</f>
        <v>被审计单位：</v>
      </c>
      <c r="B3" s="248"/>
      <c r="C3" s="248"/>
      <c r="D3" s="248" t="str">
        <f>底稿目录!A4</f>
        <v>编制人：</v>
      </c>
      <c r="E3" s="248"/>
      <c r="F3" s="248"/>
      <c r="G3" s="248" t="str">
        <f>底稿目录!A5</f>
        <v>编制日期：</v>
      </c>
      <c r="H3" s="248"/>
      <c r="I3" s="248" t="s">
        <v>211</v>
      </c>
      <c r="J3" s="335" t="str">
        <f>底稿目录!F19</f>
        <v>K3-6</v>
      </c>
    </row>
    <row r="4" spans="1:12" ht="20.100000000000001" customHeight="1">
      <c r="A4" s="248" t="str">
        <f>底稿目录!A3</f>
        <v>截止日：202X年12月31日</v>
      </c>
      <c r="B4" s="248"/>
      <c r="C4" s="248"/>
      <c r="D4" s="248" t="str">
        <f>底稿目录!A6</f>
        <v>复核人：</v>
      </c>
      <c r="E4" s="248"/>
      <c r="F4" s="251"/>
      <c r="G4" s="248" t="str">
        <f>底稿目录!A7</f>
        <v>复核日期：</v>
      </c>
      <c r="H4" s="248"/>
      <c r="I4" s="248" t="s">
        <v>212</v>
      </c>
      <c r="J4" s="230"/>
    </row>
    <row r="5" spans="1:12" ht="20.100000000000001" customHeight="1">
      <c r="A5" s="252" t="s">
        <v>213</v>
      </c>
      <c r="B5" s="252"/>
      <c r="C5" s="230"/>
      <c r="D5" s="230"/>
      <c r="E5" s="230"/>
      <c r="G5" s="248"/>
      <c r="H5" s="248"/>
      <c r="I5" s="250"/>
      <c r="J5" s="250"/>
    </row>
    <row r="6" spans="1:12" s="362" customFormat="1" ht="30.6" customHeight="1">
      <c r="A6" s="242" t="s">
        <v>214</v>
      </c>
      <c r="B6" s="242" t="s">
        <v>216</v>
      </c>
      <c r="C6" s="253" t="s">
        <v>251</v>
      </c>
      <c r="D6" s="242" t="s">
        <v>328</v>
      </c>
      <c r="E6" s="242" t="s">
        <v>329</v>
      </c>
      <c r="F6" s="253" t="s">
        <v>252</v>
      </c>
      <c r="G6" s="253" t="s">
        <v>215</v>
      </c>
      <c r="H6" s="242" t="s">
        <v>264</v>
      </c>
      <c r="I6" s="86" t="s">
        <v>330</v>
      </c>
      <c r="J6" s="253" t="s">
        <v>217</v>
      </c>
      <c r="L6" s="363"/>
    </row>
    <row r="7" spans="1:12" s="358" customFormat="1" ht="19.95" customHeight="1">
      <c r="A7" s="353" t="s">
        <v>218</v>
      </c>
      <c r="B7" s="353"/>
      <c r="C7" s="354"/>
      <c r="D7" s="354"/>
      <c r="E7" s="354"/>
      <c r="F7" s="355"/>
      <c r="G7" s="356"/>
      <c r="H7" s="356"/>
      <c r="I7" s="357"/>
      <c r="J7" s="356"/>
    </row>
    <row r="8" spans="1:12" s="358" customFormat="1" ht="19.95" customHeight="1">
      <c r="A8" s="353" t="s">
        <v>220</v>
      </c>
      <c r="B8" s="353"/>
      <c r="C8" s="354"/>
      <c r="D8" s="354"/>
      <c r="E8" s="354"/>
      <c r="F8" s="355"/>
      <c r="G8" s="356"/>
      <c r="H8" s="353"/>
      <c r="I8" s="357"/>
      <c r="J8" s="356"/>
    </row>
    <row r="9" spans="1:12" s="358" customFormat="1" ht="19.95" customHeight="1">
      <c r="A9" s="353" t="s">
        <v>222</v>
      </c>
      <c r="B9" s="353"/>
      <c r="C9" s="354"/>
      <c r="D9" s="354"/>
      <c r="E9" s="354"/>
      <c r="F9" s="355">
        <f t="shared" ref="F9" si="0">C9+E9-D9</f>
        <v>0</v>
      </c>
      <c r="G9" s="356"/>
      <c r="H9" s="353"/>
      <c r="I9" s="357"/>
      <c r="J9" s="356"/>
    </row>
    <row r="10" spans="1:12" s="361" customFormat="1" ht="19.95" customHeight="1">
      <c r="A10" s="253" t="s">
        <v>224</v>
      </c>
      <c r="B10" s="359"/>
      <c r="C10" s="256">
        <f t="shared" ref="C10:E10" si="1">SUM(C7:C9)</f>
        <v>0</v>
      </c>
      <c r="D10" s="256">
        <f t="shared" si="1"/>
        <v>0</v>
      </c>
      <c r="E10" s="256">
        <f t="shared" si="1"/>
        <v>0</v>
      </c>
      <c r="F10" s="256">
        <f>SUM(F7:F9)</f>
        <v>0</v>
      </c>
      <c r="G10" s="359"/>
      <c r="H10" s="359"/>
      <c r="I10" s="360"/>
      <c r="J10" s="253"/>
    </row>
    <row r="11" spans="1:12" s="230" customFormat="1" ht="20.100000000000001" customHeight="1">
      <c r="A11" s="319" t="s">
        <v>331</v>
      </c>
      <c r="B11" s="257"/>
      <c r="C11" s="257"/>
      <c r="D11" s="257"/>
      <c r="E11" s="257"/>
      <c r="F11" s="258"/>
      <c r="G11" s="258"/>
      <c r="H11" s="258"/>
      <c r="I11" s="258"/>
      <c r="J11" s="258"/>
    </row>
    <row r="12" spans="1:12" s="230" customFormat="1" ht="20.100000000000001" customHeight="1">
      <c r="A12" s="286" t="s">
        <v>297</v>
      </c>
      <c r="B12" s="286"/>
      <c r="C12" s="257"/>
      <c r="D12" s="257"/>
      <c r="E12" s="257"/>
      <c r="F12" s="258"/>
      <c r="G12" s="258"/>
      <c r="H12" s="258"/>
      <c r="I12" s="258"/>
      <c r="J12" s="258"/>
    </row>
    <row r="13" spans="1:12" ht="20.100000000000001" customHeight="1">
      <c r="A13" s="252"/>
      <c r="B13" s="252"/>
      <c r="C13" s="252"/>
      <c r="D13" s="252"/>
      <c r="E13" s="252"/>
    </row>
    <row r="14" spans="1:12" ht="20.100000000000001" customHeight="1">
      <c r="A14" s="320" t="s">
        <v>332</v>
      </c>
      <c r="B14" s="268"/>
      <c r="C14" s="255"/>
      <c r="D14" s="255"/>
      <c r="E14" s="255"/>
    </row>
    <row r="15" spans="1:12" ht="20.100000000000001" customHeight="1"/>
    <row r="16" spans="1:12" ht="18" customHeight="1">
      <c r="A16" s="258"/>
      <c r="B16" s="258"/>
      <c r="C16" s="258"/>
      <c r="D16" s="258"/>
      <c r="E16" s="258"/>
      <c r="F16" s="230"/>
      <c r="G16" s="230"/>
      <c r="H16" s="230"/>
      <c r="I16" s="230"/>
      <c r="J16" s="230"/>
    </row>
    <row r="17" spans="1:10" ht="18" customHeight="1">
      <c r="A17" s="258"/>
      <c r="B17" s="371" t="s">
        <v>405</v>
      </c>
      <c r="C17" s="258"/>
      <c r="D17" s="258"/>
      <c r="E17" s="258"/>
      <c r="F17" s="230"/>
      <c r="G17" s="230"/>
      <c r="H17" s="230"/>
      <c r="I17" s="232"/>
      <c r="J17" s="232"/>
    </row>
    <row r="18" spans="1:10" ht="18" customHeight="1">
      <c r="A18" s="258"/>
      <c r="B18" s="254" t="s">
        <v>219</v>
      </c>
      <c r="C18" s="258"/>
      <c r="D18" s="258"/>
      <c r="E18" s="258"/>
      <c r="F18" s="230"/>
      <c r="G18" s="230"/>
      <c r="H18" s="230"/>
      <c r="I18" s="230"/>
      <c r="J18" s="230"/>
    </row>
    <row r="19" spans="1:10" ht="18" customHeight="1">
      <c r="A19" s="259"/>
      <c r="B19" s="254" t="s">
        <v>221</v>
      </c>
      <c r="C19" s="259"/>
      <c r="D19" s="259"/>
      <c r="E19" s="259"/>
      <c r="F19" s="230"/>
      <c r="G19" s="230"/>
      <c r="H19" s="230"/>
      <c r="I19" s="230"/>
      <c r="J19" s="230"/>
    </row>
    <row r="20" spans="1:10" ht="18" customHeight="1">
      <c r="A20" s="260"/>
      <c r="B20" s="254" t="s">
        <v>223</v>
      </c>
      <c r="C20" s="260"/>
      <c r="D20" s="260"/>
      <c r="E20" s="260"/>
      <c r="F20" s="258"/>
      <c r="G20" s="230"/>
      <c r="H20" s="230"/>
      <c r="I20" s="230"/>
      <c r="J20" s="230"/>
    </row>
    <row r="21" spans="1:10" ht="18" customHeight="1">
      <c r="A21" s="260"/>
      <c r="B21" s="249" t="s">
        <v>225</v>
      </c>
      <c r="C21" s="260"/>
      <c r="D21" s="260"/>
      <c r="E21" s="260"/>
      <c r="F21" s="258"/>
      <c r="G21" s="230"/>
      <c r="H21" s="230"/>
      <c r="I21" s="230"/>
      <c r="J21" s="230"/>
    </row>
    <row r="22" spans="1:10" ht="18" customHeight="1">
      <c r="A22" s="260"/>
      <c r="B22" s="254" t="s">
        <v>226</v>
      </c>
      <c r="C22" s="260"/>
      <c r="D22" s="260"/>
      <c r="E22" s="260"/>
      <c r="F22" s="258"/>
      <c r="G22" s="230"/>
      <c r="H22" s="230"/>
      <c r="I22" s="230"/>
      <c r="J22" s="230"/>
    </row>
    <row r="23" spans="1:10">
      <c r="B23" s="232" t="s">
        <v>227</v>
      </c>
    </row>
    <row r="24" spans="1:10">
      <c r="B24" s="254" t="s">
        <v>228</v>
      </c>
    </row>
    <row r="25" spans="1:10">
      <c r="B25" s="254" t="s">
        <v>229</v>
      </c>
    </row>
  </sheetData>
  <mergeCells count="2">
    <mergeCell ref="A1:J1"/>
    <mergeCell ref="A2:J2"/>
  </mergeCells>
  <phoneticPr fontId="18" type="noConversion"/>
  <dataValidations count="1">
    <dataValidation type="list" allowBlank="1" showInputMessage="1" showErrorMessage="1" sqref="B7:B9">
      <formula1>$B$18:$B$25</formula1>
    </dataValidation>
  </dataValidations>
  <hyperlinks>
    <hyperlink ref="J3" location="底稿目录!A1" display="底稿目录!A1"/>
  </hyperlinks>
  <printOptions horizontalCentered="1"/>
  <pageMargins left="0.55118110236220474" right="0.39370078740157483" top="0.51181102362204722" bottom="0.43307086614173229" header="0.31496062992125984" footer="0.31496062992125984"/>
  <pageSetup paperSize="9" scale="85" fitToHeight="10" orientation="landscape" blackAndWhite="1" cellComments="atEnd"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R66"/>
  <sheetViews>
    <sheetView view="pageBreakPreview" zoomScale="98" zoomScaleNormal="100" zoomScaleSheetLayoutView="98" workbookViewId="0">
      <selection activeCell="Q3" sqref="Q3"/>
    </sheetView>
  </sheetViews>
  <sheetFormatPr defaultRowHeight="15.6"/>
  <cols>
    <col min="1" max="1" width="13.3984375" style="229" bestFit="1" customWidth="1"/>
    <col min="2" max="2" width="10.296875" style="229" customWidth="1"/>
    <col min="3" max="3" width="12.296875" style="229" customWidth="1"/>
    <col min="4" max="4" width="10.796875" style="229" customWidth="1"/>
    <col min="5" max="5" width="9.69921875" style="229" customWidth="1"/>
    <col min="6" max="6" width="12.5" style="229" customWidth="1"/>
    <col min="7" max="7" width="14.59765625" style="229" customWidth="1"/>
    <col min="8" max="8" width="14.796875" style="229" customWidth="1"/>
    <col min="9" max="9" width="12.3984375" style="229" customWidth="1"/>
    <col min="10" max="14" width="4.796875" style="229" customWidth="1"/>
    <col min="15" max="15" width="8.796875" style="229"/>
    <col min="16" max="16" width="7.296875" style="229" customWidth="1"/>
    <col min="17" max="17" width="10.19921875" style="229" customWidth="1"/>
    <col min="18" max="16384" width="8.796875" style="229"/>
  </cols>
  <sheetData>
    <row r="1" spans="1:18" ht="19.95" customHeight="1">
      <c r="A1" s="445" t="s">
        <v>19</v>
      </c>
      <c r="B1" s="445"/>
      <c r="C1" s="445"/>
      <c r="D1" s="445"/>
      <c r="E1" s="445"/>
      <c r="F1" s="445"/>
      <c r="G1" s="445"/>
      <c r="H1" s="445"/>
      <c r="I1" s="445"/>
      <c r="J1" s="445"/>
      <c r="K1" s="445"/>
      <c r="L1" s="445"/>
      <c r="M1" s="445"/>
      <c r="N1" s="445"/>
      <c r="O1" s="445"/>
      <c r="P1" s="445"/>
      <c r="Q1" s="445"/>
    </row>
    <row r="2" spans="1:18" ht="19.95" customHeight="1">
      <c r="A2" s="446" t="s">
        <v>347</v>
      </c>
      <c r="B2" s="446"/>
      <c r="C2" s="446"/>
      <c r="D2" s="446"/>
      <c r="E2" s="446"/>
      <c r="F2" s="446"/>
      <c r="G2" s="446"/>
      <c r="H2" s="446"/>
      <c r="I2" s="446"/>
      <c r="J2" s="446"/>
      <c r="K2" s="446"/>
      <c r="L2" s="446"/>
      <c r="M2" s="446"/>
      <c r="N2" s="446"/>
      <c r="O2" s="446"/>
      <c r="P2" s="446"/>
      <c r="Q2" s="446"/>
    </row>
    <row r="3" spans="1:18" ht="19.95" customHeight="1">
      <c r="A3" s="230" t="str">
        <f>底稿目录!A2</f>
        <v>被审计单位：</v>
      </c>
      <c r="B3" s="230"/>
      <c r="C3" s="230"/>
      <c r="E3" s="230"/>
      <c r="F3" s="230"/>
      <c r="G3" s="230" t="str">
        <f>底稿目录!A4</f>
        <v>编制人：</v>
      </c>
      <c r="I3" s="230"/>
      <c r="J3" s="230"/>
      <c r="K3" s="230" t="str">
        <f>底稿目录!A5</f>
        <v>编制日期：</v>
      </c>
      <c r="M3" s="231"/>
      <c r="P3" s="232" t="s">
        <v>204</v>
      </c>
      <c r="Q3" s="335" t="str">
        <f>底稿目录!F20</f>
        <v>K3-7</v>
      </c>
    </row>
    <row r="4" spans="1:18" ht="19.95" customHeight="1">
      <c r="A4" s="230" t="str">
        <f>底稿目录!A3</f>
        <v>截止日：202X年12月31日</v>
      </c>
      <c r="B4" s="230"/>
      <c r="C4" s="230"/>
      <c r="E4" s="230"/>
      <c r="F4" s="230"/>
      <c r="G4" s="230" t="str">
        <f>底稿目录!A6</f>
        <v>复核人：</v>
      </c>
      <c r="I4" s="230"/>
      <c r="J4" s="230"/>
      <c r="K4" s="230" t="str">
        <f>底稿目录!A7</f>
        <v>复核日期：</v>
      </c>
      <c r="M4" s="231"/>
      <c r="P4" s="230" t="s">
        <v>22</v>
      </c>
    </row>
    <row r="5" spans="1:18" ht="19.95" customHeight="1">
      <c r="A5" s="233" t="s">
        <v>205</v>
      </c>
      <c r="B5" s="234"/>
      <c r="C5" s="234"/>
      <c r="D5" s="234"/>
      <c r="E5" s="234"/>
      <c r="F5" s="234"/>
      <c r="G5" s="234"/>
      <c r="H5" s="234"/>
      <c r="I5" s="234"/>
      <c r="J5" s="234"/>
      <c r="K5" s="234"/>
      <c r="L5" s="234"/>
      <c r="M5" s="234"/>
      <c r="N5" s="234"/>
      <c r="O5" s="234"/>
      <c r="P5" s="234"/>
      <c r="Q5" s="234"/>
    </row>
    <row r="6" spans="1:18" ht="19.95" customHeight="1">
      <c r="A6" s="235" t="s">
        <v>230</v>
      </c>
      <c r="B6" s="236"/>
      <c r="C6" s="236"/>
      <c r="D6" s="236"/>
      <c r="F6" s="235" t="s">
        <v>241</v>
      </c>
      <c r="G6" s="236"/>
      <c r="I6" s="235"/>
      <c r="K6" s="236"/>
      <c r="L6" s="236"/>
      <c r="M6" s="236"/>
      <c r="N6" s="236"/>
      <c r="O6" s="236"/>
      <c r="P6" s="236"/>
      <c r="Q6" s="236"/>
    </row>
    <row r="7" spans="1:18" ht="19.95" customHeight="1">
      <c r="A7" s="235" t="s">
        <v>231</v>
      </c>
      <c r="B7" s="236"/>
      <c r="C7" s="236"/>
      <c r="D7" s="236"/>
      <c r="F7" s="235"/>
      <c r="G7" s="236"/>
      <c r="I7" s="235"/>
      <c r="K7" s="236"/>
      <c r="L7" s="236"/>
      <c r="M7" s="236"/>
      <c r="N7" s="236"/>
      <c r="O7" s="236"/>
      <c r="P7" s="236"/>
      <c r="Q7" s="236"/>
    </row>
    <row r="8" spans="1:18" ht="19.95" customHeight="1">
      <c r="A8" s="237" t="s">
        <v>206</v>
      </c>
    </row>
    <row r="9" spans="1:18" ht="19.95" customHeight="1">
      <c r="A9" s="216" t="s">
        <v>289</v>
      </c>
      <c r="B9" s="224" t="s">
        <v>306</v>
      </c>
      <c r="C9"/>
      <c r="D9"/>
      <c r="E9"/>
      <c r="F9" s="216"/>
      <c r="G9" s="216" t="s">
        <v>290</v>
      </c>
      <c r="H9" s="224" t="s">
        <v>304</v>
      </c>
      <c r="I9"/>
    </row>
    <row r="10" spans="1:18" ht="19.95" customHeight="1">
      <c r="A10" s="216" t="s">
        <v>291</v>
      </c>
      <c r="B10" s="224" t="s">
        <v>279</v>
      </c>
      <c r="C10"/>
      <c r="D10"/>
      <c r="E10"/>
      <c r="F10" s="216"/>
      <c r="G10" s="216" t="s">
        <v>292</v>
      </c>
      <c r="H10" s="224" t="s">
        <v>407</v>
      </c>
      <c r="I10" s="224"/>
      <c r="J10" s="299"/>
      <c r="M10" s="238"/>
      <c r="N10" s="239"/>
    </row>
    <row r="11" spans="1:18" ht="19.95" customHeight="1">
      <c r="A11" s="216" t="s">
        <v>293</v>
      </c>
      <c r="B11" s="372" t="s">
        <v>406</v>
      </c>
      <c r="C11"/>
      <c r="D11"/>
      <c r="E11"/>
      <c r="F11" s="216"/>
      <c r="G11" s="216" t="s">
        <v>294</v>
      </c>
      <c r="H11" s="224" t="s">
        <v>305</v>
      </c>
      <c r="I11"/>
      <c r="M11" s="238"/>
      <c r="N11" s="239"/>
    </row>
    <row r="12" spans="1:18" ht="19.95" customHeight="1">
      <c r="A12" s="240" t="s">
        <v>207</v>
      </c>
    </row>
    <row r="13" spans="1:18" ht="19.95" customHeight="1">
      <c r="A13" s="301" t="s">
        <v>312</v>
      </c>
    </row>
    <row r="14" spans="1:18" ht="19.95" customHeight="1">
      <c r="A14" s="290" t="s">
        <v>333</v>
      </c>
      <c r="B14" s="132"/>
      <c r="C14" s="132"/>
      <c r="D14" s="132"/>
      <c r="E14" s="132"/>
      <c r="F14" s="132"/>
      <c r="G14" s="132"/>
      <c r="H14" s="132"/>
      <c r="I14" s="132"/>
      <c r="J14" s="132"/>
      <c r="K14" s="132"/>
      <c r="L14" s="132"/>
      <c r="M14" s="132"/>
      <c r="N14" s="132"/>
      <c r="O14" s="132"/>
      <c r="P14" s="132"/>
      <c r="Q14" s="132"/>
    </row>
    <row r="15" spans="1:18" s="241" customFormat="1" ht="19.95" customHeight="1">
      <c r="A15" s="447" t="s">
        <v>334</v>
      </c>
      <c r="B15" s="448"/>
      <c r="C15" s="448"/>
      <c r="D15" s="448"/>
      <c r="E15" s="448"/>
      <c r="F15" s="448"/>
      <c r="G15" s="448"/>
      <c r="H15" s="449"/>
      <c r="I15" s="450" t="s">
        <v>335</v>
      </c>
      <c r="J15" s="452" t="s">
        <v>336</v>
      </c>
      <c r="K15" s="453"/>
      <c r="L15" s="453"/>
      <c r="M15" s="453"/>
      <c r="N15" s="453"/>
      <c r="O15" s="442" t="s">
        <v>337</v>
      </c>
      <c r="P15" s="454" t="s">
        <v>338</v>
      </c>
      <c r="Q15" s="443" t="s">
        <v>339</v>
      </c>
    </row>
    <row r="16" spans="1:18" s="243" customFormat="1" ht="19.95" customHeight="1">
      <c r="A16" s="364" t="s">
        <v>345</v>
      </c>
      <c r="B16" s="291" t="s">
        <v>194</v>
      </c>
      <c r="C16" s="291" t="s">
        <v>90</v>
      </c>
      <c r="D16" s="291" t="s">
        <v>340</v>
      </c>
      <c r="E16" s="291" t="s">
        <v>341</v>
      </c>
      <c r="F16" s="291" t="s">
        <v>342</v>
      </c>
      <c r="G16" s="338" t="s">
        <v>343</v>
      </c>
      <c r="H16" s="338" t="s">
        <v>344</v>
      </c>
      <c r="I16" s="451"/>
      <c r="J16" s="321">
        <v>1</v>
      </c>
      <c r="K16" s="321">
        <v>2</v>
      </c>
      <c r="L16" s="321">
        <v>3</v>
      </c>
      <c r="M16" s="321">
        <v>4</v>
      </c>
      <c r="N16" s="321">
        <v>5</v>
      </c>
      <c r="O16" s="442"/>
      <c r="P16" s="455"/>
      <c r="Q16" s="444"/>
      <c r="R16" s="298"/>
    </row>
    <row r="17" spans="1:17" s="241" customFormat="1" ht="19.95" customHeight="1">
      <c r="A17" s="217"/>
      <c r="B17" s="292"/>
      <c r="C17" s="293"/>
      <c r="D17" s="217"/>
      <c r="E17" s="217"/>
      <c r="F17" s="217"/>
      <c r="G17" s="218"/>
      <c r="H17" s="218"/>
      <c r="I17" s="293"/>
      <c r="J17" s="322"/>
      <c r="K17" s="322"/>
      <c r="L17" s="322"/>
      <c r="M17" s="322"/>
      <c r="N17" s="322"/>
      <c r="O17" s="293"/>
      <c r="P17" s="294"/>
      <c r="Q17" s="294"/>
    </row>
    <row r="18" spans="1:17" s="241" customFormat="1" ht="19.95" customHeight="1">
      <c r="A18" s="217"/>
      <c r="B18" s="292"/>
      <c r="C18" s="293"/>
      <c r="D18" s="217"/>
      <c r="E18" s="217"/>
      <c r="F18" s="217"/>
      <c r="G18" s="218"/>
      <c r="H18" s="218"/>
      <c r="I18" s="293"/>
      <c r="J18" s="322"/>
      <c r="K18" s="322"/>
      <c r="L18" s="322"/>
      <c r="M18" s="322"/>
      <c r="N18" s="322"/>
      <c r="O18" s="293"/>
      <c r="P18" s="294"/>
      <c r="Q18" s="294"/>
    </row>
    <row r="19" spans="1:17" s="241" customFormat="1" ht="19.95" customHeight="1">
      <c r="A19" s="217"/>
      <c r="B19" s="292"/>
      <c r="C19" s="293"/>
      <c r="D19" s="217"/>
      <c r="E19" s="217"/>
      <c r="F19" s="217"/>
      <c r="G19" s="218"/>
      <c r="H19" s="218"/>
      <c r="I19" s="293"/>
      <c r="J19" s="322"/>
      <c r="K19" s="322"/>
      <c r="L19" s="322"/>
      <c r="M19" s="322"/>
      <c r="N19" s="322"/>
      <c r="O19" s="293"/>
      <c r="P19" s="294"/>
      <c r="Q19" s="294"/>
    </row>
    <row r="20" spans="1:17" s="241" customFormat="1" ht="19.95" customHeight="1">
      <c r="A20" s="217"/>
      <c r="B20" s="292"/>
      <c r="C20" s="293"/>
      <c r="D20" s="217"/>
      <c r="E20" s="217"/>
      <c r="F20" s="217"/>
      <c r="G20" s="218"/>
      <c r="H20" s="218"/>
      <c r="I20" s="293"/>
      <c r="J20" s="322"/>
      <c r="K20" s="322"/>
      <c r="L20" s="322"/>
      <c r="M20" s="322"/>
      <c r="N20" s="322"/>
      <c r="O20" s="293"/>
      <c r="P20" s="294"/>
      <c r="Q20" s="294"/>
    </row>
    <row r="21" spans="1:17" s="241" customFormat="1" ht="19.95" customHeight="1">
      <c r="A21" s="217"/>
      <c r="B21" s="292"/>
      <c r="C21" s="293"/>
      <c r="D21" s="217"/>
      <c r="E21" s="217"/>
      <c r="F21" s="217"/>
      <c r="G21" s="218"/>
      <c r="H21" s="218"/>
      <c r="I21" s="293"/>
      <c r="J21" s="322"/>
      <c r="K21" s="322"/>
      <c r="L21" s="322"/>
      <c r="M21" s="322"/>
      <c r="N21" s="322"/>
      <c r="O21" s="293"/>
      <c r="P21" s="294"/>
      <c r="Q21" s="294"/>
    </row>
    <row r="22" spans="1:17" s="241" customFormat="1" ht="19.95" customHeight="1">
      <c r="A22" s="217"/>
      <c r="B22" s="292"/>
      <c r="C22" s="293"/>
      <c r="D22" s="217"/>
      <c r="E22" s="217"/>
      <c r="F22" s="217"/>
      <c r="G22" s="218"/>
      <c r="H22" s="218"/>
      <c r="I22" s="293"/>
      <c r="J22" s="322"/>
      <c r="K22" s="322"/>
      <c r="L22" s="322"/>
      <c r="M22" s="322"/>
      <c r="N22" s="322"/>
      <c r="O22" s="293"/>
      <c r="P22" s="294"/>
      <c r="Q22" s="294"/>
    </row>
    <row r="23" spans="1:17" s="241" customFormat="1" ht="19.95" customHeight="1">
      <c r="A23" s="217"/>
      <c r="B23" s="292"/>
      <c r="C23" s="293"/>
      <c r="D23" s="217"/>
      <c r="E23" s="217"/>
      <c r="F23" s="217"/>
      <c r="G23" s="218"/>
      <c r="H23" s="218"/>
      <c r="I23" s="293"/>
      <c r="J23" s="322"/>
      <c r="K23" s="322"/>
      <c r="L23" s="322"/>
      <c r="M23" s="322"/>
      <c r="N23" s="322"/>
      <c r="O23" s="293"/>
      <c r="P23" s="294"/>
      <c r="Q23" s="294"/>
    </row>
    <row r="24" spans="1:17" s="241" customFormat="1" ht="19.95" customHeight="1">
      <c r="A24" s="217"/>
      <c r="B24" s="292"/>
      <c r="C24" s="293"/>
      <c r="D24" s="217"/>
      <c r="E24" s="217"/>
      <c r="F24" s="217"/>
      <c r="G24" s="218"/>
      <c r="H24" s="218"/>
      <c r="I24" s="293"/>
      <c r="J24" s="322"/>
      <c r="K24" s="322"/>
      <c r="L24" s="322"/>
      <c r="M24" s="322"/>
      <c r="N24" s="322"/>
      <c r="O24" s="293"/>
      <c r="P24" s="294"/>
      <c r="Q24" s="294"/>
    </row>
    <row r="25" spans="1:17" s="241" customFormat="1" ht="19.95" customHeight="1">
      <c r="A25" s="217"/>
      <c r="B25" s="292"/>
      <c r="C25" s="293"/>
      <c r="D25" s="217"/>
      <c r="E25" s="217"/>
      <c r="F25" s="217"/>
      <c r="G25" s="218"/>
      <c r="H25" s="218"/>
      <c r="I25" s="293"/>
      <c r="J25" s="322"/>
      <c r="K25" s="322"/>
      <c r="L25" s="322"/>
      <c r="M25" s="322"/>
      <c r="N25" s="322"/>
      <c r="O25" s="293"/>
      <c r="P25" s="294"/>
      <c r="Q25" s="294"/>
    </row>
    <row r="26" spans="1:17" s="241" customFormat="1" ht="19.95" customHeight="1">
      <c r="A26" s="217"/>
      <c r="B26" s="292"/>
      <c r="C26" s="293"/>
      <c r="D26" s="217"/>
      <c r="E26" s="217"/>
      <c r="F26" s="217"/>
      <c r="G26" s="218"/>
      <c r="H26" s="218"/>
      <c r="I26" s="293"/>
      <c r="J26" s="322"/>
      <c r="K26" s="322"/>
      <c r="L26" s="322"/>
      <c r="M26" s="322"/>
      <c r="N26" s="322"/>
      <c r="O26" s="293"/>
      <c r="P26" s="294"/>
      <c r="Q26" s="294"/>
    </row>
    <row r="27" spans="1:17" s="241" customFormat="1" ht="19.95" customHeight="1">
      <c r="A27" s="217"/>
      <c r="B27" s="292"/>
      <c r="C27" s="293"/>
      <c r="D27" s="217"/>
      <c r="E27" s="217"/>
      <c r="F27" s="217"/>
      <c r="G27" s="218"/>
      <c r="H27" s="218"/>
      <c r="I27" s="293"/>
      <c r="J27" s="322"/>
      <c r="K27" s="322"/>
      <c r="L27" s="322"/>
      <c r="M27" s="322"/>
      <c r="N27" s="322"/>
      <c r="O27" s="293"/>
      <c r="P27" s="294"/>
      <c r="Q27" s="294"/>
    </row>
    <row r="28" spans="1:17" s="241" customFormat="1" ht="19.95" customHeight="1">
      <c r="A28" s="217"/>
      <c r="B28" s="292"/>
      <c r="C28" s="293"/>
      <c r="D28" s="217"/>
      <c r="E28" s="217"/>
      <c r="F28" s="217"/>
      <c r="G28" s="218"/>
      <c r="H28" s="218"/>
      <c r="I28" s="293"/>
      <c r="J28" s="322"/>
      <c r="K28" s="322"/>
      <c r="L28" s="322"/>
      <c r="M28" s="322"/>
      <c r="N28" s="322"/>
      <c r="O28" s="293"/>
      <c r="P28" s="294"/>
      <c r="Q28" s="294"/>
    </row>
    <row r="29" spans="1:17" s="241" customFormat="1" ht="19.95" customHeight="1">
      <c r="A29" s="217"/>
      <c r="B29" s="292"/>
      <c r="C29" s="293"/>
      <c r="D29" s="217"/>
      <c r="E29" s="217"/>
      <c r="F29" s="217"/>
      <c r="G29" s="218"/>
      <c r="H29" s="218"/>
      <c r="I29" s="293"/>
      <c r="J29" s="322"/>
      <c r="K29" s="322"/>
      <c r="L29" s="322"/>
      <c r="M29" s="322"/>
      <c r="N29" s="322"/>
      <c r="O29" s="293"/>
      <c r="P29" s="294"/>
      <c r="Q29" s="294"/>
    </row>
    <row r="30" spans="1:17" s="241" customFormat="1" ht="19.95" customHeight="1">
      <c r="A30" s="217"/>
      <c r="B30" s="292"/>
      <c r="C30" s="293"/>
      <c r="D30" s="217"/>
      <c r="E30" s="217"/>
      <c r="F30" s="217"/>
      <c r="G30" s="218"/>
      <c r="H30" s="218"/>
      <c r="I30" s="293"/>
      <c r="J30" s="322"/>
      <c r="K30" s="322"/>
      <c r="L30" s="322"/>
      <c r="M30" s="322"/>
      <c r="N30" s="322"/>
      <c r="O30" s="293"/>
      <c r="P30" s="294"/>
      <c r="Q30" s="294"/>
    </row>
    <row r="31" spans="1:17" s="241" customFormat="1" ht="19.95" customHeight="1">
      <c r="A31" s="217"/>
      <c r="B31" s="292"/>
      <c r="C31" s="293"/>
      <c r="D31" s="217"/>
      <c r="E31" s="217"/>
      <c r="F31" s="217"/>
      <c r="G31" s="218"/>
      <c r="H31" s="218"/>
      <c r="I31" s="293"/>
      <c r="J31" s="322"/>
      <c r="K31" s="322"/>
      <c r="L31" s="322"/>
      <c r="M31" s="322"/>
      <c r="N31" s="322"/>
      <c r="O31" s="293"/>
      <c r="P31" s="294"/>
      <c r="Q31" s="294"/>
    </row>
    <row r="32" spans="1:17" s="241" customFormat="1" ht="19.95" customHeight="1">
      <c r="A32" s="217"/>
      <c r="B32" s="292"/>
      <c r="C32" s="293"/>
      <c r="D32" s="217"/>
      <c r="E32" s="217"/>
      <c r="F32" s="217"/>
      <c r="G32" s="218"/>
      <c r="H32" s="218"/>
      <c r="I32" s="293"/>
      <c r="J32" s="322"/>
      <c r="K32" s="322"/>
      <c r="L32" s="322"/>
      <c r="M32" s="322"/>
      <c r="N32" s="322"/>
      <c r="O32" s="293"/>
      <c r="P32" s="294"/>
      <c r="Q32" s="294"/>
    </row>
    <row r="33" spans="1:17" s="241" customFormat="1" ht="19.95" customHeight="1">
      <c r="A33" s="217"/>
      <c r="B33" s="292"/>
      <c r="C33" s="293"/>
      <c r="D33" s="217"/>
      <c r="E33" s="217"/>
      <c r="F33" s="217"/>
      <c r="G33" s="218"/>
      <c r="H33" s="218"/>
      <c r="I33" s="293"/>
      <c r="J33" s="322"/>
      <c r="K33" s="322"/>
      <c r="L33" s="322"/>
      <c r="M33" s="322"/>
      <c r="N33" s="322"/>
      <c r="O33" s="323"/>
      <c r="P33" s="294"/>
      <c r="Q33" s="294"/>
    </row>
    <row r="34" spans="1:17" s="241" customFormat="1" ht="19.95" customHeight="1">
      <c r="A34" s="217"/>
      <c r="B34" s="292"/>
      <c r="C34" s="293"/>
      <c r="D34" s="217"/>
      <c r="E34" s="217"/>
      <c r="F34" s="217"/>
      <c r="G34" s="218"/>
      <c r="H34" s="218"/>
      <c r="I34" s="293"/>
      <c r="J34" s="322"/>
      <c r="K34" s="322"/>
      <c r="L34" s="322"/>
      <c r="M34" s="322"/>
      <c r="N34" s="322"/>
      <c r="O34" s="323"/>
      <c r="P34" s="294"/>
      <c r="Q34" s="294"/>
    </row>
    <row r="35" spans="1:17" s="241" customFormat="1" ht="19.95" customHeight="1">
      <c r="A35" s="217"/>
      <c r="B35" s="292"/>
      <c r="C35" s="293"/>
      <c r="D35" s="217"/>
      <c r="E35" s="217"/>
      <c r="F35" s="217"/>
      <c r="G35" s="218"/>
      <c r="H35" s="218"/>
      <c r="I35" s="293"/>
      <c r="J35" s="322"/>
      <c r="K35" s="322"/>
      <c r="L35" s="322"/>
      <c r="M35" s="322"/>
      <c r="N35" s="322"/>
      <c r="O35" s="323"/>
      <c r="P35" s="294"/>
      <c r="Q35" s="294"/>
    </row>
    <row r="36" spans="1:17" s="241" customFormat="1" ht="19.95" customHeight="1">
      <c r="A36" s="217"/>
      <c r="B36" s="292"/>
      <c r="C36" s="293"/>
      <c r="D36" s="217"/>
      <c r="E36" s="217"/>
      <c r="F36" s="217"/>
      <c r="G36" s="218"/>
      <c r="H36" s="218"/>
      <c r="I36" s="293"/>
      <c r="J36" s="322"/>
      <c r="K36" s="322"/>
      <c r="L36" s="322"/>
      <c r="M36" s="322"/>
      <c r="N36" s="322"/>
      <c r="O36" s="323"/>
      <c r="P36" s="294"/>
      <c r="Q36" s="294"/>
    </row>
    <row r="37" spans="1:17" s="241" customFormat="1" ht="19.95" customHeight="1">
      <c r="A37" s="291" t="s">
        <v>299</v>
      </c>
      <c r="B37" s="295"/>
      <c r="C37" s="295"/>
      <c r="D37" s="295"/>
      <c r="E37" s="295"/>
      <c r="F37" s="295"/>
      <c r="G37" s="296">
        <f>SUM(G17:G36)</f>
        <v>0</v>
      </c>
      <c r="H37" s="296">
        <f>SUM(H17:H36)</f>
        <v>0</v>
      </c>
      <c r="I37" s="297"/>
      <c r="J37" s="297"/>
      <c r="K37" s="297"/>
      <c r="L37" s="296"/>
      <c r="M37" s="297"/>
      <c r="N37" s="297"/>
      <c r="O37" s="324"/>
      <c r="P37" s="297"/>
      <c r="Q37" s="297"/>
    </row>
    <row r="38" spans="1:17" ht="19.95" customHeight="1">
      <c r="A38" s="342" t="s">
        <v>346</v>
      </c>
      <c r="B38" s="343"/>
      <c r="C38" s="343"/>
      <c r="D38" s="343"/>
      <c r="E38" s="14"/>
      <c r="F38" s="14"/>
      <c r="G38" s="14"/>
      <c r="H38" s="14"/>
      <c r="I38" s="381"/>
      <c r="J38" s="382"/>
      <c r="K38" s="381"/>
      <c r="L38" s="383"/>
      <c r="M38" s="383"/>
      <c r="N38" s="383"/>
      <c r="O38" s="383"/>
      <c r="P38" s="383"/>
      <c r="Q38" s="383"/>
    </row>
    <row r="39" spans="1:17" ht="19.95" customHeight="1">
      <c r="A39" s="456" t="s">
        <v>334</v>
      </c>
      <c r="B39" s="456"/>
      <c r="C39" s="456"/>
      <c r="D39" s="456"/>
      <c r="E39" s="456"/>
      <c r="F39" s="456"/>
      <c r="G39" s="456"/>
      <c r="H39" s="450" t="s">
        <v>335</v>
      </c>
      <c r="I39" s="450"/>
      <c r="J39" s="441" t="s">
        <v>336</v>
      </c>
      <c r="K39" s="441"/>
      <c r="L39" s="441"/>
      <c r="M39" s="441"/>
      <c r="N39" s="441"/>
      <c r="O39" s="442" t="s">
        <v>337</v>
      </c>
      <c r="P39" s="442" t="s">
        <v>338</v>
      </c>
      <c r="Q39" s="443" t="s">
        <v>339</v>
      </c>
    </row>
    <row r="40" spans="1:17" ht="19.95" customHeight="1">
      <c r="A40" s="364" t="s">
        <v>345</v>
      </c>
      <c r="B40" s="291" t="s">
        <v>194</v>
      </c>
      <c r="C40" s="291" t="s">
        <v>90</v>
      </c>
      <c r="D40" s="291" t="s">
        <v>340</v>
      </c>
      <c r="E40" s="291" t="s">
        <v>341</v>
      </c>
      <c r="F40" s="291" t="s">
        <v>342</v>
      </c>
      <c r="G40" s="338" t="s">
        <v>343</v>
      </c>
      <c r="H40" s="450"/>
      <c r="I40" s="450"/>
      <c r="J40" s="321">
        <v>1</v>
      </c>
      <c r="K40" s="321">
        <v>2</v>
      </c>
      <c r="L40" s="321">
        <v>3</v>
      </c>
      <c r="M40" s="321">
        <v>4</v>
      </c>
      <c r="N40" s="321">
        <v>5</v>
      </c>
      <c r="O40" s="442"/>
      <c r="P40" s="442"/>
      <c r="Q40" s="444"/>
    </row>
    <row r="41" spans="1:17" ht="19.95" customHeight="1">
      <c r="A41" s="217"/>
      <c r="B41" s="292"/>
      <c r="C41" s="293"/>
      <c r="D41" s="217"/>
      <c r="E41" s="217"/>
      <c r="F41" s="217"/>
      <c r="G41" s="218"/>
      <c r="H41" s="458"/>
      <c r="I41" s="458"/>
      <c r="J41" s="322"/>
      <c r="K41" s="322"/>
      <c r="L41" s="322"/>
      <c r="M41" s="322"/>
      <c r="N41" s="322"/>
      <c r="O41" s="293"/>
      <c r="P41" s="294"/>
      <c r="Q41" s="294"/>
    </row>
    <row r="42" spans="1:17" ht="19.95" customHeight="1">
      <c r="A42" s="217"/>
      <c r="B42" s="292"/>
      <c r="C42" s="293"/>
      <c r="D42" s="217"/>
      <c r="E42" s="217"/>
      <c r="F42" s="217"/>
      <c r="G42" s="218"/>
      <c r="H42" s="458"/>
      <c r="I42" s="458"/>
      <c r="J42" s="322"/>
      <c r="K42" s="322"/>
      <c r="L42" s="322"/>
      <c r="M42" s="322"/>
      <c r="N42" s="322"/>
      <c r="O42" s="293"/>
      <c r="P42" s="294"/>
      <c r="Q42" s="294"/>
    </row>
    <row r="43" spans="1:17" ht="19.95" customHeight="1">
      <c r="A43" s="217"/>
      <c r="B43" s="292"/>
      <c r="C43" s="293"/>
      <c r="D43" s="217"/>
      <c r="E43" s="217"/>
      <c r="F43" s="217"/>
      <c r="G43" s="218"/>
      <c r="H43" s="458"/>
      <c r="I43" s="458"/>
      <c r="J43" s="322"/>
      <c r="K43" s="322"/>
      <c r="L43" s="322"/>
      <c r="M43" s="322"/>
      <c r="N43" s="322"/>
      <c r="O43" s="293"/>
      <c r="P43" s="294"/>
      <c r="Q43" s="294"/>
    </row>
    <row r="44" spans="1:17" ht="19.95" customHeight="1">
      <c r="A44" s="217"/>
      <c r="B44" s="292"/>
      <c r="C44" s="293"/>
      <c r="D44" s="217"/>
      <c r="E44" s="217"/>
      <c r="F44" s="217"/>
      <c r="G44" s="218"/>
      <c r="H44" s="458"/>
      <c r="I44" s="458"/>
      <c r="J44" s="322"/>
      <c r="K44" s="322"/>
      <c r="L44" s="322"/>
      <c r="M44" s="322"/>
      <c r="N44" s="322"/>
      <c r="O44" s="293"/>
      <c r="P44" s="294"/>
      <c r="Q44" s="294"/>
    </row>
    <row r="45" spans="1:17" ht="19.95" customHeight="1">
      <c r="A45" s="217"/>
      <c r="B45" s="292"/>
      <c r="C45" s="293"/>
      <c r="D45" s="217"/>
      <c r="E45" s="217"/>
      <c r="F45" s="217"/>
      <c r="G45" s="218"/>
      <c r="H45" s="458"/>
      <c r="I45" s="458"/>
      <c r="J45" s="322"/>
      <c r="K45" s="322"/>
      <c r="L45" s="322"/>
      <c r="M45" s="322"/>
      <c r="N45" s="322"/>
      <c r="O45" s="293"/>
      <c r="P45" s="294"/>
      <c r="Q45" s="294"/>
    </row>
    <row r="46" spans="1:17" ht="19.95" customHeight="1">
      <c r="A46" s="217"/>
      <c r="B46" s="292"/>
      <c r="C46" s="293"/>
      <c r="D46" s="217"/>
      <c r="E46" s="217"/>
      <c r="F46" s="217"/>
      <c r="G46" s="218"/>
      <c r="H46" s="458"/>
      <c r="I46" s="458"/>
      <c r="J46" s="322"/>
      <c r="K46" s="322"/>
      <c r="L46" s="322"/>
      <c r="M46" s="322"/>
      <c r="N46" s="322"/>
      <c r="O46" s="323"/>
      <c r="P46" s="294"/>
      <c r="Q46" s="294"/>
    </row>
    <row r="47" spans="1:17" ht="19.95" customHeight="1">
      <c r="A47" s="217"/>
      <c r="B47" s="292"/>
      <c r="C47" s="293"/>
      <c r="D47" s="217"/>
      <c r="E47" s="217"/>
      <c r="F47" s="217"/>
      <c r="G47" s="218"/>
      <c r="H47" s="458"/>
      <c r="I47" s="458"/>
      <c r="J47" s="322"/>
      <c r="K47" s="322"/>
      <c r="L47" s="322"/>
      <c r="M47" s="322"/>
      <c r="N47" s="322"/>
      <c r="O47" s="323"/>
      <c r="P47" s="294"/>
      <c r="Q47" s="294"/>
    </row>
    <row r="48" spans="1:17" ht="19.95" customHeight="1">
      <c r="A48" s="217"/>
      <c r="B48" s="292"/>
      <c r="C48" s="293"/>
      <c r="D48" s="217"/>
      <c r="E48" s="217"/>
      <c r="F48" s="217"/>
      <c r="G48" s="218"/>
      <c r="H48" s="458"/>
      <c r="I48" s="458"/>
      <c r="J48" s="322"/>
      <c r="K48" s="322"/>
      <c r="L48" s="322"/>
      <c r="M48" s="322"/>
      <c r="N48" s="322"/>
      <c r="O48" s="323"/>
      <c r="P48" s="294"/>
      <c r="Q48" s="294"/>
    </row>
    <row r="49" spans="1:17" ht="19.95" customHeight="1">
      <c r="A49" s="217"/>
      <c r="B49" s="292"/>
      <c r="C49" s="293"/>
      <c r="D49" s="217"/>
      <c r="E49" s="217"/>
      <c r="F49" s="217"/>
      <c r="G49" s="218"/>
      <c r="H49" s="458"/>
      <c r="I49" s="458"/>
      <c r="J49" s="322"/>
      <c r="K49" s="322"/>
      <c r="L49" s="322"/>
      <c r="M49" s="322"/>
      <c r="N49" s="322"/>
      <c r="O49" s="323"/>
      <c r="P49" s="294"/>
      <c r="Q49" s="294"/>
    </row>
    <row r="50" spans="1:17" ht="19.95" customHeight="1">
      <c r="A50" s="291" t="s">
        <v>299</v>
      </c>
      <c r="B50" s="295"/>
      <c r="C50" s="295"/>
      <c r="D50" s="295"/>
      <c r="E50" s="295"/>
      <c r="F50" s="295"/>
      <c r="G50" s="296">
        <f>SUM(G41:G49)</f>
        <v>0</v>
      </c>
      <c r="H50" s="457"/>
      <c r="I50" s="457"/>
      <c r="J50" s="297"/>
      <c r="K50" s="297"/>
      <c r="L50" s="296"/>
      <c r="M50" s="297"/>
      <c r="N50" s="297"/>
      <c r="O50" s="324"/>
      <c r="P50" s="297"/>
      <c r="Q50" s="297"/>
    </row>
    <row r="51" spans="1:17" ht="19.95" customHeight="1">
      <c r="A51" s="240" t="s">
        <v>208</v>
      </c>
      <c r="H51" s="244"/>
      <c r="I51" s="288"/>
      <c r="K51" s="288"/>
    </row>
    <row r="52" spans="1:17" ht="19.95" customHeight="1">
      <c r="A52" s="26" t="s">
        <v>408</v>
      </c>
      <c r="B52" s="26"/>
      <c r="C52"/>
      <c r="D52" s="373" t="s">
        <v>409</v>
      </c>
      <c r="E52" s="373" t="s">
        <v>410</v>
      </c>
      <c r="F52" s="373" t="s">
        <v>411</v>
      </c>
      <c r="G52" s="373" t="s">
        <v>412</v>
      </c>
      <c r="H52" s="374" t="s">
        <v>413</v>
      </c>
      <c r="I52" s="53"/>
      <c r="K52" s="288"/>
    </row>
    <row r="53" spans="1:17" ht="19.95" customHeight="1">
      <c r="A53" s="32"/>
      <c r="B53" s="32"/>
      <c r="C53"/>
      <c r="D53" s="373" t="s">
        <v>414</v>
      </c>
      <c r="E53" s="375">
        <f>'明细表K3-2'!M31</f>
        <v>0</v>
      </c>
      <c r="F53" s="375">
        <f>G37</f>
        <v>0</v>
      </c>
      <c r="G53" s="376" t="e">
        <f>ROUND(F53/E53,4)</f>
        <v>#DIV/0!</v>
      </c>
      <c r="H53" s="53"/>
      <c r="I53" s="53"/>
      <c r="K53" s="288"/>
    </row>
    <row r="54" spans="1:17" ht="19.95" customHeight="1">
      <c r="A54" s="32"/>
      <c r="B54" s="32"/>
      <c r="C54"/>
      <c r="D54" s="373" t="s">
        <v>415</v>
      </c>
      <c r="E54" s="375">
        <f>'明细表K3-2'!N31</f>
        <v>0</v>
      </c>
      <c r="F54" s="375">
        <f>H37</f>
        <v>0</v>
      </c>
      <c r="G54" s="376" t="e">
        <f>ROUND(F54/E54,2)</f>
        <v>#DIV/0!</v>
      </c>
      <c r="H54" s="53"/>
      <c r="I54" s="53"/>
      <c r="K54" s="288"/>
    </row>
    <row r="55" spans="1:17" ht="19.95" customHeight="1">
      <c r="A55" s="32"/>
      <c r="B55" s="32"/>
      <c r="C55"/>
      <c r="D55" s="373" t="s">
        <v>416</v>
      </c>
      <c r="E55" s="375">
        <f>'明细表K3-2'!T31</f>
        <v>0</v>
      </c>
      <c r="F55" s="375">
        <f>G50</f>
        <v>0</v>
      </c>
      <c r="G55" s="376" t="e">
        <f>ROUND(F55/E55,2)</f>
        <v>#DIV/0!</v>
      </c>
      <c r="H55" s="53"/>
      <c r="I55" s="53"/>
      <c r="K55" s="288"/>
    </row>
    <row r="56" spans="1:17" ht="19.95" customHeight="1">
      <c r="A56" s="377" t="s">
        <v>417</v>
      </c>
      <c r="B56" s="32"/>
      <c r="C56"/>
      <c r="D56" s="378"/>
      <c r="E56" s="379"/>
      <c r="F56" s="379"/>
      <c r="G56" s="380"/>
      <c r="H56" s="53"/>
      <c r="I56" s="53"/>
      <c r="K56" s="289"/>
      <c r="L56" s="289"/>
      <c r="M56" s="289"/>
    </row>
    <row r="57" spans="1:17" ht="19.95" customHeight="1">
      <c r="A57" s="245" t="s">
        <v>209</v>
      </c>
    </row>
    <row r="58" spans="1:17" ht="19.95" customHeight="1"/>
    <row r="59" spans="1:17" ht="19.95" customHeight="1"/>
    <row r="60" spans="1:17" ht="19.95" customHeight="1"/>
    <row r="61" spans="1:17" ht="19.95" customHeight="1"/>
    <row r="62" spans="1:17" ht="19.95" customHeight="1"/>
    <row r="63" spans="1:17" ht="19.95" customHeight="1"/>
    <row r="64" spans="1:17" ht="19.95" customHeight="1"/>
    <row r="65" ht="19.95" customHeight="1"/>
    <row r="66" ht="19.95" customHeight="1"/>
  </sheetData>
  <mergeCells count="24">
    <mergeCell ref="H50:I50"/>
    <mergeCell ref="H41:I41"/>
    <mergeCell ref="H46:I46"/>
    <mergeCell ref="H47:I47"/>
    <mergeCell ref="H48:I48"/>
    <mergeCell ref="H49:I49"/>
    <mergeCell ref="H42:I42"/>
    <mergeCell ref="H43:I43"/>
    <mergeCell ref="H44:I44"/>
    <mergeCell ref="H45:I45"/>
    <mergeCell ref="J39:N39"/>
    <mergeCell ref="O39:O40"/>
    <mergeCell ref="P39:P40"/>
    <mergeCell ref="Q39:Q40"/>
    <mergeCell ref="A1:Q1"/>
    <mergeCell ref="A2:Q2"/>
    <mergeCell ref="A15:H15"/>
    <mergeCell ref="I15:I16"/>
    <mergeCell ref="J15:N15"/>
    <mergeCell ref="O15:O16"/>
    <mergeCell ref="P15:P16"/>
    <mergeCell ref="Q15:Q16"/>
    <mergeCell ref="H39:I40"/>
    <mergeCell ref="A39:G39"/>
  </mergeCells>
  <phoneticPr fontId="18" type="noConversion"/>
  <dataValidations count="1">
    <dataValidation type="list" allowBlank="1" showInputMessage="1" showErrorMessage="1" sqref="J41:N49 J17:N36">
      <formula1>"√,X"</formula1>
    </dataValidation>
  </dataValidations>
  <hyperlinks>
    <hyperlink ref="Q3" location="底稿目录!A1" display="底稿目录!A1"/>
  </hyperlinks>
  <pageMargins left="0.70866141732283472" right="0.70866141732283472" top="0.74803149606299213" bottom="0.74803149606299213" header="0.31496062992125984" footer="0.31496062992125984"/>
  <pageSetup paperSize="9" scale="70" orientation="landscape" blackAndWhite="1" r:id="rId1"/>
  <headerFoot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B8"/>
  <sheetViews>
    <sheetView workbookViewId="0"/>
  </sheetViews>
  <sheetFormatPr defaultRowHeight="15.6"/>
  <sheetData>
    <row r="1" spans="1:2">
      <c r="A1" t="s">
        <v>2</v>
      </c>
      <c r="B1" t="s">
        <v>3</v>
      </c>
    </row>
    <row r="2" spans="1:2">
      <c r="A2" t="s">
        <v>4</v>
      </c>
      <c r="B2" t="s">
        <v>5</v>
      </c>
    </row>
    <row r="3" spans="1:2">
      <c r="A3" t="s">
        <v>6</v>
      </c>
      <c r="B3" t="s">
        <v>7</v>
      </c>
    </row>
    <row r="4" spans="1:2">
      <c r="A4" t="s">
        <v>8</v>
      </c>
      <c r="B4" t="s">
        <v>9</v>
      </c>
    </row>
    <row r="5" spans="1:2">
      <c r="A5" t="s">
        <v>10</v>
      </c>
      <c r="B5" t="s">
        <v>11</v>
      </c>
    </row>
    <row r="6" spans="1:2">
      <c r="A6" t="s">
        <v>12</v>
      </c>
      <c r="B6" t="s">
        <v>13</v>
      </c>
    </row>
    <row r="7" spans="1:2">
      <c r="A7" t="s">
        <v>14</v>
      </c>
      <c r="B7" t="s">
        <v>15</v>
      </c>
    </row>
    <row r="8" spans="1:2">
      <c r="A8" t="s">
        <v>16</v>
      </c>
      <c r="B8" t="s">
        <v>17</v>
      </c>
    </row>
  </sheetData>
  <phoneticPr fontId="18"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11</vt:i4>
      </vt:variant>
    </vt:vector>
  </HeadingPairs>
  <TitlesOfParts>
    <vt:vector size="23" baseType="lpstr">
      <vt:lpstr>底稿目录</vt:lpstr>
      <vt:lpstr>实质性程序表K3A</vt:lpstr>
      <vt:lpstr>审定表K3-1</vt:lpstr>
      <vt:lpstr>附注披露信息(上市公司)</vt:lpstr>
      <vt:lpstr>附注披露信息(国企)</vt:lpstr>
      <vt:lpstr>明细表K3-2</vt:lpstr>
      <vt:lpstr>调整分录汇总K3-3</vt:lpstr>
      <vt:lpstr>大额其他应付款情况分析表K3-4</vt:lpstr>
      <vt:lpstr>长期挂账检查表K3-5</vt:lpstr>
      <vt:lpstr>关联方及交易检查表K3-6</vt:lpstr>
      <vt:lpstr>其他应付款检查表K3-7</vt:lpstr>
      <vt:lpstr>GT_Custom</vt:lpstr>
      <vt:lpstr>'大额其他应付款情况分析表K3-4'!Print_Area</vt:lpstr>
      <vt:lpstr>'调整分录汇总K3-3'!Print_Area</vt:lpstr>
      <vt:lpstr>'附注披露信息(国企)'!Print_Area</vt:lpstr>
      <vt:lpstr>'附注披露信息(上市公司)'!Print_Area</vt:lpstr>
      <vt:lpstr>'关联方及交易检查表K3-6'!Print_Area</vt:lpstr>
      <vt:lpstr>'明细表K3-2'!Print_Area</vt:lpstr>
      <vt:lpstr>'其他应付款检查表K3-7'!Print_Area</vt:lpstr>
      <vt:lpstr>'审定表K3-1'!Print_Area</vt:lpstr>
      <vt:lpstr>实质性程序表K3A!Print_Area</vt:lpstr>
      <vt:lpstr>'长期挂账检查表K3-5'!Print_Area</vt:lpstr>
      <vt:lpstr>实质性程序表K3A!Print_Titles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2025-10-21T09:23:34Z</cp:lastPrinted>
  <dcterms:created xsi:type="dcterms:W3CDTF">2007-05-20T08:51:05Z</dcterms:created>
  <dcterms:modified xsi:type="dcterms:W3CDTF">2025-11-05T07:12:53Z</dcterms:modified>
</cp:coreProperties>
</file>