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108" yWindow="-108" windowWidth="23256" windowHeight="12576" tabRatio="857"/>
  </bookViews>
  <sheets>
    <sheet name="底稿目录" sheetId="8" r:id="rId1"/>
    <sheet name="实质性程序表K9A" sheetId="11" r:id="rId2"/>
    <sheet name="审定表K9-1" sheetId="1" r:id="rId3"/>
    <sheet name="附注披露信息（上市公司）" sheetId="3" r:id="rId4"/>
    <sheet name="附注披露信息（国企）" sheetId="2" r:id="rId5"/>
    <sheet name="明细表K9-2" sheetId="4" r:id="rId6"/>
    <sheet name="调整分录汇总K9-3" sheetId="12" r:id="rId7"/>
    <sheet name="实质性分析K9-4" sheetId="5" r:id="rId8"/>
    <sheet name="合同检查表K9-5" sheetId="9" r:id="rId9"/>
    <sheet name="截止性测试(从记账凭证至原始凭证）K9-6" sheetId="15" r:id="rId10"/>
    <sheet name="截止性测试（从原始凭证至记账凭证）K9-7" sheetId="16" r:id="rId11"/>
    <sheet name="管理费用检查表K9-8" sheetId="17" r:id="rId12"/>
  </sheets>
  <definedNames>
    <definedName name="_xlnm.Print_Area" localSheetId="6">'调整分录汇总K9-3'!$A$1:$J$20</definedName>
    <definedName name="_xlnm.Print_Area" localSheetId="4">'附注披露信息（国企）'!$A$1:$E$42</definedName>
    <definedName name="_xlnm.Print_Area" localSheetId="3">'附注披露信息（上市公司）'!$A$1:$E$42</definedName>
    <definedName name="_xlnm.Print_Area" localSheetId="11">'管理费用检查表K9-8'!$A$1:$Q$38</definedName>
    <definedName name="_xlnm.Print_Area" localSheetId="8">'合同检查表K9-5'!$A$1:$Q$26</definedName>
    <definedName name="_xlnm.Print_Area" localSheetId="9">'截止性测试(从记账凭证至原始凭证）K9-6'!$A$1:$K$41</definedName>
    <definedName name="_xlnm.Print_Area" localSheetId="10">'截止性测试（从原始凭证至记账凭证）K9-7'!$A$1:$K$41</definedName>
    <definedName name="_xlnm.Print_Area" localSheetId="5">'明细表K9-2'!$A$1:$Y$40</definedName>
    <definedName name="_xlnm.Print_Area" localSheetId="2">'审定表K9-1'!$A$1:$L$34</definedName>
    <definedName name="_xlnm.Print_Area" localSheetId="1">实质性程序表K9A!$A$1:$I$30</definedName>
    <definedName name="_xlnm.Print_Area" localSheetId="7">'实质性分析K9-4'!$A$1:$J$48</definedName>
    <definedName name="_xlnm.Print_Titles" localSheetId="1">实质性程序表K9A!$15:$16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7" l="1"/>
  <c r="K3" i="16"/>
  <c r="K3" i="15"/>
  <c r="I4" i="17" l="1"/>
  <c r="I3" i="17"/>
  <c r="F4" i="17"/>
  <c r="F3" i="17"/>
  <c r="A4" i="17"/>
  <c r="A3" i="17"/>
  <c r="H4" i="16"/>
  <c r="H3" i="16"/>
  <c r="E4" i="16"/>
  <c r="E3" i="16"/>
  <c r="A4" i="16"/>
  <c r="A3" i="16"/>
  <c r="G4" i="15"/>
  <c r="G3" i="15"/>
  <c r="E4" i="15"/>
  <c r="E3" i="15"/>
  <c r="A4" i="15"/>
  <c r="A3" i="15"/>
  <c r="G31" i="17" l="1"/>
  <c r="L12" i="9"/>
  <c r="L13" i="9"/>
  <c r="L14" i="9"/>
  <c r="L15" i="9"/>
  <c r="L16" i="9"/>
  <c r="L17" i="9"/>
  <c r="L18" i="9"/>
  <c r="L19" i="9"/>
  <c r="L20" i="9"/>
  <c r="D37" i="4" l="1"/>
  <c r="F37" i="4" s="1"/>
  <c r="D36" i="4"/>
  <c r="F36" i="4" s="1"/>
  <c r="A13" i="5" l="1"/>
  <c r="A14" i="5"/>
  <c r="A15" i="5"/>
  <c r="A16" i="5"/>
  <c r="A17" i="5"/>
  <c r="A18" i="5"/>
  <c r="A19" i="5"/>
  <c r="A20" i="5"/>
  <c r="A21" i="5"/>
  <c r="A22" i="5"/>
  <c r="A23" i="5"/>
  <c r="A24" i="5"/>
  <c r="A25" i="5"/>
  <c r="A26" i="5"/>
  <c r="A27" i="5"/>
  <c r="A28" i="5"/>
  <c r="A29" i="5"/>
  <c r="C29" i="4" l="1"/>
  <c r="D29" i="4"/>
  <c r="E29" i="4"/>
  <c r="F29" i="4"/>
  <c r="G29" i="4"/>
  <c r="H29" i="4"/>
  <c r="I29" i="4"/>
  <c r="J29" i="4"/>
  <c r="K29" i="4"/>
  <c r="L29" i="4"/>
  <c r="M29" i="4"/>
  <c r="N12" i="4"/>
  <c r="Q12" i="4" s="1"/>
  <c r="B13" i="5" s="1"/>
  <c r="D13" i="5" s="1"/>
  <c r="N13" i="4"/>
  <c r="Q13" i="4" s="1"/>
  <c r="B14" i="5" s="1"/>
  <c r="D14" i="5" s="1"/>
  <c r="N14" i="4"/>
  <c r="Q14" i="4" s="1"/>
  <c r="B15" i="5" s="1"/>
  <c r="D15" i="5" s="1"/>
  <c r="N15" i="4"/>
  <c r="Q15" i="4" s="1"/>
  <c r="B16" i="5" s="1"/>
  <c r="D16" i="5" s="1"/>
  <c r="N16" i="4"/>
  <c r="Q16" i="4" s="1"/>
  <c r="B17" i="5" s="1"/>
  <c r="D17" i="5" s="1"/>
  <c r="N17" i="4"/>
  <c r="Q17" i="4" s="1"/>
  <c r="B18" i="5" s="1"/>
  <c r="N18" i="4"/>
  <c r="Q18" i="4" s="1"/>
  <c r="B19" i="5" s="1"/>
  <c r="N19" i="4"/>
  <c r="Q19" i="4" s="1"/>
  <c r="B20" i="5" s="1"/>
  <c r="D20" i="5" s="1"/>
  <c r="N20" i="4"/>
  <c r="Q20" i="4" s="1"/>
  <c r="B21" i="5" s="1"/>
  <c r="D21" i="5" s="1"/>
  <c r="N21" i="4"/>
  <c r="Q21" i="4" s="1"/>
  <c r="B22" i="5" s="1"/>
  <c r="N22" i="4"/>
  <c r="Q22" i="4" s="1"/>
  <c r="B23" i="5" s="1"/>
  <c r="N23" i="4"/>
  <c r="Q23" i="4" s="1"/>
  <c r="B24" i="5" s="1"/>
  <c r="N24" i="4"/>
  <c r="Q24" i="4" s="1"/>
  <c r="B25" i="5" s="1"/>
  <c r="D25" i="5" s="1"/>
  <c r="N25" i="4"/>
  <c r="Q25" i="4" s="1"/>
  <c r="B26" i="5" s="1"/>
  <c r="N26" i="4"/>
  <c r="Q26" i="4" s="1"/>
  <c r="B27" i="5" s="1"/>
  <c r="N27" i="4"/>
  <c r="Q27" i="4" s="1"/>
  <c r="B28" i="5" s="1"/>
  <c r="N28" i="4"/>
  <c r="Q28" i="4" s="1"/>
  <c r="B29" i="5" s="1"/>
  <c r="D29" i="5" l="1"/>
  <c r="D23" i="5"/>
  <c r="D24" i="5"/>
  <c r="D22" i="5"/>
  <c r="D28" i="5"/>
  <c r="D19" i="5"/>
  <c r="D27" i="5"/>
  <c r="D18" i="5"/>
  <c r="D26" i="5"/>
  <c r="Q3" i="9"/>
  <c r="J3" i="5"/>
  <c r="J3" i="12"/>
  <c r="D3" i="12"/>
  <c r="Y3" i="4"/>
  <c r="L3" i="1"/>
  <c r="I3" i="11"/>
  <c r="A4" i="11"/>
  <c r="A24" i="1" l="1"/>
  <c r="A20" i="1"/>
  <c r="A21" i="1"/>
  <c r="A22" i="1"/>
  <c r="A23" i="1"/>
  <c r="A8" i="1"/>
  <c r="A9" i="1"/>
  <c r="A10" i="1"/>
  <c r="A11" i="1"/>
  <c r="A12" i="1"/>
  <c r="A13" i="1"/>
  <c r="A14" i="1"/>
  <c r="A15" i="1"/>
  <c r="A16" i="1"/>
  <c r="A17" i="1"/>
  <c r="A18" i="1"/>
  <c r="A19" i="1"/>
  <c r="A7" i="1"/>
  <c r="K20" i="9"/>
  <c r="J20" i="9"/>
  <c r="K19" i="9"/>
  <c r="J19" i="9"/>
  <c r="K18" i="9"/>
  <c r="J18" i="9"/>
  <c r="K17" i="9"/>
  <c r="J17" i="9"/>
  <c r="K16" i="9"/>
  <c r="J16" i="9"/>
  <c r="K15" i="9"/>
  <c r="J15" i="9"/>
  <c r="K14" i="9"/>
  <c r="J14" i="9"/>
  <c r="K13" i="9"/>
  <c r="J13" i="9"/>
  <c r="K12" i="9"/>
  <c r="J12" i="9"/>
  <c r="K11" i="9"/>
  <c r="L11" i="9" s="1"/>
  <c r="J11" i="9"/>
  <c r="K4" i="9"/>
  <c r="H4" i="9"/>
  <c r="A4" i="9"/>
  <c r="K3" i="9"/>
  <c r="H3" i="9"/>
  <c r="A3" i="9"/>
  <c r="N11" i="4"/>
  <c r="W11" i="4"/>
  <c r="E12" i="5" s="1"/>
  <c r="W12" i="4"/>
  <c r="E13" i="5" s="1"/>
  <c r="W13" i="4"/>
  <c r="E14" i="5" s="1"/>
  <c r="W14" i="4"/>
  <c r="W15" i="4"/>
  <c r="W16" i="4"/>
  <c r="E17" i="5" s="1"/>
  <c r="G17" i="5" s="1"/>
  <c r="I17" i="5" s="1"/>
  <c r="W17" i="4"/>
  <c r="E18" i="5" s="1"/>
  <c r="G18" i="5" s="1"/>
  <c r="I18" i="5" s="1"/>
  <c r="W18" i="4"/>
  <c r="W19" i="4"/>
  <c r="W20" i="4"/>
  <c r="E21" i="5" s="1"/>
  <c r="G21" i="5" s="1"/>
  <c r="I21" i="5" s="1"/>
  <c r="W21" i="4"/>
  <c r="W22" i="4"/>
  <c r="W23" i="4"/>
  <c r="E24" i="5" s="1"/>
  <c r="G24" i="5" s="1"/>
  <c r="I24" i="5" s="1"/>
  <c r="W24" i="4"/>
  <c r="W25" i="4"/>
  <c r="E26" i="5" s="1"/>
  <c r="G26" i="5" s="1"/>
  <c r="I26" i="5" s="1"/>
  <c r="W26" i="4"/>
  <c r="W27" i="4"/>
  <c r="E28" i="5" s="1"/>
  <c r="G28" i="5" s="1"/>
  <c r="I28" i="5" s="1"/>
  <c r="W28" i="4"/>
  <c r="A12" i="5"/>
  <c r="H31" i="5"/>
  <c r="F4" i="5"/>
  <c r="C4" i="5"/>
  <c r="A4" i="5"/>
  <c r="F3" i="5"/>
  <c r="C3" i="5"/>
  <c r="A3" i="5"/>
  <c r="F4" i="12"/>
  <c r="D4" i="12"/>
  <c r="A4" i="12"/>
  <c r="F3" i="12"/>
  <c r="A3" i="12"/>
  <c r="V29" i="4"/>
  <c r="U29" i="4"/>
  <c r="T29" i="4"/>
  <c r="P29" i="4"/>
  <c r="O29" i="4"/>
  <c r="B29" i="4"/>
  <c r="O4" i="4"/>
  <c r="G4" i="4"/>
  <c r="A4" i="4"/>
  <c r="O3" i="4"/>
  <c r="G3" i="4"/>
  <c r="A3" i="4"/>
  <c r="C42" i="2"/>
  <c r="B42" i="2"/>
  <c r="F12" i="1"/>
  <c r="G15" i="1"/>
  <c r="C4" i="2"/>
  <c r="B4" i="2"/>
  <c r="A4" i="2"/>
  <c r="C3" i="2"/>
  <c r="B3" i="2"/>
  <c r="A3" i="2"/>
  <c r="C42" i="3"/>
  <c r="B42" i="3"/>
  <c r="C4" i="3"/>
  <c r="B4" i="3"/>
  <c r="A4" i="3"/>
  <c r="C3" i="3"/>
  <c r="B3" i="3"/>
  <c r="A3" i="3"/>
  <c r="H4" i="1"/>
  <c r="D4" i="1"/>
  <c r="A4" i="1"/>
  <c r="H3" i="1"/>
  <c r="D3" i="1"/>
  <c r="A3" i="1"/>
  <c r="E4" i="11"/>
  <c r="C4" i="11"/>
  <c r="E3" i="11"/>
  <c r="C3" i="11"/>
  <c r="A3" i="11"/>
  <c r="B17" i="1" l="1"/>
  <c r="A17" i="2"/>
  <c r="A17" i="3"/>
  <c r="C9" i="1"/>
  <c r="A9" i="2"/>
  <c r="G18" i="1"/>
  <c r="A18" i="3"/>
  <c r="A18" i="2"/>
  <c r="B16" i="1"/>
  <c r="A16" i="2"/>
  <c r="A16" i="3"/>
  <c r="B8" i="1"/>
  <c r="A8" i="2"/>
  <c r="G10" i="1"/>
  <c r="A10" i="2"/>
  <c r="F15" i="1"/>
  <c r="A15" i="2"/>
  <c r="B23" i="1"/>
  <c r="A23" i="2"/>
  <c r="A23" i="3"/>
  <c r="F14" i="1"/>
  <c r="A14" i="2"/>
  <c r="B22" i="1"/>
  <c r="A22" i="3"/>
  <c r="A22" i="2"/>
  <c r="H13" i="1"/>
  <c r="A13" i="2"/>
  <c r="F21" i="1"/>
  <c r="A21" i="3"/>
  <c r="A21" i="2"/>
  <c r="B7" i="1"/>
  <c r="A7" i="2"/>
  <c r="B12" i="1"/>
  <c r="A12" i="2"/>
  <c r="B20" i="1"/>
  <c r="A20" i="3"/>
  <c r="A20" i="2"/>
  <c r="B19" i="1"/>
  <c r="A19" i="3"/>
  <c r="A19" i="2"/>
  <c r="B11" i="1"/>
  <c r="A11" i="2"/>
  <c r="B24" i="1"/>
  <c r="A24" i="2"/>
  <c r="A24" i="3"/>
  <c r="G11" i="1"/>
  <c r="H11" i="1"/>
  <c r="A11" i="3"/>
  <c r="F11" i="1"/>
  <c r="H19" i="1"/>
  <c r="D10" i="1"/>
  <c r="C10" i="1"/>
  <c r="A7" i="3"/>
  <c r="G12" i="1"/>
  <c r="A12" i="3"/>
  <c r="F9" i="1"/>
  <c r="G19" i="1"/>
  <c r="A10" i="3"/>
  <c r="F19" i="1"/>
  <c r="D19" i="1"/>
  <c r="B10" i="1"/>
  <c r="H10" i="1"/>
  <c r="F13" i="1"/>
  <c r="F10" i="1"/>
  <c r="H12" i="1"/>
  <c r="N14" i="9"/>
  <c r="N18" i="9"/>
  <c r="N15" i="9"/>
  <c r="N12" i="9"/>
  <c r="N16" i="9"/>
  <c r="N20" i="9"/>
  <c r="N11" i="9"/>
  <c r="N19" i="9"/>
  <c r="N13" i="9"/>
  <c r="N17" i="9"/>
  <c r="H14" i="5"/>
  <c r="G14" i="5"/>
  <c r="I14" i="5" s="1"/>
  <c r="H13" i="5"/>
  <c r="G13" i="5"/>
  <c r="I13" i="5" s="1"/>
  <c r="G12" i="5"/>
  <c r="A13" i="3"/>
  <c r="A14" i="3"/>
  <c r="A15" i="3"/>
  <c r="E29" i="5"/>
  <c r="G29" i="5" s="1"/>
  <c r="I29" i="5" s="1"/>
  <c r="H28" i="5"/>
  <c r="E27" i="5"/>
  <c r="G27" i="5" s="1"/>
  <c r="I27" i="5" s="1"/>
  <c r="H26" i="5"/>
  <c r="E25" i="5"/>
  <c r="G25" i="5" s="1"/>
  <c r="I25" i="5" s="1"/>
  <c r="G9" i="1"/>
  <c r="B9" i="1"/>
  <c r="A9" i="3"/>
  <c r="D9" i="1"/>
  <c r="H9" i="1"/>
  <c r="E20" i="5"/>
  <c r="G20" i="5" s="1"/>
  <c r="I20" i="5" s="1"/>
  <c r="E19" i="5"/>
  <c r="G19" i="5" s="1"/>
  <c r="I19" i="5" s="1"/>
  <c r="H17" i="5"/>
  <c r="E23" i="5"/>
  <c r="G23" i="5" s="1"/>
  <c r="I23" i="5" s="1"/>
  <c r="E15" i="5"/>
  <c r="H18" i="5"/>
  <c r="H24" i="5"/>
  <c r="E16" i="5"/>
  <c r="E22" i="5"/>
  <c r="H21" i="5"/>
  <c r="Q11" i="4"/>
  <c r="B12" i="5" s="1"/>
  <c r="H12" i="5" s="1"/>
  <c r="N29" i="4"/>
  <c r="L30" i="4" s="1"/>
  <c r="D17" i="1"/>
  <c r="C17" i="1"/>
  <c r="D13" i="1"/>
  <c r="G13" i="1"/>
  <c r="C12" i="1"/>
  <c r="C13" i="1"/>
  <c r="B13" i="1"/>
  <c r="D12" i="1"/>
  <c r="D7" i="1"/>
  <c r="G7" i="1"/>
  <c r="F7" i="1"/>
  <c r="H8" i="1"/>
  <c r="H18" i="1"/>
  <c r="G8" i="1"/>
  <c r="H17" i="1"/>
  <c r="D8" i="1"/>
  <c r="G17" i="1"/>
  <c r="A8" i="3"/>
  <c r="F17" i="1"/>
  <c r="C8" i="1"/>
  <c r="B18" i="1"/>
  <c r="D16" i="1"/>
  <c r="W29" i="4"/>
  <c r="D11" i="1"/>
  <c r="D18" i="1"/>
  <c r="C18" i="1"/>
  <c r="C16" i="1"/>
  <c r="H24" i="1"/>
  <c r="F18" i="1"/>
  <c r="H16" i="1"/>
  <c r="G16" i="1"/>
  <c r="C11" i="1"/>
  <c r="F16" i="1"/>
  <c r="H7" i="1"/>
  <c r="H15" i="1"/>
  <c r="I15" i="1" s="1"/>
  <c r="H23" i="1"/>
  <c r="G23" i="1"/>
  <c r="H21" i="1"/>
  <c r="G21" i="1"/>
  <c r="D21" i="1"/>
  <c r="H20" i="1"/>
  <c r="G20" i="1"/>
  <c r="C19" i="1"/>
  <c r="E19" i="1" s="1"/>
  <c r="C15" i="1"/>
  <c r="C7" i="1"/>
  <c r="G24" i="1"/>
  <c r="G22" i="1"/>
  <c r="F20" i="1"/>
  <c r="B15" i="1"/>
  <c r="F24" i="1"/>
  <c r="F22" i="1"/>
  <c r="D15" i="1"/>
  <c r="D20" i="1"/>
  <c r="H22" i="1"/>
  <c r="D24" i="1"/>
  <c r="D22" i="1"/>
  <c r="C20" i="1"/>
  <c r="D14" i="1"/>
  <c r="C24" i="1"/>
  <c r="C22" i="1"/>
  <c r="C14" i="1"/>
  <c r="B14" i="1"/>
  <c r="F8" i="1"/>
  <c r="F23" i="1"/>
  <c r="D23" i="1"/>
  <c r="C21" i="1"/>
  <c r="C23" i="1"/>
  <c r="B21" i="1"/>
  <c r="H14" i="1"/>
  <c r="G14" i="1"/>
  <c r="B25" i="1" l="1"/>
  <c r="C19" i="3"/>
  <c r="C19" i="2"/>
  <c r="B15" i="3"/>
  <c r="B15" i="2"/>
  <c r="E10" i="1"/>
  <c r="I11" i="1"/>
  <c r="I12" i="1"/>
  <c r="I19" i="1"/>
  <c r="I10" i="1"/>
  <c r="I13" i="1"/>
  <c r="J30" i="4"/>
  <c r="E9" i="1"/>
  <c r="D12" i="5"/>
  <c r="I12" i="5" s="1"/>
  <c r="G22" i="5"/>
  <c r="I22" i="5" s="1"/>
  <c r="H16" i="5"/>
  <c r="G16" i="5"/>
  <c r="I16" i="5" s="1"/>
  <c r="H15" i="5"/>
  <c r="G15" i="5"/>
  <c r="I15" i="5" s="1"/>
  <c r="F27" i="5"/>
  <c r="H27" i="5"/>
  <c r="I9" i="1"/>
  <c r="H25" i="5"/>
  <c r="H29" i="5"/>
  <c r="F29" i="5"/>
  <c r="E30" i="5"/>
  <c r="F25" i="5" s="1"/>
  <c r="B27" i="1"/>
  <c r="F22" i="5"/>
  <c r="H22" i="5"/>
  <c r="F23" i="5"/>
  <c r="H23" i="5"/>
  <c r="F19" i="5"/>
  <c r="H19" i="5"/>
  <c r="D25" i="1"/>
  <c r="D27" i="1" s="1"/>
  <c r="C25" i="1"/>
  <c r="C27" i="1" s="1"/>
  <c r="F20" i="5"/>
  <c r="H20" i="5"/>
  <c r="H25" i="1"/>
  <c r="H27" i="1" s="1"/>
  <c r="G25" i="1"/>
  <c r="G27" i="1" s="1"/>
  <c r="B30" i="4"/>
  <c r="E30" i="4"/>
  <c r="F30" i="4"/>
  <c r="G30" i="4"/>
  <c r="F25" i="1"/>
  <c r="F27" i="1" s="1"/>
  <c r="M30" i="4"/>
  <c r="F16" i="5"/>
  <c r="F14" i="5"/>
  <c r="F15" i="5"/>
  <c r="F13" i="5"/>
  <c r="E22" i="1"/>
  <c r="E17" i="1"/>
  <c r="I8" i="1"/>
  <c r="E8" i="1"/>
  <c r="E12" i="1"/>
  <c r="E16" i="1"/>
  <c r="E11" i="1"/>
  <c r="E13" i="1"/>
  <c r="H30" i="4"/>
  <c r="I30" i="4"/>
  <c r="C30" i="4"/>
  <c r="K30" i="4"/>
  <c r="D30" i="4"/>
  <c r="E18" i="1"/>
  <c r="I7" i="1"/>
  <c r="I18" i="1"/>
  <c r="I21" i="1"/>
  <c r="I17" i="1"/>
  <c r="Q29" i="4"/>
  <c r="G32" i="17" s="1"/>
  <c r="G33" i="17" s="1"/>
  <c r="I16" i="1"/>
  <c r="I24" i="1"/>
  <c r="E24" i="1"/>
  <c r="E21" i="1"/>
  <c r="E20" i="1"/>
  <c r="E23" i="1"/>
  <c r="J10" i="1"/>
  <c r="K10" i="1" s="1"/>
  <c r="I22" i="1"/>
  <c r="I20" i="1"/>
  <c r="I23" i="1"/>
  <c r="J19" i="1"/>
  <c r="K19" i="1" s="1"/>
  <c r="I14" i="1"/>
  <c r="E15" i="1"/>
  <c r="E14" i="1"/>
  <c r="E7" i="1"/>
  <c r="C21" i="2" l="1"/>
  <c r="C21" i="3"/>
  <c r="J7" i="1"/>
  <c r="B7" i="2"/>
  <c r="B7" i="3"/>
  <c r="C11" i="3"/>
  <c r="C11" i="2"/>
  <c r="B12" i="3"/>
  <c r="B12" i="2"/>
  <c r="B11" i="3"/>
  <c r="B11" i="2"/>
  <c r="B24" i="3"/>
  <c r="B24" i="2"/>
  <c r="B9" i="3"/>
  <c r="B9" i="2"/>
  <c r="C10" i="2"/>
  <c r="C10" i="3"/>
  <c r="B14" i="2"/>
  <c r="B14" i="3"/>
  <c r="B20" i="2"/>
  <c r="B20" i="3"/>
  <c r="B16" i="3"/>
  <c r="B16" i="2"/>
  <c r="C8" i="3"/>
  <c r="C8" i="2"/>
  <c r="C9" i="2"/>
  <c r="C9" i="3"/>
  <c r="B8" i="3"/>
  <c r="B8" i="2"/>
  <c r="C16" i="3"/>
  <c r="C16" i="2"/>
  <c r="B17" i="3"/>
  <c r="B17" i="2"/>
  <c r="C17" i="3"/>
  <c r="C17" i="2"/>
  <c r="B13" i="3"/>
  <c r="B13" i="2"/>
  <c r="C18" i="2"/>
  <c r="C18" i="3"/>
  <c r="B23" i="3"/>
  <c r="B23" i="2"/>
  <c r="B22" i="2"/>
  <c r="B22" i="3"/>
  <c r="C23" i="3"/>
  <c r="C23" i="2"/>
  <c r="C22" i="2"/>
  <c r="C22" i="3"/>
  <c r="B10" i="2"/>
  <c r="B10" i="3"/>
  <c r="C24" i="3"/>
  <c r="C24" i="2"/>
  <c r="C12" i="3"/>
  <c r="C12" i="2"/>
  <c r="C7" i="3"/>
  <c r="C7" i="2"/>
  <c r="C14" i="2"/>
  <c r="C14" i="3"/>
  <c r="B21" i="3"/>
  <c r="B21" i="2"/>
  <c r="C15" i="3"/>
  <c r="C15" i="2"/>
  <c r="C20" i="3"/>
  <c r="C20" i="2"/>
  <c r="B18" i="2"/>
  <c r="B18" i="3"/>
  <c r="C13" i="2"/>
  <c r="C13" i="3"/>
  <c r="B19" i="3"/>
  <c r="B19" i="2"/>
  <c r="J9" i="1"/>
  <c r="K9" i="1" s="1"/>
  <c r="F12" i="5"/>
  <c r="F28" i="5"/>
  <c r="F18" i="5"/>
  <c r="F24" i="5"/>
  <c r="F26" i="5"/>
  <c r="F17" i="5"/>
  <c r="F21" i="5"/>
  <c r="R26" i="4"/>
  <c r="R23" i="4"/>
  <c r="R27" i="4"/>
  <c r="R28" i="4"/>
  <c r="R25" i="4"/>
  <c r="R19" i="4"/>
  <c r="R20" i="4"/>
  <c r="R22" i="4"/>
  <c r="R21" i="4"/>
  <c r="R24" i="4"/>
  <c r="E32" i="5"/>
  <c r="G30" i="5"/>
  <c r="F30" i="5"/>
  <c r="J11" i="1"/>
  <c r="K11" i="1" s="1"/>
  <c r="J17" i="1"/>
  <c r="E25" i="1"/>
  <c r="I25" i="1"/>
  <c r="R17" i="4"/>
  <c r="R18" i="4"/>
  <c r="J8" i="1"/>
  <c r="K8" i="1" s="1"/>
  <c r="J12" i="1"/>
  <c r="K12" i="1"/>
  <c r="J13" i="1"/>
  <c r="K13" i="1" s="1"/>
  <c r="K24" i="1"/>
  <c r="J18" i="1"/>
  <c r="K18" i="1" s="1"/>
  <c r="B30" i="5"/>
  <c r="B35" i="5" s="1"/>
  <c r="E35" i="5" s="1"/>
  <c r="R11" i="4"/>
  <c r="R15" i="4"/>
  <c r="R12" i="4"/>
  <c r="R16" i="4"/>
  <c r="R14" i="4"/>
  <c r="R13" i="4"/>
  <c r="K17" i="1"/>
  <c r="J21" i="1"/>
  <c r="K21" i="1" s="1"/>
  <c r="J24" i="1"/>
  <c r="J23" i="1"/>
  <c r="K23" i="1" s="1"/>
  <c r="J16" i="1"/>
  <c r="K16" i="1" s="1"/>
  <c r="J22" i="1"/>
  <c r="K22" i="1" s="1"/>
  <c r="J20" i="1"/>
  <c r="K20" i="1" s="1"/>
  <c r="K7" i="1"/>
  <c r="J15" i="1"/>
  <c r="K15" i="1" s="1"/>
  <c r="J14" i="1"/>
  <c r="K14" i="1" s="1"/>
  <c r="C25" i="2" l="1"/>
  <c r="B25" i="2"/>
  <c r="B25" i="3"/>
  <c r="C29" i="5"/>
  <c r="C27" i="5"/>
  <c r="C26" i="5"/>
  <c r="C25" i="5"/>
  <c r="C22" i="5"/>
  <c r="C20" i="5"/>
  <c r="C23" i="5"/>
  <c r="C28" i="5"/>
  <c r="C21" i="5"/>
  <c r="C24" i="5"/>
  <c r="C19" i="5"/>
  <c r="C18" i="5"/>
  <c r="B32" i="5"/>
  <c r="B38" i="5" s="1"/>
  <c r="D30" i="5"/>
  <c r="I30" i="5" s="1"/>
  <c r="C25" i="3"/>
  <c r="J25" i="1"/>
  <c r="K25" i="1" s="1"/>
  <c r="C17" i="5"/>
  <c r="C16" i="5"/>
  <c r="C15" i="5"/>
  <c r="C14" i="5"/>
  <c r="C13" i="5"/>
  <c r="R29" i="4"/>
  <c r="C30" i="5"/>
  <c r="C12" i="5"/>
  <c r="H30" i="5"/>
  <c r="I27" i="1"/>
  <c r="E27" i="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Administrator</author>
  </authors>
  <commentList>
    <comment ref="A7" authorId="0" shapeId="0">
      <text>
        <r>
          <rPr>
            <b/>
            <sz val="9"/>
            <rFont val="宋体"/>
            <family val="3"/>
            <charset val="134"/>
          </rPr>
          <t>根据明细表X列自动更新；</t>
        </r>
      </text>
    </comment>
  </commentList>
</comments>
</file>

<file path=xl/sharedStrings.xml><?xml version="1.0" encoding="utf-8"?>
<sst xmlns="http://schemas.openxmlformats.org/spreadsheetml/2006/main" count="509" uniqueCount="412">
  <si>
    <t>底稿开列时，可先在以下单元格填写有关内容，以便其他底稿引用有关数据：</t>
  </si>
  <si>
    <r>
      <rPr>
        <b/>
        <sz val="12"/>
        <color indexed="8"/>
        <rFont val="宋体"/>
        <family val="3"/>
        <charset val="134"/>
      </rPr>
      <t>目录</t>
    </r>
  </si>
  <si>
    <r>
      <rPr>
        <b/>
        <sz val="10"/>
        <color indexed="8"/>
        <rFont val="宋体"/>
        <family val="3"/>
        <charset val="134"/>
      </rPr>
      <t>序号</t>
    </r>
  </si>
  <si>
    <r>
      <rPr>
        <b/>
        <sz val="10"/>
        <color indexed="8"/>
        <rFont val="宋体"/>
        <family val="3"/>
        <charset val="134"/>
      </rPr>
      <t>索引号</t>
    </r>
  </si>
  <si>
    <r>
      <rPr>
        <b/>
        <sz val="10"/>
        <color indexed="8"/>
        <rFont val="宋体"/>
        <family val="3"/>
        <charset val="134"/>
      </rPr>
      <t>备注</t>
    </r>
  </si>
  <si>
    <t>附注披露信息（上市公司）</t>
  </si>
  <si>
    <t>致同会计师事务所</t>
  </si>
  <si>
    <t>管理费用实质性程序</t>
  </si>
  <si>
    <r>
      <rPr>
        <sz val="10"/>
        <rFont val="宋体"/>
        <family val="3"/>
        <charset val="134"/>
      </rPr>
      <t>页次：</t>
    </r>
  </si>
  <si>
    <t>管理费用</t>
  </si>
  <si>
    <r>
      <rPr>
        <b/>
        <sz val="10"/>
        <rFont val="宋体"/>
        <family val="3"/>
        <charset val="134"/>
      </rPr>
      <t>财务报表的认定　</t>
    </r>
  </si>
  <si>
    <t>发生</t>
  </si>
  <si>
    <t>准确性</t>
  </si>
  <si>
    <t>截止</t>
  </si>
  <si>
    <t>√</t>
  </si>
  <si>
    <t>三、计划实施的实质性程序</t>
  </si>
  <si>
    <t>序号</t>
  </si>
  <si>
    <t>2</t>
  </si>
  <si>
    <t>3</t>
  </si>
  <si>
    <t>4</t>
  </si>
  <si>
    <t>5</t>
  </si>
  <si>
    <t>6</t>
  </si>
  <si>
    <t>管理费用审定表（个别报表）</t>
  </si>
  <si>
    <r>
      <rPr>
        <b/>
        <sz val="10"/>
        <color indexed="8"/>
        <rFont val="宋体"/>
        <family val="3"/>
        <charset val="134"/>
      </rPr>
      <t>项目</t>
    </r>
  </si>
  <si>
    <t>上期数</t>
  </si>
  <si>
    <t>本期数</t>
  </si>
  <si>
    <t>本期审定数与上期
审定数的比较</t>
  </si>
  <si>
    <t>原因分析</t>
  </si>
  <si>
    <t>未审数</t>
  </si>
  <si>
    <t>账项调整</t>
  </si>
  <si>
    <t>重分类调整</t>
  </si>
  <si>
    <t>审定数</t>
  </si>
  <si>
    <t>变动额</t>
  </si>
  <si>
    <t>变动率</t>
  </si>
  <si>
    <r>
      <rPr>
        <b/>
        <sz val="10"/>
        <color indexed="8"/>
        <rFont val="宋体"/>
        <family val="3"/>
        <charset val="134"/>
      </rPr>
      <t>合计</t>
    </r>
  </si>
  <si>
    <t>TB数据：</t>
  </si>
  <si>
    <t>差异：</t>
  </si>
  <si>
    <r>
      <rPr>
        <sz val="10"/>
        <rFont val="宋体"/>
        <family val="3"/>
        <charset val="134"/>
      </rPr>
      <t>（</t>
    </r>
    <r>
      <rPr>
        <sz val="10"/>
        <rFont val="Arial Narrow"/>
        <family val="2"/>
      </rPr>
      <t>1</t>
    </r>
    <r>
      <rPr>
        <sz val="10"/>
        <rFont val="宋体"/>
        <family val="3"/>
        <charset val="134"/>
      </rPr>
      <t>）管理费用本期较上期增加（负数为减少）：</t>
    </r>
  </si>
  <si>
    <r>
      <rPr>
        <sz val="10"/>
        <rFont val="宋体"/>
        <family val="3"/>
        <charset val="134"/>
      </rPr>
      <t>主要原因</t>
    </r>
    <r>
      <rPr>
        <sz val="10"/>
        <color indexed="10"/>
        <rFont val="宋体"/>
        <family val="3"/>
        <charset val="134"/>
      </rPr>
      <t>（比例超过30%的）</t>
    </r>
    <r>
      <rPr>
        <sz val="10"/>
        <rFont val="宋体"/>
        <family val="3"/>
        <charset val="134"/>
      </rPr>
      <t>：</t>
    </r>
  </si>
  <si>
    <r>
      <rPr>
        <sz val="10"/>
        <rFont val="宋体"/>
        <family val="3"/>
        <charset val="134"/>
      </rPr>
      <t>（</t>
    </r>
    <r>
      <rPr>
        <sz val="10"/>
        <rFont val="Arial Narrow"/>
        <family val="2"/>
      </rPr>
      <t>2</t>
    </r>
    <r>
      <rPr>
        <sz val="10"/>
        <rFont val="宋体"/>
        <family val="3"/>
        <charset val="134"/>
      </rPr>
      <t>）情况说明。</t>
    </r>
  </si>
  <si>
    <t>附注披露信息(国企)</t>
  </si>
  <si>
    <t>页次:</t>
  </si>
  <si>
    <t>管理费用明细表</t>
  </si>
  <si>
    <t>页次：</t>
  </si>
  <si>
    <r>
      <rPr>
        <b/>
        <sz val="10"/>
        <color indexed="8"/>
        <rFont val="宋体"/>
        <family val="3"/>
        <charset val="134"/>
      </rPr>
      <t>一、审计目标</t>
    </r>
    <r>
      <rPr>
        <b/>
        <sz val="10"/>
        <color indexed="8"/>
        <rFont val="Arial Narrow"/>
        <family val="2"/>
      </rPr>
      <t>:</t>
    </r>
  </si>
  <si>
    <r>
      <rPr>
        <b/>
        <sz val="10"/>
        <rFont val="宋体"/>
        <family val="3"/>
        <charset val="134"/>
      </rPr>
      <t>二、审计过程：</t>
    </r>
  </si>
  <si>
    <t>项目</t>
  </si>
  <si>
    <r>
      <rPr>
        <b/>
        <sz val="10"/>
        <rFont val="Arial Narrow"/>
        <family val="2"/>
      </rPr>
      <t>1</t>
    </r>
    <r>
      <rPr>
        <b/>
        <sz val="10"/>
        <rFont val="宋体"/>
        <family val="3"/>
        <charset val="134"/>
      </rPr>
      <t>月</t>
    </r>
  </si>
  <si>
    <r>
      <rPr>
        <b/>
        <sz val="10"/>
        <rFont val="Arial Narrow"/>
        <family val="2"/>
      </rPr>
      <t>2</t>
    </r>
    <r>
      <rPr>
        <b/>
        <sz val="10"/>
        <rFont val="宋体"/>
        <family val="3"/>
        <charset val="134"/>
      </rPr>
      <t>月</t>
    </r>
  </si>
  <si>
    <r>
      <rPr>
        <b/>
        <sz val="10"/>
        <rFont val="Arial Narrow"/>
        <family val="2"/>
      </rPr>
      <t>3</t>
    </r>
    <r>
      <rPr>
        <b/>
        <sz val="10"/>
        <rFont val="宋体"/>
        <family val="3"/>
        <charset val="134"/>
      </rPr>
      <t>月</t>
    </r>
  </si>
  <si>
    <r>
      <rPr>
        <b/>
        <sz val="10"/>
        <rFont val="Arial Narrow"/>
        <family val="2"/>
      </rPr>
      <t>4</t>
    </r>
    <r>
      <rPr>
        <b/>
        <sz val="10"/>
        <rFont val="宋体"/>
        <family val="3"/>
        <charset val="134"/>
      </rPr>
      <t>月</t>
    </r>
  </si>
  <si>
    <r>
      <rPr>
        <b/>
        <sz val="10"/>
        <rFont val="Arial Narrow"/>
        <family val="2"/>
      </rPr>
      <t>5</t>
    </r>
    <r>
      <rPr>
        <b/>
        <sz val="10"/>
        <rFont val="宋体"/>
        <family val="3"/>
        <charset val="134"/>
      </rPr>
      <t>月</t>
    </r>
  </si>
  <si>
    <r>
      <rPr>
        <b/>
        <sz val="10"/>
        <rFont val="Arial Narrow"/>
        <family val="2"/>
      </rPr>
      <t>6</t>
    </r>
    <r>
      <rPr>
        <b/>
        <sz val="10"/>
        <rFont val="宋体"/>
        <family val="3"/>
        <charset val="134"/>
      </rPr>
      <t>月</t>
    </r>
  </si>
  <si>
    <r>
      <rPr>
        <b/>
        <sz val="10"/>
        <rFont val="Arial Narrow"/>
        <family val="2"/>
      </rPr>
      <t>7</t>
    </r>
    <r>
      <rPr>
        <b/>
        <sz val="10"/>
        <rFont val="宋体"/>
        <family val="3"/>
        <charset val="134"/>
      </rPr>
      <t>月</t>
    </r>
  </si>
  <si>
    <r>
      <rPr>
        <b/>
        <sz val="10"/>
        <rFont val="Arial Narrow"/>
        <family val="2"/>
      </rPr>
      <t>8</t>
    </r>
    <r>
      <rPr>
        <b/>
        <sz val="10"/>
        <rFont val="宋体"/>
        <family val="3"/>
        <charset val="134"/>
      </rPr>
      <t>月</t>
    </r>
  </si>
  <si>
    <r>
      <rPr>
        <b/>
        <sz val="10"/>
        <rFont val="Arial Narrow"/>
        <family val="2"/>
      </rPr>
      <t>9</t>
    </r>
    <r>
      <rPr>
        <b/>
        <sz val="10"/>
        <rFont val="宋体"/>
        <family val="3"/>
        <charset val="134"/>
      </rPr>
      <t>月</t>
    </r>
  </si>
  <si>
    <r>
      <rPr>
        <b/>
        <sz val="10"/>
        <rFont val="Arial Narrow"/>
        <family val="2"/>
      </rPr>
      <t>10</t>
    </r>
    <r>
      <rPr>
        <b/>
        <sz val="10"/>
        <rFont val="宋体"/>
        <family val="3"/>
        <charset val="134"/>
      </rPr>
      <t>月</t>
    </r>
  </si>
  <si>
    <r>
      <rPr>
        <b/>
        <sz val="10"/>
        <rFont val="Arial Narrow"/>
        <family val="2"/>
      </rPr>
      <t>11</t>
    </r>
    <r>
      <rPr>
        <b/>
        <sz val="10"/>
        <rFont val="宋体"/>
        <family val="3"/>
        <charset val="134"/>
      </rPr>
      <t>月</t>
    </r>
  </si>
  <si>
    <r>
      <rPr>
        <b/>
        <sz val="10"/>
        <rFont val="Arial Narrow"/>
        <family val="2"/>
      </rPr>
      <t>12</t>
    </r>
    <r>
      <rPr>
        <b/>
        <sz val="10"/>
        <rFont val="宋体"/>
        <family val="3"/>
        <charset val="134"/>
      </rPr>
      <t>月</t>
    </r>
  </si>
  <si>
    <t>本期未审合计</t>
  </si>
  <si>
    <t>本期审定金额</t>
  </si>
  <si>
    <t>各项目占比</t>
  </si>
  <si>
    <t>与相关科目勾稽</t>
  </si>
  <si>
    <t>上期未审金额</t>
  </si>
  <si>
    <t>上期审定金额</t>
  </si>
  <si>
    <t>个别报表下的重分类</t>
  </si>
  <si>
    <t>合并报表下的重分类</t>
  </si>
  <si>
    <t>公司经费</t>
  </si>
  <si>
    <t>职工工资</t>
  </si>
  <si>
    <t>福利费</t>
  </si>
  <si>
    <t>物料消耗</t>
  </si>
  <si>
    <t>低值易耗品摊销</t>
  </si>
  <si>
    <t>办公费</t>
  </si>
  <si>
    <t>差旅费</t>
  </si>
  <si>
    <t>工会经费</t>
  </si>
  <si>
    <t>董事会费</t>
  </si>
  <si>
    <t>聘请中介机构费</t>
  </si>
  <si>
    <t>咨询费（含顾问费）</t>
  </si>
  <si>
    <t>诉讼费</t>
  </si>
  <si>
    <t>业务招待费</t>
  </si>
  <si>
    <t>技术转让费</t>
  </si>
  <si>
    <t>矿产资源补偿费</t>
  </si>
  <si>
    <t>排污费</t>
  </si>
  <si>
    <t>筹建期开办费</t>
  </si>
  <si>
    <t>……</t>
  </si>
  <si>
    <t>合计</t>
  </si>
  <si>
    <t>各月比例</t>
  </si>
  <si>
    <r>
      <rPr>
        <b/>
        <sz val="10"/>
        <rFont val="宋体"/>
        <family val="3"/>
        <charset val="134"/>
      </rPr>
      <t>三、审计说明：</t>
    </r>
  </si>
  <si>
    <r>
      <rPr>
        <b/>
        <sz val="10"/>
        <rFont val="宋体"/>
        <family val="3"/>
        <charset val="134"/>
      </rPr>
      <t>四、审计结论：</t>
    </r>
  </si>
  <si>
    <t>1、本科目核算企业为组织和管理企业生产经营所发生的管理费用，包括企业在筹建期间内发生的开办费、董事会和行政管理部门在企业的经营管理中发生的或者应由企业统一负担的</t>
  </si>
  <si>
    <t>管理费用调整分录汇总表</t>
  </si>
  <si>
    <r>
      <rPr>
        <sz val="10"/>
        <color indexed="8"/>
        <rFont val="宋体"/>
        <family val="3"/>
        <charset val="134"/>
      </rPr>
      <t>索引号：</t>
    </r>
  </si>
  <si>
    <t>调整事项说明</t>
  </si>
  <si>
    <t>类别（报表调整/账项调整/其他）</t>
  </si>
  <si>
    <t>科目名称</t>
  </si>
  <si>
    <t>附注项目</t>
  </si>
  <si>
    <t>借方调整金额</t>
  </si>
  <si>
    <t>贷方调整金额</t>
  </si>
  <si>
    <t>索引</t>
  </si>
  <si>
    <t>备注</t>
  </si>
  <si>
    <r>
      <rPr>
        <b/>
        <sz val="10"/>
        <rFont val="宋体"/>
        <family val="3"/>
        <charset val="134"/>
      </rPr>
      <t>项目</t>
    </r>
  </si>
  <si>
    <r>
      <rPr>
        <b/>
        <sz val="10"/>
        <rFont val="宋体"/>
        <family val="3"/>
        <charset val="134"/>
      </rPr>
      <t>本期合计</t>
    </r>
  </si>
  <si>
    <r>
      <rPr>
        <b/>
        <sz val="10"/>
        <rFont val="宋体"/>
        <family val="3"/>
        <charset val="134"/>
      </rPr>
      <t>结构比</t>
    </r>
  </si>
  <si>
    <t>上年同期</t>
  </si>
  <si>
    <r>
      <rPr>
        <b/>
        <sz val="10"/>
        <rFont val="宋体"/>
        <family val="3"/>
        <charset val="134"/>
      </rPr>
      <t>增长比例</t>
    </r>
  </si>
  <si>
    <r>
      <rPr>
        <b/>
        <sz val="10"/>
        <rFont val="宋体"/>
        <family val="3"/>
        <charset val="134"/>
      </rPr>
      <t>合计</t>
    </r>
  </si>
  <si>
    <r>
      <rPr>
        <sz val="10"/>
        <rFont val="宋体"/>
        <family val="3"/>
        <charset val="134"/>
      </rPr>
      <t>主营业务收入</t>
    </r>
  </si>
  <si>
    <r>
      <rPr>
        <sz val="10"/>
        <rFont val="宋体"/>
        <family val="3"/>
        <charset val="134"/>
      </rPr>
      <t>管理费用占主营业务收入比率</t>
    </r>
  </si>
  <si>
    <t>金额</t>
  </si>
  <si>
    <r>
      <rPr>
        <b/>
        <sz val="10"/>
        <rFont val="宋体"/>
        <family val="3"/>
        <charset val="134"/>
      </rPr>
      <t>指标</t>
    </r>
  </si>
  <si>
    <t>比较分析</t>
  </si>
  <si>
    <t>三、审计说明：</t>
  </si>
  <si>
    <t>四、审计结论：</t>
  </si>
  <si>
    <t>索引号：</t>
  </si>
  <si>
    <t>是否跨期</t>
  </si>
  <si>
    <t>凭证编号</t>
  </si>
  <si>
    <t>摊销期初：</t>
  </si>
  <si>
    <t>摊销期末：</t>
  </si>
  <si>
    <t>对方单位</t>
  </si>
  <si>
    <t>合同/协议内容</t>
  </si>
  <si>
    <t>合同/协议金额</t>
  </si>
  <si>
    <t>实际开票方</t>
  </si>
  <si>
    <t>支付条件</t>
  </si>
  <si>
    <t>支付时间</t>
  </si>
  <si>
    <t xml:space="preserve">合同/协议开始日期 </t>
  </si>
  <si>
    <t xml:space="preserve">合同/协议结束日期 </t>
  </si>
  <si>
    <t>合同总月份</t>
  </si>
  <si>
    <t>本期应计月份</t>
  </si>
  <si>
    <t>本期应计损益</t>
  </si>
  <si>
    <t>本期已计损益</t>
  </si>
  <si>
    <t>差异</t>
  </si>
  <si>
    <t>合同索引</t>
  </si>
  <si>
    <t>凭证检查索引</t>
  </si>
  <si>
    <t>律师费</t>
  </si>
  <si>
    <t>咨询费</t>
  </si>
  <si>
    <t>租赁费</t>
  </si>
  <si>
    <t>修理费</t>
  </si>
  <si>
    <t>保险费</t>
  </si>
  <si>
    <t>物业费</t>
  </si>
  <si>
    <t>…</t>
  </si>
  <si>
    <t>计提依据</t>
  </si>
  <si>
    <t>计提比例</t>
  </si>
  <si>
    <t>应计提金额</t>
  </si>
  <si>
    <t>账面计提金额</t>
  </si>
  <si>
    <t>差异金额</t>
  </si>
  <si>
    <t>差异原因</t>
  </si>
  <si>
    <t>是否调整</t>
  </si>
  <si>
    <t>业务内容</t>
  </si>
  <si>
    <t>对方科目</t>
  </si>
  <si>
    <t>项  目</t>
  </si>
  <si>
    <t>合  计</t>
  </si>
  <si>
    <r>
      <t>管理费用</t>
    </r>
    <r>
      <rPr>
        <sz val="10"/>
        <color indexed="12"/>
        <rFont val="宋体"/>
        <family val="3"/>
        <charset val="134"/>
        <scheme val="minor"/>
      </rPr>
      <t>（个别报表）</t>
    </r>
  </si>
  <si>
    <r>
      <t xml:space="preserve">      </t>
    </r>
    <r>
      <rPr>
        <b/>
        <sz val="10"/>
        <color indexed="8"/>
        <rFont val="宋体"/>
        <family val="3"/>
        <charset val="134"/>
        <scheme val="minor"/>
      </rPr>
      <t>本期发生额</t>
    </r>
  </si>
  <si>
    <r>
      <t xml:space="preserve">     </t>
    </r>
    <r>
      <rPr>
        <b/>
        <sz val="10"/>
        <color indexed="8"/>
        <rFont val="宋体"/>
        <family val="3"/>
        <charset val="134"/>
        <scheme val="minor"/>
      </rPr>
      <t>上期发生额</t>
    </r>
  </si>
  <si>
    <r>
      <t>管理费用</t>
    </r>
    <r>
      <rPr>
        <sz val="10"/>
        <color indexed="12"/>
        <rFont val="宋体"/>
        <family val="3"/>
        <charset val="134"/>
        <scheme val="minor"/>
      </rPr>
      <t>（合并报表）</t>
    </r>
  </si>
  <si>
    <r>
      <rPr>
        <sz val="10"/>
        <rFont val="宋体"/>
        <family val="3"/>
        <charset val="134"/>
      </rPr>
      <t>索引号：</t>
    </r>
    <r>
      <rPr>
        <sz val="10"/>
        <rFont val="Arial Narrow"/>
        <family val="2"/>
      </rPr>
      <t/>
    </r>
    <phoneticPr fontId="60" type="noConversion"/>
  </si>
  <si>
    <t>索引：</t>
    <phoneticPr fontId="60" type="noConversion"/>
  </si>
  <si>
    <t>页次：</t>
    <phoneticPr fontId="60" type="noConversion"/>
  </si>
  <si>
    <t>索引：</t>
    <phoneticPr fontId="60" type="noConversion"/>
  </si>
  <si>
    <t>页次：</t>
    <phoneticPr fontId="60" type="noConversion"/>
  </si>
  <si>
    <t>索引号：</t>
    <phoneticPr fontId="60" type="noConversion"/>
  </si>
  <si>
    <t>索引号：</t>
    <phoneticPr fontId="60" type="noConversion"/>
  </si>
  <si>
    <t>索引号：</t>
    <phoneticPr fontId="60" type="noConversion"/>
  </si>
  <si>
    <r>
      <rPr>
        <u/>
        <sz val="10"/>
        <color indexed="12"/>
        <rFont val="宋体"/>
        <family val="3"/>
        <charset val="134"/>
      </rPr>
      <t>审定表</t>
    </r>
  </si>
  <si>
    <r>
      <rPr>
        <u/>
        <sz val="10"/>
        <color indexed="12"/>
        <rFont val="宋体"/>
        <family val="3"/>
        <charset val="134"/>
      </rPr>
      <t>附注披露信息（国企）</t>
    </r>
  </si>
  <si>
    <r>
      <rPr>
        <u/>
        <sz val="10"/>
        <color indexed="12"/>
        <rFont val="宋体"/>
        <family val="3"/>
        <charset val="134"/>
      </rPr>
      <t>附注披露信息（上市公司）</t>
    </r>
  </si>
  <si>
    <t>K9A</t>
  </si>
  <si>
    <t>K9-1</t>
  </si>
  <si>
    <t>K9-2</t>
  </si>
  <si>
    <t>K9-3</t>
  </si>
  <si>
    <t>K9-4</t>
  </si>
  <si>
    <t>K9-5</t>
  </si>
  <si>
    <t>一、本账户涉及的科目</t>
  </si>
  <si>
    <t>二、审计目标与认定的对应关系</t>
  </si>
  <si>
    <t>审计目标</t>
    <phoneticPr fontId="67" type="noConversion"/>
  </si>
  <si>
    <t>发生</t>
    <phoneticPr fontId="67" type="noConversion"/>
  </si>
  <si>
    <t>准确性</t>
    <phoneticPr fontId="67" type="noConversion"/>
  </si>
  <si>
    <t>序号</t>
    <phoneticPr fontId="67" type="noConversion"/>
  </si>
  <si>
    <t>审计程序</t>
    <phoneticPr fontId="67" type="noConversion"/>
  </si>
  <si>
    <t>程序分类</t>
    <phoneticPr fontId="67" type="noConversion"/>
  </si>
  <si>
    <t>完整性</t>
  </si>
  <si>
    <t>√</t>
    <phoneticPr fontId="67" type="noConversion"/>
  </si>
  <si>
    <t>1</t>
    <phoneticPr fontId="67" type="noConversion"/>
  </si>
  <si>
    <t>常规★</t>
    <phoneticPr fontId="67" type="noConversion"/>
  </si>
  <si>
    <r>
      <rPr>
        <sz val="10"/>
        <color theme="1"/>
        <rFont val="宋体"/>
        <family val="3"/>
        <charset val="134"/>
      </rPr>
      <t>常规★</t>
    </r>
    <phoneticPr fontId="67" type="noConversion"/>
  </si>
  <si>
    <t>常规★</t>
    <phoneticPr fontId="67" type="noConversion"/>
  </si>
  <si>
    <t>7</t>
  </si>
  <si>
    <t>8</t>
  </si>
  <si>
    <t>9</t>
  </si>
  <si>
    <t>常规★</t>
    <phoneticPr fontId="67"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</si>
  <si>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</si>
  <si>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关注会计政策、会计估计合理性、一贯性。关注其是否利用会计政策和会计估计及其变更操纵利润。</t>
    <phoneticPr fontId="67" type="noConversion"/>
  </si>
  <si>
    <t>常规★</t>
    <phoneticPr fontId="67" type="noConversion"/>
  </si>
  <si>
    <t>列报</t>
    <phoneticPr fontId="67" type="noConversion"/>
  </si>
  <si>
    <t>√</t>
    <phoneticPr fontId="67" type="noConversion"/>
  </si>
  <si>
    <t>10</t>
  </si>
  <si>
    <r>
      <t>3.</t>
    </r>
    <r>
      <rPr>
        <sz val="10"/>
        <rFont val="宋体"/>
        <family val="3"/>
        <charset val="134"/>
      </rPr>
      <t>将相关明细项目发生额与资产负债表的相关科目的明细科目如应付职工薪酬、折旧、无形资产摊销、长期待摊费用摊销等核对；</t>
    </r>
    <phoneticPr fontId="60" type="noConversion"/>
  </si>
  <si>
    <t>报表项目</t>
    <phoneticPr fontId="67" type="noConversion"/>
  </si>
  <si>
    <t>占主营业务收入比率</t>
    <phoneticPr fontId="67" type="noConversion"/>
  </si>
  <si>
    <r>
      <rPr>
        <b/>
        <sz val="10"/>
        <rFont val="宋体"/>
        <family val="3"/>
        <charset val="134"/>
      </rPr>
      <t>占主营业务收入比率变动</t>
    </r>
    <phoneticPr fontId="67" type="noConversion"/>
  </si>
  <si>
    <t>变动分析</t>
    <phoneticPr fontId="67" type="noConversion"/>
  </si>
  <si>
    <t>本期</t>
  </si>
  <si>
    <r>
      <t>行业公司</t>
    </r>
    <r>
      <rPr>
        <b/>
        <sz val="10"/>
        <rFont val="Arial Narrow"/>
        <family val="2"/>
      </rPr>
      <t>C</t>
    </r>
    <phoneticPr fontId="60" type="noConversion"/>
  </si>
  <si>
    <r>
      <t>行业公司</t>
    </r>
    <r>
      <rPr>
        <b/>
        <sz val="10"/>
        <rFont val="Arial Narrow"/>
        <family val="2"/>
      </rPr>
      <t>A</t>
    </r>
    <phoneticPr fontId="60" type="noConversion"/>
  </si>
  <si>
    <r>
      <t>行业公司</t>
    </r>
    <r>
      <rPr>
        <b/>
        <sz val="10"/>
        <rFont val="Arial Narrow"/>
        <family val="2"/>
      </rPr>
      <t>B</t>
    </r>
    <phoneticPr fontId="60" type="noConversion"/>
  </si>
  <si>
    <r>
      <t>1.</t>
    </r>
    <r>
      <rPr>
        <b/>
        <sz val="10"/>
        <rFont val="宋体"/>
        <family val="3"/>
        <charset val="134"/>
      </rPr>
      <t>费用各项目近两年比重变动较大的原因：</t>
    </r>
    <phoneticPr fontId="67" type="noConversion"/>
  </si>
  <si>
    <t>a.</t>
    <phoneticPr fontId="67" type="noConversion"/>
  </si>
  <si>
    <t>b.</t>
    <phoneticPr fontId="67" type="noConversion"/>
  </si>
  <si>
    <r>
      <t>2.</t>
    </r>
    <r>
      <rPr>
        <b/>
        <sz val="10"/>
        <rFont val="宋体"/>
        <family val="3"/>
        <charset val="134"/>
      </rPr>
      <t>与上年同期数据相比，费用指标异常的原因：</t>
    </r>
    <phoneticPr fontId="67" type="noConversion"/>
  </si>
  <si>
    <t>b.</t>
    <phoneticPr fontId="67" type="noConversion"/>
  </si>
  <si>
    <r>
      <t>3.</t>
    </r>
    <r>
      <rPr>
        <b/>
        <sz val="10"/>
        <rFont val="宋体"/>
        <family val="3"/>
        <charset val="134"/>
      </rPr>
      <t>与同行业数据相比，费用指标异常的原因：</t>
    </r>
    <phoneticPr fontId="67" type="noConversion"/>
  </si>
  <si>
    <r>
      <t>4.</t>
    </r>
    <r>
      <rPr>
        <b/>
        <sz val="10"/>
        <rFont val="宋体"/>
        <family val="3"/>
        <charset val="134"/>
      </rPr>
      <t>与预算金额及其他非财务数据相比，费用指标异常的原因：</t>
    </r>
    <phoneticPr fontId="67" type="noConversion"/>
  </si>
  <si>
    <t>a.</t>
    <phoneticPr fontId="67" type="noConversion"/>
  </si>
  <si>
    <t>实质性分析</t>
    <phoneticPr fontId="60" type="noConversion"/>
  </si>
  <si>
    <t>管理费用合同检查表</t>
    <phoneticPr fontId="60" type="noConversion"/>
  </si>
  <si>
    <t>确认管理费用已记录于正确的会计期间。</t>
    <phoneticPr fontId="67" type="noConversion"/>
  </si>
  <si>
    <t>11</t>
  </si>
  <si>
    <t>（一）管理费用构成分析表</t>
    <phoneticPr fontId="60" type="noConversion"/>
  </si>
  <si>
    <t>2.XXX</t>
    <phoneticPr fontId="60" type="noConversion"/>
  </si>
  <si>
    <r>
      <t>1.</t>
    </r>
    <r>
      <rPr>
        <sz val="10"/>
        <color rgb="FFFF0000"/>
        <rFont val="宋体"/>
        <family val="3"/>
        <charset val="134"/>
      </rPr>
      <t>已对</t>
    </r>
    <r>
      <rPr>
        <sz val="10"/>
        <color rgb="FFFF0000"/>
        <rFont val="Arial Narrow"/>
        <family val="2"/>
      </rPr>
      <t>XXX</t>
    </r>
    <r>
      <rPr>
        <sz val="10"/>
        <color rgb="FFFF0000"/>
        <rFont val="宋体"/>
        <family val="3"/>
        <charset val="134"/>
      </rPr>
      <t>进行检查</t>
    </r>
    <r>
      <rPr>
        <sz val="10"/>
        <color rgb="FFFF0000"/>
        <rFont val="Arial Narrow"/>
        <family val="2"/>
      </rPr>
      <t>….</t>
    </r>
    <phoneticPr fontId="60" type="noConversion"/>
  </si>
  <si>
    <t>L1-XXX</t>
    <phoneticPr fontId="67" type="noConversion"/>
  </si>
  <si>
    <t>J1-XXXX</t>
    <phoneticPr fontId="67" type="noConversion"/>
  </si>
  <si>
    <r>
      <t>2.</t>
    </r>
    <r>
      <rPr>
        <b/>
        <sz val="10"/>
        <rFont val="宋体"/>
        <family val="3"/>
        <charset val="134"/>
      </rPr>
      <t>审计结论</t>
    </r>
    <phoneticPr fontId="60" type="noConversion"/>
  </si>
  <si>
    <t>无需打印</t>
    <phoneticPr fontId="67" type="noConversion"/>
  </si>
  <si>
    <t>无需打印</t>
    <phoneticPr fontId="67" type="noConversion"/>
  </si>
  <si>
    <r>
      <rPr>
        <u/>
        <sz val="10"/>
        <color indexed="12"/>
        <rFont val="宋体"/>
        <family val="3"/>
        <charset val="134"/>
      </rPr>
      <t>实质性程序表</t>
    </r>
  </si>
  <si>
    <r>
      <rPr>
        <b/>
        <sz val="10"/>
        <color indexed="8"/>
        <rFont val="宋体"/>
        <family val="3"/>
        <charset val="134"/>
      </rPr>
      <t>内容</t>
    </r>
  </si>
  <si>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72"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</si>
  <si>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72" type="noConversion"/>
  </si>
  <si>
    <r>
      <t>A1-1/</t>
    </r>
    <r>
      <rPr>
        <sz val="10"/>
        <color rgb="FFFF0000"/>
        <rFont val="Arial Narrow"/>
        <family val="2"/>
      </rPr>
      <t>A1-15 /A1-16</t>
    </r>
    <phoneticPr fontId="67" type="noConversion"/>
  </si>
  <si>
    <t>K9-7</t>
  </si>
  <si>
    <t>K9-8</t>
  </si>
  <si>
    <t>底稿索引号</t>
    <phoneticPr fontId="67" type="noConversion"/>
  </si>
  <si>
    <r>
      <t>1.</t>
    </r>
    <r>
      <rPr>
        <sz val="10"/>
        <rFont val="宋体"/>
        <family val="3"/>
        <charset val="134"/>
      </rPr>
      <t>获取或编制各个月份期间费用主要构成情况，分析各月波动是否符合预期及与被审计单位的经营波动是否一致；</t>
    </r>
    <phoneticPr fontId="60" type="noConversion"/>
  </si>
  <si>
    <r>
      <t>2.</t>
    </r>
    <r>
      <rPr>
        <sz val="10"/>
        <rFont val="宋体"/>
        <family val="3"/>
        <charset val="134"/>
      </rPr>
      <t>检查管理费用各项费用的内容，防止应计入制造费用、销售费用、在建工程、营业外支出等科目的费用计入本科目。特别关注</t>
    </r>
    <r>
      <rPr>
        <sz val="10"/>
        <rFont val="Arial Narrow"/>
        <family val="2"/>
      </rPr>
      <t>“</t>
    </r>
    <r>
      <rPr>
        <sz val="10"/>
        <rFont val="宋体"/>
        <family val="3"/>
        <charset val="134"/>
      </rPr>
      <t>其他</t>
    </r>
    <r>
      <rPr>
        <sz val="10"/>
        <rFont val="Arial Narrow"/>
        <family val="2"/>
      </rPr>
      <t>”</t>
    </r>
    <r>
      <rPr>
        <sz val="10"/>
        <rFont val="宋体"/>
        <family val="3"/>
        <charset val="134"/>
      </rPr>
      <t>明细科目的内容；</t>
    </r>
    <phoneticPr fontId="60" type="noConversion"/>
  </si>
  <si>
    <r>
      <rPr>
        <sz val="10"/>
        <rFont val="Arial Narrow"/>
        <family val="2"/>
      </rPr>
      <t>4.</t>
    </r>
    <r>
      <rPr>
        <sz val="10"/>
        <rFont val="宋体"/>
        <family val="3"/>
        <charset val="134"/>
      </rPr>
      <t>检查诉讼费用并结合或有事项审计</t>
    </r>
    <r>
      <rPr>
        <sz val="10"/>
        <rFont val="Arial Narrow"/>
        <family val="2"/>
      </rPr>
      <t>,</t>
    </r>
    <r>
      <rPr>
        <sz val="10"/>
        <rFont val="宋体"/>
        <family val="3"/>
        <charset val="134"/>
      </rPr>
      <t>检查涉及的相关重大诉讼事项是否已在附注中进行披露，并进一步关注诉讼状态，判断有无或有负债，或是否存在损失已发生而未入账的事项。</t>
    </r>
    <phoneticPr fontId="60" type="noConversion"/>
  </si>
  <si>
    <r>
      <rPr>
        <sz val="10"/>
        <rFont val="宋体"/>
        <family val="3"/>
        <charset val="134"/>
      </rPr>
      <t>确定的抽样样本量：</t>
    </r>
    <phoneticPr fontId="67"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</si>
  <si>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67" type="noConversion"/>
  </si>
  <si>
    <r>
      <rPr>
        <sz val="10"/>
        <rFont val="宋体"/>
        <family val="3"/>
        <charset val="134"/>
      </rPr>
      <t>抽样过程：</t>
    </r>
    <phoneticPr fontId="67" type="noConversion"/>
  </si>
  <si>
    <r>
      <t>1.</t>
    </r>
    <r>
      <rPr>
        <b/>
        <sz val="10"/>
        <rFont val="宋体"/>
        <family val="3"/>
        <charset val="134"/>
      </rPr>
      <t>审计说明</t>
    </r>
    <phoneticPr fontId="60" type="noConversion"/>
  </si>
  <si>
    <t>提示：本底稿适用于调整分录较多、较复杂的项目，且仅列示与本报表项目相关的审计调整。项目组可根据项目实际情况选择是否使用该底稿。</t>
    <phoneticPr fontId="60" type="noConversion"/>
  </si>
  <si>
    <r>
      <rPr>
        <sz val="10"/>
        <rFont val="宋体"/>
        <family val="3"/>
        <charset val="134"/>
      </rPr>
      <t>完整性</t>
    </r>
    <phoneticPr fontId="67" type="noConversion"/>
  </si>
  <si>
    <r>
      <t xml:space="preserve">B. </t>
    </r>
    <r>
      <rPr>
        <sz val="10"/>
        <rFont val="宋体"/>
        <family val="3"/>
        <charset val="134"/>
      </rPr>
      <t>所有应当记录的管理费用均已记录，所有应当包括在财务报表中的相关披露均已包括</t>
    </r>
    <phoneticPr fontId="67" type="noConversion"/>
  </si>
  <si>
    <r>
      <t xml:space="preserve">E. </t>
    </r>
    <r>
      <rPr>
        <sz val="10"/>
        <rFont val="宋体"/>
        <family val="3"/>
        <charset val="134"/>
      </rPr>
      <t>已被恰当地汇总或分解且表述清楚，相关披露在按照企业会计准则的编制基础下是相关的、可理解的</t>
    </r>
    <phoneticPr fontId="67" type="noConversion"/>
  </si>
  <si>
    <r>
      <t>对上期发生额的审计：结合本期审计确定管理费用的上期金额的截止是否恰当。（</t>
    </r>
    <r>
      <rPr>
        <sz val="10"/>
        <color rgb="FFFF0000"/>
        <rFont val="宋体"/>
        <family val="3"/>
        <charset val="134"/>
      </rPr>
      <t>适用于首次承接</t>
    </r>
    <r>
      <rPr>
        <sz val="10"/>
        <rFont val="宋体"/>
        <family val="3"/>
        <charset val="134"/>
      </rPr>
      <t>）</t>
    </r>
    <phoneticPr fontId="67" type="noConversion"/>
  </si>
  <si>
    <t>备选</t>
    <phoneticPr fontId="67" type="noConversion"/>
  </si>
  <si>
    <t>√</t>
    <phoneticPr fontId="67" type="noConversion"/>
  </si>
  <si>
    <t>√</t>
    <phoneticPr fontId="67" type="noConversion"/>
  </si>
  <si>
    <r>
      <rPr>
        <sz val="10"/>
        <rFont val="宋体"/>
        <family val="3"/>
        <charset val="134"/>
      </rPr>
      <t>分析总体合理性：
（</t>
    </r>
    <r>
      <rPr>
        <sz val="10"/>
        <rFont val="Arial Narrow"/>
        <family val="2"/>
      </rPr>
      <t>1</t>
    </r>
    <r>
      <rPr>
        <sz val="10"/>
        <rFont val="宋体"/>
        <family val="3"/>
        <charset val="134"/>
      </rPr>
      <t>）分析本期管理费用明细占比情况、与上期发生额比较，分析异常波动原因；关注明细项中是否存在不符合往年常态的项目，不符合企业经营状况，存在异常变动的项目，检查相关支持性文件；
（</t>
    </r>
    <r>
      <rPr>
        <sz val="10"/>
        <rFont val="Arial Narrow"/>
        <family val="2"/>
      </rPr>
      <t>2</t>
    </r>
    <r>
      <rPr>
        <sz val="10"/>
        <rFont val="宋体"/>
        <family val="3"/>
        <charset val="134"/>
      </rPr>
      <t>）分析本期管理费用明细各月金额及其占比，分析异常波动原因；
（</t>
    </r>
    <r>
      <rPr>
        <sz val="10"/>
        <rFont val="Arial Narrow"/>
        <family val="2"/>
      </rPr>
      <t>3</t>
    </r>
    <r>
      <rPr>
        <sz val="10"/>
        <rFont val="宋体"/>
        <family val="3"/>
        <charset val="134"/>
      </rPr>
      <t>）计算分析管理销售费用及主要明细项目金额占主营业务收入的比率，并与上年度可比期间、同行业水平进行对比，判断变动的合理性；
（</t>
    </r>
    <r>
      <rPr>
        <sz val="10"/>
        <rFont val="Arial Narrow"/>
        <family val="2"/>
      </rPr>
      <t>4</t>
    </r>
    <r>
      <rPr>
        <sz val="10"/>
        <rFont val="宋体"/>
        <family val="3"/>
        <charset val="134"/>
      </rPr>
      <t>）将管理费用实际发生金额与预算金额进行比较。</t>
    </r>
    <phoneticPr fontId="67" type="noConversion"/>
  </si>
  <si>
    <t>重新计算排污费、矿产资源补偿费、文化事业建设费等费用，确定其金额是否正确。</t>
    <phoneticPr fontId="67" type="noConversion"/>
  </si>
  <si>
    <t>对于律师费、咨询费、房租、保险费等合同费用，获取合同、协议，查看具体约定条款，并根据具体约定条款测算费用，检查管理费用确认是否准确和完整。</t>
    <phoneticPr fontId="67" type="noConversion"/>
  </si>
  <si>
    <t>检查关联方交易：了解关联交易事项的目的、价格和条件，检查交易的支持性文件，同时向关联方或其他注册会计师函证重大的交易（包括担保和其他重要信息），以确认交易的真实性；必要时，向与交易相关的人员和机构（如银行、律师）函证或与其讨论有关信息；考虑是否存在未识别的关联方，关联交易和余额披露是否正确。</t>
    <phoneticPr fontId="67" type="noConversion"/>
  </si>
  <si>
    <t>IPO/上市/新三板/重组/舞弊应对</t>
    <phoneticPr fontId="72" type="noConversion"/>
  </si>
  <si>
    <r>
      <rPr>
        <sz val="10"/>
        <rFont val="宋体"/>
        <family val="3"/>
        <charset val="134"/>
      </rPr>
      <t>截止测试：
（</t>
    </r>
    <r>
      <rPr>
        <sz val="10"/>
        <rFont val="Arial Narrow"/>
        <family val="2"/>
      </rPr>
      <t>1</t>
    </r>
    <r>
      <rPr>
        <sz val="10"/>
        <rFont val="宋体"/>
        <family val="3"/>
        <charset val="134"/>
      </rPr>
      <t>）抽取资产负债表日前后若干张记账凭证，实施截止测试，存在异常迹象，应考虑是否有必要追加审计程序，对于重大跨期项目应作必要调整。
（</t>
    </r>
    <r>
      <rPr>
        <sz val="10"/>
        <rFont val="Arial Narrow"/>
        <family val="2"/>
      </rPr>
      <t>2</t>
    </r>
    <r>
      <rPr>
        <sz val="10"/>
        <rFont val="宋体"/>
        <family val="3"/>
        <charset val="134"/>
      </rPr>
      <t>）从资产负债日后的银行对账单或付款凭证中若干项目进行测试，检查支持性文件；关注支持性文件的日期，检查费用是否记录于正确的会计期间，是否存在有未入账的负债。</t>
    </r>
    <phoneticPr fontId="67" type="noConversion"/>
  </si>
  <si>
    <t>检查与管理费用有关的的记账凭证和相应的支持性证据以确定交易的真实性，是否按规定进行相应的会计处理和披露。</t>
    <phoneticPr fontId="67" type="noConversion"/>
  </si>
  <si>
    <t>考虑是否存在超出被审计单位正常经营活动的重大、异常交易等，根据评估的舞弊风险等因素增加的审计程序。</t>
    <phoneticPr fontId="67" type="noConversion"/>
  </si>
  <si>
    <t>检查管理费用是否已按企业会计准则或其他适用的规定在财务报表中做出恰当列报和披露。</t>
    <phoneticPr fontId="67" type="noConversion"/>
  </si>
  <si>
    <t>如发生诉讼相关费用，检查诉讼费用并结合或有事项、预计负债审计,检查涉及的相关重大诉讼事项是否已在附注中进行披露，并进一步关注诉讼状态，判断有无或有负债，或是否存在损失已发生而未入账的事项。</t>
    <phoneticPr fontId="67" type="noConversion"/>
  </si>
  <si>
    <t>备选</t>
    <phoneticPr fontId="67" type="noConversion"/>
  </si>
  <si>
    <t>12</t>
  </si>
  <si>
    <t>13</t>
  </si>
  <si>
    <t>14</t>
  </si>
  <si>
    <r>
      <t>1.XX</t>
    </r>
    <r>
      <rPr>
        <sz val="10"/>
        <color rgb="FFFF0000"/>
        <rFont val="宋体"/>
        <family val="3"/>
        <charset val="134"/>
      </rPr>
      <t>费用较上期增长</t>
    </r>
    <r>
      <rPr>
        <sz val="10"/>
        <color rgb="FFFF0000"/>
        <rFont val="Arial Narrow"/>
        <family val="2"/>
      </rPr>
      <t>XX%</t>
    </r>
    <r>
      <rPr>
        <sz val="10"/>
        <color rgb="FFFF0000"/>
        <rFont val="宋体"/>
        <family val="3"/>
        <charset val="134"/>
      </rPr>
      <t>，本期大幅增加原因……</t>
    </r>
    <phoneticPr fontId="60" type="noConversion"/>
  </si>
  <si>
    <r>
      <t>2.XX</t>
    </r>
    <r>
      <rPr>
        <sz val="10"/>
        <color rgb="FFFF0000"/>
        <rFont val="宋体"/>
        <family val="3"/>
        <charset val="134"/>
      </rPr>
      <t>月</t>
    </r>
    <r>
      <rPr>
        <sz val="10"/>
        <color rgb="FFFF0000"/>
        <rFont val="Arial Narrow"/>
        <family val="2"/>
      </rPr>
      <t>XX</t>
    </r>
    <r>
      <rPr>
        <sz val="10"/>
        <color rgb="FFFF0000"/>
        <rFont val="宋体"/>
        <family val="3"/>
        <charset val="134"/>
      </rPr>
      <t>费用发生额</t>
    </r>
    <r>
      <rPr>
        <sz val="10"/>
        <color rgb="FFFF0000"/>
        <rFont val="Arial Narrow"/>
        <family val="2"/>
      </rPr>
      <t>XX</t>
    </r>
    <r>
      <rPr>
        <sz val="10"/>
        <color rgb="FFFF0000"/>
        <rFont val="宋体"/>
        <family val="3"/>
        <charset val="134"/>
      </rPr>
      <t>，占全年</t>
    </r>
    <r>
      <rPr>
        <sz val="10"/>
        <color rgb="FFFF0000"/>
        <rFont val="Arial Narrow"/>
        <family val="2"/>
      </rPr>
      <t>XX%</t>
    </r>
    <r>
      <rPr>
        <sz val="10"/>
        <color rgb="FFFF0000"/>
        <rFont val="宋体"/>
        <family val="3"/>
        <charset val="134"/>
      </rPr>
      <t>，占比较大的原因</t>
    </r>
    <r>
      <rPr>
        <sz val="10"/>
        <color rgb="FFFF0000"/>
        <rFont val="Arial Narrow"/>
        <family val="2"/>
      </rPr>
      <t>……</t>
    </r>
    <phoneticPr fontId="60" type="noConversion"/>
  </si>
  <si>
    <r>
      <t>3.XX</t>
    </r>
    <r>
      <rPr>
        <sz val="10"/>
        <color rgb="FFFF0000"/>
        <rFont val="宋体"/>
        <family val="3"/>
        <charset val="134"/>
      </rPr>
      <t>费用测算如下：</t>
    </r>
    <phoneticPr fontId="67" type="noConversion"/>
  </si>
  <si>
    <t>项目</t>
    <phoneticPr fontId="67" type="noConversion"/>
  </si>
  <si>
    <r>
      <t>XX</t>
    </r>
    <r>
      <rPr>
        <sz val="10"/>
        <color rgb="FFFF0000"/>
        <rFont val="宋体"/>
        <family val="3"/>
        <charset val="134"/>
      </rPr>
      <t>费用</t>
    </r>
    <phoneticPr fontId="67" type="noConversion"/>
  </si>
  <si>
    <r>
      <rPr>
        <b/>
        <sz val="10"/>
        <rFont val="宋体"/>
        <family val="3"/>
        <charset val="134"/>
      </rPr>
      <t>四、审计结论：</t>
    </r>
    <phoneticPr fontId="67" type="noConversion"/>
  </si>
  <si>
    <t>提示：</t>
    <phoneticPr fontId="60" type="noConversion"/>
  </si>
  <si>
    <r>
      <t>1.</t>
    </r>
    <r>
      <rPr>
        <sz val="10"/>
        <rFont val="宋体"/>
        <family val="3"/>
        <charset val="134"/>
      </rPr>
      <t>所有应当记录的管理费用均已记录，所有应当包括在财务报表中的相关披露均已包括</t>
    </r>
    <r>
      <rPr>
        <sz val="10"/>
        <rFont val="Arial Narrow"/>
        <family val="2"/>
      </rPr>
      <t>;</t>
    </r>
    <phoneticPr fontId="67" type="noConversion"/>
  </si>
  <si>
    <r>
      <t>2.</t>
    </r>
    <r>
      <rPr>
        <sz val="10"/>
        <rFont val="宋体"/>
        <family val="3"/>
        <charset val="134"/>
      </rPr>
      <t>与管理费用有关的金额及其他数据已恰当记录，相关披露已得到恰当计量和描述</t>
    </r>
    <r>
      <rPr>
        <sz val="10"/>
        <rFont val="Arial Narrow"/>
        <family val="2"/>
      </rPr>
      <t>;</t>
    </r>
    <phoneticPr fontId="67" type="noConversion"/>
  </si>
  <si>
    <r>
      <t xml:space="preserve">3. </t>
    </r>
    <r>
      <rPr>
        <sz val="10"/>
        <rFont val="宋体"/>
        <family val="3"/>
        <charset val="134"/>
      </rPr>
      <t>与管理费用有关的金额及其他数据已恰当记录，相关披露已得到恰当计量和描述</t>
    </r>
    <phoneticPr fontId="67" type="noConversion"/>
  </si>
  <si>
    <r>
      <rPr>
        <b/>
        <sz val="10"/>
        <rFont val="宋体"/>
        <family val="3"/>
        <charset val="134"/>
      </rPr>
      <t>管理费用占主营业务收入比率</t>
    </r>
  </si>
  <si>
    <r>
      <t>2.</t>
    </r>
    <r>
      <rPr>
        <sz val="10"/>
        <rFont val="宋体"/>
        <family val="3"/>
        <charset val="134"/>
      </rPr>
      <t>与管理费用有关的金额及其他数据已恰当记录，相关披露已得到恰当计量和描述。</t>
    </r>
    <phoneticPr fontId="67" type="noConversion"/>
  </si>
  <si>
    <r>
      <rPr>
        <sz val="10"/>
        <rFont val="Arial Narrow"/>
        <family val="2"/>
      </rPr>
      <t>3.</t>
    </r>
    <r>
      <rPr>
        <sz val="10"/>
        <rFont val="宋体"/>
        <family val="3"/>
        <charset val="134"/>
      </rPr>
      <t>与管理费用有关的金额及其他数据已恰当记录，相关披露已得到恰当计量和描述;</t>
    </r>
    <phoneticPr fontId="67" type="noConversion"/>
  </si>
  <si>
    <r>
      <rPr>
        <b/>
        <sz val="10"/>
        <rFont val="宋体"/>
        <family val="3"/>
        <charset val="134"/>
      </rPr>
      <t>审计结论</t>
    </r>
    <phoneticPr fontId="67" type="noConversion"/>
  </si>
  <si>
    <r>
      <t>1.</t>
    </r>
    <r>
      <rPr>
        <sz val="10"/>
        <rFont val="宋体"/>
        <family val="3"/>
        <charset val="134"/>
      </rPr>
      <t>所有应当记录的管理费用均已记录，所有应当包括在财务报表中的相关披露均已包括</t>
    </r>
    <r>
      <rPr>
        <sz val="10"/>
        <rFont val="Arial Narrow"/>
        <family val="2"/>
      </rPr>
      <t>;     2.</t>
    </r>
    <r>
      <rPr>
        <sz val="10"/>
        <rFont val="宋体"/>
        <family val="3"/>
        <charset val="134"/>
      </rPr>
      <t>与管理费用有关的金额及其他数据已恰当记录，相关披露已得到恰当计量和描述</t>
    </r>
    <r>
      <rPr>
        <sz val="10"/>
        <rFont val="Arial Narrow"/>
        <family val="2"/>
      </rPr>
      <t>;</t>
    </r>
    <phoneticPr fontId="67" type="noConversion"/>
  </si>
  <si>
    <r>
      <t>3.</t>
    </r>
    <r>
      <rPr>
        <sz val="10"/>
        <rFont val="宋体"/>
        <family val="3"/>
        <charset val="134"/>
      </rPr>
      <t>与管理费用有关的金额及其他数据已恰当记录，相关披露已得到恰当计量和描述；</t>
    </r>
    <r>
      <rPr>
        <sz val="10"/>
        <rFont val="Arial Narrow"/>
        <family val="2"/>
      </rPr>
      <t xml:space="preserve">    4. </t>
    </r>
    <r>
      <rPr>
        <sz val="10"/>
        <rFont val="宋体"/>
        <family val="3"/>
        <charset val="134"/>
      </rPr>
      <t>管理费用已记录于正确的会计期间</t>
    </r>
    <r>
      <rPr>
        <sz val="10"/>
        <rFont val="Arial Narrow"/>
        <family val="2"/>
      </rPr>
      <t xml:space="preserve"> </t>
    </r>
    <phoneticPr fontId="67" type="noConversion"/>
  </si>
  <si>
    <t>页  次：</t>
    <phoneticPr fontId="67" type="noConversion"/>
  </si>
  <si>
    <t>一、审计目标：</t>
    <phoneticPr fontId="77" type="noConversion"/>
  </si>
  <si>
    <t>二、样本选取标准与规模：</t>
    <phoneticPr fontId="77" type="noConversion"/>
  </si>
  <si>
    <r>
      <t>1.</t>
    </r>
    <r>
      <rPr>
        <sz val="10"/>
        <rFont val="宋体"/>
        <family val="3"/>
        <charset val="134"/>
      </rPr>
      <t>抽取资产负债表日前后（</t>
    </r>
    <r>
      <rPr>
        <sz val="10"/>
        <rFont val="Arial Narrow"/>
        <family val="2"/>
      </rPr>
      <t>____</t>
    </r>
    <r>
      <rPr>
        <sz val="10"/>
        <rFont val="宋体"/>
        <family val="3"/>
        <charset val="134"/>
      </rPr>
      <t>）天的（</t>
    </r>
    <r>
      <rPr>
        <sz val="10"/>
        <rFont val="Arial Narrow"/>
        <family val="2"/>
      </rPr>
      <t>____</t>
    </r>
    <r>
      <rPr>
        <sz val="10"/>
        <rFont val="宋体"/>
        <family val="3"/>
        <charset val="134"/>
      </rPr>
      <t>）张记账凭证，实施截止性测试，评价费用是否被记录于正确的会计期间；</t>
    </r>
    <phoneticPr fontId="67" type="noConversion"/>
  </si>
  <si>
    <r>
      <t>2.</t>
    </r>
    <r>
      <rPr>
        <sz val="10"/>
        <rFont val="宋体"/>
        <family val="3"/>
        <charset val="134"/>
      </rPr>
      <t>对于首次承接的客户，执行前期期末的截止性测试。（适用于首次承接）</t>
    </r>
    <phoneticPr fontId="67" type="noConversion"/>
  </si>
  <si>
    <t>提示：如果存在跨期舞弊风险或者所检查样本中发现有跨期的，应扩大测试期间和样本，甚至可以考虑将截止测试期间延长至审计报告日。同时考虑是否存在内控缺陷。</t>
  </si>
  <si>
    <t>三、测试：</t>
    <phoneticPr fontId="77" type="noConversion"/>
  </si>
  <si>
    <t>记账凭证</t>
    <phoneticPr fontId="67" type="noConversion"/>
  </si>
  <si>
    <t>支出凭单</t>
    <phoneticPr fontId="67" type="noConversion"/>
  </si>
  <si>
    <t>跨期金额</t>
    <phoneticPr fontId="67" type="noConversion"/>
  </si>
  <si>
    <t>日期</t>
  </si>
  <si>
    <t>金额</t>
    <phoneticPr fontId="67" type="noConversion"/>
  </si>
  <si>
    <t>凭单编号</t>
    <phoneticPr fontId="67" type="noConversion"/>
  </si>
  <si>
    <t>凭单日期</t>
    <phoneticPr fontId="67" type="noConversion"/>
  </si>
  <si>
    <t>……</t>
    <phoneticPr fontId="67" type="noConversion"/>
  </si>
  <si>
    <r>
      <t>——————</t>
    </r>
    <r>
      <rPr>
        <b/>
        <sz val="10"/>
        <rFont val="宋体"/>
        <family val="3"/>
        <charset val="134"/>
      </rPr>
      <t>截止日期：</t>
    </r>
    <r>
      <rPr>
        <b/>
        <sz val="10"/>
        <rFont val="Arial Narrow"/>
        <family val="2"/>
      </rPr>
      <t>202X</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r>
      <rPr>
        <b/>
        <sz val="10"/>
        <rFont val="Arial Narrow"/>
        <family val="2"/>
      </rPr>
      <t>——————</t>
    </r>
    <phoneticPr fontId="67" type="noConversion"/>
  </si>
  <si>
    <t>四、审计说明：</t>
    <phoneticPr fontId="67" type="noConversion"/>
  </si>
  <si>
    <t>五、审计结论</t>
    <phoneticPr fontId="67" type="noConversion"/>
  </si>
  <si>
    <t>页  次：</t>
    <phoneticPr fontId="60" type="noConversion"/>
  </si>
  <si>
    <t>一、审计目标：</t>
    <phoneticPr fontId="77" type="noConversion"/>
  </si>
  <si>
    <t>二、样本选取标准与规模：</t>
    <phoneticPr fontId="77" type="noConversion"/>
  </si>
  <si>
    <r>
      <t>1.</t>
    </r>
    <r>
      <rPr>
        <sz val="10"/>
        <rFont val="宋体"/>
        <family val="3"/>
        <charset val="134"/>
      </rPr>
      <t>选取资产负债日后（</t>
    </r>
    <r>
      <rPr>
        <sz val="10"/>
        <rFont val="Arial Narrow"/>
        <family val="2"/>
      </rPr>
      <t>____</t>
    </r>
    <r>
      <rPr>
        <sz val="10"/>
        <rFont val="宋体"/>
        <family val="3"/>
        <charset val="134"/>
      </rPr>
      <t>）天的的银行对账单或付款凭证、支出凭单（</t>
    </r>
    <r>
      <rPr>
        <sz val="10"/>
        <rFont val="Arial Narrow"/>
        <family val="2"/>
      </rPr>
      <t>____</t>
    </r>
    <r>
      <rPr>
        <sz val="10"/>
        <rFont val="宋体"/>
        <family val="3"/>
        <charset val="134"/>
      </rPr>
      <t>）张，检查支持性文件，关注凭单的日期，检查费用是否记录于正确的会计期间，是否存在有未入帐的负债；</t>
    </r>
    <phoneticPr fontId="60" type="noConversion"/>
  </si>
  <si>
    <r>
      <t>2.</t>
    </r>
    <r>
      <rPr>
        <sz val="10"/>
        <rFont val="宋体"/>
        <family val="3"/>
        <charset val="134"/>
      </rPr>
      <t>对于首次承接的客户，执行前期期末的截止性测试；（适用于首次承接）</t>
    </r>
    <phoneticPr fontId="60" type="noConversion"/>
  </si>
  <si>
    <t>三、测试：</t>
    <phoneticPr fontId="77" type="noConversion"/>
  </si>
  <si>
    <t>支出凭单</t>
    <phoneticPr fontId="67" type="noConversion"/>
  </si>
  <si>
    <t>记账凭证</t>
    <phoneticPr fontId="67" type="noConversion"/>
  </si>
  <si>
    <t>跨期金额</t>
    <phoneticPr fontId="67" type="noConversion"/>
  </si>
  <si>
    <t>凭单编号</t>
    <phoneticPr fontId="67" type="noConversion"/>
  </si>
  <si>
    <t>凭单日期</t>
    <phoneticPr fontId="67" type="noConversion"/>
  </si>
  <si>
    <t>金额</t>
    <phoneticPr fontId="67" type="noConversion"/>
  </si>
  <si>
    <t>……</t>
    <phoneticPr fontId="67" type="noConversion"/>
  </si>
  <si>
    <r>
      <t>——————</t>
    </r>
    <r>
      <rPr>
        <b/>
        <sz val="10"/>
        <rFont val="宋体"/>
        <family val="3"/>
        <charset val="134"/>
      </rPr>
      <t>截止日期：</t>
    </r>
    <r>
      <rPr>
        <b/>
        <sz val="10"/>
        <rFont val="Arial Narrow"/>
        <family val="2"/>
      </rPr>
      <t>202X</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r>
      <rPr>
        <b/>
        <sz val="10"/>
        <rFont val="Arial Narrow"/>
        <family val="2"/>
      </rPr>
      <t>——————</t>
    </r>
    <phoneticPr fontId="67" type="noConversion"/>
  </si>
  <si>
    <t>……</t>
    <phoneticPr fontId="67" type="noConversion"/>
  </si>
  <si>
    <t>四、审计说明：</t>
    <phoneticPr fontId="67" type="noConversion"/>
  </si>
  <si>
    <t>五、审计结论</t>
    <phoneticPr fontId="67" type="noConversion"/>
  </si>
  <si>
    <t>索引号：</t>
    <phoneticPr fontId="67" type="noConversion"/>
  </si>
  <si>
    <t>页  次：</t>
    <phoneticPr fontId="67" type="noConversion"/>
  </si>
  <si>
    <t>一、测试目标：</t>
    <phoneticPr fontId="77" type="noConversion"/>
  </si>
  <si>
    <t>二、样本选取标准与规模：</t>
    <phoneticPr fontId="77" type="noConversion"/>
  </si>
  <si>
    <t>测试总体一般不包括：结转损益、职工薪酬/折旧计提、无形资产及长期费用摊销、各项税费计提等凭证。</t>
    <phoneticPr fontId="67" type="noConversion"/>
  </si>
  <si>
    <r>
      <rPr>
        <sz val="10"/>
        <rFont val="宋体"/>
        <family val="3"/>
        <charset val="134"/>
      </rPr>
      <t>测试总体：</t>
    </r>
    <phoneticPr fontId="67" type="noConversion"/>
  </si>
  <si>
    <r>
      <rPr>
        <sz val="10"/>
        <color rgb="FF0000FF"/>
        <rFont val="宋体"/>
        <family val="3"/>
        <charset val="134"/>
      </rPr>
      <t>如借方发生额所有凭证共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67" type="noConversion"/>
  </si>
  <si>
    <r>
      <rPr>
        <sz val="10"/>
        <rFont val="宋体"/>
        <family val="3"/>
        <charset val="134"/>
      </rPr>
      <t>特定样本：</t>
    </r>
    <phoneticPr fontId="67"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</si>
  <si>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67" type="noConversion"/>
  </si>
  <si>
    <r>
      <rPr>
        <sz val="10"/>
        <rFont val="宋体"/>
        <family val="3"/>
        <charset val="134"/>
      </rPr>
      <t>抽样总体：</t>
    </r>
    <phoneticPr fontId="67"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</si>
  <si>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67"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</si>
  <si>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67" type="noConversion"/>
  </si>
  <si>
    <r>
      <rPr>
        <sz val="10"/>
        <rFont val="宋体"/>
        <family val="3"/>
        <charset val="134"/>
      </rPr>
      <t>抽样方法：</t>
    </r>
    <phoneticPr fontId="67"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</si>
  <si>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67" type="noConversion"/>
  </si>
  <si>
    <t>三、测试：</t>
    <phoneticPr fontId="77"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</si>
  <si>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67" type="noConversion"/>
  </si>
  <si>
    <t>费用明细项目</t>
    <phoneticPr fontId="67" type="noConversion"/>
  </si>
  <si>
    <t>记账凭证</t>
    <phoneticPr fontId="67" type="noConversion"/>
  </si>
  <si>
    <t>支持性文件</t>
    <phoneticPr fontId="67" type="noConversion"/>
  </si>
  <si>
    <r>
      <rPr>
        <b/>
        <sz val="10"/>
        <rFont val="宋体"/>
        <family val="3"/>
        <charset val="134"/>
      </rPr>
      <t>核对内容</t>
    </r>
  </si>
  <si>
    <t>索引号</t>
  </si>
  <si>
    <t>是否异常</t>
    <phoneticPr fontId="67" type="noConversion"/>
  </si>
  <si>
    <t>备注说明</t>
    <phoneticPr fontId="67" type="noConversion"/>
  </si>
  <si>
    <t>业务内容</t>
    <phoneticPr fontId="67" type="noConversion"/>
  </si>
  <si>
    <t>对方科目</t>
    <phoneticPr fontId="67" type="noConversion"/>
  </si>
  <si>
    <t>对方明细科目</t>
    <phoneticPr fontId="67" type="noConversion"/>
  </si>
  <si>
    <t>借方金额</t>
    <phoneticPr fontId="67" type="noConversion"/>
  </si>
  <si>
    <t>付款审批单、费用报销单、支出凭单、银行回单、合同……</t>
    <phoneticPr fontId="67" type="noConversion"/>
  </si>
  <si>
    <t>合计</t>
    <phoneticPr fontId="67" type="noConversion"/>
  </si>
  <si>
    <t>四、审计说明：</t>
    <phoneticPr fontId="77" type="noConversion"/>
  </si>
  <si>
    <t>五、审计结论：</t>
    <phoneticPr fontId="67" type="noConversion"/>
  </si>
  <si>
    <t>管理费用截止性测试(从记账凭证至原始凭证）</t>
    <phoneticPr fontId="67" type="noConversion"/>
  </si>
  <si>
    <t>管理费用截止性测试（从原始凭证至记账凭证）</t>
    <phoneticPr fontId="67" type="noConversion"/>
  </si>
  <si>
    <t>管理费用检查表</t>
    <phoneticPr fontId="67" type="noConversion"/>
  </si>
  <si>
    <r>
      <t>1.</t>
    </r>
    <r>
      <rPr>
        <sz val="10"/>
        <rFont val="宋体"/>
        <family val="3"/>
        <charset val="134"/>
      </rPr>
      <t>所有应当记录的管理费用均已记录，所有应当包括在财务报表中的相关披露均已包括</t>
    </r>
    <r>
      <rPr>
        <sz val="10"/>
        <rFont val="Arial Narrow"/>
        <family val="2"/>
      </rPr>
      <t xml:space="preserve">;     </t>
    </r>
    <phoneticPr fontId="67" type="noConversion"/>
  </si>
  <si>
    <t>确认管理费用已记录于正确的会计期间。</t>
    <phoneticPr fontId="67" type="noConversion"/>
  </si>
  <si>
    <t>截止性测试（从原始凭证至记账凭证）</t>
    <phoneticPr fontId="60" type="noConversion"/>
  </si>
  <si>
    <t>管理费用检查表</t>
    <phoneticPr fontId="60" type="noConversion"/>
  </si>
  <si>
    <t>合同检查表</t>
  </si>
  <si>
    <t>截止性测试(从记账凭证至原始凭证）</t>
    <phoneticPr fontId="60" type="noConversion"/>
  </si>
  <si>
    <t>明细表</t>
  </si>
  <si>
    <t>调整分录汇总</t>
  </si>
  <si>
    <t>实质性分析</t>
  </si>
  <si>
    <t>K9-6</t>
  </si>
  <si>
    <r>
      <t>1.</t>
    </r>
    <r>
      <rPr>
        <sz val="10"/>
        <rFont val="宋体"/>
        <family val="3"/>
        <charset val="134"/>
      </rPr>
      <t>所有应当记录的管理费用均已记录，所有应当包括在财务报表中的相关披露均已包括</t>
    </r>
    <r>
      <rPr>
        <sz val="10"/>
        <rFont val="Arial Narrow"/>
        <family val="2"/>
      </rPr>
      <t xml:space="preserve">;  </t>
    </r>
    <phoneticPr fontId="67" type="noConversion"/>
  </si>
  <si>
    <t>√</t>
    <phoneticPr fontId="67" type="noConversion"/>
  </si>
  <si>
    <t>√</t>
    <phoneticPr fontId="67" type="noConversion"/>
  </si>
  <si>
    <t>√</t>
    <phoneticPr fontId="67" type="noConversion"/>
  </si>
  <si>
    <t>K9-1
/K9-2</t>
    <phoneticPr fontId="67" type="noConversion"/>
  </si>
  <si>
    <t>T1</t>
    <phoneticPr fontId="60" type="noConversion"/>
  </si>
  <si>
    <t>K9-1
/K9-2</t>
    <phoneticPr fontId="67" type="noConversion"/>
  </si>
  <si>
    <t>K9-2</t>
    <phoneticPr fontId="67" type="noConversion"/>
  </si>
  <si>
    <t>K9-5</t>
    <phoneticPr fontId="67" type="noConversion"/>
  </si>
  <si>
    <t>K9-6
/K9-7</t>
    <phoneticPr fontId="67" type="noConversion"/>
  </si>
  <si>
    <t>K9-8</t>
    <phoneticPr fontId="67" type="noConversion"/>
  </si>
  <si>
    <t>获取或编制明细表、执行下列程序，并编制审定表：
(1)复核其加计数是否正确，并与报表、总账数和明细账合计数核对是否相符；
(2)将管理费用中的工资、折旧等与相关的资产、负债科目核对，检查其勾稽关系的合理性。</t>
    <phoneticPr fontId="67" type="noConversion"/>
  </si>
  <si>
    <t>检查是否存在关联方或其他利益相关方代被审计单位支付成本、费用或者采用无偿或不公允的交易价格向被审计单位提供经济资源：
（1）取得控股股东、实际控制人及其控制企业的财务报表，对于财务报表相关费用项目变动较大的，以及该等关联方与被审计单位存在资金往来的，询问其原因，关注费用发生真实性以及资金真实意图和流向；
（2）了解被审计单位是否向关联方租用办公场所或无偿使用，关注租金的合理性。与被审计单位相同或相近办公地址的关联方或其他利益相关方，重点核查其有无代为支付成本、费用的情形；
（3）调查并访谈实际控制人关于其投资领域、投资回报以及民间借贷、借贷用途、接受各类监管检查等方面的情况；
（4）分析计入费用的工资薪金，关注构成是否异常变化、各月之间波动有无异常，如果异常降低，关注是否存在其他方（如关联方）代付工资的情况；
（4）取得被审计单位及其实际控制人、控股股东、董事、监事、高管等关联方对“关联方代为支付成本费用进行利益输送的情形”出具的承诺书；如报告期内实际控制人转让拟IPO企业股份或转让其他企业股权且金额较大的，需了解股权转让资金的用途；</t>
    <phoneticPr fontId="67" type="noConversion"/>
  </si>
  <si>
    <r>
      <t xml:space="preserve">A. </t>
    </r>
    <r>
      <rPr>
        <sz val="10"/>
        <rFont val="宋体"/>
        <family val="3"/>
        <charset val="134"/>
      </rPr>
      <t>利润表中记录的管理费用已发生，且与被审计单位有关，已记录于恰当的账户</t>
    </r>
    <phoneticPr fontId="67" type="noConversion"/>
  </si>
  <si>
    <r>
      <t>2.</t>
    </r>
    <r>
      <rPr>
        <sz val="10"/>
        <rFont val="宋体"/>
        <family val="3"/>
        <charset val="134"/>
      </rPr>
      <t>与管理费用有关的金额及其他数据已恰当记录，相关披露已得到恰当计量和描述；</t>
    </r>
    <r>
      <rPr>
        <sz val="10"/>
        <rFont val="Arial Narrow"/>
        <family val="2"/>
      </rPr>
      <t xml:space="preserve">    3. </t>
    </r>
    <r>
      <rPr>
        <sz val="10"/>
        <rFont val="宋体"/>
        <family val="3"/>
        <charset val="134"/>
      </rPr>
      <t>管理费用已记录于正确的会计期间</t>
    </r>
    <r>
      <rPr>
        <sz val="10"/>
        <rFont val="Arial Narrow"/>
        <family val="2"/>
      </rPr>
      <t xml:space="preserve"> </t>
    </r>
    <phoneticPr fontId="67" type="noConversion"/>
  </si>
  <si>
    <r>
      <rPr>
        <sz val="10"/>
        <rFont val="宋体"/>
        <family val="3"/>
        <charset val="134"/>
      </rPr>
      <t>被审计单位：</t>
    </r>
    <r>
      <rPr>
        <sz val="10"/>
        <rFont val="Arial Narrow"/>
        <family val="2"/>
      </rPr>
      <t/>
    </r>
    <phoneticPr fontId="67" type="noConversion"/>
  </si>
  <si>
    <t>编制人：</t>
    <phoneticPr fontId="67" type="noConversion"/>
  </si>
  <si>
    <t>复核人：</t>
    <phoneticPr fontId="67" type="noConversion"/>
  </si>
  <si>
    <t>编制日期：</t>
    <phoneticPr fontId="67" type="noConversion"/>
  </si>
  <si>
    <t>复核日期：</t>
    <phoneticPr fontId="67" type="noConversion"/>
  </si>
  <si>
    <t>截止</t>
    <phoneticPr fontId="67" type="noConversion"/>
  </si>
  <si>
    <r>
      <t xml:space="preserve">C. </t>
    </r>
    <r>
      <rPr>
        <sz val="10"/>
        <rFont val="宋体"/>
        <family val="3"/>
        <charset val="134"/>
      </rPr>
      <t>与管理费用有关的金额及其他数据已恰当记录，相关披露已得到恰当计量和描述</t>
    </r>
    <phoneticPr fontId="67" type="noConversion"/>
  </si>
  <si>
    <r>
      <t xml:space="preserve">D. </t>
    </r>
    <r>
      <rPr>
        <sz val="10"/>
        <rFont val="宋体"/>
        <family val="3"/>
        <charset val="134"/>
      </rPr>
      <t>管理费用已记录于正确的会计期间</t>
    </r>
    <phoneticPr fontId="67" type="noConversion"/>
  </si>
  <si>
    <r>
      <rPr>
        <sz val="10"/>
        <rFont val="宋体"/>
        <family val="3"/>
        <charset val="134"/>
      </rPr>
      <t>会计期间：</t>
    </r>
    <r>
      <rPr>
        <sz val="10"/>
        <rFont val="Arial Narrow"/>
        <family val="2"/>
      </rPr>
      <t>202X</t>
    </r>
    <r>
      <rPr>
        <sz val="10"/>
        <rFont val="宋体"/>
        <family val="3"/>
        <charset val="134"/>
      </rPr>
      <t>年度</t>
    </r>
    <phoneticPr fontId="67" type="noConversion"/>
  </si>
  <si>
    <t>关于工作底稿与审计程序索引号对应的说明</t>
    <phoneticPr fontId="67"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</si>
  <si>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67"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</si>
  <si>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67"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</si>
  <si>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67" type="noConversion"/>
  </si>
  <si>
    <t>根据被审计单位实际情况和风险评估情况裁剪、修改或增加审计程序</t>
    <phoneticPr fontId="67" type="noConversion"/>
  </si>
  <si>
    <t>审计程序</t>
    <phoneticPr fontId="72" type="noConversion"/>
  </si>
  <si>
    <t>随机选样/系统选样/货币单元抽样/随意选样（非统计抽样适用）</t>
    <phoneticPr fontId="67" type="noConversion"/>
  </si>
  <si>
    <t>本期发生额</t>
    <phoneticPr fontId="67" type="noConversion"/>
  </si>
  <si>
    <t>检查比例</t>
    <phoneticPr fontId="67" type="noConversion"/>
  </si>
  <si>
    <t>（二）管理费用与预算及其他非财务数据对比分析表</t>
    <phoneticPr fontId="60" type="noConversion"/>
  </si>
  <si>
    <t>项目</t>
    <phoneticPr fontId="60" type="noConversion"/>
  </si>
  <si>
    <t>管理费用</t>
    <phoneticPr fontId="60" type="noConversion"/>
  </si>
  <si>
    <t>本期发生额</t>
    <phoneticPr fontId="60" type="noConversion"/>
  </si>
  <si>
    <t>占比</t>
    <phoneticPr fontId="60" type="noConversion"/>
  </si>
  <si>
    <t>预算金额</t>
    <phoneticPr fontId="60" type="noConversion"/>
  </si>
  <si>
    <t>……</t>
    <phoneticPr fontId="60" type="noConversion"/>
  </si>
  <si>
    <t>（三）费用指标分析表（与同行业数据比较）</t>
    <phoneticPr fontId="60" type="noConversion"/>
  </si>
  <si>
    <t>1.如果检查比例较低应扩大检查样本量或说明原因</t>
    <phoneticPr fontId="67" type="noConversion"/>
  </si>
  <si>
    <t>公司经费(包括行政管理部门职工工资及福利费、物料消耗、低值易耗品摊销、办公费和差旅费等)、工会经费、董事会费(包括董事会成员津贴、会议费和差旅费等)、聘请中介机构费、咨询费(含顾问费)、诉讼费、业务招待费、技术转让费、矿产资源补偿费、研究费用、排污费等。</t>
    <phoneticPr fontId="60" type="noConversion"/>
  </si>
  <si>
    <t>2.不符合固定资产资本化后续支出条件的固定资产日常修理费用，在发生时按照受益对象计入当期损益或计入相关资产的成本。</t>
    <phoneticPr fontId="60" type="noConversion"/>
  </si>
  <si>
    <t>与存货的生产和加工相关的固定资产日常修理费用按照存货成本确定原则进行处理，行政管理部门、企业专设的销售机构等发生的固定资产日常修理费用按照功能分类计入管理费用或销售费用。</t>
    <phoneticPr fontId="60" type="noConversion"/>
  </si>
  <si>
    <t>3.企业在停工停产期间应继续计提固定资产折旧和无形资产摊销，并根据用途计入相关资产的成本或当期损益。例如，企业因需求不足而停产或因事故而停工检修等，相关生产设备应当继续计提折旧，并计入营业成本。</t>
    <phoneticPr fontId="60" type="noConversion"/>
  </si>
  <si>
    <t>4.关注：</t>
    <phoneticPr fontId="60" type="noConversion"/>
  </si>
  <si>
    <t>（3）公司经费：是否系经营管理中发生，应由公司统一负担，检查相关费用报销内部管理办法，是否有合法原始凭证支持；</t>
    <phoneticPr fontId="60" type="noConversion"/>
  </si>
  <si>
    <t>（4）董事会费（包括董事会成员津贴、会议费和差旅费等)：检查相关董事会及股东会决议，是否在合规范围内开支费用；</t>
    <phoneticPr fontId="60" type="noConversion"/>
  </si>
  <si>
    <t>（5）聘请中介机构费、咨询费（含顾问费）：检查是否按合同规定支付费用，有无涉及到诉讼及赔偿款项支出；</t>
    <phoneticPr fontId="60" type="noConversion"/>
  </si>
  <si>
    <t>（6）业务招待费：支出是否合理，如超过规定限额，应在计算应纳税所得额时调整；</t>
    <phoneticPr fontId="60" type="noConversion"/>
  </si>
  <si>
    <t>（7）开办费：结合相关资产的检查，核对筹建期间发生的开办费（包括人员工资、办公费、培训费、差旅费、印刷费、注册登记费以及不计入固定资产成本的借款费用等）是否直接计入管理费用；</t>
    <phoneticPr fontId="60" type="noConversion"/>
  </si>
  <si>
    <t>（1）是否存在关联方、潜在关联方代为承担成本、代垫费用的情形。</t>
    <phoneticPr fontId="60" type="noConversion"/>
  </si>
  <si>
    <t>（2）大额咨询费、顾问费支出是否具有交易实质，并且与生产经营管理活动相关，其真实意图是否系因收入舞弊造成的资金循环。</t>
    <phoneticPr fontId="60" type="noConversion"/>
  </si>
  <si>
    <t>（8）根据《中国注册会计师审计准则问题解答第18号——识别和应对第三方配合实施财务舞弊》：关注第三方供应商虚增或虚减采购价格，套取资金支付账外成本费用，延迟或提前确认费用、第三方代为承担成本费用</t>
    <phoneticPr fontId="6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</si>
</sst>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1" formatCode="_ * #,##0_ ;_ * \-#,##0_ ;_ * &quot;-&quot;_ ;_ @_ "/>
    <numFmt numFmtId="43" formatCode="_ * #,##0.00_ ;_ * \-#,##0.00_ ;_ * &quot;-&quot;??_ ;_ @_ "/>
    <numFmt numFmtId="176" formatCode="mmm/dd/yyyy;_-\ &quot;N/A&quot;_-;_-\ &quot;-&quot;_-"/>
    <numFmt numFmtId="177" formatCode="mmm/yyyy;_-\ &quot;N/A&quot;_-;_-\ &quot;-&quot;_-"/>
    <numFmt numFmtId="178" formatCode="&quot;\&quot;#,##0;&quot;\&quot;&quot;\&quot;\-#,##0"/>
    <numFmt numFmtId="179" formatCode="_-&quot;$&quot;* #,##0_-;\-&quot;$&quot;* #,##0_-;_-&quot;$&quot;* &quot;-&quot;_-;_-@_-"/>
    <numFmt numFmtId="180" formatCode="_-* #,##0_-;\-* #,##0_-;_-* &quot;-&quot;_-;_-@_-"/>
    <numFmt numFmtId="181" formatCode="_-#,###.00,_-;\(#,###.00,\);_-\ \ &quot;-&quot;_-;_-@_-"/>
    <numFmt numFmtId="182" formatCode="_-* #,##0.00_-;\-* #,##0.00_-;_-* &quot;-&quot;??_-;_-@_-"/>
    <numFmt numFmtId="183" formatCode="_-#0&quot;.&quot;0,_-;\(#0&quot;.&quot;0,\);_-\ \ &quot;-&quot;_-;_-@_-"/>
    <numFmt numFmtId="184" formatCode="_-#,##0.00_-;\(#,##0.00\);_-\ \ &quot;-&quot;_-;_-@_-"/>
    <numFmt numFmtId="185" formatCode="_-#0&quot;.&quot;0000_-;\(#0&quot;.&quot;0000\);_-\ \ &quot;-&quot;_-;_-@_-"/>
    <numFmt numFmtId="186" formatCode="_-#,##0_-;\(#,##0\);_-\ \ &quot;-&quot;_-;_-@_-"/>
    <numFmt numFmtId="187" formatCode="_-#,###,_-;\(#,###,\);_-\ \ &quot;-&quot;_-;_-@_-"/>
    <numFmt numFmtId="188" formatCode="_-#,##0%_-;\(#,##0%\);_-\ &quot;-&quot;_-"/>
    <numFmt numFmtId="189" formatCode="&quot;$&quot;#,##0_);\(&quot;$&quot;#,##0\)"/>
    <numFmt numFmtId="190" formatCode="_-&quot;$&quot;* #,##0.00_-;\-&quot;$&quot;* #,##0.00_-;_-&quot;$&quot;* &quot;-&quot;??_-;_-@_-"/>
    <numFmt numFmtId="191" formatCode="_([$€-2]* #,##0.00_);_([$€-2]* \(#,##0.00\);_([$€-2]* &quot;-&quot;??_)"/>
    <numFmt numFmtId="192" formatCode="&quot;\&quot;#,##0;[Red]&quot;\&quot;&quot;\&quot;\-#,##0"/>
    <numFmt numFmtId="193" formatCode="&quot;\&quot;#,##0.00;[Red]&quot;\&quot;&quot;\&quot;\-#,##0.00"/>
    <numFmt numFmtId="194" formatCode="#,##0_ "/>
    <numFmt numFmtId="195" formatCode="0.0%"/>
    <numFmt numFmtId="196" formatCode="#,##0.00_);\(#,##0.00\)"/>
  </numFmts>
  <fonts count="82">
    <font>
      <sz val="10"/>
      <color theme="1"/>
      <name val="宋体"/>
      <charset val="134"/>
      <scheme val="minor"/>
    </font>
    <font>
      <sz val="11"/>
      <color theme="1"/>
      <name val="宋体"/>
      <family val="2"/>
      <charset val="134"/>
      <scheme val="minor"/>
    </font>
    <font>
      <b/>
      <sz val="12"/>
      <name val="Arial Narrow"/>
      <family val="2"/>
    </font>
    <font>
      <sz val="10"/>
      <name val="Arial Narrow"/>
      <family val="2"/>
    </font>
    <font>
      <b/>
      <sz val="10"/>
      <name val="Arial Narrow"/>
      <family val="2"/>
    </font>
    <font>
      <sz val="12"/>
      <name val="Arial Narrow"/>
      <family val="2"/>
    </font>
    <font>
      <b/>
      <sz val="10"/>
      <name val="宋体"/>
      <family val="3"/>
      <charset val="134"/>
    </font>
    <font>
      <b/>
      <sz val="12"/>
      <name val="宋体"/>
      <family val="3"/>
      <charset val="134"/>
    </font>
    <font>
      <sz val="10"/>
      <name val="宋体"/>
      <family val="3"/>
      <charset val="134"/>
    </font>
    <font>
      <sz val="10"/>
      <color indexed="12"/>
      <name val="Arial Narrow"/>
      <family val="2"/>
    </font>
    <font>
      <sz val="10"/>
      <name val="宋体"/>
      <family val="3"/>
      <charset val="134"/>
      <scheme val="minor"/>
    </font>
    <font>
      <sz val="10"/>
      <color indexed="8"/>
      <name val="Arial Narrow"/>
      <family val="2"/>
    </font>
    <font>
      <b/>
      <sz val="10"/>
      <name val="宋体"/>
      <family val="3"/>
      <charset val="134"/>
      <scheme val="minor"/>
    </font>
    <font>
      <b/>
      <sz val="10"/>
      <color indexed="8"/>
      <name val="Arial Narrow"/>
      <family val="2"/>
    </font>
    <font>
      <b/>
      <u/>
      <sz val="10"/>
      <color indexed="10"/>
      <name val="Arial Narrow"/>
      <family val="2"/>
    </font>
    <font>
      <sz val="10"/>
      <color rgb="FFFF0000"/>
      <name val="宋体"/>
      <family val="3"/>
      <charset val="134"/>
      <scheme val="minor"/>
    </font>
    <font>
      <b/>
      <sz val="10"/>
      <color rgb="FFFF0000"/>
      <name val="宋体"/>
      <family val="3"/>
      <charset val="134"/>
      <scheme val="minor"/>
    </font>
    <font>
      <sz val="12"/>
      <name val="宋体"/>
      <family val="3"/>
      <charset val="134"/>
      <scheme val="minor"/>
    </font>
    <font>
      <sz val="10"/>
      <color theme="1"/>
      <name val="宋体"/>
      <family val="3"/>
      <charset val="134"/>
    </font>
    <font>
      <sz val="10"/>
      <color rgb="FFFF0000"/>
      <name val="Arial Narrow"/>
      <family val="2"/>
    </font>
    <font>
      <b/>
      <sz val="10"/>
      <color theme="1"/>
      <name val="宋体"/>
      <family val="3"/>
      <charset val="134"/>
    </font>
    <font>
      <sz val="12"/>
      <name val="宋体"/>
      <family val="3"/>
      <charset val="134"/>
    </font>
    <font>
      <sz val="12"/>
      <name val="仿宋_GB2312"/>
      <family val="3"/>
      <charset val="134"/>
    </font>
    <font>
      <b/>
      <sz val="10"/>
      <color indexed="8"/>
      <name val="宋体"/>
      <family val="3"/>
      <charset val="134"/>
    </font>
    <font>
      <b/>
      <sz val="10"/>
      <color rgb="FFE92841"/>
      <name val="Arial Narrow"/>
      <family val="2"/>
    </font>
    <font>
      <sz val="10"/>
      <color indexed="8"/>
      <name val="宋体"/>
      <family val="3"/>
      <charset val="134"/>
    </font>
    <font>
      <sz val="10"/>
      <color rgb="FFFF0000"/>
      <name val="宋体"/>
      <family val="3"/>
      <charset val="134"/>
    </font>
    <font>
      <u/>
      <sz val="10"/>
      <name val="Arial Narrow"/>
      <family val="2"/>
    </font>
    <font>
      <sz val="12"/>
      <color indexed="12"/>
      <name val="仿宋_GB2312"/>
      <family val="3"/>
      <charset val="134"/>
    </font>
    <font>
      <b/>
      <sz val="10"/>
      <color indexed="10"/>
      <name val="Arial Narrow"/>
      <family val="2"/>
    </font>
    <font>
      <i/>
      <sz val="10"/>
      <color rgb="FFFF0000"/>
      <name val="宋体"/>
      <family val="3"/>
      <charset val="134"/>
    </font>
    <font>
      <sz val="10"/>
      <color indexed="8"/>
      <name val="宋体"/>
      <family val="3"/>
      <charset val="134"/>
      <scheme val="minor"/>
    </font>
    <font>
      <i/>
      <u/>
      <sz val="10"/>
      <color indexed="12"/>
      <name val="宋体"/>
      <family val="3"/>
      <charset val="134"/>
    </font>
    <font>
      <b/>
      <sz val="10"/>
      <name val="Arial"/>
      <family val="2"/>
    </font>
    <font>
      <sz val="10"/>
      <name val="Arial"/>
      <family val="2"/>
    </font>
    <font>
      <b/>
      <sz val="14"/>
      <name val="宋体"/>
      <family val="3"/>
      <charset val="134"/>
    </font>
    <font>
      <sz val="10"/>
      <name val="Arial Narrow"/>
      <family val="2"/>
    </font>
    <font>
      <b/>
      <sz val="12"/>
      <color indexed="8"/>
      <name val="Arial Narrow"/>
      <family val="2"/>
    </font>
    <font>
      <u/>
      <sz val="10"/>
      <color indexed="12"/>
      <name val="宋体"/>
      <family val="3"/>
      <charset val="134"/>
    </font>
    <font>
      <sz val="10"/>
      <color rgb="FF000000"/>
      <name val="宋体"/>
      <family val="3"/>
      <charset val="134"/>
    </font>
    <font>
      <u/>
      <sz val="12"/>
      <color indexed="12"/>
      <name val="宋体"/>
      <family val="3"/>
      <charset val="134"/>
    </font>
    <font>
      <sz val="10"/>
      <name val="Times New Roman"/>
      <family val="1"/>
    </font>
    <font>
      <u val="singleAccounting"/>
      <vertAlign val="subscript"/>
      <sz val="10"/>
      <name val="Times New Roman"/>
      <family val="1"/>
    </font>
    <font>
      <sz val="7"/>
      <name val="Helv"/>
      <family val="2"/>
    </font>
    <font>
      <sz val="12"/>
      <name val="楷体_GB2312"/>
      <charset val="134"/>
    </font>
    <font>
      <u/>
      <sz val="7.5"/>
      <color indexed="12"/>
      <name val="Arial"/>
      <family val="2"/>
    </font>
    <font>
      <i/>
      <sz val="9"/>
      <name val="Times New Roman"/>
      <family val="1"/>
    </font>
    <font>
      <b/>
      <sz val="10"/>
      <name val="MS Sans Serif"/>
      <family val="2"/>
    </font>
    <font>
      <u/>
      <sz val="7.5"/>
      <color indexed="36"/>
      <name val="Arial"/>
      <family val="2"/>
    </font>
    <font>
      <sz val="8"/>
      <name val="Arial"/>
      <family val="2"/>
    </font>
    <font>
      <sz val="10"/>
      <name val="Courier"/>
      <family val="3"/>
    </font>
    <font>
      <sz val="12"/>
      <name val="Garamond"/>
      <family val="1"/>
    </font>
    <font>
      <sz val="7"/>
      <color indexed="10"/>
      <name val="Helv"/>
      <family val="2"/>
    </font>
    <font>
      <sz val="11"/>
      <color theme="1"/>
      <name val="宋体"/>
      <family val="3"/>
      <charset val="134"/>
      <scheme val="minor"/>
    </font>
    <font>
      <sz val="11"/>
      <color theme="1"/>
      <name val="宋体"/>
      <family val="3"/>
      <charset val="134"/>
      <scheme val="minor"/>
    </font>
    <font>
      <sz val="12"/>
      <name val="Times New Roman"/>
      <family val="1"/>
    </font>
    <font>
      <sz val="12"/>
      <name val="楷体"/>
      <family val="3"/>
      <charset val="134"/>
    </font>
    <font>
      <sz val="10"/>
      <color indexed="10"/>
      <name val="宋体"/>
      <family val="3"/>
      <charset val="134"/>
    </font>
    <font>
      <b/>
      <sz val="12"/>
      <color indexed="8"/>
      <name val="宋体"/>
      <family val="3"/>
      <charset val="134"/>
    </font>
    <font>
      <b/>
      <sz val="9"/>
      <name val="宋体"/>
      <family val="3"/>
      <charset val="134"/>
    </font>
    <font>
      <sz val="9"/>
      <name val="宋体"/>
      <family val="3"/>
      <charset val="134"/>
      <scheme val="minor"/>
    </font>
    <font>
      <sz val="10"/>
      <color theme="1"/>
      <name val="宋体"/>
      <family val="3"/>
      <charset val="134"/>
      <scheme val="minor"/>
    </font>
    <font>
      <sz val="10"/>
      <color indexed="12"/>
      <name val="宋体"/>
      <family val="3"/>
      <charset val="134"/>
      <scheme val="minor"/>
    </font>
    <font>
      <b/>
      <sz val="10"/>
      <color rgb="FF000000"/>
      <name val="宋体"/>
      <family val="3"/>
      <charset val="134"/>
      <scheme val="minor"/>
    </font>
    <font>
      <b/>
      <sz val="10"/>
      <color indexed="8"/>
      <name val="宋体"/>
      <family val="3"/>
      <charset val="134"/>
      <scheme val="minor"/>
    </font>
    <font>
      <sz val="10"/>
      <color rgb="FF0000FF"/>
      <name val="宋体"/>
      <family val="3"/>
      <charset val="134"/>
    </font>
    <font>
      <u/>
      <sz val="10"/>
      <color indexed="12"/>
      <name val="Arial Narrow"/>
      <family val="2"/>
    </font>
    <font>
      <sz val="9"/>
      <name val="宋体"/>
      <family val="3"/>
      <charset val="134"/>
    </font>
    <font>
      <sz val="10"/>
      <color rgb="FF0000FF"/>
      <name val="Arial Narrow"/>
      <family val="2"/>
    </font>
    <font>
      <b/>
      <sz val="10"/>
      <color rgb="FFFF0000"/>
      <name val="宋体"/>
      <family val="3"/>
      <charset val="134"/>
    </font>
    <font>
      <sz val="9"/>
      <color rgb="FF0000FF"/>
      <name val="Arial Narrow"/>
      <family val="2"/>
    </font>
    <font>
      <sz val="9"/>
      <color rgb="FF0000FF"/>
      <name val="宋体"/>
      <family val="3"/>
      <charset val="134"/>
    </font>
    <font>
      <sz val="9"/>
      <name val="宋体"/>
      <family val="2"/>
      <charset val="134"/>
      <scheme val="minor"/>
    </font>
    <font>
      <b/>
      <sz val="12"/>
      <name val="宋体"/>
      <family val="3"/>
      <charset val="134"/>
      <scheme val="minor"/>
    </font>
    <font>
      <b/>
      <sz val="14"/>
      <name val="Arial Narrow"/>
      <family val="2"/>
    </font>
    <font>
      <b/>
      <sz val="10"/>
      <color indexed="12"/>
      <name val="宋体"/>
      <family val="3"/>
      <charset val="134"/>
    </font>
    <font>
      <sz val="9"/>
      <name val="宋体"/>
      <family val="3"/>
      <charset val="134"/>
      <scheme val="minor"/>
    </font>
    <font>
      <sz val="18"/>
      <color indexed="48"/>
      <name val="魏碑"/>
      <family val="3"/>
      <charset val="134"/>
    </font>
    <font>
      <sz val="11"/>
      <color theme="1"/>
      <name val="宋体"/>
      <family val="2"/>
      <scheme val="minor"/>
    </font>
    <font>
      <b/>
      <sz val="9"/>
      <color indexed="81"/>
      <name val="宋体"/>
      <family val="3"/>
      <charset val="134"/>
    </font>
    <font>
      <sz val="9"/>
      <color indexed="81"/>
      <name val="宋体"/>
      <family val="3"/>
      <charset val="134"/>
    </font>
    <font>
      <sz val="10"/>
      <color rgb="FF0000FF"/>
      <name val="宋体"/>
      <family val="3"/>
      <charset val="134"/>
      <scheme val="minor"/>
    </font>
  </fonts>
  <fills count="10">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indexed="14"/>
        <bgColor indexed="64"/>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7" tint="0.79998168889431442"/>
        <bgColor rgb="FFB7DEE8"/>
      </patternFill>
    </fill>
  </fills>
  <borders count="15">
    <border>
      <left/>
      <right/>
      <top/>
      <bottom/>
      <diagonal/>
    </border>
    <border>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top style="thin">
        <color indexed="64"/>
      </top>
      <bottom style="medium">
        <color auto="1"/>
      </bottom>
      <diagonal/>
    </border>
    <border>
      <left style="hair">
        <color indexed="64"/>
      </left>
      <right style="hair">
        <color indexed="64"/>
      </right>
      <top/>
      <bottom style="hair">
        <color indexed="64"/>
      </bottom>
      <diagonal/>
    </border>
  </borders>
  <cellStyleXfs count="65">
    <xf numFmtId="191" fontId="0" fillId="0" borderId="0">
      <alignment vertical="center"/>
    </xf>
    <xf numFmtId="41" fontId="21" fillId="0" borderId="0" applyFont="0" applyFill="0" applyBorder="0" applyAlignment="0" applyProtection="0"/>
    <xf numFmtId="43" fontId="21" fillId="0" borderId="0" applyFont="0" applyFill="0" applyBorder="0" applyAlignment="0" applyProtection="0"/>
    <xf numFmtId="191" fontId="40" fillId="0" borderId="0" applyNumberFormat="0" applyFill="0" applyBorder="0" applyAlignment="0" applyProtection="0">
      <alignment vertical="top"/>
      <protection locked="0"/>
    </xf>
    <xf numFmtId="9" fontId="21" fillId="0" borderId="0" applyFont="0" applyFill="0" applyBorder="0" applyAlignment="0" applyProtection="0"/>
    <xf numFmtId="183" fontId="41" fillId="0" borderId="0" applyFill="0" applyBorder="0" applyProtection="0">
      <alignment horizontal="right"/>
    </xf>
    <xf numFmtId="49" fontId="41" fillId="0" borderId="0" applyProtection="0">
      <alignment horizontal="left"/>
    </xf>
    <xf numFmtId="176" fontId="42" fillId="0" borderId="0" applyFill="0" applyBorder="0" applyProtection="0">
      <alignment horizontal="center"/>
    </xf>
    <xf numFmtId="182" fontId="34" fillId="0" borderId="0" applyFont="0" applyFill="0" applyBorder="0" applyAlignment="0" applyProtection="0"/>
    <xf numFmtId="180" fontId="34" fillId="0" borderId="0" applyFont="0" applyFill="0" applyBorder="0" applyAlignment="0" applyProtection="0"/>
    <xf numFmtId="186" fontId="41" fillId="0" borderId="0" applyFill="0" applyBorder="0" applyProtection="0">
      <alignment horizontal="right"/>
    </xf>
    <xf numFmtId="3" fontId="43" fillId="0" borderId="0"/>
    <xf numFmtId="184" fontId="41" fillId="0" borderId="0" applyFill="0" applyBorder="0" applyProtection="0">
      <alignment horizontal="right"/>
    </xf>
    <xf numFmtId="41" fontId="44" fillId="0" borderId="0" applyFont="0" applyFill="0" applyBorder="0" applyAlignment="0" applyProtection="0"/>
    <xf numFmtId="179" fontId="34" fillId="0" borderId="0" applyFont="0" applyFill="0" applyBorder="0" applyAlignment="0" applyProtection="0"/>
    <xf numFmtId="185" fontId="41" fillId="0" borderId="0" applyFill="0" applyBorder="0" applyProtection="0">
      <alignment horizontal="right"/>
    </xf>
    <xf numFmtId="181" fontId="41" fillId="0" borderId="0" applyFill="0" applyBorder="0" applyProtection="0">
      <alignment horizontal="right"/>
    </xf>
    <xf numFmtId="191" fontId="45" fillId="0" borderId="0" applyNumberFormat="0" applyFill="0" applyBorder="0" applyAlignment="0" applyProtection="0">
      <alignment vertical="top"/>
      <protection locked="0"/>
    </xf>
    <xf numFmtId="177" fontId="42" fillId="0" borderId="0" applyFill="0" applyBorder="0" applyProtection="0">
      <alignment horizontal="center"/>
    </xf>
    <xf numFmtId="187" fontId="41" fillId="0" borderId="0" applyFill="0" applyBorder="0" applyProtection="0">
      <alignment horizontal="right"/>
    </xf>
    <xf numFmtId="188" fontId="46" fillId="0" borderId="0" applyFill="0" applyBorder="0" applyProtection="0">
      <alignment horizontal="right"/>
    </xf>
    <xf numFmtId="189" fontId="47" fillId="0" borderId="12" applyAlignment="0" applyProtection="0"/>
    <xf numFmtId="190" fontId="34" fillId="0" borderId="0" applyFont="0" applyFill="0" applyBorder="0" applyAlignment="0" applyProtection="0"/>
    <xf numFmtId="41" fontId="34" fillId="0" borderId="0" applyFont="0" applyFill="0" applyBorder="0" applyAlignment="0" applyProtection="0"/>
    <xf numFmtId="43" fontId="34" fillId="0" borderId="0" applyFont="0" applyFill="0" applyBorder="0" applyAlignment="0" applyProtection="0"/>
    <xf numFmtId="191" fontId="41" fillId="0" borderId="0" applyFont="0" applyFill="0" applyBorder="0" applyAlignment="0" applyProtection="0"/>
    <xf numFmtId="191" fontId="48" fillId="0" borderId="0" applyNumberFormat="0" applyFill="0" applyBorder="0" applyAlignment="0" applyProtection="0">
      <alignment vertical="top"/>
      <protection locked="0"/>
    </xf>
    <xf numFmtId="38" fontId="49" fillId="5" borderId="0" applyNumberFormat="0" applyBorder="0" applyAlignment="0" applyProtection="0"/>
    <xf numFmtId="10" fontId="49" fillId="6" borderId="11" applyNumberFormat="0" applyBorder="0" applyAlignment="0" applyProtection="0"/>
    <xf numFmtId="192" fontId="21" fillId="0" borderId="0" applyFont="0" applyFill="0" applyBorder="0" applyAlignment="0" applyProtection="0"/>
    <xf numFmtId="193" fontId="21" fillId="0" borderId="0" applyFont="0" applyFill="0" applyBorder="0" applyAlignment="0" applyProtection="0"/>
    <xf numFmtId="191" fontId="50" fillId="0" borderId="0"/>
    <xf numFmtId="178" fontId="21" fillId="0" borderId="0"/>
    <xf numFmtId="191" fontId="51" fillId="0" borderId="0"/>
    <xf numFmtId="10" fontId="34" fillId="0" borderId="0" applyFont="0" applyFill="0" applyBorder="0" applyAlignment="0" applyProtection="0"/>
    <xf numFmtId="3" fontId="52" fillId="0" borderId="0"/>
    <xf numFmtId="9" fontId="21" fillId="0" borderId="0" applyFont="0" applyFill="0" applyBorder="0" applyAlignment="0" applyProtection="0"/>
    <xf numFmtId="191" fontId="21" fillId="0" borderId="0">
      <alignment vertical="center"/>
    </xf>
    <xf numFmtId="191" fontId="21" fillId="0" borderId="0">
      <protection locked="0"/>
    </xf>
    <xf numFmtId="191" fontId="53" fillId="0" borderId="0"/>
    <xf numFmtId="191" fontId="21" fillId="0" borderId="0">
      <protection locked="0"/>
    </xf>
    <xf numFmtId="191" fontId="21" fillId="0" borderId="0">
      <protection locked="0"/>
    </xf>
    <xf numFmtId="191" fontId="8" fillId="0" borderId="0"/>
    <xf numFmtId="191" fontId="21" fillId="0" borderId="0"/>
    <xf numFmtId="191" fontId="54" fillId="0" borderId="0">
      <alignment vertical="center"/>
    </xf>
    <xf numFmtId="191" fontId="21" fillId="0" borderId="0"/>
    <xf numFmtId="191" fontId="21" fillId="0" borderId="0">
      <alignment vertical="center"/>
    </xf>
    <xf numFmtId="191" fontId="54" fillId="0" borderId="0">
      <alignment vertical="center"/>
    </xf>
    <xf numFmtId="191" fontId="21" fillId="0" borderId="0">
      <alignment vertical="center"/>
    </xf>
    <xf numFmtId="191" fontId="21" fillId="0" borderId="0">
      <alignment vertical="center"/>
    </xf>
    <xf numFmtId="191" fontId="55" fillId="0" borderId="0"/>
    <xf numFmtId="191" fontId="21" fillId="0" borderId="0"/>
    <xf numFmtId="191" fontId="21" fillId="0" borderId="0" applyFill="0" applyBorder="0"/>
    <xf numFmtId="191" fontId="21" fillId="0" borderId="0">
      <alignment vertical="center"/>
    </xf>
    <xf numFmtId="191" fontId="40" fillId="0" borderId="0" applyNumberFormat="0" applyFill="0" applyBorder="0" applyAlignment="0" applyProtection="0">
      <alignment vertical="top"/>
      <protection locked="0"/>
    </xf>
    <xf numFmtId="191" fontId="56" fillId="0" borderId="0"/>
    <xf numFmtId="43" fontId="21" fillId="0" borderId="0" applyFont="0" applyFill="0" applyBorder="0" applyAlignment="0" applyProtection="0"/>
    <xf numFmtId="43" fontId="44" fillId="0" borderId="0" applyFont="0" applyFill="0" applyBorder="0" applyAlignment="0" applyProtection="0"/>
    <xf numFmtId="191" fontId="53" fillId="0" borderId="0">
      <alignment vertical="center"/>
    </xf>
    <xf numFmtId="191" fontId="21" fillId="0" borderId="0">
      <alignment vertical="center"/>
      <protection locked="0"/>
    </xf>
    <xf numFmtId="0" fontId="21" fillId="0" borderId="0">
      <protection locked="0"/>
    </xf>
    <xf numFmtId="191" fontId="21" fillId="0" borderId="0">
      <protection locked="0"/>
    </xf>
    <xf numFmtId="191" fontId="61" fillId="0" borderId="0">
      <alignment vertical="center"/>
    </xf>
    <xf numFmtId="191" fontId="78" fillId="0" borderId="0"/>
    <xf numFmtId="191" fontId="1" fillId="0" borderId="0">
      <alignment vertical="center"/>
    </xf>
  </cellStyleXfs>
  <cellXfs count="394">
    <xf numFmtId="191" fontId="0" fillId="0" borderId="0" xfId="0">
      <alignment vertical="center"/>
    </xf>
    <xf numFmtId="191" fontId="2" fillId="0" borderId="0" xfId="38" applyFont="1" applyAlignment="1">
      <alignment vertical="center"/>
      <protection locked="0"/>
    </xf>
    <xf numFmtId="191" fontId="3" fillId="0" borderId="0" xfId="38" applyFont="1" applyAlignment="1">
      <alignment vertical="center"/>
      <protection locked="0"/>
    </xf>
    <xf numFmtId="191" fontId="3" fillId="0" borderId="0" xfId="51" applyFont="1" applyAlignment="1" applyProtection="1">
      <alignment vertical="center"/>
      <protection locked="0"/>
    </xf>
    <xf numFmtId="191" fontId="4" fillId="0" borderId="0" xfId="38" applyFont="1" applyAlignment="1">
      <alignment vertical="center"/>
      <protection locked="0"/>
    </xf>
    <xf numFmtId="191" fontId="5" fillId="0" borderId="0" xfId="38" applyFont="1" applyAlignment="1">
      <alignment vertical="center"/>
      <protection locked="0"/>
    </xf>
    <xf numFmtId="43" fontId="3" fillId="0" borderId="0" xfId="52" applyNumberFormat="1" applyFont="1" applyBorder="1" applyAlignment="1">
      <alignment vertical="center"/>
    </xf>
    <xf numFmtId="43" fontId="3" fillId="0" borderId="0" xfId="52" applyNumberFormat="1" applyFont="1" applyBorder="1" applyAlignment="1">
      <alignment horizontal="left" vertical="center"/>
    </xf>
    <xf numFmtId="49" fontId="3" fillId="0" borderId="0" xfId="52" applyNumberFormat="1" applyFont="1" applyBorder="1" applyAlignment="1">
      <alignment vertical="center"/>
    </xf>
    <xf numFmtId="191" fontId="6" fillId="0" borderId="0" xfId="51" applyFont="1" applyAlignment="1">
      <alignment horizontal="left" vertical="center"/>
    </xf>
    <xf numFmtId="191" fontId="4" fillId="0" borderId="0" xfId="51" applyFont="1" applyAlignment="1">
      <alignment horizontal="left" vertical="center"/>
    </xf>
    <xf numFmtId="191" fontId="8" fillId="0" borderId="0" xfId="51" applyFont="1" applyAlignment="1">
      <alignment vertical="center"/>
    </xf>
    <xf numFmtId="191" fontId="3" fillId="0" borderId="0" xfId="51" applyFont="1" applyAlignment="1">
      <alignment vertical="center"/>
    </xf>
    <xf numFmtId="191" fontId="4" fillId="0" borderId="0" xfId="51" applyFont="1" applyAlignment="1">
      <alignment vertical="center"/>
    </xf>
    <xf numFmtId="191" fontId="6" fillId="0" borderId="0" xfId="38" applyFont="1" applyAlignment="1">
      <alignment vertical="center"/>
      <protection locked="0"/>
    </xf>
    <xf numFmtId="191" fontId="6" fillId="0" borderId="1" xfId="51" applyFont="1" applyBorder="1" applyAlignment="1">
      <alignment vertical="center"/>
    </xf>
    <xf numFmtId="191" fontId="3" fillId="0" borderId="1" xfId="51" applyFont="1" applyBorder="1" applyAlignment="1" applyProtection="1">
      <alignment vertical="center"/>
      <protection locked="0"/>
    </xf>
    <xf numFmtId="191" fontId="6" fillId="2" borderId="2" xfId="38" applyFont="1" applyFill="1" applyBorder="1" applyAlignment="1">
      <alignment horizontal="center" vertical="center" wrapText="1"/>
      <protection locked="0"/>
    </xf>
    <xf numFmtId="191" fontId="4" fillId="2" borderId="2" xfId="38" applyFont="1" applyFill="1" applyBorder="1" applyAlignment="1">
      <alignment horizontal="center" vertical="center"/>
      <protection locked="0"/>
    </xf>
    <xf numFmtId="191" fontId="4" fillId="2" borderId="2" xfId="38" applyFont="1" applyFill="1" applyBorder="1" applyAlignment="1">
      <alignment horizontal="center" vertical="center" wrapText="1"/>
      <protection locked="0"/>
    </xf>
    <xf numFmtId="14" fontId="3" fillId="0" borderId="2" xfId="38" applyNumberFormat="1" applyFont="1" applyBorder="1" applyAlignment="1">
      <alignment horizontal="left" vertical="center"/>
      <protection locked="0"/>
    </xf>
    <xf numFmtId="191" fontId="3" fillId="0" borderId="2" xfId="38" applyFont="1" applyBorder="1" applyAlignment="1">
      <alignment horizontal="left" vertical="center"/>
      <protection locked="0"/>
    </xf>
    <xf numFmtId="191" fontId="3" fillId="0" borderId="2" xfId="38" applyFont="1" applyBorder="1" applyAlignment="1">
      <alignment vertical="center" wrapText="1"/>
      <protection locked="0"/>
    </xf>
    <xf numFmtId="43" fontId="3" fillId="0" borderId="2" xfId="38" applyNumberFormat="1" applyFont="1" applyBorder="1" applyAlignment="1">
      <alignment horizontal="left" vertical="center"/>
      <protection locked="0"/>
    </xf>
    <xf numFmtId="191" fontId="3" fillId="0" borderId="4" xfId="38" applyFont="1" applyBorder="1" applyAlignment="1">
      <alignment vertical="center"/>
      <protection locked="0"/>
    </xf>
    <xf numFmtId="191" fontId="6" fillId="0" borderId="4" xfId="38" applyFont="1" applyBorder="1" applyAlignment="1">
      <alignment vertical="center"/>
      <protection locked="0"/>
    </xf>
    <xf numFmtId="191" fontId="3" fillId="0" borderId="0" xfId="38" applyFont="1" applyAlignment="1">
      <alignment horizontal="left" vertical="center"/>
      <protection locked="0"/>
    </xf>
    <xf numFmtId="191" fontId="3" fillId="0" borderId="0" xfId="38" applyFont="1" applyAlignment="1">
      <alignment horizontal="center" vertical="center"/>
      <protection locked="0"/>
    </xf>
    <xf numFmtId="191" fontId="8" fillId="0" borderId="0" xfId="38" applyFont="1" applyAlignment="1">
      <alignment horizontal="left" vertical="center"/>
      <protection locked="0"/>
    </xf>
    <xf numFmtId="191" fontId="4" fillId="0" borderId="0" xfId="38" applyFont="1" applyAlignment="1">
      <alignment horizontal="left" vertical="center"/>
      <protection locked="0"/>
    </xf>
    <xf numFmtId="191" fontId="5" fillId="0" borderId="0" xfId="49" applyFont="1">
      <alignment vertical="center"/>
    </xf>
    <xf numFmtId="191" fontId="8" fillId="0" borderId="0" xfId="38" applyFont="1" applyAlignment="1">
      <alignment vertical="center"/>
      <protection locked="0"/>
    </xf>
    <xf numFmtId="191" fontId="4" fillId="0" borderId="0" xfId="38" applyFont="1" applyAlignment="1" applyProtection="1">
      <alignment horizontal="right" vertical="center"/>
    </xf>
    <xf numFmtId="191" fontId="8" fillId="0" borderId="0" xfId="38" applyFont="1" applyAlignment="1" applyProtection="1">
      <alignment vertical="center"/>
    </xf>
    <xf numFmtId="191" fontId="6" fillId="0" borderId="0" xfId="51" applyFont="1" applyAlignment="1">
      <alignment vertical="center"/>
    </xf>
    <xf numFmtId="191" fontId="9" fillId="0" borderId="0" xfId="51" applyFont="1" applyAlignment="1" applyProtection="1">
      <alignment horizontal="center" vertical="center"/>
      <protection hidden="1"/>
    </xf>
    <xf numFmtId="191" fontId="9" fillId="0" borderId="0" xfId="51" applyFont="1" applyAlignment="1" applyProtection="1">
      <alignment horizontal="left" vertical="center"/>
      <protection locked="0"/>
    </xf>
    <xf numFmtId="43" fontId="3" fillId="0" borderId="2" xfId="2" applyFont="1" applyBorder="1" applyAlignment="1">
      <alignment vertical="center"/>
    </xf>
    <xf numFmtId="191" fontId="13" fillId="0" borderId="0" xfId="38" applyFont="1" applyAlignment="1" applyProtection="1">
      <alignment vertical="center"/>
    </xf>
    <xf numFmtId="191" fontId="14" fillId="0" borderId="0" xfId="38" applyFont="1" applyAlignment="1" applyProtection="1">
      <alignment horizontal="center"/>
    </xf>
    <xf numFmtId="191" fontId="4" fillId="0" borderId="0" xfId="38" applyFont="1" applyAlignment="1" applyProtection="1">
      <alignment horizontal="left" vertical="center"/>
    </xf>
    <xf numFmtId="191" fontId="3" fillId="0" borderId="0" xfId="53" applyFont="1">
      <alignment vertical="center"/>
    </xf>
    <xf numFmtId="14" fontId="3" fillId="0" borderId="0" xfId="38" applyNumberFormat="1" applyFont="1" applyAlignment="1">
      <alignment vertical="center"/>
      <protection locked="0"/>
    </xf>
    <xf numFmtId="191" fontId="12" fillId="2" borderId="2" xfId="37" applyFont="1" applyFill="1" applyBorder="1" applyAlignment="1">
      <alignment horizontal="center" vertical="center" wrapText="1"/>
    </xf>
    <xf numFmtId="191" fontId="15" fillId="0" borderId="2" xfId="37" applyFont="1" applyBorder="1">
      <alignment vertical="center"/>
    </xf>
    <xf numFmtId="191" fontId="16" fillId="0" borderId="2" xfId="37" applyFont="1" applyBorder="1">
      <alignment vertical="center"/>
    </xf>
    <xf numFmtId="191" fontId="4" fillId="0" borderId="4" xfId="38" applyFont="1" applyBorder="1" applyAlignment="1">
      <alignment vertical="center"/>
      <protection locked="0"/>
    </xf>
    <xf numFmtId="191" fontId="17" fillId="0" borderId="0" xfId="38" applyFont="1" applyProtection="1"/>
    <xf numFmtId="14" fontId="3" fillId="0" borderId="0" xfId="52" applyNumberFormat="1" applyFont="1" applyBorder="1" applyAlignment="1">
      <alignment horizontal="left" vertical="center"/>
    </xf>
    <xf numFmtId="191" fontId="3" fillId="0" borderId="0" xfId="38" applyFont="1" applyAlignment="1">
      <alignment vertical="center" wrapText="1"/>
      <protection locked="0"/>
    </xf>
    <xf numFmtId="191" fontId="3" fillId="0" borderId="0" xfId="38" applyFont="1" applyAlignment="1">
      <alignment horizontal="right" vertical="center"/>
      <protection locked="0"/>
    </xf>
    <xf numFmtId="191" fontId="3" fillId="0" borderId="0" xfId="38" applyFont="1" applyAlignment="1">
      <alignment horizontal="justify" vertical="center" wrapText="1"/>
      <protection locked="0"/>
    </xf>
    <xf numFmtId="191" fontId="3" fillId="2" borderId="0" xfId="51" applyFont="1" applyFill="1" applyAlignment="1" applyProtection="1">
      <alignment vertical="center"/>
      <protection locked="0"/>
    </xf>
    <xf numFmtId="191" fontId="8" fillId="0" borderId="0" xfId="38" applyFont="1" applyAlignment="1">
      <alignment horizontal="right" vertical="center"/>
      <protection locked="0"/>
    </xf>
    <xf numFmtId="191" fontId="3" fillId="0" borderId="0" xfId="38" applyFont="1" applyAlignment="1" applyProtection="1">
      <alignment horizontal="right" vertical="center"/>
    </xf>
    <xf numFmtId="191" fontId="18" fillId="0" borderId="0" xfId="51" applyFont="1" applyAlignment="1">
      <alignment vertical="center"/>
    </xf>
    <xf numFmtId="191" fontId="3" fillId="0" borderId="0" xfId="51" applyFont="1" applyAlignment="1" applyProtection="1">
      <alignment horizontal="left" vertical="center"/>
      <protection hidden="1"/>
    </xf>
    <xf numFmtId="14" fontId="3" fillId="0" borderId="2" xfId="38" applyNumberFormat="1" applyFont="1" applyBorder="1" applyAlignment="1">
      <alignment horizontal="center" vertical="center"/>
      <protection locked="0"/>
    </xf>
    <xf numFmtId="43" fontId="3" fillId="0" borderId="2" xfId="38" applyNumberFormat="1" applyFont="1" applyBorder="1" applyAlignment="1">
      <alignment horizontal="center" vertical="center"/>
      <protection locked="0"/>
    </xf>
    <xf numFmtId="191" fontId="4" fillId="0" borderId="0" xfId="38" applyFont="1" applyAlignment="1">
      <alignment horizontal="center" vertical="center" wrapText="1"/>
      <protection locked="0"/>
    </xf>
    <xf numFmtId="194" fontId="19" fillId="0" borderId="2" xfId="48" applyNumberFormat="1" applyFont="1" applyBorder="1" applyAlignment="1">
      <alignment horizontal="left" vertical="center" shrinkToFit="1"/>
    </xf>
    <xf numFmtId="43" fontId="4" fillId="0" borderId="2" xfId="2" applyFont="1" applyBorder="1" applyAlignment="1">
      <alignment vertical="center"/>
    </xf>
    <xf numFmtId="194" fontId="3" fillId="0" borderId="2" xfId="48" applyNumberFormat="1" applyFont="1" applyBorder="1" applyAlignment="1">
      <alignment horizontal="left" vertical="center" shrinkToFit="1"/>
    </xf>
    <xf numFmtId="195" fontId="3" fillId="0" borderId="2" xfId="4" applyNumberFormat="1" applyFont="1" applyBorder="1" applyAlignment="1">
      <alignment horizontal="center" vertical="center"/>
    </xf>
    <xf numFmtId="195" fontId="4" fillId="0" borderId="2" xfId="4" applyNumberFormat="1" applyFont="1" applyBorder="1" applyAlignment="1">
      <alignment horizontal="center" vertical="center"/>
    </xf>
    <xf numFmtId="195" fontId="4" fillId="0" borderId="0" xfId="4" applyNumberFormat="1" applyFont="1" applyBorder="1" applyAlignment="1">
      <alignment horizontal="center" vertical="center"/>
    </xf>
    <xf numFmtId="43" fontId="4" fillId="0" borderId="4" xfId="2" applyFont="1" applyBorder="1" applyAlignment="1">
      <alignment vertical="center"/>
    </xf>
    <xf numFmtId="195" fontId="4" fillId="0" borderId="4" xfId="4" applyNumberFormat="1" applyFont="1" applyBorder="1" applyAlignment="1">
      <alignment horizontal="center" vertical="center"/>
    </xf>
    <xf numFmtId="43" fontId="6" fillId="0" borderId="0" xfId="2" applyFont="1" applyBorder="1" applyAlignment="1">
      <alignment vertical="center"/>
    </xf>
    <xf numFmtId="43" fontId="4" fillId="0" borderId="0" xfId="2" applyFont="1" applyBorder="1" applyAlignment="1">
      <alignment vertical="center"/>
    </xf>
    <xf numFmtId="43" fontId="8" fillId="0" borderId="0" xfId="2" applyFont="1" applyBorder="1" applyAlignment="1">
      <alignment vertical="center"/>
    </xf>
    <xf numFmtId="43" fontId="9" fillId="0" borderId="0" xfId="52" applyNumberFormat="1" applyFont="1" applyBorder="1" applyAlignment="1">
      <alignment vertical="center"/>
    </xf>
    <xf numFmtId="191" fontId="21" fillId="0" borderId="0" xfId="40">
      <protection locked="0"/>
    </xf>
    <xf numFmtId="43" fontId="3" fillId="0" borderId="0" xfId="52" applyNumberFormat="1" applyFont="1" applyFill="1" applyBorder="1" applyAlignment="1">
      <alignment vertical="center"/>
    </xf>
    <xf numFmtId="43" fontId="22" fillId="0" borderId="0" xfId="52" applyNumberFormat="1" applyFont="1" applyFill="1" applyBorder="1" applyAlignment="1">
      <alignment vertical="center"/>
    </xf>
    <xf numFmtId="43" fontId="3" fillId="0" borderId="4" xfId="52" applyNumberFormat="1" applyFont="1" applyBorder="1" applyAlignment="1">
      <alignment horizontal="left" vertical="center"/>
    </xf>
    <xf numFmtId="191" fontId="3" fillId="0" borderId="0" xfId="50" applyFont="1" applyAlignment="1">
      <alignment vertical="center"/>
    </xf>
    <xf numFmtId="191" fontId="3" fillId="0" borderId="0" xfId="50" applyFont="1" applyAlignment="1">
      <alignment horizontal="left" vertical="center"/>
    </xf>
    <xf numFmtId="191" fontId="4" fillId="0" borderId="0" xfId="50" applyFont="1" applyAlignment="1">
      <alignment vertical="center"/>
    </xf>
    <xf numFmtId="191" fontId="29" fillId="0" borderId="0" xfId="44" applyFont="1">
      <alignment vertical="center"/>
    </xf>
    <xf numFmtId="191" fontId="8" fillId="0" borderId="0" xfId="53" applyFont="1">
      <alignment vertical="center"/>
    </xf>
    <xf numFmtId="194" fontId="26" fillId="0" borderId="2" xfId="48" applyNumberFormat="1" applyFont="1" applyBorder="1" applyAlignment="1">
      <alignment horizontal="left" vertical="center" shrinkToFit="1"/>
    </xf>
    <xf numFmtId="14" fontId="8" fillId="0" borderId="0" xfId="38" applyNumberFormat="1" applyFont="1" applyAlignment="1">
      <alignment vertical="center"/>
      <protection locked="0"/>
    </xf>
    <xf numFmtId="43" fontId="11" fillId="0" borderId="2" xfId="2" applyFont="1" applyFill="1" applyBorder="1" applyAlignment="1">
      <alignment horizontal="right" vertical="center"/>
    </xf>
    <xf numFmtId="43" fontId="26" fillId="0" borderId="2" xfId="2" applyFont="1" applyBorder="1" applyAlignment="1">
      <alignment vertical="center"/>
    </xf>
    <xf numFmtId="43" fontId="8" fillId="0" borderId="0" xfId="52" applyNumberFormat="1" applyFont="1" applyBorder="1" applyAlignment="1">
      <alignment vertical="center"/>
    </xf>
    <xf numFmtId="191" fontId="0" fillId="0" borderId="0" xfId="0" applyAlignment="1" applyProtection="1">
      <protection locked="0"/>
    </xf>
    <xf numFmtId="191" fontId="0" fillId="0" borderId="0" xfId="0" applyProtection="1">
      <alignment vertical="center"/>
      <protection locked="0"/>
    </xf>
    <xf numFmtId="191" fontId="21" fillId="0" borderId="0" xfId="38">
      <protection locked="0"/>
    </xf>
    <xf numFmtId="191" fontId="6" fillId="0" borderId="0" xfId="50" applyFont="1" applyAlignment="1">
      <alignment vertical="center"/>
    </xf>
    <xf numFmtId="43" fontId="7" fillId="0" borderId="0" xfId="52" applyNumberFormat="1" applyFont="1" applyBorder="1" applyAlignment="1">
      <alignment vertical="center"/>
    </xf>
    <xf numFmtId="43" fontId="5" fillId="0" borderId="0" xfId="52" applyNumberFormat="1" applyFont="1" applyBorder="1" applyAlignment="1">
      <alignment vertical="center"/>
    </xf>
    <xf numFmtId="43" fontId="4" fillId="0" borderId="0" xfId="52" applyNumberFormat="1" applyFont="1" applyBorder="1" applyAlignment="1">
      <alignment vertical="center"/>
    </xf>
    <xf numFmtId="43" fontId="4" fillId="0" borderId="0" xfId="52" applyNumberFormat="1" applyFont="1" applyFill="1" applyBorder="1" applyAlignment="1">
      <alignment vertical="center"/>
    </xf>
    <xf numFmtId="191" fontId="6" fillId="2" borderId="2" xfId="43" applyFont="1" applyFill="1" applyBorder="1" applyAlignment="1" applyProtection="1">
      <alignment horizontal="center" vertical="center" wrapText="1"/>
      <protection locked="0"/>
    </xf>
    <xf numFmtId="191" fontId="31" fillId="0" borderId="2" xfId="0" applyFont="1" applyBorder="1">
      <alignment vertical="center"/>
    </xf>
    <xf numFmtId="191" fontId="23" fillId="2" borderId="2" xfId="0" applyFont="1" applyFill="1" applyBorder="1" applyAlignment="1">
      <alignment horizontal="center" vertical="center"/>
    </xf>
    <xf numFmtId="43" fontId="32" fillId="0" borderId="4" xfId="3" applyNumberFormat="1" applyFont="1" applyBorder="1" applyAlignment="1" applyProtection="1">
      <alignment horizontal="center" vertical="center"/>
    </xf>
    <xf numFmtId="191" fontId="8" fillId="0" borderId="0" xfId="50" applyFont="1" applyAlignment="1">
      <alignment vertical="center"/>
    </xf>
    <xf numFmtId="9" fontId="27" fillId="0" borderId="0" xfId="4" applyFont="1" applyBorder="1" applyAlignment="1">
      <alignment horizontal="left" vertical="center"/>
    </xf>
    <xf numFmtId="191" fontId="8" fillId="0" borderId="0" xfId="50" applyFont="1" applyAlignment="1">
      <alignment horizontal="left" vertical="center"/>
    </xf>
    <xf numFmtId="43" fontId="32" fillId="0" borderId="0" xfId="3" applyNumberFormat="1" applyFont="1" applyBorder="1" applyAlignment="1" applyProtection="1">
      <alignment horizontal="center" vertical="center"/>
    </xf>
    <xf numFmtId="191" fontId="23" fillId="2" borderId="2" xfId="41" applyFont="1" applyFill="1" applyBorder="1" applyAlignment="1">
      <alignment horizontal="center" vertical="center" wrapText="1"/>
      <protection locked="0"/>
    </xf>
    <xf numFmtId="191" fontId="6" fillId="2" borderId="2" xfId="41" applyFont="1" applyFill="1" applyBorder="1" applyAlignment="1">
      <alignment horizontal="center" vertical="center"/>
      <protection locked="0"/>
    </xf>
    <xf numFmtId="43" fontId="3" fillId="0" borderId="2" xfId="2" applyFont="1" applyFill="1" applyBorder="1" applyAlignment="1">
      <alignment horizontal="right" vertical="center" wrapText="1"/>
    </xf>
    <xf numFmtId="43" fontId="3" fillId="0" borderId="4" xfId="52" applyNumberFormat="1" applyFont="1" applyBorder="1" applyAlignment="1">
      <alignment vertical="center"/>
    </xf>
    <xf numFmtId="191" fontId="4" fillId="0" borderId="0" xfId="53" applyFont="1">
      <alignment vertical="center"/>
    </xf>
    <xf numFmtId="191" fontId="33" fillId="0" borderId="0" xfId="53" applyFont="1">
      <alignment vertical="center"/>
    </xf>
    <xf numFmtId="49" fontId="3" fillId="0" borderId="0" xfId="53" applyNumberFormat="1" applyFont="1" applyAlignment="1">
      <alignment horizontal="left" vertical="center"/>
    </xf>
    <xf numFmtId="191" fontId="36" fillId="0" borderId="0" xfId="38" applyFont="1" applyAlignment="1">
      <alignment vertical="center"/>
      <protection locked="0"/>
    </xf>
    <xf numFmtId="191" fontId="4" fillId="0" borderId="0" xfId="38" applyFont="1" applyAlignment="1">
      <alignment horizontal="justify" vertical="center"/>
      <protection locked="0"/>
    </xf>
    <xf numFmtId="191" fontId="8" fillId="0" borderId="2" xfId="38" applyFont="1" applyBorder="1" applyAlignment="1">
      <alignment horizontal="center" vertical="center" wrapText="1"/>
      <protection locked="0"/>
    </xf>
    <xf numFmtId="191" fontId="8" fillId="0" borderId="2" xfId="38" applyFont="1" applyBorder="1" applyAlignment="1">
      <alignment horizontal="left" vertical="center" wrapText="1"/>
      <protection locked="0"/>
    </xf>
    <xf numFmtId="49" fontId="4" fillId="0" borderId="0" xfId="53" applyNumberFormat="1" applyFont="1" applyAlignment="1">
      <alignment horizontal="left" vertical="center"/>
    </xf>
    <xf numFmtId="191" fontId="4" fillId="0" borderId="0" xfId="38" applyFont="1" applyAlignment="1">
      <alignment horizontal="left" vertical="center" wrapText="1"/>
      <protection locked="0"/>
    </xf>
    <xf numFmtId="191" fontId="18" fillId="0" borderId="0" xfId="38" applyFont="1" applyAlignment="1" applyProtection="1">
      <alignment horizontal="center" vertical="center" wrapText="1"/>
    </xf>
    <xf numFmtId="191" fontId="3" fillId="0" borderId="0" xfId="38" applyFont="1" applyAlignment="1">
      <alignment horizontal="center" vertical="center" wrapText="1"/>
      <protection locked="0"/>
    </xf>
    <xf numFmtId="191" fontId="37" fillId="0" borderId="0" xfId="0" applyFont="1" applyAlignment="1">
      <alignment horizontal="left" vertical="center"/>
    </xf>
    <xf numFmtId="191" fontId="13" fillId="0" borderId="0" xfId="0" applyFont="1" applyAlignment="1">
      <alignment horizontal="left" vertical="center"/>
    </xf>
    <xf numFmtId="191" fontId="13" fillId="0" borderId="0" xfId="0" applyFont="1" applyAlignment="1">
      <alignment horizontal="center" vertical="center"/>
    </xf>
    <xf numFmtId="191" fontId="11" fillId="0" borderId="0" xfId="0" applyFont="1">
      <alignment vertical="center"/>
    </xf>
    <xf numFmtId="191" fontId="11" fillId="0" borderId="0" xfId="0" applyFont="1" applyAlignment="1">
      <alignment horizontal="center" vertical="center"/>
    </xf>
    <xf numFmtId="191" fontId="7" fillId="0" borderId="0" xfId="0" applyFont="1" applyProtection="1">
      <alignment vertical="center"/>
      <protection locked="0"/>
    </xf>
    <xf numFmtId="191" fontId="13" fillId="0" borderId="11" xfId="0" applyFont="1" applyBorder="1" applyAlignment="1">
      <alignment horizontal="center" vertical="center"/>
    </xf>
    <xf numFmtId="191" fontId="11" fillId="0" borderId="11" xfId="0" applyFont="1" applyBorder="1">
      <alignment vertical="center"/>
    </xf>
    <xf numFmtId="191" fontId="13" fillId="0" borderId="11" xfId="0" applyFont="1" applyBorder="1">
      <alignment vertical="center"/>
    </xf>
    <xf numFmtId="191" fontId="39" fillId="0" borderId="11" xfId="0" applyFont="1" applyBorder="1">
      <alignment vertical="center"/>
    </xf>
    <xf numFmtId="191" fontId="10" fillId="0" borderId="0" xfId="0" applyFont="1" applyAlignment="1" applyProtection="1">
      <alignment horizontal="justify" vertical="center"/>
      <protection locked="0"/>
    </xf>
    <xf numFmtId="191" fontId="10" fillId="0" borderId="0" xfId="0" applyFont="1" applyProtection="1">
      <alignment vertical="center"/>
      <protection locked="0"/>
    </xf>
    <xf numFmtId="191" fontId="61" fillId="0" borderId="0" xfId="0" applyFont="1" applyProtection="1">
      <alignment vertical="center"/>
      <protection locked="0"/>
    </xf>
    <xf numFmtId="191" fontId="12" fillId="0" borderId="8" xfId="0" applyFont="1" applyBorder="1" applyAlignment="1" applyProtection="1">
      <alignment horizontal="justify" vertical="center" wrapText="1"/>
      <protection locked="0"/>
    </xf>
    <xf numFmtId="191" fontId="63" fillId="0" borderId="8" xfId="0" applyFont="1" applyBorder="1" applyAlignment="1" applyProtection="1">
      <alignment horizontal="center" vertical="center" wrapText="1"/>
      <protection locked="0"/>
    </xf>
    <xf numFmtId="43" fontId="10" fillId="0" borderId="9" xfId="2" applyFont="1" applyFill="1" applyBorder="1" applyAlignment="1">
      <alignment horizontal="left" vertical="center" wrapText="1"/>
    </xf>
    <xf numFmtId="43" fontId="10" fillId="0" borderId="0" xfId="2" applyFont="1" applyFill="1" applyBorder="1" applyAlignment="1">
      <alignment horizontal="left" vertical="center" wrapText="1"/>
    </xf>
    <xf numFmtId="191" fontId="10" fillId="0" borderId="0" xfId="38" applyFont="1" applyAlignment="1">
      <alignment vertical="center"/>
      <protection locked="0"/>
    </xf>
    <xf numFmtId="191" fontId="12" fillId="0" borderId="13" xfId="0" applyFont="1" applyBorder="1" applyAlignment="1" applyProtection="1">
      <alignment horizontal="justify" vertical="center" wrapText="1"/>
      <protection locked="0"/>
    </xf>
    <xf numFmtId="43" fontId="10" fillId="0" borderId="10" xfId="2" applyFont="1" applyFill="1" applyBorder="1" applyAlignment="1">
      <alignment horizontal="left" vertical="center" wrapText="1"/>
    </xf>
    <xf numFmtId="191" fontId="12" fillId="0" borderId="10" xfId="0" applyFont="1" applyBorder="1" applyAlignment="1" applyProtection="1">
      <alignment horizontal="justify" vertical="center" wrapText="1"/>
      <protection locked="0"/>
    </xf>
    <xf numFmtId="191" fontId="63" fillId="0" borderId="8" xfId="0" applyFont="1" applyBorder="1" applyAlignment="1" applyProtection="1">
      <alignment horizontal="right" vertical="center" wrapText="1"/>
      <protection locked="0"/>
    </xf>
    <xf numFmtId="43" fontId="3" fillId="0" borderId="9" xfId="2" applyFont="1" applyFill="1" applyBorder="1" applyAlignment="1">
      <alignment horizontal="left" vertical="center" wrapText="1"/>
    </xf>
    <xf numFmtId="43" fontId="3" fillId="0" borderId="0" xfId="2" applyFont="1" applyFill="1" applyBorder="1" applyAlignment="1">
      <alignment horizontal="left" vertical="center" wrapText="1"/>
    </xf>
    <xf numFmtId="43" fontId="3" fillId="0" borderId="13" xfId="2" applyFont="1" applyFill="1" applyBorder="1" applyAlignment="1">
      <alignment horizontal="left" vertical="center" wrapText="1"/>
    </xf>
    <xf numFmtId="43" fontId="3" fillId="0" borderId="10" xfId="2" applyFont="1" applyFill="1" applyBorder="1" applyAlignment="1">
      <alignment horizontal="left" vertical="center" wrapText="1"/>
    </xf>
    <xf numFmtId="191" fontId="65" fillId="0" borderId="0" xfId="51" applyFont="1" applyAlignment="1">
      <alignment vertical="center"/>
    </xf>
    <xf numFmtId="49" fontId="3" fillId="0" borderId="0" xfId="52" applyNumberFormat="1" applyFont="1" applyBorder="1" applyAlignment="1">
      <alignment horizontal="left" vertical="center"/>
    </xf>
    <xf numFmtId="14" fontId="3" fillId="0" borderId="0" xfId="52" applyNumberFormat="1" applyFont="1" applyBorder="1" applyAlignment="1">
      <alignment horizontal="right" vertical="center"/>
    </xf>
    <xf numFmtId="43" fontId="11" fillId="3" borderId="2" xfId="2" applyFont="1" applyFill="1" applyBorder="1" applyAlignment="1">
      <alignment horizontal="right" vertical="center"/>
    </xf>
    <xf numFmtId="43" fontId="3" fillId="3" borderId="2" xfId="2" applyFont="1" applyFill="1" applyBorder="1" applyAlignment="1">
      <alignment horizontal="right" vertical="center" wrapText="1"/>
    </xf>
    <xf numFmtId="10" fontId="3" fillId="3" borderId="2" xfId="4" applyNumberFormat="1" applyFont="1" applyFill="1" applyBorder="1" applyAlignment="1">
      <alignment horizontal="right" vertical="center" wrapText="1"/>
    </xf>
    <xf numFmtId="191" fontId="63" fillId="0" borderId="0" xfId="0" applyFont="1" applyBorder="1" applyAlignment="1" applyProtection="1">
      <alignment horizontal="center" vertical="center" wrapText="1"/>
      <protection locked="0"/>
    </xf>
    <xf numFmtId="191" fontId="63" fillId="0" borderId="0" xfId="0" applyFont="1" applyBorder="1" applyAlignment="1" applyProtection="1">
      <alignment horizontal="right" vertical="center" wrapText="1"/>
      <protection locked="0"/>
    </xf>
    <xf numFmtId="10" fontId="11" fillId="3" borderId="2" xfId="4" applyNumberFormat="1" applyFont="1" applyFill="1" applyBorder="1" applyAlignment="1">
      <alignment horizontal="right" vertical="center"/>
    </xf>
    <xf numFmtId="43" fontId="13" fillId="3" borderId="2" xfId="2" applyFont="1" applyFill="1" applyBorder="1" applyAlignment="1">
      <alignment horizontal="right" vertical="center"/>
    </xf>
    <xf numFmtId="10" fontId="13" fillId="3" borderId="2" xfId="4" applyNumberFormat="1" applyFont="1" applyFill="1" applyBorder="1" applyAlignment="1">
      <alignment horizontal="right" vertical="center"/>
    </xf>
    <xf numFmtId="43" fontId="3" fillId="3" borderId="2" xfId="2" applyFont="1" applyFill="1" applyBorder="1" applyAlignment="1">
      <alignment vertical="center" shrinkToFit="1"/>
    </xf>
    <xf numFmtId="191" fontId="66" fillId="0" borderId="11" xfId="3" quotePrefix="1" applyFont="1" applyBorder="1" applyAlignment="1" applyProtection="1">
      <alignment vertical="center"/>
    </xf>
    <xf numFmtId="191" fontId="66" fillId="0" borderId="11" xfId="3" applyFont="1" applyBorder="1" applyAlignment="1" applyProtection="1">
      <alignment vertical="center"/>
    </xf>
    <xf numFmtId="191" fontId="3" fillId="0" borderId="2" xfId="37" applyFont="1" applyBorder="1">
      <alignment vertical="center"/>
    </xf>
    <xf numFmtId="191" fontId="8" fillId="0" borderId="3" xfId="40" applyFont="1" applyBorder="1" applyAlignment="1">
      <alignment horizontal="center" vertical="center" wrapText="1" shrinkToFit="1"/>
      <protection locked="0"/>
    </xf>
    <xf numFmtId="191" fontId="3" fillId="0" borderId="2" xfId="38" applyFont="1" applyBorder="1" applyAlignment="1">
      <alignment horizontal="center" vertical="center" wrapText="1"/>
      <protection locked="0"/>
    </xf>
    <xf numFmtId="49" fontId="6" fillId="0" borderId="0" xfId="40" applyNumberFormat="1" applyFont="1" applyAlignment="1">
      <alignment horizontal="left" vertical="center"/>
      <protection locked="0"/>
    </xf>
    <xf numFmtId="191" fontId="3" fillId="0" borderId="0" xfId="38" applyFont="1" applyBorder="1" applyAlignment="1">
      <alignment vertical="center" wrapText="1"/>
      <protection locked="0"/>
    </xf>
    <xf numFmtId="191" fontId="3" fillId="0" borderId="2" xfId="38" applyFont="1" applyFill="1" applyBorder="1" applyAlignment="1">
      <alignment horizontal="center" vertical="center" wrapText="1"/>
      <protection locked="0"/>
    </xf>
    <xf numFmtId="49" fontId="3" fillId="0" borderId="2" xfId="53" applyNumberFormat="1" applyFont="1" applyBorder="1" applyAlignment="1">
      <alignment horizontal="center" vertical="center"/>
    </xf>
    <xf numFmtId="191" fontId="3" fillId="0" borderId="2" xfId="38" applyFont="1" applyFill="1" applyBorder="1" applyAlignment="1">
      <alignment horizontal="left" vertical="center" wrapText="1"/>
      <protection locked="0"/>
    </xf>
    <xf numFmtId="191" fontId="8" fillId="0" borderId="3" xfId="38" applyFont="1" applyFill="1" applyBorder="1" applyAlignment="1">
      <alignment horizontal="center" vertical="center" wrapText="1"/>
      <protection locked="0"/>
    </xf>
    <xf numFmtId="191" fontId="8" fillId="0" borderId="2" xfId="40" applyFont="1" applyFill="1" applyBorder="1" applyAlignment="1">
      <alignment horizontal="left" vertical="center" wrapText="1"/>
      <protection locked="0"/>
    </xf>
    <xf numFmtId="191" fontId="8" fillId="0" borderId="3" xfId="40" applyFont="1" applyFill="1" applyBorder="1" applyAlignment="1">
      <alignment horizontal="center" vertical="center" wrapText="1" shrinkToFit="1"/>
      <protection locked="0"/>
    </xf>
    <xf numFmtId="191" fontId="4" fillId="0" borderId="0" xfId="38" applyFont="1" applyAlignment="1">
      <alignment horizontal="left" vertical="center"/>
      <protection locked="0"/>
    </xf>
    <xf numFmtId="191" fontId="3" fillId="0" borderId="0" xfId="38" applyFont="1" applyAlignment="1">
      <alignment horizontal="left" vertical="center"/>
      <protection locked="0"/>
    </xf>
    <xf numFmtId="191" fontId="6" fillId="7" borderId="2" xfId="38" applyFont="1" applyFill="1" applyBorder="1" applyAlignment="1">
      <alignment horizontal="center" vertical="center" wrapText="1"/>
      <protection locked="0"/>
    </xf>
    <xf numFmtId="195" fontId="4" fillId="0" borderId="2" xfId="4" applyNumberFormat="1" applyFont="1" applyBorder="1" applyAlignment="1">
      <alignment horizontal="center" vertical="center"/>
    </xf>
    <xf numFmtId="195" fontId="20" fillId="2" borderId="2" xfId="4" applyNumberFormat="1" applyFont="1" applyFill="1" applyBorder="1" applyAlignment="1">
      <alignment horizontal="center" vertical="center"/>
    </xf>
    <xf numFmtId="191" fontId="4" fillId="2" borderId="2" xfId="38" applyFont="1" applyFill="1" applyBorder="1" applyAlignment="1">
      <alignment horizontal="center" vertical="center"/>
      <protection locked="0"/>
    </xf>
    <xf numFmtId="191" fontId="6" fillId="0" borderId="2" xfId="38" applyFont="1" applyBorder="1" applyAlignment="1">
      <alignment horizontal="center" vertical="center" wrapText="1"/>
      <protection locked="0"/>
    </xf>
    <xf numFmtId="191" fontId="8" fillId="0" borderId="3" xfId="38" applyFont="1" applyBorder="1" applyAlignment="1">
      <alignment horizontal="center" vertical="center" wrapText="1"/>
      <protection locked="0"/>
    </xf>
    <xf numFmtId="191" fontId="6" fillId="0" borderId="2" xfId="38" applyFont="1" applyFill="1" applyBorder="1" applyAlignment="1">
      <alignment horizontal="center" vertical="center" wrapText="1"/>
      <protection locked="0"/>
    </xf>
    <xf numFmtId="191" fontId="8" fillId="0" borderId="2" xfId="38" applyFont="1" applyFill="1" applyBorder="1" applyAlignment="1">
      <alignment horizontal="center" vertical="center" wrapText="1"/>
      <protection locked="0"/>
    </xf>
    <xf numFmtId="191" fontId="3" fillId="0" borderId="0" xfId="38" applyFont="1" applyAlignment="1" applyProtection="1">
      <alignment vertical="center"/>
    </xf>
    <xf numFmtId="191" fontId="6" fillId="7" borderId="7" xfId="38" applyFont="1" applyFill="1" applyBorder="1" applyAlignment="1">
      <alignment horizontal="center" vertical="center" wrapText="1"/>
      <protection locked="0"/>
    </xf>
    <xf numFmtId="191" fontId="4" fillId="7" borderId="2" xfId="38" applyFont="1" applyFill="1" applyBorder="1" applyAlignment="1">
      <alignment horizontal="center" vertical="center" wrapText="1"/>
      <protection locked="0"/>
    </xf>
    <xf numFmtId="195" fontId="4" fillId="0" borderId="2" xfId="4" applyNumberFormat="1" applyFont="1" applyBorder="1" applyAlignment="1">
      <alignment vertical="center"/>
    </xf>
    <xf numFmtId="43" fontId="6" fillId="2" borderId="2" xfId="2" applyFont="1" applyFill="1" applyBorder="1" applyAlignment="1">
      <alignment horizontal="center" vertical="center"/>
    </xf>
    <xf numFmtId="195" fontId="6" fillId="2" borderId="2" xfId="4" applyNumberFormat="1" applyFont="1" applyFill="1" applyBorder="1" applyAlignment="1">
      <alignment horizontal="center" vertical="center"/>
    </xf>
    <xf numFmtId="191" fontId="3" fillId="0" borderId="0" xfId="38" applyFont="1" applyBorder="1" applyAlignment="1">
      <alignment vertical="center"/>
      <protection locked="0"/>
    </xf>
    <xf numFmtId="191" fontId="25" fillId="0" borderId="0" xfId="0" applyFont="1" applyAlignment="1">
      <alignment horizontal="left" vertical="center"/>
    </xf>
    <xf numFmtId="191" fontId="26" fillId="0" borderId="0" xfId="51" applyFont="1" applyAlignment="1">
      <alignment horizontal="left" vertical="center"/>
    </xf>
    <xf numFmtId="191" fontId="3" fillId="0" borderId="0" xfId="38" applyFont="1" applyAlignment="1">
      <alignment horizontal="left" vertical="center"/>
      <protection locked="0"/>
    </xf>
    <xf numFmtId="191" fontId="6" fillId="0" borderId="0" xfId="38" applyFont="1" applyBorder="1" applyAlignment="1">
      <alignment horizontal="left" vertical="center"/>
      <protection locked="0"/>
    </xf>
    <xf numFmtId="191" fontId="19" fillId="0" borderId="0" xfId="38" applyFont="1" applyAlignment="1">
      <alignment horizontal="left" vertical="center"/>
      <protection locked="0"/>
    </xf>
    <xf numFmtId="191" fontId="3" fillId="4" borderId="0" xfId="0" applyFont="1" applyFill="1" applyBorder="1" applyAlignment="1" applyProtection="1">
      <alignment horizontal="justify" vertical="center" wrapText="1"/>
      <protection locked="0"/>
    </xf>
    <xf numFmtId="191" fontId="3" fillId="4" borderId="0" xfId="0" applyFont="1" applyFill="1" applyAlignment="1" applyProtection="1">
      <alignment horizontal="justify" vertical="center" wrapText="1"/>
      <protection locked="0"/>
    </xf>
    <xf numFmtId="43" fontId="3" fillId="0" borderId="2" xfId="2" applyFont="1" applyBorder="1" applyAlignment="1">
      <alignment horizontal="center" vertical="center" shrinkToFit="1"/>
    </xf>
    <xf numFmtId="43" fontId="19" fillId="0" borderId="2" xfId="2" applyFont="1" applyBorder="1" applyAlignment="1">
      <alignment vertical="center"/>
    </xf>
    <xf numFmtId="191" fontId="11" fillId="0" borderId="2" xfId="59" applyFont="1" applyFill="1" applyBorder="1" applyAlignment="1" applyProtection="1">
      <alignment vertical="center"/>
    </xf>
    <xf numFmtId="191" fontId="11" fillId="0" borderId="2" xfId="40" applyFont="1" applyBorder="1" applyAlignment="1" applyProtection="1">
      <alignment vertical="center"/>
    </xf>
    <xf numFmtId="43" fontId="11" fillId="0" borderId="2" xfId="2" applyFont="1" applyFill="1" applyBorder="1" applyAlignment="1" applyProtection="1">
      <alignment vertical="center"/>
    </xf>
    <xf numFmtId="191" fontId="11" fillId="0" borderId="2" xfId="59" applyFont="1" applyFill="1" applyBorder="1" applyAlignment="1" applyProtection="1">
      <alignment horizontal="center" vertical="center"/>
    </xf>
    <xf numFmtId="49" fontId="3" fillId="0" borderId="2" xfId="38" applyNumberFormat="1" applyFont="1" applyBorder="1" applyAlignment="1">
      <alignment horizontal="center" vertical="center"/>
      <protection locked="0"/>
    </xf>
    <xf numFmtId="191" fontId="3" fillId="0" borderId="2" xfId="37" applyFont="1" applyBorder="1" applyAlignment="1">
      <alignment horizontal="center" vertical="center"/>
    </xf>
    <xf numFmtId="43" fontId="3" fillId="0" borderId="2" xfId="2" applyFont="1" applyBorder="1" applyAlignment="1" applyProtection="1">
      <alignment horizontal="left" vertical="center"/>
      <protection locked="0"/>
    </xf>
    <xf numFmtId="49" fontId="11" fillId="0" borderId="11" xfId="0" applyNumberFormat="1" applyFont="1" applyBorder="1" applyAlignment="1">
      <alignment horizontal="center" vertical="center"/>
    </xf>
    <xf numFmtId="191" fontId="8" fillId="0" borderId="0" xfId="0" applyFont="1" applyAlignment="1" applyProtection="1">
      <alignment vertical="center"/>
      <protection locked="0"/>
    </xf>
    <xf numFmtId="43" fontId="3" fillId="0" borderId="0" xfId="2" applyFont="1" applyBorder="1" applyAlignment="1">
      <alignment horizontal="left" vertical="center"/>
    </xf>
    <xf numFmtId="191" fontId="3" fillId="0" borderId="2" xfId="38" applyFont="1" applyBorder="1" applyAlignment="1">
      <alignment horizontal="center" vertical="center" wrapText="1"/>
      <protection locked="0"/>
    </xf>
    <xf numFmtId="191" fontId="3" fillId="0" borderId="14" xfId="38" applyFont="1" applyBorder="1" applyAlignment="1">
      <alignment horizontal="center" vertical="center" wrapText="1"/>
      <protection locked="0"/>
    </xf>
    <xf numFmtId="191" fontId="70" fillId="8" borderId="0" xfId="47" applyFont="1" applyFill="1" applyAlignment="1" applyProtection="1">
      <alignment horizontal="left" vertical="top" wrapText="1"/>
      <protection locked="0"/>
    </xf>
    <xf numFmtId="191" fontId="70" fillId="8" borderId="0" xfId="47" applyFont="1" applyFill="1" applyAlignment="1" applyProtection="1">
      <alignment horizontal="left" vertical="center" wrapText="1"/>
      <protection locked="0"/>
    </xf>
    <xf numFmtId="191" fontId="3" fillId="0" borderId="2" xfId="40" applyFont="1" applyBorder="1" applyAlignment="1">
      <alignment horizontal="center" vertical="center" wrapText="1"/>
      <protection locked="0"/>
    </xf>
    <xf numFmtId="191" fontId="37" fillId="0" borderId="0" xfId="0" applyFont="1" applyAlignment="1">
      <alignment horizontal="center" vertical="center"/>
    </xf>
    <xf numFmtId="191" fontId="4" fillId="0" borderId="0" xfId="38" applyFont="1" applyAlignment="1">
      <alignment horizontal="left" vertical="center"/>
      <protection locked="0"/>
    </xf>
    <xf numFmtId="191" fontId="3" fillId="0" borderId="2" xfId="38" applyFont="1" applyBorder="1" applyAlignment="1">
      <alignment horizontal="left" vertical="center" wrapText="1"/>
      <protection locked="0"/>
    </xf>
    <xf numFmtId="191" fontId="3" fillId="0" borderId="2" xfId="38" applyFont="1" applyBorder="1" applyAlignment="1">
      <alignment horizontal="center" vertical="center" wrapText="1"/>
      <protection locked="0"/>
    </xf>
    <xf numFmtId="191" fontId="3" fillId="0" borderId="0" xfId="38" applyFont="1" applyAlignment="1">
      <alignment horizontal="left" vertical="center"/>
      <protection locked="0"/>
    </xf>
    <xf numFmtId="191" fontId="3" fillId="0" borderId="6" xfId="38" applyFont="1" applyBorder="1" applyAlignment="1">
      <alignment horizontal="center" vertical="center" wrapText="1"/>
      <protection locked="0"/>
    </xf>
    <xf numFmtId="191" fontId="6" fillId="7" borderId="2" xfId="38" applyFont="1" applyFill="1" applyBorder="1" applyAlignment="1">
      <alignment horizontal="center" vertical="center"/>
      <protection locked="0"/>
    </xf>
    <xf numFmtId="191" fontId="9" fillId="0" borderId="0" xfId="51" applyFont="1" applyBorder="1" applyAlignment="1" applyProtection="1">
      <alignment horizontal="left" vertical="center"/>
      <protection locked="0"/>
    </xf>
    <xf numFmtId="191" fontId="6" fillId="7" borderId="2" xfId="38" applyFont="1" applyFill="1" applyBorder="1" applyAlignment="1">
      <alignment horizontal="center" vertical="center"/>
      <protection locked="0"/>
    </xf>
    <xf numFmtId="191" fontId="8" fillId="0" borderId="0" xfId="38" applyFont="1" applyBorder="1" applyAlignment="1">
      <alignment vertical="center"/>
      <protection locked="0"/>
    </xf>
    <xf numFmtId="191" fontId="6" fillId="3" borderId="2" xfId="38" applyFont="1" applyFill="1" applyBorder="1" applyAlignment="1">
      <alignment horizontal="center" vertical="center" wrapText="1"/>
      <protection locked="0"/>
    </xf>
    <xf numFmtId="0" fontId="8" fillId="0" borderId="2" xfId="60" applyFont="1" applyBorder="1" applyAlignment="1">
      <alignment horizontal="left" vertical="center" wrapText="1"/>
      <protection locked="0"/>
    </xf>
    <xf numFmtId="0" fontId="8" fillId="0" borderId="2" xfId="60" applyFont="1" applyBorder="1" applyAlignment="1">
      <alignment horizontal="center" vertical="center" wrapText="1"/>
      <protection locked="0"/>
    </xf>
    <xf numFmtId="0" fontId="6" fillId="0" borderId="2" xfId="60" applyFont="1" applyBorder="1" applyAlignment="1">
      <alignment horizontal="center" vertical="center" wrapText="1"/>
      <protection locked="0"/>
    </xf>
    <xf numFmtId="191" fontId="34" fillId="0" borderId="2" xfId="59" applyFont="1" applyFill="1" applyBorder="1" applyAlignment="1">
      <alignment vertical="center" wrapText="1"/>
      <protection locked="0"/>
    </xf>
    <xf numFmtId="191" fontId="18" fillId="0" borderId="2" xfId="58" applyFont="1" applyFill="1" applyBorder="1" applyAlignment="1">
      <alignment horizontal="center" vertical="center" wrapText="1"/>
    </xf>
    <xf numFmtId="191" fontId="20" fillId="0" borderId="2" xfId="58" applyFont="1" applyFill="1" applyBorder="1" applyAlignment="1">
      <alignment horizontal="center" vertical="center" wrapText="1"/>
    </xf>
    <xf numFmtId="191" fontId="8" fillId="0" borderId="2" xfId="58" applyFont="1" applyFill="1" applyBorder="1" applyAlignment="1" applyProtection="1">
      <alignment horizontal="center" vertical="center"/>
      <protection locked="0"/>
    </xf>
    <xf numFmtId="191" fontId="8" fillId="0" borderId="2" xfId="61" applyFont="1" applyBorder="1" applyAlignment="1">
      <alignment horizontal="left" vertical="center" wrapText="1"/>
      <protection locked="0"/>
    </xf>
    <xf numFmtId="191" fontId="8" fillId="0" borderId="2" xfId="40" applyFont="1" applyBorder="1" applyAlignment="1">
      <alignment horizontal="left" vertical="center" wrapText="1"/>
      <protection locked="0"/>
    </xf>
    <xf numFmtId="191" fontId="15" fillId="0" borderId="2" xfId="38" applyFont="1" applyBorder="1" applyAlignment="1">
      <alignment horizontal="center" vertical="center"/>
      <protection locked="0"/>
    </xf>
    <xf numFmtId="191" fontId="15" fillId="0" borderId="2" xfId="38" applyFont="1" applyBorder="1" applyAlignment="1">
      <alignment horizontal="center" vertical="center" wrapText="1"/>
      <protection locked="0"/>
    </xf>
    <xf numFmtId="191" fontId="15" fillId="0" borderId="2" xfId="38" applyFont="1" applyBorder="1" applyAlignment="1">
      <alignment vertical="center" wrapText="1"/>
      <protection locked="0"/>
    </xf>
    <xf numFmtId="191" fontId="19" fillId="0" borderId="2" xfId="38" applyFont="1" applyBorder="1" applyAlignment="1">
      <alignment horizontal="center" vertical="center"/>
      <protection locked="0"/>
    </xf>
    <xf numFmtId="191" fontId="3" fillId="0" borderId="2" xfId="38" applyFont="1" applyBorder="1" applyAlignment="1">
      <alignment vertical="center"/>
      <protection locked="0"/>
    </xf>
    <xf numFmtId="9" fontId="3" fillId="0" borderId="2" xfId="4" applyFont="1" applyBorder="1" applyAlignment="1" applyProtection="1">
      <alignment vertical="center"/>
      <protection locked="0"/>
    </xf>
    <xf numFmtId="196" fontId="3" fillId="0" borderId="2" xfId="38" applyNumberFormat="1" applyFont="1" applyBorder="1" applyAlignment="1">
      <alignment vertical="center"/>
      <protection locked="0"/>
    </xf>
    <xf numFmtId="191" fontId="19" fillId="0" borderId="0" xfId="38" applyFont="1" applyBorder="1" applyAlignment="1">
      <alignment horizontal="center" vertical="center"/>
      <protection locked="0"/>
    </xf>
    <xf numFmtId="9" fontId="3" fillId="0" borderId="0" xfId="4" applyFont="1" applyBorder="1" applyAlignment="1" applyProtection="1">
      <alignment vertical="center"/>
      <protection locked="0"/>
    </xf>
    <xf numFmtId="196" fontId="3" fillId="0" borderId="0" xfId="38" applyNumberFormat="1" applyFont="1" applyBorder="1" applyAlignment="1">
      <alignment vertical="center"/>
      <protection locked="0"/>
    </xf>
    <xf numFmtId="10" fontId="11" fillId="7" borderId="2" xfId="4" applyNumberFormat="1" applyFont="1" applyFill="1" applyBorder="1" applyAlignment="1">
      <alignment horizontal="right" vertical="center"/>
    </xf>
    <xf numFmtId="43" fontId="11" fillId="7" borderId="2" xfId="2" applyFont="1" applyFill="1" applyBorder="1" applyAlignment="1">
      <alignment horizontal="right" vertical="center"/>
    </xf>
    <xf numFmtId="195" fontId="4" fillId="7" borderId="2" xfId="4" applyNumberFormat="1" applyFont="1" applyFill="1" applyBorder="1" applyAlignment="1">
      <alignment horizontal="center" vertical="center"/>
    </xf>
    <xf numFmtId="43" fontId="4" fillId="7" borderId="2" xfId="2" applyFont="1" applyFill="1" applyBorder="1" applyAlignment="1">
      <alignment vertical="center"/>
    </xf>
    <xf numFmtId="194" fontId="30" fillId="7" borderId="2" xfId="48" applyNumberFormat="1" applyFont="1" applyFill="1" applyBorder="1" applyAlignment="1">
      <alignment horizontal="left" vertical="center" shrinkToFit="1"/>
    </xf>
    <xf numFmtId="191" fontId="5" fillId="7" borderId="0" xfId="38" applyFont="1" applyFill="1" applyAlignment="1">
      <alignment vertical="center"/>
      <protection locked="0"/>
    </xf>
    <xf numFmtId="43" fontId="26" fillId="7" borderId="2" xfId="2" applyFont="1" applyFill="1" applyBorder="1" applyAlignment="1">
      <alignment vertical="center"/>
    </xf>
    <xf numFmtId="191" fontId="3" fillId="7" borderId="0" xfId="38" applyFont="1" applyFill="1" applyAlignment="1">
      <alignment vertical="center"/>
      <protection locked="0"/>
    </xf>
    <xf numFmtId="43" fontId="75" fillId="0" borderId="0" xfId="52" applyNumberFormat="1" applyFont="1" applyBorder="1" applyAlignment="1">
      <alignment vertical="center"/>
    </xf>
    <xf numFmtId="43" fontId="65" fillId="0" borderId="0" xfId="52" applyNumberFormat="1" applyFont="1" applyBorder="1" applyAlignment="1">
      <alignment vertical="center"/>
    </xf>
    <xf numFmtId="191" fontId="3" fillId="0" borderId="0" xfId="38" applyFont="1" applyAlignment="1" applyProtection="1">
      <alignment horizontal="left" vertical="center"/>
    </xf>
    <xf numFmtId="43" fontId="4" fillId="0" borderId="2" xfId="2" applyFont="1" applyFill="1" applyBorder="1" applyAlignment="1">
      <alignment vertical="center"/>
    </xf>
    <xf numFmtId="194" fontId="3" fillId="7" borderId="2" xfId="48" applyNumberFormat="1" applyFont="1" applyFill="1" applyBorder="1" applyAlignment="1">
      <alignment horizontal="left" vertical="center" shrinkToFit="1"/>
    </xf>
    <xf numFmtId="194" fontId="4" fillId="7" borderId="2" xfId="48" applyNumberFormat="1" applyFont="1" applyFill="1" applyBorder="1" applyAlignment="1">
      <alignment horizontal="left" vertical="center" shrinkToFit="1"/>
    </xf>
    <xf numFmtId="10" fontId="13" fillId="7" borderId="2" xfId="4" applyNumberFormat="1" applyFont="1" applyFill="1" applyBorder="1" applyAlignment="1">
      <alignment horizontal="right" vertical="center"/>
    </xf>
    <xf numFmtId="191" fontId="4" fillId="7" borderId="2" xfId="37" applyFont="1" applyFill="1" applyBorder="1" applyAlignment="1">
      <alignment horizontal="center" vertical="center" wrapText="1"/>
    </xf>
    <xf numFmtId="191" fontId="9" fillId="0" borderId="0" xfId="3" applyFont="1" applyAlignment="1">
      <alignment vertical="center"/>
      <protection locked="0"/>
    </xf>
    <xf numFmtId="191" fontId="11" fillId="0" borderId="0" xfId="0" applyFont="1" applyAlignment="1">
      <alignment horizontal="left" vertical="center"/>
    </xf>
    <xf numFmtId="0" fontId="3" fillId="0" borderId="2" xfId="38" applyNumberFormat="1" applyFont="1" applyBorder="1" applyAlignment="1">
      <alignment horizontal="center" vertical="center"/>
      <protection locked="0"/>
    </xf>
    <xf numFmtId="191" fontId="4" fillId="7" borderId="3" xfId="38" applyFont="1" applyFill="1" applyBorder="1" applyAlignment="1">
      <alignment horizontal="centerContinuous" vertical="center"/>
      <protection locked="0"/>
    </xf>
    <xf numFmtId="191" fontId="4" fillId="7" borderId="5" xfId="38" applyFont="1" applyFill="1" applyBorder="1" applyAlignment="1">
      <alignment horizontal="centerContinuous" vertical="center"/>
      <protection locked="0"/>
    </xf>
    <xf numFmtId="0" fontId="4" fillId="7" borderId="5" xfId="38" applyNumberFormat="1" applyFont="1" applyFill="1" applyBorder="1" applyAlignment="1">
      <alignment horizontal="centerContinuous" vertical="center"/>
      <protection locked="0"/>
    </xf>
    <xf numFmtId="191" fontId="4" fillId="7" borderId="6" xfId="38" applyFont="1" applyFill="1" applyBorder="1" applyAlignment="1">
      <alignment horizontal="centerContinuous" vertical="center"/>
      <protection locked="0"/>
    </xf>
    <xf numFmtId="191" fontId="25" fillId="0" borderId="0" xfId="62" applyFont="1" applyAlignment="1">
      <alignment horizontal="left" vertical="center"/>
    </xf>
    <xf numFmtId="191" fontId="65" fillId="0" borderId="0" xfId="51" applyFont="1" applyAlignment="1">
      <alignment vertical="center" wrapText="1"/>
    </xf>
    <xf numFmtId="49" fontId="3" fillId="0" borderId="5" xfId="38" applyNumberFormat="1" applyFont="1" applyBorder="1" applyAlignment="1">
      <alignment horizontal="center" vertical="center"/>
      <protection locked="0"/>
    </xf>
    <xf numFmtId="14" fontId="3" fillId="0" borderId="5" xfId="38" applyNumberFormat="1" applyFont="1" applyBorder="1" applyAlignment="1">
      <alignment horizontal="center" vertical="center"/>
      <protection locked="0"/>
    </xf>
    <xf numFmtId="43" fontId="3" fillId="0" borderId="5" xfId="38" applyNumberFormat="1" applyFont="1" applyBorder="1" applyAlignment="1">
      <alignment horizontal="center" vertical="center"/>
      <protection locked="0"/>
    </xf>
    <xf numFmtId="43" fontId="3" fillId="0" borderId="6" xfId="38" applyNumberFormat="1" applyFont="1" applyBorder="1" applyAlignment="1">
      <alignment horizontal="center" vertical="center"/>
      <protection locked="0"/>
    </xf>
    <xf numFmtId="191" fontId="6" fillId="0" borderId="0" xfId="38" applyFont="1" applyBorder="1" applyAlignment="1">
      <alignment vertical="center"/>
      <protection locked="0"/>
    </xf>
    <xf numFmtId="191" fontId="3" fillId="0" borderId="0" xfId="51" applyFont="1" applyBorder="1" applyAlignment="1">
      <alignment horizontal="left" vertical="center"/>
    </xf>
    <xf numFmtId="191" fontId="68" fillId="0" borderId="0" xfId="51" applyFont="1" applyBorder="1" applyAlignment="1">
      <alignment horizontal="left" vertical="center"/>
    </xf>
    <xf numFmtId="191" fontId="3" fillId="0" borderId="0" xfId="62" applyFont="1" applyBorder="1" applyAlignment="1" applyProtection="1">
      <protection locked="0"/>
    </xf>
    <xf numFmtId="191" fontId="21" fillId="0" borderId="0" xfId="40" applyBorder="1">
      <protection locked="0"/>
    </xf>
    <xf numFmtId="191" fontId="3" fillId="0" borderId="0" xfId="51" applyFont="1" applyBorder="1" applyAlignment="1" applyProtection="1">
      <alignment vertical="center"/>
      <protection locked="0"/>
    </xf>
    <xf numFmtId="191" fontId="8" fillId="0" borderId="0" xfId="51" applyFont="1" applyBorder="1" applyAlignment="1">
      <alignment horizontal="left" vertical="center"/>
    </xf>
    <xf numFmtId="191" fontId="6" fillId="0" borderId="0" xfId="51" applyFont="1" applyBorder="1" applyAlignment="1">
      <alignment vertical="center"/>
    </xf>
    <xf numFmtId="191" fontId="9" fillId="0" borderId="0" xfId="51" applyFont="1" applyBorder="1" applyAlignment="1" applyProtection="1">
      <alignment horizontal="center" vertical="center"/>
      <protection hidden="1"/>
    </xf>
    <xf numFmtId="191" fontId="3" fillId="0" borderId="0" xfId="51" applyFont="1" applyBorder="1" applyAlignment="1" applyProtection="1">
      <alignment horizontal="left" vertical="center"/>
      <protection hidden="1"/>
    </xf>
    <xf numFmtId="191" fontId="19" fillId="0" borderId="0" xfId="62" applyFont="1" applyFill="1" applyBorder="1" applyAlignment="1" applyProtection="1">
      <alignment horizontal="left" vertical="center"/>
      <protection locked="0"/>
    </xf>
    <xf numFmtId="191" fontId="6" fillId="7" borderId="2" xfId="40" applyFont="1" applyFill="1" applyBorder="1" applyAlignment="1">
      <alignment horizontal="center" vertical="center"/>
      <protection locked="0"/>
    </xf>
    <xf numFmtId="0" fontId="4" fillId="7" borderId="2" xfId="62" applyNumberFormat="1" applyFont="1" applyFill="1" applyBorder="1" applyAlignment="1" applyProtection="1">
      <alignment horizontal="center" vertical="center"/>
      <protection locked="0"/>
    </xf>
    <xf numFmtId="191" fontId="3" fillId="0" borderId="2" xfId="62" applyFont="1" applyBorder="1" applyAlignment="1" applyProtection="1">
      <alignment horizontal="center" vertical="center"/>
      <protection locked="0"/>
    </xf>
    <xf numFmtId="49" fontId="3" fillId="0" borderId="2" xfId="40" applyNumberFormat="1" applyFont="1" applyBorder="1" applyAlignment="1">
      <alignment horizontal="center" vertical="center"/>
      <protection locked="0"/>
    </xf>
    <xf numFmtId="49" fontId="3" fillId="0" borderId="2" xfId="40" applyNumberFormat="1" applyFont="1" applyBorder="1" applyAlignment="1">
      <alignment vertical="center"/>
      <protection locked="0"/>
    </xf>
    <xf numFmtId="191" fontId="4" fillId="3" borderId="2" xfId="38" applyFont="1" applyFill="1" applyBorder="1" applyAlignment="1">
      <alignment horizontal="left" vertical="center"/>
      <protection locked="0"/>
    </xf>
    <xf numFmtId="43" fontId="4" fillId="3" borderId="2" xfId="2" applyFont="1" applyFill="1" applyBorder="1" applyAlignment="1" applyProtection="1">
      <alignment horizontal="left" vertical="center"/>
      <protection locked="0"/>
    </xf>
    <xf numFmtId="49" fontId="4" fillId="3" borderId="2" xfId="40" applyNumberFormat="1" applyFont="1" applyFill="1" applyBorder="1" applyAlignment="1">
      <alignment horizontal="center" vertical="center"/>
      <protection locked="0"/>
    </xf>
    <xf numFmtId="191" fontId="4" fillId="3" borderId="2" xfId="62" applyFont="1" applyFill="1" applyBorder="1" applyAlignment="1" applyProtection="1">
      <alignment horizontal="center" vertical="center"/>
      <protection locked="0"/>
    </xf>
    <xf numFmtId="49" fontId="4" fillId="3" borderId="2" xfId="40" applyNumberFormat="1" applyFont="1" applyFill="1" applyBorder="1" applyAlignment="1">
      <alignment vertical="center"/>
      <protection locked="0"/>
    </xf>
    <xf numFmtId="191" fontId="4" fillId="3" borderId="0" xfId="38" applyFont="1" applyFill="1" applyAlignment="1">
      <alignment vertical="center"/>
      <protection locked="0"/>
    </xf>
    <xf numFmtId="191" fontId="11" fillId="0" borderId="11" xfId="0" applyFont="1" applyBorder="1" applyAlignment="1">
      <alignment horizontal="center" vertical="center"/>
    </xf>
    <xf numFmtId="191" fontId="38" fillId="0" borderId="11" xfId="3" quotePrefix="1" applyFont="1" applyBorder="1" applyAlignment="1" applyProtection="1">
      <alignment vertical="center"/>
    </xf>
    <xf numFmtId="191" fontId="8" fillId="4" borderId="0" xfId="0" applyFont="1" applyFill="1" applyBorder="1" applyAlignment="1" applyProtection="1">
      <alignment horizontal="justify" vertical="center" wrapText="1"/>
      <protection locked="0"/>
    </xf>
    <xf numFmtId="43" fontId="19" fillId="0" borderId="2" xfId="2" applyFont="1" applyFill="1" applyBorder="1" applyAlignment="1">
      <alignment vertical="center"/>
    </xf>
    <xf numFmtId="191" fontId="23" fillId="7" borderId="2" xfId="40" applyFont="1" applyFill="1" applyBorder="1" applyAlignment="1" applyProtection="1">
      <alignment vertical="center"/>
    </xf>
    <xf numFmtId="191" fontId="23" fillId="7" borderId="2" xfId="40" applyFont="1" applyFill="1" applyBorder="1" applyAlignment="1" applyProtection="1">
      <alignment vertical="center" wrapText="1"/>
    </xf>
    <xf numFmtId="191" fontId="6" fillId="7" borderId="2" xfId="45" applyFont="1" applyFill="1" applyBorder="1" applyAlignment="1" applyProtection="1">
      <alignment horizontal="center" vertical="center" wrapText="1"/>
      <protection locked="0"/>
    </xf>
    <xf numFmtId="191" fontId="24" fillId="7" borderId="2" xfId="45" applyFont="1" applyFill="1" applyBorder="1" applyAlignment="1" applyProtection="1">
      <alignment horizontal="center" vertical="center" wrapText="1"/>
      <protection locked="0"/>
    </xf>
    <xf numFmtId="191" fontId="21" fillId="7" borderId="0" xfId="40" applyFill="1">
      <protection locked="0"/>
    </xf>
    <xf numFmtId="14" fontId="3" fillId="0" borderId="2" xfId="38" applyNumberFormat="1" applyFont="1" applyFill="1" applyBorder="1" applyAlignment="1">
      <alignment vertical="center"/>
      <protection locked="0"/>
    </xf>
    <xf numFmtId="43" fontId="3" fillId="7" borderId="2" xfId="2" applyFont="1" applyFill="1" applyBorder="1" applyAlignment="1">
      <alignment vertical="center" shrinkToFit="1"/>
    </xf>
    <xf numFmtId="191" fontId="3" fillId="0" borderId="0" xfId="51" applyFont="1" applyFill="1" applyAlignment="1">
      <alignment vertical="center"/>
    </xf>
    <xf numFmtId="191" fontId="18" fillId="0" borderId="0" xfId="51" applyFont="1" applyFill="1" applyAlignment="1">
      <alignment vertical="center"/>
    </xf>
    <xf numFmtId="191" fontId="8" fillId="0" borderId="0" xfId="51" applyFont="1" applyFill="1" applyAlignment="1">
      <alignment vertical="center"/>
    </xf>
    <xf numFmtId="191" fontId="3" fillId="0" borderId="0" xfId="51" applyFont="1" applyFill="1" applyAlignment="1" applyProtection="1">
      <alignment vertical="center"/>
      <protection locked="0"/>
    </xf>
    <xf numFmtId="191" fontId="19" fillId="0" borderId="2" xfId="38" applyFont="1" applyBorder="1" applyAlignment="1">
      <alignment horizontal="center" vertical="center" wrapText="1"/>
      <protection locked="0"/>
    </xf>
    <xf numFmtId="191" fontId="6" fillId="7" borderId="2" xfId="40" applyFont="1" applyFill="1" applyBorder="1" applyAlignment="1">
      <alignment horizontal="center" vertical="center" wrapText="1"/>
      <protection locked="0"/>
    </xf>
    <xf numFmtId="191" fontId="3" fillId="0" borderId="2" xfId="38" applyFont="1" applyBorder="1" applyAlignment="1">
      <alignment horizontal="center" vertical="center" wrapText="1"/>
      <protection locked="0"/>
    </xf>
    <xf numFmtId="191" fontId="23" fillId="7" borderId="2" xfId="0" applyFont="1" applyFill="1" applyBorder="1" applyAlignment="1">
      <alignment horizontal="center" vertical="center"/>
    </xf>
    <xf numFmtId="43" fontId="4" fillId="7" borderId="0" xfId="52" applyNumberFormat="1" applyFont="1" applyFill="1" applyBorder="1" applyAlignment="1">
      <alignment vertical="center"/>
    </xf>
    <xf numFmtId="191" fontId="13" fillId="7" borderId="2" xfId="0" applyFont="1" applyFill="1" applyBorder="1" applyAlignment="1">
      <alignment horizontal="center" vertical="center"/>
    </xf>
    <xf numFmtId="43" fontId="3" fillId="7" borderId="2" xfId="2" applyFont="1" applyFill="1" applyBorder="1" applyAlignment="1">
      <alignment horizontal="right" vertical="center" wrapText="1"/>
    </xf>
    <xf numFmtId="10" fontId="3" fillId="7" borderId="2" xfId="4" applyNumberFormat="1" applyFont="1" applyFill="1" applyBorder="1" applyAlignment="1">
      <alignment horizontal="right" vertical="center" wrapText="1"/>
    </xf>
    <xf numFmtId="191" fontId="35" fillId="0" borderId="0" xfId="0" applyFont="1" applyAlignment="1" applyProtection="1">
      <alignment horizontal="center" vertical="center"/>
      <protection locked="0"/>
    </xf>
    <xf numFmtId="191" fontId="65" fillId="0" borderId="0" xfId="64" applyFont="1" applyFill="1" applyAlignment="1">
      <alignment horizontal="left" vertical="center"/>
    </xf>
    <xf numFmtId="191" fontId="65" fillId="0" borderId="0" xfId="51" applyFont="1" applyAlignment="1">
      <alignment horizontal="left" vertical="center"/>
    </xf>
    <xf numFmtId="191" fontId="3" fillId="0" borderId="0" xfId="38" applyFont="1" applyBorder="1" applyAlignment="1">
      <alignment horizontal="center" vertical="center"/>
      <protection locked="0"/>
    </xf>
    <xf numFmtId="191" fontId="3" fillId="0" borderId="0" xfId="38" applyFont="1" applyBorder="1" applyAlignment="1">
      <alignment horizontal="left" vertical="center"/>
      <protection locked="0"/>
    </xf>
    <xf numFmtId="10" fontId="4" fillId="3" borderId="2" xfId="4" applyNumberFormat="1" applyFont="1" applyFill="1" applyBorder="1" applyAlignment="1" applyProtection="1">
      <alignment horizontal="right" vertical="center"/>
      <protection locked="0"/>
    </xf>
    <xf numFmtId="195" fontId="4" fillId="7" borderId="0" xfId="4" applyNumberFormat="1" applyFont="1" applyFill="1" applyBorder="1" applyAlignment="1">
      <alignment horizontal="center" vertical="center"/>
    </xf>
    <xf numFmtId="43" fontId="4" fillId="7" borderId="0" xfId="2" applyFont="1" applyFill="1" applyBorder="1" applyAlignment="1">
      <alignment vertical="center"/>
    </xf>
    <xf numFmtId="194" fontId="6" fillId="7" borderId="2" xfId="48" applyNumberFormat="1" applyFont="1" applyFill="1" applyBorder="1" applyAlignment="1">
      <alignment horizontal="center" vertical="center" shrinkToFit="1"/>
    </xf>
    <xf numFmtId="10" fontId="23" fillId="7" borderId="2" xfId="4" applyNumberFormat="1" applyFont="1" applyFill="1" applyBorder="1" applyAlignment="1">
      <alignment horizontal="center" vertical="center"/>
    </xf>
    <xf numFmtId="195" fontId="4" fillId="0" borderId="2" xfId="4" applyNumberFormat="1" applyFont="1" applyFill="1" applyBorder="1" applyAlignment="1">
      <alignment horizontal="center" vertical="center"/>
    </xf>
    <xf numFmtId="195" fontId="4" fillId="0" borderId="0" xfId="4" applyNumberFormat="1" applyFont="1" applyFill="1" applyBorder="1" applyAlignment="1">
      <alignment horizontal="center" vertical="center"/>
    </xf>
    <xf numFmtId="43" fontId="4" fillId="0" borderId="0" xfId="2" applyFont="1" applyFill="1" applyBorder="1" applyAlignment="1">
      <alignment vertical="center"/>
    </xf>
    <xf numFmtId="43" fontId="11" fillId="0" borderId="2" xfId="4" applyNumberFormat="1" applyFont="1" applyFill="1" applyBorder="1" applyAlignment="1">
      <alignment horizontal="right" vertical="center"/>
    </xf>
    <xf numFmtId="10" fontId="69" fillId="7" borderId="2" xfId="4" applyNumberFormat="1" applyFont="1" applyFill="1" applyBorder="1" applyAlignment="1">
      <alignment horizontal="center" vertical="center"/>
    </xf>
    <xf numFmtId="10" fontId="11" fillId="0" borderId="2" xfId="4" applyNumberFormat="1" applyFont="1" applyFill="1" applyBorder="1" applyAlignment="1">
      <alignment horizontal="right" vertical="center"/>
    </xf>
    <xf numFmtId="194" fontId="8" fillId="0" borderId="2" xfId="48" applyNumberFormat="1" applyFont="1" applyFill="1" applyBorder="1" applyAlignment="1">
      <alignment horizontal="left" vertical="center" shrinkToFit="1"/>
    </xf>
    <xf numFmtId="194" fontId="6" fillId="0" borderId="0" xfId="48" applyNumberFormat="1" applyFont="1" applyFill="1" applyBorder="1" applyAlignment="1">
      <alignment horizontal="left" vertical="center"/>
    </xf>
    <xf numFmtId="10" fontId="13" fillId="0" borderId="0" xfId="4" applyNumberFormat="1" applyFont="1" applyFill="1" applyBorder="1" applyAlignment="1">
      <alignment horizontal="right" vertical="center"/>
    </xf>
    <xf numFmtId="191" fontId="4" fillId="0" borderId="0" xfId="38" applyFont="1" applyFill="1" applyAlignment="1">
      <alignment vertical="center"/>
      <protection locked="0"/>
    </xf>
    <xf numFmtId="0" fontId="26" fillId="0" borderId="0" xfId="60" applyFont="1" applyAlignment="1">
      <alignment vertical="center"/>
      <protection locked="0"/>
    </xf>
    <xf numFmtId="191" fontId="81" fillId="0" borderId="0" xfId="38" applyFont="1" applyAlignment="1">
      <alignment horizontal="left" vertical="center"/>
      <protection locked="0"/>
    </xf>
    <xf numFmtId="0" fontId="65" fillId="0" borderId="0" xfId="60" applyFont="1" applyAlignment="1">
      <alignment horizontal="left"/>
      <protection locked="0"/>
    </xf>
    <xf numFmtId="191" fontId="37" fillId="0" borderId="0" xfId="0" applyFont="1" applyAlignment="1">
      <alignment horizontal="center" vertical="center"/>
    </xf>
    <xf numFmtId="191" fontId="2" fillId="0" borderId="0" xfId="0" applyFont="1" applyAlignment="1" applyProtection="1">
      <alignment horizontal="left" vertical="center" wrapText="1"/>
      <protection locked="0"/>
    </xf>
    <xf numFmtId="191" fontId="5" fillId="0" borderId="0" xfId="0" applyFont="1" applyAlignment="1" applyProtection="1">
      <alignment horizontal="left" vertical="center" wrapText="1"/>
      <protection locked="0"/>
    </xf>
    <xf numFmtId="49" fontId="6" fillId="7" borderId="2" xfId="38" applyNumberFormat="1" applyFont="1" applyFill="1" applyBorder="1" applyAlignment="1">
      <alignment horizontal="center" vertical="center"/>
      <protection locked="0"/>
    </xf>
    <xf numFmtId="191" fontId="6" fillId="7" borderId="2" xfId="58" applyFont="1" applyFill="1" applyBorder="1" applyAlignment="1" applyProtection="1">
      <alignment horizontal="center" vertical="center" wrapText="1"/>
      <protection locked="0"/>
    </xf>
    <xf numFmtId="191" fontId="6" fillId="7" borderId="2" xfId="38" applyFont="1" applyFill="1" applyBorder="1" applyAlignment="1">
      <alignment horizontal="center" vertical="center" wrapText="1"/>
      <protection locked="0"/>
    </xf>
    <xf numFmtId="191" fontId="20" fillId="7" borderId="2" xfId="38" applyFont="1" applyFill="1" applyBorder="1" applyAlignment="1">
      <alignment horizontal="center" vertical="center"/>
      <protection locked="0"/>
    </xf>
    <xf numFmtId="191" fontId="6" fillId="7" borderId="2" xfId="40" applyFont="1" applyFill="1" applyBorder="1" applyAlignment="1">
      <alignment horizontal="center" vertical="center" wrapText="1"/>
      <protection locked="0"/>
    </xf>
    <xf numFmtId="191" fontId="7" fillId="0" borderId="0" xfId="49" applyFont="1" applyAlignment="1">
      <alignment horizontal="center" vertical="center"/>
    </xf>
    <xf numFmtId="191" fontId="35" fillId="0" borderId="0" xfId="49" applyFont="1" applyAlignment="1">
      <alignment horizontal="center" vertical="center"/>
    </xf>
    <xf numFmtId="191" fontId="6" fillId="0" borderId="0" xfId="40" applyFont="1" applyAlignment="1">
      <alignment horizontal="left" vertical="center"/>
      <protection locked="0"/>
    </xf>
    <xf numFmtId="191" fontId="6" fillId="0" borderId="0" xfId="38" applyFont="1" applyAlignment="1">
      <alignment horizontal="left" vertical="center"/>
      <protection locked="0"/>
    </xf>
    <xf numFmtId="191" fontId="4" fillId="0" borderId="0" xfId="38" applyFont="1" applyAlignment="1">
      <alignment horizontal="left" vertical="center"/>
      <protection locked="0"/>
    </xf>
    <xf numFmtId="191" fontId="3" fillId="0" borderId="2" xfId="38" applyFont="1" applyBorder="1" applyAlignment="1">
      <alignment horizontal="left" vertical="center" wrapText="1"/>
      <protection locked="0"/>
    </xf>
    <xf numFmtId="191" fontId="8" fillId="0" borderId="2" xfId="38" applyFont="1" applyBorder="1" applyAlignment="1">
      <alignment horizontal="center" vertical="center" wrapText="1"/>
      <protection locked="0"/>
    </xf>
    <xf numFmtId="191" fontId="4" fillId="7" borderId="2" xfId="38" applyFont="1" applyFill="1" applyBorder="1" applyAlignment="1">
      <alignment horizontal="center" vertical="center" wrapText="1"/>
      <protection locked="0"/>
    </xf>
    <xf numFmtId="10" fontId="27" fillId="0" borderId="0" xfId="4" applyNumberFormat="1" applyFont="1" applyBorder="1" applyAlignment="1">
      <alignment horizontal="left" vertical="center"/>
    </xf>
    <xf numFmtId="191" fontId="13" fillId="2" borderId="2" xfId="0" applyFont="1" applyFill="1" applyBorder="1" applyAlignment="1">
      <alignment horizontal="center" vertical="center"/>
    </xf>
    <xf numFmtId="191" fontId="13" fillId="2" borderId="2" xfId="0" applyFont="1" applyFill="1" applyBorder="1">
      <alignment vertical="center"/>
    </xf>
    <xf numFmtId="191" fontId="23" fillId="2" borderId="2" xfId="0" applyFont="1" applyFill="1" applyBorder="1" applyAlignment="1">
      <alignment horizontal="center" vertical="center"/>
    </xf>
    <xf numFmtId="191" fontId="11" fillId="2" borderId="2" xfId="0" applyFont="1" applyFill="1" applyBorder="1">
      <alignment vertical="center"/>
    </xf>
    <xf numFmtId="43" fontId="7" fillId="0" borderId="0" xfId="52" applyNumberFormat="1" applyFont="1" applyBorder="1" applyAlignment="1">
      <alignment horizontal="center" vertical="center"/>
    </xf>
    <xf numFmtId="43" fontId="35" fillId="0" borderId="0" xfId="52" applyNumberFormat="1" applyFont="1" applyBorder="1" applyAlignment="1">
      <alignment horizontal="center" vertical="center"/>
    </xf>
    <xf numFmtId="191" fontId="6" fillId="2" borderId="3" xfId="43" applyFont="1" applyFill="1" applyBorder="1" applyAlignment="1" applyProtection="1">
      <alignment horizontal="center" vertical="center" wrapText="1"/>
      <protection locked="0"/>
    </xf>
    <xf numFmtId="191" fontId="4" fillId="2" borderId="5" xfId="43" applyFont="1" applyFill="1" applyBorder="1" applyAlignment="1" applyProtection="1">
      <alignment horizontal="center" vertical="center" wrapText="1"/>
      <protection locked="0"/>
    </xf>
    <xf numFmtId="191" fontId="4" fillId="2" borderId="6" xfId="43" applyFont="1" applyFill="1" applyBorder="1" applyAlignment="1" applyProtection="1">
      <alignment horizontal="center" vertical="center" wrapText="1"/>
      <protection locked="0"/>
    </xf>
    <xf numFmtId="191" fontId="23" fillId="2" borderId="2" xfId="41" applyFont="1" applyFill="1" applyBorder="1" applyAlignment="1">
      <alignment horizontal="center" vertical="center" wrapText="1"/>
      <protection locked="0"/>
    </xf>
    <xf numFmtId="191" fontId="6" fillId="2" borderId="2" xfId="41" applyFont="1" applyFill="1" applyBorder="1" applyAlignment="1">
      <alignment horizontal="center" vertical="center" wrapText="1"/>
      <protection locked="0"/>
    </xf>
    <xf numFmtId="191" fontId="7" fillId="0" borderId="0" xfId="50" applyFont="1" applyAlignment="1">
      <alignment horizontal="center" vertical="center"/>
    </xf>
    <xf numFmtId="43" fontId="73" fillId="0" borderId="0" xfId="52" applyNumberFormat="1" applyFont="1" applyBorder="1" applyAlignment="1">
      <alignment horizontal="center" vertical="center"/>
    </xf>
    <xf numFmtId="43" fontId="74" fillId="0" borderId="0" xfId="52" applyNumberFormat="1" applyFont="1" applyBorder="1" applyAlignment="1">
      <alignment horizontal="center" vertical="center"/>
    </xf>
    <xf numFmtId="191" fontId="28" fillId="0" borderId="0" xfId="40" applyFont="1" applyAlignment="1">
      <alignment horizontal="left" vertical="center" wrapText="1"/>
      <protection locked="0"/>
    </xf>
    <xf numFmtId="191" fontId="5" fillId="0" borderId="0" xfId="40" applyFont="1" applyAlignment="1">
      <alignment horizontal="left" vertical="center" wrapText="1"/>
      <protection locked="0"/>
    </xf>
    <xf numFmtId="191" fontId="73" fillId="0" borderId="0" xfId="49" applyFont="1" applyAlignment="1">
      <alignment horizontal="center" vertical="center"/>
    </xf>
    <xf numFmtId="191" fontId="74" fillId="0" borderId="0" xfId="49" applyFont="1" applyAlignment="1">
      <alignment horizontal="center" vertical="center"/>
    </xf>
    <xf numFmtId="191" fontId="7" fillId="0" borderId="0" xfId="38" applyFont="1" applyAlignment="1">
      <alignment horizontal="center" vertical="center"/>
      <protection locked="0"/>
    </xf>
    <xf numFmtId="191" fontId="2" fillId="0" borderId="0" xfId="38" applyFont="1" applyAlignment="1">
      <alignment horizontal="center" vertical="center"/>
      <protection locked="0"/>
    </xf>
    <xf numFmtId="191" fontId="35" fillId="0" borderId="0" xfId="38" applyFont="1" applyAlignment="1">
      <alignment horizontal="center" vertical="center"/>
      <protection locked="0"/>
    </xf>
    <xf numFmtId="191" fontId="74" fillId="0" borderId="0" xfId="38" applyFont="1" applyAlignment="1">
      <alignment horizontal="center" vertical="center"/>
      <protection locked="0"/>
    </xf>
    <xf numFmtId="191" fontId="65" fillId="0" borderId="0" xfId="51" applyFont="1" applyAlignment="1">
      <alignment horizontal="left" vertical="center" wrapText="1"/>
    </xf>
    <xf numFmtId="191" fontId="6" fillId="7" borderId="2" xfId="38" applyFont="1" applyFill="1" applyBorder="1" applyAlignment="1">
      <alignment horizontal="center" vertical="center"/>
      <protection locked="0"/>
    </xf>
    <xf numFmtId="191" fontId="4" fillId="7" borderId="2" xfId="38" applyFont="1" applyFill="1" applyBorder="1" applyAlignment="1">
      <alignment horizontal="center" vertical="center"/>
      <protection locked="0"/>
    </xf>
    <xf numFmtId="191" fontId="6" fillId="7" borderId="3" xfId="38" applyFont="1" applyFill="1" applyBorder="1" applyAlignment="1">
      <alignment horizontal="center" vertical="center"/>
      <protection locked="0"/>
    </xf>
    <xf numFmtId="191" fontId="6" fillId="7" borderId="5" xfId="38" applyFont="1" applyFill="1" applyBorder="1" applyAlignment="1">
      <alignment horizontal="center" vertical="center"/>
      <protection locked="0"/>
    </xf>
    <xf numFmtId="191" fontId="6" fillId="7" borderId="6" xfId="38" applyFont="1" applyFill="1" applyBorder="1" applyAlignment="1">
      <alignment horizontal="center" vertical="center"/>
      <protection locked="0"/>
    </xf>
    <xf numFmtId="191" fontId="3" fillId="0" borderId="0" xfId="51" applyFont="1" applyFill="1" applyAlignment="1">
      <alignment horizontal="left" vertical="center" wrapText="1"/>
    </xf>
    <xf numFmtId="14" fontId="6" fillId="3" borderId="2" xfId="38" applyNumberFormat="1" applyFont="1" applyFill="1" applyBorder="1" applyAlignment="1">
      <alignment horizontal="center" vertical="center"/>
      <protection locked="0"/>
    </xf>
    <xf numFmtId="43" fontId="4" fillId="3" borderId="3" xfId="2" applyFont="1" applyFill="1" applyBorder="1" applyAlignment="1" applyProtection="1">
      <alignment horizontal="left" vertical="center"/>
      <protection locked="0"/>
    </xf>
    <xf numFmtId="43" fontId="4" fillId="3" borderId="6" xfId="2" applyFont="1" applyFill="1" applyBorder="1" applyAlignment="1" applyProtection="1">
      <alignment horizontal="left" vertical="center"/>
      <protection locked="0"/>
    </xf>
    <xf numFmtId="49" fontId="26" fillId="0" borderId="3" xfId="40" applyNumberFormat="1" applyFont="1" applyBorder="1" applyAlignment="1">
      <alignment horizontal="left" vertical="center"/>
      <protection locked="0"/>
    </xf>
    <xf numFmtId="49" fontId="26" fillId="0" borderId="6" xfId="40" applyNumberFormat="1" applyFont="1" applyBorder="1" applyAlignment="1">
      <alignment horizontal="left" vertical="center"/>
      <protection locked="0"/>
    </xf>
    <xf numFmtId="43" fontId="4" fillId="3" borderId="2" xfId="2" applyFont="1" applyFill="1" applyBorder="1" applyAlignment="1" applyProtection="1">
      <alignment horizontal="center" vertical="center"/>
      <protection locked="0"/>
    </xf>
    <xf numFmtId="191" fontId="4" fillId="7" borderId="2" xfId="62" applyFont="1" applyFill="1" applyBorder="1" applyAlignment="1" applyProtection="1">
      <alignment horizontal="center" vertical="center"/>
      <protection locked="0"/>
    </xf>
    <xf numFmtId="191" fontId="6" fillId="9" borderId="2" xfId="63" applyFont="1" applyFill="1" applyBorder="1" applyAlignment="1" applyProtection="1">
      <alignment horizontal="center" vertical="center" wrapText="1"/>
    </xf>
    <xf numFmtId="191" fontId="6" fillId="7" borderId="2" xfId="59" applyFont="1" applyFill="1" applyBorder="1" applyAlignment="1">
      <alignment horizontal="center" vertical="center"/>
      <protection locked="0"/>
    </xf>
    <xf numFmtId="191" fontId="4" fillId="7" borderId="2" xfId="59" applyFont="1" applyFill="1" applyBorder="1" applyAlignment="1">
      <alignment horizontal="center" vertical="center"/>
      <protection locked="0"/>
    </xf>
    <xf numFmtId="191" fontId="6" fillId="7" borderId="2" xfId="59" applyFont="1" applyFill="1" applyBorder="1" applyAlignment="1">
      <alignment horizontal="center" vertical="center" wrapText="1"/>
      <protection locked="0"/>
    </xf>
    <xf numFmtId="191" fontId="6" fillId="7" borderId="2" xfId="40" applyFont="1" applyFill="1" applyBorder="1" applyAlignment="1">
      <alignment horizontal="center" vertical="center"/>
      <protection locked="0"/>
    </xf>
  </cellXfs>
  <cellStyles count="65">
    <cellStyle name="@_text" xfId="6"/>
    <cellStyle name="{Comma [0]}" xfId="10"/>
    <cellStyle name="{Comma}" xfId="12"/>
    <cellStyle name="{Date}" xfId="7"/>
    <cellStyle name="{Month}" xfId="18"/>
    <cellStyle name="{Percent}" xfId="20"/>
    <cellStyle name="{Thousand [0]}" xfId="19"/>
    <cellStyle name="{Thousand}" xfId="16"/>
    <cellStyle name="{Z'0000(1 dec)}" xfId="5"/>
    <cellStyle name="{Z'0000(4 dec)}" xfId="15"/>
    <cellStyle name="Black" xfId="11"/>
    <cellStyle name="Border" xfId="21"/>
    <cellStyle name="Comma [0]_1995" xfId="9"/>
    <cellStyle name="Comma_1995" xfId="8"/>
    <cellStyle name="Currency [0]_1995" xfId="14"/>
    <cellStyle name="Currency_1995" xfId="22"/>
    <cellStyle name="Dezimal [0]_laroux" xfId="23"/>
    <cellStyle name="Dezimal_laroux" xfId="24"/>
    <cellStyle name="Euro" xfId="25"/>
    <cellStyle name="Followed Hyperlink_AheadBehind.xls Chart 23" xfId="26"/>
    <cellStyle name="Grey" xfId="27"/>
    <cellStyle name="Hyperlink_AheadBehind.xls Chart 23" xfId="17"/>
    <cellStyle name="Input [yellow]" xfId="28"/>
    <cellStyle name="Milliers [0]_laroux" xfId="29"/>
    <cellStyle name="Milliers_laroux" xfId="30"/>
    <cellStyle name="Non défini" xfId="31"/>
    <cellStyle name="Normal - Style1" xfId="32"/>
    <cellStyle name="Normal_22-Jun EUS Forecasts" xfId="33"/>
    <cellStyle name="Percent [2]" xfId="34"/>
    <cellStyle name="Red" xfId="35"/>
    <cellStyle name="百分比" xfId="4" builtinId="5"/>
    <cellStyle name="百分比 2" xfId="36"/>
    <cellStyle name="常规" xfId="0" builtinId="0"/>
    <cellStyle name="常规 10 2" xfId="37"/>
    <cellStyle name="常规 11 5" xfId="64"/>
    <cellStyle name="常规 2" xfId="38"/>
    <cellStyle name="常规 2 2" xfId="59"/>
    <cellStyle name="常规 2 2 4" xfId="60"/>
    <cellStyle name="常规 2 3" xfId="39"/>
    <cellStyle name="常规 2 3 2" xfId="63"/>
    <cellStyle name="常规 2 8" xfId="40"/>
    <cellStyle name="常规 2 8 2" xfId="61"/>
    <cellStyle name="常规 3" xfId="41"/>
    <cellStyle name="常规 3 2" xfId="42"/>
    <cellStyle name="常规 4" xfId="43"/>
    <cellStyle name="常规 4 2" xfId="44"/>
    <cellStyle name="常规 4 2 2" xfId="45"/>
    <cellStyle name="常规 5" xfId="46"/>
    <cellStyle name="常规 6" xfId="62"/>
    <cellStyle name="常规 7" xfId="47"/>
    <cellStyle name="常规 7 2" xfId="58"/>
    <cellStyle name="常规_2-1项目审定表－模板" xfId="48"/>
    <cellStyle name="常规_Book1" xfId="49"/>
    <cellStyle name="常规_c-资产类" xfId="50"/>
    <cellStyle name="常规_进一步审计程序--销售与收款循环" xfId="51"/>
    <cellStyle name="常规_新审定表" xfId="52"/>
    <cellStyle name="常规_制造费用" xfId="53"/>
    <cellStyle name="超链接" xfId="3" builtinId="8"/>
    <cellStyle name="超链接 3 2" xfId="54"/>
    <cellStyle name="普通_ 外G9(3)" xfId="55"/>
    <cellStyle name="千分位[0]_宁波" xfId="1"/>
    <cellStyle name="千分位_宁波" xfId="56"/>
    <cellStyle name="千位[0]_laroux" xfId="13"/>
    <cellStyle name="千位_laroux" xfId="57"/>
    <cellStyle name="千位分隔" xfId="2" builtinId="3"/>
  </cellStyles>
  <dxfs count="10">
    <dxf>
      <font>
        <color indexed="10"/>
      </font>
    </dxf>
    <dxf>
      <font>
        <color indexed="10"/>
      </font>
    </dxf>
    <dxf>
      <font>
        <color indexed="12"/>
      </font>
    </dxf>
    <dxf>
      <font>
        <color indexed="12"/>
      </font>
    </dxf>
    <dxf>
      <font>
        <color indexed="10"/>
      </font>
    </dxf>
    <dxf>
      <font>
        <color indexed="10"/>
      </font>
    </dxf>
    <dxf>
      <font>
        <color indexed="10"/>
      </font>
    </dxf>
    <dxf>
      <font>
        <color indexed="10"/>
      </font>
    </dxf>
    <dxf>
      <font>
        <color indexed="12"/>
      </font>
    </dxf>
    <dxf>
      <font>
        <color indexed="12"/>
      </font>
    </dxf>
  </dxfs>
  <tableStyles count="0" defaultTableStyle="TableStyleMedium9"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0"/>
  <sheetViews>
    <sheetView tabSelected="1" workbookViewId="0"/>
  </sheetViews>
  <sheetFormatPr defaultColWidth="9.109375" defaultRowHeight="13.8"/>
  <cols>
    <col min="1" max="1" width="93.88671875" style="120" customWidth="1"/>
    <col min="2" max="2" width="5.6640625" style="121" customWidth="1"/>
    <col min="3" max="3" width="35.44140625" style="120" customWidth="1"/>
    <col min="4" max="4" width="8.5546875" style="121" customWidth="1"/>
    <col min="5" max="5" width="8.5546875" style="120" customWidth="1"/>
    <col min="6" max="16384" width="9.109375" style="120"/>
  </cols>
  <sheetData>
    <row r="1" spans="1:6" s="117" customFormat="1" ht="22.5" customHeight="1">
      <c r="A1" s="122" t="s">
        <v>0</v>
      </c>
      <c r="D1" s="209"/>
    </row>
    <row r="2" spans="1:6" s="118" customFormat="1" ht="22.5" customHeight="1">
      <c r="A2" s="190" t="s">
        <v>372</v>
      </c>
      <c r="B2" s="336" t="s">
        <v>1</v>
      </c>
      <c r="C2" s="336"/>
      <c r="D2" s="336"/>
      <c r="E2" s="336"/>
    </row>
    <row r="3" spans="1:6" s="119" customFormat="1" ht="22.5" customHeight="1">
      <c r="A3" s="191" t="s">
        <v>380</v>
      </c>
    </row>
    <row r="4" spans="1:6" ht="21" customHeight="1">
      <c r="A4" s="292" t="s">
        <v>373</v>
      </c>
      <c r="B4" s="123" t="s">
        <v>2</v>
      </c>
      <c r="C4" s="123" t="s">
        <v>226</v>
      </c>
      <c r="D4" s="123" t="s">
        <v>3</v>
      </c>
      <c r="E4" s="123" t="s">
        <v>4</v>
      </c>
    </row>
    <row r="5" spans="1:6" ht="21" customHeight="1">
      <c r="A5" s="292" t="s">
        <v>375</v>
      </c>
      <c r="B5" s="201">
        <v>1</v>
      </c>
      <c r="C5" s="156" t="s">
        <v>225</v>
      </c>
      <c r="D5" s="290" t="s">
        <v>166</v>
      </c>
      <c r="E5" s="124"/>
    </row>
    <row r="6" spans="1:6" ht="21" customHeight="1">
      <c r="A6" s="292" t="s">
        <v>374</v>
      </c>
      <c r="B6" s="201">
        <v>2</v>
      </c>
      <c r="C6" s="156" t="s">
        <v>163</v>
      </c>
      <c r="D6" s="290" t="s">
        <v>167</v>
      </c>
      <c r="E6" s="125"/>
    </row>
    <row r="7" spans="1:6" ht="21" customHeight="1">
      <c r="A7" s="292" t="s">
        <v>376</v>
      </c>
      <c r="B7" s="201">
        <v>3</v>
      </c>
      <c r="C7" s="155" t="s">
        <v>165</v>
      </c>
      <c r="D7" s="290"/>
      <c r="E7" s="124"/>
      <c r="F7" s="202" t="s">
        <v>224</v>
      </c>
    </row>
    <row r="8" spans="1:6" ht="21" customHeight="1">
      <c r="A8" s="190"/>
      <c r="B8" s="201">
        <v>4</v>
      </c>
      <c r="C8" s="155" t="s">
        <v>164</v>
      </c>
      <c r="D8" s="290"/>
      <c r="E8" s="124"/>
      <c r="F8" s="202" t="s">
        <v>223</v>
      </c>
    </row>
    <row r="9" spans="1:6" ht="21" customHeight="1">
      <c r="B9" s="201">
        <v>5</v>
      </c>
      <c r="C9" s="291" t="s">
        <v>353</v>
      </c>
      <c r="D9" s="290" t="s">
        <v>168</v>
      </c>
      <c r="E9" s="124"/>
    </row>
    <row r="10" spans="1:6" ht="21" customHeight="1">
      <c r="A10" s="313" t="s">
        <v>381</v>
      </c>
      <c r="B10" s="201">
        <v>6</v>
      </c>
      <c r="C10" s="291" t="s">
        <v>354</v>
      </c>
      <c r="D10" s="290" t="s">
        <v>169</v>
      </c>
      <c r="E10" s="126"/>
    </row>
    <row r="11" spans="1:6" ht="21" customHeight="1">
      <c r="A11" s="337" t="s">
        <v>382</v>
      </c>
      <c r="B11" s="201">
        <v>7</v>
      </c>
      <c r="C11" s="291" t="s">
        <v>355</v>
      </c>
      <c r="D11" s="290" t="s">
        <v>170</v>
      </c>
      <c r="E11" s="124"/>
    </row>
    <row r="12" spans="1:6" ht="21" customHeight="1">
      <c r="A12" s="337"/>
      <c r="B12" s="201">
        <v>8</v>
      </c>
      <c r="C12" s="291" t="s">
        <v>351</v>
      </c>
      <c r="D12" s="290" t="s">
        <v>171</v>
      </c>
      <c r="E12" s="124"/>
    </row>
    <row r="13" spans="1:6" ht="21" customHeight="1">
      <c r="A13" s="337"/>
      <c r="B13" s="201">
        <v>9</v>
      </c>
      <c r="C13" s="291" t="s">
        <v>352</v>
      </c>
      <c r="D13" s="290" t="s">
        <v>356</v>
      </c>
      <c r="E13" s="124"/>
    </row>
    <row r="14" spans="1:6" ht="21" customHeight="1">
      <c r="A14" s="337"/>
      <c r="B14" s="201">
        <v>10</v>
      </c>
      <c r="C14" s="291" t="s">
        <v>349</v>
      </c>
      <c r="D14" s="290" t="s">
        <v>230</v>
      </c>
      <c r="E14" s="124"/>
    </row>
    <row r="15" spans="1:6" ht="21" customHeight="1">
      <c r="A15" s="337" t="s">
        <v>383</v>
      </c>
      <c r="B15" s="201">
        <v>11</v>
      </c>
      <c r="C15" s="291" t="s">
        <v>350</v>
      </c>
      <c r="D15" s="290" t="s">
        <v>231</v>
      </c>
      <c r="E15" s="124"/>
    </row>
    <row r="16" spans="1:6">
      <c r="A16" s="337"/>
    </row>
    <row r="17" spans="1:1">
      <c r="A17" s="337"/>
    </row>
    <row r="18" spans="1:1">
      <c r="A18" s="338" t="s">
        <v>384</v>
      </c>
    </row>
    <row r="19" spans="1:1">
      <c r="A19" s="338"/>
    </row>
    <row r="20" spans="1:1">
      <c r="A20" s="338"/>
    </row>
  </sheetData>
  <mergeCells count="4">
    <mergeCell ref="B2:E2"/>
    <mergeCell ref="A11:A14"/>
    <mergeCell ref="A15:A17"/>
    <mergeCell ref="A18:A20"/>
  </mergeCells>
  <phoneticPr fontId="60" type="noConversion"/>
  <hyperlinks>
    <hyperlink ref="C6" location="'审定表K9-1'!Print_Area" display="审定表"/>
    <hyperlink ref="C9" location="'明细表K9-2'!Print_Area" display="明细表"/>
    <hyperlink ref="C11" location="'实质性分析K9-4'!Print_Area" display="实质性分析"/>
    <hyperlink ref="C13" location="'截止性测试(从记账凭证至原始凭证）K9-6'!A1" display="截止性测试(从记账凭证至原始凭证）"/>
    <hyperlink ref="C15" location="'管理费用检查表K9-8'!A1" display="管理费用检查表"/>
    <hyperlink ref="C12" location="'合同检查表K9-5'!A1" display="合同检查表"/>
    <hyperlink ref="C5" location="实质性程序表K9A!Print_Area" display="实质性程序表"/>
    <hyperlink ref="C10" location="'调整分录汇总K9-3'!Print_Area" display="调整分录汇总"/>
    <hyperlink ref="C8" location="'附注披露信息（国企）'!Print_Area" display="附注披露信息（国企）"/>
    <hyperlink ref="C7" location="'附注披露信息（上市公司）'!Print_Area" display="附注披露信息（上市公司）"/>
    <hyperlink ref="C14" location="'截止性测试（从原始凭证至记账凭证）K9-7'!A1" display="截止性测试（从原始凭证至记账凭证）"/>
  </hyperlinks>
  <pageMargins left="0.70866141732283472" right="0.70866141732283472" top="0.74803149606299213" bottom="0.74803149606299213" header="0.31496062992125984" footer="0.31496062992125984"/>
  <pageSetup paperSize="9" orientation="portrait" blackAndWhite="1"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WVD31"/>
  <sheetViews>
    <sheetView view="pageBreakPreview" zoomScaleNormal="100" workbookViewId="0">
      <selection sqref="A1:I1"/>
    </sheetView>
  </sheetViews>
  <sheetFormatPr defaultColWidth="9" defaultRowHeight="13.8"/>
  <cols>
    <col min="1" max="1" width="5.109375" style="108" customWidth="1"/>
    <col min="2" max="2" width="72.44140625" style="41" customWidth="1"/>
    <col min="3" max="3" width="10.6640625" style="41" customWidth="1"/>
    <col min="4" max="4" width="6.33203125" style="41" customWidth="1"/>
    <col min="5" max="6" width="7.6640625" style="41" customWidth="1"/>
    <col min="7" max="7" width="6.33203125" style="41" customWidth="1"/>
    <col min="8" max="8" width="6.21875" style="41" customWidth="1"/>
    <col min="9" max="9" width="7.88671875" style="41" customWidth="1"/>
    <col min="10" max="10" width="76.21875" style="41" customWidth="1"/>
    <col min="11" max="249" width="9.109375" style="41"/>
    <col min="250" max="250" width="9.44140625" style="41" customWidth="1"/>
    <col min="251" max="251" width="102" style="41" customWidth="1"/>
    <col min="252" max="252" width="9" style="41" hidden="1" customWidth="1"/>
    <col min="253" max="253" width="6.109375" style="41" customWidth="1"/>
    <col min="254" max="254" width="15.5546875" style="41" customWidth="1"/>
    <col min="255" max="255" width="7.44140625" style="41" customWidth="1"/>
    <col min="256" max="256" width="7.6640625" style="41" customWidth="1"/>
    <col min="257" max="257" width="6.33203125" style="41" customWidth="1"/>
    <col min="258" max="258" width="7.5546875" style="41" customWidth="1"/>
    <col min="259" max="259" width="11" style="41" customWidth="1"/>
    <col min="260" max="260" width="11.5546875" style="41" customWidth="1"/>
    <col min="261" max="261" width="26" style="41" customWidth="1"/>
    <col min="262" max="505" width="9.109375" style="41"/>
    <col min="506" max="506" width="9.44140625" style="41" customWidth="1"/>
    <col min="507" max="507" width="102" style="41" customWidth="1"/>
    <col min="508" max="508" width="9" style="41" hidden="1" customWidth="1"/>
    <col min="509" max="509" width="6.109375" style="41" customWidth="1"/>
    <col min="510" max="510" width="15.5546875" style="41" customWidth="1"/>
    <col min="511" max="511" width="7.44140625" style="41" customWidth="1"/>
    <col min="512" max="512" width="7.6640625" style="41" customWidth="1"/>
    <col min="513" max="513" width="6.33203125" style="41" customWidth="1"/>
    <col min="514" max="514" width="7.5546875" style="41" customWidth="1"/>
    <col min="515" max="515" width="11" style="41" customWidth="1"/>
    <col min="516" max="516" width="11.5546875" style="41" customWidth="1"/>
    <col min="517" max="517" width="26" style="41" customWidth="1"/>
    <col min="518" max="761" width="9.109375" style="41"/>
    <col min="762" max="762" width="9.44140625" style="41" customWidth="1"/>
    <col min="763" max="763" width="102" style="41" customWidth="1"/>
    <col min="764" max="764" width="9" style="41" hidden="1" customWidth="1"/>
    <col min="765" max="765" width="6.109375" style="41" customWidth="1"/>
    <col min="766" max="766" width="15.5546875" style="41" customWidth="1"/>
    <col min="767" max="767" width="7.44140625" style="41" customWidth="1"/>
    <col min="768" max="768" width="7.6640625" style="41" customWidth="1"/>
    <col min="769" max="769" width="6.33203125" style="41" customWidth="1"/>
    <col min="770" max="770" width="7.5546875" style="41" customWidth="1"/>
    <col min="771" max="771" width="11" style="41" customWidth="1"/>
    <col min="772" max="772" width="11.5546875" style="41" customWidth="1"/>
    <col min="773" max="773" width="26" style="41" customWidth="1"/>
    <col min="774" max="1017" width="9.109375" style="41"/>
    <col min="1018" max="1018" width="9.44140625" style="41" customWidth="1"/>
    <col min="1019" max="1019" width="102" style="41" customWidth="1"/>
    <col min="1020" max="1020" width="9" style="41" hidden="1" customWidth="1"/>
    <col min="1021" max="1021" width="6.109375" style="41" customWidth="1"/>
    <col min="1022" max="1022" width="15.5546875" style="41" customWidth="1"/>
    <col min="1023" max="1023" width="7.44140625" style="41" customWidth="1"/>
    <col min="1024" max="1024" width="7.6640625" style="41" customWidth="1"/>
    <col min="1025" max="1025" width="6.33203125" style="41" customWidth="1"/>
    <col min="1026" max="1026" width="7.5546875" style="41" customWidth="1"/>
    <col min="1027" max="1027" width="11" style="41" customWidth="1"/>
    <col min="1028" max="1028" width="11.5546875" style="41" customWidth="1"/>
    <col min="1029" max="1029" width="26" style="41" customWidth="1"/>
    <col min="1030" max="1273" width="9.109375" style="41"/>
    <col min="1274" max="1274" width="9.44140625" style="41" customWidth="1"/>
    <col min="1275" max="1275" width="102" style="41" customWidth="1"/>
    <col min="1276" max="1276" width="9" style="41" hidden="1" customWidth="1"/>
    <col min="1277" max="1277" width="6.109375" style="41" customWidth="1"/>
    <col min="1278" max="1278" width="15.5546875" style="41" customWidth="1"/>
    <col min="1279" max="1279" width="7.44140625" style="41" customWidth="1"/>
    <col min="1280" max="1280" width="7.6640625" style="41" customWidth="1"/>
    <col min="1281" max="1281" width="6.33203125" style="41" customWidth="1"/>
    <col min="1282" max="1282" width="7.5546875" style="41" customWidth="1"/>
    <col min="1283" max="1283" width="11" style="41" customWidth="1"/>
    <col min="1284" max="1284" width="11.5546875" style="41" customWidth="1"/>
    <col min="1285" max="1285" width="26" style="41" customWidth="1"/>
    <col min="1286" max="1529" width="9.109375" style="41"/>
    <col min="1530" max="1530" width="9.44140625" style="41" customWidth="1"/>
    <col min="1531" max="1531" width="102" style="41" customWidth="1"/>
    <col min="1532" max="1532" width="9" style="41" hidden="1" customWidth="1"/>
    <col min="1533" max="1533" width="6.109375" style="41" customWidth="1"/>
    <col min="1534" max="1534" width="15.5546875" style="41" customWidth="1"/>
    <col min="1535" max="1535" width="7.44140625" style="41" customWidth="1"/>
    <col min="1536" max="1536" width="7.6640625" style="41" customWidth="1"/>
    <col min="1537" max="1537" width="6.33203125" style="41" customWidth="1"/>
    <col min="1538" max="1538" width="7.5546875" style="41" customWidth="1"/>
    <col min="1539" max="1539" width="11" style="41" customWidth="1"/>
    <col min="1540" max="1540" width="11.5546875" style="41" customWidth="1"/>
    <col min="1541" max="1541" width="26" style="41" customWidth="1"/>
    <col min="1542" max="1785" width="9.109375" style="41"/>
    <col min="1786" max="1786" width="9.44140625" style="41" customWidth="1"/>
    <col min="1787" max="1787" width="102" style="41" customWidth="1"/>
    <col min="1788" max="1788" width="9" style="41" hidden="1" customWidth="1"/>
    <col min="1789" max="1789" width="6.109375" style="41" customWidth="1"/>
    <col min="1790" max="1790" width="15.5546875" style="41" customWidth="1"/>
    <col min="1791" max="1791" width="7.44140625" style="41" customWidth="1"/>
    <col min="1792" max="1792" width="7.6640625" style="41" customWidth="1"/>
    <col min="1793" max="1793" width="6.33203125" style="41" customWidth="1"/>
    <col min="1794" max="1794" width="7.5546875" style="41" customWidth="1"/>
    <col min="1795" max="1795" width="11" style="41" customWidth="1"/>
    <col min="1796" max="1796" width="11.5546875" style="41" customWidth="1"/>
    <col min="1797" max="1797" width="26" style="41" customWidth="1"/>
    <col min="1798" max="2041" width="9.109375" style="41"/>
    <col min="2042" max="2042" width="9.44140625" style="41" customWidth="1"/>
    <col min="2043" max="2043" width="102" style="41" customWidth="1"/>
    <col min="2044" max="2044" width="9" style="41" hidden="1" customWidth="1"/>
    <col min="2045" max="2045" width="6.109375" style="41" customWidth="1"/>
    <col min="2046" max="2046" width="15.5546875" style="41" customWidth="1"/>
    <col min="2047" max="2047" width="7.44140625" style="41" customWidth="1"/>
    <col min="2048" max="2048" width="7.6640625" style="41" customWidth="1"/>
    <col min="2049" max="2049" width="6.33203125" style="41" customWidth="1"/>
    <col min="2050" max="2050" width="7.5546875" style="41" customWidth="1"/>
    <col min="2051" max="2051" width="11" style="41" customWidth="1"/>
    <col min="2052" max="2052" width="11.5546875" style="41" customWidth="1"/>
    <col min="2053" max="2053" width="26" style="41" customWidth="1"/>
    <col min="2054" max="2297" width="9.109375" style="41"/>
    <col min="2298" max="2298" width="9.44140625" style="41" customWidth="1"/>
    <col min="2299" max="2299" width="102" style="41" customWidth="1"/>
    <col min="2300" max="2300" width="9" style="41" hidden="1" customWidth="1"/>
    <col min="2301" max="2301" width="6.109375" style="41" customWidth="1"/>
    <col min="2302" max="2302" width="15.5546875" style="41" customWidth="1"/>
    <col min="2303" max="2303" width="7.44140625" style="41" customWidth="1"/>
    <col min="2304" max="2304" width="7.6640625" style="41" customWidth="1"/>
    <col min="2305" max="2305" width="6.33203125" style="41" customWidth="1"/>
    <col min="2306" max="2306" width="7.5546875" style="41" customWidth="1"/>
    <col min="2307" max="2307" width="11" style="41" customWidth="1"/>
    <col min="2308" max="2308" width="11.5546875" style="41" customWidth="1"/>
    <col min="2309" max="2309" width="26" style="41" customWidth="1"/>
    <col min="2310" max="2553" width="9.109375" style="41"/>
    <col min="2554" max="2554" width="9.44140625" style="41" customWidth="1"/>
    <col min="2555" max="2555" width="102" style="41" customWidth="1"/>
    <col min="2556" max="2556" width="9" style="41" hidden="1" customWidth="1"/>
    <col min="2557" max="2557" width="6.109375" style="41" customWidth="1"/>
    <col min="2558" max="2558" width="15.5546875" style="41" customWidth="1"/>
    <col min="2559" max="2559" width="7.44140625" style="41" customWidth="1"/>
    <col min="2560" max="2560" width="7.6640625" style="41" customWidth="1"/>
    <col min="2561" max="2561" width="6.33203125" style="41" customWidth="1"/>
    <col min="2562" max="2562" width="7.5546875" style="41" customWidth="1"/>
    <col min="2563" max="2563" width="11" style="41" customWidth="1"/>
    <col min="2564" max="2564" width="11.5546875" style="41" customWidth="1"/>
    <col min="2565" max="2565" width="26" style="41" customWidth="1"/>
    <col min="2566" max="2809" width="9.109375" style="41"/>
    <col min="2810" max="2810" width="9.44140625" style="41" customWidth="1"/>
    <col min="2811" max="2811" width="102" style="41" customWidth="1"/>
    <col min="2812" max="2812" width="9" style="41" hidden="1" customWidth="1"/>
    <col min="2813" max="2813" width="6.109375" style="41" customWidth="1"/>
    <col min="2814" max="2814" width="15.5546875" style="41" customWidth="1"/>
    <col min="2815" max="2815" width="7.44140625" style="41" customWidth="1"/>
    <col min="2816" max="2816" width="7.6640625" style="41" customWidth="1"/>
    <col min="2817" max="2817" width="6.33203125" style="41" customWidth="1"/>
    <col min="2818" max="2818" width="7.5546875" style="41" customWidth="1"/>
    <col min="2819" max="2819" width="11" style="41" customWidth="1"/>
    <col min="2820" max="2820" width="11.5546875" style="41" customWidth="1"/>
    <col min="2821" max="2821" width="26" style="41" customWidth="1"/>
    <col min="2822" max="3065" width="9.109375" style="41"/>
    <col min="3066" max="3066" width="9.44140625" style="41" customWidth="1"/>
    <col min="3067" max="3067" width="102" style="41" customWidth="1"/>
    <col min="3068" max="3068" width="9" style="41" hidden="1" customWidth="1"/>
    <col min="3069" max="3069" width="6.109375" style="41" customWidth="1"/>
    <col min="3070" max="3070" width="15.5546875" style="41" customWidth="1"/>
    <col min="3071" max="3071" width="7.44140625" style="41" customWidth="1"/>
    <col min="3072" max="3072" width="7.6640625" style="41" customWidth="1"/>
    <col min="3073" max="3073" width="6.33203125" style="41" customWidth="1"/>
    <col min="3074" max="3074" width="7.5546875" style="41" customWidth="1"/>
    <col min="3075" max="3075" width="11" style="41" customWidth="1"/>
    <col min="3076" max="3076" width="11.5546875" style="41" customWidth="1"/>
    <col min="3077" max="3077" width="26" style="41" customWidth="1"/>
    <col min="3078" max="3321" width="9.109375" style="41"/>
    <col min="3322" max="3322" width="9.44140625" style="41" customWidth="1"/>
    <col min="3323" max="3323" width="102" style="41" customWidth="1"/>
    <col min="3324" max="3324" width="9" style="41" hidden="1" customWidth="1"/>
    <col min="3325" max="3325" width="6.109375" style="41" customWidth="1"/>
    <col min="3326" max="3326" width="15.5546875" style="41" customWidth="1"/>
    <col min="3327" max="3327" width="7.44140625" style="41" customWidth="1"/>
    <col min="3328" max="3328" width="7.6640625" style="41" customWidth="1"/>
    <col min="3329" max="3329" width="6.33203125" style="41" customWidth="1"/>
    <col min="3330" max="3330" width="7.5546875" style="41" customWidth="1"/>
    <col min="3331" max="3331" width="11" style="41" customWidth="1"/>
    <col min="3332" max="3332" width="11.5546875" style="41" customWidth="1"/>
    <col min="3333" max="3333" width="26" style="41" customWidth="1"/>
    <col min="3334" max="3577" width="9.109375" style="41"/>
    <col min="3578" max="3578" width="9.44140625" style="41" customWidth="1"/>
    <col min="3579" max="3579" width="102" style="41" customWidth="1"/>
    <col min="3580" max="3580" width="9" style="41" hidden="1" customWidth="1"/>
    <col min="3581" max="3581" width="6.109375" style="41" customWidth="1"/>
    <col min="3582" max="3582" width="15.5546875" style="41" customWidth="1"/>
    <col min="3583" max="3583" width="7.44140625" style="41" customWidth="1"/>
    <col min="3584" max="3584" width="7.6640625" style="41" customWidth="1"/>
    <col min="3585" max="3585" width="6.33203125" style="41" customWidth="1"/>
    <col min="3586" max="3586" width="7.5546875" style="41" customWidth="1"/>
    <col min="3587" max="3587" width="11" style="41" customWidth="1"/>
    <col min="3588" max="3588" width="11.5546875" style="41" customWidth="1"/>
    <col min="3589" max="3589" width="26" style="41" customWidth="1"/>
    <col min="3590" max="3833" width="9.109375" style="41"/>
    <col min="3834" max="3834" width="9.44140625" style="41" customWidth="1"/>
    <col min="3835" max="3835" width="102" style="41" customWidth="1"/>
    <col min="3836" max="3836" width="9" style="41" hidden="1" customWidth="1"/>
    <col min="3837" max="3837" width="6.109375" style="41" customWidth="1"/>
    <col min="3838" max="3838" width="15.5546875" style="41" customWidth="1"/>
    <col min="3839" max="3839" width="7.44140625" style="41" customWidth="1"/>
    <col min="3840" max="3840" width="7.6640625" style="41" customWidth="1"/>
    <col min="3841" max="3841" width="6.33203125" style="41" customWidth="1"/>
    <col min="3842" max="3842" width="7.5546875" style="41" customWidth="1"/>
    <col min="3843" max="3843" width="11" style="41" customWidth="1"/>
    <col min="3844" max="3844" width="11.5546875" style="41" customWidth="1"/>
    <col min="3845" max="3845" width="26" style="41" customWidth="1"/>
    <col min="3846" max="4089" width="9.109375" style="41"/>
    <col min="4090" max="4090" width="9.44140625" style="41" customWidth="1"/>
    <col min="4091" max="4091" width="102" style="41" customWidth="1"/>
    <col min="4092" max="4092" width="9" style="41" hidden="1" customWidth="1"/>
    <col min="4093" max="4093" width="6.109375" style="41" customWidth="1"/>
    <col min="4094" max="4094" width="15.5546875" style="41" customWidth="1"/>
    <col min="4095" max="4095" width="7.44140625" style="41" customWidth="1"/>
    <col min="4096" max="4096" width="7.6640625" style="41" customWidth="1"/>
    <col min="4097" max="4097" width="6.33203125" style="41" customWidth="1"/>
    <col min="4098" max="4098" width="7.5546875" style="41" customWidth="1"/>
    <col min="4099" max="4099" width="11" style="41" customWidth="1"/>
    <col min="4100" max="4100" width="11.5546875" style="41" customWidth="1"/>
    <col min="4101" max="4101" width="26" style="41" customWidth="1"/>
    <col min="4102" max="4345" width="9.109375" style="41"/>
    <col min="4346" max="4346" width="9.44140625" style="41" customWidth="1"/>
    <col min="4347" max="4347" width="102" style="41" customWidth="1"/>
    <col min="4348" max="4348" width="9" style="41" hidden="1" customWidth="1"/>
    <col min="4349" max="4349" width="6.109375" style="41" customWidth="1"/>
    <col min="4350" max="4350" width="15.5546875" style="41" customWidth="1"/>
    <col min="4351" max="4351" width="7.44140625" style="41" customWidth="1"/>
    <col min="4352" max="4352" width="7.6640625" style="41" customWidth="1"/>
    <col min="4353" max="4353" width="6.33203125" style="41" customWidth="1"/>
    <col min="4354" max="4354" width="7.5546875" style="41" customWidth="1"/>
    <col min="4355" max="4355" width="11" style="41" customWidth="1"/>
    <col min="4356" max="4356" width="11.5546875" style="41" customWidth="1"/>
    <col min="4357" max="4357" width="26" style="41" customWidth="1"/>
    <col min="4358" max="4601" width="9.109375" style="41"/>
    <col min="4602" max="4602" width="9.44140625" style="41" customWidth="1"/>
    <col min="4603" max="4603" width="102" style="41" customWidth="1"/>
    <col min="4604" max="4604" width="9" style="41" hidden="1" customWidth="1"/>
    <col min="4605" max="4605" width="6.109375" style="41" customWidth="1"/>
    <col min="4606" max="4606" width="15.5546875" style="41" customWidth="1"/>
    <col min="4607" max="4607" width="7.44140625" style="41" customWidth="1"/>
    <col min="4608" max="4608" width="7.6640625" style="41" customWidth="1"/>
    <col min="4609" max="4609" width="6.33203125" style="41" customWidth="1"/>
    <col min="4610" max="4610" width="7.5546875" style="41" customWidth="1"/>
    <col min="4611" max="4611" width="11" style="41" customWidth="1"/>
    <col min="4612" max="4612" width="11.5546875" style="41" customWidth="1"/>
    <col min="4613" max="4613" width="26" style="41" customWidth="1"/>
    <col min="4614" max="4857" width="9.109375" style="41"/>
    <col min="4858" max="4858" width="9.44140625" style="41" customWidth="1"/>
    <col min="4859" max="4859" width="102" style="41" customWidth="1"/>
    <col min="4860" max="4860" width="9" style="41" hidden="1" customWidth="1"/>
    <col min="4861" max="4861" width="6.109375" style="41" customWidth="1"/>
    <col min="4862" max="4862" width="15.5546875" style="41" customWidth="1"/>
    <col min="4863" max="4863" width="7.44140625" style="41" customWidth="1"/>
    <col min="4864" max="4864" width="7.6640625" style="41" customWidth="1"/>
    <col min="4865" max="4865" width="6.33203125" style="41" customWidth="1"/>
    <col min="4866" max="4866" width="7.5546875" style="41" customWidth="1"/>
    <col min="4867" max="4867" width="11" style="41" customWidth="1"/>
    <col min="4868" max="4868" width="11.5546875" style="41" customWidth="1"/>
    <col min="4869" max="4869" width="26" style="41" customWidth="1"/>
    <col min="4870" max="5113" width="9.109375" style="41"/>
    <col min="5114" max="5114" width="9.44140625" style="41" customWidth="1"/>
    <col min="5115" max="5115" width="102" style="41" customWidth="1"/>
    <col min="5116" max="5116" width="9" style="41" hidden="1" customWidth="1"/>
    <col min="5117" max="5117" width="6.109375" style="41" customWidth="1"/>
    <col min="5118" max="5118" width="15.5546875" style="41" customWidth="1"/>
    <col min="5119" max="5119" width="7.44140625" style="41" customWidth="1"/>
    <col min="5120" max="5120" width="7.6640625" style="41" customWidth="1"/>
    <col min="5121" max="5121" width="6.33203125" style="41" customWidth="1"/>
    <col min="5122" max="5122" width="7.5546875" style="41" customWidth="1"/>
    <col min="5123" max="5123" width="11" style="41" customWidth="1"/>
    <col min="5124" max="5124" width="11.5546875" style="41" customWidth="1"/>
    <col min="5125" max="5125" width="26" style="41" customWidth="1"/>
    <col min="5126" max="5369" width="9.109375" style="41"/>
    <col min="5370" max="5370" width="9.44140625" style="41" customWidth="1"/>
    <col min="5371" max="5371" width="102" style="41" customWidth="1"/>
    <col min="5372" max="5372" width="9" style="41" hidden="1" customWidth="1"/>
    <col min="5373" max="5373" width="6.109375" style="41" customWidth="1"/>
    <col min="5374" max="5374" width="15.5546875" style="41" customWidth="1"/>
    <col min="5375" max="5375" width="7.44140625" style="41" customWidth="1"/>
    <col min="5376" max="5376" width="7.6640625" style="41" customWidth="1"/>
    <col min="5377" max="5377" width="6.33203125" style="41" customWidth="1"/>
    <col min="5378" max="5378" width="7.5546875" style="41" customWidth="1"/>
    <col min="5379" max="5379" width="11" style="41" customWidth="1"/>
    <col min="5380" max="5380" width="11.5546875" style="41" customWidth="1"/>
    <col min="5381" max="5381" width="26" style="41" customWidth="1"/>
    <col min="5382" max="5625" width="9.109375" style="41"/>
    <col min="5626" max="5626" width="9.44140625" style="41" customWidth="1"/>
    <col min="5627" max="5627" width="102" style="41" customWidth="1"/>
    <col min="5628" max="5628" width="9" style="41" hidden="1" customWidth="1"/>
    <col min="5629" max="5629" width="6.109375" style="41" customWidth="1"/>
    <col min="5630" max="5630" width="15.5546875" style="41" customWidth="1"/>
    <col min="5631" max="5631" width="7.44140625" style="41" customWidth="1"/>
    <col min="5632" max="5632" width="7.6640625" style="41" customWidth="1"/>
    <col min="5633" max="5633" width="6.33203125" style="41" customWidth="1"/>
    <col min="5634" max="5634" width="7.5546875" style="41" customWidth="1"/>
    <col min="5635" max="5635" width="11" style="41" customWidth="1"/>
    <col min="5636" max="5636" width="11.5546875" style="41" customWidth="1"/>
    <col min="5637" max="5637" width="26" style="41" customWidth="1"/>
    <col min="5638" max="5881" width="9.109375" style="41"/>
    <col min="5882" max="5882" width="9.44140625" style="41" customWidth="1"/>
    <col min="5883" max="5883" width="102" style="41" customWidth="1"/>
    <col min="5884" max="5884" width="9" style="41" hidden="1" customWidth="1"/>
    <col min="5885" max="5885" width="6.109375" style="41" customWidth="1"/>
    <col min="5886" max="5886" width="15.5546875" style="41" customWidth="1"/>
    <col min="5887" max="5887" width="7.44140625" style="41" customWidth="1"/>
    <col min="5888" max="5888" width="7.6640625" style="41" customWidth="1"/>
    <col min="5889" max="5889" width="6.33203125" style="41" customWidth="1"/>
    <col min="5890" max="5890" width="7.5546875" style="41" customWidth="1"/>
    <col min="5891" max="5891" width="11" style="41" customWidth="1"/>
    <col min="5892" max="5892" width="11.5546875" style="41" customWidth="1"/>
    <col min="5893" max="5893" width="26" style="41" customWidth="1"/>
    <col min="5894" max="6137" width="9.109375" style="41"/>
    <col min="6138" max="6138" width="9.44140625" style="41" customWidth="1"/>
    <col min="6139" max="6139" width="102" style="41" customWidth="1"/>
    <col min="6140" max="6140" width="9" style="41" hidden="1" customWidth="1"/>
    <col min="6141" max="6141" width="6.109375" style="41" customWidth="1"/>
    <col min="6142" max="6142" width="15.5546875" style="41" customWidth="1"/>
    <col min="6143" max="6143" width="7.44140625" style="41" customWidth="1"/>
    <col min="6144" max="6144" width="7.6640625" style="41" customWidth="1"/>
    <col min="6145" max="6145" width="6.33203125" style="41" customWidth="1"/>
    <col min="6146" max="6146" width="7.5546875" style="41" customWidth="1"/>
    <col min="6147" max="6147" width="11" style="41" customWidth="1"/>
    <col min="6148" max="6148" width="11.5546875" style="41" customWidth="1"/>
    <col min="6149" max="6149" width="26" style="41" customWidth="1"/>
    <col min="6150" max="6393" width="9.109375" style="41"/>
    <col min="6394" max="6394" width="9.44140625" style="41" customWidth="1"/>
    <col min="6395" max="6395" width="102" style="41" customWidth="1"/>
    <col min="6396" max="6396" width="9" style="41" hidden="1" customWidth="1"/>
    <col min="6397" max="6397" width="6.109375" style="41" customWidth="1"/>
    <col min="6398" max="6398" width="15.5546875" style="41" customWidth="1"/>
    <col min="6399" max="6399" width="7.44140625" style="41" customWidth="1"/>
    <col min="6400" max="6400" width="7.6640625" style="41" customWidth="1"/>
    <col min="6401" max="6401" width="6.33203125" style="41" customWidth="1"/>
    <col min="6402" max="6402" width="7.5546875" style="41" customWidth="1"/>
    <col min="6403" max="6403" width="11" style="41" customWidth="1"/>
    <col min="6404" max="6404" width="11.5546875" style="41" customWidth="1"/>
    <col min="6405" max="6405" width="26" style="41" customWidth="1"/>
    <col min="6406" max="6649" width="9.109375" style="41"/>
    <col min="6650" max="6650" width="9.44140625" style="41" customWidth="1"/>
    <col min="6651" max="6651" width="102" style="41" customWidth="1"/>
    <col min="6652" max="6652" width="9" style="41" hidden="1" customWidth="1"/>
    <col min="6653" max="6653" width="6.109375" style="41" customWidth="1"/>
    <col min="6654" max="6654" width="15.5546875" style="41" customWidth="1"/>
    <col min="6655" max="6655" width="7.44140625" style="41" customWidth="1"/>
    <col min="6656" max="6656" width="7.6640625" style="41" customWidth="1"/>
    <col min="6657" max="6657" width="6.33203125" style="41" customWidth="1"/>
    <col min="6658" max="6658" width="7.5546875" style="41" customWidth="1"/>
    <col min="6659" max="6659" width="11" style="41" customWidth="1"/>
    <col min="6660" max="6660" width="11.5546875" style="41" customWidth="1"/>
    <col min="6661" max="6661" width="26" style="41" customWidth="1"/>
    <col min="6662" max="6905" width="9.109375" style="41"/>
    <col min="6906" max="6906" width="9.44140625" style="41" customWidth="1"/>
    <col min="6907" max="6907" width="102" style="41" customWidth="1"/>
    <col min="6908" max="6908" width="9" style="41" hidden="1" customWidth="1"/>
    <col min="6909" max="6909" width="6.109375" style="41" customWidth="1"/>
    <col min="6910" max="6910" width="15.5546875" style="41" customWidth="1"/>
    <col min="6911" max="6911" width="7.44140625" style="41" customWidth="1"/>
    <col min="6912" max="6912" width="7.6640625" style="41" customWidth="1"/>
    <col min="6913" max="6913" width="6.33203125" style="41" customWidth="1"/>
    <col min="6914" max="6914" width="7.5546875" style="41" customWidth="1"/>
    <col min="6915" max="6915" width="11" style="41" customWidth="1"/>
    <col min="6916" max="6916" width="11.5546875" style="41" customWidth="1"/>
    <col min="6917" max="6917" width="26" style="41" customWidth="1"/>
    <col min="6918" max="7161" width="9.109375" style="41"/>
    <col min="7162" max="7162" width="9.44140625" style="41" customWidth="1"/>
    <col min="7163" max="7163" width="102" style="41" customWidth="1"/>
    <col min="7164" max="7164" width="9" style="41" hidden="1" customWidth="1"/>
    <col min="7165" max="7165" width="6.109375" style="41" customWidth="1"/>
    <col min="7166" max="7166" width="15.5546875" style="41" customWidth="1"/>
    <col min="7167" max="7167" width="7.44140625" style="41" customWidth="1"/>
    <col min="7168" max="7168" width="7.6640625" style="41" customWidth="1"/>
    <col min="7169" max="7169" width="6.33203125" style="41" customWidth="1"/>
    <col min="7170" max="7170" width="7.5546875" style="41" customWidth="1"/>
    <col min="7171" max="7171" width="11" style="41" customWidth="1"/>
    <col min="7172" max="7172" width="11.5546875" style="41" customWidth="1"/>
    <col min="7173" max="7173" width="26" style="41" customWidth="1"/>
    <col min="7174" max="7417" width="9.109375" style="41"/>
    <col min="7418" max="7418" width="9.44140625" style="41" customWidth="1"/>
    <col min="7419" max="7419" width="102" style="41" customWidth="1"/>
    <col min="7420" max="7420" width="9" style="41" hidden="1" customWidth="1"/>
    <col min="7421" max="7421" width="6.109375" style="41" customWidth="1"/>
    <col min="7422" max="7422" width="15.5546875" style="41" customWidth="1"/>
    <col min="7423" max="7423" width="7.44140625" style="41" customWidth="1"/>
    <col min="7424" max="7424" width="7.6640625" style="41" customWidth="1"/>
    <col min="7425" max="7425" width="6.33203125" style="41" customWidth="1"/>
    <col min="7426" max="7426" width="7.5546875" style="41" customWidth="1"/>
    <col min="7427" max="7427" width="11" style="41" customWidth="1"/>
    <col min="7428" max="7428" width="11.5546875" style="41" customWidth="1"/>
    <col min="7429" max="7429" width="26" style="41" customWidth="1"/>
    <col min="7430" max="7673" width="9.109375" style="41"/>
    <col min="7674" max="7674" width="9.44140625" style="41" customWidth="1"/>
    <col min="7675" max="7675" width="102" style="41" customWidth="1"/>
    <col min="7676" max="7676" width="9" style="41" hidden="1" customWidth="1"/>
    <col min="7677" max="7677" width="6.109375" style="41" customWidth="1"/>
    <col min="7678" max="7678" width="15.5546875" style="41" customWidth="1"/>
    <col min="7679" max="7679" width="7.44140625" style="41" customWidth="1"/>
    <col min="7680" max="7680" width="7.6640625" style="41" customWidth="1"/>
    <col min="7681" max="7681" width="6.33203125" style="41" customWidth="1"/>
    <col min="7682" max="7682" width="7.5546875" style="41" customWidth="1"/>
    <col min="7683" max="7683" width="11" style="41" customWidth="1"/>
    <col min="7684" max="7684" width="11.5546875" style="41" customWidth="1"/>
    <col min="7685" max="7685" width="26" style="41" customWidth="1"/>
    <col min="7686" max="7929" width="9.109375" style="41"/>
    <col min="7930" max="7930" width="9.44140625" style="41" customWidth="1"/>
    <col min="7931" max="7931" width="102" style="41" customWidth="1"/>
    <col min="7932" max="7932" width="9" style="41" hidden="1" customWidth="1"/>
    <col min="7933" max="7933" width="6.109375" style="41" customWidth="1"/>
    <col min="7934" max="7934" width="15.5546875" style="41" customWidth="1"/>
    <col min="7935" max="7935" width="7.44140625" style="41" customWidth="1"/>
    <col min="7936" max="7936" width="7.6640625" style="41" customWidth="1"/>
    <col min="7937" max="7937" width="6.33203125" style="41" customWidth="1"/>
    <col min="7938" max="7938" width="7.5546875" style="41" customWidth="1"/>
    <col min="7939" max="7939" width="11" style="41" customWidth="1"/>
    <col min="7940" max="7940" width="11.5546875" style="41" customWidth="1"/>
    <col min="7941" max="7941" width="26" style="41" customWidth="1"/>
    <col min="7942" max="8185" width="9.109375" style="41"/>
    <col min="8186" max="8186" width="9.44140625" style="41" customWidth="1"/>
    <col min="8187" max="8187" width="102" style="41" customWidth="1"/>
    <col min="8188" max="8188" width="9" style="41" hidden="1" customWidth="1"/>
    <col min="8189" max="8189" width="6.109375" style="41" customWidth="1"/>
    <col min="8190" max="8190" width="15.5546875" style="41" customWidth="1"/>
    <col min="8191" max="8191" width="7.44140625" style="41" customWidth="1"/>
    <col min="8192" max="8192" width="7.6640625" style="41" customWidth="1"/>
    <col min="8193" max="8193" width="6.33203125" style="41" customWidth="1"/>
    <col min="8194" max="8194" width="7.5546875" style="41" customWidth="1"/>
    <col min="8195" max="8195" width="11" style="41" customWidth="1"/>
    <col min="8196" max="8196" width="11.5546875" style="41" customWidth="1"/>
    <col min="8197" max="8197" width="26" style="41" customWidth="1"/>
    <col min="8198" max="8441" width="9.109375" style="41"/>
    <col min="8442" max="8442" width="9.44140625" style="41" customWidth="1"/>
    <col min="8443" max="8443" width="102" style="41" customWidth="1"/>
    <col min="8444" max="8444" width="9" style="41" hidden="1" customWidth="1"/>
    <col min="8445" max="8445" width="6.109375" style="41" customWidth="1"/>
    <col min="8446" max="8446" width="15.5546875" style="41" customWidth="1"/>
    <col min="8447" max="8447" width="7.44140625" style="41" customWidth="1"/>
    <col min="8448" max="8448" width="7.6640625" style="41" customWidth="1"/>
    <col min="8449" max="8449" width="6.33203125" style="41" customWidth="1"/>
    <col min="8450" max="8450" width="7.5546875" style="41" customWidth="1"/>
    <col min="8451" max="8451" width="11" style="41" customWidth="1"/>
    <col min="8452" max="8452" width="11.5546875" style="41" customWidth="1"/>
    <col min="8453" max="8453" width="26" style="41" customWidth="1"/>
    <col min="8454" max="8697" width="9.109375" style="41"/>
    <col min="8698" max="8698" width="9.44140625" style="41" customWidth="1"/>
    <col min="8699" max="8699" width="102" style="41" customWidth="1"/>
    <col min="8700" max="8700" width="9" style="41" hidden="1" customWidth="1"/>
    <col min="8701" max="8701" width="6.109375" style="41" customWidth="1"/>
    <col min="8702" max="8702" width="15.5546875" style="41" customWidth="1"/>
    <col min="8703" max="8703" width="7.44140625" style="41" customWidth="1"/>
    <col min="8704" max="8704" width="7.6640625" style="41" customWidth="1"/>
    <col min="8705" max="8705" width="6.33203125" style="41" customWidth="1"/>
    <col min="8706" max="8706" width="7.5546875" style="41" customWidth="1"/>
    <col min="8707" max="8707" width="11" style="41" customWidth="1"/>
    <col min="8708" max="8708" width="11.5546875" style="41" customWidth="1"/>
    <col min="8709" max="8709" width="26" style="41" customWidth="1"/>
    <col min="8710" max="8953" width="9.109375" style="41"/>
    <col min="8954" max="8954" width="9.44140625" style="41" customWidth="1"/>
    <col min="8955" max="8955" width="102" style="41" customWidth="1"/>
    <col min="8956" max="8956" width="9" style="41" hidden="1" customWidth="1"/>
    <col min="8957" max="8957" width="6.109375" style="41" customWidth="1"/>
    <col min="8958" max="8958" width="15.5546875" style="41" customWidth="1"/>
    <col min="8959" max="8959" width="7.44140625" style="41" customWidth="1"/>
    <col min="8960" max="8960" width="7.6640625" style="41" customWidth="1"/>
    <col min="8961" max="8961" width="6.33203125" style="41" customWidth="1"/>
    <col min="8962" max="8962" width="7.5546875" style="41" customWidth="1"/>
    <col min="8963" max="8963" width="11" style="41" customWidth="1"/>
    <col min="8964" max="8964" width="11.5546875" style="41" customWidth="1"/>
    <col min="8965" max="8965" width="26" style="41" customWidth="1"/>
    <col min="8966" max="9209" width="9.109375" style="41"/>
    <col min="9210" max="9210" width="9.44140625" style="41" customWidth="1"/>
    <col min="9211" max="9211" width="102" style="41" customWidth="1"/>
    <col min="9212" max="9212" width="9" style="41" hidden="1" customWidth="1"/>
    <col min="9213" max="9213" width="6.109375" style="41" customWidth="1"/>
    <col min="9214" max="9214" width="15.5546875" style="41" customWidth="1"/>
    <col min="9215" max="9215" width="7.44140625" style="41" customWidth="1"/>
    <col min="9216" max="9216" width="7.6640625" style="41" customWidth="1"/>
    <col min="9217" max="9217" width="6.33203125" style="41" customWidth="1"/>
    <col min="9218" max="9218" width="7.5546875" style="41" customWidth="1"/>
    <col min="9219" max="9219" width="11" style="41" customWidth="1"/>
    <col min="9220" max="9220" width="11.5546875" style="41" customWidth="1"/>
    <col min="9221" max="9221" width="26" style="41" customWidth="1"/>
    <col min="9222" max="9465" width="9.109375" style="41"/>
    <col min="9466" max="9466" width="9.44140625" style="41" customWidth="1"/>
    <col min="9467" max="9467" width="102" style="41" customWidth="1"/>
    <col min="9468" max="9468" width="9" style="41" hidden="1" customWidth="1"/>
    <col min="9469" max="9469" width="6.109375" style="41" customWidth="1"/>
    <col min="9470" max="9470" width="15.5546875" style="41" customWidth="1"/>
    <col min="9471" max="9471" width="7.44140625" style="41" customWidth="1"/>
    <col min="9472" max="9472" width="7.6640625" style="41" customWidth="1"/>
    <col min="9473" max="9473" width="6.33203125" style="41" customWidth="1"/>
    <col min="9474" max="9474" width="7.5546875" style="41" customWidth="1"/>
    <col min="9475" max="9475" width="11" style="41" customWidth="1"/>
    <col min="9476" max="9476" width="11.5546875" style="41" customWidth="1"/>
    <col min="9477" max="9477" width="26" style="41" customWidth="1"/>
    <col min="9478" max="9721" width="9.109375" style="41"/>
    <col min="9722" max="9722" width="9.44140625" style="41" customWidth="1"/>
    <col min="9723" max="9723" width="102" style="41" customWidth="1"/>
    <col min="9724" max="9724" width="9" style="41" hidden="1" customWidth="1"/>
    <col min="9725" max="9725" width="6.109375" style="41" customWidth="1"/>
    <col min="9726" max="9726" width="15.5546875" style="41" customWidth="1"/>
    <col min="9727" max="9727" width="7.44140625" style="41" customWidth="1"/>
    <col min="9728" max="9728" width="7.6640625" style="41" customWidth="1"/>
    <col min="9729" max="9729" width="6.33203125" style="41" customWidth="1"/>
    <col min="9730" max="9730" width="7.5546875" style="41" customWidth="1"/>
    <col min="9731" max="9731" width="11" style="41" customWidth="1"/>
    <col min="9732" max="9732" width="11.5546875" style="41" customWidth="1"/>
    <col min="9733" max="9733" width="26" style="41" customWidth="1"/>
    <col min="9734" max="9977" width="9.109375" style="41"/>
    <col min="9978" max="9978" width="9.44140625" style="41" customWidth="1"/>
    <col min="9979" max="9979" width="102" style="41" customWidth="1"/>
    <col min="9980" max="9980" width="9" style="41" hidden="1" customWidth="1"/>
    <col min="9981" max="9981" width="6.109375" style="41" customWidth="1"/>
    <col min="9982" max="9982" width="15.5546875" style="41" customWidth="1"/>
    <col min="9983" max="9983" width="7.44140625" style="41" customWidth="1"/>
    <col min="9984" max="9984" width="7.6640625" style="41" customWidth="1"/>
    <col min="9985" max="9985" width="6.33203125" style="41" customWidth="1"/>
    <col min="9986" max="9986" width="7.5546875" style="41" customWidth="1"/>
    <col min="9987" max="9987" width="11" style="41" customWidth="1"/>
    <col min="9988" max="9988" width="11.5546875" style="41" customWidth="1"/>
    <col min="9989" max="9989" width="26" style="41" customWidth="1"/>
    <col min="9990" max="10233" width="9.109375" style="41"/>
    <col min="10234" max="10234" width="9.44140625" style="41" customWidth="1"/>
    <col min="10235" max="10235" width="102" style="41" customWidth="1"/>
    <col min="10236" max="10236" width="9" style="41" hidden="1" customWidth="1"/>
    <col min="10237" max="10237" width="6.109375" style="41" customWidth="1"/>
    <col min="10238" max="10238" width="15.5546875" style="41" customWidth="1"/>
    <col min="10239" max="10239" width="7.44140625" style="41" customWidth="1"/>
    <col min="10240" max="10240" width="7.6640625" style="41" customWidth="1"/>
    <col min="10241" max="10241" width="6.33203125" style="41" customWidth="1"/>
    <col min="10242" max="10242" width="7.5546875" style="41" customWidth="1"/>
    <col min="10243" max="10243" width="11" style="41" customWidth="1"/>
    <col min="10244" max="10244" width="11.5546875" style="41" customWidth="1"/>
    <col min="10245" max="10245" width="26" style="41" customWidth="1"/>
    <col min="10246" max="10489" width="9.109375" style="41"/>
    <col min="10490" max="10490" width="9.44140625" style="41" customWidth="1"/>
    <col min="10491" max="10491" width="102" style="41" customWidth="1"/>
    <col min="10492" max="10492" width="9" style="41" hidden="1" customWidth="1"/>
    <col min="10493" max="10493" width="6.109375" style="41" customWidth="1"/>
    <col min="10494" max="10494" width="15.5546875" style="41" customWidth="1"/>
    <col min="10495" max="10495" width="7.44140625" style="41" customWidth="1"/>
    <col min="10496" max="10496" width="7.6640625" style="41" customWidth="1"/>
    <col min="10497" max="10497" width="6.33203125" style="41" customWidth="1"/>
    <col min="10498" max="10498" width="7.5546875" style="41" customWidth="1"/>
    <col min="10499" max="10499" width="11" style="41" customWidth="1"/>
    <col min="10500" max="10500" width="11.5546875" style="41" customWidth="1"/>
    <col min="10501" max="10501" width="26" style="41" customWidth="1"/>
    <col min="10502" max="10745" width="9.109375" style="41"/>
    <col min="10746" max="10746" width="9.44140625" style="41" customWidth="1"/>
    <col min="10747" max="10747" width="102" style="41" customWidth="1"/>
    <col min="10748" max="10748" width="9" style="41" hidden="1" customWidth="1"/>
    <col min="10749" max="10749" width="6.109375" style="41" customWidth="1"/>
    <col min="10750" max="10750" width="15.5546875" style="41" customWidth="1"/>
    <col min="10751" max="10751" width="7.44140625" style="41" customWidth="1"/>
    <col min="10752" max="10752" width="7.6640625" style="41" customWidth="1"/>
    <col min="10753" max="10753" width="6.33203125" style="41" customWidth="1"/>
    <col min="10754" max="10754" width="7.5546875" style="41" customWidth="1"/>
    <col min="10755" max="10755" width="11" style="41" customWidth="1"/>
    <col min="10756" max="10756" width="11.5546875" style="41" customWidth="1"/>
    <col min="10757" max="10757" width="26" style="41" customWidth="1"/>
    <col min="10758" max="11001" width="9.109375" style="41"/>
    <col min="11002" max="11002" width="9.44140625" style="41" customWidth="1"/>
    <col min="11003" max="11003" width="102" style="41" customWidth="1"/>
    <col min="11004" max="11004" width="9" style="41" hidden="1" customWidth="1"/>
    <col min="11005" max="11005" width="6.109375" style="41" customWidth="1"/>
    <col min="11006" max="11006" width="15.5546875" style="41" customWidth="1"/>
    <col min="11007" max="11007" width="7.44140625" style="41" customWidth="1"/>
    <col min="11008" max="11008" width="7.6640625" style="41" customWidth="1"/>
    <col min="11009" max="11009" width="6.33203125" style="41" customWidth="1"/>
    <col min="11010" max="11010" width="7.5546875" style="41" customWidth="1"/>
    <col min="11011" max="11011" width="11" style="41" customWidth="1"/>
    <col min="11012" max="11012" width="11.5546875" style="41" customWidth="1"/>
    <col min="11013" max="11013" width="26" style="41" customWidth="1"/>
    <col min="11014" max="11257" width="9.109375" style="41"/>
    <col min="11258" max="11258" width="9.44140625" style="41" customWidth="1"/>
    <col min="11259" max="11259" width="102" style="41" customWidth="1"/>
    <col min="11260" max="11260" width="9" style="41" hidden="1" customWidth="1"/>
    <col min="11261" max="11261" width="6.109375" style="41" customWidth="1"/>
    <col min="11262" max="11262" width="15.5546875" style="41" customWidth="1"/>
    <col min="11263" max="11263" width="7.44140625" style="41" customWidth="1"/>
    <col min="11264" max="11264" width="7.6640625" style="41" customWidth="1"/>
    <col min="11265" max="11265" width="6.33203125" style="41" customWidth="1"/>
    <col min="11266" max="11266" width="7.5546875" style="41" customWidth="1"/>
    <col min="11267" max="11267" width="11" style="41" customWidth="1"/>
    <col min="11268" max="11268" width="11.5546875" style="41" customWidth="1"/>
    <col min="11269" max="11269" width="26" style="41" customWidth="1"/>
    <col min="11270" max="11513" width="9.109375" style="41"/>
    <col min="11514" max="11514" width="9.44140625" style="41" customWidth="1"/>
    <col min="11515" max="11515" width="102" style="41" customWidth="1"/>
    <col min="11516" max="11516" width="9" style="41" hidden="1" customWidth="1"/>
    <col min="11517" max="11517" width="6.109375" style="41" customWidth="1"/>
    <col min="11518" max="11518" width="15.5546875" style="41" customWidth="1"/>
    <col min="11519" max="11519" width="7.44140625" style="41" customWidth="1"/>
    <col min="11520" max="11520" width="7.6640625" style="41" customWidth="1"/>
    <col min="11521" max="11521" width="6.33203125" style="41" customWidth="1"/>
    <col min="11522" max="11522" width="7.5546875" style="41" customWidth="1"/>
    <col min="11523" max="11523" width="11" style="41" customWidth="1"/>
    <col min="11524" max="11524" width="11.5546875" style="41" customWidth="1"/>
    <col min="11525" max="11525" width="26" style="41" customWidth="1"/>
    <col min="11526" max="11769" width="9.109375" style="41"/>
    <col min="11770" max="11770" width="9.44140625" style="41" customWidth="1"/>
    <col min="11771" max="11771" width="102" style="41" customWidth="1"/>
    <col min="11772" max="11772" width="9" style="41" hidden="1" customWidth="1"/>
    <col min="11773" max="11773" width="6.109375" style="41" customWidth="1"/>
    <col min="11774" max="11774" width="15.5546875" style="41" customWidth="1"/>
    <col min="11775" max="11775" width="7.44140625" style="41" customWidth="1"/>
    <col min="11776" max="11776" width="7.6640625" style="41" customWidth="1"/>
    <col min="11777" max="11777" width="6.33203125" style="41" customWidth="1"/>
    <col min="11778" max="11778" width="7.5546875" style="41" customWidth="1"/>
    <col min="11779" max="11779" width="11" style="41" customWidth="1"/>
    <col min="11780" max="11780" width="11.5546875" style="41" customWidth="1"/>
    <col min="11781" max="11781" width="26" style="41" customWidth="1"/>
    <col min="11782" max="12025" width="9.109375" style="41"/>
    <col min="12026" max="12026" width="9.44140625" style="41" customWidth="1"/>
    <col min="12027" max="12027" width="102" style="41" customWidth="1"/>
    <col min="12028" max="12028" width="9" style="41" hidden="1" customWidth="1"/>
    <col min="12029" max="12029" width="6.109375" style="41" customWidth="1"/>
    <col min="12030" max="12030" width="15.5546875" style="41" customWidth="1"/>
    <col min="12031" max="12031" width="7.44140625" style="41" customWidth="1"/>
    <col min="12032" max="12032" width="7.6640625" style="41" customWidth="1"/>
    <col min="12033" max="12033" width="6.33203125" style="41" customWidth="1"/>
    <col min="12034" max="12034" width="7.5546875" style="41" customWidth="1"/>
    <col min="12035" max="12035" width="11" style="41" customWidth="1"/>
    <col min="12036" max="12036" width="11.5546875" style="41" customWidth="1"/>
    <col min="12037" max="12037" width="26" style="41" customWidth="1"/>
    <col min="12038" max="12281" width="9.109375" style="41"/>
    <col min="12282" max="12282" width="9.44140625" style="41" customWidth="1"/>
    <col min="12283" max="12283" width="102" style="41" customWidth="1"/>
    <col min="12284" max="12284" width="9" style="41" hidden="1" customWidth="1"/>
    <col min="12285" max="12285" width="6.109375" style="41" customWidth="1"/>
    <col min="12286" max="12286" width="15.5546875" style="41" customWidth="1"/>
    <col min="12287" max="12287" width="7.44140625" style="41" customWidth="1"/>
    <col min="12288" max="12288" width="7.6640625" style="41" customWidth="1"/>
    <col min="12289" max="12289" width="6.33203125" style="41" customWidth="1"/>
    <col min="12290" max="12290" width="7.5546875" style="41" customWidth="1"/>
    <col min="12291" max="12291" width="11" style="41" customWidth="1"/>
    <col min="12292" max="12292" width="11.5546875" style="41" customWidth="1"/>
    <col min="12293" max="12293" width="26" style="41" customWidth="1"/>
    <col min="12294" max="12537" width="9.109375" style="41"/>
    <col min="12538" max="12538" width="9.44140625" style="41" customWidth="1"/>
    <col min="12539" max="12539" width="102" style="41" customWidth="1"/>
    <col min="12540" max="12540" width="9" style="41" hidden="1" customWidth="1"/>
    <col min="12541" max="12541" width="6.109375" style="41" customWidth="1"/>
    <col min="12542" max="12542" width="15.5546875" style="41" customWidth="1"/>
    <col min="12543" max="12543" width="7.44140625" style="41" customWidth="1"/>
    <col min="12544" max="12544" width="7.6640625" style="41" customWidth="1"/>
    <col min="12545" max="12545" width="6.33203125" style="41" customWidth="1"/>
    <col min="12546" max="12546" width="7.5546875" style="41" customWidth="1"/>
    <col min="12547" max="12547" width="11" style="41" customWidth="1"/>
    <col min="12548" max="12548" width="11.5546875" style="41" customWidth="1"/>
    <col min="12549" max="12549" width="26" style="41" customWidth="1"/>
    <col min="12550" max="12793" width="9.109375" style="41"/>
    <col min="12794" max="12794" width="9.44140625" style="41" customWidth="1"/>
    <col min="12795" max="12795" width="102" style="41" customWidth="1"/>
    <col min="12796" max="12796" width="9" style="41" hidden="1" customWidth="1"/>
    <col min="12797" max="12797" width="6.109375" style="41" customWidth="1"/>
    <col min="12798" max="12798" width="15.5546875" style="41" customWidth="1"/>
    <col min="12799" max="12799" width="7.44140625" style="41" customWidth="1"/>
    <col min="12800" max="12800" width="7.6640625" style="41" customWidth="1"/>
    <col min="12801" max="12801" width="6.33203125" style="41" customWidth="1"/>
    <col min="12802" max="12802" width="7.5546875" style="41" customWidth="1"/>
    <col min="12803" max="12803" width="11" style="41" customWidth="1"/>
    <col min="12804" max="12804" width="11.5546875" style="41" customWidth="1"/>
    <col min="12805" max="12805" width="26" style="41" customWidth="1"/>
    <col min="12806" max="13049" width="9.109375" style="41"/>
    <col min="13050" max="13050" width="9.44140625" style="41" customWidth="1"/>
    <col min="13051" max="13051" width="102" style="41" customWidth="1"/>
    <col min="13052" max="13052" width="9" style="41" hidden="1" customWidth="1"/>
    <col min="13053" max="13053" width="6.109375" style="41" customWidth="1"/>
    <col min="13054" max="13054" width="15.5546875" style="41" customWidth="1"/>
    <col min="13055" max="13055" width="7.44140625" style="41" customWidth="1"/>
    <col min="13056" max="13056" width="7.6640625" style="41" customWidth="1"/>
    <col min="13057" max="13057" width="6.33203125" style="41" customWidth="1"/>
    <col min="13058" max="13058" width="7.5546875" style="41" customWidth="1"/>
    <col min="13059" max="13059" width="11" style="41" customWidth="1"/>
    <col min="13060" max="13060" width="11.5546875" style="41" customWidth="1"/>
    <col min="13061" max="13061" width="26" style="41" customWidth="1"/>
    <col min="13062" max="13305" width="9.109375" style="41"/>
    <col min="13306" max="13306" width="9.44140625" style="41" customWidth="1"/>
    <col min="13307" max="13307" width="102" style="41" customWidth="1"/>
    <col min="13308" max="13308" width="9" style="41" hidden="1" customWidth="1"/>
    <col min="13309" max="13309" width="6.109375" style="41" customWidth="1"/>
    <col min="13310" max="13310" width="15.5546875" style="41" customWidth="1"/>
    <col min="13311" max="13311" width="7.44140625" style="41" customWidth="1"/>
    <col min="13312" max="13312" width="7.6640625" style="41" customWidth="1"/>
    <col min="13313" max="13313" width="6.33203125" style="41" customWidth="1"/>
    <col min="13314" max="13314" width="7.5546875" style="41" customWidth="1"/>
    <col min="13315" max="13315" width="11" style="41" customWidth="1"/>
    <col min="13316" max="13316" width="11.5546875" style="41" customWidth="1"/>
    <col min="13317" max="13317" width="26" style="41" customWidth="1"/>
    <col min="13318" max="13561" width="9.109375" style="41"/>
    <col min="13562" max="13562" width="9.44140625" style="41" customWidth="1"/>
    <col min="13563" max="13563" width="102" style="41" customWidth="1"/>
    <col min="13564" max="13564" width="9" style="41" hidden="1" customWidth="1"/>
    <col min="13565" max="13565" width="6.109375" style="41" customWidth="1"/>
    <col min="13566" max="13566" width="15.5546875" style="41" customWidth="1"/>
    <col min="13567" max="13567" width="7.44140625" style="41" customWidth="1"/>
    <col min="13568" max="13568" width="7.6640625" style="41" customWidth="1"/>
    <col min="13569" max="13569" width="6.33203125" style="41" customWidth="1"/>
    <col min="13570" max="13570" width="7.5546875" style="41" customWidth="1"/>
    <col min="13571" max="13571" width="11" style="41" customWidth="1"/>
    <col min="13572" max="13572" width="11.5546875" style="41" customWidth="1"/>
    <col min="13573" max="13573" width="26" style="41" customWidth="1"/>
    <col min="13574" max="13817" width="9.109375" style="41"/>
    <col min="13818" max="13818" width="9.44140625" style="41" customWidth="1"/>
    <col min="13819" max="13819" width="102" style="41" customWidth="1"/>
    <col min="13820" max="13820" width="9" style="41" hidden="1" customWidth="1"/>
    <col min="13821" max="13821" width="6.109375" style="41" customWidth="1"/>
    <col min="13822" max="13822" width="15.5546875" style="41" customWidth="1"/>
    <col min="13823" max="13823" width="7.44140625" style="41" customWidth="1"/>
    <col min="13824" max="13824" width="7.6640625" style="41" customWidth="1"/>
    <col min="13825" max="13825" width="6.33203125" style="41" customWidth="1"/>
    <col min="13826" max="13826" width="7.5546875" style="41" customWidth="1"/>
    <col min="13827" max="13827" width="11" style="41" customWidth="1"/>
    <col min="13828" max="13828" width="11.5546875" style="41" customWidth="1"/>
    <col min="13829" max="13829" width="26" style="41" customWidth="1"/>
    <col min="13830" max="14073" width="9.109375" style="41"/>
    <col min="14074" max="14074" width="9.44140625" style="41" customWidth="1"/>
    <col min="14075" max="14075" width="102" style="41" customWidth="1"/>
    <col min="14076" max="14076" width="9" style="41" hidden="1" customWidth="1"/>
    <col min="14077" max="14077" width="6.109375" style="41" customWidth="1"/>
    <col min="14078" max="14078" width="15.5546875" style="41" customWidth="1"/>
    <col min="14079" max="14079" width="7.44140625" style="41" customWidth="1"/>
    <col min="14080" max="14080" width="7.6640625" style="41" customWidth="1"/>
    <col min="14081" max="14081" width="6.33203125" style="41" customWidth="1"/>
    <col min="14082" max="14082" width="7.5546875" style="41" customWidth="1"/>
    <col min="14083" max="14083" width="11" style="41" customWidth="1"/>
    <col min="14084" max="14084" width="11.5546875" style="41" customWidth="1"/>
    <col min="14085" max="14085" width="26" style="41" customWidth="1"/>
    <col min="14086" max="14329" width="9.109375" style="41"/>
    <col min="14330" max="14330" width="9.44140625" style="41" customWidth="1"/>
    <col min="14331" max="14331" width="102" style="41" customWidth="1"/>
    <col min="14332" max="14332" width="9" style="41" hidden="1" customWidth="1"/>
    <col min="14333" max="14333" width="6.109375" style="41" customWidth="1"/>
    <col min="14334" max="14334" width="15.5546875" style="41" customWidth="1"/>
    <col min="14335" max="14335" width="7.44140625" style="41" customWidth="1"/>
    <col min="14336" max="14336" width="7.6640625" style="41" customWidth="1"/>
    <col min="14337" max="14337" width="6.33203125" style="41" customWidth="1"/>
    <col min="14338" max="14338" width="7.5546875" style="41" customWidth="1"/>
    <col min="14339" max="14339" width="11" style="41" customWidth="1"/>
    <col min="14340" max="14340" width="11.5546875" style="41" customWidth="1"/>
    <col min="14341" max="14341" width="26" style="41" customWidth="1"/>
    <col min="14342" max="14585" width="9.109375" style="41"/>
    <col min="14586" max="14586" width="9.44140625" style="41" customWidth="1"/>
    <col min="14587" max="14587" width="102" style="41" customWidth="1"/>
    <col min="14588" max="14588" width="9" style="41" hidden="1" customWidth="1"/>
    <col min="14589" max="14589" width="6.109375" style="41" customWidth="1"/>
    <col min="14590" max="14590" width="15.5546875" style="41" customWidth="1"/>
    <col min="14591" max="14591" width="7.44140625" style="41" customWidth="1"/>
    <col min="14592" max="14592" width="7.6640625" style="41" customWidth="1"/>
    <col min="14593" max="14593" width="6.33203125" style="41" customWidth="1"/>
    <col min="14594" max="14594" width="7.5546875" style="41" customWidth="1"/>
    <col min="14595" max="14595" width="11" style="41" customWidth="1"/>
    <col min="14596" max="14596" width="11.5546875" style="41" customWidth="1"/>
    <col min="14597" max="14597" width="26" style="41" customWidth="1"/>
    <col min="14598" max="14841" width="9.109375" style="41"/>
    <col min="14842" max="14842" width="9.44140625" style="41" customWidth="1"/>
    <col min="14843" max="14843" width="102" style="41" customWidth="1"/>
    <col min="14844" max="14844" width="9" style="41" hidden="1" customWidth="1"/>
    <col min="14845" max="14845" width="6.109375" style="41" customWidth="1"/>
    <col min="14846" max="14846" width="15.5546875" style="41" customWidth="1"/>
    <col min="14847" max="14847" width="7.44140625" style="41" customWidth="1"/>
    <col min="14848" max="14848" width="7.6640625" style="41" customWidth="1"/>
    <col min="14849" max="14849" width="6.33203125" style="41" customWidth="1"/>
    <col min="14850" max="14850" width="7.5546875" style="41" customWidth="1"/>
    <col min="14851" max="14851" width="11" style="41" customWidth="1"/>
    <col min="14852" max="14852" width="11.5546875" style="41" customWidth="1"/>
    <col min="14853" max="14853" width="26" style="41" customWidth="1"/>
    <col min="14854" max="15097" width="9.109375" style="41"/>
    <col min="15098" max="15098" width="9.44140625" style="41" customWidth="1"/>
    <col min="15099" max="15099" width="102" style="41" customWidth="1"/>
    <col min="15100" max="15100" width="9" style="41" hidden="1" customWidth="1"/>
    <col min="15101" max="15101" width="6.109375" style="41" customWidth="1"/>
    <col min="15102" max="15102" width="15.5546875" style="41" customWidth="1"/>
    <col min="15103" max="15103" width="7.44140625" style="41" customWidth="1"/>
    <col min="15104" max="15104" width="7.6640625" style="41" customWidth="1"/>
    <col min="15105" max="15105" width="6.33203125" style="41" customWidth="1"/>
    <col min="15106" max="15106" width="7.5546875" style="41" customWidth="1"/>
    <col min="15107" max="15107" width="11" style="41" customWidth="1"/>
    <col min="15108" max="15108" width="11.5546875" style="41" customWidth="1"/>
    <col min="15109" max="15109" width="26" style="41" customWidth="1"/>
    <col min="15110" max="15353" width="9.109375" style="41"/>
    <col min="15354" max="15354" width="9.44140625" style="41" customWidth="1"/>
    <col min="15355" max="15355" width="102" style="41" customWidth="1"/>
    <col min="15356" max="15356" width="9" style="41" hidden="1" customWidth="1"/>
    <col min="15357" max="15357" width="6.109375" style="41" customWidth="1"/>
    <col min="15358" max="15358" width="15.5546875" style="41" customWidth="1"/>
    <col min="15359" max="15359" width="7.44140625" style="41" customWidth="1"/>
    <col min="15360" max="15360" width="7.6640625" style="41" customWidth="1"/>
    <col min="15361" max="15361" width="6.33203125" style="41" customWidth="1"/>
    <col min="15362" max="15362" width="7.5546875" style="41" customWidth="1"/>
    <col min="15363" max="15363" width="11" style="41" customWidth="1"/>
    <col min="15364" max="15364" width="11.5546875" style="41" customWidth="1"/>
    <col min="15365" max="15365" width="26" style="41" customWidth="1"/>
    <col min="15366" max="15609" width="9.109375" style="41"/>
    <col min="15610" max="15610" width="9.44140625" style="41" customWidth="1"/>
    <col min="15611" max="15611" width="102" style="41" customWidth="1"/>
    <col min="15612" max="15612" width="9" style="41" hidden="1" customWidth="1"/>
    <col min="15613" max="15613" width="6.109375" style="41" customWidth="1"/>
    <col min="15614" max="15614" width="15.5546875" style="41" customWidth="1"/>
    <col min="15615" max="15615" width="7.44140625" style="41" customWidth="1"/>
    <col min="15616" max="15616" width="7.6640625" style="41" customWidth="1"/>
    <col min="15617" max="15617" width="6.33203125" style="41" customWidth="1"/>
    <col min="15618" max="15618" width="7.5546875" style="41" customWidth="1"/>
    <col min="15619" max="15619" width="11" style="41" customWidth="1"/>
    <col min="15620" max="15620" width="11.5546875" style="41" customWidth="1"/>
    <col min="15621" max="15621" width="26" style="41" customWidth="1"/>
    <col min="15622" max="15865" width="9.109375" style="41"/>
    <col min="15866" max="15866" width="9.44140625" style="41" customWidth="1"/>
    <col min="15867" max="15867" width="102" style="41" customWidth="1"/>
    <col min="15868" max="15868" width="9" style="41" hidden="1" customWidth="1"/>
    <col min="15869" max="15869" width="6.109375" style="41" customWidth="1"/>
    <col min="15870" max="15870" width="15.5546875" style="41" customWidth="1"/>
    <col min="15871" max="15871" width="7.44140625" style="41" customWidth="1"/>
    <col min="15872" max="15872" width="7.6640625" style="41" customWidth="1"/>
    <col min="15873" max="15873" width="6.33203125" style="41" customWidth="1"/>
    <col min="15874" max="15874" width="7.5546875" style="41" customWidth="1"/>
    <col min="15875" max="15875" width="11" style="41" customWidth="1"/>
    <col min="15876" max="15876" width="11.5546875" style="41" customWidth="1"/>
    <col min="15877" max="15877" width="26" style="41" customWidth="1"/>
    <col min="15878" max="16121" width="9.109375" style="41"/>
    <col min="16122" max="16122" width="9.44140625" style="41" customWidth="1"/>
    <col min="16123" max="16123" width="102" style="41" customWidth="1"/>
    <col min="16124" max="16124" width="9" style="41" hidden="1" customWidth="1"/>
    <col min="16125" max="16125" width="6.109375" style="41" customWidth="1"/>
    <col min="16126" max="16126" width="15.5546875" style="41" customWidth="1"/>
    <col min="16127" max="16127" width="7.44140625" style="41" customWidth="1"/>
    <col min="16128" max="16128" width="7.6640625" style="41" customWidth="1"/>
    <col min="16129" max="16129" width="6.33203125" style="41" customWidth="1"/>
    <col min="16130" max="16130" width="7.5546875" style="41" customWidth="1"/>
    <col min="16131" max="16131" width="11" style="41" customWidth="1"/>
    <col min="16132" max="16132" width="11.5546875" style="41" customWidth="1"/>
    <col min="16133" max="16133" width="26" style="41" customWidth="1"/>
    <col min="16134" max="16376" width="9.109375" style="41"/>
    <col min="16377" max="16384" width="9.109375" style="41" customWidth="1"/>
  </cols>
  <sheetData>
    <row r="1" spans="1:10" s="30" customFormat="1" ht="19.95" customHeight="1">
      <c r="A1" s="344" t="s">
        <v>6</v>
      </c>
      <c r="B1" s="344"/>
      <c r="C1" s="344"/>
      <c r="D1" s="344"/>
      <c r="E1" s="344"/>
      <c r="F1" s="344"/>
      <c r="G1" s="344"/>
      <c r="H1" s="344"/>
      <c r="I1" s="344"/>
    </row>
    <row r="2" spans="1:10" s="30" customFormat="1" ht="19.95" customHeight="1">
      <c r="A2" s="345" t="s">
        <v>7</v>
      </c>
      <c r="B2" s="345"/>
      <c r="C2" s="345"/>
      <c r="D2" s="345"/>
      <c r="E2" s="345"/>
      <c r="F2" s="345"/>
      <c r="G2" s="345"/>
      <c r="H2" s="345"/>
      <c r="I2" s="345"/>
    </row>
    <row r="3" spans="1:10" s="2" customFormat="1" ht="19.95" customHeight="1">
      <c r="A3" s="2" t="str">
        <f>底稿目录!A2</f>
        <v>被审计单位：</v>
      </c>
      <c r="C3" s="2" t="str">
        <f>底稿目录!A4</f>
        <v>编制人：</v>
      </c>
      <c r="E3" s="2" t="str">
        <f>底稿目录!A5</f>
        <v>编制日期：</v>
      </c>
      <c r="H3" s="50" t="s">
        <v>155</v>
      </c>
      <c r="I3" s="255" t="str">
        <f>底稿目录!D5</f>
        <v>K9A</v>
      </c>
    </row>
    <row r="4" spans="1:10" s="2" customFormat="1" ht="19.95" customHeight="1">
      <c r="A4" s="2" t="str">
        <f>底稿目录!A3</f>
        <v>会计期间：202X年度</v>
      </c>
      <c r="C4" s="109" t="str">
        <f>底稿目录!A6</f>
        <v>复核人：</v>
      </c>
      <c r="E4" s="2" t="str">
        <f>底稿目录!A7</f>
        <v>复核日期：</v>
      </c>
      <c r="H4" s="50" t="s">
        <v>8</v>
      </c>
      <c r="I4" s="26"/>
    </row>
    <row r="5" spans="1:10" ht="19.95" customHeight="1">
      <c r="A5" s="346" t="s">
        <v>172</v>
      </c>
      <c r="B5" s="346"/>
    </row>
    <row r="6" spans="1:10" ht="19.95" customHeight="1">
      <c r="A6" s="218" t="s">
        <v>9</v>
      </c>
      <c r="B6" s="161"/>
      <c r="C6" s="161"/>
      <c r="D6" s="161"/>
      <c r="E6" s="161"/>
      <c r="F6" s="161"/>
      <c r="G6" s="161"/>
      <c r="H6" s="161"/>
      <c r="I6" s="161"/>
    </row>
    <row r="7" spans="1:10" s="2" customFormat="1" ht="19.95" customHeight="1">
      <c r="A7" s="160" t="s">
        <v>173</v>
      </c>
      <c r="B7" s="29"/>
      <c r="C7" s="110"/>
    </row>
    <row r="8" spans="1:10" s="2" customFormat="1" ht="19.95" customHeight="1">
      <c r="A8" s="343" t="s">
        <v>174</v>
      </c>
      <c r="B8" s="343"/>
      <c r="C8" s="343"/>
      <c r="D8" s="343"/>
      <c r="E8" s="343"/>
      <c r="F8" s="343"/>
      <c r="G8" s="351" t="s">
        <v>10</v>
      </c>
      <c r="H8" s="351"/>
      <c r="I8" s="351"/>
    </row>
    <row r="9" spans="1:10" s="2" customFormat="1" ht="19.95" customHeight="1">
      <c r="A9" s="349" t="s">
        <v>370</v>
      </c>
      <c r="B9" s="349"/>
      <c r="C9" s="349"/>
      <c r="D9" s="349"/>
      <c r="E9" s="349"/>
      <c r="F9" s="349"/>
      <c r="G9" s="350" t="s">
        <v>175</v>
      </c>
      <c r="H9" s="350"/>
      <c r="I9" s="350"/>
    </row>
    <row r="10" spans="1:10" s="2" customFormat="1" ht="19.95" customHeight="1">
      <c r="A10" s="349" t="s">
        <v>242</v>
      </c>
      <c r="B10" s="349"/>
      <c r="C10" s="349"/>
      <c r="D10" s="349"/>
      <c r="E10" s="349"/>
      <c r="F10" s="349"/>
      <c r="G10" s="350" t="s">
        <v>241</v>
      </c>
      <c r="H10" s="350"/>
      <c r="I10" s="350"/>
    </row>
    <row r="11" spans="1:10" s="2" customFormat="1" ht="19.95" customHeight="1">
      <c r="A11" s="349" t="s">
        <v>378</v>
      </c>
      <c r="B11" s="349"/>
      <c r="C11" s="349"/>
      <c r="D11" s="349"/>
      <c r="E11" s="349"/>
      <c r="F11" s="349"/>
      <c r="G11" s="350" t="s">
        <v>176</v>
      </c>
      <c r="H11" s="350"/>
      <c r="I11" s="350"/>
    </row>
    <row r="12" spans="1:10" s="2" customFormat="1" ht="19.95" customHeight="1">
      <c r="A12" s="349" t="s">
        <v>379</v>
      </c>
      <c r="B12" s="349"/>
      <c r="C12" s="349"/>
      <c r="D12" s="349"/>
      <c r="E12" s="349"/>
      <c r="F12" s="349"/>
      <c r="G12" s="350" t="s">
        <v>377</v>
      </c>
      <c r="H12" s="350"/>
      <c r="I12" s="350"/>
    </row>
    <row r="13" spans="1:10" s="2" customFormat="1" ht="19.95" customHeight="1">
      <c r="A13" s="349" t="s">
        <v>243</v>
      </c>
      <c r="B13" s="349"/>
      <c r="C13" s="349"/>
      <c r="D13" s="349"/>
      <c r="E13" s="349"/>
      <c r="F13" s="349"/>
      <c r="G13" s="350" t="s">
        <v>193</v>
      </c>
      <c r="H13" s="350"/>
      <c r="I13" s="350"/>
    </row>
    <row r="14" spans="1:10" s="2" customFormat="1" ht="19.95" customHeight="1">
      <c r="A14" s="347" t="s">
        <v>15</v>
      </c>
      <c r="B14" s="348"/>
      <c r="C14" s="110"/>
    </row>
    <row r="15" spans="1:10" s="2" customFormat="1" ht="19.95" customHeight="1">
      <c r="A15" s="339" t="s">
        <v>177</v>
      </c>
      <c r="B15" s="340" t="s">
        <v>386</v>
      </c>
      <c r="C15" s="341" t="s">
        <v>179</v>
      </c>
      <c r="D15" s="342" t="s">
        <v>178</v>
      </c>
      <c r="E15" s="342"/>
      <c r="F15" s="342"/>
      <c r="G15" s="342"/>
      <c r="H15" s="342"/>
      <c r="I15" s="343" t="s">
        <v>232</v>
      </c>
    </row>
    <row r="16" spans="1:10" s="4" customFormat="1" ht="19.95" customHeight="1">
      <c r="A16" s="339"/>
      <c r="B16" s="340"/>
      <c r="C16" s="341"/>
      <c r="D16" s="219" t="s">
        <v>11</v>
      </c>
      <c r="E16" s="219" t="s">
        <v>180</v>
      </c>
      <c r="F16" s="219" t="s">
        <v>12</v>
      </c>
      <c r="G16" s="219" t="s">
        <v>13</v>
      </c>
      <c r="H16" s="219" t="s">
        <v>193</v>
      </c>
      <c r="I16" s="343"/>
      <c r="J16" s="314" t="s">
        <v>385</v>
      </c>
    </row>
    <row r="17" spans="1:10" s="4" customFormat="1" ht="47.4" customHeight="1">
      <c r="A17" s="163" t="s">
        <v>182</v>
      </c>
      <c r="B17" s="112" t="s">
        <v>368</v>
      </c>
      <c r="C17" s="111" t="s">
        <v>183</v>
      </c>
      <c r="D17" s="221" t="s">
        <v>246</v>
      </c>
      <c r="E17" s="221" t="s">
        <v>246</v>
      </c>
      <c r="F17" s="222" t="s">
        <v>246</v>
      </c>
      <c r="G17" s="111"/>
      <c r="H17" s="111"/>
      <c r="I17" s="205" t="s">
        <v>361</v>
      </c>
    </row>
    <row r="18" spans="1:10" s="107" customFormat="1" ht="48" customHeight="1">
      <c r="A18" s="163" t="s">
        <v>17</v>
      </c>
      <c r="B18" s="166" t="s">
        <v>190</v>
      </c>
      <c r="C18" s="111" t="s">
        <v>184</v>
      </c>
      <c r="D18" s="223"/>
      <c r="E18" s="222" t="s">
        <v>246</v>
      </c>
      <c r="F18" s="221" t="s">
        <v>247</v>
      </c>
      <c r="G18" s="111"/>
      <c r="H18" s="111"/>
      <c r="I18" s="305" t="s">
        <v>362</v>
      </c>
      <c r="J18" s="206" t="s">
        <v>227</v>
      </c>
    </row>
    <row r="19" spans="1:10" s="107" customFormat="1" ht="32.4" customHeight="1">
      <c r="A19" s="163" t="s">
        <v>18</v>
      </c>
      <c r="B19" s="220" t="s">
        <v>244</v>
      </c>
      <c r="C19" s="165" t="s">
        <v>245</v>
      </c>
      <c r="D19" s="177"/>
      <c r="E19" s="177"/>
      <c r="F19" s="177"/>
      <c r="G19" s="176" t="s">
        <v>181</v>
      </c>
      <c r="H19" s="177"/>
      <c r="I19" s="205"/>
      <c r="J19" s="207" t="s">
        <v>228</v>
      </c>
    </row>
    <row r="20" spans="1:10" s="4" customFormat="1" ht="32.4" customHeight="1">
      <c r="A20" s="163" t="s">
        <v>19</v>
      </c>
      <c r="B20" s="166" t="s">
        <v>191</v>
      </c>
      <c r="C20" s="167" t="s">
        <v>192</v>
      </c>
      <c r="D20" s="224" t="s">
        <v>181</v>
      </c>
      <c r="E20" s="224" t="s">
        <v>181</v>
      </c>
      <c r="F20" s="224" t="s">
        <v>181</v>
      </c>
      <c r="G20" s="224"/>
      <c r="H20" s="224"/>
      <c r="I20" s="205" t="s">
        <v>363</v>
      </c>
      <c r="J20" s="207"/>
    </row>
    <row r="21" spans="1:10" s="4" customFormat="1" ht="103.8" customHeight="1">
      <c r="A21" s="163" t="s">
        <v>20</v>
      </c>
      <c r="B21" s="211" t="s">
        <v>248</v>
      </c>
      <c r="C21" s="111" t="s">
        <v>185</v>
      </c>
      <c r="D21" s="224" t="s">
        <v>181</v>
      </c>
      <c r="E21" s="225" t="s">
        <v>181</v>
      </c>
      <c r="F21" s="111" t="s">
        <v>181</v>
      </c>
      <c r="G21" s="111"/>
      <c r="H21" s="111"/>
      <c r="I21" s="204" t="s">
        <v>170</v>
      </c>
    </row>
    <row r="22" spans="1:10" s="4" customFormat="1" ht="26.4" customHeight="1">
      <c r="A22" s="163" t="s">
        <v>21</v>
      </c>
      <c r="B22" s="112" t="s">
        <v>249</v>
      </c>
      <c r="C22" s="111" t="s">
        <v>258</v>
      </c>
      <c r="D22" s="224"/>
      <c r="E22" s="225"/>
      <c r="F22" s="174" t="s">
        <v>181</v>
      </c>
      <c r="G22" s="111"/>
      <c r="H22" s="111"/>
      <c r="I22" s="212" t="s">
        <v>364</v>
      </c>
    </row>
    <row r="23" spans="1:10" s="4" customFormat="1" ht="35.4" customHeight="1">
      <c r="A23" s="163" t="s">
        <v>186</v>
      </c>
      <c r="B23" s="112" t="s">
        <v>250</v>
      </c>
      <c r="C23" s="111" t="s">
        <v>183</v>
      </c>
      <c r="D23" s="224" t="s">
        <v>358</v>
      </c>
      <c r="E23" s="225" t="s">
        <v>358</v>
      </c>
      <c r="F23" s="225" t="s">
        <v>359</v>
      </c>
      <c r="G23" s="224" t="s">
        <v>360</v>
      </c>
      <c r="H23" s="111"/>
      <c r="I23" s="212" t="s">
        <v>365</v>
      </c>
    </row>
    <row r="24" spans="1:10" s="106" customFormat="1" ht="49.8" customHeight="1">
      <c r="A24" s="163" t="s">
        <v>187</v>
      </c>
      <c r="B24" s="112" t="s">
        <v>257</v>
      </c>
      <c r="C24" s="111" t="s">
        <v>258</v>
      </c>
      <c r="D24" s="111"/>
      <c r="E24" s="225" t="s">
        <v>358</v>
      </c>
      <c r="F24" s="174"/>
      <c r="G24" s="159"/>
      <c r="H24" s="159"/>
      <c r="I24" s="204"/>
    </row>
    <row r="25" spans="1:10" s="4" customFormat="1" ht="58.2" customHeight="1">
      <c r="A25" s="163" t="s">
        <v>188</v>
      </c>
      <c r="B25" s="166" t="s">
        <v>251</v>
      </c>
      <c r="C25" s="175" t="s">
        <v>184</v>
      </c>
      <c r="D25" s="224" t="s">
        <v>14</v>
      </c>
      <c r="E25" s="225" t="s">
        <v>14</v>
      </c>
      <c r="F25" s="224" t="s">
        <v>14</v>
      </c>
      <c r="G25" s="225" t="s">
        <v>14</v>
      </c>
      <c r="H25" s="224" t="s">
        <v>14</v>
      </c>
      <c r="I25" s="212"/>
    </row>
    <row r="26" spans="1:10" s="4" customFormat="1" ht="202.2" customHeight="1">
      <c r="A26" s="163" t="s">
        <v>195</v>
      </c>
      <c r="B26" s="166" t="s">
        <v>369</v>
      </c>
      <c r="C26" s="224" t="s">
        <v>252</v>
      </c>
      <c r="D26" s="224" t="s">
        <v>14</v>
      </c>
      <c r="E26" s="225" t="s">
        <v>14</v>
      </c>
      <c r="F26" s="224" t="s">
        <v>14</v>
      </c>
      <c r="G26" s="225" t="s">
        <v>14</v>
      </c>
      <c r="H26" s="224" t="s">
        <v>14</v>
      </c>
      <c r="I26" s="212"/>
    </row>
    <row r="27" spans="1:10" s="4" customFormat="1" ht="75" customHeight="1">
      <c r="A27" s="163" t="s">
        <v>216</v>
      </c>
      <c r="B27" s="164" t="s">
        <v>253</v>
      </c>
      <c r="C27" s="165" t="s">
        <v>183</v>
      </c>
      <c r="D27" s="177"/>
      <c r="E27" s="177"/>
      <c r="F27" s="177"/>
      <c r="G27" s="176" t="s">
        <v>181</v>
      </c>
      <c r="H27" s="177"/>
      <c r="I27" s="162" t="s">
        <v>366</v>
      </c>
    </row>
    <row r="28" spans="1:10" s="4" customFormat="1" ht="37.200000000000003" customHeight="1">
      <c r="A28" s="163" t="s">
        <v>259</v>
      </c>
      <c r="B28" s="166" t="s">
        <v>254</v>
      </c>
      <c r="C28" s="175" t="s">
        <v>184</v>
      </c>
      <c r="D28" s="222" t="s">
        <v>181</v>
      </c>
      <c r="E28" s="226"/>
      <c r="F28" s="221" t="s">
        <v>181</v>
      </c>
      <c r="G28" s="221" t="s">
        <v>181</v>
      </c>
      <c r="H28" s="111"/>
      <c r="I28" s="162" t="s">
        <v>367</v>
      </c>
    </row>
    <row r="29" spans="1:10" s="2" customFormat="1" ht="45" customHeight="1">
      <c r="A29" s="163" t="s">
        <v>260</v>
      </c>
      <c r="B29" s="227" t="s">
        <v>255</v>
      </c>
      <c r="C29" s="224" t="s">
        <v>252</v>
      </c>
      <c r="D29" s="111"/>
      <c r="E29" s="111"/>
      <c r="F29" s="111"/>
      <c r="G29" s="111"/>
      <c r="H29" s="177"/>
      <c r="I29" s="162"/>
    </row>
    <row r="30" spans="1:10" s="2" customFormat="1" ht="27.6" customHeight="1">
      <c r="A30" s="163" t="s">
        <v>261</v>
      </c>
      <c r="B30" s="228" t="s">
        <v>256</v>
      </c>
      <c r="C30" s="158" t="s">
        <v>189</v>
      </c>
      <c r="D30" s="159"/>
      <c r="E30" s="159"/>
      <c r="F30" s="159"/>
      <c r="G30" s="159"/>
      <c r="H30" s="111" t="s">
        <v>194</v>
      </c>
      <c r="I30" s="208" t="s">
        <v>229</v>
      </c>
    </row>
    <row r="31" spans="1:10" s="2" customFormat="1">
      <c r="A31" s="113"/>
      <c r="B31" s="114"/>
      <c r="C31" s="115"/>
      <c r="D31" s="116"/>
      <c r="E31" s="116"/>
      <c r="F31" s="116"/>
      <c r="G31" s="116"/>
      <c r="H31" s="116"/>
      <c r="I31" s="116"/>
    </row>
  </sheetData>
  <mergeCells count="21">
    <mergeCell ref="A1:I1"/>
    <mergeCell ref="A2:I2"/>
    <mergeCell ref="A5:B5"/>
    <mergeCell ref="A14:B14"/>
    <mergeCell ref="A8:F8"/>
    <mergeCell ref="A9:F9"/>
    <mergeCell ref="A10:F10"/>
    <mergeCell ref="A11:F11"/>
    <mergeCell ref="A12:F12"/>
    <mergeCell ref="A13:F13"/>
    <mergeCell ref="G13:I13"/>
    <mergeCell ref="G8:I8"/>
    <mergeCell ref="G9:I9"/>
    <mergeCell ref="G10:I10"/>
    <mergeCell ref="G11:I11"/>
    <mergeCell ref="G12:I12"/>
    <mergeCell ref="A15:A16"/>
    <mergeCell ref="B15:B16"/>
    <mergeCell ref="C15:C16"/>
    <mergeCell ref="D15:H15"/>
    <mergeCell ref="I15:I16"/>
  </mergeCells>
  <phoneticPr fontId="67" type="noConversion"/>
  <hyperlinks>
    <hyperlink ref="I3" location="底稿目录!A1" display="底稿目录!A1"/>
  </hyperlinks>
  <printOptions horizontalCentered="1"/>
  <pageMargins left="0.7" right="0.7" top="0.75" bottom="0.75" header="0.3" footer="0.3"/>
  <pageSetup paperSize="9" scale="75" fitToHeight="0" orientation="portrait" blackAndWhite="1" cellComments="atEnd"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N44"/>
  <sheetViews>
    <sheetView view="pageBreakPreview" zoomScaleNormal="100" workbookViewId="0">
      <selection sqref="A1:L1"/>
    </sheetView>
  </sheetViews>
  <sheetFormatPr defaultColWidth="9.109375" defaultRowHeight="23.25" customHeight="1"/>
  <cols>
    <col min="1" max="1" width="20.44140625" style="6" customWidth="1"/>
    <col min="2" max="10" width="11.6640625" style="6" customWidth="1"/>
    <col min="11" max="11" width="12.5546875" style="6" customWidth="1"/>
    <col min="12" max="12" width="17.44140625" style="6" customWidth="1"/>
    <col min="13" max="16384" width="9.109375" style="6"/>
  </cols>
  <sheetData>
    <row r="1" spans="1:12" s="91" customFormat="1" ht="19.95" customHeight="1">
      <c r="A1" s="357" t="s">
        <v>6</v>
      </c>
      <c r="B1" s="357"/>
      <c r="C1" s="357"/>
      <c r="D1" s="357"/>
      <c r="E1" s="357"/>
      <c r="F1" s="357"/>
      <c r="G1" s="357"/>
      <c r="H1" s="357"/>
      <c r="I1" s="357"/>
      <c r="J1" s="357"/>
      <c r="K1" s="357"/>
      <c r="L1" s="357"/>
    </row>
    <row r="2" spans="1:12" s="91" customFormat="1" ht="19.95" customHeight="1">
      <c r="A2" s="358" t="s">
        <v>22</v>
      </c>
      <c r="B2" s="358"/>
      <c r="C2" s="358"/>
      <c r="D2" s="358"/>
      <c r="E2" s="358"/>
      <c r="F2" s="358"/>
      <c r="G2" s="358"/>
      <c r="H2" s="358"/>
      <c r="I2" s="358"/>
      <c r="J2" s="358"/>
      <c r="K2" s="358"/>
      <c r="L2" s="358"/>
    </row>
    <row r="3" spans="1:12" ht="19.95" customHeight="1">
      <c r="A3" s="6" t="str">
        <f>底稿目录!A2</f>
        <v>被审计单位：</v>
      </c>
      <c r="D3" s="7" t="str">
        <f>底稿目录!A4</f>
        <v>编制人：</v>
      </c>
      <c r="H3" s="48" t="str">
        <f>底稿目录!A5</f>
        <v>编制日期：</v>
      </c>
      <c r="K3" s="145" t="s">
        <v>156</v>
      </c>
      <c r="L3" s="255" t="str">
        <f>底稿目录!D6</f>
        <v>K9-1</v>
      </c>
    </row>
    <row r="4" spans="1:12" ht="19.95" customHeight="1">
      <c r="A4" s="6" t="str">
        <f>底稿目录!A3</f>
        <v>会计期间：202X年度</v>
      </c>
      <c r="B4" s="8"/>
      <c r="D4" s="7" t="str">
        <f>底稿目录!A6</f>
        <v>复核人：</v>
      </c>
      <c r="H4" s="48" t="str">
        <f>底稿目录!A7</f>
        <v>复核日期：</v>
      </c>
      <c r="K4" s="145" t="s">
        <v>157</v>
      </c>
      <c r="L4" s="144"/>
    </row>
    <row r="5" spans="1:12" ht="33.6" customHeight="1">
      <c r="A5" s="353" t="s">
        <v>23</v>
      </c>
      <c r="B5" s="359" t="s">
        <v>24</v>
      </c>
      <c r="C5" s="360"/>
      <c r="D5" s="360"/>
      <c r="E5" s="361"/>
      <c r="F5" s="359" t="s">
        <v>25</v>
      </c>
      <c r="G5" s="360"/>
      <c r="H5" s="360"/>
      <c r="I5" s="361"/>
      <c r="J5" s="362" t="s">
        <v>26</v>
      </c>
      <c r="K5" s="363"/>
      <c r="L5" s="355" t="s">
        <v>27</v>
      </c>
    </row>
    <row r="6" spans="1:12" ht="19.95" customHeight="1">
      <c r="A6" s="354"/>
      <c r="B6" s="94" t="s">
        <v>28</v>
      </c>
      <c r="C6" s="94" t="s">
        <v>29</v>
      </c>
      <c r="D6" s="94" t="s">
        <v>30</v>
      </c>
      <c r="E6" s="94" t="s">
        <v>31</v>
      </c>
      <c r="F6" s="94" t="s">
        <v>28</v>
      </c>
      <c r="G6" s="94" t="s">
        <v>29</v>
      </c>
      <c r="H6" s="94" t="s">
        <v>30</v>
      </c>
      <c r="I6" s="94" t="s">
        <v>31</v>
      </c>
      <c r="J6" s="103" t="s">
        <v>32</v>
      </c>
      <c r="K6" s="102" t="s">
        <v>33</v>
      </c>
      <c r="L6" s="356"/>
    </row>
    <row r="7" spans="1:12" s="92" customFormat="1" ht="19.95" customHeight="1">
      <c r="A7" s="95" t="str">
        <f>'明细表K9-2'!A11</f>
        <v>公司经费</v>
      </c>
      <c r="B7" s="146">
        <f>SUMIF('明细表K9-2'!$X$11:$X$28,$A7,'明细表K9-2'!$T$11:$T$28)</f>
        <v>0</v>
      </c>
      <c r="C7" s="146">
        <f>SUMIF('明细表K9-2'!$X$11:$X$28,$A7,'明细表K9-2'!$U$11:$U$28)</f>
        <v>0</v>
      </c>
      <c r="D7" s="146">
        <f>SUMIF('明细表K9-2'!$X$11:$X$28,$A7,'明细表K9-2'!$V$11:$V$28)</f>
        <v>0</v>
      </c>
      <c r="E7" s="146">
        <f>B7+C7+D7</f>
        <v>0</v>
      </c>
      <c r="F7" s="146">
        <f>SUMIF('明细表K9-2'!$X$11:$X$28,$A7,'明细表K9-2'!$N$11:$N$28)</f>
        <v>0</v>
      </c>
      <c r="G7" s="146">
        <f>SUMIF('明细表K9-2'!$X$11:$X$28,$A7,'明细表K9-2'!$O$11:$O$28)</f>
        <v>0</v>
      </c>
      <c r="H7" s="146">
        <f>SUMIF('明细表K9-2'!$X$11:$X$28,$A7,'明细表K9-2'!$P$11:$P$28)</f>
        <v>0</v>
      </c>
      <c r="I7" s="146">
        <f>F7+G7+H7</f>
        <v>0</v>
      </c>
      <c r="J7" s="147">
        <f>I7-E7</f>
        <v>0</v>
      </c>
      <c r="K7" s="148">
        <f t="shared" ref="K7:K25" si="0">IF(AND(E7=0,I7=0),0,IF(AND(E7=0,I7&gt;0),1,J7/E7))</f>
        <v>0</v>
      </c>
      <c r="L7" s="104"/>
    </row>
    <row r="8" spans="1:12" s="92" customFormat="1" ht="19.95" customHeight="1">
      <c r="A8" s="95" t="str">
        <f>'明细表K9-2'!A12</f>
        <v>职工工资</v>
      </c>
      <c r="B8" s="146">
        <f>SUMIF('明细表K9-2'!$X$11:$X$28,$A8,'明细表K9-2'!$T$11:$T$28)</f>
        <v>0</v>
      </c>
      <c r="C8" s="146">
        <f>SUMIF('明细表K9-2'!$X$11:$X$28,$A8,'明细表K9-2'!$U$11:$U$28)</f>
        <v>0</v>
      </c>
      <c r="D8" s="146">
        <f>SUMIF('明细表K9-2'!$X$11:$X$28,$A8,'明细表K9-2'!$V$11:$V$28)</f>
        <v>0</v>
      </c>
      <c r="E8" s="146">
        <f t="shared" ref="E8:E19" si="1">B8+C8+D8</f>
        <v>0</v>
      </c>
      <c r="F8" s="146">
        <f>SUMIF('明细表K9-2'!$X$11:$X$28,$A8,'明细表K9-2'!$N$11:$N$28)</f>
        <v>0</v>
      </c>
      <c r="G8" s="146">
        <f>SUMIF('明细表K9-2'!$X$11:$X$28,$A8,'明细表K9-2'!$O$11:$O$28)</f>
        <v>0</v>
      </c>
      <c r="H8" s="146">
        <f>SUMIF('明细表K9-2'!$X$11:$X$28,$A8,'明细表K9-2'!$P$11:$P$28)</f>
        <v>0</v>
      </c>
      <c r="I8" s="146">
        <f t="shared" ref="I8:I19" si="2">F8+G8+H8</f>
        <v>0</v>
      </c>
      <c r="J8" s="147">
        <f t="shared" ref="J8:J19" si="3">I8-E8</f>
        <v>0</v>
      </c>
      <c r="K8" s="148">
        <f t="shared" si="0"/>
        <v>0</v>
      </c>
      <c r="L8" s="104"/>
    </row>
    <row r="9" spans="1:12" s="92" customFormat="1" ht="19.95" customHeight="1">
      <c r="A9" s="95" t="str">
        <f>'明细表K9-2'!A13</f>
        <v>福利费</v>
      </c>
      <c r="B9" s="146">
        <f>SUMIF('明细表K9-2'!$X$11:$X$28,$A9,'明细表K9-2'!$T$11:$T$28)</f>
        <v>0</v>
      </c>
      <c r="C9" s="146">
        <f>SUMIF('明细表K9-2'!$X$11:$X$28,$A9,'明细表K9-2'!$U$11:$U$28)</f>
        <v>0</v>
      </c>
      <c r="D9" s="146">
        <f>SUMIF('明细表K9-2'!$X$11:$X$28,$A9,'明细表K9-2'!$V$11:$V$28)</f>
        <v>0</v>
      </c>
      <c r="E9" s="146">
        <f t="shared" si="1"/>
        <v>0</v>
      </c>
      <c r="F9" s="146">
        <f>SUMIF('明细表K9-2'!$X$11:$X$28,$A9,'明细表K9-2'!$N$11:$N$28)</f>
        <v>0</v>
      </c>
      <c r="G9" s="146">
        <f>SUMIF('明细表K9-2'!$X$11:$X$28,$A9,'明细表K9-2'!$O$11:$O$28)</f>
        <v>0</v>
      </c>
      <c r="H9" s="146">
        <f>SUMIF('明细表K9-2'!$X$11:$X$28,$A9,'明细表K9-2'!$P$11:$P$28)</f>
        <v>0</v>
      </c>
      <c r="I9" s="146">
        <f t="shared" si="2"/>
        <v>0</v>
      </c>
      <c r="J9" s="147">
        <f t="shared" si="3"/>
        <v>0</v>
      </c>
      <c r="K9" s="148">
        <f t="shared" si="0"/>
        <v>0</v>
      </c>
      <c r="L9" s="104"/>
    </row>
    <row r="10" spans="1:12" s="92" customFormat="1" ht="19.95" customHeight="1">
      <c r="A10" s="95" t="str">
        <f>'明细表K9-2'!A14</f>
        <v>物料消耗</v>
      </c>
      <c r="B10" s="146">
        <f>SUMIF('明细表K9-2'!$X$11:$X$28,$A10,'明细表K9-2'!$T$11:$T$28)</f>
        <v>0</v>
      </c>
      <c r="C10" s="146">
        <f>SUMIF('明细表K9-2'!$X$11:$X$28,$A10,'明细表K9-2'!$U$11:$U$28)</f>
        <v>0</v>
      </c>
      <c r="D10" s="146">
        <f>SUMIF('明细表K9-2'!$X$11:$X$28,$A10,'明细表K9-2'!$V$11:$V$28)</f>
        <v>0</v>
      </c>
      <c r="E10" s="146">
        <f t="shared" si="1"/>
        <v>0</v>
      </c>
      <c r="F10" s="146">
        <f>SUMIF('明细表K9-2'!$X$11:$X$28,$A10,'明细表K9-2'!$N$11:$N$28)</f>
        <v>0</v>
      </c>
      <c r="G10" s="146">
        <f>SUMIF('明细表K9-2'!$X$11:$X$28,$A10,'明细表K9-2'!$O$11:$O$28)</f>
        <v>0</v>
      </c>
      <c r="H10" s="146">
        <f>SUMIF('明细表K9-2'!$X$11:$X$28,$A10,'明细表K9-2'!$P$11:$P$28)</f>
        <v>0</v>
      </c>
      <c r="I10" s="146">
        <f t="shared" si="2"/>
        <v>0</v>
      </c>
      <c r="J10" s="147">
        <f t="shared" si="3"/>
        <v>0</v>
      </c>
      <c r="K10" s="148">
        <f t="shared" si="0"/>
        <v>0</v>
      </c>
      <c r="L10" s="104"/>
    </row>
    <row r="11" spans="1:12" s="92" customFormat="1" ht="19.95" customHeight="1">
      <c r="A11" s="95" t="str">
        <f>'明细表K9-2'!A15</f>
        <v>低值易耗品摊销</v>
      </c>
      <c r="B11" s="146">
        <f>SUMIF('明细表K9-2'!$X$11:$X$28,$A11,'明细表K9-2'!$T$11:$T$28)</f>
        <v>0</v>
      </c>
      <c r="C11" s="146">
        <f>SUMIF('明细表K9-2'!$X$11:$X$28,$A11,'明细表K9-2'!$U$11:$U$28)</f>
        <v>0</v>
      </c>
      <c r="D11" s="146">
        <f>SUMIF('明细表K9-2'!$X$11:$X$28,$A11,'明细表K9-2'!$V$11:$V$28)</f>
        <v>0</v>
      </c>
      <c r="E11" s="146">
        <f t="shared" si="1"/>
        <v>0</v>
      </c>
      <c r="F11" s="146">
        <f>SUMIF('明细表K9-2'!$X$11:$X$28,$A11,'明细表K9-2'!$N$11:$N$28)</f>
        <v>0</v>
      </c>
      <c r="G11" s="146">
        <f>SUMIF('明细表K9-2'!$X$11:$X$28,$A11,'明细表K9-2'!$O$11:$O$28)</f>
        <v>0</v>
      </c>
      <c r="H11" s="146">
        <f>SUMIF('明细表K9-2'!$X$11:$X$28,$A11,'明细表K9-2'!$P$11:$P$28)</f>
        <v>0</v>
      </c>
      <c r="I11" s="146">
        <f t="shared" si="2"/>
        <v>0</v>
      </c>
      <c r="J11" s="147">
        <f t="shared" si="3"/>
        <v>0</v>
      </c>
      <c r="K11" s="148">
        <f t="shared" si="0"/>
        <v>0</v>
      </c>
      <c r="L11" s="104"/>
    </row>
    <row r="12" spans="1:12" s="92" customFormat="1" ht="19.95" customHeight="1">
      <c r="A12" s="95" t="str">
        <f>'明细表K9-2'!A16</f>
        <v>办公费</v>
      </c>
      <c r="B12" s="146">
        <f>SUMIF('明细表K9-2'!$X$11:$X$28,$A12,'明细表K9-2'!$T$11:$T$28)</f>
        <v>0</v>
      </c>
      <c r="C12" s="146">
        <f>SUMIF('明细表K9-2'!$X$11:$X$28,$A12,'明细表K9-2'!$U$11:$U$28)</f>
        <v>0</v>
      </c>
      <c r="D12" s="146">
        <f>SUMIF('明细表K9-2'!$X$11:$X$28,$A12,'明细表K9-2'!$V$11:$V$28)</f>
        <v>0</v>
      </c>
      <c r="E12" s="146">
        <f t="shared" si="1"/>
        <v>0</v>
      </c>
      <c r="F12" s="146">
        <f>SUMIF('明细表K9-2'!$X$11:$X$28,$A12,'明细表K9-2'!$N$11:$N$28)</f>
        <v>0</v>
      </c>
      <c r="G12" s="146">
        <f>SUMIF('明细表K9-2'!$X$11:$X$28,$A12,'明细表K9-2'!$O$11:$O$28)</f>
        <v>0</v>
      </c>
      <c r="H12" s="146">
        <f>SUMIF('明细表K9-2'!$X$11:$X$28,$A12,'明细表K9-2'!$P$11:$P$28)</f>
        <v>0</v>
      </c>
      <c r="I12" s="146">
        <f t="shared" si="2"/>
        <v>0</v>
      </c>
      <c r="J12" s="147">
        <f t="shared" si="3"/>
        <v>0</v>
      </c>
      <c r="K12" s="148">
        <f t="shared" si="0"/>
        <v>0</v>
      </c>
      <c r="L12" s="104"/>
    </row>
    <row r="13" spans="1:12" s="92" customFormat="1" ht="19.95" customHeight="1">
      <c r="A13" s="95" t="str">
        <f>'明细表K9-2'!A17</f>
        <v>差旅费</v>
      </c>
      <c r="B13" s="146">
        <f>SUMIF('明细表K9-2'!$X$11:$X$28,$A13,'明细表K9-2'!$T$11:$T$28)</f>
        <v>0</v>
      </c>
      <c r="C13" s="146">
        <f>SUMIF('明细表K9-2'!$X$11:$X$28,$A13,'明细表K9-2'!$U$11:$U$28)</f>
        <v>0</v>
      </c>
      <c r="D13" s="146">
        <f>SUMIF('明细表K9-2'!$X$11:$X$28,$A13,'明细表K9-2'!$V$11:$V$28)</f>
        <v>0</v>
      </c>
      <c r="E13" s="146">
        <f t="shared" si="1"/>
        <v>0</v>
      </c>
      <c r="F13" s="146">
        <f>SUMIF('明细表K9-2'!$X$11:$X$28,$A13,'明细表K9-2'!$N$11:$N$28)</f>
        <v>0</v>
      </c>
      <c r="G13" s="146">
        <f>SUMIF('明细表K9-2'!$X$11:$X$28,$A13,'明细表K9-2'!$O$11:$O$28)</f>
        <v>0</v>
      </c>
      <c r="H13" s="146">
        <f>SUMIF('明细表K9-2'!$X$11:$X$28,$A13,'明细表K9-2'!$P$11:$P$28)</f>
        <v>0</v>
      </c>
      <c r="I13" s="146">
        <f t="shared" si="2"/>
        <v>0</v>
      </c>
      <c r="J13" s="147">
        <f t="shared" si="3"/>
        <v>0</v>
      </c>
      <c r="K13" s="148">
        <f t="shared" si="0"/>
        <v>0</v>
      </c>
      <c r="L13" s="104"/>
    </row>
    <row r="14" spans="1:12" s="92" customFormat="1" ht="19.95" customHeight="1">
      <c r="A14" s="95" t="str">
        <f>'明细表K9-2'!A18</f>
        <v>工会经费</v>
      </c>
      <c r="B14" s="146">
        <f>SUMIF('明细表K9-2'!$X$11:$X$28,$A14,'明细表K9-2'!$T$11:$T$28)</f>
        <v>0</v>
      </c>
      <c r="C14" s="146">
        <f>SUMIF('明细表K9-2'!$X$11:$X$28,$A14,'明细表K9-2'!$U$11:$U$28)</f>
        <v>0</v>
      </c>
      <c r="D14" s="146">
        <f>SUMIF('明细表K9-2'!$X$11:$X$28,$A14,'明细表K9-2'!$V$11:$V$28)</f>
        <v>0</v>
      </c>
      <c r="E14" s="146">
        <f t="shared" si="1"/>
        <v>0</v>
      </c>
      <c r="F14" s="146">
        <f>SUMIF('明细表K9-2'!$X$11:$X$28,$A14,'明细表K9-2'!$N$11:$N$28)</f>
        <v>0</v>
      </c>
      <c r="G14" s="146">
        <f>SUMIF('明细表K9-2'!$X$11:$X$28,$A14,'明细表K9-2'!$O$11:$O$28)</f>
        <v>0</v>
      </c>
      <c r="H14" s="146">
        <f>SUMIF('明细表K9-2'!$X$11:$X$28,$A14,'明细表K9-2'!$P$11:$P$28)</f>
        <v>0</v>
      </c>
      <c r="I14" s="146">
        <f t="shared" si="2"/>
        <v>0</v>
      </c>
      <c r="J14" s="147">
        <f t="shared" si="3"/>
        <v>0</v>
      </c>
      <c r="K14" s="148">
        <f t="shared" si="0"/>
        <v>0</v>
      </c>
      <c r="L14" s="104"/>
    </row>
    <row r="15" spans="1:12" s="92" customFormat="1" ht="19.95" customHeight="1">
      <c r="A15" s="95" t="str">
        <f>'明细表K9-2'!A19</f>
        <v>董事会费</v>
      </c>
      <c r="B15" s="146">
        <f>SUMIF('明细表K9-2'!$X$11:$X$28,$A15,'明细表K9-2'!$T$11:$T$28)</f>
        <v>0</v>
      </c>
      <c r="C15" s="146">
        <f>SUMIF('明细表K9-2'!$X$11:$X$28,$A15,'明细表K9-2'!$U$11:$U$28)</f>
        <v>0</v>
      </c>
      <c r="D15" s="146">
        <f>SUMIF('明细表K9-2'!$X$11:$X$28,$A15,'明细表K9-2'!$V$11:$V$28)</f>
        <v>0</v>
      </c>
      <c r="E15" s="146">
        <f t="shared" si="1"/>
        <v>0</v>
      </c>
      <c r="F15" s="146">
        <f>SUMIF('明细表K9-2'!$X$11:$X$28,$A15,'明细表K9-2'!$N$11:$N$28)</f>
        <v>0</v>
      </c>
      <c r="G15" s="146">
        <f>SUMIF('明细表K9-2'!$X$11:$X$28,$A15,'明细表K9-2'!$O$11:$O$28)</f>
        <v>0</v>
      </c>
      <c r="H15" s="146">
        <f>SUMIF('明细表K9-2'!$X$11:$X$28,$A15,'明细表K9-2'!$P$11:$P$28)</f>
        <v>0</v>
      </c>
      <c r="I15" s="146">
        <f t="shared" si="2"/>
        <v>0</v>
      </c>
      <c r="J15" s="147">
        <f t="shared" si="3"/>
        <v>0</v>
      </c>
      <c r="K15" s="148">
        <f t="shared" si="0"/>
        <v>0</v>
      </c>
      <c r="L15" s="104"/>
    </row>
    <row r="16" spans="1:12" s="92" customFormat="1" ht="19.95" customHeight="1">
      <c r="A16" s="95" t="str">
        <f>'明细表K9-2'!A20</f>
        <v>聘请中介机构费</v>
      </c>
      <c r="B16" s="146">
        <f>SUMIF('明细表K9-2'!$X$11:$X$28,$A16,'明细表K9-2'!$T$11:$T$28)</f>
        <v>0</v>
      </c>
      <c r="C16" s="146">
        <f>SUMIF('明细表K9-2'!$X$11:$X$28,$A16,'明细表K9-2'!$U$11:$U$28)</f>
        <v>0</v>
      </c>
      <c r="D16" s="146">
        <f>SUMIF('明细表K9-2'!$X$11:$X$28,$A16,'明细表K9-2'!$V$11:$V$28)</f>
        <v>0</v>
      </c>
      <c r="E16" s="146">
        <f t="shared" si="1"/>
        <v>0</v>
      </c>
      <c r="F16" s="146">
        <f>SUMIF('明细表K9-2'!$X$11:$X$28,$A16,'明细表K9-2'!$N$11:$N$28)</f>
        <v>0</v>
      </c>
      <c r="G16" s="146">
        <f>SUMIF('明细表K9-2'!$X$11:$X$28,$A16,'明细表K9-2'!$O$11:$O$28)</f>
        <v>0</v>
      </c>
      <c r="H16" s="146">
        <f>SUMIF('明细表K9-2'!$X$11:$X$28,$A16,'明细表K9-2'!$P$11:$P$28)</f>
        <v>0</v>
      </c>
      <c r="I16" s="146">
        <f t="shared" si="2"/>
        <v>0</v>
      </c>
      <c r="J16" s="147">
        <f t="shared" si="3"/>
        <v>0</v>
      </c>
      <c r="K16" s="148">
        <f t="shared" si="0"/>
        <v>0</v>
      </c>
      <c r="L16" s="104"/>
    </row>
    <row r="17" spans="1:14" s="92" customFormat="1" ht="19.95" customHeight="1">
      <c r="A17" s="95" t="str">
        <f>'明细表K9-2'!A21</f>
        <v>咨询费（含顾问费）</v>
      </c>
      <c r="B17" s="146">
        <f>SUMIF('明细表K9-2'!$X$11:$X$28,$A17,'明细表K9-2'!$T$11:$T$28)</f>
        <v>0</v>
      </c>
      <c r="C17" s="146">
        <f>SUMIF('明细表K9-2'!$X$11:$X$28,$A17,'明细表K9-2'!$U$11:$U$28)</f>
        <v>0</v>
      </c>
      <c r="D17" s="146">
        <f>SUMIF('明细表K9-2'!$X$11:$X$28,$A17,'明细表K9-2'!$V$11:$V$28)</f>
        <v>0</v>
      </c>
      <c r="E17" s="146">
        <f t="shared" si="1"/>
        <v>0</v>
      </c>
      <c r="F17" s="146">
        <f>SUMIF('明细表K9-2'!$X$11:$X$28,$A17,'明细表K9-2'!$N$11:$N$28)</f>
        <v>0</v>
      </c>
      <c r="G17" s="146">
        <f>SUMIF('明细表K9-2'!$X$11:$X$28,$A17,'明细表K9-2'!$O$11:$O$28)</f>
        <v>0</v>
      </c>
      <c r="H17" s="146">
        <f>SUMIF('明细表K9-2'!$X$11:$X$28,$A17,'明细表K9-2'!$P$11:$P$28)</f>
        <v>0</v>
      </c>
      <c r="I17" s="146">
        <f t="shared" si="2"/>
        <v>0</v>
      </c>
      <c r="J17" s="147">
        <f t="shared" si="3"/>
        <v>0</v>
      </c>
      <c r="K17" s="148">
        <f t="shared" si="0"/>
        <v>0</v>
      </c>
      <c r="L17" s="104"/>
    </row>
    <row r="18" spans="1:14" s="92" customFormat="1" ht="19.95" customHeight="1">
      <c r="A18" s="95" t="str">
        <f>'明细表K9-2'!A22</f>
        <v>诉讼费</v>
      </c>
      <c r="B18" s="146">
        <f>SUMIF('明细表K9-2'!$X$11:$X$28,$A18,'明细表K9-2'!$T$11:$T$28)</f>
        <v>0</v>
      </c>
      <c r="C18" s="146">
        <f>SUMIF('明细表K9-2'!$X$11:$X$28,$A18,'明细表K9-2'!$U$11:$U$28)</f>
        <v>0</v>
      </c>
      <c r="D18" s="146">
        <f>SUMIF('明细表K9-2'!$X$11:$X$28,$A18,'明细表K9-2'!$V$11:$V$28)</f>
        <v>0</v>
      </c>
      <c r="E18" s="146">
        <f t="shared" si="1"/>
        <v>0</v>
      </c>
      <c r="F18" s="146">
        <f>SUMIF('明细表K9-2'!$X$11:$X$28,$A18,'明细表K9-2'!$N$11:$N$28)</f>
        <v>0</v>
      </c>
      <c r="G18" s="146">
        <f>SUMIF('明细表K9-2'!$X$11:$X$28,$A18,'明细表K9-2'!$O$11:$O$28)</f>
        <v>0</v>
      </c>
      <c r="H18" s="146">
        <f>SUMIF('明细表K9-2'!$X$11:$X$28,$A18,'明细表K9-2'!$P$11:$P$28)</f>
        <v>0</v>
      </c>
      <c r="I18" s="146">
        <f t="shared" si="2"/>
        <v>0</v>
      </c>
      <c r="J18" s="147">
        <f t="shared" si="3"/>
        <v>0</v>
      </c>
      <c r="K18" s="148">
        <f t="shared" si="0"/>
        <v>0</v>
      </c>
      <c r="L18" s="104"/>
    </row>
    <row r="19" spans="1:14" s="92" customFormat="1" ht="19.95" customHeight="1">
      <c r="A19" s="95" t="str">
        <f>'明细表K9-2'!A23</f>
        <v>业务招待费</v>
      </c>
      <c r="B19" s="146">
        <f>SUMIF('明细表K9-2'!$X$11:$X$28,$A19,'明细表K9-2'!$T$11:$T$28)</f>
        <v>0</v>
      </c>
      <c r="C19" s="146">
        <f>SUMIF('明细表K9-2'!$X$11:$X$28,$A19,'明细表K9-2'!$U$11:$U$28)</f>
        <v>0</v>
      </c>
      <c r="D19" s="146">
        <f>SUMIF('明细表K9-2'!$X$11:$X$28,$A19,'明细表K9-2'!$V$11:$V$28)</f>
        <v>0</v>
      </c>
      <c r="E19" s="146">
        <f t="shared" si="1"/>
        <v>0</v>
      </c>
      <c r="F19" s="146">
        <f>SUMIF('明细表K9-2'!$X$11:$X$28,$A19,'明细表K9-2'!$N$11:$N$28)</f>
        <v>0</v>
      </c>
      <c r="G19" s="146">
        <f>SUMIF('明细表K9-2'!$X$11:$X$28,$A19,'明细表K9-2'!$O$11:$O$28)</f>
        <v>0</v>
      </c>
      <c r="H19" s="146">
        <f>SUMIF('明细表K9-2'!$X$11:$X$28,$A19,'明细表K9-2'!$P$11:$P$28)</f>
        <v>0</v>
      </c>
      <c r="I19" s="146">
        <f t="shared" si="2"/>
        <v>0</v>
      </c>
      <c r="J19" s="147">
        <f t="shared" si="3"/>
        <v>0</v>
      </c>
      <c r="K19" s="148">
        <f t="shared" si="0"/>
        <v>0</v>
      </c>
      <c r="L19" s="104"/>
    </row>
    <row r="20" spans="1:14" s="92" customFormat="1" ht="19.95" customHeight="1">
      <c r="A20" s="95" t="str">
        <f>'明细表K9-2'!A24</f>
        <v>技术转让费</v>
      </c>
      <c r="B20" s="146">
        <f>SUMIF('明细表K9-2'!$X$11:$X$28,$A20,'明细表K9-2'!$T$11:$T$28)</f>
        <v>0</v>
      </c>
      <c r="C20" s="146">
        <f>SUMIF('明细表K9-2'!$X$11:$X$28,$A20,'明细表K9-2'!$U$11:$U$28)</f>
        <v>0</v>
      </c>
      <c r="D20" s="146">
        <f>SUMIF('明细表K9-2'!$X$11:$X$28,$A20,'明细表K9-2'!$V$11:$V$28)</f>
        <v>0</v>
      </c>
      <c r="E20" s="146">
        <f t="shared" ref="E20:E24" si="4">B20+C20+D20</f>
        <v>0</v>
      </c>
      <c r="F20" s="146">
        <f>SUMIF('明细表K9-2'!$X$11:$X$28,$A20,'明细表K9-2'!$N$11:$N$28)</f>
        <v>0</v>
      </c>
      <c r="G20" s="146">
        <f>SUMIF('明细表K9-2'!$X$11:$X$28,$A20,'明细表K9-2'!$O$11:$O$28)</f>
        <v>0</v>
      </c>
      <c r="H20" s="146">
        <f>SUMIF('明细表K9-2'!$X$11:$X$28,$A20,'明细表K9-2'!$P$11:$P$28)</f>
        <v>0</v>
      </c>
      <c r="I20" s="146">
        <f t="shared" ref="I20:I24" si="5">F20+G20+H20</f>
        <v>0</v>
      </c>
      <c r="J20" s="147">
        <f t="shared" ref="J20:J24" si="6">I20-E20</f>
        <v>0</v>
      </c>
      <c r="K20" s="148">
        <f t="shared" ref="K20:K24" si="7">IF(AND(E20=0,I20=0),0,IF(AND(E20=0,I20&gt;0),1,J20/E20))</f>
        <v>0</v>
      </c>
      <c r="L20" s="104"/>
    </row>
    <row r="21" spans="1:14" s="92" customFormat="1" ht="19.95" customHeight="1">
      <c r="A21" s="95" t="str">
        <f>'明细表K9-2'!A25</f>
        <v>矿产资源补偿费</v>
      </c>
      <c r="B21" s="146">
        <f>SUMIF('明细表K9-2'!$X$11:$X$28,$A21,'明细表K9-2'!$T$11:$T$28)</f>
        <v>0</v>
      </c>
      <c r="C21" s="146">
        <f>SUMIF('明细表K9-2'!$X$11:$X$28,$A21,'明细表K9-2'!$U$11:$U$28)</f>
        <v>0</v>
      </c>
      <c r="D21" s="146">
        <f>SUMIF('明细表K9-2'!$X$11:$X$28,$A21,'明细表K9-2'!$V$11:$V$28)</f>
        <v>0</v>
      </c>
      <c r="E21" s="146">
        <f t="shared" si="4"/>
        <v>0</v>
      </c>
      <c r="F21" s="146">
        <f>SUMIF('明细表K9-2'!$X$11:$X$28,$A21,'明细表K9-2'!$N$11:$N$28)</f>
        <v>0</v>
      </c>
      <c r="G21" s="146">
        <f>SUMIF('明细表K9-2'!$X$11:$X$28,$A21,'明细表K9-2'!$O$11:$O$28)</f>
        <v>0</v>
      </c>
      <c r="H21" s="146">
        <f>SUMIF('明细表K9-2'!$X$11:$X$28,$A21,'明细表K9-2'!$P$11:$P$28)</f>
        <v>0</v>
      </c>
      <c r="I21" s="146">
        <f t="shared" si="5"/>
        <v>0</v>
      </c>
      <c r="J21" s="147">
        <f t="shared" si="6"/>
        <v>0</v>
      </c>
      <c r="K21" s="148">
        <f t="shared" si="7"/>
        <v>0</v>
      </c>
      <c r="L21" s="104"/>
    </row>
    <row r="22" spans="1:14" s="92" customFormat="1" ht="19.95" customHeight="1">
      <c r="A22" s="95" t="str">
        <f>'明细表K9-2'!A26</f>
        <v>排污费</v>
      </c>
      <c r="B22" s="146">
        <f>SUMIF('明细表K9-2'!$X$11:$X$28,$A22,'明细表K9-2'!$T$11:$T$28)</f>
        <v>0</v>
      </c>
      <c r="C22" s="146">
        <f>SUMIF('明细表K9-2'!$X$11:$X$28,$A22,'明细表K9-2'!$U$11:$U$28)</f>
        <v>0</v>
      </c>
      <c r="D22" s="146">
        <f>SUMIF('明细表K9-2'!$X$11:$X$28,$A22,'明细表K9-2'!$V$11:$V$28)</f>
        <v>0</v>
      </c>
      <c r="E22" s="146">
        <f t="shared" si="4"/>
        <v>0</v>
      </c>
      <c r="F22" s="146">
        <f>SUMIF('明细表K9-2'!$X$11:$X$28,$A22,'明细表K9-2'!$N$11:$N$28)</f>
        <v>0</v>
      </c>
      <c r="G22" s="146">
        <f>SUMIF('明细表K9-2'!$X$11:$X$28,$A22,'明细表K9-2'!$O$11:$O$28)</f>
        <v>0</v>
      </c>
      <c r="H22" s="146">
        <f>SUMIF('明细表K9-2'!$X$11:$X$28,$A22,'明细表K9-2'!$P$11:$P$28)</f>
        <v>0</v>
      </c>
      <c r="I22" s="146">
        <f t="shared" si="5"/>
        <v>0</v>
      </c>
      <c r="J22" s="147">
        <f t="shared" si="6"/>
        <v>0</v>
      </c>
      <c r="K22" s="148">
        <f t="shared" si="7"/>
        <v>0</v>
      </c>
      <c r="L22" s="104"/>
    </row>
    <row r="23" spans="1:14" s="92" customFormat="1" ht="19.95" customHeight="1">
      <c r="A23" s="95" t="str">
        <f>'明细表K9-2'!A27</f>
        <v>筹建期开办费</v>
      </c>
      <c r="B23" s="146">
        <f>SUMIF('明细表K9-2'!$X$11:$X$28,$A23,'明细表K9-2'!$T$11:$T$28)</f>
        <v>0</v>
      </c>
      <c r="C23" s="146">
        <f>SUMIF('明细表K9-2'!$X$11:$X$28,$A23,'明细表K9-2'!$U$11:$U$28)</f>
        <v>0</v>
      </c>
      <c r="D23" s="146">
        <f>SUMIF('明细表K9-2'!$X$11:$X$28,$A23,'明细表K9-2'!$V$11:$V$28)</f>
        <v>0</v>
      </c>
      <c r="E23" s="146">
        <f t="shared" si="4"/>
        <v>0</v>
      </c>
      <c r="F23" s="146">
        <f>SUMIF('明细表K9-2'!$X$11:$X$28,$A23,'明细表K9-2'!$N$11:$N$28)</f>
        <v>0</v>
      </c>
      <c r="G23" s="146">
        <f>SUMIF('明细表K9-2'!$X$11:$X$28,$A23,'明细表K9-2'!$O$11:$O$28)</f>
        <v>0</v>
      </c>
      <c r="H23" s="146">
        <f>SUMIF('明细表K9-2'!$X$11:$X$28,$A23,'明细表K9-2'!$P$11:$P$28)</f>
        <v>0</v>
      </c>
      <c r="I23" s="146">
        <f t="shared" si="5"/>
        <v>0</v>
      </c>
      <c r="J23" s="147">
        <f t="shared" si="6"/>
        <v>0</v>
      </c>
      <c r="K23" s="148">
        <f t="shared" si="7"/>
        <v>0</v>
      </c>
      <c r="L23" s="104"/>
    </row>
    <row r="24" spans="1:14" s="92" customFormat="1" ht="19.95" customHeight="1">
      <c r="A24" s="95" t="str">
        <f>'明细表K9-2'!A28</f>
        <v>……</v>
      </c>
      <c r="B24" s="146">
        <f>SUMIF('明细表K9-2'!$X$11:$X$28,$A24,'明细表K9-2'!$T$11:$T$28)</f>
        <v>0</v>
      </c>
      <c r="C24" s="146">
        <f>SUMIF('明细表K9-2'!$X$11:$X$28,$A24,'明细表K9-2'!$U$11:$U$28)</f>
        <v>0</v>
      </c>
      <c r="D24" s="146">
        <f>SUMIF('明细表K9-2'!$X$11:$X$28,$A24,'明细表K9-2'!$V$11:$V$28)</f>
        <v>0</v>
      </c>
      <c r="E24" s="146">
        <f t="shared" si="4"/>
        <v>0</v>
      </c>
      <c r="F24" s="146">
        <f>SUMIF('明细表K9-2'!$X$11:$X$28,$A24,'明细表K9-2'!$N$11:$N$28)</f>
        <v>0</v>
      </c>
      <c r="G24" s="146">
        <f>SUMIF('明细表K9-2'!$X$11:$X$28,$A24,'明细表K9-2'!$O$11:$O$28)</f>
        <v>0</v>
      </c>
      <c r="H24" s="146">
        <f>SUMIF('明细表K9-2'!$X$11:$X$28,$A24,'明细表K9-2'!$P$11:$P$28)</f>
        <v>0</v>
      </c>
      <c r="I24" s="146">
        <f t="shared" si="5"/>
        <v>0</v>
      </c>
      <c r="J24" s="147">
        <f t="shared" si="6"/>
        <v>0</v>
      </c>
      <c r="K24" s="148">
        <f t="shared" si="7"/>
        <v>0</v>
      </c>
      <c r="L24" s="104"/>
    </row>
    <row r="25" spans="1:14" s="309" customFormat="1" ht="19.95" customHeight="1">
      <c r="A25" s="310" t="s">
        <v>34</v>
      </c>
      <c r="B25" s="240">
        <f>SUM(B7:B24)</f>
        <v>0</v>
      </c>
      <c r="C25" s="240">
        <f t="shared" ref="C25:I25" si="8">SUM(C7:C24)</f>
        <v>0</v>
      </c>
      <c r="D25" s="240">
        <f t="shared" si="8"/>
        <v>0</v>
      </c>
      <c r="E25" s="240">
        <f t="shared" si="8"/>
        <v>0</v>
      </c>
      <c r="F25" s="240">
        <f t="shared" si="8"/>
        <v>0</v>
      </c>
      <c r="G25" s="240">
        <f t="shared" si="8"/>
        <v>0</v>
      </c>
      <c r="H25" s="240">
        <f t="shared" si="8"/>
        <v>0</v>
      </c>
      <c r="I25" s="240">
        <f t="shared" si="8"/>
        <v>0</v>
      </c>
      <c r="J25" s="311">
        <f t="shared" ref="J25" si="9">I25-E25</f>
        <v>0</v>
      </c>
      <c r="K25" s="312">
        <f t="shared" si="0"/>
        <v>0</v>
      </c>
      <c r="L25" s="311"/>
    </row>
    <row r="26" spans="1:14" s="92" customFormat="1" ht="19.95" customHeight="1">
      <c r="A26" s="96" t="s">
        <v>35</v>
      </c>
      <c r="B26" s="83"/>
      <c r="C26" s="83"/>
      <c r="D26" s="83"/>
      <c r="E26" s="83"/>
      <c r="F26" s="83"/>
      <c r="G26" s="83"/>
      <c r="H26" s="83"/>
      <c r="I26" s="83"/>
      <c r="J26" s="83"/>
      <c r="K26" s="83"/>
      <c r="L26" s="83"/>
    </row>
    <row r="27" spans="1:14" s="309" customFormat="1" ht="19.95" customHeight="1">
      <c r="A27" s="308" t="s">
        <v>36</v>
      </c>
      <c r="B27" s="240">
        <f>B25-B26</f>
        <v>0</v>
      </c>
      <c r="C27" s="240">
        <f t="shared" ref="C27:I27" si="10">C25-C26</f>
        <v>0</v>
      </c>
      <c r="D27" s="240">
        <f t="shared" si="10"/>
        <v>0</v>
      </c>
      <c r="E27" s="240">
        <f t="shared" si="10"/>
        <v>0</v>
      </c>
      <c r="F27" s="240">
        <f t="shared" si="10"/>
        <v>0</v>
      </c>
      <c r="G27" s="240">
        <f t="shared" si="10"/>
        <v>0</v>
      </c>
      <c r="H27" s="240">
        <f t="shared" si="10"/>
        <v>0</v>
      </c>
      <c r="I27" s="240">
        <f t="shared" si="10"/>
        <v>0</v>
      </c>
      <c r="J27" s="240"/>
      <c r="K27" s="240"/>
      <c r="L27" s="240"/>
    </row>
    <row r="28" spans="1:14" s="93" customFormat="1" ht="19.95" customHeight="1">
      <c r="A28" s="78" t="s">
        <v>239</v>
      </c>
      <c r="B28" s="75"/>
      <c r="C28" s="75"/>
      <c r="D28" s="75"/>
      <c r="E28" s="75"/>
      <c r="F28" s="97"/>
      <c r="G28" s="97"/>
      <c r="H28" s="75"/>
      <c r="I28" s="105"/>
      <c r="J28" s="105"/>
      <c r="K28" s="6"/>
      <c r="L28" s="6"/>
      <c r="M28" s="6"/>
      <c r="N28" s="6"/>
    </row>
    <row r="29" spans="1:14" s="73" customFormat="1" ht="19.95" customHeight="1">
      <c r="A29" s="98" t="s">
        <v>37</v>
      </c>
      <c r="B29" s="76"/>
      <c r="C29" s="76"/>
      <c r="D29" s="99"/>
      <c r="E29" s="99"/>
      <c r="F29" s="352"/>
      <c r="G29" s="352"/>
      <c r="H29" s="352"/>
      <c r="I29" s="6"/>
      <c r="J29" s="6"/>
      <c r="K29" s="6"/>
      <c r="L29" s="6"/>
      <c r="M29" s="6"/>
      <c r="N29" s="6"/>
    </row>
    <row r="30" spans="1:14" s="93" customFormat="1" ht="19.95" customHeight="1">
      <c r="A30" s="98" t="s">
        <v>38</v>
      </c>
      <c r="B30" s="76"/>
      <c r="C30" s="76"/>
      <c r="D30" s="76"/>
      <c r="E30" s="76"/>
      <c r="F30" s="76"/>
      <c r="G30" s="76"/>
      <c r="H30" s="76"/>
      <c r="I30" s="6"/>
      <c r="J30" s="6"/>
      <c r="K30" s="6"/>
      <c r="L30" s="6"/>
      <c r="M30" s="6"/>
      <c r="N30" s="6"/>
    </row>
    <row r="31" spans="1:14" s="73" customFormat="1" ht="19.95" customHeight="1">
      <c r="A31" s="100" t="s">
        <v>39</v>
      </c>
      <c r="B31" s="77"/>
      <c r="C31" s="77"/>
      <c r="D31" s="77"/>
      <c r="E31" s="77"/>
      <c r="F31" s="77"/>
      <c r="G31" s="77"/>
      <c r="H31" s="77"/>
      <c r="I31" s="6"/>
      <c r="J31" s="6"/>
      <c r="K31" s="6"/>
      <c r="L31" s="6"/>
      <c r="M31" s="6"/>
      <c r="N31" s="6"/>
    </row>
    <row r="32" spans="1:14" ht="19.95" customHeight="1">
      <c r="A32" s="78" t="s">
        <v>222</v>
      </c>
      <c r="B32" s="76"/>
      <c r="C32" s="76"/>
      <c r="D32" s="76"/>
      <c r="E32" s="76"/>
      <c r="F32" s="101"/>
      <c r="G32" s="101"/>
      <c r="H32" s="76"/>
    </row>
    <row r="33" spans="1:8" ht="19.95" customHeight="1">
      <c r="A33" s="89"/>
      <c r="B33" s="76"/>
      <c r="C33" s="76"/>
      <c r="D33" s="76"/>
      <c r="E33" s="76"/>
      <c r="F33" s="76"/>
      <c r="G33" s="76"/>
      <c r="H33" s="76"/>
    </row>
    <row r="34" spans="1:8" ht="19.95" customHeight="1">
      <c r="A34" s="89"/>
      <c r="B34" s="76"/>
      <c r="C34" s="76"/>
      <c r="D34" s="76"/>
      <c r="E34" s="76"/>
      <c r="F34" s="76"/>
      <c r="G34" s="76"/>
      <c r="H34" s="76"/>
    </row>
    <row r="35" spans="1:8" ht="23.25" customHeight="1">
      <c r="A35" s="73"/>
      <c r="B35" s="73"/>
      <c r="C35" s="73"/>
    </row>
    <row r="36" spans="1:8" ht="23.25" customHeight="1">
      <c r="A36" s="73"/>
      <c r="B36" s="73"/>
      <c r="C36" s="73"/>
    </row>
    <row r="37" spans="1:8" ht="23.25" customHeight="1">
      <c r="A37" s="73"/>
      <c r="B37" s="73"/>
      <c r="C37" s="73"/>
    </row>
    <row r="38" spans="1:8" ht="23.25" customHeight="1">
      <c r="A38" s="73"/>
      <c r="B38" s="73"/>
      <c r="C38" s="73"/>
    </row>
    <row r="39" spans="1:8" ht="23.25" customHeight="1">
      <c r="A39" s="73"/>
      <c r="B39" s="73"/>
      <c r="C39" s="73"/>
    </row>
    <row r="40" spans="1:8" ht="23.25" customHeight="1">
      <c r="A40" s="73"/>
      <c r="B40" s="73"/>
      <c r="C40" s="73"/>
    </row>
    <row r="41" spans="1:8" ht="23.25" customHeight="1">
      <c r="A41" s="73"/>
      <c r="B41" s="73"/>
      <c r="C41" s="73"/>
    </row>
    <row r="42" spans="1:8" ht="23.25" customHeight="1">
      <c r="A42" s="73"/>
      <c r="B42" s="73"/>
      <c r="C42" s="73"/>
    </row>
    <row r="43" spans="1:8" ht="23.25" customHeight="1">
      <c r="A43" s="73"/>
      <c r="B43" s="73"/>
      <c r="C43" s="73"/>
    </row>
    <row r="44" spans="1:8" ht="23.25" customHeight="1">
      <c r="A44" s="73"/>
      <c r="B44" s="73"/>
      <c r="C44" s="73"/>
    </row>
  </sheetData>
  <mergeCells count="8">
    <mergeCell ref="F29:H29"/>
    <mergeCell ref="A5:A6"/>
    <mergeCell ref="L5:L6"/>
    <mergeCell ref="A1:L1"/>
    <mergeCell ref="A2:L2"/>
    <mergeCell ref="B5:E5"/>
    <mergeCell ref="F5:I5"/>
    <mergeCell ref="J5:K5"/>
  </mergeCells>
  <phoneticPr fontId="60" type="noConversion"/>
  <hyperlinks>
    <hyperlink ref="L3" location="底稿目录!A1" display="底稿目录!A1"/>
  </hyperlinks>
  <printOptions horizontalCentered="1"/>
  <pageMargins left="0.74803149606299213" right="0.35433070866141736" top="0.59055118110236227" bottom="0.27559055118110237" header="0.51181102362204722" footer="0.19685039370078741"/>
  <pageSetup paperSize="9" scale="70" orientation="landscape" blackAndWhite="1"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42"/>
  <sheetViews>
    <sheetView view="pageBreakPreview" zoomScaleNormal="100" workbookViewId="0">
      <selection activeCell="I13" sqref="I13"/>
    </sheetView>
  </sheetViews>
  <sheetFormatPr defaultColWidth="9.109375" defaultRowHeight="15.6"/>
  <cols>
    <col min="1" max="1" width="36" style="88" customWidth="1"/>
    <col min="2" max="2" width="26.109375" style="88" customWidth="1"/>
    <col min="3" max="3" width="28.5546875" style="88" customWidth="1"/>
    <col min="4" max="4" width="6.44140625" style="88" customWidth="1"/>
    <col min="5" max="5" width="7.109375" style="88" customWidth="1"/>
    <col min="6" max="16384" width="9.109375" style="88"/>
  </cols>
  <sheetData>
    <row r="1" spans="1:13" s="85" customFormat="1" ht="19.95" customHeight="1">
      <c r="A1" s="364" t="s">
        <v>6</v>
      </c>
      <c r="B1" s="364"/>
      <c r="C1" s="364"/>
      <c r="D1" s="364"/>
      <c r="E1" s="364"/>
      <c r="F1" s="89"/>
      <c r="G1" s="89"/>
      <c r="H1" s="89"/>
      <c r="I1" s="89"/>
      <c r="J1" s="89"/>
      <c r="K1" s="89"/>
      <c r="L1" s="89"/>
      <c r="M1" s="89"/>
    </row>
    <row r="2" spans="1:13" s="85" customFormat="1" ht="19.95" customHeight="1">
      <c r="A2" s="358" t="s">
        <v>5</v>
      </c>
      <c r="B2" s="358"/>
      <c r="C2" s="358"/>
      <c r="D2" s="358"/>
      <c r="E2" s="358"/>
      <c r="F2" s="90"/>
      <c r="G2" s="90"/>
      <c r="H2" s="90"/>
      <c r="I2" s="90"/>
      <c r="J2" s="90"/>
      <c r="K2" s="90"/>
      <c r="L2" s="90"/>
      <c r="M2" s="90"/>
    </row>
    <row r="3" spans="1:13" s="85" customFormat="1" ht="19.95" customHeight="1">
      <c r="A3" s="6" t="str">
        <f>底稿目录!A2</f>
        <v>被审计单位：</v>
      </c>
      <c r="B3" s="7" t="str">
        <f>底稿目录!A4</f>
        <v>编制人：</v>
      </c>
      <c r="C3" s="7" t="str">
        <f>底稿目录!A5</f>
        <v>编制日期：</v>
      </c>
      <c r="D3" s="7" t="s">
        <v>158</v>
      </c>
      <c r="E3" s="7"/>
      <c r="J3" s="6"/>
      <c r="K3" s="6"/>
      <c r="M3" s="6"/>
    </row>
    <row r="4" spans="1:13" s="85" customFormat="1" ht="19.95" customHeight="1">
      <c r="A4" s="6" t="str">
        <f>底稿目录!A3</f>
        <v>会计期间：202X年度</v>
      </c>
      <c r="B4" s="7" t="str">
        <f>底稿目录!A6</f>
        <v>复核人：</v>
      </c>
      <c r="C4" s="7" t="str">
        <f>底稿目录!A7</f>
        <v>复核日期：</v>
      </c>
      <c r="D4" s="7" t="s">
        <v>159</v>
      </c>
      <c r="E4" s="144">
        <v>1</v>
      </c>
      <c r="J4" s="6"/>
      <c r="K4" s="6"/>
      <c r="M4" s="8"/>
    </row>
    <row r="5" spans="1:13" s="86" customFormat="1" ht="19.95" customHeight="1">
      <c r="A5" s="127" t="s">
        <v>151</v>
      </c>
      <c r="B5" s="128"/>
      <c r="C5" s="128"/>
      <c r="D5" s="128"/>
      <c r="E5" s="129"/>
    </row>
    <row r="6" spans="1:13" s="86" customFormat="1" ht="19.95" customHeight="1">
      <c r="A6" s="130" t="s">
        <v>149</v>
      </c>
      <c r="B6" s="131" t="s">
        <v>152</v>
      </c>
      <c r="C6" s="131" t="s">
        <v>153</v>
      </c>
      <c r="D6" s="149"/>
      <c r="E6" s="129"/>
    </row>
    <row r="7" spans="1:13" s="86" customFormat="1" ht="19.95" customHeight="1">
      <c r="A7" s="132" t="str">
        <f>'审定表K9-1'!A7</f>
        <v>公司经费</v>
      </c>
      <c r="B7" s="139">
        <f>'审定表K9-1'!I7</f>
        <v>0</v>
      </c>
      <c r="C7" s="139">
        <f>'审定表K9-1'!E7</f>
        <v>0</v>
      </c>
      <c r="D7" s="140"/>
      <c r="E7" s="129"/>
    </row>
    <row r="8" spans="1:13" s="86" customFormat="1" ht="19.95" customHeight="1">
      <c r="A8" s="133" t="str">
        <f>'审定表K9-1'!A8</f>
        <v>职工工资</v>
      </c>
      <c r="B8" s="140">
        <f>'审定表K9-1'!I8</f>
        <v>0</v>
      </c>
      <c r="C8" s="140">
        <f>'审定表K9-1'!E8</f>
        <v>0</v>
      </c>
      <c r="D8" s="140"/>
      <c r="E8" s="129"/>
    </row>
    <row r="9" spans="1:13" s="86" customFormat="1" ht="19.95" customHeight="1">
      <c r="A9" s="133" t="str">
        <f>'审定表K9-1'!A9</f>
        <v>福利费</v>
      </c>
      <c r="B9" s="140">
        <f>'审定表K9-1'!I9</f>
        <v>0</v>
      </c>
      <c r="C9" s="140">
        <f>'审定表K9-1'!E9</f>
        <v>0</v>
      </c>
      <c r="D9" s="140"/>
      <c r="E9" s="129"/>
    </row>
    <row r="10" spans="1:13" s="86" customFormat="1" ht="19.95" customHeight="1">
      <c r="A10" s="133" t="str">
        <f>'审定表K9-1'!A10</f>
        <v>物料消耗</v>
      </c>
      <c r="B10" s="140">
        <f>'审定表K9-1'!I10</f>
        <v>0</v>
      </c>
      <c r="C10" s="140">
        <f>'审定表K9-1'!E10</f>
        <v>0</v>
      </c>
      <c r="D10" s="140"/>
      <c r="E10" s="129"/>
    </row>
    <row r="11" spans="1:13" s="86" customFormat="1" ht="19.95" customHeight="1">
      <c r="A11" s="133" t="str">
        <f>'审定表K9-1'!A11</f>
        <v>低值易耗品摊销</v>
      </c>
      <c r="B11" s="140">
        <f>'审定表K9-1'!I11</f>
        <v>0</v>
      </c>
      <c r="C11" s="140">
        <f>'审定表K9-1'!E11</f>
        <v>0</v>
      </c>
      <c r="D11" s="140"/>
      <c r="E11" s="129"/>
    </row>
    <row r="12" spans="1:13" s="86" customFormat="1" ht="19.95" customHeight="1">
      <c r="A12" s="133" t="str">
        <f>'审定表K9-1'!A12</f>
        <v>办公费</v>
      </c>
      <c r="B12" s="140">
        <f>'审定表K9-1'!I12</f>
        <v>0</v>
      </c>
      <c r="C12" s="140">
        <f>'审定表K9-1'!E12</f>
        <v>0</v>
      </c>
      <c r="D12" s="140"/>
      <c r="E12" s="129"/>
    </row>
    <row r="13" spans="1:13" s="86" customFormat="1" ht="19.95" customHeight="1">
      <c r="A13" s="133" t="str">
        <f>'审定表K9-1'!A13</f>
        <v>差旅费</v>
      </c>
      <c r="B13" s="140">
        <f>'审定表K9-1'!I13</f>
        <v>0</v>
      </c>
      <c r="C13" s="140">
        <f>'审定表K9-1'!E13</f>
        <v>0</v>
      </c>
      <c r="D13" s="140"/>
      <c r="E13" s="129"/>
    </row>
    <row r="14" spans="1:13" s="86" customFormat="1" ht="19.95" customHeight="1">
      <c r="A14" s="133" t="str">
        <f>'审定表K9-1'!A14</f>
        <v>工会经费</v>
      </c>
      <c r="B14" s="140">
        <f>'审定表K9-1'!I14</f>
        <v>0</v>
      </c>
      <c r="C14" s="140">
        <f>'审定表K9-1'!E14</f>
        <v>0</v>
      </c>
      <c r="D14" s="140"/>
      <c r="E14" s="129"/>
    </row>
    <row r="15" spans="1:13" ht="19.95" customHeight="1">
      <c r="A15" s="133" t="str">
        <f>'审定表K9-1'!A15</f>
        <v>董事会费</v>
      </c>
      <c r="B15" s="140">
        <f>'审定表K9-1'!I15</f>
        <v>0</v>
      </c>
      <c r="C15" s="140">
        <f>'审定表K9-1'!E15</f>
        <v>0</v>
      </c>
      <c r="D15" s="140"/>
      <c r="E15" s="134"/>
    </row>
    <row r="16" spans="1:13" ht="19.95" customHeight="1">
      <c r="A16" s="133" t="str">
        <f>'审定表K9-1'!A16</f>
        <v>聘请中介机构费</v>
      </c>
      <c r="B16" s="140">
        <f>'审定表K9-1'!I16</f>
        <v>0</v>
      </c>
      <c r="C16" s="140">
        <f>'审定表K9-1'!E16</f>
        <v>0</v>
      </c>
      <c r="D16" s="140"/>
      <c r="E16" s="134"/>
    </row>
    <row r="17" spans="1:5" ht="19.95" customHeight="1">
      <c r="A17" s="133" t="str">
        <f>'审定表K9-1'!A17</f>
        <v>咨询费（含顾问费）</v>
      </c>
      <c r="B17" s="140">
        <f>'审定表K9-1'!I17</f>
        <v>0</v>
      </c>
      <c r="C17" s="140">
        <f>'审定表K9-1'!E17</f>
        <v>0</v>
      </c>
      <c r="D17" s="140"/>
      <c r="E17" s="134"/>
    </row>
    <row r="18" spans="1:5" ht="19.95" customHeight="1">
      <c r="A18" s="133" t="str">
        <f>'审定表K9-1'!A18</f>
        <v>诉讼费</v>
      </c>
      <c r="B18" s="140">
        <f>'审定表K9-1'!I18</f>
        <v>0</v>
      </c>
      <c r="C18" s="140">
        <f>'审定表K9-1'!E18</f>
        <v>0</v>
      </c>
      <c r="D18" s="140"/>
      <c r="E18" s="134"/>
    </row>
    <row r="19" spans="1:5" ht="19.95" customHeight="1">
      <c r="A19" s="133" t="str">
        <f>'审定表K9-1'!A19</f>
        <v>业务招待费</v>
      </c>
      <c r="B19" s="140">
        <f>'审定表K9-1'!I19</f>
        <v>0</v>
      </c>
      <c r="C19" s="140">
        <f>'审定表K9-1'!E19</f>
        <v>0</v>
      </c>
      <c r="D19" s="140"/>
      <c r="E19" s="134"/>
    </row>
    <row r="20" spans="1:5" ht="19.95" customHeight="1">
      <c r="A20" s="133" t="str">
        <f>'审定表K9-1'!A20</f>
        <v>技术转让费</v>
      </c>
      <c r="B20" s="140">
        <f>'审定表K9-1'!I20</f>
        <v>0</v>
      </c>
      <c r="C20" s="140">
        <f>'审定表K9-1'!E20</f>
        <v>0</v>
      </c>
      <c r="D20" s="140"/>
      <c r="E20" s="134"/>
    </row>
    <row r="21" spans="1:5" ht="19.95" customHeight="1">
      <c r="A21" s="133" t="str">
        <f>'审定表K9-1'!A21</f>
        <v>矿产资源补偿费</v>
      </c>
      <c r="B21" s="140">
        <f>'审定表K9-1'!I21</f>
        <v>0</v>
      </c>
      <c r="C21" s="140">
        <f>'审定表K9-1'!E21</f>
        <v>0</v>
      </c>
      <c r="D21" s="140"/>
      <c r="E21" s="134"/>
    </row>
    <row r="22" spans="1:5" ht="19.95" customHeight="1">
      <c r="A22" s="133" t="str">
        <f>'审定表K9-1'!A22</f>
        <v>排污费</v>
      </c>
      <c r="B22" s="140">
        <f>'审定表K9-1'!I22</f>
        <v>0</v>
      </c>
      <c r="C22" s="140">
        <f>'审定表K9-1'!E22</f>
        <v>0</v>
      </c>
      <c r="D22" s="140"/>
      <c r="E22" s="134"/>
    </row>
    <row r="23" spans="1:5" ht="19.95" customHeight="1">
      <c r="A23" s="133" t="str">
        <f>'审定表K9-1'!A23</f>
        <v>筹建期开办费</v>
      </c>
      <c r="B23" s="140">
        <f>'审定表K9-1'!I23</f>
        <v>0</v>
      </c>
      <c r="C23" s="140">
        <f>'审定表K9-1'!E23</f>
        <v>0</v>
      </c>
      <c r="D23" s="140"/>
      <c r="E23" s="134"/>
    </row>
    <row r="24" spans="1:5" ht="19.95" customHeight="1">
      <c r="A24" s="133" t="str">
        <f>'审定表K9-1'!A24</f>
        <v>……</v>
      </c>
      <c r="B24" s="140">
        <f>'审定表K9-1'!I24</f>
        <v>0</v>
      </c>
      <c r="C24" s="140">
        <f>'审定表K9-1'!E24</f>
        <v>0</v>
      </c>
      <c r="D24" s="140"/>
      <c r="E24" s="134"/>
    </row>
    <row r="25" spans="1:5" ht="19.95" customHeight="1" thickBot="1">
      <c r="A25" s="135" t="s">
        <v>150</v>
      </c>
      <c r="B25" s="141">
        <f>SUM(B7:B24)</f>
        <v>0</v>
      </c>
      <c r="C25" s="141">
        <f>SUM(C7:C24)</f>
        <v>0</v>
      </c>
      <c r="D25" s="140"/>
      <c r="E25" s="134"/>
    </row>
    <row r="26" spans="1:5" ht="19.95" customHeight="1">
      <c r="A26" s="127" t="s">
        <v>154</v>
      </c>
      <c r="B26" s="128"/>
      <c r="C26" s="128"/>
      <c r="D26" s="128"/>
      <c r="E26" s="134"/>
    </row>
    <row r="27" spans="1:5" ht="19.95" customHeight="1">
      <c r="A27" s="130" t="s">
        <v>149</v>
      </c>
      <c r="B27" s="131" t="s">
        <v>152</v>
      </c>
      <c r="C27" s="131" t="s">
        <v>153</v>
      </c>
      <c r="D27" s="149"/>
      <c r="E27" s="134"/>
    </row>
    <row r="28" spans="1:5" ht="19.95" customHeight="1">
      <c r="A28" s="132"/>
      <c r="B28" s="139"/>
      <c r="C28" s="139"/>
      <c r="D28" s="140"/>
      <c r="E28" s="134"/>
    </row>
    <row r="29" spans="1:5" ht="19.95" customHeight="1">
      <c r="A29" s="133"/>
      <c r="B29" s="140"/>
      <c r="C29" s="140"/>
      <c r="D29" s="140"/>
      <c r="E29" s="134"/>
    </row>
    <row r="30" spans="1:5" ht="19.95" customHeight="1">
      <c r="A30" s="133"/>
      <c r="B30" s="140"/>
      <c r="C30" s="140"/>
      <c r="D30" s="140"/>
      <c r="E30" s="134"/>
    </row>
    <row r="31" spans="1:5" ht="19.95" customHeight="1">
      <c r="A31" s="133"/>
      <c r="B31" s="140"/>
      <c r="C31" s="140"/>
      <c r="D31" s="140"/>
      <c r="E31" s="134"/>
    </row>
    <row r="32" spans="1:5" ht="19.95" customHeight="1">
      <c r="A32" s="133"/>
      <c r="B32" s="140"/>
      <c r="C32" s="140"/>
      <c r="D32" s="140"/>
      <c r="E32" s="134"/>
    </row>
    <row r="33" spans="1:5" ht="19.95" customHeight="1">
      <c r="A33" s="133"/>
      <c r="B33" s="140"/>
      <c r="C33" s="140"/>
      <c r="D33" s="140"/>
      <c r="E33" s="134"/>
    </row>
    <row r="34" spans="1:5" ht="19.95" customHeight="1">
      <c r="A34" s="133"/>
      <c r="B34" s="140"/>
      <c r="C34" s="140"/>
      <c r="D34" s="140"/>
      <c r="E34" s="134"/>
    </row>
    <row r="35" spans="1:5" ht="19.95" customHeight="1">
      <c r="A35" s="133"/>
      <c r="B35" s="140"/>
      <c r="C35" s="140"/>
      <c r="D35" s="140"/>
      <c r="E35" s="134"/>
    </row>
    <row r="36" spans="1:5" ht="19.95" customHeight="1">
      <c r="A36" s="133"/>
      <c r="B36" s="140"/>
      <c r="C36" s="140"/>
      <c r="D36" s="140"/>
      <c r="E36" s="134"/>
    </row>
    <row r="37" spans="1:5" ht="19.95" customHeight="1">
      <c r="A37" s="133"/>
      <c r="B37" s="140"/>
      <c r="C37" s="140"/>
      <c r="D37" s="140"/>
      <c r="E37" s="134"/>
    </row>
    <row r="38" spans="1:5" ht="19.95" customHeight="1">
      <c r="A38" s="133"/>
      <c r="B38" s="140"/>
      <c r="C38" s="140"/>
      <c r="D38" s="140"/>
      <c r="E38" s="134"/>
    </row>
    <row r="39" spans="1:5" ht="19.95" customHeight="1">
      <c r="A39" s="133"/>
      <c r="B39" s="140"/>
      <c r="C39" s="140"/>
      <c r="D39" s="140"/>
      <c r="E39" s="134"/>
    </row>
    <row r="40" spans="1:5" ht="19.95" customHeight="1">
      <c r="A40" s="133"/>
      <c r="B40" s="140"/>
      <c r="C40" s="140"/>
      <c r="D40" s="140"/>
      <c r="E40" s="134"/>
    </row>
    <row r="41" spans="1:5" ht="19.95" customHeight="1">
      <c r="A41" s="136"/>
      <c r="B41" s="142"/>
      <c r="C41" s="142"/>
      <c r="D41" s="140"/>
      <c r="E41" s="134"/>
    </row>
    <row r="42" spans="1:5" ht="19.95" customHeight="1">
      <c r="A42" s="137" t="s">
        <v>150</v>
      </c>
      <c r="B42" s="142">
        <f>SUM(B28:B41)</f>
        <v>0</v>
      </c>
      <c r="C42" s="142">
        <f>SUM(C28:C41)</f>
        <v>0</v>
      </c>
      <c r="D42" s="140"/>
      <c r="E42" s="134"/>
    </row>
  </sheetData>
  <mergeCells count="2">
    <mergeCell ref="A1:E1"/>
    <mergeCell ref="A2:E2"/>
  </mergeCells>
  <phoneticPr fontId="60" type="noConversion"/>
  <printOptions horizontalCentered="1"/>
  <pageMargins left="0.70866141732283505" right="0.70866141732283505" top="0.74803149606299202" bottom="0.74803149606299202" header="0.31496062992126" footer="0.31496062992126"/>
  <pageSetup paperSize="9" scale="77"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42"/>
  <sheetViews>
    <sheetView view="pageBreakPreview" zoomScaleNormal="100" workbookViewId="0">
      <selection activeCell="E3" sqref="E3"/>
    </sheetView>
  </sheetViews>
  <sheetFormatPr defaultColWidth="9.109375" defaultRowHeight="15.6"/>
  <cols>
    <col min="1" max="1" width="33" style="88" customWidth="1"/>
    <col min="2" max="2" width="22.109375" style="88" customWidth="1"/>
    <col min="3" max="3" width="27" style="88" customWidth="1"/>
    <col min="4" max="4" width="8.5546875" style="88" customWidth="1"/>
    <col min="5" max="5" width="5.5546875" style="88" customWidth="1"/>
    <col min="6" max="16384" width="9.109375" style="88"/>
  </cols>
  <sheetData>
    <row r="1" spans="1:13" s="85" customFormat="1" ht="19.95" customHeight="1">
      <c r="A1" s="364" t="s">
        <v>6</v>
      </c>
      <c r="B1" s="364"/>
      <c r="C1" s="364"/>
      <c r="D1" s="364"/>
      <c r="E1" s="364"/>
      <c r="F1" s="89"/>
      <c r="G1" s="89"/>
      <c r="H1" s="89"/>
      <c r="I1" s="89"/>
      <c r="J1" s="89"/>
      <c r="K1" s="89"/>
      <c r="L1" s="89"/>
      <c r="M1" s="89"/>
    </row>
    <row r="2" spans="1:13" s="85" customFormat="1" ht="19.95" customHeight="1">
      <c r="A2" s="358" t="s">
        <v>40</v>
      </c>
      <c r="B2" s="358"/>
      <c r="C2" s="358"/>
      <c r="D2" s="358"/>
      <c r="E2" s="358"/>
      <c r="F2" s="90"/>
      <c r="G2" s="90"/>
      <c r="H2" s="90"/>
      <c r="I2" s="90"/>
      <c r="J2" s="90"/>
      <c r="K2" s="90"/>
      <c r="L2" s="90"/>
      <c r="M2" s="90"/>
    </row>
    <row r="3" spans="1:13" s="85" customFormat="1" ht="19.95" customHeight="1">
      <c r="A3" s="6" t="str">
        <f>底稿目录!A2</f>
        <v>被审计单位：</v>
      </c>
      <c r="B3" s="7" t="str">
        <f>底稿目录!A4</f>
        <v>编制人：</v>
      </c>
      <c r="C3" s="48" t="str">
        <f>底稿目录!A5</f>
        <v>编制日期：</v>
      </c>
      <c r="D3" s="48" t="s">
        <v>160</v>
      </c>
      <c r="E3" s="203"/>
      <c r="G3" s="6"/>
      <c r="J3" s="6"/>
      <c r="K3" s="6"/>
      <c r="M3" s="6"/>
    </row>
    <row r="4" spans="1:13" s="85" customFormat="1" ht="19.95" customHeight="1">
      <c r="A4" s="6" t="str">
        <f>底稿目录!A3</f>
        <v>会计期间：202X年度</v>
      </c>
      <c r="B4" s="7" t="str">
        <f>底稿目录!A6</f>
        <v>复核人：</v>
      </c>
      <c r="C4" s="48" t="str">
        <f>底稿目录!A7</f>
        <v>复核日期：</v>
      </c>
      <c r="D4" s="48" t="s">
        <v>41</v>
      </c>
      <c r="E4" s="48"/>
      <c r="G4" s="6"/>
      <c r="J4" s="6"/>
      <c r="K4" s="6"/>
      <c r="M4" s="8"/>
    </row>
    <row r="5" spans="1:13" s="86" customFormat="1" ht="19.95" customHeight="1">
      <c r="A5" s="127" t="s">
        <v>151</v>
      </c>
      <c r="B5" s="128"/>
      <c r="C5" s="128"/>
      <c r="D5" s="128"/>
      <c r="E5" s="129"/>
    </row>
    <row r="6" spans="1:13" s="87" customFormat="1" ht="19.95" customHeight="1">
      <c r="A6" s="130" t="s">
        <v>149</v>
      </c>
      <c r="B6" s="138" t="s">
        <v>152</v>
      </c>
      <c r="C6" s="138" t="s">
        <v>153</v>
      </c>
      <c r="D6" s="150"/>
      <c r="E6" s="129"/>
    </row>
    <row r="7" spans="1:13" s="86" customFormat="1" ht="19.95" customHeight="1">
      <c r="A7" s="132" t="str">
        <f>'审定表K9-1'!A7</f>
        <v>公司经费</v>
      </c>
      <c r="B7" s="139">
        <f>'审定表K9-1'!I7</f>
        <v>0</v>
      </c>
      <c r="C7" s="139">
        <f>'审定表K9-1'!E7</f>
        <v>0</v>
      </c>
      <c r="D7" s="140"/>
      <c r="E7" s="129"/>
    </row>
    <row r="8" spans="1:13" s="86" customFormat="1" ht="19.95" customHeight="1">
      <c r="A8" s="133" t="str">
        <f>'审定表K9-1'!A8</f>
        <v>职工工资</v>
      </c>
      <c r="B8" s="140">
        <f>'审定表K9-1'!I8</f>
        <v>0</v>
      </c>
      <c r="C8" s="140">
        <f>'审定表K9-1'!E8</f>
        <v>0</v>
      </c>
      <c r="D8" s="140"/>
      <c r="E8" s="129"/>
    </row>
    <row r="9" spans="1:13" s="86" customFormat="1" ht="19.95" customHeight="1">
      <c r="A9" s="133" t="str">
        <f>'审定表K9-1'!A9</f>
        <v>福利费</v>
      </c>
      <c r="B9" s="140">
        <f>'审定表K9-1'!I9</f>
        <v>0</v>
      </c>
      <c r="C9" s="140">
        <f>'审定表K9-1'!E9</f>
        <v>0</v>
      </c>
      <c r="D9" s="140"/>
      <c r="E9" s="129"/>
    </row>
    <row r="10" spans="1:13" s="86" customFormat="1" ht="19.95" customHeight="1">
      <c r="A10" s="133" t="str">
        <f>'审定表K9-1'!A10</f>
        <v>物料消耗</v>
      </c>
      <c r="B10" s="140">
        <f>'审定表K9-1'!I10</f>
        <v>0</v>
      </c>
      <c r="C10" s="140">
        <f>'审定表K9-1'!E10</f>
        <v>0</v>
      </c>
      <c r="D10" s="140"/>
      <c r="E10" s="129"/>
    </row>
    <row r="11" spans="1:13" s="86" customFormat="1" ht="19.95" customHeight="1">
      <c r="A11" s="133" t="str">
        <f>'审定表K9-1'!A11</f>
        <v>低值易耗品摊销</v>
      </c>
      <c r="B11" s="140">
        <f>'审定表K9-1'!I11</f>
        <v>0</v>
      </c>
      <c r="C11" s="140">
        <f>'审定表K9-1'!E11</f>
        <v>0</v>
      </c>
      <c r="D11" s="140"/>
      <c r="E11" s="129"/>
    </row>
    <row r="12" spans="1:13" s="86" customFormat="1" ht="19.95" customHeight="1">
      <c r="A12" s="133" t="str">
        <f>'审定表K9-1'!A12</f>
        <v>办公费</v>
      </c>
      <c r="B12" s="140">
        <f>'审定表K9-1'!I12</f>
        <v>0</v>
      </c>
      <c r="C12" s="140">
        <f>'审定表K9-1'!E12</f>
        <v>0</v>
      </c>
      <c r="D12" s="140"/>
      <c r="E12" s="129"/>
    </row>
    <row r="13" spans="1:13" s="86" customFormat="1" ht="19.95" customHeight="1">
      <c r="A13" s="133" t="str">
        <f>'审定表K9-1'!A13</f>
        <v>差旅费</v>
      </c>
      <c r="B13" s="140">
        <f>'审定表K9-1'!I13</f>
        <v>0</v>
      </c>
      <c r="C13" s="140">
        <f>'审定表K9-1'!E13</f>
        <v>0</v>
      </c>
      <c r="D13" s="140"/>
      <c r="E13" s="129"/>
    </row>
    <row r="14" spans="1:13" s="86" customFormat="1" ht="19.95" customHeight="1">
      <c r="A14" s="133" t="str">
        <f>'审定表K9-1'!A14</f>
        <v>工会经费</v>
      </c>
      <c r="B14" s="140">
        <f>'审定表K9-1'!I14</f>
        <v>0</v>
      </c>
      <c r="C14" s="140">
        <f>'审定表K9-1'!E14</f>
        <v>0</v>
      </c>
      <c r="D14" s="140"/>
      <c r="E14" s="129"/>
    </row>
    <row r="15" spans="1:13" ht="19.95" customHeight="1">
      <c r="A15" s="133" t="str">
        <f>'审定表K9-1'!A15</f>
        <v>董事会费</v>
      </c>
      <c r="B15" s="140">
        <f>'审定表K9-1'!I15</f>
        <v>0</v>
      </c>
      <c r="C15" s="140">
        <f>'审定表K9-1'!E15</f>
        <v>0</v>
      </c>
      <c r="D15" s="140"/>
      <c r="E15" s="134"/>
    </row>
    <row r="16" spans="1:13" ht="19.95" customHeight="1">
      <c r="A16" s="133" t="str">
        <f>'审定表K9-1'!A16</f>
        <v>聘请中介机构费</v>
      </c>
      <c r="B16" s="140">
        <f>'审定表K9-1'!I16</f>
        <v>0</v>
      </c>
      <c r="C16" s="140">
        <f>'审定表K9-1'!E16</f>
        <v>0</v>
      </c>
      <c r="D16" s="140"/>
      <c r="E16" s="134"/>
    </row>
    <row r="17" spans="1:5" ht="19.95" customHeight="1">
      <c r="A17" s="133" t="str">
        <f>'审定表K9-1'!A17</f>
        <v>咨询费（含顾问费）</v>
      </c>
      <c r="B17" s="140">
        <f>'审定表K9-1'!I17</f>
        <v>0</v>
      </c>
      <c r="C17" s="140">
        <f>'审定表K9-1'!E17</f>
        <v>0</v>
      </c>
      <c r="D17" s="140"/>
      <c r="E17" s="134"/>
    </row>
    <row r="18" spans="1:5" ht="19.95" customHeight="1">
      <c r="A18" s="133" t="str">
        <f>'审定表K9-1'!A18</f>
        <v>诉讼费</v>
      </c>
      <c r="B18" s="140">
        <f>'审定表K9-1'!I18</f>
        <v>0</v>
      </c>
      <c r="C18" s="140">
        <f>'审定表K9-1'!E18</f>
        <v>0</v>
      </c>
      <c r="D18" s="140"/>
      <c r="E18" s="134"/>
    </row>
    <row r="19" spans="1:5" ht="19.95" customHeight="1">
      <c r="A19" s="133" t="str">
        <f>'审定表K9-1'!A19</f>
        <v>业务招待费</v>
      </c>
      <c r="B19" s="140">
        <f>'审定表K9-1'!I19</f>
        <v>0</v>
      </c>
      <c r="C19" s="140">
        <f>'审定表K9-1'!E19</f>
        <v>0</v>
      </c>
      <c r="D19" s="140"/>
      <c r="E19" s="134"/>
    </row>
    <row r="20" spans="1:5" ht="19.95" customHeight="1">
      <c r="A20" s="133" t="str">
        <f>'审定表K9-1'!A20</f>
        <v>技术转让费</v>
      </c>
      <c r="B20" s="140">
        <f>'审定表K9-1'!I20</f>
        <v>0</v>
      </c>
      <c r="C20" s="140">
        <f>'审定表K9-1'!E20</f>
        <v>0</v>
      </c>
      <c r="D20" s="140"/>
      <c r="E20" s="134"/>
    </row>
    <row r="21" spans="1:5" ht="19.95" customHeight="1">
      <c r="A21" s="133" t="str">
        <f>'审定表K9-1'!A21</f>
        <v>矿产资源补偿费</v>
      </c>
      <c r="B21" s="140">
        <f>'审定表K9-1'!I21</f>
        <v>0</v>
      </c>
      <c r="C21" s="140">
        <f>'审定表K9-1'!E21</f>
        <v>0</v>
      </c>
      <c r="D21" s="140"/>
      <c r="E21" s="134"/>
    </row>
    <row r="22" spans="1:5" ht="19.95" customHeight="1">
      <c r="A22" s="133" t="str">
        <f>'审定表K9-1'!A22</f>
        <v>排污费</v>
      </c>
      <c r="B22" s="140">
        <f>'审定表K9-1'!I22</f>
        <v>0</v>
      </c>
      <c r="C22" s="140">
        <f>'审定表K9-1'!E22</f>
        <v>0</v>
      </c>
      <c r="D22" s="140"/>
      <c r="E22" s="134"/>
    </row>
    <row r="23" spans="1:5" ht="19.95" customHeight="1">
      <c r="A23" s="133" t="str">
        <f>'审定表K9-1'!A23</f>
        <v>筹建期开办费</v>
      </c>
      <c r="B23" s="140">
        <f>'审定表K9-1'!I23</f>
        <v>0</v>
      </c>
      <c r="C23" s="140">
        <f>'审定表K9-1'!E23</f>
        <v>0</v>
      </c>
      <c r="D23" s="140"/>
      <c r="E23" s="134"/>
    </row>
    <row r="24" spans="1:5" ht="19.95" customHeight="1">
      <c r="A24" s="133" t="str">
        <f>'审定表K9-1'!A24</f>
        <v>……</v>
      </c>
      <c r="B24" s="140">
        <f>'审定表K9-1'!I24</f>
        <v>0</v>
      </c>
      <c r="C24" s="140">
        <f>'审定表K9-1'!E24</f>
        <v>0</v>
      </c>
      <c r="D24" s="140"/>
      <c r="E24" s="134"/>
    </row>
    <row r="25" spans="1:5" ht="19.95" customHeight="1" thickBot="1">
      <c r="A25" s="135" t="s">
        <v>150</v>
      </c>
      <c r="B25" s="141">
        <f>SUM(B7:B24)</f>
        <v>0</v>
      </c>
      <c r="C25" s="141">
        <f>SUM(C7:C24)</f>
        <v>0</v>
      </c>
      <c r="D25" s="140"/>
      <c r="E25" s="134"/>
    </row>
    <row r="26" spans="1:5" ht="19.95" customHeight="1">
      <c r="A26" s="127" t="s">
        <v>154</v>
      </c>
      <c r="B26" s="128"/>
      <c r="C26" s="128"/>
      <c r="D26" s="128"/>
      <c r="E26" s="134"/>
    </row>
    <row r="27" spans="1:5" ht="19.95" customHeight="1">
      <c r="A27" s="130" t="s">
        <v>149</v>
      </c>
      <c r="B27" s="131" t="s">
        <v>152</v>
      </c>
      <c r="C27" s="131" t="s">
        <v>153</v>
      </c>
      <c r="D27" s="149"/>
      <c r="E27" s="134"/>
    </row>
    <row r="28" spans="1:5" ht="19.95" customHeight="1">
      <c r="A28" s="132"/>
      <c r="B28" s="139"/>
      <c r="C28" s="139"/>
      <c r="D28" s="140"/>
      <c r="E28" s="134"/>
    </row>
    <row r="29" spans="1:5" ht="19.95" customHeight="1">
      <c r="A29" s="133"/>
      <c r="B29" s="140"/>
      <c r="C29" s="140"/>
      <c r="D29" s="140"/>
      <c r="E29" s="134"/>
    </row>
    <row r="30" spans="1:5" ht="19.95" customHeight="1">
      <c r="A30" s="133"/>
      <c r="B30" s="140"/>
      <c r="C30" s="140"/>
      <c r="D30" s="140"/>
      <c r="E30" s="134"/>
    </row>
    <row r="31" spans="1:5" ht="19.95" customHeight="1">
      <c r="A31" s="133"/>
      <c r="B31" s="140"/>
      <c r="C31" s="140"/>
      <c r="D31" s="140"/>
      <c r="E31" s="134"/>
    </row>
    <row r="32" spans="1:5" ht="19.95" customHeight="1">
      <c r="A32" s="133"/>
      <c r="B32" s="140"/>
      <c r="C32" s="140"/>
      <c r="D32" s="140"/>
      <c r="E32" s="134"/>
    </row>
    <row r="33" spans="1:5" ht="19.95" customHeight="1">
      <c r="A33" s="133"/>
      <c r="B33" s="140"/>
      <c r="C33" s="140"/>
      <c r="D33" s="140"/>
      <c r="E33" s="134"/>
    </row>
    <row r="34" spans="1:5" ht="19.95" customHeight="1">
      <c r="A34" s="133"/>
      <c r="B34" s="140"/>
      <c r="C34" s="140"/>
      <c r="D34" s="140"/>
      <c r="E34" s="134"/>
    </row>
    <row r="35" spans="1:5" ht="19.95" customHeight="1">
      <c r="A35" s="133"/>
      <c r="B35" s="140"/>
      <c r="C35" s="140"/>
      <c r="D35" s="140"/>
      <c r="E35" s="134"/>
    </row>
    <row r="36" spans="1:5" ht="19.95" customHeight="1">
      <c r="A36" s="133"/>
      <c r="B36" s="140"/>
      <c r="C36" s="140"/>
      <c r="D36" s="140"/>
      <c r="E36" s="134"/>
    </row>
    <row r="37" spans="1:5" ht="19.95" customHeight="1">
      <c r="A37" s="133"/>
      <c r="B37" s="140"/>
      <c r="C37" s="140"/>
      <c r="D37" s="140"/>
      <c r="E37" s="134"/>
    </row>
    <row r="38" spans="1:5" ht="19.95" customHeight="1">
      <c r="A38" s="133"/>
      <c r="B38" s="140"/>
      <c r="C38" s="140"/>
      <c r="D38" s="140"/>
      <c r="E38" s="134"/>
    </row>
    <row r="39" spans="1:5" ht="19.95" customHeight="1">
      <c r="A39" s="133"/>
      <c r="B39" s="140"/>
      <c r="C39" s="140"/>
      <c r="D39" s="140"/>
      <c r="E39" s="134"/>
    </row>
    <row r="40" spans="1:5" ht="19.95" customHeight="1">
      <c r="A40" s="133"/>
      <c r="B40" s="140"/>
      <c r="C40" s="140"/>
      <c r="D40" s="140"/>
      <c r="E40" s="134"/>
    </row>
    <row r="41" spans="1:5" ht="19.95" customHeight="1">
      <c r="A41" s="136"/>
      <c r="B41" s="142"/>
      <c r="C41" s="142"/>
      <c r="D41" s="140"/>
      <c r="E41" s="134"/>
    </row>
    <row r="42" spans="1:5" ht="19.95" customHeight="1">
      <c r="A42" s="137" t="s">
        <v>150</v>
      </c>
      <c r="B42" s="142">
        <f>SUM(B28:B41)</f>
        <v>0</v>
      </c>
      <c r="C42" s="142">
        <f>SUM(C28:C41)</f>
        <v>0</v>
      </c>
      <c r="D42" s="140"/>
      <c r="E42" s="134"/>
    </row>
  </sheetData>
  <mergeCells count="2">
    <mergeCell ref="A1:E1"/>
    <mergeCell ref="A2:E2"/>
  </mergeCells>
  <phoneticPr fontId="60" type="noConversion"/>
  <printOptions horizontalCentered="1"/>
  <pageMargins left="0.98425196850393704" right="0.74803149606299202" top="0.98425196850393704" bottom="0.98425196850393704" header="0.511811023622047" footer="0.511811023622047"/>
  <pageSetup paperSize="9" scale="71" fitToHeight="10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Y55"/>
  <sheetViews>
    <sheetView showZeros="0" view="pageBreakPreview" zoomScaleNormal="100" workbookViewId="0">
      <selection sqref="A1:Y1"/>
    </sheetView>
  </sheetViews>
  <sheetFormatPr defaultColWidth="9.109375" defaultRowHeight="15.6"/>
  <cols>
    <col min="1" max="1" width="17.109375" style="5" customWidth="1"/>
    <col min="2" max="14" width="10.77734375" style="5" customWidth="1"/>
    <col min="15" max="22" width="10.44140625" style="5" customWidth="1"/>
    <col min="23" max="23" width="10.88671875" style="5" customWidth="1"/>
    <col min="24" max="25" width="13.33203125" style="5" customWidth="1"/>
    <col min="26" max="16384" width="9.109375" style="5"/>
  </cols>
  <sheetData>
    <row r="1" spans="1:25" s="30" customFormat="1" ht="19.95" customHeight="1">
      <c r="A1" s="344" t="s">
        <v>6</v>
      </c>
      <c r="B1" s="344"/>
      <c r="C1" s="344"/>
      <c r="D1" s="344"/>
      <c r="E1" s="344"/>
      <c r="F1" s="344"/>
      <c r="G1" s="344"/>
      <c r="H1" s="344"/>
      <c r="I1" s="344"/>
      <c r="J1" s="344"/>
      <c r="K1" s="344"/>
      <c r="L1" s="344"/>
      <c r="M1" s="344"/>
      <c r="N1" s="344"/>
      <c r="O1" s="344"/>
      <c r="P1" s="344"/>
      <c r="Q1" s="344"/>
      <c r="R1" s="344"/>
      <c r="S1" s="344"/>
      <c r="T1" s="344"/>
      <c r="U1" s="344"/>
      <c r="V1" s="344"/>
      <c r="W1" s="344"/>
      <c r="X1" s="344"/>
      <c r="Y1" s="344"/>
    </row>
    <row r="2" spans="1:25" s="30" customFormat="1" ht="19.95" customHeight="1">
      <c r="A2" s="345" t="s">
        <v>42</v>
      </c>
      <c r="B2" s="345"/>
      <c r="C2" s="345"/>
      <c r="D2" s="345"/>
      <c r="E2" s="345"/>
      <c r="F2" s="345"/>
      <c r="G2" s="345"/>
      <c r="H2" s="345"/>
      <c r="I2" s="345"/>
      <c r="J2" s="345"/>
      <c r="K2" s="345"/>
      <c r="L2" s="345"/>
      <c r="M2" s="345"/>
      <c r="N2" s="345"/>
      <c r="O2" s="345"/>
      <c r="P2" s="345"/>
      <c r="Q2" s="345"/>
      <c r="R2" s="345"/>
      <c r="S2" s="345"/>
      <c r="T2" s="345"/>
      <c r="U2" s="345"/>
      <c r="V2" s="345"/>
      <c r="W2" s="345"/>
      <c r="X2" s="345"/>
      <c r="Y2" s="345"/>
    </row>
    <row r="3" spans="1:25" s="2" customFormat="1" ht="19.95" customHeight="1">
      <c r="A3" s="6" t="str">
        <f>底稿目录!A2</f>
        <v>被审计单位：</v>
      </c>
      <c r="B3" s="6"/>
      <c r="G3" s="7" t="str">
        <f>底稿目录!A4</f>
        <v>编制人：</v>
      </c>
      <c r="H3" s="6"/>
      <c r="O3" s="48" t="str">
        <f>底稿目录!A5</f>
        <v>编制日期：</v>
      </c>
      <c r="P3" s="82"/>
      <c r="Q3" s="31"/>
      <c r="X3" s="53" t="s">
        <v>161</v>
      </c>
      <c r="Y3" s="255" t="str">
        <f>底稿目录!D9</f>
        <v>K9-2</v>
      </c>
    </row>
    <row r="4" spans="1:25" s="2" customFormat="1" ht="19.95" customHeight="1">
      <c r="A4" s="6" t="str">
        <f>底稿目录!A3</f>
        <v>会计期间：202X年度</v>
      </c>
      <c r="B4" s="8"/>
      <c r="G4" s="7" t="str">
        <f>底稿目录!A6</f>
        <v>复核人：</v>
      </c>
      <c r="H4" s="6"/>
      <c r="O4" s="48" t="str">
        <f>底稿目录!A7</f>
        <v>复核日期：</v>
      </c>
      <c r="P4" s="82"/>
      <c r="Q4" s="31"/>
      <c r="X4" s="53" t="s">
        <v>43</v>
      </c>
      <c r="Y4" s="31"/>
    </row>
    <row r="5" spans="1:25" s="2" customFormat="1" ht="19.95" customHeight="1">
      <c r="A5" s="38" t="s">
        <v>44</v>
      </c>
      <c r="B5" s="39"/>
      <c r="F5" s="49"/>
      <c r="J5" s="50"/>
      <c r="M5" s="51"/>
    </row>
    <row r="6" spans="1:25" s="2" customFormat="1" ht="19.95" customHeight="1">
      <c r="A6" s="249" t="s">
        <v>269</v>
      </c>
      <c r="B6" s="33"/>
      <c r="F6" s="49"/>
      <c r="H6" s="2" t="s">
        <v>270</v>
      </c>
      <c r="J6" s="50"/>
      <c r="M6" s="51"/>
      <c r="O6" s="2" t="s">
        <v>271</v>
      </c>
    </row>
    <row r="7" spans="1:25" s="2" customFormat="1" ht="19.95" customHeight="1">
      <c r="A7" s="40" t="s">
        <v>45</v>
      </c>
      <c r="F7" s="41"/>
      <c r="M7" s="51"/>
    </row>
    <row r="8" spans="1:25" s="2" customFormat="1" ht="19.95" customHeight="1">
      <c r="A8" s="178" t="s">
        <v>233</v>
      </c>
      <c r="B8" s="33"/>
      <c r="F8" s="41"/>
      <c r="J8" s="178" t="s">
        <v>234</v>
      </c>
      <c r="M8" s="33"/>
    </row>
    <row r="9" spans="1:25" s="2" customFormat="1" ht="19.95" customHeight="1">
      <c r="A9" s="178" t="s">
        <v>196</v>
      </c>
      <c r="B9" s="33"/>
      <c r="F9" s="41"/>
      <c r="J9" s="80" t="s">
        <v>235</v>
      </c>
      <c r="M9" s="80"/>
    </row>
    <row r="10" spans="1:25" s="59" customFormat="1" ht="33.6" customHeight="1">
      <c r="A10" s="17" t="s">
        <v>46</v>
      </c>
      <c r="B10" s="19" t="s">
        <v>47</v>
      </c>
      <c r="C10" s="19" t="s">
        <v>48</v>
      </c>
      <c r="D10" s="19" t="s">
        <v>49</v>
      </c>
      <c r="E10" s="19" t="s">
        <v>50</v>
      </c>
      <c r="F10" s="19" t="s">
        <v>51</v>
      </c>
      <c r="G10" s="19" t="s">
        <v>52</v>
      </c>
      <c r="H10" s="19" t="s">
        <v>53</v>
      </c>
      <c r="I10" s="19" t="s">
        <v>54</v>
      </c>
      <c r="J10" s="19" t="s">
        <v>55</v>
      </c>
      <c r="K10" s="19" t="s">
        <v>56</v>
      </c>
      <c r="L10" s="19" t="s">
        <v>57</v>
      </c>
      <c r="M10" s="19" t="s">
        <v>58</v>
      </c>
      <c r="N10" s="17" t="s">
        <v>59</v>
      </c>
      <c r="O10" s="17" t="s">
        <v>29</v>
      </c>
      <c r="P10" s="17" t="s">
        <v>30</v>
      </c>
      <c r="Q10" s="17" t="s">
        <v>60</v>
      </c>
      <c r="R10" s="17" t="s">
        <v>61</v>
      </c>
      <c r="S10" s="17" t="s">
        <v>62</v>
      </c>
      <c r="T10" s="17" t="s">
        <v>63</v>
      </c>
      <c r="U10" s="17" t="s">
        <v>29</v>
      </c>
      <c r="V10" s="17" t="s">
        <v>30</v>
      </c>
      <c r="W10" s="17" t="s">
        <v>64</v>
      </c>
      <c r="X10" s="17" t="s">
        <v>65</v>
      </c>
      <c r="Y10" s="17" t="s">
        <v>66</v>
      </c>
    </row>
    <row r="11" spans="1:25" s="2" customFormat="1" ht="19.95" customHeight="1">
      <c r="A11" s="81" t="s">
        <v>67</v>
      </c>
      <c r="B11" s="37"/>
      <c r="C11" s="37"/>
      <c r="D11" s="37"/>
      <c r="E11" s="37"/>
      <c r="F11" s="37"/>
      <c r="G11" s="37"/>
      <c r="H11" s="37"/>
      <c r="I11" s="37"/>
      <c r="J11" s="37"/>
      <c r="K11" s="37"/>
      <c r="L11" s="37"/>
      <c r="M11" s="37"/>
      <c r="N11" s="146">
        <f>SUM(B11:M11)</f>
        <v>0</v>
      </c>
      <c r="O11" s="37"/>
      <c r="P11" s="37"/>
      <c r="Q11" s="146">
        <f t="shared" ref="Q11:Q28" si="0">N11+O11+P11</f>
        <v>0</v>
      </c>
      <c r="R11" s="151">
        <f t="shared" ref="R11:R28" si="1">IF(Q11=0,0,Q11/$Q$29)</f>
        <v>0</v>
      </c>
      <c r="S11" s="293" t="s">
        <v>220</v>
      </c>
      <c r="T11" s="192"/>
      <c r="U11" s="192"/>
      <c r="V11" s="192"/>
      <c r="W11" s="146">
        <f>T11+U11+V11</f>
        <v>0</v>
      </c>
      <c r="X11" s="84" t="s">
        <v>67</v>
      </c>
      <c r="Y11" s="84" t="s">
        <v>67</v>
      </c>
    </row>
    <row r="12" spans="1:25" s="2" customFormat="1" ht="19.95" customHeight="1">
      <c r="A12" s="81" t="s">
        <v>68</v>
      </c>
      <c r="B12" s="37"/>
      <c r="C12" s="37"/>
      <c r="D12" s="37"/>
      <c r="E12" s="37"/>
      <c r="F12" s="37"/>
      <c r="G12" s="37"/>
      <c r="H12" s="37"/>
      <c r="I12" s="37"/>
      <c r="J12" s="37"/>
      <c r="K12" s="37"/>
      <c r="L12" s="37"/>
      <c r="M12" s="37"/>
      <c r="N12" s="146">
        <f t="shared" ref="N12:N28" si="2">SUM(B12:M12)</f>
        <v>0</v>
      </c>
      <c r="O12" s="37"/>
      <c r="P12" s="37"/>
      <c r="Q12" s="146">
        <f t="shared" si="0"/>
        <v>0</v>
      </c>
      <c r="R12" s="151">
        <f t="shared" si="1"/>
        <v>0</v>
      </c>
      <c r="S12" s="293"/>
      <c r="T12" s="192"/>
      <c r="U12" s="192"/>
      <c r="V12" s="192"/>
      <c r="W12" s="146">
        <f t="shared" ref="W12:W14" si="3">T12+U12+V12</f>
        <v>0</v>
      </c>
      <c r="X12" s="84"/>
      <c r="Y12" s="84"/>
    </row>
    <row r="13" spans="1:25" s="2" customFormat="1" ht="19.95" customHeight="1">
      <c r="A13" s="81" t="s">
        <v>69</v>
      </c>
      <c r="B13" s="37"/>
      <c r="C13" s="37"/>
      <c r="D13" s="37"/>
      <c r="E13" s="37"/>
      <c r="F13" s="37"/>
      <c r="G13" s="37"/>
      <c r="H13" s="37"/>
      <c r="I13" s="37"/>
      <c r="J13" s="37"/>
      <c r="K13" s="37"/>
      <c r="L13" s="37"/>
      <c r="M13" s="37"/>
      <c r="N13" s="146">
        <f t="shared" si="2"/>
        <v>0</v>
      </c>
      <c r="O13" s="37"/>
      <c r="P13" s="37"/>
      <c r="Q13" s="146">
        <f t="shared" si="0"/>
        <v>0</v>
      </c>
      <c r="R13" s="151">
        <f t="shared" si="1"/>
        <v>0</v>
      </c>
      <c r="S13" s="293" t="s">
        <v>221</v>
      </c>
      <c r="T13" s="192"/>
      <c r="U13" s="192"/>
      <c r="V13" s="192"/>
      <c r="W13" s="146">
        <f t="shared" si="3"/>
        <v>0</v>
      </c>
      <c r="X13" s="84"/>
      <c r="Y13" s="84"/>
    </row>
    <row r="14" spans="1:25" s="2" customFormat="1" ht="19.95" customHeight="1">
      <c r="A14" s="81" t="s">
        <v>70</v>
      </c>
      <c r="B14" s="37"/>
      <c r="C14" s="37"/>
      <c r="D14" s="37"/>
      <c r="E14" s="37"/>
      <c r="F14" s="37"/>
      <c r="G14" s="37"/>
      <c r="H14" s="37"/>
      <c r="I14" s="37"/>
      <c r="J14" s="37"/>
      <c r="K14" s="37"/>
      <c r="L14" s="37"/>
      <c r="M14" s="37"/>
      <c r="N14" s="146">
        <f t="shared" si="2"/>
        <v>0</v>
      </c>
      <c r="O14" s="37"/>
      <c r="P14" s="37"/>
      <c r="Q14" s="146">
        <f t="shared" si="0"/>
        <v>0</v>
      </c>
      <c r="R14" s="151">
        <f t="shared" si="1"/>
        <v>0</v>
      </c>
      <c r="S14" s="293"/>
      <c r="T14" s="192"/>
      <c r="U14" s="192"/>
      <c r="V14" s="192"/>
      <c r="W14" s="146">
        <f t="shared" si="3"/>
        <v>0</v>
      </c>
      <c r="X14" s="84"/>
      <c r="Y14" s="84"/>
    </row>
    <row r="15" spans="1:25" s="2" customFormat="1" ht="19.95" customHeight="1">
      <c r="A15" s="81" t="s">
        <v>71</v>
      </c>
      <c r="B15" s="37"/>
      <c r="C15" s="37"/>
      <c r="D15" s="37"/>
      <c r="E15" s="37"/>
      <c r="F15" s="37"/>
      <c r="G15" s="37"/>
      <c r="H15" s="37"/>
      <c r="I15" s="37"/>
      <c r="J15" s="37"/>
      <c r="K15" s="37"/>
      <c r="L15" s="37"/>
      <c r="M15" s="37"/>
      <c r="N15" s="146">
        <f t="shared" si="2"/>
        <v>0</v>
      </c>
      <c r="O15" s="37"/>
      <c r="P15" s="37"/>
      <c r="Q15" s="146">
        <f t="shared" si="0"/>
        <v>0</v>
      </c>
      <c r="R15" s="151">
        <f t="shared" si="1"/>
        <v>0</v>
      </c>
      <c r="S15" s="193"/>
      <c r="T15" s="192"/>
      <c r="U15" s="192"/>
      <c r="V15" s="192"/>
      <c r="W15" s="146">
        <f t="shared" ref="W15:W23" si="4">T15+U15+V15</f>
        <v>0</v>
      </c>
      <c r="X15" s="84"/>
      <c r="Y15" s="84"/>
    </row>
    <row r="16" spans="1:25" s="2" customFormat="1" ht="19.95" customHeight="1">
      <c r="A16" s="81" t="s">
        <v>72</v>
      </c>
      <c r="B16" s="37"/>
      <c r="C16" s="37"/>
      <c r="D16" s="37"/>
      <c r="E16" s="37"/>
      <c r="F16" s="37"/>
      <c r="G16" s="37"/>
      <c r="H16" s="37"/>
      <c r="I16" s="37"/>
      <c r="J16" s="37"/>
      <c r="K16" s="37"/>
      <c r="L16" s="37"/>
      <c r="M16" s="37"/>
      <c r="N16" s="146">
        <f t="shared" si="2"/>
        <v>0</v>
      </c>
      <c r="O16" s="37"/>
      <c r="P16" s="37"/>
      <c r="Q16" s="146">
        <f t="shared" si="0"/>
        <v>0</v>
      </c>
      <c r="R16" s="151">
        <f t="shared" si="1"/>
        <v>0</v>
      </c>
      <c r="S16" s="193"/>
      <c r="T16" s="192"/>
      <c r="U16" s="192"/>
      <c r="V16" s="192"/>
      <c r="W16" s="146">
        <f t="shared" si="4"/>
        <v>0</v>
      </c>
      <c r="X16" s="84"/>
      <c r="Y16" s="84"/>
    </row>
    <row r="17" spans="1:25" s="2" customFormat="1" ht="19.95" customHeight="1">
      <c r="A17" s="81" t="s">
        <v>73</v>
      </c>
      <c r="B17" s="37"/>
      <c r="C17" s="37"/>
      <c r="D17" s="37"/>
      <c r="E17" s="37"/>
      <c r="F17" s="37"/>
      <c r="G17" s="37"/>
      <c r="H17" s="37"/>
      <c r="I17" s="37"/>
      <c r="J17" s="37"/>
      <c r="K17" s="37"/>
      <c r="L17" s="37"/>
      <c r="M17" s="37"/>
      <c r="N17" s="146">
        <f t="shared" si="2"/>
        <v>0</v>
      </c>
      <c r="O17" s="37"/>
      <c r="P17" s="37"/>
      <c r="Q17" s="146">
        <f t="shared" si="0"/>
        <v>0</v>
      </c>
      <c r="R17" s="151">
        <f t="shared" si="1"/>
        <v>0</v>
      </c>
      <c r="S17" s="193"/>
      <c r="T17" s="192"/>
      <c r="U17" s="192"/>
      <c r="V17" s="192"/>
      <c r="W17" s="146">
        <f t="shared" si="4"/>
        <v>0</v>
      </c>
      <c r="X17" s="84"/>
      <c r="Y17" s="84"/>
    </row>
    <row r="18" spans="1:25" s="2" customFormat="1" ht="19.95" customHeight="1">
      <c r="A18" s="81" t="s">
        <v>74</v>
      </c>
      <c r="B18" s="37"/>
      <c r="C18" s="37"/>
      <c r="D18" s="37"/>
      <c r="E18" s="37"/>
      <c r="F18" s="37"/>
      <c r="G18" s="37"/>
      <c r="H18" s="37"/>
      <c r="I18" s="37"/>
      <c r="J18" s="37"/>
      <c r="K18" s="37"/>
      <c r="L18" s="37"/>
      <c r="M18" s="37"/>
      <c r="N18" s="146">
        <f t="shared" si="2"/>
        <v>0</v>
      </c>
      <c r="O18" s="37"/>
      <c r="P18" s="37"/>
      <c r="Q18" s="146">
        <f t="shared" si="0"/>
        <v>0</v>
      </c>
      <c r="R18" s="151">
        <f t="shared" si="1"/>
        <v>0</v>
      </c>
      <c r="S18" s="193"/>
      <c r="T18" s="192"/>
      <c r="U18" s="192"/>
      <c r="V18" s="192"/>
      <c r="W18" s="146">
        <f t="shared" si="4"/>
        <v>0</v>
      </c>
      <c r="X18" s="84"/>
      <c r="Y18" s="84"/>
    </row>
    <row r="19" spans="1:25" s="2" customFormat="1" ht="19.95" customHeight="1">
      <c r="A19" s="81" t="s">
        <v>75</v>
      </c>
      <c r="B19" s="37"/>
      <c r="C19" s="37"/>
      <c r="D19" s="37"/>
      <c r="E19" s="37"/>
      <c r="F19" s="37"/>
      <c r="G19" s="37"/>
      <c r="H19" s="37"/>
      <c r="I19" s="37"/>
      <c r="J19" s="37"/>
      <c r="K19" s="37"/>
      <c r="L19" s="37"/>
      <c r="M19" s="37"/>
      <c r="N19" s="146">
        <f t="shared" si="2"/>
        <v>0</v>
      </c>
      <c r="O19" s="37"/>
      <c r="P19" s="37"/>
      <c r="Q19" s="146">
        <f t="shared" si="0"/>
        <v>0</v>
      </c>
      <c r="R19" s="151">
        <f t="shared" si="1"/>
        <v>0</v>
      </c>
      <c r="S19" s="193"/>
      <c r="T19" s="192"/>
      <c r="U19" s="192"/>
      <c r="V19" s="192"/>
      <c r="W19" s="146">
        <f t="shared" si="4"/>
        <v>0</v>
      </c>
      <c r="X19" s="84"/>
      <c r="Y19" s="84"/>
    </row>
    <row r="20" spans="1:25" s="2" customFormat="1" ht="19.95" customHeight="1">
      <c r="A20" s="81" t="s">
        <v>76</v>
      </c>
      <c r="B20" s="37"/>
      <c r="C20" s="37"/>
      <c r="D20" s="37"/>
      <c r="E20" s="37"/>
      <c r="F20" s="37"/>
      <c r="G20" s="37"/>
      <c r="H20" s="37"/>
      <c r="I20" s="37"/>
      <c r="J20" s="37"/>
      <c r="K20" s="37"/>
      <c r="L20" s="37"/>
      <c r="M20" s="37"/>
      <c r="N20" s="146">
        <f t="shared" si="2"/>
        <v>0</v>
      </c>
      <c r="O20" s="37"/>
      <c r="P20" s="37"/>
      <c r="Q20" s="146">
        <f t="shared" si="0"/>
        <v>0</v>
      </c>
      <c r="R20" s="151">
        <f t="shared" si="1"/>
        <v>0</v>
      </c>
      <c r="S20" s="193"/>
      <c r="T20" s="192"/>
      <c r="U20" s="192"/>
      <c r="V20" s="192"/>
      <c r="W20" s="146">
        <f t="shared" si="4"/>
        <v>0</v>
      </c>
      <c r="X20" s="84"/>
      <c r="Y20" s="84"/>
    </row>
    <row r="21" spans="1:25" s="2" customFormat="1" ht="19.95" customHeight="1">
      <c r="A21" s="81" t="s">
        <v>77</v>
      </c>
      <c r="B21" s="37"/>
      <c r="C21" s="37"/>
      <c r="D21" s="37"/>
      <c r="E21" s="37"/>
      <c r="F21" s="37"/>
      <c r="G21" s="37"/>
      <c r="H21" s="37"/>
      <c r="I21" s="37"/>
      <c r="J21" s="37"/>
      <c r="K21" s="37"/>
      <c r="L21" s="37"/>
      <c r="M21" s="37"/>
      <c r="N21" s="146">
        <f t="shared" si="2"/>
        <v>0</v>
      </c>
      <c r="O21" s="37"/>
      <c r="P21" s="37"/>
      <c r="Q21" s="146">
        <f t="shared" si="0"/>
        <v>0</v>
      </c>
      <c r="R21" s="151">
        <f t="shared" si="1"/>
        <v>0</v>
      </c>
      <c r="S21" s="193"/>
      <c r="T21" s="192"/>
      <c r="U21" s="192"/>
      <c r="V21" s="192"/>
      <c r="W21" s="146">
        <f t="shared" si="4"/>
        <v>0</v>
      </c>
      <c r="X21" s="84"/>
      <c r="Y21" s="84"/>
    </row>
    <row r="22" spans="1:25" s="2" customFormat="1" ht="19.95" customHeight="1">
      <c r="A22" s="81" t="s">
        <v>78</v>
      </c>
      <c r="B22" s="37"/>
      <c r="C22" s="37"/>
      <c r="D22" s="37"/>
      <c r="E22" s="37"/>
      <c r="F22" s="37"/>
      <c r="G22" s="37"/>
      <c r="H22" s="37"/>
      <c r="I22" s="37"/>
      <c r="J22" s="37"/>
      <c r="K22" s="37"/>
      <c r="L22" s="37"/>
      <c r="M22" s="37"/>
      <c r="N22" s="146">
        <f t="shared" si="2"/>
        <v>0</v>
      </c>
      <c r="O22" s="37"/>
      <c r="P22" s="37"/>
      <c r="Q22" s="146">
        <f t="shared" si="0"/>
        <v>0</v>
      </c>
      <c r="R22" s="151">
        <f t="shared" si="1"/>
        <v>0</v>
      </c>
      <c r="S22" s="193"/>
      <c r="T22" s="192"/>
      <c r="U22" s="192"/>
      <c r="V22" s="192"/>
      <c r="W22" s="146">
        <f t="shared" si="4"/>
        <v>0</v>
      </c>
      <c r="X22" s="84"/>
      <c r="Y22" s="84"/>
    </row>
    <row r="23" spans="1:25" s="2" customFormat="1" ht="19.95" customHeight="1">
      <c r="A23" s="81" t="s">
        <v>79</v>
      </c>
      <c r="B23" s="37"/>
      <c r="C23" s="37"/>
      <c r="D23" s="37"/>
      <c r="E23" s="37"/>
      <c r="F23" s="37"/>
      <c r="G23" s="37"/>
      <c r="H23" s="37"/>
      <c r="I23" s="37"/>
      <c r="J23" s="37"/>
      <c r="K23" s="37"/>
      <c r="L23" s="37"/>
      <c r="M23" s="37"/>
      <c r="N23" s="146">
        <f t="shared" si="2"/>
        <v>0</v>
      </c>
      <c r="O23" s="37"/>
      <c r="P23" s="37"/>
      <c r="Q23" s="146">
        <f t="shared" si="0"/>
        <v>0</v>
      </c>
      <c r="R23" s="151">
        <f t="shared" si="1"/>
        <v>0</v>
      </c>
      <c r="S23" s="193"/>
      <c r="T23" s="192"/>
      <c r="U23" s="192"/>
      <c r="V23" s="192"/>
      <c r="W23" s="146">
        <f t="shared" si="4"/>
        <v>0</v>
      </c>
      <c r="X23" s="84"/>
      <c r="Y23" s="84"/>
    </row>
    <row r="24" spans="1:25" s="2" customFormat="1" ht="19.95" customHeight="1">
      <c r="A24" s="81" t="s">
        <v>80</v>
      </c>
      <c r="B24" s="37"/>
      <c r="C24" s="37"/>
      <c r="D24" s="37"/>
      <c r="E24" s="37"/>
      <c r="F24" s="37"/>
      <c r="G24" s="37"/>
      <c r="H24" s="37"/>
      <c r="I24" s="37"/>
      <c r="J24" s="37"/>
      <c r="K24" s="37"/>
      <c r="L24" s="37"/>
      <c r="M24" s="37"/>
      <c r="N24" s="146">
        <f t="shared" si="2"/>
        <v>0</v>
      </c>
      <c r="O24" s="37"/>
      <c r="P24" s="37"/>
      <c r="Q24" s="146">
        <f t="shared" si="0"/>
        <v>0</v>
      </c>
      <c r="R24" s="151">
        <f t="shared" si="1"/>
        <v>0</v>
      </c>
      <c r="S24" s="193"/>
      <c r="T24" s="192"/>
      <c r="U24" s="192"/>
      <c r="V24" s="192"/>
      <c r="W24" s="146">
        <f t="shared" ref="W24:W28" si="5">T24+U24+V24</f>
        <v>0</v>
      </c>
      <c r="X24" s="84"/>
      <c r="Y24" s="84"/>
    </row>
    <row r="25" spans="1:25" s="2" customFormat="1" ht="19.95" customHeight="1">
      <c r="A25" s="81" t="s">
        <v>81</v>
      </c>
      <c r="B25" s="37"/>
      <c r="C25" s="37"/>
      <c r="D25" s="37"/>
      <c r="E25" s="37"/>
      <c r="F25" s="37"/>
      <c r="G25" s="37"/>
      <c r="H25" s="37"/>
      <c r="I25" s="37"/>
      <c r="J25" s="37"/>
      <c r="K25" s="37"/>
      <c r="L25" s="37"/>
      <c r="M25" s="37"/>
      <c r="N25" s="146">
        <f t="shared" si="2"/>
        <v>0</v>
      </c>
      <c r="O25" s="37"/>
      <c r="P25" s="37"/>
      <c r="Q25" s="146">
        <f t="shared" si="0"/>
        <v>0</v>
      </c>
      <c r="R25" s="151">
        <f t="shared" si="1"/>
        <v>0</v>
      </c>
      <c r="S25" s="193"/>
      <c r="T25" s="192"/>
      <c r="U25" s="192"/>
      <c r="V25" s="192"/>
      <c r="W25" s="146">
        <f t="shared" si="5"/>
        <v>0</v>
      </c>
      <c r="X25" s="84"/>
      <c r="Y25" s="84"/>
    </row>
    <row r="26" spans="1:25" s="2" customFormat="1" ht="19.95" customHeight="1">
      <c r="A26" s="81" t="s">
        <v>82</v>
      </c>
      <c r="B26" s="37"/>
      <c r="C26" s="37"/>
      <c r="D26" s="37"/>
      <c r="E26" s="37"/>
      <c r="F26" s="37"/>
      <c r="G26" s="37"/>
      <c r="H26" s="37"/>
      <c r="I26" s="37"/>
      <c r="J26" s="37"/>
      <c r="K26" s="37"/>
      <c r="L26" s="37"/>
      <c r="M26" s="37"/>
      <c r="N26" s="146">
        <f t="shared" si="2"/>
        <v>0</v>
      </c>
      <c r="O26" s="37"/>
      <c r="P26" s="37"/>
      <c r="Q26" s="146">
        <f t="shared" si="0"/>
        <v>0</v>
      </c>
      <c r="R26" s="151">
        <f t="shared" si="1"/>
        <v>0</v>
      </c>
      <c r="S26" s="193"/>
      <c r="T26" s="192"/>
      <c r="U26" s="192"/>
      <c r="V26" s="192"/>
      <c r="W26" s="146">
        <f t="shared" si="5"/>
        <v>0</v>
      </c>
      <c r="X26" s="84"/>
      <c r="Y26" s="84"/>
    </row>
    <row r="27" spans="1:25" s="2" customFormat="1" ht="19.95" customHeight="1">
      <c r="A27" s="81" t="s">
        <v>83</v>
      </c>
      <c r="B27" s="37"/>
      <c r="C27" s="37"/>
      <c r="D27" s="37"/>
      <c r="E27" s="37"/>
      <c r="F27" s="37"/>
      <c r="G27" s="37"/>
      <c r="H27" s="37"/>
      <c r="I27" s="37"/>
      <c r="J27" s="37"/>
      <c r="K27" s="37"/>
      <c r="L27" s="37"/>
      <c r="M27" s="37"/>
      <c r="N27" s="146">
        <f t="shared" si="2"/>
        <v>0</v>
      </c>
      <c r="O27" s="37"/>
      <c r="P27" s="37"/>
      <c r="Q27" s="146">
        <f t="shared" si="0"/>
        <v>0</v>
      </c>
      <c r="R27" s="151">
        <f t="shared" si="1"/>
        <v>0</v>
      </c>
      <c r="S27" s="193"/>
      <c r="T27" s="192"/>
      <c r="U27" s="192"/>
      <c r="V27" s="192"/>
      <c r="W27" s="146">
        <f t="shared" si="5"/>
        <v>0</v>
      </c>
      <c r="X27" s="84"/>
      <c r="Y27" s="84"/>
    </row>
    <row r="28" spans="1:25" s="2" customFormat="1" ht="19.95" customHeight="1">
      <c r="A28" s="81" t="s">
        <v>84</v>
      </c>
      <c r="B28" s="37"/>
      <c r="C28" s="37"/>
      <c r="D28" s="37"/>
      <c r="E28" s="37"/>
      <c r="F28" s="37"/>
      <c r="G28" s="37"/>
      <c r="H28" s="37"/>
      <c r="I28" s="37"/>
      <c r="J28" s="37"/>
      <c r="K28" s="37"/>
      <c r="L28" s="37"/>
      <c r="M28" s="37"/>
      <c r="N28" s="146">
        <f t="shared" si="2"/>
        <v>0</v>
      </c>
      <c r="O28" s="37"/>
      <c r="P28" s="37"/>
      <c r="Q28" s="146">
        <f t="shared" si="0"/>
        <v>0</v>
      </c>
      <c r="R28" s="151">
        <f t="shared" si="1"/>
        <v>0</v>
      </c>
      <c r="S28" s="193"/>
      <c r="T28" s="192"/>
      <c r="U28" s="192"/>
      <c r="V28" s="192"/>
      <c r="W28" s="146">
        <f t="shared" si="5"/>
        <v>0</v>
      </c>
      <c r="X28" s="84"/>
      <c r="Y28" s="84"/>
    </row>
    <row r="29" spans="1:25" s="246" customFormat="1" ht="19.95" customHeight="1">
      <c r="A29" s="215" t="s">
        <v>85</v>
      </c>
      <c r="B29" s="240">
        <f t="shared" ref="B29:R29" si="6">SUM(B11:B28)</f>
        <v>0</v>
      </c>
      <c r="C29" s="240">
        <f t="shared" si="6"/>
        <v>0</v>
      </c>
      <c r="D29" s="240">
        <f t="shared" si="6"/>
        <v>0</v>
      </c>
      <c r="E29" s="240">
        <f t="shared" si="6"/>
        <v>0</v>
      </c>
      <c r="F29" s="240">
        <f t="shared" si="6"/>
        <v>0</v>
      </c>
      <c r="G29" s="240">
        <f t="shared" si="6"/>
        <v>0</v>
      </c>
      <c r="H29" s="240">
        <f t="shared" si="6"/>
        <v>0</v>
      </c>
      <c r="I29" s="240">
        <f t="shared" si="6"/>
        <v>0</v>
      </c>
      <c r="J29" s="240">
        <f t="shared" si="6"/>
        <v>0</v>
      </c>
      <c r="K29" s="240">
        <f t="shared" si="6"/>
        <v>0</v>
      </c>
      <c r="L29" s="240">
        <f t="shared" si="6"/>
        <v>0</v>
      </c>
      <c r="M29" s="240">
        <f t="shared" si="6"/>
        <v>0</v>
      </c>
      <c r="N29" s="240">
        <f t="shared" si="6"/>
        <v>0</v>
      </c>
      <c r="O29" s="240">
        <f t="shared" si="6"/>
        <v>0</v>
      </c>
      <c r="P29" s="240">
        <f t="shared" si="6"/>
        <v>0</v>
      </c>
      <c r="Q29" s="240">
        <f t="shared" si="6"/>
        <v>0</v>
      </c>
      <c r="R29" s="239">
        <f t="shared" si="6"/>
        <v>0</v>
      </c>
      <c r="S29" s="240"/>
      <c r="T29" s="240">
        <f>SUM(T11:T28)</f>
        <v>0</v>
      </c>
      <c r="U29" s="240">
        <f>SUM(U11:U28)</f>
        <v>0</v>
      </c>
      <c r="V29" s="240">
        <f>SUM(V11:V28)</f>
        <v>0</v>
      </c>
      <c r="W29" s="240">
        <f>SUM(W11:W28)</f>
        <v>0</v>
      </c>
      <c r="X29" s="245"/>
      <c r="Y29" s="245"/>
    </row>
    <row r="30" spans="1:25" s="244" customFormat="1" ht="19.95" customHeight="1">
      <c r="A30" s="215" t="s">
        <v>86</v>
      </c>
      <c r="B30" s="239">
        <f t="shared" ref="B30:M30" si="7">IF($N$29=0,0,B29/$N$29)</f>
        <v>0</v>
      </c>
      <c r="C30" s="239">
        <f t="shared" si="7"/>
        <v>0</v>
      </c>
      <c r="D30" s="239">
        <f t="shared" si="7"/>
        <v>0</v>
      </c>
      <c r="E30" s="239">
        <f t="shared" si="7"/>
        <v>0</v>
      </c>
      <c r="F30" s="239">
        <f t="shared" si="7"/>
        <v>0</v>
      </c>
      <c r="G30" s="239">
        <f t="shared" si="7"/>
        <v>0</v>
      </c>
      <c r="H30" s="239">
        <f t="shared" si="7"/>
        <v>0</v>
      </c>
      <c r="I30" s="239">
        <f t="shared" si="7"/>
        <v>0</v>
      </c>
      <c r="J30" s="239">
        <f t="shared" si="7"/>
        <v>0</v>
      </c>
      <c r="K30" s="239">
        <f t="shared" si="7"/>
        <v>0</v>
      </c>
      <c r="L30" s="239">
        <f t="shared" si="7"/>
        <v>0</v>
      </c>
      <c r="M30" s="239">
        <f t="shared" si="7"/>
        <v>0</v>
      </c>
      <c r="N30" s="240"/>
      <c r="O30" s="241"/>
      <c r="P30" s="241"/>
      <c r="Q30" s="241"/>
      <c r="R30" s="241"/>
      <c r="S30" s="242"/>
      <c r="T30" s="242"/>
      <c r="U30" s="242"/>
      <c r="V30" s="242"/>
      <c r="W30" s="242"/>
      <c r="X30" s="243"/>
      <c r="Y30" s="243"/>
    </row>
    <row r="31" spans="1:25" s="2" customFormat="1" ht="19.95" customHeight="1">
      <c r="A31" s="46" t="s">
        <v>87</v>
      </c>
      <c r="B31" s="24"/>
      <c r="C31" s="24"/>
      <c r="D31" s="24"/>
      <c r="E31" s="24"/>
      <c r="F31" s="24"/>
      <c r="G31" s="24"/>
      <c r="H31" s="24"/>
      <c r="I31" s="24"/>
      <c r="J31" s="24"/>
      <c r="K31" s="24"/>
      <c r="L31" s="24"/>
      <c r="M31" s="24"/>
      <c r="N31" s="24"/>
      <c r="O31" s="24"/>
      <c r="P31" s="24"/>
      <c r="Q31" s="24"/>
      <c r="R31" s="24"/>
      <c r="S31" s="24"/>
      <c r="T31" s="24"/>
      <c r="U31" s="24"/>
      <c r="V31" s="24"/>
      <c r="W31" s="24"/>
    </row>
    <row r="32" spans="1:25" s="2" customFormat="1" ht="19.95" customHeight="1">
      <c r="A32" s="189" t="s">
        <v>262</v>
      </c>
    </row>
    <row r="33" spans="1:10" s="2" customFormat="1" ht="19.95" customHeight="1">
      <c r="A33" s="189" t="s">
        <v>263</v>
      </c>
    </row>
    <row r="34" spans="1:10" s="2" customFormat="1" ht="19.95" customHeight="1">
      <c r="A34" s="189" t="s">
        <v>264</v>
      </c>
    </row>
    <row r="35" spans="1:10" s="2" customFormat="1" ht="19.95" customHeight="1">
      <c r="A35" s="229" t="s">
        <v>265</v>
      </c>
      <c r="B35" s="230" t="s">
        <v>140</v>
      </c>
      <c r="C35" s="230" t="s">
        <v>141</v>
      </c>
      <c r="D35" s="230" t="s">
        <v>142</v>
      </c>
      <c r="E35" s="230" t="s">
        <v>143</v>
      </c>
      <c r="F35" s="231" t="s">
        <v>144</v>
      </c>
      <c r="G35" s="231" t="s">
        <v>145</v>
      </c>
      <c r="H35" s="231" t="s">
        <v>146</v>
      </c>
    </row>
    <row r="36" spans="1:10" s="2" customFormat="1" ht="19.95" customHeight="1">
      <c r="A36" s="232" t="s">
        <v>266</v>
      </c>
      <c r="B36" s="233"/>
      <c r="C36" s="234"/>
      <c r="D36" s="235">
        <f>B36*C36</f>
        <v>0</v>
      </c>
      <c r="E36" s="233"/>
      <c r="F36" s="235">
        <f>D36-E36</f>
        <v>0</v>
      </c>
      <c r="G36" s="233"/>
      <c r="H36" s="233"/>
    </row>
    <row r="37" spans="1:10" s="2" customFormat="1" ht="19.95" customHeight="1">
      <c r="A37" s="232" t="s">
        <v>266</v>
      </c>
      <c r="B37" s="233"/>
      <c r="C37" s="234"/>
      <c r="D37" s="235">
        <f>B37*C37</f>
        <v>0</v>
      </c>
      <c r="E37" s="233"/>
      <c r="F37" s="235">
        <f>D37-E37</f>
        <v>0</v>
      </c>
      <c r="G37" s="233"/>
      <c r="H37" s="233"/>
    </row>
    <row r="38" spans="1:10" s="2" customFormat="1" ht="19.95" customHeight="1">
      <c r="A38" s="236"/>
      <c r="B38" s="184"/>
      <c r="C38" s="237"/>
      <c r="D38" s="238"/>
      <c r="E38" s="184"/>
      <c r="F38" s="238"/>
      <c r="G38" s="184"/>
      <c r="H38" s="184"/>
    </row>
    <row r="39" spans="1:10" s="2" customFormat="1" ht="19.95" customHeight="1">
      <c r="A39" s="4" t="s">
        <v>267</v>
      </c>
    </row>
    <row r="40" spans="1:10" s="2" customFormat="1" ht="19.95" customHeight="1"/>
    <row r="41" spans="1:10" s="2" customFormat="1" ht="13.8">
      <c r="A41" s="247" t="s">
        <v>268</v>
      </c>
    </row>
    <row r="42" spans="1:10" s="2" customFormat="1" ht="13.8">
      <c r="A42" s="248" t="s">
        <v>89</v>
      </c>
    </row>
    <row r="43" spans="1:10" s="2" customFormat="1" ht="13.8">
      <c r="A43" s="248" t="s">
        <v>399</v>
      </c>
    </row>
    <row r="44" spans="1:10" s="2" customFormat="1" ht="13.8">
      <c r="A44" s="248" t="s">
        <v>400</v>
      </c>
    </row>
    <row r="45" spans="1:10" s="2" customFormat="1" ht="13.8">
      <c r="A45" s="248" t="s">
        <v>401</v>
      </c>
    </row>
    <row r="46" spans="1:10">
      <c r="A46" s="248" t="s">
        <v>402</v>
      </c>
    </row>
    <row r="47" spans="1:10">
      <c r="A47" s="248" t="s">
        <v>403</v>
      </c>
      <c r="B47" s="71"/>
      <c r="C47" s="2"/>
      <c r="D47" s="2"/>
      <c r="E47" s="2"/>
      <c r="F47" s="2"/>
      <c r="G47" s="2"/>
      <c r="H47" s="2"/>
      <c r="I47" s="2"/>
      <c r="J47" s="2"/>
    </row>
    <row r="48" spans="1:10">
      <c r="A48" s="334" t="s">
        <v>409</v>
      </c>
      <c r="B48" s="71"/>
      <c r="C48" s="2"/>
      <c r="D48" s="2"/>
      <c r="E48" s="2"/>
      <c r="F48" s="2"/>
      <c r="G48" s="2"/>
      <c r="H48" s="2"/>
      <c r="I48" s="2"/>
      <c r="J48" s="2"/>
    </row>
    <row r="49" spans="1:10">
      <c r="A49" s="334" t="s">
        <v>410</v>
      </c>
      <c r="B49" s="71"/>
      <c r="C49" s="2"/>
      <c r="D49" s="2"/>
      <c r="E49" s="2"/>
      <c r="F49" s="2"/>
      <c r="G49" s="2"/>
      <c r="H49" s="2"/>
      <c r="I49" s="2"/>
      <c r="J49" s="2"/>
    </row>
    <row r="50" spans="1:10">
      <c r="A50" s="334" t="s">
        <v>404</v>
      </c>
    </row>
    <row r="51" spans="1:10">
      <c r="A51" s="334" t="s">
        <v>405</v>
      </c>
    </row>
    <row r="52" spans="1:10">
      <c r="A52" s="334" t="s">
        <v>406</v>
      </c>
    </row>
    <row r="53" spans="1:10">
      <c r="A53" s="334" t="s">
        <v>407</v>
      </c>
    </row>
    <row r="54" spans="1:10">
      <c r="A54" s="334" t="s">
        <v>408</v>
      </c>
    </row>
    <row r="55" spans="1:10">
      <c r="A55" s="335" t="s">
        <v>411</v>
      </c>
    </row>
  </sheetData>
  <mergeCells count="2">
    <mergeCell ref="A1:Y1"/>
    <mergeCell ref="A2:Y2"/>
  </mergeCells>
  <phoneticPr fontId="60" type="noConversion"/>
  <conditionalFormatting sqref="B30:M30">
    <cfRule type="cellIs" dxfId="9" priority="1" stopIfTrue="1" operator="greaterThanOrEqual">
      <formula>0.3</formula>
    </cfRule>
  </conditionalFormatting>
  <hyperlinks>
    <hyperlink ref="Y3" location="底稿目录!A1" display="底稿目录!A1"/>
  </hyperlinks>
  <printOptions horizontalCentered="1"/>
  <pageMargins left="0.7" right="0.7" top="0.75" bottom="0.75" header="0.3" footer="0.3"/>
  <pageSetup paperSize="9" scale="52"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2"/>
  <sheetViews>
    <sheetView view="pageBreakPreview" zoomScaleNormal="100" workbookViewId="0">
      <selection sqref="A1:J1"/>
    </sheetView>
  </sheetViews>
  <sheetFormatPr defaultColWidth="8.88671875" defaultRowHeight="15.6"/>
  <cols>
    <col min="1" max="1" width="23.77734375" style="72" customWidth="1"/>
    <col min="2" max="2" width="18.44140625" style="72" customWidth="1"/>
    <col min="3" max="3" width="14.5546875" style="72" customWidth="1"/>
    <col min="4" max="4" width="19.6640625" style="72" customWidth="1"/>
    <col min="5" max="5" width="15" style="72" customWidth="1"/>
    <col min="6" max="6" width="10.77734375" style="72" customWidth="1"/>
    <col min="7" max="7" width="11.77734375" style="72" customWidth="1"/>
    <col min="8" max="8" width="11.44140625" style="72" customWidth="1"/>
    <col min="9" max="9" width="8.88671875" style="72"/>
    <col min="10" max="10" width="11.109375" style="72" customWidth="1"/>
    <col min="11" max="16384" width="8.88671875" style="72"/>
  </cols>
  <sheetData>
    <row r="1" spans="1:10" ht="19.95" customHeight="1">
      <c r="A1" s="365" t="s">
        <v>6</v>
      </c>
      <c r="B1" s="365"/>
      <c r="C1" s="365"/>
      <c r="D1" s="365"/>
      <c r="E1" s="365"/>
      <c r="F1" s="365"/>
      <c r="G1" s="365"/>
      <c r="H1" s="365"/>
      <c r="I1" s="365"/>
      <c r="J1" s="365"/>
    </row>
    <row r="2" spans="1:10" ht="19.95" customHeight="1">
      <c r="A2" s="358" t="s">
        <v>90</v>
      </c>
      <c r="B2" s="358"/>
      <c r="C2" s="358"/>
      <c r="D2" s="366"/>
      <c r="E2" s="366"/>
      <c r="F2" s="366"/>
      <c r="G2" s="366"/>
      <c r="H2" s="366"/>
      <c r="I2" s="366"/>
      <c r="J2" s="366"/>
    </row>
    <row r="3" spans="1:10" ht="19.95" customHeight="1">
      <c r="A3" s="73" t="str">
        <f>底稿目录!A2</f>
        <v>被审计单位：</v>
      </c>
      <c r="D3" s="73" t="str">
        <f>底稿目录!A4</f>
        <v>编制人：</v>
      </c>
      <c r="E3" s="73"/>
      <c r="F3" s="73" t="str">
        <f>底稿目录!A5</f>
        <v>编制日期：</v>
      </c>
      <c r="G3" s="73"/>
      <c r="H3" s="74"/>
      <c r="I3" s="73" t="s">
        <v>91</v>
      </c>
      <c r="J3" s="255" t="str">
        <f>底稿目录!D10</f>
        <v>K9-3</v>
      </c>
    </row>
    <row r="4" spans="1:10" ht="19.95" customHeight="1">
      <c r="A4" s="73" t="str">
        <f>底稿目录!A3</f>
        <v>会计期间：202X年度</v>
      </c>
      <c r="D4" s="73" t="str">
        <f>底稿目录!A6</f>
        <v>复核人：</v>
      </c>
      <c r="E4" s="73"/>
      <c r="F4" s="73" t="str">
        <f>底稿目录!A7</f>
        <v>复核日期：</v>
      </c>
      <c r="G4" s="73"/>
      <c r="H4" s="73"/>
      <c r="I4" s="73" t="s">
        <v>43</v>
      </c>
      <c r="J4" s="79"/>
    </row>
    <row r="5" spans="1:10" s="298" customFormat="1" ht="42" customHeight="1">
      <c r="A5" s="294" t="s">
        <v>92</v>
      </c>
      <c r="B5" s="295" t="s">
        <v>93</v>
      </c>
      <c r="C5" s="296" t="s">
        <v>197</v>
      </c>
      <c r="D5" s="296" t="s">
        <v>94</v>
      </c>
      <c r="E5" s="296" t="s">
        <v>95</v>
      </c>
      <c r="F5" s="297" t="s">
        <v>84</v>
      </c>
      <c r="G5" s="296" t="s">
        <v>96</v>
      </c>
      <c r="H5" s="296" t="s">
        <v>97</v>
      </c>
      <c r="I5" s="296" t="s">
        <v>98</v>
      </c>
      <c r="J5" s="296" t="s">
        <v>99</v>
      </c>
    </row>
    <row r="6" spans="1:10" ht="19.95" customHeight="1">
      <c r="A6" s="194"/>
      <c r="B6" s="194"/>
      <c r="C6" s="195"/>
      <c r="D6" s="194"/>
      <c r="E6" s="194"/>
      <c r="F6" s="194"/>
      <c r="G6" s="196"/>
      <c r="H6" s="196"/>
      <c r="I6" s="197"/>
      <c r="J6" s="194"/>
    </row>
    <row r="7" spans="1:10" ht="19.95" customHeight="1">
      <c r="A7" s="194"/>
      <c r="B7" s="194"/>
      <c r="C7" s="195"/>
      <c r="D7" s="194"/>
      <c r="E7" s="194"/>
      <c r="F7" s="194"/>
      <c r="G7" s="196"/>
      <c r="H7" s="196"/>
      <c r="I7" s="197"/>
      <c r="J7" s="194"/>
    </row>
    <row r="8" spans="1:10" ht="19.95" customHeight="1">
      <c r="A8" s="194"/>
      <c r="B8" s="194"/>
      <c r="C8" s="195"/>
      <c r="D8" s="194"/>
      <c r="E8" s="194"/>
      <c r="F8" s="194"/>
      <c r="G8" s="196"/>
      <c r="H8" s="196"/>
      <c r="I8" s="197"/>
      <c r="J8" s="194"/>
    </row>
    <row r="9" spans="1:10" ht="19.95" customHeight="1">
      <c r="A9" s="194"/>
      <c r="B9" s="194"/>
      <c r="C9" s="195"/>
      <c r="D9" s="194"/>
      <c r="E9" s="194"/>
      <c r="F9" s="194"/>
      <c r="G9" s="196"/>
      <c r="H9" s="196"/>
      <c r="I9" s="197"/>
      <c r="J9" s="194"/>
    </row>
    <row r="10" spans="1:10" ht="19.95" customHeight="1">
      <c r="A10" s="194"/>
      <c r="B10" s="194"/>
      <c r="C10" s="195"/>
      <c r="D10" s="194"/>
      <c r="E10" s="194"/>
      <c r="F10" s="194"/>
      <c r="G10" s="196"/>
      <c r="H10" s="196"/>
      <c r="I10" s="197"/>
      <c r="J10" s="194"/>
    </row>
    <row r="11" spans="1:10" ht="19.95" customHeight="1">
      <c r="A11" s="194"/>
      <c r="B11" s="194"/>
      <c r="C11" s="195"/>
      <c r="D11" s="194"/>
      <c r="E11" s="194"/>
      <c r="F11" s="194"/>
      <c r="G11" s="196"/>
      <c r="H11" s="196"/>
      <c r="I11" s="197"/>
      <c r="J11" s="194"/>
    </row>
    <row r="12" spans="1:10" ht="19.95" customHeight="1">
      <c r="A12" s="194"/>
      <c r="B12" s="194"/>
      <c r="C12" s="195"/>
      <c r="D12" s="194"/>
      <c r="E12" s="194"/>
      <c r="F12" s="194"/>
      <c r="G12" s="196"/>
      <c r="H12" s="196"/>
      <c r="I12" s="197"/>
      <c r="J12" s="194"/>
    </row>
    <row r="13" spans="1:10" ht="19.95" customHeight="1">
      <c r="A13" s="194"/>
      <c r="B13" s="194"/>
      <c r="C13" s="195"/>
      <c r="D13" s="194"/>
      <c r="E13" s="194"/>
      <c r="F13" s="194"/>
      <c r="G13" s="196"/>
      <c r="H13" s="196"/>
      <c r="I13" s="197"/>
      <c r="J13" s="194"/>
    </row>
    <row r="14" spans="1:10" ht="19.95" customHeight="1">
      <c r="A14" s="194"/>
      <c r="B14" s="194"/>
      <c r="C14" s="195"/>
      <c r="D14" s="194"/>
      <c r="E14" s="194"/>
      <c r="F14" s="194"/>
      <c r="G14" s="196"/>
      <c r="H14" s="196"/>
      <c r="I14" s="197"/>
      <c r="J14" s="194"/>
    </row>
    <row r="15" spans="1:10" ht="19.95" customHeight="1">
      <c r="A15" s="194"/>
      <c r="B15" s="194"/>
      <c r="C15" s="195"/>
      <c r="D15" s="194"/>
      <c r="E15" s="194"/>
      <c r="F15" s="194"/>
      <c r="G15" s="196"/>
      <c r="H15" s="196"/>
      <c r="I15" s="197"/>
      <c r="J15" s="194"/>
    </row>
    <row r="16" spans="1:10" ht="19.95" customHeight="1">
      <c r="A16" s="194"/>
      <c r="B16" s="194"/>
      <c r="C16" s="195"/>
      <c r="D16" s="194"/>
      <c r="E16" s="194"/>
      <c r="F16" s="194"/>
      <c r="G16" s="196"/>
      <c r="H16" s="196"/>
      <c r="I16" s="197"/>
      <c r="J16" s="194"/>
    </row>
    <row r="17" spans="1:10" ht="19.95" customHeight="1">
      <c r="A17" s="194"/>
      <c r="B17" s="194"/>
      <c r="C17" s="195"/>
      <c r="D17" s="194"/>
      <c r="E17" s="194"/>
      <c r="F17" s="194"/>
      <c r="G17" s="196"/>
      <c r="H17" s="196"/>
      <c r="I17" s="197"/>
      <c r="J17" s="194"/>
    </row>
    <row r="18" spans="1:10" ht="19.95" customHeight="1">
      <c r="A18" s="194"/>
      <c r="B18" s="194"/>
      <c r="C18" s="195"/>
      <c r="D18" s="194"/>
      <c r="E18" s="194"/>
      <c r="F18" s="194"/>
      <c r="G18" s="196"/>
      <c r="H18" s="196"/>
      <c r="I18" s="197"/>
      <c r="J18" s="194"/>
    </row>
    <row r="19" spans="1:10" ht="19.95" customHeight="1">
      <c r="A19" s="194"/>
      <c r="B19" s="194"/>
      <c r="C19" s="195"/>
      <c r="D19" s="194"/>
      <c r="E19" s="194"/>
      <c r="F19" s="194"/>
      <c r="G19" s="196"/>
      <c r="H19" s="196"/>
      <c r="I19" s="197"/>
      <c r="J19" s="194"/>
    </row>
    <row r="20" spans="1:10" ht="19.95" customHeight="1">
      <c r="A20" s="194"/>
      <c r="B20" s="194"/>
      <c r="C20" s="195"/>
      <c r="D20" s="194"/>
      <c r="E20" s="194"/>
      <c r="F20" s="194"/>
      <c r="G20" s="196"/>
      <c r="H20" s="196"/>
      <c r="I20" s="197"/>
      <c r="J20" s="194"/>
    </row>
    <row r="22" spans="1:10" ht="31.8" customHeight="1">
      <c r="A22" s="367" t="s">
        <v>240</v>
      </c>
      <c r="B22" s="368"/>
      <c r="C22" s="368"/>
      <c r="D22" s="368"/>
      <c r="E22" s="368"/>
      <c r="F22" s="368"/>
      <c r="G22" s="368"/>
      <c r="H22" s="368"/>
      <c r="I22" s="368"/>
      <c r="J22" s="368"/>
    </row>
  </sheetData>
  <mergeCells count="3">
    <mergeCell ref="A1:J1"/>
    <mergeCell ref="A2:J2"/>
    <mergeCell ref="A22:J22"/>
  </mergeCells>
  <phoneticPr fontId="60"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fitToHeight="0"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P58"/>
  <sheetViews>
    <sheetView view="pageBreakPreview" zoomScaleNormal="100" workbookViewId="0">
      <selection sqref="A1:J1"/>
    </sheetView>
  </sheetViews>
  <sheetFormatPr defaultColWidth="9.109375" defaultRowHeight="15.6"/>
  <cols>
    <col min="1" max="1" width="20" style="5" customWidth="1"/>
    <col min="2" max="2" width="13.33203125" style="5" customWidth="1"/>
    <col min="3" max="3" width="9" style="5" customWidth="1"/>
    <col min="4" max="4" width="11.44140625" style="5" customWidth="1"/>
    <col min="5" max="5" width="14" style="5" customWidth="1"/>
    <col min="6" max="6" width="9.33203125" style="5" customWidth="1"/>
    <col min="7" max="7" width="11.33203125" style="5" customWidth="1"/>
    <col min="8" max="8" width="9.109375" style="5" customWidth="1"/>
    <col min="9" max="9" width="13.77734375" style="5" customWidth="1"/>
    <col min="10" max="10" width="18" style="5" customWidth="1"/>
    <col min="11" max="16384" width="9.109375" style="5"/>
  </cols>
  <sheetData>
    <row r="1" spans="1:16" s="30" customFormat="1" ht="19.95" customHeight="1">
      <c r="A1" s="369" t="s">
        <v>6</v>
      </c>
      <c r="B1" s="369"/>
      <c r="C1" s="369"/>
      <c r="D1" s="369"/>
      <c r="E1" s="369"/>
      <c r="F1" s="369"/>
      <c r="G1" s="369"/>
      <c r="H1" s="369"/>
      <c r="I1" s="369"/>
      <c r="J1" s="369"/>
    </row>
    <row r="2" spans="1:16" s="30" customFormat="1" ht="19.95" customHeight="1">
      <c r="A2" s="345" t="s">
        <v>213</v>
      </c>
      <c r="B2" s="370"/>
      <c r="C2" s="370"/>
      <c r="D2" s="370"/>
      <c r="E2" s="370"/>
      <c r="F2" s="370"/>
      <c r="G2" s="370"/>
      <c r="H2" s="370"/>
      <c r="I2" s="370"/>
      <c r="J2" s="370"/>
    </row>
    <row r="3" spans="1:16" s="2" customFormat="1" ht="19.95" customHeight="1">
      <c r="A3" s="6" t="str">
        <f>底稿目录!A2</f>
        <v>被审计单位：</v>
      </c>
      <c r="B3" s="6"/>
      <c r="C3" s="7" t="str">
        <f>底稿目录!A4</f>
        <v>编制人：</v>
      </c>
      <c r="D3" s="7"/>
      <c r="E3" s="6"/>
      <c r="F3" s="48" t="str">
        <f>底稿目录!A5</f>
        <v>编制日期：</v>
      </c>
      <c r="G3" s="48"/>
      <c r="I3" s="53" t="s">
        <v>160</v>
      </c>
      <c r="J3" s="255" t="str">
        <f>底稿目录!D11</f>
        <v>K9-4</v>
      </c>
    </row>
    <row r="4" spans="1:16" s="2" customFormat="1" ht="19.95" customHeight="1">
      <c r="A4" s="6" t="str">
        <f>底稿目录!A3</f>
        <v>会计期间：202X年度</v>
      </c>
      <c r="B4" s="8"/>
      <c r="C4" s="7" t="str">
        <f>底稿目录!A6</f>
        <v>复核人：</v>
      </c>
      <c r="D4" s="7"/>
      <c r="E4" s="6"/>
      <c r="F4" s="48" t="str">
        <f>底稿目录!A7</f>
        <v>复核日期：</v>
      </c>
      <c r="G4" s="48"/>
      <c r="I4" s="50" t="s">
        <v>8</v>
      </c>
    </row>
    <row r="5" spans="1:16" s="2" customFormat="1" ht="19.95" customHeight="1">
      <c r="A5" s="38" t="s">
        <v>44</v>
      </c>
      <c r="B5" s="39"/>
      <c r="H5" s="49"/>
      <c r="I5" s="49"/>
      <c r="M5" s="50"/>
      <c r="P5" s="51"/>
    </row>
    <row r="6" spans="1:16" s="2" customFormat="1" ht="19.95" customHeight="1">
      <c r="A6" s="178" t="s">
        <v>357</v>
      </c>
      <c r="H6" s="49"/>
      <c r="I6" s="49"/>
      <c r="M6" s="50"/>
      <c r="P6" s="51"/>
    </row>
    <row r="7" spans="1:16" s="2" customFormat="1" ht="19.95" customHeight="1">
      <c r="A7" s="2" t="s">
        <v>273</v>
      </c>
      <c r="H7" s="49"/>
      <c r="I7" s="49"/>
      <c r="M7" s="50"/>
      <c r="P7" s="51"/>
    </row>
    <row r="8" spans="1:16" s="2" customFormat="1" ht="19.95" customHeight="1">
      <c r="A8" s="33" t="s">
        <v>274</v>
      </c>
      <c r="H8" s="49"/>
      <c r="I8" s="49"/>
      <c r="M8" s="50"/>
      <c r="P8" s="51"/>
    </row>
    <row r="9" spans="1:16" s="2" customFormat="1" ht="19.95" customHeight="1">
      <c r="A9" s="40" t="s">
        <v>45</v>
      </c>
      <c r="H9" s="41"/>
      <c r="I9" s="41"/>
      <c r="M9" s="50"/>
      <c r="P9" s="51"/>
    </row>
    <row r="10" spans="1:16" s="2" customFormat="1" ht="19.95" customHeight="1">
      <c r="A10" s="14" t="s">
        <v>217</v>
      </c>
    </row>
    <row r="11" spans="1:16" s="59" customFormat="1" ht="19.95" customHeight="1">
      <c r="A11" s="19" t="s">
        <v>100</v>
      </c>
      <c r="B11" s="19" t="s">
        <v>101</v>
      </c>
      <c r="C11" s="19" t="s">
        <v>102</v>
      </c>
      <c r="D11" s="179" t="s">
        <v>198</v>
      </c>
      <c r="E11" s="17" t="s">
        <v>103</v>
      </c>
      <c r="F11" s="19" t="s">
        <v>102</v>
      </c>
      <c r="G11" s="179" t="s">
        <v>198</v>
      </c>
      <c r="H11" s="19" t="s">
        <v>104</v>
      </c>
      <c r="I11" s="180" t="s">
        <v>199</v>
      </c>
      <c r="J11" s="170" t="s">
        <v>200</v>
      </c>
    </row>
    <row r="12" spans="1:16" s="2" customFormat="1" ht="19.95" customHeight="1">
      <c r="A12" s="60" t="str">
        <f>'明细表K9-2'!A11</f>
        <v>公司经费</v>
      </c>
      <c r="B12" s="146">
        <f>'明细表K9-2'!Q11</f>
        <v>0</v>
      </c>
      <c r="C12" s="151">
        <f t="shared" ref="C12:C29" si="0">IF(B12=0,0,B12/$B$30)</f>
        <v>0</v>
      </c>
      <c r="D12" s="151">
        <f t="shared" ref="D12:D30" si="1">IF(B12=0,0,B12/$B$31)</f>
        <v>0</v>
      </c>
      <c r="E12" s="146">
        <f>'明细表K9-2'!W11</f>
        <v>0</v>
      </c>
      <c r="F12" s="151">
        <f t="shared" ref="F12:F29" si="2">IF(E12=0,0,E12/$E$30)</f>
        <v>0</v>
      </c>
      <c r="G12" s="151">
        <f t="shared" ref="G12:G30" si="3">IF(E12=0,0,E12/$E$31)</f>
        <v>0</v>
      </c>
      <c r="H12" s="151">
        <f>IF(AND(E12=0,B12&gt;0),1,IF(AND(E12=0,B12=0),0,(B12-E12)/E12))</f>
        <v>0</v>
      </c>
      <c r="I12" s="151">
        <f>D12-G12</f>
        <v>0</v>
      </c>
      <c r="J12" s="37"/>
    </row>
    <row r="13" spans="1:16" s="2" customFormat="1" ht="19.95" customHeight="1">
      <c r="A13" s="60" t="str">
        <f>'明细表K9-2'!A12</f>
        <v>职工工资</v>
      </c>
      <c r="B13" s="146">
        <f>'明细表K9-2'!Q12</f>
        <v>0</v>
      </c>
      <c r="C13" s="151">
        <f t="shared" si="0"/>
        <v>0</v>
      </c>
      <c r="D13" s="151">
        <f t="shared" si="1"/>
        <v>0</v>
      </c>
      <c r="E13" s="146">
        <f>'明细表K9-2'!W12</f>
        <v>0</v>
      </c>
      <c r="F13" s="151">
        <f t="shared" si="2"/>
        <v>0</v>
      </c>
      <c r="G13" s="151">
        <f t="shared" si="3"/>
        <v>0</v>
      </c>
      <c r="H13" s="151">
        <f t="shared" ref="H13:H31" si="4">IF(AND(E13=0,B13&gt;0),1,IF(AND(E13=0,B13=0),0,(B13-E13)/E13))</f>
        <v>0</v>
      </c>
      <c r="I13" s="151">
        <f t="shared" ref="I13:I30" si="5">D13-G13</f>
        <v>0</v>
      </c>
      <c r="J13" s="37"/>
    </row>
    <row r="14" spans="1:16" s="2" customFormat="1" ht="19.95" customHeight="1">
      <c r="A14" s="60" t="str">
        <f>'明细表K9-2'!A13</f>
        <v>福利费</v>
      </c>
      <c r="B14" s="146">
        <f>'明细表K9-2'!Q13</f>
        <v>0</v>
      </c>
      <c r="C14" s="151">
        <f t="shared" si="0"/>
        <v>0</v>
      </c>
      <c r="D14" s="151">
        <f t="shared" si="1"/>
        <v>0</v>
      </c>
      <c r="E14" s="146">
        <f>'明细表K9-2'!W13</f>
        <v>0</v>
      </c>
      <c r="F14" s="151">
        <f t="shared" si="2"/>
        <v>0</v>
      </c>
      <c r="G14" s="151">
        <f t="shared" si="3"/>
        <v>0</v>
      </c>
      <c r="H14" s="151">
        <f t="shared" si="4"/>
        <v>0</v>
      </c>
      <c r="I14" s="151">
        <f t="shared" si="5"/>
        <v>0</v>
      </c>
      <c r="J14" s="37"/>
    </row>
    <row r="15" spans="1:16" s="2" customFormat="1" ht="19.95" customHeight="1">
      <c r="A15" s="60" t="str">
        <f>'明细表K9-2'!A14</f>
        <v>物料消耗</v>
      </c>
      <c r="B15" s="146">
        <f>'明细表K9-2'!Q14</f>
        <v>0</v>
      </c>
      <c r="C15" s="151">
        <f t="shared" si="0"/>
        <v>0</v>
      </c>
      <c r="D15" s="151">
        <f t="shared" si="1"/>
        <v>0</v>
      </c>
      <c r="E15" s="146">
        <f>'明细表K9-2'!W14</f>
        <v>0</v>
      </c>
      <c r="F15" s="151">
        <f t="shared" si="2"/>
        <v>0</v>
      </c>
      <c r="G15" s="151">
        <f t="shared" si="3"/>
        <v>0</v>
      </c>
      <c r="H15" s="151">
        <f t="shared" si="4"/>
        <v>0</v>
      </c>
      <c r="I15" s="151">
        <f t="shared" si="5"/>
        <v>0</v>
      </c>
      <c r="J15" s="37"/>
    </row>
    <row r="16" spans="1:16" s="2" customFormat="1" ht="19.95" customHeight="1">
      <c r="A16" s="60" t="str">
        <f>'明细表K9-2'!A15</f>
        <v>低值易耗品摊销</v>
      </c>
      <c r="B16" s="146">
        <f>'明细表K9-2'!Q15</f>
        <v>0</v>
      </c>
      <c r="C16" s="151">
        <f t="shared" si="0"/>
        <v>0</v>
      </c>
      <c r="D16" s="151">
        <f t="shared" si="1"/>
        <v>0</v>
      </c>
      <c r="E16" s="146">
        <f>'明细表K9-2'!W15</f>
        <v>0</v>
      </c>
      <c r="F16" s="151">
        <f t="shared" si="2"/>
        <v>0</v>
      </c>
      <c r="G16" s="151">
        <f t="shared" si="3"/>
        <v>0</v>
      </c>
      <c r="H16" s="151">
        <f t="shared" si="4"/>
        <v>0</v>
      </c>
      <c r="I16" s="151">
        <f t="shared" si="5"/>
        <v>0</v>
      </c>
      <c r="J16" s="37"/>
    </row>
    <row r="17" spans="1:10" s="2" customFormat="1" ht="19.95" customHeight="1">
      <c r="A17" s="60" t="str">
        <f>'明细表K9-2'!A16</f>
        <v>办公费</v>
      </c>
      <c r="B17" s="146">
        <f>'明细表K9-2'!Q16</f>
        <v>0</v>
      </c>
      <c r="C17" s="151">
        <f t="shared" si="0"/>
        <v>0</v>
      </c>
      <c r="D17" s="151">
        <f t="shared" si="1"/>
        <v>0</v>
      </c>
      <c r="E17" s="146">
        <f>'明细表K9-2'!W16</f>
        <v>0</v>
      </c>
      <c r="F17" s="151">
        <f t="shared" si="2"/>
        <v>0</v>
      </c>
      <c r="G17" s="151">
        <f t="shared" si="3"/>
        <v>0</v>
      </c>
      <c r="H17" s="151">
        <f t="shared" si="4"/>
        <v>0</v>
      </c>
      <c r="I17" s="151">
        <f t="shared" si="5"/>
        <v>0</v>
      </c>
      <c r="J17" s="37"/>
    </row>
    <row r="18" spans="1:10" s="2" customFormat="1" ht="19.95" customHeight="1">
      <c r="A18" s="60" t="str">
        <f>'明细表K9-2'!A17</f>
        <v>差旅费</v>
      </c>
      <c r="B18" s="146">
        <f>'明细表K9-2'!Q17</f>
        <v>0</v>
      </c>
      <c r="C18" s="151">
        <f t="shared" si="0"/>
        <v>0</v>
      </c>
      <c r="D18" s="151">
        <f t="shared" si="1"/>
        <v>0</v>
      </c>
      <c r="E18" s="146">
        <f>'明细表K9-2'!W17</f>
        <v>0</v>
      </c>
      <c r="F18" s="151">
        <f t="shared" si="2"/>
        <v>0</v>
      </c>
      <c r="G18" s="151">
        <f t="shared" si="3"/>
        <v>0</v>
      </c>
      <c r="H18" s="151">
        <f t="shared" si="4"/>
        <v>0</v>
      </c>
      <c r="I18" s="151">
        <f t="shared" si="5"/>
        <v>0</v>
      </c>
      <c r="J18" s="37"/>
    </row>
    <row r="19" spans="1:10" s="2" customFormat="1" ht="19.95" customHeight="1">
      <c r="A19" s="60" t="str">
        <f>'明细表K9-2'!A18</f>
        <v>工会经费</v>
      </c>
      <c r="B19" s="146">
        <f>'明细表K9-2'!Q18</f>
        <v>0</v>
      </c>
      <c r="C19" s="151">
        <f t="shared" si="0"/>
        <v>0</v>
      </c>
      <c r="D19" s="151">
        <f t="shared" si="1"/>
        <v>0</v>
      </c>
      <c r="E19" s="146">
        <f>'明细表K9-2'!W18</f>
        <v>0</v>
      </c>
      <c r="F19" s="151">
        <f t="shared" si="2"/>
        <v>0</v>
      </c>
      <c r="G19" s="151">
        <f t="shared" si="3"/>
        <v>0</v>
      </c>
      <c r="H19" s="151">
        <f t="shared" si="4"/>
        <v>0</v>
      </c>
      <c r="I19" s="151">
        <f t="shared" si="5"/>
        <v>0</v>
      </c>
      <c r="J19" s="37"/>
    </row>
    <row r="20" spans="1:10" s="2" customFormat="1" ht="19.95" customHeight="1">
      <c r="A20" s="60" t="str">
        <f>'明细表K9-2'!A19</f>
        <v>董事会费</v>
      </c>
      <c r="B20" s="146">
        <f>'明细表K9-2'!Q19</f>
        <v>0</v>
      </c>
      <c r="C20" s="151">
        <f t="shared" si="0"/>
        <v>0</v>
      </c>
      <c r="D20" s="151">
        <f t="shared" si="1"/>
        <v>0</v>
      </c>
      <c r="E20" s="146">
        <f>'明细表K9-2'!W19</f>
        <v>0</v>
      </c>
      <c r="F20" s="151">
        <f t="shared" si="2"/>
        <v>0</v>
      </c>
      <c r="G20" s="151">
        <f t="shared" si="3"/>
        <v>0</v>
      </c>
      <c r="H20" s="151">
        <f t="shared" si="4"/>
        <v>0</v>
      </c>
      <c r="I20" s="151">
        <f t="shared" si="5"/>
        <v>0</v>
      </c>
      <c r="J20" s="37"/>
    </row>
    <row r="21" spans="1:10" s="2" customFormat="1" ht="19.95" customHeight="1">
      <c r="A21" s="60" t="str">
        <f>'明细表K9-2'!A20</f>
        <v>聘请中介机构费</v>
      </c>
      <c r="B21" s="146">
        <f>'明细表K9-2'!Q20</f>
        <v>0</v>
      </c>
      <c r="C21" s="151">
        <f t="shared" si="0"/>
        <v>0</v>
      </c>
      <c r="D21" s="151">
        <f t="shared" si="1"/>
        <v>0</v>
      </c>
      <c r="E21" s="146">
        <f>'明细表K9-2'!W20</f>
        <v>0</v>
      </c>
      <c r="F21" s="151">
        <f t="shared" si="2"/>
        <v>0</v>
      </c>
      <c r="G21" s="151">
        <f t="shared" si="3"/>
        <v>0</v>
      </c>
      <c r="H21" s="151">
        <f t="shared" si="4"/>
        <v>0</v>
      </c>
      <c r="I21" s="151">
        <f t="shared" si="5"/>
        <v>0</v>
      </c>
      <c r="J21" s="37"/>
    </row>
    <row r="22" spans="1:10" s="2" customFormat="1" ht="19.95" customHeight="1">
      <c r="A22" s="60" t="str">
        <f>'明细表K9-2'!A21</f>
        <v>咨询费（含顾问费）</v>
      </c>
      <c r="B22" s="146">
        <f>'明细表K9-2'!Q21</f>
        <v>0</v>
      </c>
      <c r="C22" s="151">
        <f t="shared" si="0"/>
        <v>0</v>
      </c>
      <c r="D22" s="151">
        <f t="shared" si="1"/>
        <v>0</v>
      </c>
      <c r="E22" s="146">
        <f>'明细表K9-2'!W21</f>
        <v>0</v>
      </c>
      <c r="F22" s="151">
        <f t="shared" si="2"/>
        <v>0</v>
      </c>
      <c r="G22" s="151">
        <f t="shared" si="3"/>
        <v>0</v>
      </c>
      <c r="H22" s="151">
        <f t="shared" si="4"/>
        <v>0</v>
      </c>
      <c r="I22" s="151">
        <f t="shared" si="5"/>
        <v>0</v>
      </c>
      <c r="J22" s="37"/>
    </row>
    <row r="23" spans="1:10" s="2" customFormat="1" ht="19.95" customHeight="1">
      <c r="A23" s="60" t="str">
        <f>'明细表K9-2'!A22</f>
        <v>诉讼费</v>
      </c>
      <c r="B23" s="146">
        <f>'明细表K9-2'!Q22</f>
        <v>0</v>
      </c>
      <c r="C23" s="151">
        <f t="shared" si="0"/>
        <v>0</v>
      </c>
      <c r="D23" s="151">
        <f t="shared" si="1"/>
        <v>0</v>
      </c>
      <c r="E23" s="146">
        <f>'明细表K9-2'!W22</f>
        <v>0</v>
      </c>
      <c r="F23" s="151">
        <f t="shared" si="2"/>
        <v>0</v>
      </c>
      <c r="G23" s="151">
        <f t="shared" si="3"/>
        <v>0</v>
      </c>
      <c r="H23" s="151">
        <f t="shared" si="4"/>
        <v>0</v>
      </c>
      <c r="I23" s="151">
        <f t="shared" si="5"/>
        <v>0</v>
      </c>
      <c r="J23" s="37"/>
    </row>
    <row r="24" spans="1:10" s="2" customFormat="1" ht="19.95" customHeight="1">
      <c r="A24" s="60" t="str">
        <f>'明细表K9-2'!A23</f>
        <v>业务招待费</v>
      </c>
      <c r="B24" s="146">
        <f>'明细表K9-2'!Q23</f>
        <v>0</v>
      </c>
      <c r="C24" s="151">
        <f t="shared" si="0"/>
        <v>0</v>
      </c>
      <c r="D24" s="151">
        <f t="shared" si="1"/>
        <v>0</v>
      </c>
      <c r="E24" s="146">
        <f>'明细表K9-2'!W23</f>
        <v>0</v>
      </c>
      <c r="F24" s="151">
        <f t="shared" si="2"/>
        <v>0</v>
      </c>
      <c r="G24" s="151">
        <f t="shared" si="3"/>
        <v>0</v>
      </c>
      <c r="H24" s="151">
        <f t="shared" si="4"/>
        <v>0</v>
      </c>
      <c r="I24" s="151">
        <f t="shared" si="5"/>
        <v>0</v>
      </c>
      <c r="J24" s="37"/>
    </row>
    <row r="25" spans="1:10" s="2" customFormat="1" ht="19.95" customHeight="1">
      <c r="A25" s="60" t="str">
        <f>'明细表K9-2'!A24</f>
        <v>技术转让费</v>
      </c>
      <c r="B25" s="146">
        <f>'明细表K9-2'!Q24</f>
        <v>0</v>
      </c>
      <c r="C25" s="151">
        <f t="shared" si="0"/>
        <v>0</v>
      </c>
      <c r="D25" s="151">
        <f t="shared" si="1"/>
        <v>0</v>
      </c>
      <c r="E25" s="146">
        <f>'明细表K9-2'!W24</f>
        <v>0</v>
      </c>
      <c r="F25" s="151">
        <f t="shared" si="2"/>
        <v>0</v>
      </c>
      <c r="G25" s="151">
        <f t="shared" si="3"/>
        <v>0</v>
      </c>
      <c r="H25" s="151">
        <f t="shared" si="4"/>
        <v>0</v>
      </c>
      <c r="I25" s="151">
        <f t="shared" si="5"/>
        <v>0</v>
      </c>
      <c r="J25" s="37"/>
    </row>
    <row r="26" spans="1:10" s="2" customFormat="1" ht="19.95" customHeight="1">
      <c r="A26" s="60" t="str">
        <f>'明细表K9-2'!A25</f>
        <v>矿产资源补偿费</v>
      </c>
      <c r="B26" s="146">
        <f>'明细表K9-2'!Q25</f>
        <v>0</v>
      </c>
      <c r="C26" s="151">
        <f t="shared" si="0"/>
        <v>0</v>
      </c>
      <c r="D26" s="151">
        <f t="shared" si="1"/>
        <v>0</v>
      </c>
      <c r="E26" s="146">
        <f>'明细表K9-2'!W25</f>
        <v>0</v>
      </c>
      <c r="F26" s="151">
        <f t="shared" si="2"/>
        <v>0</v>
      </c>
      <c r="G26" s="151">
        <f t="shared" si="3"/>
        <v>0</v>
      </c>
      <c r="H26" s="151">
        <f t="shared" si="4"/>
        <v>0</v>
      </c>
      <c r="I26" s="151">
        <f t="shared" si="5"/>
        <v>0</v>
      </c>
      <c r="J26" s="37"/>
    </row>
    <row r="27" spans="1:10" s="2" customFormat="1" ht="19.95" customHeight="1">
      <c r="A27" s="60" t="str">
        <f>'明细表K9-2'!A26</f>
        <v>排污费</v>
      </c>
      <c r="B27" s="146">
        <f>'明细表K9-2'!Q26</f>
        <v>0</v>
      </c>
      <c r="C27" s="151">
        <f t="shared" si="0"/>
        <v>0</v>
      </c>
      <c r="D27" s="151">
        <f t="shared" si="1"/>
        <v>0</v>
      </c>
      <c r="E27" s="146">
        <f>'明细表K9-2'!W26</f>
        <v>0</v>
      </c>
      <c r="F27" s="151">
        <f t="shared" si="2"/>
        <v>0</v>
      </c>
      <c r="G27" s="151">
        <f t="shared" si="3"/>
        <v>0</v>
      </c>
      <c r="H27" s="151">
        <f t="shared" si="4"/>
        <v>0</v>
      </c>
      <c r="I27" s="151">
        <f t="shared" si="5"/>
        <v>0</v>
      </c>
      <c r="J27" s="37"/>
    </row>
    <row r="28" spans="1:10" s="2" customFormat="1" ht="19.95" customHeight="1">
      <c r="A28" s="60" t="str">
        <f>'明细表K9-2'!A27</f>
        <v>筹建期开办费</v>
      </c>
      <c r="B28" s="146">
        <f>'明细表K9-2'!Q27</f>
        <v>0</v>
      </c>
      <c r="C28" s="151">
        <f t="shared" si="0"/>
        <v>0</v>
      </c>
      <c r="D28" s="151">
        <f t="shared" si="1"/>
        <v>0</v>
      </c>
      <c r="E28" s="146">
        <f>'明细表K9-2'!W27</f>
        <v>0</v>
      </c>
      <c r="F28" s="151">
        <f t="shared" si="2"/>
        <v>0</v>
      </c>
      <c r="G28" s="151">
        <f t="shared" si="3"/>
        <v>0</v>
      </c>
      <c r="H28" s="151">
        <f t="shared" si="4"/>
        <v>0</v>
      </c>
      <c r="I28" s="151">
        <f t="shared" si="5"/>
        <v>0</v>
      </c>
      <c r="J28" s="37"/>
    </row>
    <row r="29" spans="1:10" s="2" customFormat="1" ht="19.95" customHeight="1">
      <c r="A29" s="60" t="str">
        <f>'明细表K9-2'!A28</f>
        <v>……</v>
      </c>
      <c r="B29" s="146">
        <f>'明细表K9-2'!Q28</f>
        <v>0</v>
      </c>
      <c r="C29" s="151">
        <f t="shared" si="0"/>
        <v>0</v>
      </c>
      <c r="D29" s="151">
        <f t="shared" si="1"/>
        <v>0</v>
      </c>
      <c r="E29" s="146">
        <f>'明细表K9-2'!W28</f>
        <v>0</v>
      </c>
      <c r="F29" s="151">
        <f t="shared" si="2"/>
        <v>0</v>
      </c>
      <c r="G29" s="151">
        <f t="shared" si="3"/>
        <v>0</v>
      </c>
      <c r="H29" s="151">
        <f t="shared" si="4"/>
        <v>0</v>
      </c>
      <c r="I29" s="151">
        <f t="shared" si="5"/>
        <v>0</v>
      </c>
      <c r="J29" s="37"/>
    </row>
    <row r="30" spans="1:10" s="2" customFormat="1" ht="19.95" customHeight="1">
      <c r="A30" s="18" t="s">
        <v>105</v>
      </c>
      <c r="B30" s="152">
        <f>SUM(B12:B29)</f>
        <v>0</v>
      </c>
      <c r="C30" s="153">
        <f t="shared" ref="C30" si="6">IF(B30=0,0,B30/$B$30)</f>
        <v>0</v>
      </c>
      <c r="D30" s="153">
        <f t="shared" si="1"/>
        <v>0</v>
      </c>
      <c r="E30" s="152">
        <f>SUM(E12:E29)</f>
        <v>0</v>
      </c>
      <c r="F30" s="153">
        <f t="shared" ref="F30" si="7">IF(E30=0,0,E30/$E$30)</f>
        <v>0</v>
      </c>
      <c r="G30" s="153">
        <f t="shared" si="3"/>
        <v>0</v>
      </c>
      <c r="H30" s="153">
        <f t="shared" si="4"/>
        <v>0</v>
      </c>
      <c r="I30" s="153">
        <f t="shared" si="5"/>
        <v>0</v>
      </c>
      <c r="J30" s="61"/>
    </row>
    <row r="31" spans="1:10" s="2" customFormat="1" ht="19.95" customHeight="1">
      <c r="A31" s="251" t="s">
        <v>106</v>
      </c>
      <c r="B31" s="250"/>
      <c r="C31" s="63"/>
      <c r="D31" s="63"/>
      <c r="E31" s="250"/>
      <c r="F31" s="63"/>
      <c r="G31" s="63"/>
      <c r="H31" s="151">
        <f t="shared" si="4"/>
        <v>0</v>
      </c>
      <c r="I31" s="171"/>
      <c r="J31" s="37"/>
    </row>
    <row r="32" spans="1:10" s="4" customFormat="1" ht="19.95" customHeight="1">
      <c r="A32" s="252" t="s">
        <v>272</v>
      </c>
      <c r="B32" s="253" t="e">
        <f>B30/B31</f>
        <v>#DIV/0!</v>
      </c>
      <c r="C32" s="241"/>
      <c r="D32" s="241"/>
      <c r="E32" s="253" t="e">
        <f>E30/E31</f>
        <v>#DIV/0!</v>
      </c>
      <c r="F32" s="241"/>
      <c r="G32" s="241"/>
      <c r="H32" s="241"/>
      <c r="I32" s="241"/>
      <c r="J32" s="242"/>
    </row>
    <row r="33" spans="1:10" s="332" customFormat="1" ht="19.95" customHeight="1">
      <c r="A33" s="330" t="s">
        <v>390</v>
      </c>
      <c r="B33" s="331"/>
      <c r="C33" s="324"/>
      <c r="D33" s="324"/>
      <c r="E33" s="331"/>
      <c r="F33" s="324"/>
      <c r="G33" s="324"/>
      <c r="H33" s="324"/>
      <c r="I33" s="324"/>
      <c r="J33" s="325"/>
    </row>
    <row r="34" spans="1:10" s="4" customFormat="1" ht="19.95" customHeight="1">
      <c r="A34" s="321" t="s">
        <v>391</v>
      </c>
      <c r="B34" s="322" t="s">
        <v>393</v>
      </c>
      <c r="C34" s="322" t="s">
        <v>395</v>
      </c>
      <c r="D34" s="327" t="s">
        <v>396</v>
      </c>
      <c r="E34" s="322" t="s">
        <v>394</v>
      </c>
      <c r="F34" s="241"/>
      <c r="G34" s="319"/>
      <c r="H34" s="319"/>
      <c r="I34" s="319"/>
      <c r="J34" s="320"/>
    </row>
    <row r="35" spans="1:10" s="4" customFormat="1" ht="19.95" customHeight="1">
      <c r="A35" s="329" t="s">
        <v>392</v>
      </c>
      <c r="B35" s="326">
        <f>B30</f>
        <v>0</v>
      </c>
      <c r="C35" s="323"/>
      <c r="D35" s="323"/>
      <c r="E35" s="328" t="e">
        <f>B35/C35</f>
        <v>#DIV/0!</v>
      </c>
      <c r="F35" s="323"/>
      <c r="G35" s="324"/>
      <c r="H35" s="324"/>
      <c r="I35" s="324"/>
      <c r="J35" s="325"/>
    </row>
    <row r="36" spans="1:10" s="2" customFormat="1" ht="19.95" customHeight="1">
      <c r="A36" s="188" t="s">
        <v>397</v>
      </c>
      <c r="B36" s="69"/>
      <c r="C36" s="65"/>
      <c r="D36" s="65"/>
      <c r="E36" s="69"/>
      <c r="F36" s="65"/>
      <c r="G36" s="65"/>
      <c r="H36" s="65"/>
      <c r="I36" s="65"/>
      <c r="J36" s="65"/>
    </row>
    <row r="37" spans="1:10" s="27" customFormat="1" ht="19.95" customHeight="1">
      <c r="A37" s="173" t="s">
        <v>109</v>
      </c>
      <c r="B37" s="182" t="s">
        <v>201</v>
      </c>
      <c r="C37" s="183" t="s">
        <v>203</v>
      </c>
      <c r="D37" s="182" t="s">
        <v>204</v>
      </c>
      <c r="E37" s="182" t="s">
        <v>202</v>
      </c>
      <c r="F37" s="172" t="s">
        <v>110</v>
      </c>
    </row>
    <row r="38" spans="1:10" s="2" customFormat="1" ht="19.95" customHeight="1">
      <c r="A38" s="62" t="s">
        <v>107</v>
      </c>
      <c r="B38" s="61" t="e">
        <f>B32</f>
        <v>#DIV/0!</v>
      </c>
      <c r="C38" s="64"/>
      <c r="D38" s="61"/>
      <c r="E38" s="64"/>
      <c r="F38" s="181"/>
      <c r="G38" s="184"/>
      <c r="H38" s="184"/>
      <c r="I38" s="184"/>
      <c r="J38" s="184"/>
    </row>
    <row r="39" spans="1:10" s="2" customFormat="1" ht="19.95" customHeight="1">
      <c r="A39" s="25" t="s">
        <v>111</v>
      </c>
      <c r="B39" s="66"/>
      <c r="C39" s="67"/>
      <c r="D39" s="67"/>
      <c r="E39" s="66"/>
      <c r="F39" s="67"/>
      <c r="G39" s="65"/>
      <c r="H39" s="65"/>
      <c r="I39" s="65"/>
      <c r="J39" s="65"/>
    </row>
    <row r="40" spans="1:10" s="2" customFormat="1" ht="19.95" customHeight="1">
      <c r="A40" s="4" t="s">
        <v>205</v>
      </c>
      <c r="B40" s="68"/>
      <c r="C40" s="65"/>
      <c r="D40" s="65"/>
      <c r="E40" s="168" t="s">
        <v>208</v>
      </c>
      <c r="F40" s="65"/>
      <c r="G40" s="65"/>
      <c r="H40" s="65"/>
      <c r="I40" s="65"/>
      <c r="J40" s="65"/>
    </row>
    <row r="41" spans="1:10" s="2" customFormat="1" ht="19.95" customHeight="1">
      <c r="A41" s="169" t="s">
        <v>206</v>
      </c>
      <c r="B41" s="70"/>
      <c r="C41" s="65"/>
      <c r="D41" s="65"/>
      <c r="E41" s="169" t="s">
        <v>206</v>
      </c>
      <c r="F41" s="65"/>
      <c r="G41" s="65"/>
      <c r="H41" s="65"/>
      <c r="I41" s="65"/>
      <c r="J41" s="65"/>
    </row>
    <row r="42" spans="1:10" s="2" customFormat="1" ht="19.95" customHeight="1">
      <c r="A42" s="169" t="s">
        <v>207</v>
      </c>
      <c r="B42" s="70"/>
      <c r="C42" s="65"/>
      <c r="D42" s="65"/>
      <c r="E42" s="169" t="s">
        <v>209</v>
      </c>
      <c r="F42" s="65"/>
      <c r="G42" s="65"/>
      <c r="H42" s="65"/>
      <c r="I42" s="65"/>
      <c r="J42" s="65"/>
    </row>
    <row r="43" spans="1:10" s="2" customFormat="1" ht="19.95" customHeight="1">
      <c r="A43" s="168" t="s">
        <v>210</v>
      </c>
      <c r="B43" s="70"/>
      <c r="C43" s="65"/>
      <c r="D43" s="65"/>
      <c r="E43" s="168" t="s">
        <v>211</v>
      </c>
      <c r="F43" s="65"/>
      <c r="G43" s="65"/>
      <c r="H43" s="65"/>
      <c r="I43" s="65"/>
      <c r="J43" s="65"/>
    </row>
    <row r="44" spans="1:10" s="2" customFormat="1" ht="19.95" customHeight="1">
      <c r="A44" s="169" t="s">
        <v>206</v>
      </c>
      <c r="B44" s="68"/>
      <c r="E44" s="169" t="s">
        <v>212</v>
      </c>
    </row>
    <row r="45" spans="1:10" s="2" customFormat="1" ht="19.95" customHeight="1">
      <c r="A45" s="169" t="s">
        <v>209</v>
      </c>
      <c r="B45" s="68"/>
      <c r="E45" s="169" t="s">
        <v>207</v>
      </c>
    </row>
    <row r="46" spans="1:10" s="2" customFormat="1" ht="19.95" customHeight="1">
      <c r="B46" s="31"/>
    </row>
    <row r="47" spans="1:10" s="2" customFormat="1" ht="19.95" customHeight="1">
      <c r="A47" s="14" t="s">
        <v>112</v>
      </c>
    </row>
    <row r="48" spans="1:10" s="2" customFormat="1" ht="19.95" customHeight="1">
      <c r="A48" s="4"/>
    </row>
    <row r="49" s="2" customFormat="1" ht="15" customHeight="1"/>
    <row r="50" s="2" customFormat="1" ht="15" customHeight="1"/>
    <row r="51" s="2" customFormat="1" ht="15" customHeight="1"/>
    <row r="52" s="2" customFormat="1" ht="13.8"/>
    <row r="53" s="2" customFormat="1" ht="13.8"/>
    <row r="54" s="2" customFormat="1" ht="13.8"/>
    <row r="55" s="2" customFormat="1" ht="13.8"/>
    <row r="56" s="2" customFormat="1" ht="13.8"/>
    <row r="57" s="2" customFormat="1" ht="13.8"/>
    <row r="58" s="2" customFormat="1" ht="13.8"/>
  </sheetData>
  <mergeCells count="2">
    <mergeCell ref="A1:J1"/>
    <mergeCell ref="A2:J2"/>
  </mergeCells>
  <phoneticPr fontId="60" type="noConversion"/>
  <conditionalFormatting sqref="C32:D33 F32:G35 C35:D35">
    <cfRule type="cellIs" dxfId="8" priority="12" stopIfTrue="1" operator="greaterThanOrEqual">
      <formula>0.5</formula>
    </cfRule>
  </conditionalFormatting>
  <conditionalFormatting sqref="H32:I35 J36 J39:J43">
    <cfRule type="cellIs" dxfId="7" priority="10" stopIfTrue="1" operator="greaterThanOrEqual">
      <formula>0.3</formula>
    </cfRule>
    <cfRule type="cellIs" dxfId="6" priority="11" stopIfTrue="1" operator="lessThanOrEqual">
      <formula>-0.3</formula>
    </cfRule>
  </conditionalFormatting>
  <conditionalFormatting sqref="F37">
    <cfRule type="cellIs" dxfId="5" priority="8" stopIfTrue="1" operator="greaterThanOrEqual">
      <formula>0.3</formula>
    </cfRule>
    <cfRule type="cellIs" dxfId="4" priority="9" stopIfTrue="1" operator="lessThanOrEqual">
      <formula>-0.3</formula>
    </cfRule>
  </conditionalFormatting>
  <conditionalFormatting sqref="C31:D31">
    <cfRule type="cellIs" dxfId="3" priority="4" stopIfTrue="1" operator="greaterThanOrEqual">
      <formula>0.5</formula>
    </cfRule>
  </conditionalFormatting>
  <conditionalFormatting sqref="F31:G31">
    <cfRule type="cellIs" dxfId="2" priority="3" stopIfTrue="1" operator="greaterThanOrEqual">
      <formula>0.5</formula>
    </cfRule>
  </conditionalFormatting>
  <conditionalFormatting sqref="I31">
    <cfRule type="cellIs" dxfId="1" priority="1" stopIfTrue="1" operator="greaterThanOrEqual">
      <formula>0.3</formula>
    </cfRule>
    <cfRule type="cellIs" dxfId="0" priority="2" stopIfTrue="1" operator="lessThanOrEqual">
      <formula>-0.3</formula>
    </cfRule>
  </conditionalFormatting>
  <hyperlinks>
    <hyperlink ref="J3" location="底稿目录!A1" display="底稿目录!A1"/>
  </hyperlinks>
  <printOptions horizontalCentered="1"/>
  <pageMargins left="0.7" right="0.7" top="0.75" bottom="0.75" header="0.3" footer="0.3"/>
  <pageSetup paperSize="9" scale="70" fitToHeight="10" orientation="portrait" blackAndWhite="1" cellComments="atEnd" r:id="rId1"/>
  <headerFooter alignWithMargins="0">
    <oddFooter>&amp;C&amp;P/&amp;N</oddFooter>
  </headerFooter>
  <rowBreaks count="1" manualBreakCount="1">
    <brk id="50"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V53"/>
  <sheetViews>
    <sheetView view="pageBreakPreview" zoomScaleNormal="100" workbookViewId="0">
      <selection sqref="A1:Q1"/>
    </sheetView>
  </sheetViews>
  <sheetFormatPr defaultColWidth="9.109375" defaultRowHeight="15.6"/>
  <cols>
    <col min="1" max="1" width="9.109375" style="5"/>
    <col min="2" max="2" width="11.6640625" style="5" customWidth="1"/>
    <col min="3" max="3" width="21.6640625" style="5" customWidth="1"/>
    <col min="4" max="4" width="13.6640625" style="5" customWidth="1"/>
    <col min="5" max="7" width="11" style="5" customWidth="1"/>
    <col min="8" max="8" width="11.33203125" style="5" customWidth="1"/>
    <col min="9" max="9" width="11" style="5" customWidth="1"/>
    <col min="10" max="10" width="12.33203125" style="5" customWidth="1"/>
    <col min="11" max="11" width="10.109375" style="5" customWidth="1"/>
    <col min="12" max="15" width="12.33203125" style="5" customWidth="1"/>
    <col min="16" max="16" width="10.44140625" style="5" customWidth="1"/>
    <col min="17" max="17" width="8.77734375" style="5" customWidth="1"/>
    <col min="18" max="16384" width="9.109375" style="5"/>
  </cols>
  <sheetData>
    <row r="1" spans="1:18" s="1" customFormat="1" ht="19.95" customHeight="1">
      <c r="A1" s="371" t="s">
        <v>6</v>
      </c>
      <c r="B1" s="372"/>
      <c r="C1" s="372"/>
      <c r="D1" s="372"/>
      <c r="E1" s="372"/>
      <c r="F1" s="372"/>
      <c r="G1" s="372"/>
      <c r="H1" s="372"/>
      <c r="I1" s="372"/>
      <c r="J1" s="372"/>
      <c r="K1" s="372"/>
      <c r="L1" s="372"/>
      <c r="M1" s="372"/>
      <c r="N1" s="372"/>
      <c r="O1" s="372"/>
      <c r="P1" s="372"/>
      <c r="Q1" s="372"/>
    </row>
    <row r="2" spans="1:18" s="1" customFormat="1" ht="19.95" customHeight="1">
      <c r="A2" s="373" t="s">
        <v>214</v>
      </c>
      <c r="B2" s="374"/>
      <c r="C2" s="374"/>
      <c r="D2" s="374"/>
      <c r="E2" s="374"/>
      <c r="F2" s="374"/>
      <c r="G2" s="374"/>
      <c r="H2" s="374"/>
      <c r="I2" s="374"/>
      <c r="J2" s="374"/>
      <c r="K2" s="374"/>
      <c r="L2" s="374"/>
      <c r="M2" s="374"/>
      <c r="N2" s="374"/>
      <c r="O2" s="374"/>
      <c r="P2" s="374"/>
      <c r="Q2" s="374"/>
    </row>
    <row r="3" spans="1:18" s="2" customFormat="1" ht="19.95" customHeight="1">
      <c r="A3" s="6" t="str">
        <f>底稿目录!A2</f>
        <v>被审计单位：</v>
      </c>
      <c r="B3" s="6"/>
      <c r="H3" s="7" t="str">
        <f>底稿目录!A4</f>
        <v>编制人：</v>
      </c>
      <c r="K3" s="48" t="str">
        <f>底稿目录!A5</f>
        <v>编制日期：</v>
      </c>
      <c r="O3" s="42"/>
      <c r="P3" s="145" t="s">
        <v>162</v>
      </c>
      <c r="Q3" s="255" t="str">
        <f>底稿目录!D12</f>
        <v>K9-5</v>
      </c>
    </row>
    <row r="4" spans="1:18" s="2" customFormat="1" ht="19.95" customHeight="1">
      <c r="A4" s="6" t="str">
        <f>底稿目录!A3</f>
        <v>会计期间：202X年度</v>
      </c>
      <c r="B4" s="8"/>
      <c r="H4" s="7" t="str">
        <f>底稿目录!A6</f>
        <v>复核人：</v>
      </c>
      <c r="K4" s="48" t="str">
        <f>底稿目录!A7</f>
        <v>复核日期：</v>
      </c>
      <c r="O4" s="42"/>
      <c r="P4" s="145" t="s">
        <v>43</v>
      </c>
      <c r="Q4" s="28"/>
    </row>
    <row r="5" spans="1:18" s="2" customFormat="1" ht="19.95" customHeight="1">
      <c r="A5" s="38" t="s">
        <v>44</v>
      </c>
      <c r="B5" s="39"/>
      <c r="I5" s="49"/>
      <c r="M5" s="50"/>
      <c r="P5" s="51"/>
    </row>
    <row r="6" spans="1:18" s="2" customFormat="1" ht="19.95" customHeight="1">
      <c r="A6" s="178" t="s">
        <v>276</v>
      </c>
      <c r="M6" s="50"/>
      <c r="P6" s="51"/>
    </row>
    <row r="7" spans="1:18" s="2" customFormat="1" ht="19.95" customHeight="1">
      <c r="A7" s="178" t="s">
        <v>277</v>
      </c>
      <c r="M7" s="50"/>
      <c r="P7" s="51"/>
    </row>
    <row r="8" spans="1:18" s="2" customFormat="1" ht="19.95" customHeight="1">
      <c r="A8" s="40" t="s">
        <v>45</v>
      </c>
      <c r="I8" s="41"/>
      <c r="M8" s="50"/>
      <c r="P8" s="51"/>
    </row>
    <row r="9" spans="1:18" s="2" customFormat="1" ht="19.95" customHeight="1">
      <c r="A9" s="32"/>
      <c r="B9" s="43" t="s">
        <v>116</v>
      </c>
      <c r="C9" s="299">
        <v>45658</v>
      </c>
      <c r="D9" s="43" t="s">
        <v>117</v>
      </c>
      <c r="E9" s="299">
        <v>46022</v>
      </c>
      <c r="F9" s="41"/>
      <c r="G9" s="41"/>
      <c r="H9" s="42"/>
      <c r="I9" s="41"/>
      <c r="M9" s="50"/>
      <c r="P9" s="51"/>
    </row>
    <row r="10" spans="1:18" s="3" customFormat="1" ht="35.4" customHeight="1">
      <c r="A10" s="43" t="s">
        <v>46</v>
      </c>
      <c r="B10" s="43" t="s">
        <v>118</v>
      </c>
      <c r="C10" s="43" t="s">
        <v>119</v>
      </c>
      <c r="D10" s="43" t="s">
        <v>120</v>
      </c>
      <c r="E10" s="43" t="s">
        <v>121</v>
      </c>
      <c r="F10" s="43" t="s">
        <v>122</v>
      </c>
      <c r="G10" s="43" t="s">
        <v>123</v>
      </c>
      <c r="H10" s="43" t="s">
        <v>124</v>
      </c>
      <c r="I10" s="43" t="s">
        <v>125</v>
      </c>
      <c r="J10" s="43" t="s">
        <v>126</v>
      </c>
      <c r="K10" s="43" t="s">
        <v>127</v>
      </c>
      <c r="L10" s="43" t="s">
        <v>128</v>
      </c>
      <c r="M10" s="43" t="s">
        <v>129</v>
      </c>
      <c r="N10" s="43" t="s">
        <v>130</v>
      </c>
      <c r="O10" s="43" t="s">
        <v>131</v>
      </c>
      <c r="P10" s="43" t="s">
        <v>132</v>
      </c>
      <c r="Q10" s="254" t="s">
        <v>275</v>
      </c>
      <c r="R10" s="52"/>
    </row>
    <row r="11" spans="1:18" s="3" customFormat="1" ht="19.95" customHeight="1">
      <c r="A11" s="44" t="s">
        <v>133</v>
      </c>
      <c r="B11" s="157"/>
      <c r="C11" s="157"/>
      <c r="D11" s="37"/>
      <c r="E11" s="157"/>
      <c r="F11" s="157"/>
      <c r="G11" s="157"/>
      <c r="H11" s="57"/>
      <c r="I11" s="57"/>
      <c r="J11" s="154">
        <f>IF(OR($E$9="",H11="",$C$9="",I11=""),0,DATEDIF(H11,I11,"m")+1)</f>
        <v>0</v>
      </c>
      <c r="K11" s="154">
        <f t="shared" ref="K11:K20" si="0">IF(OR($E$9="",H11="",$C$9="",I11=""),0,IF(H11&gt;$E$9,0,IF(H11=0,0,IF(AND(H11&lt;$C$9,I11&gt;$E$9),VALUE(DATEDIF($C$9,$E$9,"m")+1),IF(AND(H11&lt;$C$9,I11&lt;=$E$9),VALUE(DATEDIF($C$9,I11,"m")+1),IF(AND(H11&gt;=$C$9,I11&gt;$E$9),VALUE(DATEDIF(H11,$E$9,"m")+1),IF(AND(H11&gt;=$C$9,I11&lt;=$E$9),VALUE(DATEDIF(H11,I11,"m")+1),)))))))</f>
        <v>0</v>
      </c>
      <c r="L11" s="300">
        <f>IF(K11=0,0,K11/J11*D11)</f>
        <v>0</v>
      </c>
      <c r="M11" s="37"/>
      <c r="N11" s="154">
        <f>L11-M11</f>
        <v>0</v>
      </c>
      <c r="O11" s="199"/>
      <c r="P11" s="199"/>
      <c r="Q11" s="199"/>
    </row>
    <row r="12" spans="1:18" s="2" customFormat="1" ht="19.95" customHeight="1">
      <c r="A12" s="44" t="s">
        <v>134</v>
      </c>
      <c r="B12" s="157"/>
      <c r="C12" s="157"/>
      <c r="D12" s="37"/>
      <c r="E12" s="157"/>
      <c r="F12" s="157"/>
      <c r="G12" s="157"/>
      <c r="H12" s="57"/>
      <c r="I12" s="57"/>
      <c r="J12" s="154">
        <f t="shared" ref="J12:J20" si="1">IF(OR($E$9="",H12="",$C$9="",I12=""),0,DATEDIF(H12,I12,"m")+1)</f>
        <v>0</v>
      </c>
      <c r="K12" s="154">
        <f t="shared" si="0"/>
        <v>0</v>
      </c>
      <c r="L12" s="300">
        <f t="shared" ref="L12:L20" si="2">IF(K12=0,0,K12/J12*D12)</f>
        <v>0</v>
      </c>
      <c r="M12" s="157"/>
      <c r="N12" s="154">
        <f t="shared" ref="N12:N20" si="3">L12-M12</f>
        <v>0</v>
      </c>
      <c r="O12" s="199"/>
      <c r="P12" s="199"/>
      <c r="Q12" s="199"/>
    </row>
    <row r="13" spans="1:18" s="2" customFormat="1" ht="19.95" customHeight="1">
      <c r="A13" s="44" t="s">
        <v>135</v>
      </c>
      <c r="B13" s="157"/>
      <c r="C13" s="157"/>
      <c r="D13" s="37"/>
      <c r="E13" s="157"/>
      <c r="F13" s="157"/>
      <c r="G13" s="157"/>
      <c r="H13" s="57"/>
      <c r="I13" s="57"/>
      <c r="J13" s="154">
        <f t="shared" si="1"/>
        <v>0</v>
      </c>
      <c r="K13" s="154">
        <f t="shared" si="0"/>
        <v>0</v>
      </c>
      <c r="L13" s="300">
        <f t="shared" si="2"/>
        <v>0</v>
      </c>
      <c r="M13" s="157"/>
      <c r="N13" s="154">
        <f t="shared" si="3"/>
        <v>0</v>
      </c>
      <c r="O13" s="199"/>
      <c r="P13" s="199"/>
      <c r="Q13" s="199"/>
    </row>
    <row r="14" spans="1:18" s="2" customFormat="1" ht="19.95" customHeight="1">
      <c r="A14" s="44" t="s">
        <v>136</v>
      </c>
      <c r="B14" s="157"/>
      <c r="C14" s="157"/>
      <c r="D14" s="37"/>
      <c r="E14" s="157"/>
      <c r="F14" s="157"/>
      <c r="G14" s="157"/>
      <c r="H14" s="57"/>
      <c r="I14" s="57"/>
      <c r="J14" s="154">
        <f t="shared" si="1"/>
        <v>0</v>
      </c>
      <c r="K14" s="154">
        <f t="shared" si="0"/>
        <v>0</v>
      </c>
      <c r="L14" s="300">
        <f t="shared" si="2"/>
        <v>0</v>
      </c>
      <c r="M14" s="157"/>
      <c r="N14" s="154">
        <f t="shared" si="3"/>
        <v>0</v>
      </c>
      <c r="O14" s="199"/>
      <c r="P14" s="199"/>
      <c r="Q14" s="199"/>
    </row>
    <row r="15" spans="1:18" s="2" customFormat="1" ht="19.95" customHeight="1">
      <c r="A15" s="44" t="s">
        <v>137</v>
      </c>
      <c r="B15" s="157"/>
      <c r="C15" s="157"/>
      <c r="D15" s="37"/>
      <c r="E15" s="157"/>
      <c r="F15" s="157"/>
      <c r="G15" s="157"/>
      <c r="H15" s="57"/>
      <c r="I15" s="57"/>
      <c r="J15" s="154">
        <f t="shared" si="1"/>
        <v>0</v>
      </c>
      <c r="K15" s="154">
        <f t="shared" si="0"/>
        <v>0</v>
      </c>
      <c r="L15" s="300">
        <f t="shared" si="2"/>
        <v>0</v>
      </c>
      <c r="M15" s="157"/>
      <c r="N15" s="154">
        <f t="shared" si="3"/>
        <v>0</v>
      </c>
      <c r="O15" s="199"/>
      <c r="P15" s="199"/>
      <c r="Q15" s="199"/>
    </row>
    <row r="16" spans="1:18" s="2" customFormat="1" ht="19.95" customHeight="1">
      <c r="A16" s="44" t="s">
        <v>138</v>
      </c>
      <c r="B16" s="157"/>
      <c r="C16" s="157"/>
      <c r="D16" s="37"/>
      <c r="E16" s="157"/>
      <c r="F16" s="157"/>
      <c r="G16" s="157"/>
      <c r="H16" s="57"/>
      <c r="I16" s="57"/>
      <c r="J16" s="154">
        <f t="shared" si="1"/>
        <v>0</v>
      </c>
      <c r="K16" s="154">
        <f t="shared" si="0"/>
        <v>0</v>
      </c>
      <c r="L16" s="300">
        <f t="shared" si="2"/>
        <v>0</v>
      </c>
      <c r="M16" s="157"/>
      <c r="N16" s="154">
        <f t="shared" si="3"/>
        <v>0</v>
      </c>
      <c r="O16" s="199"/>
      <c r="P16" s="199"/>
      <c r="Q16" s="199"/>
    </row>
    <row r="17" spans="1:22" s="2" customFormat="1" ht="19.95" customHeight="1">
      <c r="A17" s="44" t="s">
        <v>139</v>
      </c>
      <c r="B17" s="157"/>
      <c r="C17" s="157"/>
      <c r="D17" s="37"/>
      <c r="E17" s="157"/>
      <c r="F17" s="157"/>
      <c r="G17" s="157"/>
      <c r="H17" s="57"/>
      <c r="I17" s="57"/>
      <c r="J17" s="154">
        <f t="shared" si="1"/>
        <v>0</v>
      </c>
      <c r="K17" s="154">
        <f t="shared" si="0"/>
        <v>0</v>
      </c>
      <c r="L17" s="300">
        <f t="shared" si="2"/>
        <v>0</v>
      </c>
      <c r="M17" s="157"/>
      <c r="N17" s="154">
        <f t="shared" si="3"/>
        <v>0</v>
      </c>
      <c r="O17" s="199"/>
      <c r="P17" s="199"/>
      <c r="Q17" s="199"/>
    </row>
    <row r="18" spans="1:22" s="2" customFormat="1" ht="19.95" customHeight="1">
      <c r="A18" s="45"/>
      <c r="B18" s="157"/>
      <c r="C18" s="157"/>
      <c r="D18" s="37"/>
      <c r="E18" s="157"/>
      <c r="F18" s="157"/>
      <c r="G18" s="157"/>
      <c r="H18" s="57"/>
      <c r="I18" s="57"/>
      <c r="J18" s="154">
        <f t="shared" si="1"/>
        <v>0</v>
      </c>
      <c r="K18" s="154">
        <f t="shared" si="0"/>
        <v>0</v>
      </c>
      <c r="L18" s="300">
        <f t="shared" si="2"/>
        <v>0</v>
      </c>
      <c r="M18" s="157"/>
      <c r="N18" s="154">
        <f t="shared" si="3"/>
        <v>0</v>
      </c>
      <c r="O18" s="199"/>
      <c r="P18" s="199"/>
      <c r="Q18" s="199"/>
    </row>
    <row r="19" spans="1:22" s="2" customFormat="1" ht="19.95" customHeight="1">
      <c r="A19" s="45"/>
      <c r="B19" s="157"/>
      <c r="C19" s="157"/>
      <c r="D19" s="37"/>
      <c r="E19" s="157"/>
      <c r="F19" s="157"/>
      <c r="G19" s="157"/>
      <c r="H19" s="57"/>
      <c r="I19" s="57"/>
      <c r="J19" s="154">
        <f t="shared" si="1"/>
        <v>0</v>
      </c>
      <c r="K19" s="154">
        <f t="shared" si="0"/>
        <v>0</v>
      </c>
      <c r="L19" s="300">
        <f t="shared" si="2"/>
        <v>0</v>
      </c>
      <c r="M19" s="157"/>
      <c r="N19" s="154">
        <f t="shared" si="3"/>
        <v>0</v>
      </c>
      <c r="O19" s="199"/>
      <c r="P19" s="199"/>
      <c r="Q19" s="199"/>
    </row>
    <row r="20" spans="1:22" s="2" customFormat="1" ht="19.95" customHeight="1">
      <c r="A20" s="45"/>
      <c r="B20" s="157"/>
      <c r="C20" s="157"/>
      <c r="D20" s="37"/>
      <c r="E20" s="157"/>
      <c r="F20" s="157"/>
      <c r="G20" s="157"/>
      <c r="H20" s="57"/>
      <c r="I20" s="57"/>
      <c r="J20" s="154">
        <f t="shared" si="1"/>
        <v>0</v>
      </c>
      <c r="K20" s="154">
        <f t="shared" si="0"/>
        <v>0</v>
      </c>
      <c r="L20" s="300">
        <f t="shared" si="2"/>
        <v>0</v>
      </c>
      <c r="M20" s="157"/>
      <c r="N20" s="154">
        <f t="shared" si="3"/>
        <v>0</v>
      </c>
      <c r="O20" s="199"/>
      <c r="P20" s="199"/>
      <c r="Q20" s="199"/>
    </row>
    <row r="21" spans="1:22" s="2" customFormat="1" ht="19.95" customHeight="1">
      <c r="A21" s="46" t="s">
        <v>87</v>
      </c>
      <c r="B21" s="24"/>
      <c r="C21" s="24"/>
      <c r="D21" s="24"/>
      <c r="E21" s="24"/>
      <c r="F21" s="24"/>
      <c r="G21" s="24"/>
      <c r="H21" s="24"/>
      <c r="I21" s="24"/>
      <c r="J21" s="24"/>
      <c r="K21" s="24"/>
      <c r="L21" s="24"/>
      <c r="M21" s="24"/>
      <c r="N21" s="24"/>
      <c r="O21" s="24"/>
      <c r="P21" s="24"/>
      <c r="Q21" s="24"/>
    </row>
    <row r="22" spans="1:22" s="2" customFormat="1" ht="19.95" customHeight="1">
      <c r="A22" s="189" t="s">
        <v>219</v>
      </c>
    </row>
    <row r="23" spans="1:22" ht="19.95" customHeight="1">
      <c r="A23" s="189" t="s">
        <v>218</v>
      </c>
      <c r="B23" s="2"/>
      <c r="C23" s="2"/>
      <c r="D23" s="2"/>
      <c r="E23" s="2"/>
      <c r="F23" s="2"/>
      <c r="G23" s="2"/>
      <c r="H23" s="2"/>
      <c r="I23" s="2"/>
      <c r="J23" s="2"/>
      <c r="K23" s="2"/>
      <c r="L23" s="2"/>
      <c r="M23" s="2"/>
      <c r="N23" s="2"/>
      <c r="O23" s="2"/>
      <c r="P23" s="2"/>
      <c r="Q23" s="2"/>
      <c r="R23" s="2"/>
      <c r="S23" s="2"/>
      <c r="T23" s="2"/>
      <c r="U23" s="2"/>
      <c r="V23" s="2"/>
    </row>
    <row r="24" spans="1:22" ht="19.95" customHeight="1">
      <c r="A24" s="187"/>
      <c r="B24" s="2"/>
      <c r="C24" s="2"/>
      <c r="D24" s="2"/>
      <c r="E24" s="2"/>
      <c r="F24" s="2"/>
      <c r="G24" s="2"/>
      <c r="H24" s="2"/>
      <c r="I24" s="2"/>
      <c r="J24" s="2"/>
      <c r="K24" s="2"/>
      <c r="L24" s="2"/>
      <c r="M24" s="2"/>
      <c r="N24" s="2"/>
      <c r="O24" s="2"/>
      <c r="P24" s="2"/>
      <c r="Q24" s="2"/>
      <c r="R24" s="2"/>
      <c r="S24" s="2"/>
      <c r="T24" s="2"/>
      <c r="U24" s="2"/>
      <c r="V24" s="2"/>
    </row>
    <row r="25" spans="1:22" ht="19.95" customHeight="1">
      <c r="A25" s="4" t="s">
        <v>88</v>
      </c>
      <c r="B25" s="2"/>
      <c r="C25" s="2"/>
      <c r="D25" s="2"/>
      <c r="E25" s="2"/>
      <c r="F25" s="2"/>
      <c r="G25" s="2"/>
      <c r="H25" s="2"/>
      <c r="I25" s="2"/>
      <c r="J25" s="2"/>
      <c r="K25" s="2"/>
      <c r="L25" s="2"/>
      <c r="M25" s="2"/>
      <c r="N25" s="2"/>
      <c r="O25" s="2"/>
      <c r="P25" s="2"/>
      <c r="Q25" s="2"/>
      <c r="R25" s="2"/>
      <c r="S25" s="2"/>
      <c r="T25" s="2"/>
      <c r="U25" s="2"/>
      <c r="V25" s="2"/>
    </row>
    <row r="26" spans="1:22" ht="19.95" customHeight="1">
      <c r="A26" s="2"/>
      <c r="B26" s="2"/>
      <c r="C26" s="2"/>
      <c r="D26" s="2"/>
      <c r="E26" s="2"/>
      <c r="F26" s="2"/>
      <c r="G26" s="2"/>
      <c r="H26" s="2"/>
      <c r="I26" s="2"/>
      <c r="J26" s="2"/>
      <c r="K26" s="2"/>
      <c r="L26" s="2"/>
      <c r="M26" s="2"/>
      <c r="N26" s="2"/>
      <c r="O26" s="2"/>
      <c r="P26" s="2"/>
      <c r="Q26" s="2"/>
      <c r="R26" s="2"/>
      <c r="S26" s="2"/>
      <c r="T26" s="2"/>
      <c r="U26" s="2"/>
      <c r="V26" s="2"/>
    </row>
    <row r="27" spans="1:22">
      <c r="A27" s="47"/>
      <c r="B27" s="47"/>
      <c r="C27" s="47"/>
      <c r="D27" s="47"/>
      <c r="E27" s="47"/>
      <c r="F27" s="47"/>
      <c r="G27" s="47"/>
      <c r="H27" s="47"/>
      <c r="I27" s="47"/>
      <c r="J27" s="47"/>
      <c r="K27" s="47"/>
      <c r="L27" s="47"/>
      <c r="M27" s="47"/>
      <c r="N27" s="47"/>
      <c r="O27" s="47"/>
      <c r="P27" s="47"/>
      <c r="Q27" s="47"/>
    </row>
    <row r="28" spans="1:22">
      <c r="A28" s="47"/>
      <c r="B28" s="47"/>
      <c r="C28" s="47"/>
      <c r="D28" s="47"/>
      <c r="E28" s="47"/>
      <c r="F28" s="47"/>
      <c r="G28" s="47"/>
      <c r="H28" s="47"/>
      <c r="I28" s="47"/>
      <c r="J28" s="47"/>
      <c r="K28" s="47"/>
      <c r="L28" s="47"/>
      <c r="M28" s="47"/>
      <c r="N28" s="47"/>
      <c r="O28" s="47"/>
      <c r="P28" s="47"/>
      <c r="Q28" s="47"/>
    </row>
    <row r="29" spans="1:22">
      <c r="A29" s="47"/>
      <c r="B29" s="47"/>
      <c r="C29" s="47"/>
      <c r="D29" s="47"/>
      <c r="E29" s="47"/>
      <c r="F29" s="47"/>
      <c r="G29" s="47"/>
      <c r="H29" s="47"/>
      <c r="I29" s="47"/>
      <c r="J29" s="47"/>
      <c r="K29" s="47"/>
      <c r="L29" s="47"/>
      <c r="M29" s="47"/>
      <c r="N29" s="47"/>
      <c r="O29" s="47"/>
      <c r="P29" s="47"/>
      <c r="Q29" s="47"/>
    </row>
    <row r="30" spans="1:22">
      <c r="A30" s="47"/>
      <c r="B30" s="47"/>
      <c r="C30" s="47"/>
      <c r="D30" s="47"/>
      <c r="E30" s="47"/>
      <c r="F30" s="47"/>
      <c r="G30" s="47"/>
      <c r="H30" s="47"/>
      <c r="I30" s="47"/>
      <c r="J30" s="47"/>
      <c r="K30" s="47"/>
      <c r="L30" s="47"/>
      <c r="M30" s="47"/>
      <c r="N30" s="47"/>
      <c r="O30" s="47"/>
      <c r="P30" s="47"/>
      <c r="Q30" s="47"/>
    </row>
    <row r="31" spans="1:22">
      <c r="A31" s="47"/>
      <c r="B31" s="47"/>
      <c r="C31" s="47"/>
      <c r="D31" s="47"/>
      <c r="E31" s="47"/>
      <c r="F31" s="47"/>
      <c r="G31" s="47"/>
      <c r="H31" s="47"/>
      <c r="I31" s="47"/>
      <c r="J31" s="47"/>
      <c r="K31" s="47"/>
      <c r="L31" s="47"/>
      <c r="M31" s="47"/>
      <c r="N31" s="47"/>
      <c r="O31" s="47"/>
      <c r="P31" s="47"/>
      <c r="Q31" s="47"/>
    </row>
    <row r="32" spans="1:22">
      <c r="A32" s="47"/>
      <c r="B32" s="47"/>
      <c r="C32" s="47"/>
      <c r="D32" s="47"/>
      <c r="E32" s="47"/>
      <c r="F32" s="47"/>
      <c r="G32" s="47"/>
      <c r="H32" s="47"/>
      <c r="I32" s="47"/>
      <c r="J32" s="47"/>
      <c r="K32" s="47"/>
      <c r="L32" s="47"/>
      <c r="M32" s="47"/>
      <c r="N32" s="47"/>
      <c r="O32" s="47"/>
      <c r="P32" s="47"/>
      <c r="Q32" s="47"/>
    </row>
    <row r="33" spans="1:17">
      <c r="A33" s="47"/>
      <c r="B33" s="47"/>
      <c r="C33" s="47"/>
      <c r="D33" s="47"/>
      <c r="E33" s="47"/>
      <c r="F33" s="47"/>
      <c r="G33" s="47"/>
      <c r="H33" s="47"/>
      <c r="I33" s="47"/>
      <c r="J33" s="47"/>
      <c r="K33" s="47"/>
      <c r="L33" s="47"/>
      <c r="M33" s="47"/>
      <c r="N33" s="47"/>
      <c r="O33" s="47"/>
      <c r="P33" s="47"/>
      <c r="Q33" s="47"/>
    </row>
    <row r="34" spans="1:17">
      <c r="A34" s="47"/>
      <c r="B34" s="47"/>
      <c r="C34" s="47"/>
      <c r="D34" s="47"/>
      <c r="E34" s="47"/>
      <c r="F34" s="47"/>
      <c r="G34" s="47"/>
      <c r="H34" s="47"/>
      <c r="I34" s="47"/>
      <c r="J34" s="47"/>
      <c r="K34" s="47"/>
      <c r="L34" s="47"/>
      <c r="M34" s="47"/>
      <c r="N34" s="47"/>
      <c r="O34" s="47"/>
      <c r="P34" s="47"/>
      <c r="Q34" s="47"/>
    </row>
    <row r="35" spans="1:17">
      <c r="A35" s="47"/>
      <c r="B35" s="47"/>
      <c r="C35" s="47"/>
      <c r="D35" s="47"/>
      <c r="E35" s="47"/>
      <c r="F35" s="47"/>
      <c r="G35" s="47"/>
      <c r="H35" s="47"/>
      <c r="I35" s="47"/>
      <c r="J35" s="47"/>
      <c r="K35" s="47"/>
      <c r="L35" s="47"/>
      <c r="M35" s="47"/>
      <c r="N35" s="47"/>
      <c r="O35" s="47"/>
      <c r="P35" s="47"/>
      <c r="Q35" s="47"/>
    </row>
    <row r="36" spans="1:17">
      <c r="A36" s="47"/>
      <c r="B36" s="47"/>
      <c r="C36" s="47"/>
      <c r="D36" s="47"/>
      <c r="E36" s="47"/>
      <c r="F36" s="47"/>
      <c r="G36" s="47"/>
      <c r="H36" s="47"/>
      <c r="I36" s="47"/>
      <c r="J36" s="47"/>
      <c r="K36" s="47"/>
      <c r="L36" s="47"/>
      <c r="M36" s="47"/>
      <c r="N36" s="47"/>
      <c r="O36" s="47"/>
      <c r="P36" s="47"/>
      <c r="Q36" s="47"/>
    </row>
    <row r="37" spans="1:17">
      <c r="A37" s="47"/>
      <c r="B37" s="47"/>
      <c r="C37" s="47"/>
      <c r="D37" s="47"/>
      <c r="E37" s="47"/>
      <c r="F37" s="47"/>
      <c r="G37" s="47"/>
      <c r="H37" s="47"/>
      <c r="I37" s="47"/>
      <c r="J37" s="47"/>
      <c r="K37" s="47"/>
      <c r="L37" s="47"/>
      <c r="M37" s="47"/>
      <c r="N37" s="47"/>
      <c r="O37" s="47"/>
      <c r="P37" s="47"/>
      <c r="Q37" s="47"/>
    </row>
    <row r="38" spans="1:17">
      <c r="A38" s="47"/>
      <c r="B38" s="47"/>
      <c r="C38" s="47"/>
      <c r="D38" s="47"/>
      <c r="E38" s="47"/>
      <c r="F38" s="47"/>
      <c r="G38" s="47"/>
      <c r="H38" s="47"/>
      <c r="I38" s="47"/>
      <c r="J38" s="47"/>
      <c r="K38" s="47"/>
      <c r="L38" s="47"/>
      <c r="M38" s="47"/>
      <c r="N38" s="47"/>
      <c r="O38" s="47"/>
      <c r="P38" s="47"/>
      <c r="Q38" s="47"/>
    </row>
    <row r="39" spans="1:17">
      <c r="A39" s="47"/>
      <c r="B39" s="47"/>
      <c r="C39" s="47"/>
      <c r="D39" s="47"/>
      <c r="E39" s="47"/>
      <c r="F39" s="47"/>
      <c r="G39" s="47"/>
      <c r="H39" s="47"/>
      <c r="I39" s="47"/>
      <c r="J39" s="47"/>
      <c r="K39" s="47"/>
      <c r="L39" s="47"/>
      <c r="M39" s="47"/>
      <c r="N39" s="47"/>
      <c r="O39" s="47"/>
      <c r="P39" s="47"/>
      <c r="Q39" s="47"/>
    </row>
    <row r="40" spans="1:17">
      <c r="A40" s="47"/>
      <c r="B40" s="47"/>
      <c r="C40" s="47"/>
      <c r="D40" s="47"/>
      <c r="E40" s="47"/>
      <c r="F40" s="47"/>
      <c r="G40" s="47"/>
      <c r="H40" s="47"/>
      <c r="I40" s="47"/>
      <c r="J40" s="47"/>
      <c r="K40" s="47"/>
      <c r="L40" s="47"/>
      <c r="M40" s="47"/>
      <c r="N40" s="47"/>
      <c r="O40" s="47"/>
      <c r="P40" s="47"/>
      <c r="Q40" s="47"/>
    </row>
    <row r="41" spans="1:17">
      <c r="A41" s="47"/>
      <c r="B41" s="47"/>
      <c r="C41" s="47"/>
      <c r="D41" s="47"/>
      <c r="E41" s="47"/>
      <c r="F41" s="47"/>
      <c r="G41" s="47"/>
      <c r="H41" s="47"/>
      <c r="I41" s="47"/>
      <c r="J41" s="47"/>
      <c r="K41" s="47"/>
      <c r="L41" s="47"/>
      <c r="M41" s="47"/>
      <c r="N41" s="47"/>
      <c r="O41" s="47"/>
      <c r="P41" s="47"/>
      <c r="Q41" s="47"/>
    </row>
    <row r="42" spans="1:17">
      <c r="A42" s="47"/>
      <c r="B42" s="47"/>
      <c r="C42" s="47"/>
      <c r="D42" s="47"/>
      <c r="E42" s="47"/>
      <c r="F42" s="47"/>
      <c r="G42" s="47"/>
      <c r="H42" s="47"/>
      <c r="I42" s="47"/>
      <c r="J42" s="47"/>
      <c r="K42" s="47"/>
      <c r="L42" s="47"/>
      <c r="M42" s="47"/>
      <c r="N42" s="47"/>
      <c r="O42" s="47"/>
      <c r="P42" s="47"/>
      <c r="Q42" s="47"/>
    </row>
    <row r="43" spans="1:17">
      <c r="A43" s="47"/>
      <c r="B43" s="47"/>
      <c r="C43" s="47"/>
      <c r="D43" s="47"/>
      <c r="E43" s="47"/>
      <c r="F43" s="47"/>
      <c r="G43" s="47"/>
      <c r="H43" s="47"/>
      <c r="I43" s="47"/>
      <c r="J43" s="47"/>
      <c r="K43" s="47"/>
      <c r="L43" s="47"/>
      <c r="M43" s="47"/>
      <c r="N43" s="47"/>
      <c r="O43" s="47"/>
      <c r="P43" s="47"/>
      <c r="Q43" s="47"/>
    </row>
    <row r="44" spans="1:17">
      <c r="A44" s="47"/>
      <c r="B44" s="47"/>
      <c r="C44" s="47"/>
      <c r="D44" s="47"/>
      <c r="E44" s="47"/>
      <c r="F44" s="47"/>
      <c r="G44" s="47"/>
      <c r="H44" s="47"/>
      <c r="I44" s="47"/>
      <c r="J44" s="47"/>
      <c r="K44" s="47"/>
      <c r="L44" s="47"/>
      <c r="M44" s="47"/>
      <c r="N44" s="47"/>
      <c r="O44" s="47"/>
      <c r="P44" s="47"/>
      <c r="Q44" s="47"/>
    </row>
    <row r="45" spans="1:17">
      <c r="A45" s="47"/>
      <c r="B45" s="47"/>
      <c r="C45" s="47"/>
      <c r="D45" s="47"/>
      <c r="E45" s="47"/>
      <c r="F45" s="47"/>
      <c r="G45" s="47"/>
      <c r="H45" s="47"/>
      <c r="I45" s="47"/>
      <c r="J45" s="47"/>
      <c r="K45" s="47"/>
      <c r="L45" s="47"/>
      <c r="M45" s="47"/>
      <c r="N45" s="47"/>
      <c r="O45" s="47"/>
      <c r="P45" s="47"/>
      <c r="Q45" s="47"/>
    </row>
    <row r="46" spans="1:17">
      <c r="A46" s="47"/>
      <c r="B46" s="47"/>
      <c r="C46" s="47"/>
      <c r="D46" s="47"/>
      <c r="E46" s="47"/>
      <c r="F46" s="47"/>
      <c r="G46" s="47"/>
      <c r="H46" s="47"/>
      <c r="I46" s="47"/>
      <c r="J46" s="47"/>
      <c r="K46" s="47"/>
      <c r="L46" s="47"/>
      <c r="M46" s="47"/>
      <c r="N46" s="47"/>
      <c r="O46" s="47"/>
      <c r="P46" s="47"/>
      <c r="Q46" s="47"/>
    </row>
    <row r="47" spans="1:17">
      <c r="A47" s="47"/>
      <c r="B47" s="47"/>
      <c r="C47" s="47"/>
      <c r="D47" s="47"/>
      <c r="E47" s="47"/>
      <c r="F47" s="47"/>
      <c r="G47" s="47"/>
      <c r="H47" s="47"/>
      <c r="I47" s="47"/>
      <c r="J47" s="47"/>
      <c r="K47" s="47"/>
      <c r="L47" s="47"/>
      <c r="M47" s="47"/>
      <c r="N47" s="47"/>
      <c r="O47" s="47"/>
      <c r="P47" s="47"/>
      <c r="Q47" s="47"/>
    </row>
    <row r="48" spans="1:17">
      <c r="A48" s="47"/>
      <c r="B48" s="47"/>
      <c r="C48" s="47"/>
      <c r="D48" s="47"/>
      <c r="E48" s="47"/>
      <c r="F48" s="47"/>
      <c r="G48" s="47"/>
      <c r="H48" s="47"/>
      <c r="I48" s="47"/>
      <c r="J48" s="47"/>
      <c r="K48" s="47"/>
      <c r="L48" s="47"/>
      <c r="M48" s="47"/>
      <c r="N48" s="47"/>
      <c r="O48" s="47"/>
      <c r="P48" s="47"/>
      <c r="Q48" s="47"/>
    </row>
    <row r="49" spans="1:17">
      <c r="A49" s="47"/>
      <c r="B49" s="47"/>
      <c r="C49" s="47"/>
      <c r="D49" s="47"/>
      <c r="E49" s="47"/>
      <c r="F49" s="47"/>
      <c r="G49" s="47"/>
      <c r="H49" s="47"/>
      <c r="I49" s="47"/>
      <c r="J49" s="47"/>
      <c r="K49" s="47"/>
      <c r="L49" s="47"/>
      <c r="M49" s="47"/>
      <c r="N49" s="47"/>
      <c r="O49" s="47"/>
      <c r="P49" s="47"/>
      <c r="Q49" s="47"/>
    </row>
    <row r="50" spans="1:17">
      <c r="A50" s="47"/>
      <c r="B50" s="47"/>
      <c r="C50" s="47"/>
      <c r="D50" s="47"/>
      <c r="E50" s="47"/>
      <c r="F50" s="47"/>
      <c r="G50" s="47"/>
      <c r="H50" s="47"/>
      <c r="I50" s="47"/>
      <c r="J50" s="47"/>
      <c r="K50" s="47"/>
      <c r="L50" s="47"/>
      <c r="M50" s="47"/>
      <c r="N50" s="47"/>
      <c r="O50" s="47"/>
      <c r="P50" s="47"/>
      <c r="Q50" s="47"/>
    </row>
    <row r="51" spans="1:17">
      <c r="A51" s="47"/>
      <c r="B51" s="47"/>
      <c r="C51" s="47"/>
      <c r="D51" s="47"/>
      <c r="E51" s="47"/>
      <c r="F51" s="47"/>
      <c r="G51" s="47"/>
      <c r="H51" s="47"/>
      <c r="I51" s="47"/>
      <c r="J51" s="47"/>
      <c r="K51" s="47"/>
      <c r="L51" s="47"/>
      <c r="M51" s="47"/>
      <c r="N51" s="47"/>
      <c r="O51" s="47"/>
      <c r="P51" s="47"/>
      <c r="Q51" s="47"/>
    </row>
    <row r="52" spans="1:17">
      <c r="A52" s="47"/>
      <c r="B52" s="47"/>
      <c r="C52" s="47"/>
      <c r="D52" s="47"/>
      <c r="E52" s="47"/>
      <c r="F52" s="47"/>
      <c r="G52" s="47"/>
      <c r="H52" s="47"/>
      <c r="I52" s="47"/>
      <c r="J52" s="47"/>
      <c r="K52" s="47"/>
      <c r="L52" s="47"/>
      <c r="M52" s="47"/>
      <c r="N52" s="47"/>
      <c r="O52" s="47"/>
      <c r="P52" s="47"/>
      <c r="Q52" s="47"/>
    </row>
    <row r="53" spans="1:17">
      <c r="A53" s="47"/>
      <c r="B53" s="47"/>
      <c r="C53" s="47"/>
      <c r="D53" s="47"/>
      <c r="E53" s="47"/>
      <c r="F53" s="47"/>
      <c r="G53" s="47"/>
      <c r="H53" s="47"/>
      <c r="I53" s="47"/>
      <c r="J53" s="47"/>
      <c r="K53" s="47"/>
      <c r="L53" s="47"/>
      <c r="M53" s="47"/>
      <c r="N53" s="47"/>
      <c r="O53" s="47"/>
      <c r="P53" s="47"/>
      <c r="Q53" s="47"/>
    </row>
  </sheetData>
  <mergeCells count="2">
    <mergeCell ref="A1:Q1"/>
    <mergeCell ref="A2:Q2"/>
  </mergeCells>
  <phoneticPr fontId="60" type="noConversion"/>
  <hyperlinks>
    <hyperlink ref="Q3" location="底稿目录!A1" display="底稿目录!A1"/>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view="pageBreakPreview" zoomScaleNormal="130" zoomScaleSheetLayoutView="100" workbookViewId="0">
      <selection sqref="A1:K1"/>
    </sheetView>
  </sheetViews>
  <sheetFormatPr defaultColWidth="9.109375" defaultRowHeight="15.6"/>
  <cols>
    <col min="1" max="1" width="6.109375" style="5" customWidth="1"/>
    <col min="2" max="2" width="10.5546875" style="5" customWidth="1"/>
    <col min="3" max="3" width="11.21875" style="5" customWidth="1"/>
    <col min="4" max="4" width="18.44140625" style="5" customWidth="1"/>
    <col min="5" max="5" width="13.44140625" style="5" customWidth="1"/>
    <col min="6" max="6" width="10.33203125" style="5" customWidth="1"/>
    <col min="7" max="7" width="11.77734375" style="5" customWidth="1"/>
    <col min="8" max="8" width="11.6640625" style="5" customWidth="1"/>
    <col min="9" max="9" width="10.44140625" style="5" customWidth="1"/>
    <col min="10" max="10" width="5.88671875" style="5" customWidth="1"/>
    <col min="11" max="11" width="9.33203125" style="5" customWidth="1"/>
    <col min="12" max="16384" width="9.109375" style="5"/>
  </cols>
  <sheetData>
    <row r="1" spans="1:11" s="30" customFormat="1" ht="19.95" customHeight="1">
      <c r="A1" s="344" t="s">
        <v>6</v>
      </c>
      <c r="B1" s="344"/>
      <c r="C1" s="344"/>
      <c r="D1" s="344"/>
      <c r="E1" s="344"/>
      <c r="F1" s="344"/>
      <c r="G1" s="344"/>
      <c r="H1" s="344"/>
      <c r="I1" s="344"/>
      <c r="J1" s="344"/>
      <c r="K1" s="344"/>
    </row>
    <row r="2" spans="1:11" s="30" customFormat="1" ht="19.95" customHeight="1">
      <c r="A2" s="345" t="s">
        <v>344</v>
      </c>
      <c r="B2" s="345"/>
      <c r="C2" s="345"/>
      <c r="D2" s="345"/>
      <c r="E2" s="345"/>
      <c r="F2" s="345"/>
      <c r="G2" s="345"/>
      <c r="H2" s="345"/>
      <c r="I2" s="345"/>
      <c r="J2" s="345"/>
      <c r="K2" s="345"/>
    </row>
    <row r="3" spans="1:11" s="2" customFormat="1" ht="19.95" customHeight="1">
      <c r="A3" s="6" t="str">
        <f>底稿目录!A2</f>
        <v>被审计单位：</v>
      </c>
      <c r="B3" s="6"/>
      <c r="E3" s="7" t="str">
        <f>底稿目录!A4</f>
        <v>编制人：</v>
      </c>
      <c r="G3" s="48" t="str">
        <f>底稿目录!A5</f>
        <v>编制日期：</v>
      </c>
      <c r="H3" s="42"/>
      <c r="J3" s="53" t="s">
        <v>113</v>
      </c>
      <c r="K3" s="255" t="str">
        <f>底稿目录!D13</f>
        <v>K9-6</v>
      </c>
    </row>
    <row r="4" spans="1:11" s="2" customFormat="1" ht="19.95" customHeight="1">
      <c r="A4" s="6" t="str">
        <f>底稿目录!A3</f>
        <v>会计期间：202X年度</v>
      </c>
      <c r="B4" s="8"/>
      <c r="E4" s="7" t="str">
        <f>底稿目录!A6</f>
        <v>复核人：</v>
      </c>
      <c r="G4" s="48" t="str">
        <f>底稿目录!A7</f>
        <v>复核日期：</v>
      </c>
      <c r="H4" s="42"/>
      <c r="J4" s="53" t="s">
        <v>278</v>
      </c>
    </row>
    <row r="5" spans="1:11" s="3" customFormat="1" ht="19.95" customHeight="1">
      <c r="A5" s="34" t="s">
        <v>279</v>
      </c>
      <c r="B5" s="13"/>
      <c r="C5" s="13"/>
      <c r="D5" s="13"/>
      <c r="E5" s="13"/>
      <c r="F5" s="13"/>
      <c r="G5" s="13"/>
      <c r="H5" s="13"/>
      <c r="I5" s="13"/>
      <c r="J5" s="13"/>
    </row>
    <row r="6" spans="1:11" s="3" customFormat="1" ht="19.95" customHeight="1">
      <c r="A6" s="185" t="s">
        <v>348</v>
      </c>
      <c r="B6" s="256"/>
      <c r="C6" s="54"/>
      <c r="D6" s="54"/>
      <c r="E6" s="33"/>
      <c r="F6" s="54"/>
      <c r="G6" s="33"/>
      <c r="H6" s="54"/>
      <c r="I6" s="33"/>
      <c r="J6" s="54"/>
    </row>
    <row r="7" spans="1:11" s="3" customFormat="1" ht="19.95" customHeight="1">
      <c r="A7" s="34" t="s">
        <v>280</v>
      </c>
      <c r="B7" s="34"/>
      <c r="C7" s="34"/>
      <c r="D7" s="34"/>
      <c r="E7" s="34"/>
      <c r="F7" s="34"/>
      <c r="G7" s="34"/>
      <c r="H7" s="34"/>
      <c r="I7" s="34"/>
      <c r="J7" s="34"/>
    </row>
    <row r="8" spans="1:11" s="304" customFormat="1" ht="19.95" customHeight="1">
      <c r="A8" s="301" t="s">
        <v>281</v>
      </c>
      <c r="B8" s="302"/>
      <c r="C8" s="303"/>
      <c r="D8" s="303"/>
      <c r="E8" s="303"/>
      <c r="F8" s="303"/>
      <c r="G8" s="303"/>
      <c r="H8" s="303"/>
      <c r="I8" s="303"/>
      <c r="J8" s="303"/>
    </row>
    <row r="9" spans="1:11" s="3" customFormat="1" ht="19.95" customHeight="1">
      <c r="A9" s="12" t="s">
        <v>282</v>
      </c>
      <c r="B9" s="55"/>
      <c r="C9" s="11"/>
      <c r="D9" s="11"/>
      <c r="E9" s="11"/>
      <c r="F9" s="11"/>
      <c r="G9" s="11"/>
      <c r="H9" s="11"/>
      <c r="I9" s="11"/>
      <c r="J9" s="11"/>
    </row>
    <row r="10" spans="1:11" s="3" customFormat="1" ht="28.8" customHeight="1">
      <c r="A10" s="375" t="s">
        <v>283</v>
      </c>
      <c r="B10" s="375"/>
      <c r="C10" s="375"/>
      <c r="D10" s="375"/>
      <c r="E10" s="375"/>
      <c r="F10" s="375"/>
      <c r="G10" s="375"/>
      <c r="H10" s="375"/>
      <c r="I10" s="375"/>
      <c r="J10" s="375"/>
      <c r="K10" s="375"/>
    </row>
    <row r="11" spans="1:11" s="3" customFormat="1" ht="19.95" customHeight="1">
      <c r="A11" s="34" t="s">
        <v>284</v>
      </c>
      <c r="B11" s="35"/>
      <c r="C11" s="35"/>
      <c r="D11" s="35"/>
      <c r="E11" s="56"/>
      <c r="F11" s="36"/>
    </row>
    <row r="12" spans="1:11" s="246" customFormat="1" ht="19.95" customHeight="1">
      <c r="A12" s="376" t="s">
        <v>16</v>
      </c>
      <c r="B12" s="378" t="s">
        <v>285</v>
      </c>
      <c r="C12" s="379"/>
      <c r="D12" s="379"/>
      <c r="E12" s="379"/>
      <c r="F12" s="380"/>
      <c r="G12" s="376" t="s">
        <v>286</v>
      </c>
      <c r="H12" s="377"/>
      <c r="I12" s="377"/>
      <c r="J12" s="341" t="s">
        <v>114</v>
      </c>
      <c r="K12" s="341" t="s">
        <v>287</v>
      </c>
    </row>
    <row r="13" spans="1:11" s="246" customFormat="1" ht="19.95" customHeight="1">
      <c r="A13" s="377"/>
      <c r="B13" s="217" t="s">
        <v>288</v>
      </c>
      <c r="C13" s="217" t="s">
        <v>115</v>
      </c>
      <c r="D13" s="217" t="s">
        <v>147</v>
      </c>
      <c r="E13" s="217" t="s">
        <v>148</v>
      </c>
      <c r="F13" s="217" t="s">
        <v>289</v>
      </c>
      <c r="G13" s="217" t="s">
        <v>290</v>
      </c>
      <c r="H13" s="217" t="s">
        <v>291</v>
      </c>
      <c r="I13" s="217" t="s">
        <v>108</v>
      </c>
      <c r="J13" s="351"/>
      <c r="K13" s="351"/>
    </row>
    <row r="14" spans="1:11" s="2" customFormat="1" ht="19.95" customHeight="1">
      <c r="A14" s="198">
        <v>1</v>
      </c>
      <c r="B14" s="57"/>
      <c r="C14" s="257"/>
      <c r="D14" s="57"/>
      <c r="E14" s="23"/>
      <c r="F14" s="58"/>
      <c r="G14" s="198"/>
      <c r="H14" s="57"/>
      <c r="I14" s="58"/>
      <c r="J14" s="212"/>
      <c r="K14" s="58"/>
    </row>
    <row r="15" spans="1:11" s="2" customFormat="1" ht="19.95" customHeight="1">
      <c r="A15" s="198">
        <v>2</v>
      </c>
      <c r="B15" s="57"/>
      <c r="C15" s="257"/>
      <c r="D15" s="57"/>
      <c r="E15" s="23"/>
      <c r="F15" s="58"/>
      <c r="G15" s="198"/>
      <c r="H15" s="57"/>
      <c r="I15" s="58"/>
      <c r="J15" s="212"/>
      <c r="K15" s="58"/>
    </row>
    <row r="16" spans="1:11" s="2" customFormat="1" ht="19.95" customHeight="1">
      <c r="A16" s="198">
        <v>3</v>
      </c>
      <c r="B16" s="57"/>
      <c r="C16" s="257"/>
      <c r="D16" s="57"/>
      <c r="E16" s="23"/>
      <c r="F16" s="58"/>
      <c r="G16" s="198"/>
      <c r="H16" s="57"/>
      <c r="I16" s="58"/>
      <c r="J16" s="212"/>
      <c r="K16" s="58"/>
    </row>
    <row r="17" spans="1:11" s="2" customFormat="1" ht="19.95" customHeight="1">
      <c r="A17" s="198">
        <v>4</v>
      </c>
      <c r="B17" s="57"/>
      <c r="C17" s="257"/>
      <c r="D17" s="57"/>
      <c r="E17" s="23"/>
      <c r="F17" s="58"/>
      <c r="G17" s="198"/>
      <c r="H17" s="57"/>
      <c r="I17" s="58"/>
      <c r="J17" s="307"/>
      <c r="K17" s="58"/>
    </row>
    <row r="18" spans="1:11" s="2" customFormat="1" ht="19.95" customHeight="1">
      <c r="A18" s="198">
        <v>5</v>
      </c>
      <c r="B18" s="57"/>
      <c r="C18" s="257"/>
      <c r="D18" s="57"/>
      <c r="E18" s="23"/>
      <c r="F18" s="58"/>
      <c r="G18" s="198"/>
      <c r="H18" s="57"/>
      <c r="I18" s="58"/>
      <c r="J18" s="307"/>
      <c r="K18" s="58"/>
    </row>
    <row r="19" spans="1:11" s="2" customFormat="1" ht="19.95" customHeight="1">
      <c r="A19" s="198">
        <v>6</v>
      </c>
      <c r="B19" s="57"/>
      <c r="C19" s="257"/>
      <c r="D19" s="57"/>
      <c r="E19" s="23"/>
      <c r="F19" s="58"/>
      <c r="G19" s="198"/>
      <c r="H19" s="57"/>
      <c r="I19" s="58"/>
      <c r="J19" s="307"/>
      <c r="K19" s="58"/>
    </row>
    <row r="20" spans="1:11" s="2" customFormat="1" ht="19.95" customHeight="1">
      <c r="A20" s="198">
        <v>7</v>
      </c>
      <c r="B20" s="57"/>
      <c r="C20" s="257"/>
      <c r="D20" s="57"/>
      <c r="E20" s="23"/>
      <c r="F20" s="58"/>
      <c r="G20" s="198"/>
      <c r="H20" s="57"/>
      <c r="I20" s="58"/>
      <c r="J20" s="307"/>
      <c r="K20" s="58"/>
    </row>
    <row r="21" spans="1:11" s="2" customFormat="1" ht="19.95" customHeight="1">
      <c r="A21" s="198">
        <v>8</v>
      </c>
      <c r="B21" s="57"/>
      <c r="C21" s="257"/>
      <c r="D21" s="57"/>
      <c r="E21" s="23"/>
      <c r="F21" s="58"/>
      <c r="G21" s="198"/>
      <c r="H21" s="57"/>
      <c r="I21" s="58"/>
      <c r="J21" s="212"/>
      <c r="K21" s="58"/>
    </row>
    <row r="22" spans="1:11" s="2" customFormat="1" ht="19.95" customHeight="1">
      <c r="A22" s="198">
        <v>9</v>
      </c>
      <c r="B22" s="57"/>
      <c r="C22" s="257"/>
      <c r="D22" s="57"/>
      <c r="E22" s="23"/>
      <c r="F22" s="58"/>
      <c r="G22" s="198"/>
      <c r="H22" s="57"/>
      <c r="I22" s="58"/>
      <c r="J22" s="212"/>
      <c r="K22" s="58"/>
    </row>
    <row r="23" spans="1:11" s="2" customFormat="1" ht="19.95" customHeight="1">
      <c r="A23" s="198">
        <v>10</v>
      </c>
      <c r="B23" s="57"/>
      <c r="C23" s="257"/>
      <c r="D23" s="57"/>
      <c r="E23" s="23"/>
      <c r="F23" s="58"/>
      <c r="G23" s="198"/>
      <c r="H23" s="57"/>
      <c r="I23" s="58"/>
      <c r="J23" s="212"/>
      <c r="K23" s="58"/>
    </row>
    <row r="24" spans="1:11" s="2" customFormat="1" ht="19.95" customHeight="1">
      <c r="A24" s="198" t="s">
        <v>292</v>
      </c>
      <c r="B24" s="57"/>
      <c r="C24" s="257"/>
      <c r="D24" s="57"/>
      <c r="E24" s="23"/>
      <c r="F24" s="58"/>
      <c r="G24" s="198"/>
      <c r="H24" s="57"/>
      <c r="I24" s="58"/>
      <c r="J24" s="212"/>
      <c r="K24" s="58"/>
    </row>
    <row r="25" spans="1:11" s="2" customFormat="1" ht="19.95" customHeight="1">
      <c r="A25" s="258" t="s">
        <v>293</v>
      </c>
      <c r="B25" s="259"/>
      <c r="C25" s="260"/>
      <c r="D25" s="259"/>
      <c r="E25" s="259"/>
      <c r="F25" s="259"/>
      <c r="G25" s="259"/>
      <c r="H25" s="259"/>
      <c r="I25" s="259"/>
      <c r="J25" s="261"/>
      <c r="K25" s="261"/>
    </row>
    <row r="26" spans="1:11" s="2" customFormat="1" ht="19.95" customHeight="1">
      <c r="A26" s="198">
        <v>1</v>
      </c>
      <c r="B26" s="57"/>
      <c r="C26" s="257"/>
      <c r="D26" s="57"/>
      <c r="E26" s="23"/>
      <c r="F26" s="58"/>
      <c r="G26" s="198"/>
      <c r="H26" s="57"/>
      <c r="I26" s="58"/>
      <c r="J26" s="212"/>
      <c r="K26" s="58"/>
    </row>
    <row r="27" spans="1:11" s="2" customFormat="1" ht="19.95" customHeight="1">
      <c r="A27" s="198">
        <v>2</v>
      </c>
      <c r="B27" s="57"/>
      <c r="C27" s="257"/>
      <c r="D27" s="57"/>
      <c r="E27" s="23"/>
      <c r="F27" s="58"/>
      <c r="G27" s="198"/>
      <c r="H27" s="57"/>
      <c r="I27" s="58"/>
      <c r="J27" s="212"/>
      <c r="K27" s="58"/>
    </row>
    <row r="28" spans="1:11" s="2" customFormat="1" ht="19.95" customHeight="1">
      <c r="A28" s="198">
        <v>3</v>
      </c>
      <c r="B28" s="57"/>
      <c r="C28" s="257"/>
      <c r="D28" s="57"/>
      <c r="E28" s="23"/>
      <c r="F28" s="58"/>
      <c r="G28" s="198"/>
      <c r="H28" s="57"/>
      <c r="I28" s="58"/>
      <c r="J28" s="212"/>
      <c r="K28" s="58"/>
    </row>
    <row r="29" spans="1:11" s="2" customFormat="1" ht="19.95" customHeight="1">
      <c r="A29" s="198">
        <v>4</v>
      </c>
      <c r="B29" s="57"/>
      <c r="C29" s="257"/>
      <c r="D29" s="57"/>
      <c r="E29" s="23"/>
      <c r="F29" s="58"/>
      <c r="G29" s="198"/>
      <c r="H29" s="57"/>
      <c r="I29" s="58"/>
      <c r="J29" s="307"/>
      <c r="K29" s="58"/>
    </row>
    <row r="30" spans="1:11" s="2" customFormat="1" ht="19.95" customHeight="1">
      <c r="A30" s="198">
        <v>5</v>
      </c>
      <c r="B30" s="57"/>
      <c r="C30" s="257"/>
      <c r="D30" s="57"/>
      <c r="E30" s="23"/>
      <c r="F30" s="58"/>
      <c r="G30" s="198"/>
      <c r="H30" s="57"/>
      <c r="I30" s="58"/>
      <c r="J30" s="307"/>
      <c r="K30" s="58"/>
    </row>
    <row r="31" spans="1:11" s="2" customFormat="1" ht="19.95" customHeight="1">
      <c r="A31" s="198">
        <v>6</v>
      </c>
      <c r="B31" s="57"/>
      <c r="C31" s="257"/>
      <c r="D31" s="57"/>
      <c r="E31" s="23"/>
      <c r="F31" s="58"/>
      <c r="G31" s="198"/>
      <c r="H31" s="57"/>
      <c r="I31" s="58"/>
      <c r="J31" s="307"/>
      <c r="K31" s="58"/>
    </row>
    <row r="32" spans="1:11" s="2" customFormat="1" ht="19.95" customHeight="1">
      <c r="A32" s="198">
        <v>7</v>
      </c>
      <c r="B32" s="57"/>
      <c r="C32" s="257"/>
      <c r="D32" s="57"/>
      <c r="E32" s="23"/>
      <c r="F32" s="58"/>
      <c r="G32" s="198"/>
      <c r="H32" s="57"/>
      <c r="I32" s="58"/>
      <c r="J32" s="307"/>
      <c r="K32" s="58"/>
    </row>
    <row r="33" spans="1:11" s="2" customFormat="1" ht="19.95" customHeight="1">
      <c r="A33" s="198">
        <v>8</v>
      </c>
      <c r="B33" s="57"/>
      <c r="C33" s="257"/>
      <c r="D33" s="57"/>
      <c r="E33" s="23"/>
      <c r="F33" s="58"/>
      <c r="G33" s="198"/>
      <c r="H33" s="57"/>
      <c r="I33" s="58"/>
      <c r="J33" s="212"/>
      <c r="K33" s="58"/>
    </row>
    <row r="34" spans="1:11" s="2" customFormat="1" ht="19.95" customHeight="1">
      <c r="A34" s="198">
        <v>9</v>
      </c>
      <c r="B34" s="57"/>
      <c r="C34" s="257"/>
      <c r="D34" s="57"/>
      <c r="E34" s="23"/>
      <c r="F34" s="58"/>
      <c r="G34" s="198"/>
      <c r="H34" s="57"/>
      <c r="I34" s="58"/>
      <c r="J34" s="212"/>
      <c r="K34" s="58"/>
    </row>
    <row r="35" spans="1:11" s="2" customFormat="1" ht="19.95" customHeight="1">
      <c r="A35" s="198">
        <v>10</v>
      </c>
      <c r="B35" s="57"/>
      <c r="C35" s="257"/>
      <c r="D35" s="57"/>
      <c r="E35" s="23"/>
      <c r="F35" s="58"/>
      <c r="G35" s="198"/>
      <c r="H35" s="57"/>
      <c r="I35" s="58"/>
      <c r="J35" s="212"/>
      <c r="K35" s="58"/>
    </row>
    <row r="36" spans="1:11" s="2" customFormat="1" ht="19.95" customHeight="1">
      <c r="A36" s="198" t="s">
        <v>292</v>
      </c>
      <c r="B36" s="57"/>
      <c r="C36" s="257"/>
      <c r="D36" s="57"/>
      <c r="E36" s="23"/>
      <c r="F36" s="58"/>
      <c r="G36" s="198"/>
      <c r="H36" s="57"/>
      <c r="I36" s="58"/>
      <c r="J36" s="212"/>
      <c r="K36" s="58"/>
    </row>
    <row r="37" spans="1:11" s="2" customFormat="1" ht="19.95" customHeight="1">
      <c r="A37" s="25" t="s">
        <v>294</v>
      </c>
      <c r="B37" s="24"/>
      <c r="C37" s="24"/>
      <c r="D37" s="24"/>
      <c r="E37" s="24"/>
      <c r="F37" s="24"/>
      <c r="G37" s="24"/>
      <c r="H37" s="24"/>
      <c r="I37" s="24"/>
      <c r="J37" s="24"/>
    </row>
    <row r="38" spans="1:11" s="2" customFormat="1" ht="19.95" customHeight="1"/>
    <row r="39" spans="1:11" s="2" customFormat="1" ht="19.95" customHeight="1"/>
    <row r="40" spans="1:11" s="2" customFormat="1" ht="19.95" customHeight="1">
      <c r="A40" s="14" t="s">
        <v>295</v>
      </c>
    </row>
    <row r="41" spans="1:11" s="2" customFormat="1" ht="19.95" customHeight="1"/>
    <row r="42" spans="1:11">
      <c r="A42" s="2"/>
      <c r="B42" s="2"/>
      <c r="C42" s="2"/>
      <c r="D42" s="2"/>
      <c r="E42" s="2"/>
      <c r="F42" s="2"/>
      <c r="G42" s="2"/>
      <c r="H42" s="2"/>
      <c r="I42" s="2"/>
      <c r="J42" s="2"/>
    </row>
    <row r="43" spans="1:11">
      <c r="A43" s="143"/>
      <c r="C43" s="2"/>
      <c r="D43" s="2"/>
      <c r="E43" s="2"/>
      <c r="F43" s="2"/>
      <c r="G43" s="2"/>
      <c r="H43" s="2"/>
      <c r="I43" s="2"/>
      <c r="J43" s="2"/>
    </row>
    <row r="44" spans="1:11">
      <c r="A44" s="2"/>
      <c r="B44" s="2"/>
      <c r="C44" s="2"/>
      <c r="D44" s="2"/>
      <c r="E44" s="2"/>
      <c r="F44" s="2"/>
      <c r="G44" s="2"/>
      <c r="H44" s="2"/>
      <c r="I44" s="2"/>
      <c r="J44" s="2"/>
    </row>
  </sheetData>
  <mergeCells count="8">
    <mergeCell ref="A1:K1"/>
    <mergeCell ref="A2:K2"/>
    <mergeCell ref="A10:K10"/>
    <mergeCell ref="A12:A13"/>
    <mergeCell ref="B12:F12"/>
    <mergeCell ref="G12:I12"/>
    <mergeCell ref="J12:J13"/>
    <mergeCell ref="K12:K13"/>
  </mergeCells>
  <phoneticPr fontId="76" type="noConversion"/>
  <dataValidations count="1">
    <dataValidation type="list" allowBlank="1" showInputMessage="1" showErrorMessage="1" sqref="J14:J24 J26:J36">
      <formula1>"√,×"</formula1>
    </dataValidation>
  </dataValidations>
  <hyperlinks>
    <hyperlink ref="K3" location="底稿目录!A1" display="底稿目录!A1"/>
  </hyperlinks>
  <printOptions horizontalCentered="1"/>
  <pageMargins left="0.74803149606299213" right="0.39370078740157483" top="0.59055118110236227" bottom="0.31496062992125984" header="0.51181102362204722" footer="0.23622047244094491"/>
  <pageSetup paperSize="9" scale="80" fitToHeight="2" orientation="portrait" blackAndWhite="1"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
  <sheetViews>
    <sheetView view="pageBreakPreview" zoomScaleNormal="130" zoomScaleSheetLayoutView="100" workbookViewId="0">
      <selection sqref="A1:K1"/>
    </sheetView>
  </sheetViews>
  <sheetFormatPr defaultColWidth="9.109375" defaultRowHeight="15.6"/>
  <cols>
    <col min="1" max="1" width="6.109375" style="5" customWidth="1"/>
    <col min="2" max="4" width="11.44140625" style="5" customWidth="1"/>
    <col min="5" max="5" width="9.5546875" style="5" customWidth="1"/>
    <col min="6" max="6" width="10" style="5" customWidth="1"/>
    <col min="7" max="7" width="14" style="5" customWidth="1"/>
    <col min="8" max="8" width="10.33203125" style="5" customWidth="1"/>
    <col min="9" max="9" width="12" style="5" customWidth="1"/>
    <col min="10" max="10" width="5.88671875" style="5" customWidth="1"/>
    <col min="11" max="11" width="11" style="5" customWidth="1"/>
    <col min="12" max="16384" width="9.109375" style="5"/>
  </cols>
  <sheetData>
    <row r="1" spans="1:12" s="30" customFormat="1" ht="19.95" customHeight="1">
      <c r="A1" s="344" t="s">
        <v>6</v>
      </c>
      <c r="B1" s="344"/>
      <c r="C1" s="344"/>
      <c r="D1" s="344"/>
      <c r="E1" s="344"/>
      <c r="F1" s="344"/>
      <c r="G1" s="344"/>
      <c r="H1" s="344"/>
      <c r="I1" s="344"/>
      <c r="J1" s="344"/>
      <c r="K1" s="344"/>
    </row>
    <row r="2" spans="1:12" s="30" customFormat="1" ht="19.95" customHeight="1">
      <c r="A2" s="345" t="s">
        <v>345</v>
      </c>
      <c r="B2" s="345"/>
      <c r="C2" s="345"/>
      <c r="D2" s="345"/>
      <c r="E2" s="345"/>
      <c r="F2" s="345"/>
      <c r="G2" s="345"/>
      <c r="H2" s="345"/>
      <c r="I2" s="345"/>
      <c r="J2" s="345"/>
      <c r="K2" s="345"/>
    </row>
    <row r="3" spans="1:12" s="2" customFormat="1" ht="19.95" customHeight="1">
      <c r="A3" s="6" t="str">
        <f>底稿目录!A2</f>
        <v>被审计单位：</v>
      </c>
      <c r="B3" s="6"/>
      <c r="C3" s="6"/>
      <c r="D3" s="6"/>
      <c r="E3" s="7" t="str">
        <f>底稿目录!A4</f>
        <v>编制人：</v>
      </c>
      <c r="H3" s="48" t="str">
        <f>底稿目录!A5</f>
        <v>编制日期：</v>
      </c>
      <c r="J3" s="53" t="s">
        <v>113</v>
      </c>
      <c r="K3" s="255" t="str">
        <f>底稿目录!D14</f>
        <v>K9-7</v>
      </c>
    </row>
    <row r="4" spans="1:12" s="2" customFormat="1" ht="19.95" customHeight="1">
      <c r="A4" s="6" t="str">
        <f>底稿目录!A3</f>
        <v>会计期间：202X年度</v>
      </c>
      <c r="B4" s="6"/>
      <c r="C4" s="6"/>
      <c r="D4" s="6"/>
      <c r="E4" s="7" t="str">
        <f>底稿目录!A6</f>
        <v>复核人：</v>
      </c>
      <c r="H4" s="48" t="str">
        <f>底稿目录!A7</f>
        <v>复核日期：</v>
      </c>
      <c r="J4" s="53" t="s">
        <v>296</v>
      </c>
    </row>
    <row r="5" spans="1:12" s="3" customFormat="1" ht="19.95" customHeight="1">
      <c r="A5" s="34" t="s">
        <v>297</v>
      </c>
      <c r="B5" s="34"/>
      <c r="C5" s="34"/>
      <c r="D5" s="34"/>
      <c r="E5" s="13"/>
      <c r="F5" s="13"/>
      <c r="G5" s="13"/>
      <c r="H5" s="13"/>
      <c r="I5" s="13"/>
      <c r="J5" s="13"/>
    </row>
    <row r="6" spans="1:12" s="3" customFormat="1" ht="19.95" customHeight="1">
      <c r="A6" s="262" t="s">
        <v>215</v>
      </c>
      <c r="B6" s="262"/>
      <c r="C6" s="54"/>
      <c r="D6" s="54"/>
      <c r="F6" s="54"/>
      <c r="G6" s="54"/>
      <c r="H6" s="33"/>
      <c r="I6" s="54"/>
      <c r="J6" s="54"/>
    </row>
    <row r="7" spans="1:12" s="3" customFormat="1" ht="19.95" customHeight="1">
      <c r="A7" s="34" t="s">
        <v>298</v>
      </c>
      <c r="B7" s="34"/>
      <c r="C7" s="34"/>
      <c r="D7" s="34"/>
      <c r="E7" s="34"/>
      <c r="F7" s="34"/>
      <c r="G7" s="34"/>
      <c r="H7" s="34"/>
      <c r="I7" s="34"/>
      <c r="J7" s="34"/>
    </row>
    <row r="8" spans="1:12" s="3" customFormat="1" ht="27.6" customHeight="1">
      <c r="A8" s="381" t="s">
        <v>299</v>
      </c>
      <c r="B8" s="381"/>
      <c r="C8" s="381"/>
      <c r="D8" s="381"/>
      <c r="E8" s="381"/>
      <c r="F8" s="381"/>
      <c r="G8" s="381"/>
      <c r="H8" s="381"/>
      <c r="I8" s="381"/>
      <c r="J8" s="381"/>
      <c r="K8" s="381"/>
    </row>
    <row r="9" spans="1:12" s="3" customFormat="1" ht="19.95" customHeight="1">
      <c r="A9" s="12" t="s">
        <v>300</v>
      </c>
      <c r="C9" s="13"/>
      <c r="D9" s="13"/>
      <c r="F9" s="11"/>
      <c r="G9" s="11"/>
      <c r="H9" s="11"/>
      <c r="I9" s="11"/>
      <c r="J9" s="11"/>
    </row>
    <row r="10" spans="1:12" s="3" customFormat="1" ht="28.8" customHeight="1">
      <c r="A10" s="375" t="s">
        <v>283</v>
      </c>
      <c r="B10" s="375"/>
      <c r="C10" s="375"/>
      <c r="D10" s="375"/>
      <c r="E10" s="375"/>
      <c r="F10" s="375"/>
      <c r="G10" s="375"/>
      <c r="H10" s="375"/>
      <c r="I10" s="375"/>
      <c r="J10" s="375"/>
      <c r="K10" s="375"/>
      <c r="L10" s="263"/>
    </row>
    <row r="11" spans="1:12" s="3" customFormat="1" ht="19.95" customHeight="1">
      <c r="A11" s="34" t="s">
        <v>301</v>
      </c>
      <c r="B11" s="34"/>
      <c r="C11" s="34"/>
      <c r="D11" s="34"/>
      <c r="E11" s="35"/>
      <c r="F11" s="35"/>
      <c r="G11" s="35"/>
      <c r="H11" s="56"/>
      <c r="I11" s="36"/>
    </row>
    <row r="12" spans="1:12" s="2" customFormat="1" ht="19.95" customHeight="1">
      <c r="A12" s="376" t="s">
        <v>16</v>
      </c>
      <c r="B12" s="376" t="s">
        <v>302</v>
      </c>
      <c r="C12" s="377"/>
      <c r="D12" s="377"/>
      <c r="E12" s="378" t="s">
        <v>303</v>
      </c>
      <c r="F12" s="379"/>
      <c r="G12" s="379"/>
      <c r="H12" s="379"/>
      <c r="I12" s="380"/>
      <c r="J12" s="341" t="s">
        <v>114</v>
      </c>
      <c r="K12" s="341" t="s">
        <v>304</v>
      </c>
    </row>
    <row r="13" spans="1:12" s="2" customFormat="1" ht="19.95" customHeight="1">
      <c r="A13" s="377"/>
      <c r="B13" s="217" t="s">
        <v>305</v>
      </c>
      <c r="C13" s="217" t="s">
        <v>306</v>
      </c>
      <c r="D13" s="217" t="s">
        <v>108</v>
      </c>
      <c r="E13" s="217" t="s">
        <v>288</v>
      </c>
      <c r="F13" s="217" t="s">
        <v>115</v>
      </c>
      <c r="G13" s="217" t="s">
        <v>147</v>
      </c>
      <c r="H13" s="217" t="s">
        <v>148</v>
      </c>
      <c r="I13" s="217" t="s">
        <v>307</v>
      </c>
      <c r="J13" s="351"/>
      <c r="K13" s="351"/>
    </row>
    <row r="14" spans="1:12" s="2" customFormat="1" ht="19.95" customHeight="1">
      <c r="A14" s="198">
        <v>1</v>
      </c>
      <c r="B14" s="198"/>
      <c r="C14" s="57"/>
      <c r="D14" s="58"/>
      <c r="E14" s="57"/>
      <c r="F14" s="257"/>
      <c r="G14" s="57"/>
      <c r="H14" s="23"/>
      <c r="I14" s="58"/>
      <c r="J14" s="212"/>
      <c r="K14" s="58"/>
    </row>
    <row r="15" spans="1:12" s="2" customFormat="1" ht="19.95" customHeight="1">
      <c r="A15" s="198">
        <v>2</v>
      </c>
      <c r="B15" s="198"/>
      <c r="C15" s="57"/>
      <c r="D15" s="58"/>
      <c r="E15" s="57"/>
      <c r="F15" s="257"/>
      <c r="G15" s="57"/>
      <c r="H15" s="23"/>
      <c r="I15" s="58"/>
      <c r="J15" s="212"/>
      <c r="K15" s="58"/>
    </row>
    <row r="16" spans="1:12" s="2" customFormat="1" ht="19.95" customHeight="1">
      <c r="A16" s="198">
        <v>3</v>
      </c>
      <c r="B16" s="198"/>
      <c r="C16" s="57"/>
      <c r="D16" s="58"/>
      <c r="E16" s="57"/>
      <c r="F16" s="257"/>
      <c r="G16" s="57"/>
      <c r="H16" s="23"/>
      <c r="I16" s="58"/>
      <c r="J16" s="212"/>
      <c r="K16" s="58"/>
    </row>
    <row r="17" spans="1:11" s="2" customFormat="1" ht="19.95" customHeight="1">
      <c r="A17" s="198">
        <v>4</v>
      </c>
      <c r="B17" s="198"/>
      <c r="C17" s="57"/>
      <c r="D17" s="58"/>
      <c r="E17" s="57"/>
      <c r="F17" s="257"/>
      <c r="G17" s="57"/>
      <c r="H17" s="23"/>
      <c r="I17" s="58"/>
      <c r="J17" s="307"/>
      <c r="K17" s="58"/>
    </row>
    <row r="18" spans="1:11" s="2" customFormat="1" ht="19.95" customHeight="1">
      <c r="A18" s="198">
        <v>5</v>
      </c>
      <c r="B18" s="198"/>
      <c r="C18" s="57"/>
      <c r="D18" s="58"/>
      <c r="E18" s="57"/>
      <c r="F18" s="257"/>
      <c r="G18" s="57"/>
      <c r="H18" s="23"/>
      <c r="I18" s="58"/>
      <c r="J18" s="307"/>
      <c r="K18" s="58"/>
    </row>
    <row r="19" spans="1:11" s="2" customFormat="1" ht="19.95" customHeight="1">
      <c r="A19" s="198">
        <v>6</v>
      </c>
      <c r="B19" s="198"/>
      <c r="C19" s="57"/>
      <c r="D19" s="58"/>
      <c r="E19" s="57"/>
      <c r="F19" s="257"/>
      <c r="G19" s="57"/>
      <c r="H19" s="23"/>
      <c r="I19" s="58"/>
      <c r="J19" s="307"/>
      <c r="K19" s="58"/>
    </row>
    <row r="20" spans="1:11" s="2" customFormat="1" ht="19.95" customHeight="1">
      <c r="A20" s="198">
        <v>7</v>
      </c>
      <c r="B20" s="198"/>
      <c r="C20" s="57"/>
      <c r="D20" s="58"/>
      <c r="E20" s="57"/>
      <c r="F20" s="257"/>
      <c r="G20" s="57"/>
      <c r="H20" s="23"/>
      <c r="I20" s="58"/>
      <c r="J20" s="307"/>
      <c r="K20" s="58"/>
    </row>
    <row r="21" spans="1:11" s="2" customFormat="1" ht="19.95" customHeight="1">
      <c r="A21" s="198">
        <v>8</v>
      </c>
      <c r="B21" s="198"/>
      <c r="C21" s="57"/>
      <c r="D21" s="58"/>
      <c r="E21" s="57"/>
      <c r="F21" s="257"/>
      <c r="G21" s="57"/>
      <c r="H21" s="23"/>
      <c r="I21" s="58"/>
      <c r="J21" s="212"/>
      <c r="K21" s="58"/>
    </row>
    <row r="22" spans="1:11" s="2" customFormat="1" ht="19.95" customHeight="1">
      <c r="A22" s="198">
        <v>9</v>
      </c>
      <c r="B22" s="198"/>
      <c r="C22" s="57"/>
      <c r="D22" s="58"/>
      <c r="E22" s="57"/>
      <c r="F22" s="257"/>
      <c r="G22" s="57"/>
      <c r="H22" s="23"/>
      <c r="I22" s="58"/>
      <c r="J22" s="212"/>
      <c r="K22" s="58"/>
    </row>
    <row r="23" spans="1:11" s="2" customFormat="1" ht="19.95" customHeight="1">
      <c r="A23" s="198">
        <v>10</v>
      </c>
      <c r="B23" s="264"/>
      <c r="C23" s="265"/>
      <c r="D23" s="266"/>
      <c r="E23" s="57"/>
      <c r="F23" s="257"/>
      <c r="G23" s="57"/>
      <c r="H23" s="23"/>
      <c r="I23" s="58"/>
      <c r="J23" s="214"/>
      <c r="K23" s="267"/>
    </row>
    <row r="24" spans="1:11" s="2" customFormat="1" ht="19.95" customHeight="1">
      <c r="A24" s="198" t="s">
        <v>308</v>
      </c>
      <c r="B24" s="264"/>
      <c r="C24" s="265"/>
      <c r="D24" s="266"/>
      <c r="E24" s="57"/>
      <c r="F24" s="257"/>
      <c r="G24" s="57"/>
      <c r="H24" s="23"/>
      <c r="I24" s="58"/>
      <c r="J24" s="214"/>
      <c r="K24" s="267"/>
    </row>
    <row r="25" spans="1:11" s="2" customFormat="1" ht="19.95" customHeight="1">
      <c r="A25" s="258" t="s">
        <v>309</v>
      </c>
      <c r="B25" s="259"/>
      <c r="C25" s="259"/>
      <c r="D25" s="259"/>
      <c r="E25" s="259"/>
      <c r="F25" s="259"/>
      <c r="G25" s="259"/>
      <c r="H25" s="259"/>
      <c r="I25" s="259"/>
      <c r="J25" s="261"/>
      <c r="K25" s="261"/>
    </row>
    <row r="26" spans="1:11" s="2" customFormat="1" ht="19.95" customHeight="1">
      <c r="A26" s="198">
        <v>1</v>
      </c>
      <c r="B26" s="198"/>
      <c r="C26" s="57"/>
      <c r="D26" s="58"/>
      <c r="E26" s="57"/>
      <c r="F26" s="257"/>
      <c r="G26" s="57"/>
      <c r="H26" s="23"/>
      <c r="I26" s="58"/>
      <c r="J26" s="212"/>
      <c r="K26" s="58"/>
    </row>
    <row r="27" spans="1:11" s="2" customFormat="1" ht="19.95" customHeight="1">
      <c r="A27" s="198">
        <v>2</v>
      </c>
      <c r="B27" s="198"/>
      <c r="C27" s="57"/>
      <c r="D27" s="58"/>
      <c r="E27" s="57"/>
      <c r="F27" s="257"/>
      <c r="G27" s="57"/>
      <c r="H27" s="23"/>
      <c r="I27" s="58"/>
      <c r="J27" s="212"/>
      <c r="K27" s="58"/>
    </row>
    <row r="28" spans="1:11" s="2" customFormat="1" ht="19.95" customHeight="1">
      <c r="A28" s="198">
        <v>3</v>
      </c>
      <c r="B28" s="198"/>
      <c r="C28" s="57"/>
      <c r="D28" s="58"/>
      <c r="E28" s="57"/>
      <c r="F28" s="257"/>
      <c r="G28" s="57"/>
      <c r="H28" s="23"/>
      <c r="I28" s="58"/>
      <c r="J28" s="212"/>
      <c r="K28" s="58"/>
    </row>
    <row r="29" spans="1:11" s="2" customFormat="1" ht="19.95" customHeight="1">
      <c r="A29" s="198">
        <v>4</v>
      </c>
      <c r="B29" s="198"/>
      <c r="C29" s="57"/>
      <c r="D29" s="58"/>
      <c r="E29" s="57"/>
      <c r="F29" s="257"/>
      <c r="G29" s="57"/>
      <c r="H29" s="23"/>
      <c r="I29" s="58"/>
      <c r="J29" s="307"/>
      <c r="K29" s="58"/>
    </row>
    <row r="30" spans="1:11" s="2" customFormat="1" ht="19.95" customHeight="1">
      <c r="A30" s="198">
        <v>5</v>
      </c>
      <c r="B30" s="198"/>
      <c r="C30" s="57"/>
      <c r="D30" s="58"/>
      <c r="E30" s="57"/>
      <c r="F30" s="257"/>
      <c r="G30" s="57"/>
      <c r="H30" s="23"/>
      <c r="I30" s="58"/>
      <c r="J30" s="307"/>
      <c r="K30" s="58"/>
    </row>
    <row r="31" spans="1:11" s="2" customFormat="1" ht="19.95" customHeight="1">
      <c r="A31" s="198">
        <v>6</v>
      </c>
      <c r="B31" s="198"/>
      <c r="C31" s="57"/>
      <c r="D31" s="58"/>
      <c r="E31" s="57"/>
      <c r="F31" s="257"/>
      <c r="G31" s="57"/>
      <c r="H31" s="23"/>
      <c r="I31" s="58"/>
      <c r="J31" s="307"/>
      <c r="K31" s="58"/>
    </row>
    <row r="32" spans="1:11" s="2" customFormat="1" ht="19.95" customHeight="1">
      <c r="A32" s="198">
        <v>7</v>
      </c>
      <c r="B32" s="198"/>
      <c r="C32" s="57"/>
      <c r="D32" s="58"/>
      <c r="E32" s="57"/>
      <c r="F32" s="257"/>
      <c r="G32" s="57"/>
      <c r="H32" s="23"/>
      <c r="I32" s="58"/>
      <c r="J32" s="307"/>
      <c r="K32" s="58"/>
    </row>
    <row r="33" spans="1:11" s="2" customFormat="1" ht="19.95" customHeight="1">
      <c r="A33" s="198">
        <v>8</v>
      </c>
      <c r="B33" s="198"/>
      <c r="C33" s="57"/>
      <c r="D33" s="58"/>
      <c r="E33" s="57"/>
      <c r="F33" s="257"/>
      <c r="G33" s="57"/>
      <c r="H33" s="23"/>
      <c r="I33" s="58"/>
      <c r="J33" s="212"/>
      <c r="K33" s="58"/>
    </row>
    <row r="34" spans="1:11" s="2" customFormat="1" ht="19.95" customHeight="1">
      <c r="A34" s="198">
        <v>9</v>
      </c>
      <c r="B34" s="198"/>
      <c r="C34" s="57"/>
      <c r="D34" s="58"/>
      <c r="E34" s="57"/>
      <c r="F34" s="257"/>
      <c r="G34" s="57"/>
      <c r="H34" s="23"/>
      <c r="I34" s="58"/>
      <c r="J34" s="212"/>
      <c r="K34" s="58"/>
    </row>
    <row r="35" spans="1:11" s="2" customFormat="1" ht="19.95" customHeight="1">
      <c r="A35" s="198">
        <v>10</v>
      </c>
      <c r="B35" s="198"/>
      <c r="C35" s="57"/>
      <c r="D35" s="58"/>
      <c r="E35" s="57"/>
      <c r="F35" s="257"/>
      <c r="G35" s="57"/>
      <c r="H35" s="23"/>
      <c r="I35" s="58"/>
      <c r="J35" s="212"/>
      <c r="K35" s="58"/>
    </row>
    <row r="36" spans="1:11" s="2" customFormat="1" ht="19.95" customHeight="1">
      <c r="A36" s="198" t="s">
        <v>310</v>
      </c>
      <c r="B36" s="198"/>
      <c r="C36" s="57"/>
      <c r="D36" s="58"/>
      <c r="E36" s="57"/>
      <c r="F36" s="257"/>
      <c r="G36" s="57"/>
      <c r="H36" s="23"/>
      <c r="I36" s="58"/>
      <c r="J36" s="212"/>
      <c r="K36" s="58"/>
    </row>
    <row r="37" spans="1:11" s="2" customFormat="1" ht="19.95" customHeight="1">
      <c r="A37" s="268" t="s">
        <v>311</v>
      </c>
      <c r="B37" s="268"/>
      <c r="C37" s="268"/>
      <c r="D37" s="268"/>
      <c r="E37" s="184"/>
      <c r="F37" s="184"/>
      <c r="G37" s="184"/>
      <c r="H37" s="184"/>
      <c r="I37" s="184"/>
      <c r="J37" s="184"/>
    </row>
    <row r="38" spans="1:11" s="2" customFormat="1" ht="19.95" customHeight="1"/>
    <row r="39" spans="1:11" s="2" customFormat="1" ht="19.95" customHeight="1"/>
    <row r="40" spans="1:11" s="2" customFormat="1" ht="19.95" customHeight="1">
      <c r="A40" s="14" t="s">
        <v>312</v>
      </c>
      <c r="B40" s="14"/>
      <c r="C40" s="14"/>
      <c r="D40" s="14"/>
    </row>
    <row r="41" spans="1:11" s="2" customFormat="1" ht="19.95" customHeight="1"/>
    <row r="42" spans="1:11">
      <c r="A42" s="2"/>
      <c r="B42" s="2"/>
      <c r="C42" s="2"/>
      <c r="D42" s="2"/>
      <c r="E42" s="2"/>
      <c r="F42" s="2"/>
      <c r="G42" s="2"/>
      <c r="H42" s="2"/>
      <c r="I42" s="2"/>
      <c r="J42" s="2"/>
    </row>
    <row r="43" spans="1:11">
      <c r="A43" s="143"/>
      <c r="B43" s="2"/>
      <c r="C43" s="2"/>
      <c r="D43" s="2"/>
      <c r="F43" s="2"/>
      <c r="G43" s="2"/>
      <c r="H43" s="2"/>
      <c r="I43" s="2"/>
      <c r="J43" s="2"/>
    </row>
    <row r="44" spans="1:11">
      <c r="A44" s="2"/>
      <c r="B44" s="2"/>
      <c r="C44" s="2"/>
      <c r="D44" s="2"/>
      <c r="E44" s="2"/>
      <c r="F44" s="2"/>
      <c r="G44" s="2"/>
      <c r="H44" s="2"/>
      <c r="I44" s="2"/>
      <c r="J44" s="2"/>
    </row>
  </sheetData>
  <mergeCells count="9">
    <mergeCell ref="A1:K1"/>
    <mergeCell ref="A2:K2"/>
    <mergeCell ref="A8:K8"/>
    <mergeCell ref="A10:K10"/>
    <mergeCell ref="A12:A13"/>
    <mergeCell ref="B12:D12"/>
    <mergeCell ref="E12:I12"/>
    <mergeCell ref="J12:J13"/>
    <mergeCell ref="K12:K13"/>
  </mergeCells>
  <phoneticPr fontId="60" type="noConversion"/>
  <dataValidations count="1">
    <dataValidation type="list" allowBlank="1" showInputMessage="1" showErrorMessage="1" sqref="J14:J24 J26:J36">
      <formula1>"√,×"</formula1>
    </dataValidation>
  </dataValidations>
  <hyperlinks>
    <hyperlink ref="K3" location="底稿目录!A1" display="底稿目录!A1"/>
  </hyperlinks>
  <printOptions horizontalCentered="1"/>
  <pageMargins left="0.74803149606299213" right="0.39370078740157483" top="0.59055118110236227" bottom="0.31496062992125984" header="0.51181102362204722" footer="0.23622047244094491"/>
  <pageSetup paperSize="9" scale="80" fitToHeight="2" orientation="portrait" blackAndWhite="1" r:id="rId1"/>
  <headerFooter alignWithMargins="0">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0"/>
  <sheetViews>
    <sheetView view="pageBreakPreview" zoomScaleSheetLayoutView="100" workbookViewId="0">
      <selection activeCell="Q3" sqref="Q3"/>
    </sheetView>
  </sheetViews>
  <sheetFormatPr defaultColWidth="9.109375" defaultRowHeight="15.6"/>
  <cols>
    <col min="1" max="1" width="9.88671875" style="5" customWidth="1"/>
    <col min="2" max="2" width="9.5546875" style="5" bestFit="1" customWidth="1"/>
    <col min="3" max="3" width="9.109375" style="5"/>
    <col min="4" max="4" width="16.5546875" style="5" customWidth="1"/>
    <col min="5" max="5" width="12.77734375" style="5" customWidth="1"/>
    <col min="6" max="6" width="13.88671875" style="5" customWidth="1"/>
    <col min="7" max="7" width="11.77734375" style="5" customWidth="1"/>
    <col min="8" max="8" width="13.77734375" style="5" customWidth="1"/>
    <col min="9" max="9" width="23.33203125" style="5" customWidth="1"/>
    <col min="10" max="14" width="4.44140625" style="5" customWidth="1"/>
    <col min="15" max="15" width="9.6640625" style="5" customWidth="1"/>
    <col min="16" max="16" width="7.77734375" style="5" customWidth="1"/>
    <col min="17" max="16384" width="9.109375" style="5"/>
  </cols>
  <sheetData>
    <row r="1" spans="1:17" s="1" customFormat="1" ht="19.95" customHeight="1">
      <c r="A1" s="371" t="s">
        <v>6</v>
      </c>
      <c r="B1" s="371"/>
      <c r="C1" s="371"/>
      <c r="D1" s="371"/>
      <c r="E1" s="371"/>
      <c r="F1" s="371"/>
      <c r="G1" s="371"/>
      <c r="H1" s="371"/>
      <c r="I1" s="371"/>
      <c r="J1" s="371"/>
      <c r="K1" s="371"/>
      <c r="L1" s="371"/>
      <c r="M1" s="371"/>
      <c r="N1" s="371"/>
      <c r="O1" s="371"/>
      <c r="P1" s="371"/>
      <c r="Q1" s="371"/>
    </row>
    <row r="2" spans="1:17" s="1" customFormat="1" ht="19.95" customHeight="1">
      <c r="A2" s="373" t="s">
        <v>346</v>
      </c>
      <c r="B2" s="373"/>
      <c r="C2" s="373"/>
      <c r="D2" s="373"/>
      <c r="E2" s="373"/>
      <c r="F2" s="373"/>
      <c r="G2" s="373"/>
      <c r="H2" s="373"/>
      <c r="I2" s="373"/>
      <c r="J2" s="373"/>
      <c r="K2" s="373"/>
      <c r="L2" s="373"/>
      <c r="M2" s="373"/>
      <c r="N2" s="373"/>
      <c r="O2" s="373"/>
      <c r="P2" s="373"/>
      <c r="Q2" s="373"/>
    </row>
    <row r="3" spans="1:17" s="2" customFormat="1" ht="19.95" customHeight="1">
      <c r="A3" s="6" t="str">
        <f>底稿目录!A2</f>
        <v>被审计单位：</v>
      </c>
      <c r="B3" s="6"/>
      <c r="C3" s="6"/>
      <c r="F3" s="7" t="str">
        <f>底稿目录!A4</f>
        <v>编制人：</v>
      </c>
      <c r="I3" s="48" t="str">
        <f>底稿目录!A5</f>
        <v>编制日期：</v>
      </c>
      <c r="J3" s="42"/>
      <c r="K3" s="42"/>
      <c r="P3" s="53" t="s">
        <v>313</v>
      </c>
      <c r="Q3" s="255" t="str">
        <f>底稿目录!D15</f>
        <v>K9-8</v>
      </c>
    </row>
    <row r="4" spans="1:17" s="2" customFormat="1" ht="19.95" customHeight="1">
      <c r="A4" s="6" t="str">
        <f>底稿目录!A3</f>
        <v>会计期间：202X年度</v>
      </c>
      <c r="B4" s="6"/>
      <c r="C4" s="8"/>
      <c r="F4" s="7" t="str">
        <f>底稿目录!A6</f>
        <v>复核人：</v>
      </c>
      <c r="I4" s="48" t="str">
        <f>底稿目录!A7</f>
        <v>复核日期：</v>
      </c>
      <c r="J4" s="42"/>
      <c r="K4" s="42"/>
      <c r="P4" s="53" t="s">
        <v>314</v>
      </c>
      <c r="Q4" s="28"/>
    </row>
    <row r="5" spans="1:17" s="3" customFormat="1" ht="19.95" customHeight="1">
      <c r="A5" s="9" t="s">
        <v>315</v>
      </c>
      <c r="B5" s="9"/>
      <c r="C5" s="10"/>
      <c r="D5" s="10"/>
      <c r="E5" s="10"/>
      <c r="F5" s="10"/>
      <c r="G5" s="10"/>
      <c r="H5" s="10"/>
      <c r="I5" s="10"/>
      <c r="J5" s="10"/>
      <c r="K5" s="10"/>
      <c r="L5" s="10"/>
    </row>
    <row r="6" spans="1:17" s="3" customFormat="1" ht="19.95" customHeight="1">
      <c r="A6" s="178" t="s">
        <v>347</v>
      </c>
      <c r="B6" s="178"/>
      <c r="C6" s="2"/>
      <c r="D6" s="2"/>
      <c r="E6" s="2"/>
      <c r="F6" s="2"/>
      <c r="G6" s="2"/>
      <c r="H6" s="2"/>
      <c r="I6" s="2"/>
      <c r="J6" s="2"/>
      <c r="K6" s="2"/>
      <c r="M6" s="49"/>
    </row>
    <row r="7" spans="1:17" s="3" customFormat="1" ht="19.95" customHeight="1">
      <c r="A7" s="178" t="s">
        <v>371</v>
      </c>
      <c r="B7" s="178"/>
      <c r="C7" s="2"/>
      <c r="D7" s="2"/>
      <c r="E7" s="2"/>
      <c r="F7" s="2"/>
      <c r="G7" s="2"/>
      <c r="H7" s="2"/>
      <c r="I7" s="2"/>
      <c r="J7" s="2"/>
      <c r="K7" s="2"/>
      <c r="M7" s="49"/>
    </row>
    <row r="8" spans="1:17" s="3" customFormat="1" ht="19.95" customHeight="1">
      <c r="A8" s="9" t="s">
        <v>316</v>
      </c>
      <c r="B8" s="9"/>
      <c r="C8" s="10"/>
      <c r="D8" s="10"/>
      <c r="E8" s="186"/>
      <c r="F8" s="10"/>
      <c r="G8" s="10"/>
      <c r="H8" s="10"/>
      <c r="I8" s="10"/>
      <c r="J8" s="10"/>
      <c r="K8" s="10"/>
      <c r="L8" s="10"/>
    </row>
    <row r="9" spans="1:17" s="3" customFormat="1" ht="19.95" customHeight="1">
      <c r="A9" s="186" t="s">
        <v>317</v>
      </c>
      <c r="B9" s="186"/>
      <c r="C9" s="10"/>
      <c r="D9" s="10"/>
      <c r="E9" s="186"/>
      <c r="F9" s="10"/>
      <c r="G9" s="10"/>
      <c r="H9" s="10"/>
      <c r="I9" s="10"/>
      <c r="J9" s="10"/>
      <c r="K9" s="10"/>
      <c r="L9" s="10"/>
    </row>
    <row r="10" spans="1:17" s="3" customFormat="1" ht="19.95" customHeight="1">
      <c r="A10" s="269" t="s">
        <v>318</v>
      </c>
      <c r="B10" s="270" t="s">
        <v>319</v>
      </c>
      <c r="C10" s="271"/>
      <c r="D10" s="271"/>
      <c r="E10" s="271"/>
      <c r="F10" s="269"/>
      <c r="G10" s="269" t="s">
        <v>320</v>
      </c>
      <c r="H10" s="270" t="s">
        <v>321</v>
      </c>
      <c r="I10" s="271"/>
      <c r="J10" s="272"/>
      <c r="K10" s="272"/>
      <c r="L10" s="272"/>
      <c r="M10" s="273"/>
      <c r="N10" s="273"/>
      <c r="O10" s="273"/>
      <c r="P10" s="273"/>
      <c r="Q10" s="273"/>
    </row>
    <row r="11" spans="1:17" s="3" customFormat="1" ht="19.95" customHeight="1">
      <c r="A11" s="269" t="s">
        <v>322</v>
      </c>
      <c r="B11" s="270" t="s">
        <v>323</v>
      </c>
      <c r="C11" s="271"/>
      <c r="D11" s="271"/>
      <c r="E11" s="271"/>
      <c r="F11" s="269"/>
      <c r="G11" s="269" t="s">
        <v>236</v>
      </c>
      <c r="H11" s="270" t="s">
        <v>237</v>
      </c>
      <c r="I11" s="270" t="s">
        <v>324</v>
      </c>
      <c r="J11" s="272"/>
      <c r="K11" s="272"/>
      <c r="L11" s="274"/>
      <c r="M11" s="273"/>
      <c r="N11" s="273"/>
      <c r="O11" s="273"/>
      <c r="P11" s="273"/>
      <c r="Q11" s="273"/>
    </row>
    <row r="12" spans="1:17" s="3" customFormat="1" ht="19.95" customHeight="1">
      <c r="A12" s="269" t="s">
        <v>325</v>
      </c>
      <c r="B12" s="315" t="s">
        <v>387</v>
      </c>
      <c r="C12" s="271"/>
      <c r="D12" s="271"/>
      <c r="E12" s="271"/>
      <c r="F12" s="269"/>
      <c r="G12" s="269" t="s">
        <v>238</v>
      </c>
      <c r="H12" s="270" t="s">
        <v>326</v>
      </c>
      <c r="I12" s="271"/>
      <c r="J12" s="272"/>
      <c r="K12" s="272"/>
      <c r="L12" s="274"/>
      <c r="M12" s="273"/>
      <c r="N12" s="273"/>
      <c r="O12" s="273"/>
      <c r="P12" s="273"/>
      <c r="Q12" s="273"/>
    </row>
    <row r="13" spans="1:17" s="3" customFormat="1" ht="19.95" customHeight="1">
      <c r="A13" s="275" t="s">
        <v>327</v>
      </c>
      <c r="B13" s="275"/>
      <c r="C13" s="276"/>
      <c r="D13" s="276"/>
      <c r="E13" s="277"/>
      <c r="F13" s="216"/>
      <c r="G13" s="216"/>
      <c r="H13" s="273"/>
      <c r="I13" s="273"/>
      <c r="J13" s="273"/>
      <c r="K13" s="273"/>
      <c r="L13" s="273"/>
      <c r="M13" s="273"/>
      <c r="N13" s="273"/>
      <c r="O13" s="273"/>
      <c r="P13" s="273"/>
      <c r="Q13" s="273"/>
    </row>
    <row r="14" spans="1:17" s="3" customFormat="1" ht="19.95" customHeight="1">
      <c r="A14" s="278" t="s">
        <v>328</v>
      </c>
      <c r="B14" s="15"/>
      <c r="C14" s="276"/>
      <c r="D14" s="276"/>
      <c r="E14" s="277"/>
      <c r="F14" s="216"/>
      <c r="G14" s="216"/>
      <c r="H14" s="273"/>
      <c r="I14" s="16"/>
      <c r="J14" s="16"/>
      <c r="K14" s="16"/>
      <c r="L14" s="16"/>
      <c r="M14" s="16"/>
      <c r="N14" s="16"/>
      <c r="O14" s="16"/>
      <c r="P14" s="16"/>
    </row>
    <row r="15" spans="1:17" s="2" customFormat="1" ht="19.95" customHeight="1">
      <c r="A15" s="343" t="s">
        <v>329</v>
      </c>
      <c r="B15" s="393" t="s">
        <v>330</v>
      </c>
      <c r="C15" s="393"/>
      <c r="D15" s="393"/>
      <c r="E15" s="393"/>
      <c r="F15" s="393"/>
      <c r="G15" s="393"/>
      <c r="H15" s="392" t="s">
        <v>331</v>
      </c>
      <c r="I15" s="392"/>
      <c r="J15" s="388" t="s">
        <v>332</v>
      </c>
      <c r="K15" s="388"/>
      <c r="L15" s="388"/>
      <c r="M15" s="388"/>
      <c r="N15" s="388"/>
      <c r="O15" s="389" t="s">
        <v>333</v>
      </c>
      <c r="P15" s="389" t="s">
        <v>334</v>
      </c>
      <c r="Q15" s="390" t="s">
        <v>335</v>
      </c>
    </row>
    <row r="16" spans="1:17" s="2" customFormat="1" ht="19.95" customHeight="1">
      <c r="A16" s="343"/>
      <c r="B16" s="279" t="s">
        <v>288</v>
      </c>
      <c r="C16" s="279" t="s">
        <v>115</v>
      </c>
      <c r="D16" s="279" t="s">
        <v>336</v>
      </c>
      <c r="E16" s="279" t="s">
        <v>337</v>
      </c>
      <c r="F16" s="279" t="s">
        <v>338</v>
      </c>
      <c r="G16" s="306" t="s">
        <v>339</v>
      </c>
      <c r="H16" s="392"/>
      <c r="I16" s="392"/>
      <c r="J16" s="280">
        <v>1</v>
      </c>
      <c r="K16" s="280">
        <v>2</v>
      </c>
      <c r="L16" s="280">
        <v>3</v>
      </c>
      <c r="M16" s="280">
        <v>4</v>
      </c>
      <c r="N16" s="280">
        <v>5</v>
      </c>
      <c r="O16" s="389"/>
      <c r="P16" s="389"/>
      <c r="Q16" s="391"/>
    </row>
    <row r="17" spans="1:17" s="2" customFormat="1" ht="19.95" customHeight="1">
      <c r="A17" s="20"/>
      <c r="B17" s="57"/>
      <c r="C17" s="198"/>
      <c r="D17" s="22"/>
      <c r="E17" s="21"/>
      <c r="F17" s="21"/>
      <c r="G17" s="200"/>
      <c r="H17" s="385" t="s">
        <v>340</v>
      </c>
      <c r="I17" s="386"/>
      <c r="J17" s="281"/>
      <c r="K17" s="281"/>
      <c r="L17" s="281"/>
      <c r="M17" s="281"/>
      <c r="N17" s="281"/>
      <c r="O17" s="282"/>
      <c r="P17" s="283"/>
      <c r="Q17" s="283"/>
    </row>
    <row r="18" spans="1:17" s="2" customFormat="1" ht="19.95" customHeight="1">
      <c r="A18" s="20"/>
      <c r="B18" s="57"/>
      <c r="C18" s="198"/>
      <c r="D18" s="22"/>
      <c r="E18" s="21"/>
      <c r="F18" s="21"/>
      <c r="G18" s="200"/>
      <c r="H18" s="385"/>
      <c r="I18" s="386"/>
      <c r="J18" s="281"/>
      <c r="K18" s="281"/>
      <c r="L18" s="281"/>
      <c r="M18" s="281"/>
      <c r="N18" s="281"/>
      <c r="O18" s="282"/>
      <c r="P18" s="283"/>
      <c r="Q18" s="283"/>
    </row>
    <row r="19" spans="1:17" s="2" customFormat="1" ht="19.95" customHeight="1">
      <c r="A19" s="20"/>
      <c r="B19" s="57"/>
      <c r="C19" s="198"/>
      <c r="D19" s="22"/>
      <c r="E19" s="21"/>
      <c r="F19" s="21"/>
      <c r="G19" s="200"/>
      <c r="H19" s="385"/>
      <c r="I19" s="386"/>
      <c r="J19" s="281"/>
      <c r="K19" s="281"/>
      <c r="L19" s="281"/>
      <c r="M19" s="281"/>
      <c r="N19" s="281"/>
      <c r="O19" s="282"/>
      <c r="P19" s="283"/>
      <c r="Q19" s="283"/>
    </row>
    <row r="20" spans="1:17" s="2" customFormat="1" ht="19.95" customHeight="1">
      <c r="A20" s="20"/>
      <c r="B20" s="57"/>
      <c r="C20" s="198"/>
      <c r="D20" s="22"/>
      <c r="E20" s="21"/>
      <c r="F20" s="21"/>
      <c r="G20" s="200"/>
      <c r="H20" s="385"/>
      <c r="I20" s="386"/>
      <c r="J20" s="281"/>
      <c r="K20" s="281"/>
      <c r="L20" s="281"/>
      <c r="M20" s="281"/>
      <c r="N20" s="281"/>
      <c r="O20" s="282"/>
      <c r="P20" s="283"/>
      <c r="Q20" s="283"/>
    </row>
    <row r="21" spans="1:17" s="2" customFormat="1" ht="19.95" customHeight="1">
      <c r="A21" s="20"/>
      <c r="B21" s="57"/>
      <c r="C21" s="198"/>
      <c r="D21" s="22"/>
      <c r="E21" s="21"/>
      <c r="F21" s="21"/>
      <c r="G21" s="200"/>
      <c r="H21" s="385"/>
      <c r="I21" s="386"/>
      <c r="J21" s="281"/>
      <c r="K21" s="281"/>
      <c r="L21" s="281"/>
      <c r="M21" s="281"/>
      <c r="N21" s="281"/>
      <c r="O21" s="282"/>
      <c r="P21" s="283"/>
      <c r="Q21" s="283"/>
    </row>
    <row r="22" spans="1:17" s="2" customFormat="1" ht="19.95" customHeight="1">
      <c r="A22" s="20"/>
      <c r="B22" s="57"/>
      <c r="C22" s="198"/>
      <c r="D22" s="22"/>
      <c r="E22" s="21"/>
      <c r="F22" s="21"/>
      <c r="G22" s="200"/>
      <c r="H22" s="385"/>
      <c r="I22" s="386"/>
      <c r="J22" s="281"/>
      <c r="K22" s="281"/>
      <c r="L22" s="281"/>
      <c r="M22" s="281"/>
      <c r="N22" s="281"/>
      <c r="O22" s="282"/>
      <c r="P22" s="283"/>
      <c r="Q22" s="283"/>
    </row>
    <row r="23" spans="1:17" s="2" customFormat="1" ht="19.95" customHeight="1">
      <c r="A23" s="20"/>
      <c r="B23" s="57"/>
      <c r="C23" s="198"/>
      <c r="D23" s="22"/>
      <c r="E23" s="21"/>
      <c r="F23" s="21"/>
      <c r="G23" s="200"/>
      <c r="H23" s="385"/>
      <c r="I23" s="386"/>
      <c r="J23" s="281"/>
      <c r="K23" s="281"/>
      <c r="L23" s="281"/>
      <c r="M23" s="281"/>
      <c r="N23" s="281"/>
      <c r="O23" s="282"/>
      <c r="P23" s="283"/>
      <c r="Q23" s="283"/>
    </row>
    <row r="24" spans="1:17" s="2" customFormat="1" ht="19.95" customHeight="1">
      <c r="A24" s="20"/>
      <c r="B24" s="57"/>
      <c r="C24" s="198"/>
      <c r="D24" s="22"/>
      <c r="E24" s="21"/>
      <c r="F24" s="21"/>
      <c r="G24" s="200"/>
      <c r="H24" s="385"/>
      <c r="I24" s="386"/>
      <c r="J24" s="281"/>
      <c r="K24" s="281"/>
      <c r="L24" s="281"/>
      <c r="M24" s="281"/>
      <c r="N24" s="281"/>
      <c r="O24" s="282"/>
      <c r="P24" s="283"/>
      <c r="Q24" s="283"/>
    </row>
    <row r="25" spans="1:17" s="2" customFormat="1" ht="19.95" customHeight="1">
      <c r="A25" s="20"/>
      <c r="B25" s="57"/>
      <c r="C25" s="198"/>
      <c r="D25" s="22"/>
      <c r="E25" s="21"/>
      <c r="F25" s="21"/>
      <c r="G25" s="200"/>
      <c r="H25" s="385"/>
      <c r="I25" s="386"/>
      <c r="J25" s="281"/>
      <c r="K25" s="281"/>
      <c r="L25" s="281"/>
      <c r="M25" s="281"/>
      <c r="N25" s="281"/>
      <c r="O25" s="282"/>
      <c r="P25" s="283"/>
      <c r="Q25" s="283"/>
    </row>
    <row r="26" spans="1:17" s="2" customFormat="1" ht="19.95" customHeight="1">
      <c r="A26" s="20"/>
      <c r="B26" s="57"/>
      <c r="C26" s="198"/>
      <c r="D26" s="22"/>
      <c r="E26" s="21"/>
      <c r="F26" s="21"/>
      <c r="G26" s="200"/>
      <c r="H26" s="385"/>
      <c r="I26" s="386"/>
      <c r="J26" s="281"/>
      <c r="K26" s="281"/>
      <c r="L26" s="281"/>
      <c r="M26" s="281"/>
      <c r="N26" s="281"/>
      <c r="O26" s="282"/>
      <c r="P26" s="283"/>
      <c r="Q26" s="283"/>
    </row>
    <row r="27" spans="1:17" s="2" customFormat="1" ht="19.95" customHeight="1">
      <c r="A27" s="20"/>
      <c r="B27" s="57"/>
      <c r="C27" s="198"/>
      <c r="D27" s="22"/>
      <c r="E27" s="21"/>
      <c r="F27" s="21"/>
      <c r="G27" s="200"/>
      <c r="H27" s="385"/>
      <c r="I27" s="386"/>
      <c r="J27" s="281"/>
      <c r="K27" s="281"/>
      <c r="L27" s="281"/>
      <c r="M27" s="281"/>
      <c r="N27" s="281"/>
      <c r="O27" s="282"/>
      <c r="P27" s="283"/>
      <c r="Q27" s="283"/>
    </row>
    <row r="28" spans="1:17" s="2" customFormat="1" ht="19.95" customHeight="1">
      <c r="A28" s="20"/>
      <c r="B28" s="57"/>
      <c r="C28" s="198"/>
      <c r="D28" s="22"/>
      <c r="E28" s="21"/>
      <c r="F28" s="21"/>
      <c r="G28" s="200"/>
      <c r="H28" s="385"/>
      <c r="I28" s="386"/>
      <c r="J28" s="281"/>
      <c r="K28" s="281"/>
      <c r="L28" s="281"/>
      <c r="M28" s="281"/>
      <c r="N28" s="281"/>
      <c r="O28" s="282"/>
      <c r="P28" s="283"/>
      <c r="Q28" s="283"/>
    </row>
    <row r="29" spans="1:17" s="2" customFormat="1" ht="19.95" customHeight="1">
      <c r="A29" s="20"/>
      <c r="B29" s="57"/>
      <c r="C29" s="198"/>
      <c r="D29" s="22"/>
      <c r="E29" s="21"/>
      <c r="F29" s="21"/>
      <c r="G29" s="200"/>
      <c r="H29" s="385"/>
      <c r="I29" s="386"/>
      <c r="J29" s="281"/>
      <c r="K29" s="281"/>
      <c r="L29" s="281"/>
      <c r="M29" s="281"/>
      <c r="N29" s="281"/>
      <c r="O29" s="282"/>
      <c r="P29" s="283"/>
      <c r="Q29" s="283"/>
    </row>
    <row r="30" spans="1:17" s="2" customFormat="1" ht="19.95" customHeight="1">
      <c r="A30" s="20"/>
      <c r="B30" s="57"/>
      <c r="C30" s="198"/>
      <c r="D30" s="22"/>
      <c r="E30" s="21"/>
      <c r="F30" s="21"/>
      <c r="G30" s="200"/>
      <c r="H30" s="385"/>
      <c r="I30" s="386"/>
      <c r="J30" s="281"/>
      <c r="K30" s="281"/>
      <c r="L30" s="281"/>
      <c r="M30" s="281"/>
      <c r="N30" s="281"/>
      <c r="O30" s="282"/>
      <c r="P30" s="283"/>
      <c r="Q30" s="283"/>
    </row>
    <row r="31" spans="1:17" s="289" customFormat="1" ht="19.95" customHeight="1">
      <c r="A31" s="382" t="s">
        <v>341</v>
      </c>
      <c r="B31" s="382"/>
      <c r="C31" s="382"/>
      <c r="D31" s="382"/>
      <c r="E31" s="284"/>
      <c r="F31" s="284"/>
      <c r="G31" s="285">
        <f>SUM(G17:G30)</f>
        <v>0</v>
      </c>
      <c r="H31" s="387"/>
      <c r="I31" s="387"/>
      <c r="J31" s="287"/>
      <c r="K31" s="287"/>
      <c r="L31" s="287"/>
      <c r="M31" s="287"/>
      <c r="N31" s="287"/>
      <c r="O31" s="286"/>
      <c r="P31" s="288"/>
      <c r="Q31" s="288"/>
    </row>
    <row r="32" spans="1:17" s="289" customFormat="1" ht="19.95" customHeight="1">
      <c r="A32" s="382" t="s">
        <v>388</v>
      </c>
      <c r="B32" s="382"/>
      <c r="C32" s="382"/>
      <c r="D32" s="382"/>
      <c r="E32" s="284"/>
      <c r="F32" s="284"/>
      <c r="G32" s="285">
        <f>'明细表K9-2'!Q29</f>
        <v>0</v>
      </c>
      <c r="H32" s="383"/>
      <c r="I32" s="384"/>
      <c r="J32" s="287"/>
      <c r="K32" s="287"/>
      <c r="L32" s="287"/>
      <c r="M32" s="287"/>
      <c r="N32" s="287"/>
      <c r="O32" s="286"/>
      <c r="P32" s="288"/>
      <c r="Q32" s="288"/>
    </row>
    <row r="33" spans="1:17" s="289" customFormat="1" ht="19.95" customHeight="1">
      <c r="A33" s="382" t="s">
        <v>389</v>
      </c>
      <c r="B33" s="382"/>
      <c r="C33" s="382"/>
      <c r="D33" s="382"/>
      <c r="E33" s="284"/>
      <c r="F33" s="284"/>
      <c r="G33" s="318" t="e">
        <f>G31/G32</f>
        <v>#DIV/0!</v>
      </c>
      <c r="H33" s="383"/>
      <c r="I33" s="384"/>
      <c r="J33" s="287"/>
      <c r="K33" s="287"/>
      <c r="L33" s="287"/>
      <c r="M33" s="287"/>
      <c r="N33" s="287"/>
      <c r="O33" s="286"/>
      <c r="P33" s="288"/>
      <c r="Q33" s="288"/>
    </row>
    <row r="34" spans="1:17" s="2" customFormat="1" ht="19.95" customHeight="1">
      <c r="A34" s="275" t="s">
        <v>342</v>
      </c>
      <c r="B34" s="275"/>
      <c r="C34" s="184"/>
      <c r="D34" s="184"/>
      <c r="E34" s="184"/>
      <c r="F34" s="184"/>
      <c r="G34" s="184"/>
      <c r="H34" s="268"/>
      <c r="I34" s="189"/>
      <c r="J34" s="189"/>
      <c r="K34" s="213"/>
      <c r="L34" s="316"/>
      <c r="M34" s="316"/>
      <c r="N34" s="316"/>
      <c r="O34" s="316"/>
      <c r="P34" s="317"/>
    </row>
    <row r="35" spans="1:17" s="2" customFormat="1" ht="19.95" customHeight="1">
      <c r="A35" s="333" t="s">
        <v>398</v>
      </c>
      <c r="I35" s="189"/>
      <c r="J35" s="189"/>
      <c r="K35" s="27"/>
      <c r="L35" s="27"/>
      <c r="M35" s="27"/>
      <c r="N35" s="27"/>
      <c r="O35" s="27"/>
      <c r="P35" s="213"/>
    </row>
    <row r="36" spans="1:17" s="4" customFormat="1" ht="19.95" customHeight="1">
      <c r="I36" s="189"/>
      <c r="J36" s="189"/>
      <c r="K36" s="210"/>
      <c r="L36" s="210"/>
      <c r="M36" s="210"/>
      <c r="N36" s="210"/>
      <c r="O36" s="210"/>
      <c r="P36" s="210"/>
    </row>
    <row r="37" spans="1:17" s="2" customFormat="1" ht="19.95" customHeight="1">
      <c r="A37" s="14" t="s">
        <v>343</v>
      </c>
      <c r="B37" s="14"/>
      <c r="J37" s="213"/>
      <c r="K37" s="213"/>
      <c r="L37" s="213"/>
      <c r="M37" s="213"/>
      <c r="N37" s="213"/>
      <c r="O37" s="213"/>
      <c r="P37" s="213"/>
    </row>
    <row r="38" spans="1:17" s="2" customFormat="1" ht="19.95" customHeight="1">
      <c r="J38" s="213"/>
      <c r="K38" s="213"/>
      <c r="L38" s="213"/>
      <c r="M38" s="213"/>
      <c r="N38" s="213"/>
      <c r="O38" s="213"/>
      <c r="P38" s="213"/>
    </row>
    <row r="39" spans="1:17" s="2" customFormat="1" ht="18" customHeight="1">
      <c r="A39" s="27"/>
      <c r="B39" s="27"/>
      <c r="D39" s="213"/>
      <c r="E39" s="213"/>
      <c r="F39" s="213"/>
      <c r="G39" s="213"/>
      <c r="H39" s="213"/>
      <c r="I39" s="213"/>
      <c r="J39" s="213"/>
      <c r="K39" s="213"/>
      <c r="L39" s="213"/>
      <c r="M39" s="213"/>
      <c r="N39" s="213"/>
      <c r="O39" s="213"/>
      <c r="P39" s="213"/>
    </row>
    <row r="40" spans="1:17" s="2" customFormat="1" ht="18" customHeight="1">
      <c r="A40" s="27"/>
      <c r="B40" s="27"/>
      <c r="D40" s="213"/>
      <c r="E40" s="213"/>
      <c r="F40" s="213"/>
      <c r="G40" s="213"/>
      <c r="H40" s="213"/>
      <c r="I40" s="213"/>
      <c r="J40" s="213"/>
      <c r="K40" s="213"/>
      <c r="L40" s="213"/>
      <c r="M40" s="213"/>
      <c r="N40" s="213"/>
      <c r="O40" s="213"/>
      <c r="P40" s="213"/>
    </row>
  </sheetData>
  <mergeCells count="29">
    <mergeCell ref="A1:Q1"/>
    <mergeCell ref="A2:Q2"/>
    <mergeCell ref="A15:A16"/>
    <mergeCell ref="J15:N15"/>
    <mergeCell ref="O15:O16"/>
    <mergeCell ref="P15:P16"/>
    <mergeCell ref="Q15:Q16"/>
    <mergeCell ref="H15:I16"/>
    <mergeCell ref="B15:G15"/>
    <mergeCell ref="H17:I17"/>
    <mergeCell ref="H18:I18"/>
    <mergeCell ref="H19:I19"/>
    <mergeCell ref="H24:I24"/>
    <mergeCell ref="H25:I25"/>
    <mergeCell ref="A33:D33"/>
    <mergeCell ref="H32:I32"/>
    <mergeCell ref="H33:I33"/>
    <mergeCell ref="H20:I20"/>
    <mergeCell ref="H21:I21"/>
    <mergeCell ref="H22:I22"/>
    <mergeCell ref="H23:I23"/>
    <mergeCell ref="H31:I31"/>
    <mergeCell ref="A31:D31"/>
    <mergeCell ref="A32:D32"/>
    <mergeCell ref="H26:I26"/>
    <mergeCell ref="H27:I27"/>
    <mergeCell ref="H28:I28"/>
    <mergeCell ref="H29:I29"/>
    <mergeCell ref="H30:I30"/>
  </mergeCells>
  <phoneticPr fontId="67" type="noConversion"/>
  <dataValidations count="1">
    <dataValidation type="list" allowBlank="1" showInputMessage="1" showErrorMessage="1" sqref="J17:N33">
      <formula1>"√,X"</formula1>
    </dataValidation>
  </dataValidations>
  <hyperlinks>
    <hyperlink ref="Q3" location="底稿目录!A1" display="底稿目录!A1"/>
  </hyperlinks>
  <printOptions horizontalCentered="1"/>
  <pageMargins left="0.39370078740157483" right="0.39370078740157483" top="0.35433070866141736" bottom="0.27559055118110237" header="0.31496062992125984" footer="0.19685039370078741"/>
  <pageSetup paperSize="9" scale="80" orientation="landscape"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12</vt:i4>
      </vt:variant>
    </vt:vector>
  </HeadingPairs>
  <TitlesOfParts>
    <vt:vector size="24" baseType="lpstr">
      <vt:lpstr>底稿目录</vt:lpstr>
      <vt:lpstr>实质性程序表K9A</vt:lpstr>
      <vt:lpstr>审定表K9-1</vt:lpstr>
      <vt:lpstr>附注披露信息（上市公司）</vt:lpstr>
      <vt:lpstr>附注披露信息（国企）</vt:lpstr>
      <vt:lpstr>明细表K9-2</vt:lpstr>
      <vt:lpstr>调整分录汇总K9-3</vt:lpstr>
      <vt:lpstr>实质性分析K9-4</vt:lpstr>
      <vt:lpstr>合同检查表K9-5</vt:lpstr>
      <vt:lpstr>截止性测试(从记账凭证至原始凭证）K9-6</vt:lpstr>
      <vt:lpstr>截止性测试（从原始凭证至记账凭证）K9-7</vt:lpstr>
      <vt:lpstr>管理费用检查表K9-8</vt:lpstr>
      <vt:lpstr>'调整分录汇总K9-3'!Print_Area</vt:lpstr>
      <vt:lpstr>'附注披露信息（国企）'!Print_Area</vt:lpstr>
      <vt:lpstr>'附注披露信息（上市公司）'!Print_Area</vt:lpstr>
      <vt:lpstr>'管理费用检查表K9-8'!Print_Area</vt:lpstr>
      <vt:lpstr>'合同检查表K9-5'!Print_Area</vt:lpstr>
      <vt:lpstr>'截止性测试(从记账凭证至原始凭证）K9-6'!Print_Area</vt:lpstr>
      <vt:lpstr>'截止性测试（从原始凭证至记账凭证）K9-7'!Print_Area</vt:lpstr>
      <vt:lpstr>'明细表K9-2'!Print_Area</vt:lpstr>
      <vt:lpstr>'审定表K9-1'!Print_Area</vt:lpstr>
      <vt:lpstr>实质性程序表K9A!Print_Area</vt:lpstr>
      <vt:lpstr>'实质性分析K9-4'!Print_Area</vt:lpstr>
      <vt:lpstr>实质性程序表K9A!Print_Titles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李丽虹</dc:creator>
  <cp:lastModifiedBy>何先琴</cp:lastModifiedBy>
  <cp:lastPrinted>2025-11-05T07:28:16Z</cp:lastPrinted>
  <dcterms:created xsi:type="dcterms:W3CDTF">2013-12-07T13:13:00Z</dcterms:created>
  <dcterms:modified xsi:type="dcterms:W3CDTF">2025-11-05T07:28:24Z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CFD7008D5EE04F3FB2F819CCA0D71784</vt:lpwstr>
  </property>
  <property fmtid="{D5CDD505-2E9C-101B-9397-08002B2CF9AE}" pid="3" name="KSOProductBuildVer">
    <vt:lpwstr>2052-11.1.0.12302</vt:lpwstr>
  </property>
</Properties>
</file>