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480" yWindow="60" windowWidth="15480" windowHeight="8904" tabRatio="758"/>
  </bookViews>
  <sheets>
    <sheet name="底稿目录" sheetId="1" r:id="rId1"/>
    <sheet name="实质性程序表K13A" sheetId="24" r:id="rId2"/>
    <sheet name="审定表K13-1" sheetId="15" r:id="rId3"/>
    <sheet name="附注披露信息（上市公司）" sheetId="21" r:id="rId4"/>
    <sheet name="附注披露信息（国企）" sheetId="23" r:id="rId5"/>
    <sheet name="明细表K13-2" sheetId="19" r:id="rId6"/>
    <sheet name="调整分录汇总K13-3" sheetId="25" r:id="rId7"/>
    <sheet name="营业外支出检查表K13-4" sheetId="27" r:id="rId8"/>
    <sheet name="GT_Custom" sheetId="22" state="hidden" r:id="rId9"/>
  </sheets>
  <definedNames>
    <definedName name="_xlnm._FilterDatabase" localSheetId="1">实质性程序表K13A!$A$15:$I$25</definedName>
    <definedName name="_xlnm.Print_Area" localSheetId="6">'调整分录汇总K13-3'!$A$1:$J$20</definedName>
    <definedName name="_xlnm.Print_Area" localSheetId="4">'附注披露信息（国企）'!$A$1:$E$18</definedName>
    <definedName name="_xlnm.Print_Area" localSheetId="3">'附注披露信息（上市公司）'!$A$1:$E$17</definedName>
    <definedName name="_xlnm.Print_Area" localSheetId="5">'明细表K13-2'!$A$1:$Z$22</definedName>
    <definedName name="_xlnm.Print_Area" localSheetId="2">'审定表K13-1'!$A$1:$K$15</definedName>
    <definedName name="_xlnm.Print_Area" localSheetId="1">实质性程序表K13A!$A$1:$I$25</definedName>
    <definedName name="_xlnm.Print_Area" localSheetId="7">'营业外支出检查表K13-4'!$A$1:$Q$29</definedName>
    <definedName name="_xlnm.Print_Titles" localSheetId="1">实质性程序表K13A!$15:$15</definedName>
  </definedNames>
  <calcPr calcId="162913"/>
</workbook>
</file>

<file path=xl/calcChain.xml><?xml version="1.0" encoding="utf-8"?>
<calcChain xmlns="http://schemas.openxmlformats.org/spreadsheetml/2006/main">
  <c r="G22" i="27" l="1"/>
  <c r="Q3" i="27" l="1"/>
  <c r="I4" i="27" l="1"/>
  <c r="I3" i="27"/>
  <c r="F4" i="27"/>
  <c r="F3" i="27"/>
  <c r="A4" i="27"/>
  <c r="A3" i="27"/>
  <c r="E3" i="24" l="1"/>
  <c r="J3" i="25" l="1"/>
  <c r="Z3" i="19"/>
  <c r="E3" i="23"/>
  <c r="E3" i="21"/>
  <c r="K3" i="15"/>
  <c r="I3" i="24"/>
  <c r="C3" i="24"/>
  <c r="A4" i="24"/>
  <c r="A3" i="24"/>
  <c r="D13" i="23" l="1"/>
  <c r="D14" i="23"/>
  <c r="D9" i="23"/>
  <c r="D10" i="23"/>
  <c r="D11" i="23"/>
  <c r="D12" i="23"/>
  <c r="D8" i="23"/>
  <c r="H10" i="15"/>
  <c r="I10" i="15"/>
  <c r="H11" i="15"/>
  <c r="I11" i="15"/>
  <c r="H12" i="15"/>
  <c r="I12" i="15"/>
  <c r="G10" i="15"/>
  <c r="G11" i="15"/>
  <c r="G12" i="15"/>
  <c r="C10" i="15"/>
  <c r="D10" i="15"/>
  <c r="C11" i="15"/>
  <c r="D11" i="15"/>
  <c r="C12" i="15"/>
  <c r="D12" i="15"/>
  <c r="X13" i="19"/>
  <c r="N13" i="19"/>
  <c r="Q13" i="19" s="1"/>
  <c r="J11" i="15" l="1"/>
  <c r="J10" i="15"/>
  <c r="J12" i="15"/>
  <c r="C14" i="23" s="1"/>
  <c r="C13" i="23"/>
  <c r="B10" i="15"/>
  <c r="E10" i="15" s="1"/>
  <c r="Z13" i="19"/>
  <c r="D15" i="23"/>
  <c r="Q4" i="19"/>
  <c r="H4" i="19"/>
  <c r="C4" i="23"/>
  <c r="B4" i="23"/>
  <c r="C4" i="21"/>
  <c r="B4" i="21"/>
  <c r="G4" i="15"/>
  <c r="C4" i="15"/>
  <c r="E4" i="24"/>
  <c r="C4" i="24"/>
  <c r="G4" i="25" l="1"/>
  <c r="G3" i="25"/>
  <c r="C4" i="25"/>
  <c r="C3" i="25"/>
  <c r="A4" i="25"/>
  <c r="A3" i="25"/>
  <c r="D13" i="21" l="1"/>
  <c r="A7" i="15"/>
  <c r="A8" i="15"/>
  <c r="A9" i="15"/>
  <c r="A10" i="15"/>
  <c r="A11" i="15"/>
  <c r="A13" i="21" s="1"/>
  <c r="V16" i="19"/>
  <c r="W16" i="19"/>
  <c r="U16" i="19"/>
  <c r="O16" i="19"/>
  <c r="P16" i="19"/>
  <c r="R16" i="19"/>
  <c r="S16" i="19"/>
  <c r="C16" i="19"/>
  <c r="D16" i="19"/>
  <c r="E16" i="19"/>
  <c r="F16" i="19"/>
  <c r="G16" i="19"/>
  <c r="H16" i="19"/>
  <c r="I16" i="19"/>
  <c r="J16" i="19"/>
  <c r="K16" i="19"/>
  <c r="L16" i="19"/>
  <c r="M16" i="19"/>
  <c r="B16" i="19"/>
  <c r="A3" i="21"/>
  <c r="D8" i="21" l="1"/>
  <c r="D9" i="21"/>
  <c r="D10" i="21"/>
  <c r="D11" i="21"/>
  <c r="D12" i="21"/>
  <c r="A6" i="15"/>
  <c r="A8" i="21" s="1"/>
  <c r="A9" i="23"/>
  <c r="A10" i="23"/>
  <c r="A11" i="21"/>
  <c r="A12" i="21"/>
  <c r="N9" i="19"/>
  <c r="N10" i="19"/>
  <c r="Q10" i="19" s="1"/>
  <c r="N11" i="19"/>
  <c r="Q11" i="19" s="1"/>
  <c r="N12" i="19"/>
  <c r="Q12" i="19" s="1"/>
  <c r="N14" i="19"/>
  <c r="N15" i="19"/>
  <c r="B12" i="15" s="1"/>
  <c r="E12" i="15" l="1"/>
  <c r="B14" i="23" s="1"/>
  <c r="Q14" i="19"/>
  <c r="B11" i="15"/>
  <c r="E11" i="15" s="1"/>
  <c r="B13" i="23" s="1"/>
  <c r="C13" i="21"/>
  <c r="Q15" i="19"/>
  <c r="Q9" i="19"/>
  <c r="N16" i="19"/>
  <c r="D14" i="21"/>
  <c r="A10" i="21"/>
  <c r="A11" i="23"/>
  <c r="A9" i="21"/>
  <c r="A12" i="23"/>
  <c r="A8" i="23"/>
  <c r="I6" i="15"/>
  <c r="I7" i="15"/>
  <c r="I8" i="15"/>
  <c r="I9" i="15"/>
  <c r="H6" i="15"/>
  <c r="H7" i="15"/>
  <c r="H8" i="15"/>
  <c r="H9" i="15"/>
  <c r="G6" i="15"/>
  <c r="G7" i="15"/>
  <c r="G8" i="15"/>
  <c r="J8" i="15" s="1"/>
  <c r="G9" i="15"/>
  <c r="D6" i="15"/>
  <c r="D7" i="15"/>
  <c r="D8" i="15"/>
  <c r="D9" i="15"/>
  <c r="C6" i="15"/>
  <c r="C7" i="15"/>
  <c r="C8" i="15"/>
  <c r="C9" i="15"/>
  <c r="A4" i="23"/>
  <c r="C3" i="23"/>
  <c r="B3" i="23"/>
  <c r="A3" i="23"/>
  <c r="J9" i="15" l="1"/>
  <c r="J7" i="15"/>
  <c r="C9" i="23" s="1"/>
  <c r="J6" i="15"/>
  <c r="C8" i="23" s="1"/>
  <c r="Q16" i="19"/>
  <c r="D13" i="15"/>
  <c r="B13" i="21"/>
  <c r="G13" i="15"/>
  <c r="H13" i="15"/>
  <c r="C13" i="15"/>
  <c r="I13" i="15"/>
  <c r="X9" i="19"/>
  <c r="X10" i="19"/>
  <c r="Z10" i="19" s="1"/>
  <c r="X11" i="19"/>
  <c r="Z11" i="19" s="1"/>
  <c r="X12" i="19"/>
  <c r="Z12" i="19" s="1"/>
  <c r="X14" i="19"/>
  <c r="Z14" i="19" s="1"/>
  <c r="X15" i="19"/>
  <c r="Z15" i="19" s="1"/>
  <c r="A4" i="21"/>
  <c r="C3" i="21"/>
  <c r="B3" i="21"/>
  <c r="Q3" i="19"/>
  <c r="H3" i="19"/>
  <c r="A4" i="19"/>
  <c r="A3" i="19"/>
  <c r="G3" i="15"/>
  <c r="C3" i="15"/>
  <c r="A3" i="15"/>
  <c r="A4" i="15"/>
  <c r="T13" i="19" l="1"/>
  <c r="G23" i="27"/>
  <c r="G24" i="27" s="1"/>
  <c r="C10" i="21"/>
  <c r="C10" i="23"/>
  <c r="Z9" i="19"/>
  <c r="X16" i="19"/>
  <c r="C12" i="21"/>
  <c r="C12" i="23"/>
  <c r="C11" i="21"/>
  <c r="C11" i="23"/>
  <c r="J13" i="15"/>
  <c r="J15" i="15" s="1"/>
  <c r="T9" i="19"/>
  <c r="T12" i="19"/>
  <c r="T16" i="19"/>
  <c r="T11" i="19"/>
  <c r="T10" i="19"/>
  <c r="T15" i="19"/>
  <c r="T14" i="19"/>
  <c r="C9" i="21"/>
  <c r="C17" i="19"/>
  <c r="M17" i="19"/>
  <c r="B17" i="19"/>
  <c r="F17" i="19"/>
  <c r="C8" i="21"/>
  <c r="B6" i="15"/>
  <c r="B8" i="15"/>
  <c r="E8" i="15" s="1"/>
  <c r="B10" i="23" s="1"/>
  <c r="B12" i="23"/>
  <c r="B9" i="15"/>
  <c r="E9" i="15" s="1"/>
  <c r="B7" i="15"/>
  <c r="E7" i="15" s="1"/>
  <c r="B9" i="23" s="1"/>
  <c r="Y16" i="19" l="1"/>
  <c r="Y13" i="19"/>
  <c r="C15" i="23"/>
  <c r="B11" i="21"/>
  <c r="B11" i="23"/>
  <c r="C14" i="21"/>
  <c r="E6" i="15"/>
  <c r="B8" i="21" s="1"/>
  <c r="B13" i="15"/>
  <c r="B12" i="21"/>
  <c r="B9" i="21"/>
  <c r="B10" i="21"/>
  <c r="B14" i="21" l="1"/>
  <c r="E13" i="15"/>
  <c r="E15" i="15" s="1"/>
  <c r="B8" i="23"/>
  <c r="B15" i="23" s="1"/>
  <c r="Y9" i="19"/>
  <c r="Y14" i="19"/>
  <c r="Y10" i="19"/>
  <c r="Z16" i="19"/>
  <c r="Y12" i="19"/>
  <c r="Y11" i="19"/>
  <c r="Y15" i="19"/>
  <c r="L17" i="19"/>
  <c r="E17" i="19"/>
  <c r="J17" i="19"/>
  <c r="K17" i="19"/>
  <c r="I17" i="19"/>
  <c r="N17" i="19"/>
  <c r="G17" i="19"/>
  <c r="H17" i="19"/>
  <c r="D17"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<sst xmlns="http://schemas.openxmlformats.org/spreadsheetml/2006/main" count="272" uniqueCount="236">
  <si>
    <t>……</t>
  </si>
  <si>
    <t>营业外支出附注披露信息</t>
    <phoneticPr fontId="12" type="noConversion"/>
  </si>
  <si>
    <t>上期发生额</t>
  </si>
  <si>
    <t>说明：</t>
  </si>
  <si>
    <t>营业外支出附注披露信息（上市公司通用）</t>
    <phoneticPr fontId="12" type="noConversion"/>
  </si>
  <si>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</si>
  <si>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</si>
  <si>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</si>
  <si>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</si>
  <si>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</si>
  <si>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</si>
  <si>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</si>
  <si>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</si>
  <si>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</si>
  <si>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</si>
  <si>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t>C1</t>
  </si>
  <si>
    <t>Custom 1</t>
  </si>
  <si>
    <t>C2</t>
  </si>
  <si>
    <t>Custom 2</t>
  </si>
  <si>
    <t>C3</t>
  </si>
  <si>
    <t>Custom 3</t>
  </si>
  <si>
    <t>C4</t>
  </si>
  <si>
    <t>Custom 4</t>
  </si>
  <si>
    <t>C5</t>
  </si>
  <si>
    <t>Custom 5</t>
  </si>
  <si>
    <t>C6</t>
  </si>
  <si>
    <t>Custom 6</t>
  </si>
  <si>
    <t>C7</t>
  </si>
  <si>
    <t>Custom 7</t>
  </si>
  <si>
    <t>C8</t>
  </si>
  <si>
    <t>Custom 8</t>
  </si>
  <si>
    <t>页次：</t>
  </si>
  <si>
    <t>致同会计师事务所</t>
  </si>
  <si>
    <r>
      <rPr>
        <sz val="10"/>
        <rFont val="宋体"/>
        <family val="3"/>
        <charset val="134"/>
      </rPr>
      <t>页次：</t>
    </r>
  </si>
  <si>
    <r>
      <rPr>
        <b/>
        <sz val="10"/>
        <color indexed="8"/>
        <rFont val="宋体"/>
        <family val="3"/>
        <charset val="134"/>
      </rPr>
      <t>一、审计目标：</t>
    </r>
    <phoneticPr fontId="12" type="noConversion"/>
  </si>
  <si>
    <t>……</t>
    <phoneticPr fontId="12" type="noConversion"/>
  </si>
  <si>
    <r>
      <rPr>
        <sz val="10"/>
        <rFont val="宋体"/>
        <family val="3"/>
        <charset val="134"/>
      </rPr>
      <t>索引号：</t>
    </r>
  </si>
  <si>
    <r>
      <rPr>
        <b/>
        <sz val="10"/>
        <color indexed="8"/>
        <rFont val="宋体"/>
        <family val="3"/>
        <charset val="134"/>
      </rPr>
      <t>二、审计过程</t>
    </r>
    <r>
      <rPr>
        <b/>
        <sz val="10"/>
        <color indexed="8"/>
        <rFont val="Arial Narrow"/>
        <family val="2"/>
      </rPr>
      <t>:</t>
    </r>
    <phoneticPr fontId="12" type="noConversion"/>
  </si>
  <si>
    <r>
      <rPr>
        <b/>
        <sz val="10"/>
        <rFont val="宋体"/>
        <family val="3"/>
        <charset val="134"/>
      </rPr>
      <t>项目</t>
    </r>
    <phoneticPr fontId="12" type="noConversion"/>
  </si>
  <si>
    <r>
      <t>1</t>
    </r>
    <r>
      <rPr>
        <b/>
        <sz val="10"/>
        <rFont val="宋体"/>
        <family val="3"/>
        <charset val="134"/>
      </rPr>
      <t>月</t>
    </r>
    <phoneticPr fontId="12" type="noConversion"/>
  </si>
  <si>
    <r>
      <t>2</t>
    </r>
    <r>
      <rPr>
        <b/>
        <sz val="10"/>
        <rFont val="宋体"/>
        <family val="3"/>
        <charset val="134"/>
      </rPr>
      <t>月</t>
    </r>
    <phoneticPr fontId="12" type="noConversion"/>
  </si>
  <si>
    <r>
      <rPr>
        <b/>
        <sz val="10"/>
        <rFont val="宋体"/>
        <family val="3"/>
        <charset val="134"/>
      </rPr>
      <t>本期合计</t>
    </r>
    <phoneticPr fontId="12" type="noConversion"/>
  </si>
  <si>
    <r>
      <rPr>
        <b/>
        <sz val="10"/>
        <rFont val="宋体"/>
        <family val="3"/>
        <charset val="134"/>
      </rPr>
      <t>重分类调整</t>
    </r>
    <phoneticPr fontId="12" type="noConversion"/>
  </si>
  <si>
    <r>
      <rPr>
        <b/>
        <sz val="10"/>
        <rFont val="宋体"/>
        <family val="3"/>
        <charset val="134"/>
      </rPr>
      <t>期末审定数</t>
    </r>
    <phoneticPr fontId="12" type="noConversion"/>
  </si>
  <si>
    <r>
      <rPr>
        <b/>
        <sz val="10"/>
        <rFont val="宋体"/>
        <family val="3"/>
        <charset val="134"/>
      </rPr>
      <t>与相关科目勾稽</t>
    </r>
    <phoneticPr fontId="12" type="noConversion"/>
  </si>
  <si>
    <r>
      <rPr>
        <b/>
        <sz val="10"/>
        <rFont val="宋体"/>
        <family val="3"/>
        <charset val="134"/>
      </rPr>
      <t>结构比</t>
    </r>
    <phoneticPr fontId="12" type="noConversion"/>
  </si>
  <si>
    <r>
      <rPr>
        <b/>
        <sz val="10"/>
        <rFont val="宋体"/>
        <family val="3"/>
        <charset val="134"/>
      </rPr>
      <t>上年同期发生数</t>
    </r>
    <phoneticPr fontId="12" type="noConversion"/>
  </si>
  <si>
    <r>
      <rPr>
        <b/>
        <sz val="10"/>
        <rFont val="宋体"/>
        <family val="3"/>
        <charset val="134"/>
      </rPr>
      <t>期初审定数</t>
    </r>
    <phoneticPr fontId="12" type="noConversion"/>
  </si>
  <si>
    <r>
      <rPr>
        <b/>
        <sz val="10"/>
        <rFont val="宋体"/>
        <family val="3"/>
        <charset val="134"/>
      </rPr>
      <t>合计</t>
    </r>
  </si>
  <si>
    <r>
      <rPr>
        <b/>
        <sz val="10"/>
        <rFont val="宋体"/>
        <family val="3"/>
        <charset val="134"/>
      </rPr>
      <t>各月比例</t>
    </r>
    <phoneticPr fontId="12" type="noConversion"/>
  </si>
  <si>
    <r>
      <rPr>
        <b/>
        <sz val="10"/>
        <rFont val="宋体"/>
        <family val="3"/>
        <charset val="134"/>
      </rPr>
      <t>三、审计说明：</t>
    </r>
    <phoneticPr fontId="12" type="noConversion"/>
  </si>
  <si>
    <r>
      <rPr>
        <b/>
        <sz val="10"/>
        <rFont val="宋体"/>
        <family val="3"/>
        <charset val="134"/>
      </rPr>
      <t>四、审计结论：</t>
    </r>
    <phoneticPr fontId="12" type="noConversion"/>
  </si>
  <si>
    <t>账项调整</t>
    <phoneticPr fontId="12" type="noConversion"/>
  </si>
  <si>
    <t>计入当期非经常性损益的金额</t>
    <phoneticPr fontId="12" type="noConversion"/>
  </si>
  <si>
    <t>计入当期非经常性损益的金额</t>
    <phoneticPr fontId="12" type="noConversion"/>
  </si>
  <si>
    <t>其他</t>
    <phoneticPr fontId="12" type="noConversion"/>
  </si>
  <si>
    <r>
      <rPr>
        <b/>
        <sz val="10"/>
        <rFont val="宋体"/>
        <family val="3"/>
        <charset val="134"/>
      </rPr>
      <t>项目名称</t>
    </r>
    <phoneticPr fontId="12" type="noConversion"/>
  </si>
  <si>
    <r>
      <rPr>
        <b/>
        <sz val="10"/>
        <rFont val="宋体"/>
        <family val="3"/>
        <charset val="134"/>
      </rPr>
      <t>账项调整</t>
    </r>
    <phoneticPr fontId="12" type="noConversion"/>
  </si>
  <si>
    <r>
      <rPr>
        <b/>
        <sz val="10"/>
        <rFont val="宋体"/>
        <family val="3"/>
        <charset val="134"/>
      </rPr>
      <t>重分类调整</t>
    </r>
    <phoneticPr fontId="12" type="noConversion"/>
  </si>
  <si>
    <r>
      <rPr>
        <b/>
        <sz val="10"/>
        <rFont val="宋体"/>
        <family val="3"/>
        <charset val="134"/>
      </rPr>
      <t>索引号</t>
    </r>
  </si>
  <si>
    <r>
      <rPr>
        <b/>
        <sz val="10"/>
        <rFont val="宋体"/>
        <family val="3"/>
        <charset val="134"/>
      </rPr>
      <t>备注</t>
    </r>
  </si>
  <si>
    <r>
      <rPr>
        <b/>
        <sz val="12"/>
        <rFont val="宋体"/>
        <family val="3"/>
        <charset val="134"/>
      </rPr>
      <t>底稿开列时，可先在以下单元格填写有关内容，以便其他底稿引用有关数据：</t>
    </r>
    <phoneticPr fontId="12" type="noConversion"/>
  </si>
  <si>
    <t>本期未审数</t>
    <phoneticPr fontId="12" type="noConversion"/>
  </si>
  <si>
    <t>本期审定数</t>
    <phoneticPr fontId="12" type="noConversion"/>
  </si>
  <si>
    <t>上期未审数</t>
    <phoneticPr fontId="12" type="noConversion"/>
  </si>
  <si>
    <t>上期审定数</t>
    <phoneticPr fontId="12" type="noConversion"/>
  </si>
  <si>
    <r>
      <rPr>
        <b/>
        <sz val="10"/>
        <rFont val="宋体"/>
        <family val="3"/>
        <charset val="134"/>
      </rPr>
      <t>财务报表的认定　</t>
    </r>
  </si>
  <si>
    <t>发生</t>
    <phoneticPr fontId="12" type="noConversion"/>
  </si>
  <si>
    <r>
      <rPr>
        <b/>
        <sz val="10"/>
        <rFont val="宋体"/>
        <family val="3"/>
        <charset val="134"/>
      </rPr>
      <t>三、计划实施的实质性程序</t>
    </r>
    <phoneticPr fontId="12" type="noConversion"/>
  </si>
  <si>
    <t>营业外支出</t>
    <phoneticPr fontId="38" type="noConversion"/>
  </si>
  <si>
    <t>试算平衡表数</t>
    <phoneticPr fontId="12" type="noConversion"/>
  </si>
  <si>
    <t>差异数</t>
    <phoneticPr fontId="12" type="noConversion"/>
  </si>
  <si>
    <t>调整事项说明</t>
    <phoneticPr fontId="12" type="noConversion"/>
  </si>
  <si>
    <t>类别（报表调整/账项调整/其他）</t>
    <phoneticPr fontId="12" type="noConversion"/>
  </si>
  <si>
    <t>科目名称</t>
    <phoneticPr fontId="12" type="noConversion"/>
  </si>
  <si>
    <t>附注项目</t>
    <phoneticPr fontId="12" type="noConversion"/>
  </si>
  <si>
    <t>借方调整金额</t>
    <phoneticPr fontId="12" type="noConversion"/>
  </si>
  <si>
    <t>贷方调整金额</t>
    <phoneticPr fontId="12" type="noConversion"/>
  </si>
  <si>
    <t>索引</t>
    <phoneticPr fontId="12" type="noConversion"/>
  </si>
  <si>
    <t>备注</t>
    <phoneticPr fontId="12" type="noConversion"/>
  </si>
  <si>
    <t>营业外支出调整分录汇总表</t>
    <phoneticPr fontId="12" type="noConversion"/>
  </si>
  <si>
    <t>（注：企业可根据实际情况，单独披露金额较大的项目。）</t>
  </si>
  <si>
    <t>【提示：“营业外支出”反映企业发生的营业利润以外的支出，主要包括对外捐赠支出、非流动资产毁损报废损失、非常损失、盘亏损失等。】</t>
  </si>
  <si>
    <t>【提示：企业未按规定缴纳残疾人就业保障金，按规定缴纳的滞纳金，计入“营业外支出”科目。】</t>
  </si>
  <si>
    <t>计入当期非经常性损益的金额</t>
    <phoneticPr fontId="12" type="noConversion"/>
  </si>
  <si>
    <t>项  目</t>
  </si>
  <si>
    <t xml:space="preserve">本期发生额 </t>
  </si>
  <si>
    <t>合  计</t>
  </si>
  <si>
    <r>
      <t>营业外支出</t>
    </r>
    <r>
      <rPr>
        <sz val="10"/>
        <color rgb="FF0000FF"/>
        <rFont val="宋体"/>
        <family val="3"/>
        <charset val="134"/>
        <scheme val="minor"/>
      </rPr>
      <t>（注：以下不存在的项目可以删除）</t>
    </r>
  </si>
  <si>
    <t>本期发生额</t>
  </si>
  <si>
    <t>其他</t>
    <phoneticPr fontId="12" type="noConversion"/>
  </si>
  <si>
    <r>
      <rPr>
        <sz val="10"/>
        <rFont val="宋体"/>
        <family val="3"/>
        <charset val="134"/>
      </rPr>
      <t>索引号：</t>
    </r>
    <phoneticPr fontId="38" type="noConversion"/>
  </si>
  <si>
    <r>
      <rPr>
        <sz val="10"/>
        <rFont val="宋体"/>
        <family val="3"/>
        <charset val="134"/>
      </rPr>
      <t>页</t>
    </r>
    <r>
      <rPr>
        <sz val="10"/>
        <rFont val="Arial Narrow"/>
        <family val="2"/>
      </rPr>
      <t xml:space="preserve">  </t>
    </r>
    <r>
      <rPr>
        <sz val="10"/>
        <rFont val="宋体"/>
        <family val="3"/>
        <charset val="134"/>
      </rPr>
      <t>次：</t>
    </r>
    <phoneticPr fontId="38" type="noConversion"/>
  </si>
  <si>
    <t>索引号：</t>
    <phoneticPr fontId="12" type="noConversion"/>
  </si>
  <si>
    <t>索引号：</t>
    <phoneticPr fontId="12" type="noConversion"/>
  </si>
  <si>
    <t>索引号：</t>
    <phoneticPr fontId="12" type="noConversion"/>
  </si>
  <si>
    <r>
      <rPr>
        <sz val="10"/>
        <rFont val="宋体"/>
        <family val="3"/>
        <charset val="134"/>
      </rPr>
      <t>营业外支出</t>
    </r>
  </si>
  <si>
    <r>
      <rPr>
        <sz val="10"/>
        <rFont val="宋体"/>
        <family val="3"/>
        <charset val="134"/>
      </rPr>
      <t>营业外支出附注披露信息（国企）</t>
    </r>
    <phoneticPr fontId="12" type="noConversion"/>
  </si>
  <si>
    <r>
      <rPr>
        <b/>
        <sz val="10"/>
        <rFont val="宋体"/>
        <family val="3"/>
        <charset val="134"/>
      </rPr>
      <t>一、本账户涉及的科目</t>
    </r>
    <phoneticPr fontId="12" type="noConversion"/>
  </si>
  <si>
    <t>二、审计目标与认定的对应关系</t>
  </si>
  <si>
    <t>审计目标</t>
    <phoneticPr fontId="12" type="noConversion"/>
  </si>
  <si>
    <t>序号</t>
    <phoneticPr fontId="12" type="noConversion"/>
  </si>
  <si>
    <t>程序分类</t>
    <phoneticPr fontId="12" type="noConversion"/>
  </si>
  <si>
    <t>审计程序</t>
    <phoneticPr fontId="12" type="noConversion"/>
  </si>
  <si>
    <t>发生</t>
  </si>
  <si>
    <t>完整性</t>
  </si>
  <si>
    <t>准确性</t>
  </si>
  <si>
    <t>截止</t>
  </si>
  <si>
    <r>
      <rPr>
        <sz val="10"/>
        <color theme="1"/>
        <rFont val="宋体"/>
        <family val="3"/>
        <charset val="134"/>
      </rPr>
      <t>常规★</t>
    </r>
    <phoneticPr fontId="38" type="noConversion"/>
  </si>
  <si>
    <t>1</t>
    <phoneticPr fontId="38" type="noConversion"/>
  </si>
  <si>
    <t>2</t>
  </si>
  <si>
    <r>
      <rPr>
        <sz val="10"/>
        <color theme="1"/>
        <rFont val="宋体"/>
        <family val="3"/>
        <charset val="134"/>
      </rPr>
      <t>常规★</t>
    </r>
    <phoneticPr fontId="38" type="noConversion"/>
  </si>
  <si>
    <t>√</t>
    <phoneticPr fontId="12" type="noConversion"/>
  </si>
  <si>
    <t>T1</t>
    <phoneticPr fontId="12" type="noConversion"/>
  </si>
  <si>
    <t>3</t>
  </si>
  <si>
    <r>
      <rPr>
        <sz val="10"/>
        <rFont val="宋体"/>
        <family val="3"/>
        <charset val="134"/>
      </rPr>
      <t>备选</t>
    </r>
    <phoneticPr fontId="38" type="noConversion"/>
  </si>
  <si>
    <t>4</t>
  </si>
  <si>
    <t>结合固定资产、预计负债等相关科目审计，检查支持性文件，确定入账金额及会计处理是否正确。</t>
    <phoneticPr fontId="12" type="noConversion"/>
  </si>
  <si>
    <r>
      <rPr>
        <sz val="10"/>
        <color theme="1"/>
        <rFont val="宋体"/>
        <family val="3"/>
        <charset val="134"/>
      </rPr>
      <t>常规★</t>
    </r>
    <phoneticPr fontId="38" type="noConversion"/>
  </si>
  <si>
    <t>5</t>
  </si>
  <si>
    <t>6</t>
  </si>
  <si>
    <r>
      <rPr>
        <sz val="10"/>
        <color theme="1"/>
        <rFont val="宋体"/>
        <family val="3"/>
        <charset val="134"/>
      </rPr>
      <t>常规★</t>
    </r>
    <phoneticPr fontId="3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</si>
  <si>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</si>
  <si>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7</t>
  </si>
  <si>
    <t>关注会计政策、会计估计合理性、一贯性。关注其是否利用会计政策和会计估计及其变更操纵利润。</t>
    <phoneticPr fontId="12" type="noConversion"/>
  </si>
  <si>
    <t>常规★</t>
    <phoneticPr fontId="12" type="noConversion"/>
  </si>
  <si>
    <t>列报</t>
    <phoneticPr fontId="12" type="noConversion"/>
  </si>
  <si>
    <t>√</t>
    <phoneticPr fontId="12" type="noConversion"/>
  </si>
  <si>
    <r>
      <rPr>
        <sz val="10"/>
        <rFont val="宋体"/>
        <family val="3"/>
        <charset val="134"/>
      </rPr>
      <t>页次：</t>
    </r>
    <phoneticPr fontId="12" type="noConversion"/>
  </si>
  <si>
    <r>
      <rPr>
        <sz val="10"/>
        <rFont val="宋体"/>
        <family val="3"/>
        <charset val="134"/>
      </rPr>
      <t>索引：</t>
    </r>
    <phoneticPr fontId="12" type="noConversion"/>
  </si>
  <si>
    <t>报表项目</t>
    <phoneticPr fontId="12" type="noConversion"/>
  </si>
  <si>
    <r>
      <t>2.</t>
    </r>
    <r>
      <rPr>
        <sz val="10"/>
        <rFont val="宋体"/>
        <family val="3"/>
        <charset val="134"/>
      </rPr>
      <t>所有应当记录的营业外支出均已记录，所有应当包括在财务报表中的相关披露均已包括。</t>
    </r>
    <phoneticPr fontId="12" type="noConversion"/>
  </si>
  <si>
    <r>
      <t>3.</t>
    </r>
    <r>
      <rPr>
        <sz val="10"/>
        <rFont val="宋体"/>
        <family val="3"/>
        <charset val="134"/>
      </rPr>
      <t>与营业外支出有关的金额及其他数据已恰当记录，相关披露已得到恰当计量和描述。</t>
    </r>
    <phoneticPr fontId="12" type="noConversion"/>
  </si>
  <si>
    <r>
      <t>1.</t>
    </r>
    <r>
      <rPr>
        <sz val="10"/>
        <rFont val="宋体"/>
        <family val="3"/>
        <charset val="134"/>
      </rPr>
      <t>利润表中记录的营业外支出已发生，且与被审计单位有关，已记录于恰当的账户。</t>
    </r>
    <r>
      <rPr>
        <sz val="10"/>
        <rFont val="Arial Narrow"/>
        <family val="2"/>
      </rPr>
      <t xml:space="preserve"> </t>
    </r>
    <phoneticPr fontId="12" type="noConversion"/>
  </si>
  <si>
    <r>
      <rPr>
        <u/>
        <sz val="10"/>
        <color indexed="12"/>
        <rFont val="宋体"/>
        <family val="3"/>
        <charset val="134"/>
      </rPr>
      <t>实质性程序表</t>
    </r>
  </si>
  <si>
    <r>
      <rPr>
        <u/>
        <sz val="10"/>
        <color indexed="12"/>
        <rFont val="宋体"/>
        <family val="3"/>
        <charset val="134"/>
      </rPr>
      <t>审定表</t>
    </r>
    <phoneticPr fontId="12" type="noConversion"/>
  </si>
  <si>
    <r>
      <rPr>
        <u/>
        <sz val="10"/>
        <color indexed="12"/>
        <rFont val="宋体"/>
        <family val="3"/>
        <charset val="134"/>
      </rPr>
      <t>附注披露信息（上市公司）</t>
    </r>
    <phoneticPr fontId="12" type="noConversion"/>
  </si>
  <si>
    <r>
      <rPr>
        <u/>
        <sz val="10"/>
        <color indexed="12"/>
        <rFont val="宋体"/>
        <family val="3"/>
        <charset val="134"/>
      </rPr>
      <t>附注披露信息（国企）</t>
    </r>
    <phoneticPr fontId="12" type="noConversion"/>
  </si>
  <si>
    <r>
      <rPr>
        <u/>
        <sz val="10"/>
        <color indexed="12"/>
        <rFont val="宋体"/>
        <family val="3"/>
        <charset val="134"/>
      </rPr>
      <t>明细表</t>
    </r>
    <phoneticPr fontId="12" type="noConversion"/>
  </si>
  <si>
    <r>
      <rPr>
        <u/>
        <sz val="10"/>
        <color indexed="12"/>
        <rFont val="宋体"/>
        <family val="3"/>
        <charset val="134"/>
      </rPr>
      <t>调整分录汇总</t>
    </r>
    <phoneticPr fontId="12" type="noConversion"/>
  </si>
  <si>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</si>
  <si>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</si>
  <si>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</si>
  <si>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r>
      <rPr>
        <b/>
        <sz val="10"/>
        <color indexed="8"/>
        <rFont val="宋体"/>
        <family val="3"/>
        <charset val="134"/>
      </rPr>
      <t>备注</t>
    </r>
  </si>
  <si>
    <t>备选</t>
    <phoneticPr fontId="12" type="noConversion"/>
  </si>
  <si>
    <t>无需打印</t>
    <phoneticPr fontId="12" type="noConversion"/>
  </si>
  <si>
    <t>无需打印</t>
    <phoneticPr fontId="12" type="noConversion"/>
  </si>
  <si>
    <t>底稿索引号</t>
    <phoneticPr fontId="12"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</si>
  <si>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38"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</si>
  <si>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38" type="noConversion"/>
  </si>
  <si>
    <r>
      <t>A1-1/</t>
    </r>
    <r>
      <rPr>
        <sz val="10"/>
        <color rgb="FFFF0000"/>
        <rFont val="Arial Narrow"/>
        <family val="2"/>
      </rPr>
      <t>A1-15 /A1-16</t>
    </r>
    <phoneticPr fontId="12" type="noConversion"/>
  </si>
  <si>
    <t>致同会计师事务所</t>
    <phoneticPr fontId="38" type="noConversion"/>
  </si>
  <si>
    <t>营业外支出实质性程序表</t>
    <phoneticPr fontId="38" type="noConversion"/>
  </si>
  <si>
    <t>营业外支出审定表</t>
    <phoneticPr fontId="12" type="noConversion"/>
  </si>
  <si>
    <t>营业外支出附注披露信息</t>
    <phoneticPr fontId="12" type="noConversion"/>
  </si>
  <si>
    <t>营业外支出明细表</t>
    <phoneticPr fontId="12" type="noConversion"/>
  </si>
  <si>
    <r>
      <rPr>
        <sz val="10"/>
        <color rgb="FF0000FF"/>
        <rFont val="宋体"/>
        <family val="3"/>
        <charset val="134"/>
      </rPr>
      <t>【</t>
    </r>
    <r>
      <rPr>
        <sz val="10"/>
        <color rgb="FF0000FF"/>
        <rFont val="Arial Narrow"/>
        <family val="2"/>
      </rPr>
      <t>2</t>
    </r>
    <r>
      <rPr>
        <sz val="10"/>
        <color rgb="FF0000FF"/>
        <rFont val="宋体"/>
        <family val="3"/>
        <charset val="134"/>
      </rPr>
      <t>、企业未按规定缴纳残疾人就业保障金，按规定缴纳的滞纳金，计入</t>
    </r>
    <r>
      <rPr>
        <sz val="10"/>
        <color rgb="FF0000FF"/>
        <rFont val="Arial Narrow"/>
        <family val="2"/>
      </rPr>
      <t>“</t>
    </r>
    <r>
      <rPr>
        <sz val="10"/>
        <color rgb="FF0000FF"/>
        <rFont val="宋体"/>
        <family val="3"/>
        <charset val="134"/>
      </rPr>
      <t>营业外支出</t>
    </r>
    <r>
      <rPr>
        <sz val="10"/>
        <color rgb="FF0000FF"/>
        <rFont val="Arial Narrow"/>
        <family val="2"/>
      </rPr>
      <t>”</t>
    </r>
    <r>
      <rPr>
        <sz val="10"/>
        <color rgb="FF0000FF"/>
        <rFont val="宋体"/>
        <family val="3"/>
        <charset val="134"/>
      </rPr>
      <t>科目。】</t>
    </r>
    <phoneticPr fontId="12" type="noConversion"/>
  </si>
  <si>
    <r>
      <rPr>
        <sz val="10"/>
        <color rgb="FF0000FF"/>
        <rFont val="宋体"/>
        <family val="3"/>
        <charset val="134"/>
      </rPr>
      <t>【</t>
    </r>
    <r>
      <rPr>
        <sz val="10"/>
        <color rgb="FF0000FF"/>
        <rFont val="Arial Narrow"/>
        <family val="2"/>
      </rPr>
      <t>1</t>
    </r>
    <r>
      <rPr>
        <sz val="10"/>
        <color rgb="FF0000FF"/>
        <rFont val="宋体"/>
        <family val="3"/>
        <charset val="134"/>
      </rPr>
      <t>、</t>
    </r>
    <r>
      <rPr>
        <sz val="10"/>
        <color rgb="FF0000FF"/>
        <rFont val="Arial Narrow"/>
        <family val="2"/>
      </rPr>
      <t>“</t>
    </r>
    <r>
      <rPr>
        <sz val="10"/>
        <color rgb="FF0000FF"/>
        <rFont val="宋体"/>
        <family val="3"/>
        <charset val="134"/>
      </rPr>
      <t>营业外支出</t>
    </r>
    <r>
      <rPr>
        <sz val="10"/>
        <color rgb="FF0000FF"/>
        <rFont val="Arial Narrow"/>
        <family val="2"/>
      </rPr>
      <t>”</t>
    </r>
    <r>
      <rPr>
        <sz val="10"/>
        <color rgb="FF0000FF"/>
        <rFont val="宋体"/>
        <family val="3"/>
        <charset val="134"/>
      </rPr>
      <t>，反映企业发生的营业利润以外的支出，主要包括公益性捐赠支出、非常损失、盘亏损失、非流动资产毁损报废损失等。不包括存货盘亏损失。】</t>
    </r>
    <phoneticPr fontId="12" type="noConversion"/>
  </si>
  <si>
    <t>结构比</t>
    <phoneticPr fontId="12" type="noConversion"/>
  </si>
  <si>
    <t>增长比例</t>
  </si>
  <si>
    <r>
      <rPr>
        <i/>
        <sz val="10"/>
        <color indexed="12"/>
        <rFont val="宋体"/>
        <family val="3"/>
        <charset val="134"/>
      </rPr>
      <t>编制说明：</t>
    </r>
    <phoneticPr fontId="12" type="noConversion"/>
  </si>
  <si>
    <r>
      <t>1</t>
    </r>
    <r>
      <rPr>
        <sz val="10"/>
        <color indexed="12"/>
        <rFont val="宋体"/>
        <family val="3"/>
        <charset val="134"/>
      </rPr>
      <t>、本科目核算企业发生的各项营业外支出，包括非流动资产处置损失、非货币性资产交换损失、债务重组损失、公益性捐赠支出、非常损失、盘亏损失等。</t>
    </r>
    <phoneticPr fontId="12" type="noConversion"/>
  </si>
  <si>
    <t>提示：本底稿适用于调整分录较多、较复杂的项目，且仅列示与本报表项目相关的审计调整。项目组可根据项目实际情况选择是否使用该底稿。</t>
    <phoneticPr fontId="12" type="noConversion"/>
  </si>
  <si>
    <r>
      <t xml:space="preserve">A. </t>
    </r>
    <r>
      <rPr>
        <sz val="10"/>
        <rFont val="宋体"/>
        <family val="3"/>
        <charset val="134"/>
      </rPr>
      <t>利润表中记录的营业外支出已发生，且与被审计单位有关，已记录于恰当的账户</t>
    </r>
    <phoneticPr fontId="12" type="noConversion"/>
  </si>
  <si>
    <r>
      <t xml:space="preserve">C. </t>
    </r>
    <r>
      <rPr>
        <sz val="10"/>
        <rFont val="宋体"/>
        <family val="3"/>
        <charset val="134"/>
      </rPr>
      <t>与营业外支出有关的金额及其他数据已恰当记录，相关披露已得到恰当计量和描述</t>
    </r>
    <phoneticPr fontId="12" type="noConversion"/>
  </si>
  <si>
    <r>
      <t xml:space="preserve">E. </t>
    </r>
    <r>
      <rPr>
        <sz val="10"/>
        <rFont val="宋体"/>
        <family val="3"/>
        <charset val="134"/>
      </rPr>
      <t>已被恰当地汇总或分解且表述清楚，相关披露在按照企业会计准则的编制基础下是相关的、可理解的</t>
    </r>
    <phoneticPr fontId="12" type="noConversion"/>
  </si>
  <si>
    <t>获取或编制明细表、执行下列程序，并编制审定表：复核加计正确；将总金额与总账、明细账合计数核对相符。</t>
    <phoneticPr fontId="12" type="noConversion"/>
  </si>
  <si>
    <r>
      <t>对上期发生额的审计：结合本期审计确定营业外支出的上期金额的截止是否恰当。（</t>
    </r>
    <r>
      <rPr>
        <sz val="10"/>
        <color rgb="FFFF0000"/>
        <rFont val="宋体"/>
        <family val="3"/>
        <charset val="134"/>
      </rPr>
      <t>适用于首次承接</t>
    </r>
    <r>
      <rPr>
        <sz val="10"/>
        <rFont val="宋体"/>
        <family val="3"/>
        <charset val="134"/>
      </rPr>
      <t>）</t>
    </r>
    <phoneticPr fontId="12" type="noConversion"/>
  </si>
  <si>
    <t>分析总体合理性：
（1）分析本期营业外支出明细占比情况、与上期发生额比较，分析异常波动原因；关注明细项中是否存在不符合往年常态的项目，不符合企业经营状况，存在异常变动的项目，检查相关支持性文件；
（2）分析本期营业外支出明细各月金额及其占比，分析异常波动原因；</t>
    <phoneticPr fontId="12" type="noConversion"/>
  </si>
  <si>
    <t>考虑是否存在超出被审计单位正常经营活动的重大、异常交易等，根据评估的舞弊风险等因素增加的审计程序。</t>
    <phoneticPr fontId="12" type="noConversion"/>
  </si>
  <si>
    <t>检查营业外支出是否已按企业会计准则或其他适用的规定在财务报表中做出恰当列报和披露。</t>
    <phoneticPr fontId="12" type="noConversion"/>
  </si>
  <si>
    <t>IPO/上市/新三板/重组/舞弊应对</t>
    <phoneticPr fontId="38" type="noConversion"/>
  </si>
  <si>
    <t>8</t>
  </si>
  <si>
    <t>√</t>
    <phoneticPr fontId="12" type="noConversion"/>
  </si>
  <si>
    <t>√</t>
    <phoneticPr fontId="12" type="noConversion"/>
  </si>
  <si>
    <t>√</t>
    <phoneticPr fontId="12" type="noConversion"/>
  </si>
  <si>
    <t xml:space="preserve">提示：关注非经常性损益列报的正确性。非经常性损益是指公司发生的与生产经营无直接关系，以及虽与生产经营相关，但由于其性质、金额或发生频率，影响了真实、公允地评价公司当期经营成果和获利能力的各项收入、支出，通常与自然灾害、搬迁、捐赠等相关的收益或损失应列报为非经常性损益。
</t>
    <phoneticPr fontId="12" type="noConversion"/>
  </si>
  <si>
    <t>索引号：</t>
    <phoneticPr fontId="12" type="noConversion"/>
  </si>
  <si>
    <t>页  次：</t>
    <phoneticPr fontId="12" type="noConversion"/>
  </si>
  <si>
    <t>一、测试目标：</t>
    <phoneticPr fontId="17"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</si>
  <si>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 type="noConversion"/>
  </si>
  <si>
    <t>记账凭证</t>
    <phoneticPr fontId="12" type="noConversion"/>
  </si>
  <si>
    <t>支持性文件</t>
    <phoneticPr fontId="12" type="noConversion"/>
  </si>
  <si>
    <r>
      <rPr>
        <b/>
        <sz val="10"/>
        <rFont val="宋体"/>
        <family val="3"/>
        <charset val="134"/>
      </rPr>
      <t>核对内容</t>
    </r>
  </si>
  <si>
    <t>索引号</t>
  </si>
  <si>
    <t>是否异常</t>
    <phoneticPr fontId="12" type="noConversion"/>
  </si>
  <si>
    <t>备注说明</t>
    <phoneticPr fontId="12" type="noConversion"/>
  </si>
  <si>
    <t>日期</t>
  </si>
  <si>
    <t>凭证编号</t>
  </si>
  <si>
    <t>业务内容</t>
    <phoneticPr fontId="12" type="noConversion"/>
  </si>
  <si>
    <t>对方科目</t>
    <phoneticPr fontId="12" type="noConversion"/>
  </si>
  <si>
    <t>对方明细科目</t>
    <phoneticPr fontId="12" type="noConversion"/>
  </si>
  <si>
    <t>借方金额</t>
    <phoneticPr fontId="12" type="noConversion"/>
  </si>
  <si>
    <t>营业外支出检查表</t>
    <phoneticPr fontId="12" type="noConversion"/>
  </si>
  <si>
    <r>
      <t>1.</t>
    </r>
    <r>
      <rPr>
        <sz val="10"/>
        <rFont val="宋体"/>
        <family val="3"/>
        <charset val="134"/>
      </rPr>
      <t>所有应当记录的营业外支出均已记录，所有应当包括在财务报表中的相关披露均已包括</t>
    </r>
    <r>
      <rPr>
        <sz val="10"/>
        <rFont val="Arial Narrow"/>
        <family val="2"/>
      </rPr>
      <t xml:space="preserve">;     </t>
    </r>
    <phoneticPr fontId="12" type="noConversion"/>
  </si>
  <si>
    <r>
      <t>2.</t>
    </r>
    <r>
      <rPr>
        <sz val="10"/>
        <rFont val="宋体"/>
        <family val="3"/>
        <charset val="134"/>
      </rPr>
      <t>与营业外支出有关的金额及其他数据已恰当记录，相关披露已得到恰当计量和描述；</t>
    </r>
    <r>
      <rPr>
        <sz val="10"/>
        <rFont val="Arial Narrow"/>
        <family val="2"/>
      </rPr>
      <t xml:space="preserve">   3. </t>
    </r>
    <r>
      <rPr>
        <sz val="10"/>
        <rFont val="宋体"/>
        <family val="3"/>
        <charset val="134"/>
      </rPr>
      <t>营业外支出已记录于正确的会计期间</t>
    </r>
    <r>
      <rPr>
        <sz val="10"/>
        <rFont val="Arial Narrow"/>
        <family val="2"/>
      </rPr>
      <t xml:space="preserve"> </t>
    </r>
    <phoneticPr fontId="12" type="noConversion"/>
  </si>
  <si>
    <t>测试原因：大额（）关联方（）大额交易频繁（）异常（）其他（）</t>
    <phoneticPr fontId="12" type="noConversion"/>
  </si>
  <si>
    <t>二、测试：</t>
    <phoneticPr fontId="17" type="noConversion"/>
  </si>
  <si>
    <t>三、审计说明：</t>
    <phoneticPr fontId="17" type="noConversion"/>
  </si>
  <si>
    <t>四、审计结论：</t>
    <phoneticPr fontId="12" type="noConversion"/>
  </si>
  <si>
    <t>明细项目</t>
    <phoneticPr fontId="12" type="noConversion"/>
  </si>
  <si>
    <t>付款审批单、支出凭单、银行回单……</t>
    <phoneticPr fontId="12" type="noConversion"/>
  </si>
  <si>
    <t>检查与营业外支出有关的的记账凭证和相应的支持性证据以确定交易的真实性，是否按规定进行相应的会计处理和披露。</t>
    <phoneticPr fontId="12" type="noConversion"/>
  </si>
  <si>
    <t>√</t>
    <phoneticPr fontId="12" type="noConversion"/>
  </si>
  <si>
    <t>营业外支出检查表</t>
    <phoneticPr fontId="12" type="noConversion"/>
  </si>
  <si>
    <t>K13A</t>
  </si>
  <si>
    <t>K13-1</t>
  </si>
  <si>
    <t>K13-2</t>
  </si>
  <si>
    <t>K13-3</t>
  </si>
  <si>
    <t>K13-4</t>
  </si>
  <si>
    <t>K13-1
/K13-2</t>
  </si>
  <si>
    <r>
      <rPr>
        <sz val="10"/>
        <rFont val="宋体"/>
        <family val="3"/>
        <charset val="134"/>
      </rPr>
      <t>被审计单位：</t>
    </r>
    <r>
      <rPr>
        <sz val="10"/>
        <rFont val="Arial Narrow"/>
        <family val="2"/>
      </rPr>
      <t/>
    </r>
    <phoneticPr fontId="12" type="noConversion"/>
  </si>
  <si>
    <t>编制人：</t>
    <phoneticPr fontId="12" type="noConversion"/>
  </si>
  <si>
    <t>编制日期：</t>
    <phoneticPr fontId="12" type="noConversion"/>
  </si>
  <si>
    <t>复核人：</t>
    <phoneticPr fontId="12" type="noConversion"/>
  </si>
  <si>
    <t>复核日期：</t>
    <phoneticPr fontId="12" type="noConversion"/>
  </si>
  <si>
    <r>
      <rPr>
        <sz val="10"/>
        <rFont val="宋体"/>
        <family val="3"/>
        <charset val="134"/>
      </rPr>
      <t>完整性</t>
    </r>
    <phoneticPr fontId="12" type="noConversion"/>
  </si>
  <si>
    <t>准确性</t>
    <phoneticPr fontId="12" type="noConversion"/>
  </si>
  <si>
    <t>截止</t>
    <phoneticPr fontId="12" type="noConversion"/>
  </si>
  <si>
    <r>
      <t xml:space="preserve">B. </t>
    </r>
    <r>
      <rPr>
        <sz val="10"/>
        <rFont val="宋体"/>
        <family val="3"/>
        <charset val="134"/>
      </rPr>
      <t>所有应当记录的营业外支出均已记录，所有应当包括在财务报表中的相关披露均已包括</t>
    </r>
    <phoneticPr fontId="12" type="noConversion"/>
  </si>
  <si>
    <r>
      <t xml:space="preserve">D. </t>
    </r>
    <r>
      <rPr>
        <sz val="10"/>
        <rFont val="宋体"/>
        <family val="3"/>
        <charset val="134"/>
      </rPr>
      <t>营业外支出已记录于正确的会计期间</t>
    </r>
    <phoneticPr fontId="12" type="noConversion"/>
  </si>
  <si>
    <r>
      <rPr>
        <sz val="10"/>
        <rFont val="宋体"/>
        <family val="3"/>
        <charset val="134"/>
      </rPr>
      <t>会计期间：</t>
    </r>
    <r>
      <rPr>
        <sz val="10"/>
        <rFont val="Arial Narrow"/>
        <family val="2"/>
      </rPr>
      <t>202X</t>
    </r>
    <r>
      <rPr>
        <sz val="10"/>
        <rFont val="宋体"/>
        <family val="3"/>
        <charset val="134"/>
      </rPr>
      <t>年度</t>
    </r>
    <phoneticPr fontId="12" type="noConversion"/>
  </si>
  <si>
    <t>关于工作底稿与审计程序索引号对应的说明</t>
    <phoneticPr fontId="12"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</si>
  <si>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</si>
  <si>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12"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</si>
  <si>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12" type="noConversion"/>
  </si>
  <si>
    <t>根据被审计单位实际情况和风险评估情况裁剪、修改或增加审计程序</t>
    <phoneticPr fontId="12" type="noConversion"/>
  </si>
  <si>
    <t>审计程序</t>
    <phoneticPr fontId="38" type="noConversion"/>
  </si>
  <si>
    <t>合计</t>
    <phoneticPr fontId="12" type="noConversion"/>
  </si>
  <si>
    <t>本期发生额</t>
    <phoneticPr fontId="12" type="noConversion"/>
  </si>
  <si>
    <t>检查比例</t>
    <phoneticPr fontId="12" type="noConversion"/>
  </si>
  <si>
    <t>非流动资产毁损报废（扣保险赔款）</t>
    <phoneticPr fontId="12" type="noConversion"/>
  </si>
  <si>
    <t>公益性捐赠</t>
    <phoneticPr fontId="12" type="noConversion"/>
  </si>
  <si>
    <t>盘亏损失（不包括存货盘亏）</t>
    <phoneticPr fontId="12" type="noConversion"/>
  </si>
  <si>
    <t>非常损失（如自然灾害等非常原因造成的存货毁损）</t>
    <phoneticPr fontId="12" type="noConversion"/>
  </si>
  <si>
    <t>碳排放配额使用和注销损失</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</si>
</sst>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0">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0_ "/>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
    <numFmt numFmtId="196" formatCode="0.0%"/>
    <numFmt numFmtId="197" formatCode="#,##0;\-#,##0;&quot;-&quot;"/>
    <numFmt numFmtId="198" formatCode="\(#,##0\)\ "/>
    <numFmt numFmtId="199" formatCode="[Blue]0.0%;[Blue]\(0.0%\)"/>
    <numFmt numFmtId="200" formatCode="0.0%;\(0.0%\)"/>
    <numFmt numFmtId="201" formatCode="[Red]0.0%;[Red]\(0.0%\)"/>
    <numFmt numFmtId="202" formatCode="[Blue]#,##0_);[Blue]\(#,##0\)"/>
    <numFmt numFmtId="203" formatCode="#,##0_);[Blue]\(#,##0\)"/>
    <numFmt numFmtId="204" formatCode="&quot;$&quot;#,##0;[Red]&quot;$&quot;&quot;$&quot;&quot;$&quot;&quot;$&quot;&quot;$&quot;&quot;$&quot;&quot;$&quot;\-#,##0"/>
    <numFmt numFmtId="205" formatCode="#,##0;\(#,##0\)"/>
    <numFmt numFmtId="206" formatCode="#,##0.0_);\(#,##0.0\)"/>
    <numFmt numFmtId="207" formatCode="hh:mm\ AM/PM_)"/>
    <numFmt numFmtId="208" formatCode="&quot;$&quot;#,##0.00_);\(&quot;$&quot;#,##0.00\)"/>
    <numFmt numFmtId="209" formatCode=";;;"/>
    <numFmt numFmtId="210" formatCode="\$#,##0.00;\(\$#,##0.00\)"/>
    <numFmt numFmtId="211" formatCode="\$#,##0;\(\$#,##0\)"/>
    <numFmt numFmtId="212" formatCode="_(&quot;$&quot;* #,##0_);_(&quot;$&quot;* \(#,##0\);_(&quot;$&quot;* &quot;-&quot;_);_(@_)"/>
    <numFmt numFmtId="213" formatCode="_(&quot;$&quot;* #,##0.00_);_(&quot;$&quot;* \(#,##0.00\);_(&quot;$&quot;* &quot;-&quot;??_);_(@_)"/>
    <numFmt numFmtId="214" formatCode="_-* #,##0_-;\-* #,##0_-;_-* &quot;-&quot;??_-;_-@_-"/>
    <numFmt numFmtId="215" formatCode="0.00000000000_);[Red]\(0.00000000000\)"/>
    <numFmt numFmtId="216" formatCode="0%_);\(0%\)"/>
    <numFmt numFmtId="217" formatCode="\ \ @"/>
    <numFmt numFmtId="218" formatCode="#,##0_);\(#,##0_)"/>
    <numFmt numFmtId="219" formatCode="0.0000000"/>
    <numFmt numFmtId="220" formatCode="\¥#,##0.00;[Red]\¥\-#,##0.00"/>
    <numFmt numFmtId="221" formatCode="0.000000"/>
    <numFmt numFmtId="222" formatCode="0.00000000"/>
    <numFmt numFmtId="22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4">
    <font>
      <sz val="12"/>
      <name val="宋体"/>
      <charset val="134"/>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sz val="10"/>
      <name val="Arial Narrow"/>
      <family val="2"/>
    </font>
    <font>
      <sz val="18"/>
      <color indexed="48"/>
      <name val="魏碑"/>
      <family val="3"/>
      <charset val="134"/>
    </font>
    <font>
      <b/>
      <sz val="12"/>
      <name val="Arial Narrow"/>
      <family val="2"/>
    </font>
    <font>
      <sz val="12"/>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b/>
      <sz val="10"/>
      <name val="宋体"/>
      <family val="3"/>
      <charset val="134"/>
    </font>
    <font>
      <sz val="10"/>
      <name val="宋体"/>
      <family val="3"/>
      <charset val="134"/>
    </font>
    <font>
      <sz val="10"/>
      <color indexed="12"/>
      <name val="宋体"/>
      <family val="3"/>
      <charset val="134"/>
    </font>
    <font>
      <i/>
      <sz val="10"/>
      <color indexed="12"/>
      <name val="宋体"/>
      <family val="3"/>
      <charset val="134"/>
    </font>
    <font>
      <b/>
      <sz val="12"/>
      <name val="宋体"/>
      <family val="3"/>
      <charset val="134"/>
    </font>
    <font>
      <b/>
      <sz val="10"/>
      <color indexed="8"/>
      <name val="Arial Narrow"/>
      <family val="2"/>
    </font>
    <font>
      <b/>
      <sz val="10"/>
      <color indexed="8"/>
      <name val="宋体"/>
      <family val="3"/>
      <charset val="134"/>
    </font>
    <font>
      <b/>
      <sz val="10"/>
      <color rgb="FFFF0000"/>
      <name val="宋体"/>
      <family val="3"/>
      <charset val="134"/>
    </font>
    <font>
      <i/>
      <sz val="10"/>
      <color indexed="12"/>
      <name val="Arial Narrow"/>
      <family val="2"/>
    </font>
    <font>
      <sz val="10.5"/>
      <name val="Arial Narrow"/>
      <family val="2"/>
    </font>
    <font>
      <b/>
      <sz val="14"/>
      <name val="Arial Narrow"/>
      <family val="2"/>
    </font>
    <font>
      <sz val="10"/>
      <color rgb="FF0000FF"/>
      <name val="Arial Narrow"/>
      <family val="2"/>
    </font>
    <font>
      <sz val="10"/>
      <color rgb="FF0000FF"/>
      <name val="宋体"/>
      <family val="3"/>
      <charset val="134"/>
    </font>
    <font>
      <b/>
      <sz val="10"/>
      <name val="Arial"/>
      <family val="2"/>
    </font>
    <font>
      <sz val="9"/>
      <name val="宋体"/>
      <family val="2"/>
      <charset val="134"/>
      <scheme val="minor"/>
    </font>
    <font>
      <sz val="10"/>
      <color theme="1"/>
      <name val="宋体"/>
      <family val="3"/>
      <charset val="134"/>
    </font>
    <font>
      <b/>
      <sz val="10"/>
      <color theme="1"/>
      <name val="宋体"/>
      <family val="3"/>
      <charset val="134"/>
    </font>
    <font>
      <sz val="10"/>
      <name val="Arial"/>
      <family val="2"/>
      <charset val="134"/>
    </font>
    <font>
      <sz val="10"/>
      <color indexed="8"/>
      <name val="Arial"/>
      <family val="2"/>
      <charset val="134"/>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charset val="134"/>
    </font>
    <font>
      <b/>
      <sz val="8"/>
      <name val="Arial"/>
      <family val="2"/>
      <charset val="134"/>
    </font>
    <font>
      <sz val="10"/>
      <color indexed="8"/>
      <name val="Arial"/>
      <family val="2"/>
    </font>
    <font>
      <sz val="9"/>
      <name val="Times New Roman"/>
      <family val="1"/>
      <charset val="134"/>
    </font>
    <font>
      <sz val="8"/>
      <name val="Arial"/>
      <family val="2"/>
      <charset val="134"/>
    </font>
    <font>
      <i/>
      <sz val="11"/>
      <color indexed="23"/>
      <name val="Calibri"/>
      <family val="2"/>
    </font>
    <font>
      <sz val="11"/>
      <color indexed="17"/>
      <name val="Calibri"/>
      <family val="2"/>
    </font>
    <font>
      <b/>
      <sz val="12"/>
      <name val="Helv"/>
      <family val="2"/>
    </font>
    <font>
      <b/>
      <sz val="12"/>
      <name val="Arial"/>
      <family val="2"/>
      <charset val="134"/>
    </font>
    <font>
      <b/>
      <sz val="10"/>
      <name val="Arial"/>
      <family val="2"/>
      <charset val="134"/>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charset val="134"/>
    </font>
    <font>
      <sz val="10"/>
      <name val="MS Sans Serif"/>
      <family val="2"/>
      <charset val="134"/>
    </font>
    <font>
      <sz val="10"/>
      <color indexed="8"/>
      <name val="MS Sans Serif"/>
      <family val="2"/>
      <charset val="134"/>
    </font>
    <font>
      <b/>
      <sz val="11"/>
      <color indexed="63"/>
      <name val="Calibri"/>
      <family val="2"/>
    </font>
    <font>
      <sz val="8"/>
      <color indexed="16"/>
      <name val="Century Schoolbook"/>
      <family val="1"/>
      <charset val="134"/>
    </font>
    <font>
      <b/>
      <i/>
      <sz val="10"/>
      <name val="Times New Roman"/>
      <family val="1"/>
      <charset val="134"/>
    </font>
    <font>
      <b/>
      <sz val="12"/>
      <name val="MS Sans Serif"/>
      <family val="2"/>
      <charset val="134"/>
    </font>
    <font>
      <sz val="12"/>
      <name val="MS Sans Serif"/>
      <family val="2"/>
      <charset val="134"/>
    </font>
    <font>
      <b/>
      <sz val="10"/>
      <color indexed="10"/>
      <name val="Arial"/>
      <family val="2"/>
      <charset val="134"/>
    </font>
    <font>
      <b/>
      <sz val="9"/>
      <name val="Times New Roman"/>
      <family val="1"/>
      <charset val="134"/>
    </font>
    <font>
      <b/>
      <sz val="11"/>
      <color indexed="8"/>
      <name val="Calibri"/>
      <family val="2"/>
    </font>
    <font>
      <sz val="11"/>
      <color indexed="10"/>
      <name val="Calibri"/>
      <family val="2"/>
    </font>
    <font>
      <sz val="8"/>
      <name val="Century Schoolbook"/>
      <family val="1"/>
      <charset val="134"/>
    </font>
    <font>
      <sz val="12"/>
      <color indexed="20"/>
      <name val="宋体"/>
      <family val="3"/>
      <charset val="134"/>
    </font>
    <font>
      <sz val="11"/>
      <color theme="1"/>
      <name val="宋体"/>
      <family val="3"/>
      <charset val="134"/>
      <scheme val="minor"/>
    </font>
    <font>
      <sz val="12"/>
      <color indexed="8"/>
      <name val="宋体"/>
      <family val="3"/>
      <charset val="134"/>
    </font>
    <font>
      <sz val="11"/>
      <color indexed="8"/>
      <name val="宋体"/>
      <family val="3"/>
      <charset val="134"/>
    </font>
    <font>
      <sz val="11"/>
      <color theme="1"/>
      <name val="宋体"/>
      <family val="2"/>
      <charset val="134"/>
      <scheme val="minor"/>
    </font>
    <font>
      <sz val="10"/>
      <color indexed="8"/>
      <name val="Tahoma"/>
      <family val="2"/>
      <charset val="134"/>
    </font>
    <font>
      <u/>
      <sz val="10"/>
      <color indexed="12"/>
      <name val="宋体"/>
      <family val="3"/>
      <charset val="134"/>
    </font>
    <font>
      <b/>
      <sz val="10"/>
      <name val="MS Sans Serif"/>
      <family val="2"/>
      <charset val="134"/>
    </font>
    <font>
      <sz val="10"/>
      <color indexed="17"/>
      <name val="Times New Roman"/>
      <family val="1"/>
    </font>
    <font>
      <sz val="10"/>
      <name val="Times New Roman"/>
      <family val="1"/>
      <charset val="134"/>
    </font>
    <font>
      <sz val="11"/>
      <name val="蹈框"/>
      <charset val="134"/>
    </font>
    <font>
      <sz val="12"/>
      <name val="바탕체"/>
      <family val="3"/>
      <charset val="134"/>
    </font>
    <font>
      <b/>
      <sz val="10"/>
      <name val="宋体"/>
      <family val="3"/>
      <charset val="134"/>
      <scheme val="minor"/>
    </font>
    <font>
      <b/>
      <sz val="10"/>
      <color rgb="FFE92841"/>
      <name val="Arial Narrow"/>
      <family val="2"/>
    </font>
    <font>
      <sz val="10"/>
      <color rgb="FFFF0000"/>
      <name val="宋体"/>
      <family val="3"/>
      <charset val="134"/>
    </font>
    <font>
      <sz val="12"/>
      <color indexed="12"/>
      <name val="仿宋_GB2312"/>
      <family val="3"/>
      <charset val="134"/>
    </font>
    <font>
      <b/>
      <sz val="12"/>
      <name val="宋体"/>
      <family val="3"/>
      <charset val="134"/>
      <scheme val="minor"/>
    </font>
    <font>
      <sz val="12"/>
      <name val="宋体"/>
      <family val="3"/>
      <charset val="134"/>
      <scheme val="minor"/>
    </font>
    <font>
      <sz val="10"/>
      <name val="宋体"/>
      <family val="3"/>
      <charset val="134"/>
      <scheme val="minor"/>
    </font>
    <font>
      <sz val="10"/>
      <color rgb="FF0000FF"/>
      <name val="宋体"/>
      <family val="3"/>
      <charset val="134"/>
      <scheme val="minor"/>
    </font>
    <font>
      <u/>
      <sz val="10"/>
      <color indexed="12"/>
      <name val="Arial Narrow"/>
      <family val="2"/>
    </font>
    <font>
      <b/>
      <sz val="10"/>
      <color theme="1"/>
      <name val="Arial Narrow"/>
      <family val="2"/>
    </font>
    <font>
      <sz val="10"/>
      <color theme="1"/>
      <name val="Arial Narrow"/>
      <family val="2"/>
    </font>
    <font>
      <sz val="10"/>
      <color indexed="8"/>
      <name val="Arial Narrow"/>
      <family val="2"/>
    </font>
    <font>
      <sz val="10"/>
      <color rgb="FF000000"/>
      <name val="宋体"/>
      <family val="2"/>
      <charset val="134"/>
    </font>
    <font>
      <sz val="9"/>
      <color rgb="FF0000FF"/>
      <name val="Arial Narrow"/>
      <family val="2"/>
    </font>
    <font>
      <sz val="9"/>
      <color rgb="FF0000FF"/>
      <name val="宋体"/>
      <family val="3"/>
      <charset val="134"/>
    </font>
    <font>
      <sz val="10"/>
      <color rgb="FFFF0000"/>
      <name val="Arial Narrow"/>
      <family val="2"/>
    </font>
    <font>
      <b/>
      <sz val="14"/>
      <name val="宋体"/>
      <family val="3"/>
      <charset val="134"/>
    </font>
    <font>
      <b/>
      <sz val="14"/>
      <name val="宋体"/>
      <family val="3"/>
      <charset val="134"/>
      <scheme val="minor"/>
    </font>
    <font>
      <sz val="10"/>
      <color theme="1"/>
      <name val="宋体"/>
      <family val="3"/>
      <charset val="134"/>
      <scheme val="minor"/>
    </font>
    <font>
      <sz val="11"/>
      <color theme="1"/>
      <name val="宋体"/>
      <family val="2"/>
      <scheme val="minor"/>
    </font>
    <font>
      <b/>
      <sz val="9"/>
      <color indexed="81"/>
      <name val="宋体"/>
      <family val="3"/>
      <charset val="134"/>
    </font>
    <font>
      <sz val="9"/>
      <color indexed="81"/>
      <name val="宋体"/>
      <family val="3"/>
      <charset val="134"/>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E4DFEC"/>
        <bgColor indexed="64"/>
      </patternFill>
    </fill>
    <fill>
      <patternFill patternType="solid">
        <fgColor theme="0" tint="-0.14999847407452621"/>
        <bgColor indexed="64"/>
      </patternFill>
    </fill>
    <fill>
      <patternFill patternType="solid">
        <fgColor theme="7" tint="0.79998168889431442"/>
        <bgColor rgb="FFB7DEE8"/>
      </patternFill>
    </fill>
  </fills>
  <borders count="2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hair">
        <color auto="1"/>
      </bottom>
      <diagonal/>
    </border>
  </borders>
  <cellStyleXfs count="309">
    <xf numFmtId="0" fontId="0" fillId="0" borderId="0">
      <protection locked="0"/>
    </xf>
    <xf numFmtId="49" fontId="15" fillId="0" borderId="0" applyProtection="0">
      <alignment horizontal="left"/>
    </xf>
    <xf numFmtId="188" fontId="15" fillId="0" borderId="0" applyFill="0" applyBorder="0" applyProtection="0">
      <alignment horizontal="right"/>
    </xf>
    <xf numFmtId="185" fontId="15" fillId="0" borderId="0" applyFill="0" applyBorder="0" applyProtection="0">
      <alignment horizontal="right"/>
    </xf>
    <xf numFmtId="187" fontId="22" fillId="0" borderId="0" applyFill="0" applyBorder="0" applyProtection="0">
      <alignment horizontal="center"/>
    </xf>
    <xf numFmtId="186" fontId="22" fillId="0" borderId="0" applyFill="0" applyBorder="0" applyProtection="0">
      <alignment horizontal="center"/>
    </xf>
    <xf numFmtId="189" fontId="23" fillId="0" borderId="0" applyFill="0" applyBorder="0" applyProtection="0">
      <alignment horizontal="right"/>
    </xf>
    <xf numFmtId="190" fontId="15" fillId="0" borderId="0" applyFill="0" applyBorder="0" applyProtection="0">
      <alignment horizontal="right"/>
    </xf>
    <xf numFmtId="191" fontId="15" fillId="0" borderId="0" applyFill="0" applyBorder="0" applyProtection="0">
      <alignment horizontal="right"/>
    </xf>
    <xf numFmtId="194" fontId="15" fillId="0" borderId="0" applyFill="0" applyBorder="0" applyProtection="0">
      <alignment horizontal="right"/>
    </xf>
    <xf numFmtId="193" fontId="15" fillId="0" borderId="0" applyFill="0" applyBorder="0" applyProtection="0">
      <alignment horizontal="right"/>
    </xf>
    <xf numFmtId="3" fontId="2" fillId="0" borderId="0"/>
    <xf numFmtId="178" fontId="3" fillId="0" borderId="1" applyAlignment="0" applyProtection="0"/>
    <xf numFmtId="41" fontId="4" fillId="0" borderId="0" applyFont="0" applyFill="0" applyBorder="0" applyAlignment="0" applyProtection="0"/>
    <xf numFmtId="43" fontId="4" fillId="0" borderId="0" applyFont="0" applyFill="0" applyBorder="0" applyAlignment="0" applyProtection="0"/>
    <xf numFmtId="192" fontId="15" fillId="0" borderId="0" applyFont="0" applyFill="0" applyBorder="0" applyAlignment="0" applyProtection="0"/>
    <xf numFmtId="0" fontId="5" fillId="0" borderId="0" applyNumberFormat="0" applyFill="0" applyBorder="0" applyAlignment="0" applyProtection="0">
      <alignment vertical="top"/>
      <protection locked="0"/>
    </xf>
    <xf numFmtId="38" fontId="6" fillId="2" borderId="0" applyNumberFormat="0" applyBorder="0" applyAlignment="0" applyProtection="0"/>
    <xf numFmtId="0" fontId="7" fillId="0" borderId="0" applyNumberFormat="0" applyFill="0" applyBorder="0" applyAlignment="0" applyProtection="0">
      <alignment vertical="top"/>
      <protection locked="0"/>
    </xf>
    <xf numFmtId="10" fontId="6" fillId="3" borderId="2" applyNumberFormat="0" applyBorder="0" applyAlignment="0" applyProtection="0"/>
    <xf numFmtId="182" fontId="8" fillId="0" borderId="0" applyFont="0" applyFill="0" applyBorder="0" applyAlignment="0" applyProtection="0"/>
    <xf numFmtId="183" fontId="8" fillId="0" borderId="0" applyFont="0" applyFill="0" applyBorder="0" applyAlignment="0" applyProtection="0"/>
    <xf numFmtId="0" fontId="9" fillId="0" borderId="0"/>
    <xf numFmtId="181" fontId="8" fillId="0" borderId="0"/>
    <xf numFmtId="10" fontId="4" fillId="0" borderId="0" applyFont="0" applyFill="0" applyBorder="0" applyAlignment="0" applyProtection="0"/>
    <xf numFmtId="3" fontId="10" fillId="0" borderId="0"/>
    <xf numFmtId="9" fontId="8" fillId="0" borderId="0" applyFont="0" applyFill="0" applyBorder="0" applyAlignment="0" applyProtection="0"/>
    <xf numFmtId="0" fontId="8" fillId="0" borderId="0">
      <alignment vertical="center"/>
    </xf>
    <xf numFmtId="0" fontId="8" fillId="0" borderId="0">
      <alignment vertical="center"/>
    </xf>
    <xf numFmtId="0" fontId="8" fillId="0" borderId="0"/>
    <xf numFmtId="0" fontId="8" fillId="0" borderId="0">
      <protection locked="0"/>
    </xf>
    <xf numFmtId="0" fontId="8" fillId="0" borderId="0" applyFill="0" applyBorder="0"/>
    <xf numFmtId="0" fontId="8" fillId="0" borderId="0">
      <alignment vertical="center"/>
    </xf>
    <xf numFmtId="0" fontId="11" fillId="0" borderId="0" applyNumberFormat="0" applyFill="0" applyBorder="0" applyAlignment="0" applyProtection="0">
      <alignment vertical="top"/>
      <protection locked="0"/>
    </xf>
    <xf numFmtId="43" fontId="8" fillId="0" borderId="0" applyFont="0" applyFill="0" applyBorder="0" applyAlignment="0" applyProtection="0"/>
    <xf numFmtId="0" fontId="8" fillId="0" borderId="0"/>
    <xf numFmtId="192" fontId="8" fillId="0" borderId="0">
      <alignment vertical="center"/>
    </xf>
    <xf numFmtId="192" fontId="8" fillId="0" borderId="0">
      <alignment vertical="center"/>
      <protection locked="0"/>
    </xf>
    <xf numFmtId="192" fontId="8" fillId="0" borderId="0">
      <alignment vertical="center"/>
    </xf>
    <xf numFmtId="0" fontId="8" fillId="0" borderId="0">
      <protection locked="0"/>
    </xf>
    <xf numFmtId="0" fontId="4" fillId="0" borderId="0"/>
    <xf numFmtId="192" fontId="41" fillId="0" borderId="0">
      <alignment vertical="center"/>
    </xf>
    <xf numFmtId="192" fontId="41" fillId="0" borderId="0">
      <alignment vertical="center"/>
    </xf>
    <xf numFmtId="192" fontId="41" fillId="0" borderId="0">
      <alignment vertical="center"/>
    </xf>
    <xf numFmtId="192" fontId="41" fillId="0" borderId="0">
      <alignment vertical="center"/>
    </xf>
    <xf numFmtId="192" fontId="42" fillId="0" borderId="0">
      <alignment vertical="top"/>
      <protection locked="0"/>
    </xf>
    <xf numFmtId="192" fontId="42" fillId="0" borderId="0">
      <alignment vertical="top"/>
      <protection locked="0"/>
    </xf>
    <xf numFmtId="192" fontId="42" fillId="0" borderId="0">
      <alignment vertical="top"/>
      <protection locked="0"/>
    </xf>
    <xf numFmtId="192" fontId="42" fillId="0" borderId="0">
      <alignment vertical="top"/>
    </xf>
    <xf numFmtId="0" fontId="43" fillId="0" borderId="0"/>
    <xf numFmtId="192" fontId="42" fillId="0" borderId="0">
      <alignment vertical="top"/>
    </xf>
    <xf numFmtId="192" fontId="42" fillId="0" borderId="0">
      <alignment vertical="top"/>
      <protection locked="0"/>
    </xf>
    <xf numFmtId="192" fontId="42" fillId="0" borderId="0">
      <alignment vertical="top"/>
    </xf>
    <xf numFmtId="192" fontId="42" fillId="0" borderId="0">
      <alignment vertical="top"/>
    </xf>
    <xf numFmtId="192" fontId="42" fillId="0" borderId="0">
      <alignment vertical="top"/>
      <protection locked="0"/>
    </xf>
    <xf numFmtId="192" fontId="42" fillId="0" borderId="0">
      <alignment vertical="top"/>
      <protection locked="0"/>
    </xf>
    <xf numFmtId="192" fontId="42" fillId="0" borderId="0">
      <alignment vertical="top"/>
      <protection locked="0"/>
    </xf>
    <xf numFmtId="192" fontId="42" fillId="0" borderId="0">
      <alignment vertical="top"/>
    </xf>
    <xf numFmtId="192" fontId="42" fillId="0" borderId="0">
      <alignment vertical="top"/>
    </xf>
    <xf numFmtId="192" fontId="42" fillId="0" borderId="0">
      <alignment vertical="top"/>
      <protection locked="0"/>
    </xf>
    <xf numFmtId="192" fontId="42" fillId="0" borderId="0">
      <alignment vertical="top"/>
    </xf>
    <xf numFmtId="192" fontId="42" fillId="0" borderId="0">
      <alignment vertical="top"/>
    </xf>
    <xf numFmtId="192" fontId="42" fillId="0" borderId="0">
      <alignment vertical="top"/>
    </xf>
    <xf numFmtId="192" fontId="42" fillId="0" borderId="0">
      <alignment vertical="top"/>
      <protection locked="0"/>
    </xf>
    <xf numFmtId="192" fontId="42" fillId="0" borderId="0">
      <alignment vertical="top"/>
    </xf>
    <xf numFmtId="192" fontId="42" fillId="0" borderId="0">
      <alignment vertical="top"/>
      <protection locked="0"/>
    </xf>
    <xf numFmtId="192" fontId="42" fillId="0" borderId="0">
      <alignment vertical="top"/>
      <protection locked="0"/>
    </xf>
    <xf numFmtId="192" fontId="42" fillId="0" borderId="0">
      <alignment vertical="top"/>
      <protection locked="0"/>
    </xf>
    <xf numFmtId="192" fontId="42" fillId="0" borderId="0">
      <alignment vertical="top"/>
    </xf>
    <xf numFmtId="192" fontId="42" fillId="0" borderId="0">
      <alignment vertical="top"/>
    </xf>
    <xf numFmtId="192" fontId="42" fillId="0" borderId="0">
      <alignment vertical="top"/>
    </xf>
    <xf numFmtId="192" fontId="42" fillId="0" borderId="0">
      <alignment vertical="top"/>
    </xf>
    <xf numFmtId="192" fontId="42" fillId="0" borderId="0">
      <alignment vertical="top"/>
      <protection locked="0"/>
    </xf>
    <xf numFmtId="192" fontId="42" fillId="0" borderId="0">
      <alignment vertical="top"/>
      <protection locked="0"/>
    </xf>
    <xf numFmtId="192" fontId="42" fillId="0" borderId="0">
      <alignment vertical="top"/>
    </xf>
    <xf numFmtId="192" fontId="42" fillId="0" borderId="0">
      <alignment vertical="top"/>
      <protection locked="0"/>
    </xf>
    <xf numFmtId="195" fontId="8" fillId="0" borderId="0" applyFont="0" applyFill="0" applyBorder="0" applyAlignment="0" applyProtection="0">
      <alignment vertical="center"/>
    </xf>
    <xf numFmtId="196" fontId="8" fillId="0" borderId="0" applyFont="0" applyFill="0" applyBorder="0" applyAlignment="0" applyProtection="0">
      <alignment vertical="center"/>
    </xf>
    <xf numFmtId="10" fontId="8" fillId="0" borderId="0" applyFont="0" applyFill="0" applyBorder="0" applyAlignment="0" applyProtection="0">
      <alignment vertical="center"/>
    </xf>
    <xf numFmtId="192" fontId="44" fillId="6" borderId="0" applyNumberFormat="0" applyBorder="0" applyAlignment="0" applyProtection="0"/>
    <xf numFmtId="192" fontId="44" fillId="7" borderId="0" applyNumberFormat="0" applyBorder="0" applyAlignment="0" applyProtection="0"/>
    <xf numFmtId="192" fontId="44" fillId="8" borderId="0" applyNumberFormat="0" applyBorder="0" applyAlignment="0" applyProtection="0"/>
    <xf numFmtId="192" fontId="44" fillId="9" borderId="0" applyNumberFormat="0" applyBorder="0" applyAlignment="0" applyProtection="0"/>
    <xf numFmtId="192" fontId="44" fillId="10" borderId="0" applyNumberFormat="0" applyBorder="0" applyAlignment="0" applyProtection="0"/>
    <xf numFmtId="192" fontId="44" fillId="11" borderId="0" applyNumberFormat="0" applyBorder="0" applyAlignment="0" applyProtection="0"/>
    <xf numFmtId="192" fontId="44" fillId="12" borderId="0" applyNumberFormat="0" applyBorder="0" applyAlignment="0" applyProtection="0"/>
    <xf numFmtId="192" fontId="44" fillId="13" borderId="0" applyNumberFormat="0" applyBorder="0" applyAlignment="0" applyProtection="0"/>
    <xf numFmtId="192" fontId="44" fillId="14" borderId="0" applyNumberFormat="0" applyBorder="0" applyAlignment="0" applyProtection="0"/>
    <xf numFmtId="192" fontId="44" fillId="9" borderId="0" applyNumberFormat="0" applyBorder="0" applyAlignment="0" applyProtection="0"/>
    <xf numFmtId="192" fontId="44" fillId="12" borderId="0" applyNumberFormat="0" applyBorder="0" applyAlignment="0" applyProtection="0"/>
    <xf numFmtId="192" fontId="44" fillId="15" borderId="0" applyNumberFormat="0" applyBorder="0" applyAlignment="0" applyProtection="0"/>
    <xf numFmtId="192" fontId="45" fillId="16" borderId="0" applyNumberFormat="0" applyBorder="0" applyAlignment="0" applyProtection="0"/>
    <xf numFmtId="192" fontId="45" fillId="13" borderId="0" applyNumberFormat="0" applyBorder="0" applyAlignment="0" applyProtection="0"/>
    <xf numFmtId="192" fontId="45" fillId="14" borderId="0" applyNumberFormat="0" applyBorder="0" applyAlignment="0" applyProtection="0"/>
    <xf numFmtId="192" fontId="45" fillId="17" borderId="0" applyNumberFormat="0" applyBorder="0" applyAlignment="0" applyProtection="0"/>
    <xf numFmtId="192" fontId="45" fillId="18" borderId="0" applyNumberFormat="0" applyBorder="0" applyAlignment="0" applyProtection="0"/>
    <xf numFmtId="192" fontId="45" fillId="19" borderId="0" applyNumberFormat="0" applyBorder="0" applyAlignment="0" applyProtection="0"/>
    <xf numFmtId="192" fontId="45" fillId="20" borderId="0" applyNumberFormat="0" applyBorder="0" applyAlignment="0" applyProtection="0"/>
    <xf numFmtId="192" fontId="45" fillId="21" borderId="0" applyNumberFormat="0" applyBorder="0" applyAlignment="0" applyProtection="0"/>
    <xf numFmtId="192" fontId="45" fillId="22" borderId="0" applyNumberFormat="0" applyBorder="0" applyAlignment="0" applyProtection="0"/>
    <xf numFmtId="192" fontId="45" fillId="17" borderId="0" applyNumberFormat="0" applyBorder="0" applyAlignment="0" applyProtection="0"/>
    <xf numFmtId="192" fontId="45" fillId="18" borderId="0" applyNumberFormat="0" applyBorder="0" applyAlignment="0" applyProtection="0"/>
    <xf numFmtId="192" fontId="45" fillId="23" borderId="0" applyNumberFormat="0" applyBorder="0" applyAlignment="0" applyProtection="0"/>
    <xf numFmtId="192" fontId="46" fillId="7" borderId="0" applyNumberFormat="0" applyBorder="0" applyAlignment="0" applyProtection="0"/>
    <xf numFmtId="197" fontId="42" fillId="0" borderId="0" applyFill="0" applyBorder="0" applyAlignment="0">
      <alignment vertical="center"/>
    </xf>
    <xf numFmtId="198" fontId="4" fillId="0" borderId="0" applyFill="0" applyBorder="0" applyAlignment="0"/>
    <xf numFmtId="199" fontId="4" fillId="0" borderId="0" applyFill="0" applyBorder="0" applyAlignment="0"/>
    <xf numFmtId="200" fontId="4" fillId="0" borderId="0" applyFill="0" applyBorder="0" applyAlignment="0"/>
    <xf numFmtId="201"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47" fillId="24" borderId="8" applyNumberFormat="0" applyAlignment="0" applyProtection="0"/>
    <xf numFmtId="0" fontId="48" fillId="0" borderId="0"/>
    <xf numFmtId="192" fontId="49" fillId="25" borderId="9" applyNumberFormat="0" applyAlignment="0" applyProtection="0"/>
    <xf numFmtId="192" fontId="50" fillId="0" borderId="10" applyNumberFormat="0" applyFill="0" applyProtection="0">
      <alignment horizontal="center" vertical="center"/>
    </xf>
    <xf numFmtId="192" fontId="51" fillId="0" borderId="11">
      <alignment horizontal="center" vertical="center"/>
    </xf>
    <xf numFmtId="204" fontId="41" fillId="0" borderId="0">
      <alignment vertical="center"/>
    </xf>
    <xf numFmtId="204" fontId="41" fillId="0" borderId="0">
      <alignment vertical="center"/>
    </xf>
    <xf numFmtId="204" fontId="41" fillId="0" borderId="0">
      <alignment vertical="center"/>
    </xf>
    <xf numFmtId="204" fontId="41" fillId="0" borderId="0">
      <alignment vertical="center"/>
    </xf>
    <xf numFmtId="204" fontId="41" fillId="0" borderId="0">
      <alignment vertical="center"/>
    </xf>
    <xf numFmtId="204" fontId="41" fillId="0" borderId="0">
      <alignment vertical="center"/>
    </xf>
    <xf numFmtId="204" fontId="41" fillId="0" borderId="0">
      <alignment vertical="center"/>
    </xf>
    <xf numFmtId="204" fontId="41" fillId="0" borderId="0">
      <alignment vertical="center"/>
    </xf>
    <xf numFmtId="38" fontId="8" fillId="0" borderId="0" applyFont="0" applyFill="0" applyBorder="0" applyAlignment="0" applyProtection="0">
      <alignment vertical="center"/>
    </xf>
    <xf numFmtId="202" fontId="4" fillId="0" borderId="0" applyFont="0" applyFill="0" applyBorder="0" applyAlignment="0" applyProtection="0"/>
    <xf numFmtId="43" fontId="8" fillId="0" borderId="0" applyFont="0" applyFill="0" applyBorder="0" applyAlignment="0" applyProtection="0"/>
    <xf numFmtId="205" fontId="15" fillId="0" borderId="0"/>
    <xf numFmtId="37" fontId="8" fillId="0" borderId="0" applyFont="0" applyFill="0" applyBorder="0" applyAlignment="0" applyProtection="0">
      <alignment vertical="center"/>
    </xf>
    <xf numFmtId="206" fontId="8" fillId="0" borderId="0" applyFont="0" applyFill="0" applyBorder="0" applyAlignment="0" applyProtection="0">
      <alignment vertical="center"/>
    </xf>
    <xf numFmtId="39" fontId="8" fillId="0" borderId="0" applyFont="0" applyFill="0" applyBorder="0" applyAlignment="0" applyProtection="0">
      <alignment vertical="center"/>
    </xf>
    <xf numFmtId="40" fontId="8" fillId="0" borderId="0" applyFont="0" applyFill="0" applyBorder="0" applyAlignment="0" applyProtection="0">
      <alignment vertical="center"/>
    </xf>
    <xf numFmtId="207" fontId="8" fillId="0" borderId="0" applyFont="0" applyFill="0" applyBorder="0" applyAlignment="0" applyProtection="0">
      <alignment vertical="center"/>
    </xf>
    <xf numFmtId="198" fontId="4" fillId="0" borderId="0" applyFont="0" applyFill="0" applyBorder="0" applyAlignment="0" applyProtection="0"/>
    <xf numFmtId="178" fontId="8" fillId="0" borderId="0" applyFont="0" applyFill="0" applyBorder="0" applyAlignment="0" applyProtection="0">
      <alignment vertical="center"/>
    </xf>
    <xf numFmtId="208" fontId="8" fillId="0" borderId="0" applyFont="0" applyFill="0" applyBorder="0" applyAlignment="0" applyProtection="0">
      <alignment vertical="center"/>
    </xf>
    <xf numFmtId="209" fontId="8" fillId="0" borderId="0" applyFont="0" applyFill="0" applyBorder="0" applyAlignment="0" applyProtection="0">
      <alignment vertical="center"/>
    </xf>
    <xf numFmtId="210" fontId="15" fillId="0" borderId="0"/>
    <xf numFmtId="14" fontId="52" fillId="0" borderId="0" applyFill="0" applyBorder="0" applyAlignment="0"/>
    <xf numFmtId="211" fontId="15" fillId="0" borderId="0"/>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53" fillId="0" borderId="0">
      <alignment horizontal="left" vertical="center"/>
    </xf>
    <xf numFmtId="192" fontId="54" fillId="26" borderId="2">
      <alignment vertical="center"/>
    </xf>
    <xf numFmtId="192" fontId="55" fillId="0" borderId="0" applyNumberFormat="0" applyFill="0" applyBorder="0" applyAlignment="0" applyProtection="0"/>
    <xf numFmtId="192" fontId="56" fillId="8" borderId="0" applyNumberFormat="0" applyBorder="0" applyAlignment="0" applyProtection="0"/>
    <xf numFmtId="0" fontId="57" fillId="0" borderId="0">
      <alignment horizontal="left"/>
    </xf>
    <xf numFmtId="192" fontId="58" fillId="0" borderId="6" applyNumberFormat="0" applyAlignment="0" applyProtection="0">
      <alignment horizontal="left" vertical="center"/>
    </xf>
    <xf numFmtId="192" fontId="58" fillId="0" borderId="12">
      <alignment horizontal="left" vertical="center"/>
    </xf>
    <xf numFmtId="14" fontId="59" fillId="27" borderId="7">
      <alignment horizontal="center" vertical="center" wrapText="1"/>
    </xf>
    <xf numFmtId="192" fontId="60" fillId="0" borderId="13" applyNumberFormat="0" applyFill="0" applyAlignment="0" applyProtection="0"/>
    <xf numFmtId="192" fontId="61" fillId="0" borderId="14" applyNumberFormat="0" applyFill="0" applyAlignment="0" applyProtection="0"/>
    <xf numFmtId="192" fontId="62" fillId="0" borderId="15" applyNumberFormat="0" applyFill="0" applyAlignment="0" applyProtection="0"/>
    <xf numFmtId="192" fontId="62" fillId="0" borderId="0" applyNumberFormat="0" applyFill="0" applyBorder="0" applyAlignment="0" applyProtection="0"/>
    <xf numFmtId="192" fontId="63" fillId="11" borderId="8" applyNumberFormat="0" applyAlignment="0" applyProtection="0"/>
    <xf numFmtId="192" fontId="8" fillId="0" borderId="0" applyNumberFormat="0" applyFont="0" applyFill="0" applyBorder="0" applyProtection="0">
      <alignment horizontal="left" vertical="center"/>
    </xf>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64" fillId="0" borderId="16" applyNumberFormat="0" applyFill="0" applyAlignment="0" applyProtection="0"/>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0" fontId="65" fillId="0" borderId="7"/>
    <xf numFmtId="212" fontId="8" fillId="0" borderId="0" applyFont="0" applyFill="0" applyBorder="0" applyAlignment="0" applyProtection="0">
      <alignment vertical="center"/>
    </xf>
    <xf numFmtId="213" fontId="8" fillId="0" borderId="0" applyFont="0" applyFill="0" applyBorder="0" applyAlignment="0" applyProtection="0">
      <alignment vertical="center"/>
    </xf>
    <xf numFmtId="214" fontId="8" fillId="0" borderId="0" applyFont="0" applyFill="0" applyBorder="0" applyAlignment="0" applyProtection="0">
      <alignment vertical="center"/>
    </xf>
    <xf numFmtId="215" fontId="8" fillId="0" borderId="0" applyFont="0" applyFill="0" applyBorder="0" applyAlignment="0" applyProtection="0">
      <alignment vertical="center"/>
    </xf>
    <xf numFmtId="192" fontId="66" fillId="28" borderId="0" applyNumberFormat="0" applyBorder="0" applyAlignment="0" applyProtection="0"/>
    <xf numFmtId="37" fontId="67" fillId="0" borderId="0">
      <alignment vertical="center"/>
    </xf>
    <xf numFmtId="0" fontId="4" fillId="0" borderId="0"/>
    <xf numFmtId="0" fontId="4" fillId="0" borderId="0"/>
    <xf numFmtId="0" fontId="8" fillId="0" borderId="0"/>
    <xf numFmtId="0" fontId="8" fillId="0" borderId="0">
      <alignment vertical="center"/>
    </xf>
    <xf numFmtId="192" fontId="68" fillId="0" borderId="0">
      <alignment vertical="center"/>
    </xf>
    <xf numFmtId="192" fontId="69" fillId="0" borderId="0">
      <alignment vertical="center"/>
    </xf>
    <xf numFmtId="192" fontId="4" fillId="29" borderId="17" applyNumberFormat="0" applyFont="0" applyAlignment="0" applyProtection="0"/>
    <xf numFmtId="192" fontId="70" fillId="24" borderId="18" applyNumberFormat="0" applyAlignment="0" applyProtection="0"/>
    <xf numFmtId="216" fontId="8" fillId="0" borderId="0" applyFont="0" applyFill="0" applyBorder="0" applyAlignment="0" applyProtection="0">
      <alignment vertical="center"/>
    </xf>
    <xf numFmtId="201" fontId="4" fillId="0" borderId="0" applyFont="0" applyFill="0" applyBorder="0" applyAlignment="0" applyProtection="0"/>
    <xf numFmtId="195" fontId="4" fillId="0" borderId="0" applyFont="0" applyFill="0" applyBorder="0" applyAlignment="0" applyProtection="0"/>
    <xf numFmtId="192" fontId="54" fillId="2" borderId="2">
      <alignment vertical="center"/>
    </xf>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4" fontId="53" fillId="0" borderId="0">
      <alignment horizontal="right" vertical="center"/>
    </xf>
    <xf numFmtId="4" fontId="71" fillId="0" borderId="0">
      <alignment horizontal="right" vertical="center"/>
    </xf>
    <xf numFmtId="192" fontId="72" fillId="0" borderId="0">
      <alignment horizontal="left" vertical="center"/>
    </xf>
    <xf numFmtId="43" fontId="6" fillId="0" borderId="3"/>
    <xf numFmtId="192" fontId="73" fillId="0" borderId="2">
      <alignment horizontal="center" vertical="center"/>
    </xf>
    <xf numFmtId="192" fontId="73" fillId="0" borderId="0">
      <alignment horizontal="center" vertical="center"/>
    </xf>
    <xf numFmtId="192" fontId="74" fillId="30" borderId="0" applyNumberFormat="0" applyFill="0">
      <alignment horizontal="left" vertical="center"/>
    </xf>
    <xf numFmtId="0" fontId="65" fillId="0" borderId="0"/>
    <xf numFmtId="49" fontId="52" fillId="0" borderId="0" applyFill="0" applyBorder="0" applyAlignment="0"/>
    <xf numFmtId="217" fontId="52" fillId="0" borderId="0" applyFill="0" applyBorder="0" applyAlignment="0"/>
    <xf numFmtId="218" fontId="4" fillId="0" borderId="0" applyFill="0" applyBorder="0" applyAlignment="0"/>
    <xf numFmtId="192" fontId="75" fillId="0" borderId="0" applyFill="0" applyBorder="0" applyProtection="0">
      <alignment horizontal="left" vertical="top"/>
    </xf>
    <xf numFmtId="192" fontId="76" fillId="0" borderId="0">
      <alignment horizontal="center" vertical="center"/>
    </xf>
    <xf numFmtId="192" fontId="77" fillId="0" borderId="19" applyNumberFormat="0" applyFill="0" applyAlignment="0" applyProtection="0"/>
    <xf numFmtId="192" fontId="78" fillId="0" borderId="0" applyNumberFormat="0" applyFill="0" applyBorder="0" applyAlignment="0" applyProtection="0"/>
    <xf numFmtId="192" fontId="8" fillId="0" borderId="0" applyNumberFormat="0" applyFont="0" applyFill="0" applyBorder="0" applyProtection="0">
      <alignment horizontal="center" vertical="center" wrapText="1"/>
    </xf>
    <xf numFmtId="9" fontId="8" fillId="0" borderId="0" applyFont="0" applyFill="0" applyBorder="0" applyAlignment="0" applyProtection="0">
      <alignment vertical="center"/>
    </xf>
    <xf numFmtId="0" fontId="43" fillId="0" borderId="0"/>
    <xf numFmtId="0" fontId="4" fillId="0" borderId="0"/>
    <xf numFmtId="176" fontId="43" fillId="0" borderId="0" applyFont="0" applyFill="0" applyBorder="0" applyAlignment="0" applyProtection="0"/>
    <xf numFmtId="177" fontId="43"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4" fontId="79" fillId="0" borderId="0">
      <alignment horizontal="right" vertical="center"/>
    </xf>
    <xf numFmtId="0" fontId="80" fillId="7" borderId="0" applyNumberFormat="0" applyBorder="0" applyAlignment="0" applyProtection="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 fillId="0" borderId="0">
      <alignment vertical="center"/>
    </xf>
    <xf numFmtId="0" fontId="8" fillId="0" borderId="0">
      <alignment vertical="center"/>
    </xf>
    <xf numFmtId="0" fontId="8"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192" fontId="8" fillId="0" borderId="0">
      <alignment vertical="center"/>
      <protection locked="0"/>
    </xf>
    <xf numFmtId="0" fontId="81" fillId="0" borderId="0">
      <alignment vertical="center"/>
    </xf>
    <xf numFmtId="0" fontId="82" fillId="0" borderId="0" applyNumberFormat="0" applyBorder="0" applyAlignment="0">
      <alignment vertical="center"/>
      <protection locked="0"/>
    </xf>
    <xf numFmtId="192" fontId="8" fillId="0" borderId="0">
      <protection locked="0"/>
    </xf>
    <xf numFmtId="0" fontId="8" fillId="0" borderId="0">
      <protection locked="0"/>
    </xf>
    <xf numFmtId="0" fontId="8" fillId="0" borderId="0">
      <alignment vertical="center"/>
    </xf>
    <xf numFmtId="0" fontId="8" fillId="0" borderId="0">
      <alignment vertical="center"/>
    </xf>
    <xf numFmtId="0" fontId="8" fillId="0" borderId="0">
      <alignment vertical="center"/>
    </xf>
    <xf numFmtId="0" fontId="83" fillId="0" borderId="0" applyNumberFormat="0" applyBorder="0" applyProtection="0">
      <alignment vertical="center"/>
    </xf>
    <xf numFmtId="0" fontId="8" fillId="0" borderId="0">
      <protection locked="0"/>
    </xf>
    <xf numFmtId="0" fontId="8" fillId="0" borderId="0">
      <alignment vertical="center"/>
    </xf>
    <xf numFmtId="192" fontId="81" fillId="0" borderId="0">
      <alignment vertical="center"/>
    </xf>
    <xf numFmtId="0" fontId="4" fillId="0" borderId="0"/>
    <xf numFmtId="0" fontId="8" fillId="0" borderId="0">
      <alignment vertical="center"/>
    </xf>
    <xf numFmtId="192" fontId="84" fillId="0" borderId="0">
      <alignment vertical="center"/>
    </xf>
    <xf numFmtId="192" fontId="84" fillId="0" borderId="0">
      <alignment vertical="center"/>
    </xf>
    <xf numFmtId="0" fontId="8" fillId="0" borderId="0">
      <alignment vertical="center"/>
    </xf>
    <xf numFmtId="0" fontId="8" fillId="0" borderId="0">
      <alignment vertical="center"/>
    </xf>
    <xf numFmtId="192" fontId="85" fillId="0" borderId="0">
      <alignment vertical="center"/>
    </xf>
    <xf numFmtId="0" fontId="81" fillId="0" borderId="0">
      <alignment vertical="center"/>
    </xf>
    <xf numFmtId="0" fontId="81" fillId="0" borderId="0">
      <alignment vertical="center"/>
    </xf>
    <xf numFmtId="0" fontId="81" fillId="0" borderId="0">
      <alignment vertical="center"/>
    </xf>
    <xf numFmtId="0" fontId="8" fillId="0" borderId="0"/>
    <xf numFmtId="0" fontId="82" fillId="0" borderId="0" applyNumberFormat="0" applyBorder="0" applyAlignment="0" applyProtection="0">
      <alignment vertical="center"/>
    </xf>
    <xf numFmtId="0" fontId="81" fillId="0" borderId="0">
      <alignment vertical="center"/>
    </xf>
    <xf numFmtId="0" fontId="84"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192" fontId="86"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87" fillId="0" borderId="0" applyNumberFormat="0" applyFill="0" applyBorder="0" applyAlignment="0" applyProtection="0">
      <alignment vertical="center"/>
    </xf>
    <xf numFmtId="0" fontId="88" fillId="8" borderId="0" applyNumberFormat="0" applyBorder="0" applyAlignment="0" applyProtection="0">
      <alignment vertical="center"/>
    </xf>
    <xf numFmtId="4" fontId="8" fillId="0" borderId="0" applyFont="0" applyFill="0" applyBorder="0" applyAlignment="0" applyProtection="0">
      <alignment vertical="center"/>
    </xf>
    <xf numFmtId="41" fontId="8" fillId="0" borderId="0" applyFont="0" applyFill="0" applyBorder="0" applyAlignment="0" applyProtection="0">
      <alignment vertical="center"/>
    </xf>
    <xf numFmtId="219" fontId="8" fillId="0" borderId="0" applyFont="0" applyFill="0" applyBorder="0" applyAlignment="0" applyProtection="0">
      <alignment vertical="center"/>
    </xf>
    <xf numFmtId="220" fontId="8" fillId="0" borderId="0" applyFont="0" applyFill="0" applyBorder="0" applyAlignment="0" applyProtection="0">
      <alignment vertical="center"/>
    </xf>
    <xf numFmtId="221" fontId="8" fillId="0" borderId="0" applyFont="0" applyFill="0" applyBorder="0" applyAlignment="0" applyProtection="0">
      <alignment vertical="center"/>
    </xf>
    <xf numFmtId="222" fontId="8" fillId="0" borderId="0" applyFont="0" applyFill="0" applyBorder="0" applyAlignment="0" applyProtection="0">
      <alignment vertical="center"/>
    </xf>
    <xf numFmtId="179" fontId="43" fillId="0" borderId="0" applyFont="0" applyFill="0" applyBorder="0" applyAlignment="0" applyProtection="0"/>
    <xf numFmtId="180" fontId="43" fillId="0" borderId="0" applyFont="0" applyFill="0" applyBorder="0" applyAlignment="0" applyProtection="0"/>
    <xf numFmtId="192" fontId="89" fillId="0" borderId="0">
      <alignment vertical="center"/>
    </xf>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41" fontId="43" fillId="0" borderId="0" applyFont="0" applyFill="0" applyBorder="0" applyAlignment="0" applyProtection="0"/>
    <xf numFmtId="43" fontId="43"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192" fontId="90" fillId="0" borderId="0">
      <alignment vertical="center"/>
    </xf>
    <xf numFmtId="213" fontId="8" fillId="0" borderId="0" applyFont="0" applyFill="0" applyBorder="0" applyAlignment="0" applyProtection="0">
      <alignment vertical="center"/>
    </xf>
    <xf numFmtId="223" fontId="8" fillId="0" borderId="0" applyFont="0" applyFill="0" applyBorder="0" applyAlignment="0" applyProtection="0">
      <alignment vertical="center"/>
    </xf>
    <xf numFmtId="192" fontId="42" fillId="0" borderId="0">
      <alignment vertical="top"/>
    </xf>
    <xf numFmtId="38" fontId="8" fillId="0" borderId="0" applyFont="0" applyFill="0" applyBorder="0" applyAlignment="0" applyProtection="0">
      <alignment vertical="center"/>
    </xf>
    <xf numFmtId="40"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91" fillId="0" borderId="0">
      <alignment vertical="center"/>
    </xf>
    <xf numFmtId="0" fontId="8" fillId="0" borderId="0">
      <protection locked="0"/>
    </xf>
    <xf numFmtId="192" fontId="8" fillId="0" borderId="0"/>
    <xf numFmtId="0" fontId="11" fillId="0" borderId="0" applyNumberFormat="0" applyFill="0" applyBorder="0" applyAlignment="0" applyProtection="0">
      <alignment vertical="top"/>
      <protection locked="0"/>
    </xf>
    <xf numFmtId="9" fontId="8" fillId="0" borderId="0" applyFont="0" applyFill="0" applyBorder="0" applyAlignment="0" applyProtection="0"/>
    <xf numFmtId="192" fontId="8" fillId="0" borderId="0">
      <protection locked="0"/>
    </xf>
    <xf numFmtId="192" fontId="8" fillId="0" borderId="0" applyFill="0" applyBorder="0"/>
    <xf numFmtId="192" fontId="8" fillId="0" borderId="0"/>
    <xf numFmtId="192" fontId="110" fillId="0" borderId="0">
      <alignment vertical="center"/>
    </xf>
    <xf numFmtId="192" fontId="111" fillId="0" borderId="0"/>
    <xf numFmtId="192" fontId="1" fillId="0" borderId="0">
      <alignment vertical="center"/>
    </xf>
  </cellStyleXfs>
  <cellXfs count="259">
    <xf numFmtId="0" fontId="0" fillId="0" borderId="0" xfId="0">
      <protection locked="0"/>
    </xf>
    <xf numFmtId="0" fontId="19" fillId="0" borderId="0" xfId="28" applyFont="1" applyAlignment="1">
      <alignment vertical="center"/>
    </xf>
    <xf numFmtId="0" fontId="16" fillId="0" borderId="0" xfId="27" applyFont="1" applyAlignment="1">
      <alignment vertical="center"/>
    </xf>
    <xf numFmtId="184" fontId="20" fillId="0" borderId="3" xfId="27" applyNumberFormat="1" applyFont="1" applyBorder="1" applyAlignment="1">
      <alignment horizontal="center" vertical="center" wrapText="1"/>
    </xf>
    <xf numFmtId="184" fontId="16" fillId="0" borderId="3" xfId="27" applyNumberFormat="1" applyFont="1" applyBorder="1" applyAlignment="1">
      <alignment horizontal="center" vertical="center" wrapText="1"/>
    </xf>
    <xf numFmtId="0" fontId="16" fillId="0" borderId="0" xfId="27" applyFont="1" applyBorder="1" applyAlignment="1">
      <alignment vertical="center"/>
    </xf>
    <xf numFmtId="43" fontId="16" fillId="0" borderId="0" xfId="31" applyNumberFormat="1" applyFont="1" applyBorder="1" applyAlignment="1">
      <alignment vertical="center"/>
    </xf>
    <xf numFmtId="43" fontId="21" fillId="0" borderId="0" xfId="31" applyNumberFormat="1" applyFont="1" applyBorder="1" applyAlignment="1">
      <alignment vertical="center"/>
    </xf>
    <xf numFmtId="0" fontId="16" fillId="0" borderId="0" xfId="0" applyFont="1" applyBorder="1" applyAlignment="1">
      <alignment vertical="center"/>
      <protection locked="0"/>
    </xf>
    <xf numFmtId="0" fontId="16" fillId="0" borderId="0" xfId="0" applyFont="1" applyAlignment="1">
      <alignment vertical="center"/>
      <protection locked="0"/>
    </xf>
    <xf numFmtId="0" fontId="16" fillId="0" borderId="0" xfId="32" applyFont="1" applyAlignment="1">
      <alignment vertical="center"/>
    </xf>
    <xf numFmtId="0" fontId="20" fillId="0" borderId="0" xfId="0" applyFont="1" applyAlignment="1">
      <alignment horizontal="center" vertical="center" wrapText="1"/>
      <protection locked="0"/>
    </xf>
    <xf numFmtId="43" fontId="16" fillId="0" borderId="3" xfId="34" applyFont="1" applyBorder="1" applyAlignment="1">
      <alignment vertical="center"/>
    </xf>
    <xf numFmtId="43" fontId="20" fillId="0" borderId="3" xfId="34" applyFont="1" applyBorder="1" applyAlignment="1">
      <alignment vertical="center"/>
    </xf>
    <xf numFmtId="0" fontId="18" fillId="0" borderId="0" xfId="0" applyFont="1" applyAlignment="1">
      <alignment vertical="center"/>
      <protection locked="0"/>
    </xf>
    <xf numFmtId="0" fontId="16" fillId="0" borderId="0" xfId="0" applyFont="1" applyBorder="1" applyAlignment="1">
      <alignment horizontal="left" vertical="center"/>
      <protection locked="0"/>
    </xf>
    <xf numFmtId="0" fontId="20" fillId="0" borderId="0" xfId="0" applyFont="1" applyBorder="1" applyAlignment="1">
      <alignment vertical="center"/>
      <protection locked="0"/>
    </xf>
    <xf numFmtId="0" fontId="16" fillId="0" borderId="0" xfId="0" applyFont="1" applyAlignment="1">
      <alignment horizontal="left" vertical="center"/>
      <protection locked="0"/>
    </xf>
    <xf numFmtId="0" fontId="20" fillId="0" borderId="0" xfId="0" applyFont="1" applyAlignment="1">
      <alignment vertical="center"/>
      <protection locked="0"/>
    </xf>
    <xf numFmtId="0" fontId="16" fillId="0" borderId="0" xfId="28" applyFont="1" applyAlignment="1">
      <alignment vertical="center"/>
    </xf>
    <xf numFmtId="0" fontId="25" fillId="0" borderId="0" xfId="0" applyFont="1" applyAlignment="1">
      <alignment vertical="center"/>
      <protection locked="0"/>
    </xf>
    <xf numFmtId="0" fontId="24" fillId="0" borderId="0" xfId="0" applyFont="1" applyAlignment="1">
      <alignment vertical="center"/>
      <protection locked="0"/>
    </xf>
    <xf numFmtId="0" fontId="28" fillId="0" borderId="0" xfId="0" applyFont="1" applyAlignment="1">
      <alignment vertical="center"/>
      <protection locked="0"/>
    </xf>
    <xf numFmtId="0" fontId="24" fillId="5" borderId="3" xfId="27" applyFont="1" applyFill="1" applyBorder="1" applyAlignment="1">
      <alignment horizontal="center" vertical="center" wrapText="1"/>
    </xf>
    <xf numFmtId="0" fontId="29" fillId="0" borderId="0" xfId="0" applyFont="1" applyAlignment="1" applyProtection="1">
      <alignment vertical="center"/>
    </xf>
    <xf numFmtId="0" fontId="20" fillId="5" borderId="3" xfId="0" applyFont="1" applyFill="1" applyBorder="1" applyAlignment="1">
      <alignment horizontal="center" vertical="center" wrapText="1"/>
      <protection locked="0"/>
    </xf>
    <xf numFmtId="0" fontId="19" fillId="0" borderId="0" xfId="0" applyFont="1">
      <protection locked="0"/>
    </xf>
    <xf numFmtId="0" fontId="8" fillId="0" borderId="0" xfId="0" applyFont="1" applyAlignment="1">
      <alignment vertical="center"/>
      <protection locked="0"/>
    </xf>
    <xf numFmtId="0" fontId="0" fillId="0" borderId="0" xfId="0" applyAlignment="1">
      <alignment vertical="center"/>
      <protection locked="0"/>
    </xf>
    <xf numFmtId="0" fontId="20" fillId="5" borderId="3" xfId="27" applyFont="1" applyFill="1" applyBorder="1" applyAlignment="1">
      <alignment horizontal="center" vertical="center" wrapText="1"/>
    </xf>
    <xf numFmtId="43" fontId="32" fillId="0" borderId="0" xfId="31" applyNumberFormat="1" applyFont="1" applyBorder="1" applyAlignment="1">
      <alignment vertical="center"/>
    </xf>
    <xf numFmtId="184" fontId="13" fillId="0" borderId="3" xfId="27" applyNumberFormat="1" applyFont="1" applyFill="1" applyBorder="1" applyAlignment="1">
      <alignment horizontal="left" vertical="center" shrinkToFit="1"/>
    </xf>
    <xf numFmtId="184" fontId="16" fillId="0" borderId="3" xfId="27" applyNumberFormat="1" applyFont="1" applyFill="1" applyBorder="1" applyAlignment="1">
      <alignment horizontal="left" vertical="center" shrinkToFit="1"/>
    </xf>
    <xf numFmtId="184" fontId="20" fillId="0" borderId="3" xfId="27" applyNumberFormat="1" applyFont="1" applyFill="1" applyBorder="1" applyAlignment="1">
      <alignment horizontal="center" vertical="center" wrapText="1"/>
    </xf>
    <xf numFmtId="0" fontId="18" fillId="0" borderId="0" xfId="30" applyFont="1" applyAlignment="1">
      <alignment vertical="center"/>
      <protection locked="0"/>
    </xf>
    <xf numFmtId="0" fontId="19" fillId="0" borderId="0" xfId="30" applyFont="1" applyAlignment="1">
      <alignment vertical="center"/>
      <protection locked="0"/>
    </xf>
    <xf numFmtId="0" fontId="33" fillId="0" borderId="0" xfId="30" applyFont="1" applyBorder="1" applyAlignment="1">
      <alignment horizontal="justify" wrapText="1"/>
      <protection locked="0"/>
    </xf>
    <xf numFmtId="0" fontId="19" fillId="0" borderId="0" xfId="30" applyFont="1" applyAlignment="1">
      <alignment horizontal="center" vertical="center"/>
      <protection locked="0"/>
    </xf>
    <xf numFmtId="0" fontId="19" fillId="0" borderId="0" xfId="30" applyFont="1">
      <protection locked="0"/>
    </xf>
    <xf numFmtId="0" fontId="19" fillId="0" borderId="0" xfId="30" applyFont="1" applyBorder="1">
      <protection locked="0"/>
    </xf>
    <xf numFmtId="0" fontId="33" fillId="0" borderId="0" xfId="30" applyFont="1" applyBorder="1" applyAlignment="1">
      <alignment horizontal="justify" vertical="top" wrapText="1"/>
      <protection locked="0"/>
    </xf>
    <xf numFmtId="192" fontId="4" fillId="0" borderId="0" xfId="36" applyFont="1" applyFill="1" applyAlignment="1">
      <alignment vertical="center"/>
    </xf>
    <xf numFmtId="192" fontId="4" fillId="0" borderId="0" xfId="37" applyFont="1" applyFill="1" applyAlignment="1">
      <alignment vertical="center"/>
      <protection locked="0"/>
    </xf>
    <xf numFmtId="192" fontId="4" fillId="0" borderId="0" xfId="38" applyFont="1" applyFill="1" applyAlignment="1">
      <alignment vertical="center"/>
    </xf>
    <xf numFmtId="192" fontId="37" fillId="0" borderId="0" xfId="37" applyFont="1" applyFill="1" applyAlignment="1">
      <alignment horizontal="justify" vertical="center"/>
      <protection locked="0"/>
    </xf>
    <xf numFmtId="192" fontId="37" fillId="0" borderId="0" xfId="38" applyFont="1" applyFill="1" applyAlignment="1">
      <alignment vertical="center"/>
    </xf>
    <xf numFmtId="49" fontId="37" fillId="0" borderId="0" xfId="38" applyNumberFormat="1" applyFont="1" applyFill="1" applyAlignment="1">
      <alignment horizontal="left" vertical="center"/>
    </xf>
    <xf numFmtId="43" fontId="24" fillId="0" borderId="0" xfId="31" applyNumberFormat="1" applyFont="1" applyFill="1" applyBorder="1" applyAlignment="1">
      <alignment vertical="center"/>
    </xf>
    <xf numFmtId="0" fontId="16" fillId="0" borderId="0" xfId="27" applyFont="1" applyFill="1" applyBorder="1" applyAlignment="1">
      <alignment horizontal="left" vertical="center" wrapText="1"/>
    </xf>
    <xf numFmtId="43" fontId="16" fillId="0" borderId="0" xfId="31" applyNumberFormat="1" applyFont="1" applyBorder="1" applyAlignment="1">
      <alignment horizontal="left" vertical="center"/>
    </xf>
    <xf numFmtId="0" fontId="30" fillId="5" borderId="3" xfId="299" applyFont="1" applyFill="1" applyBorder="1" applyAlignment="1" applyProtection="1">
      <alignment vertical="center"/>
    </xf>
    <xf numFmtId="192" fontId="24" fillId="5" borderId="3" xfId="300" applyFont="1" applyFill="1" applyBorder="1" applyAlignment="1" applyProtection="1">
      <alignment horizontal="center" vertical="center" wrapText="1"/>
      <protection locked="0"/>
    </xf>
    <xf numFmtId="192" fontId="93" fillId="5" borderId="3" xfId="300" applyFont="1" applyFill="1" applyBorder="1" applyAlignment="1" applyProtection="1">
      <alignment horizontal="center" vertical="center" wrapText="1"/>
      <protection locked="0"/>
    </xf>
    <xf numFmtId="0" fontId="8" fillId="0" borderId="0" xfId="299">
      <protection locked="0"/>
    </xf>
    <xf numFmtId="0" fontId="8" fillId="0" borderId="0"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96" fillId="0" borderId="0" xfId="0" applyFont="1" applyBorder="1" applyAlignment="1">
      <alignment vertical="center"/>
      <protection locked="0"/>
    </xf>
    <xf numFmtId="0" fontId="97" fillId="0" borderId="0" xfId="0" applyFont="1" applyBorder="1" applyAlignment="1">
      <alignment vertical="center"/>
      <protection locked="0"/>
    </xf>
    <xf numFmtId="0" fontId="97" fillId="0" borderId="0" xfId="0" applyFont="1" applyAlignment="1">
      <alignment vertical="center"/>
      <protection locked="0"/>
    </xf>
    <xf numFmtId="0" fontId="98" fillId="0" borderId="0" xfId="0" applyFont="1" applyAlignment="1">
      <alignment horizontal="left" vertical="center"/>
      <protection locked="0"/>
    </xf>
    <xf numFmtId="0" fontId="98" fillId="0" borderId="0" xfId="0" applyFont="1" applyAlignment="1">
      <alignment vertical="center"/>
      <protection locked="0"/>
    </xf>
    <xf numFmtId="0" fontId="92" fillId="0" borderId="6" xfId="0" applyFont="1" applyBorder="1" applyAlignment="1">
      <alignment horizontal="justify" vertical="center" wrapText="1"/>
      <protection locked="0"/>
    </xf>
    <xf numFmtId="0" fontId="92" fillId="0" borderId="6" xfId="0" applyFont="1" applyBorder="1" applyAlignment="1">
      <alignment horizontal="right" vertical="center" wrapText="1"/>
      <protection locked="0"/>
    </xf>
    <xf numFmtId="0" fontId="98" fillId="0" borderId="0" xfId="0" applyFont="1" applyAlignment="1">
      <alignment horizontal="justify" vertical="center" wrapText="1"/>
      <protection locked="0"/>
    </xf>
    <xf numFmtId="43" fontId="98" fillId="0" borderId="0" xfId="0" applyNumberFormat="1" applyFont="1" applyAlignment="1">
      <alignment horizontal="right" vertical="center" wrapText="1"/>
      <protection locked="0"/>
    </xf>
    <xf numFmtId="43" fontId="92" fillId="0" borderId="6" xfId="0" applyNumberFormat="1" applyFont="1" applyBorder="1" applyAlignment="1">
      <alignment horizontal="right" vertical="center" wrapText="1"/>
      <protection locked="0"/>
    </xf>
    <xf numFmtId="0" fontId="98" fillId="0" borderId="0" xfId="0" applyFont="1" applyAlignment="1" applyProtection="1">
      <alignment horizontal="justify" vertical="center"/>
    </xf>
    <xf numFmtId="0" fontId="97" fillId="0" borderId="0" xfId="0" applyFont="1">
      <protection locked="0"/>
    </xf>
    <xf numFmtId="0" fontId="98" fillId="0" borderId="0" xfId="0" applyFont="1">
      <protection locked="0"/>
    </xf>
    <xf numFmtId="0" fontId="99" fillId="0" borderId="0" xfId="0" applyFont="1" applyAlignment="1" applyProtection="1">
      <alignment horizontal="left" vertical="center" wrapText="1"/>
    </xf>
    <xf numFmtId="192" fontId="16" fillId="0" borderId="0" xfId="37" applyFont="1" applyFill="1" applyBorder="1" applyAlignment="1">
      <alignment vertical="center"/>
      <protection locked="0"/>
    </xf>
    <xf numFmtId="0" fontId="100" fillId="0" borderId="2" xfId="33" applyFont="1" applyBorder="1" applyAlignment="1">
      <alignment vertical="center"/>
      <protection locked="0"/>
    </xf>
    <xf numFmtId="0" fontId="13" fillId="0" borderId="0" xfId="27" applyFont="1" applyBorder="1" applyAlignment="1">
      <alignment horizontal="right" vertical="center"/>
    </xf>
    <xf numFmtId="0" fontId="16" fillId="0" borderId="0" xfId="27" applyFont="1" applyBorder="1" applyAlignment="1">
      <alignment horizontal="right" vertical="center"/>
    </xf>
    <xf numFmtId="43" fontId="16" fillId="31" borderId="3" xfId="34" applyFont="1" applyFill="1" applyBorder="1" applyAlignment="1">
      <alignment horizontal="center" vertical="center" wrapText="1"/>
    </xf>
    <xf numFmtId="43" fontId="20" fillId="31" borderId="3" xfId="34" applyFont="1" applyFill="1" applyBorder="1" applyAlignment="1">
      <alignment horizontal="center" vertical="center" wrapText="1"/>
    </xf>
    <xf numFmtId="43" fontId="20" fillId="31" borderId="3" xfId="34" applyFont="1" applyFill="1" applyBorder="1" applyAlignment="1">
      <alignment horizontal="right" vertical="center"/>
    </xf>
    <xf numFmtId="0" fontId="92" fillId="0" borderId="0" xfId="0" applyFont="1" applyBorder="1" applyAlignment="1">
      <alignment horizontal="right" vertical="center" wrapText="1"/>
      <protection locked="0"/>
    </xf>
    <xf numFmtId="43" fontId="92" fillId="0" borderId="0" xfId="0" applyNumberFormat="1" applyFont="1" applyBorder="1" applyAlignment="1">
      <alignment horizontal="right" vertical="center" wrapText="1"/>
      <protection locked="0"/>
    </xf>
    <xf numFmtId="0" fontId="16" fillId="0" borderId="0" xfId="0" applyFont="1" applyBorder="1" applyAlignment="1">
      <alignment horizontal="right" vertical="center"/>
      <protection locked="0"/>
    </xf>
    <xf numFmtId="43" fontId="20" fillId="31" borderId="3" xfId="34" applyFont="1" applyFill="1" applyBorder="1" applyAlignment="1">
      <alignment vertical="center"/>
    </xf>
    <xf numFmtId="10" fontId="16" fillId="31" borderId="3" xfId="26" applyNumberFormat="1" applyFont="1" applyFill="1" applyBorder="1" applyAlignment="1">
      <alignment horizontal="right" vertical="center"/>
    </xf>
    <xf numFmtId="43" fontId="16" fillId="31" borderId="3" xfId="34" applyFont="1" applyFill="1" applyBorder="1" applyAlignment="1">
      <alignment vertical="center"/>
    </xf>
    <xf numFmtId="49" fontId="16" fillId="0" borderId="0" xfId="31" applyNumberFormat="1" applyFont="1" applyBorder="1" applyAlignment="1">
      <alignment horizontal="left" vertical="center"/>
    </xf>
    <xf numFmtId="0" fontId="16" fillId="0" borderId="0" xfId="30" applyFont="1">
      <protection locked="0"/>
    </xf>
    <xf numFmtId="192" fontId="4" fillId="0" borderId="3" xfId="37" applyFont="1" applyFill="1" applyBorder="1" applyAlignment="1">
      <alignment horizontal="center" vertical="center" wrapText="1"/>
      <protection locked="0"/>
    </xf>
    <xf numFmtId="192" fontId="4" fillId="0" borderId="3" xfId="37" applyFont="1" applyFill="1" applyBorder="1" applyAlignment="1">
      <alignment vertical="center" wrapText="1"/>
      <protection locked="0"/>
    </xf>
    <xf numFmtId="49" fontId="24" fillId="0" borderId="0" xfId="241" applyNumberFormat="1" applyFont="1" applyAlignment="1">
      <alignment horizontal="left" vertical="center"/>
      <protection locked="0"/>
    </xf>
    <xf numFmtId="0" fontId="20" fillId="0" borderId="0" xfId="299" applyFont="1" applyAlignment="1">
      <alignment horizontal="left" vertical="center"/>
      <protection locked="0"/>
    </xf>
    <xf numFmtId="0" fontId="20" fillId="0" borderId="0" xfId="299" applyFont="1" applyAlignment="1">
      <alignment horizontal="justify" vertical="center"/>
      <protection locked="0"/>
    </xf>
    <xf numFmtId="0" fontId="13" fillId="0" borderId="3" xfId="299" applyFont="1" applyBorder="1" applyAlignment="1">
      <alignment horizontal="center" vertical="center" wrapText="1"/>
      <protection locked="0"/>
    </xf>
    <xf numFmtId="192" fontId="4" fillId="0" borderId="0" xfId="37" applyFont="1" applyFill="1" applyBorder="1" applyAlignment="1">
      <alignment vertical="center" wrapText="1"/>
      <protection locked="0"/>
    </xf>
    <xf numFmtId="192" fontId="16" fillId="0" borderId="3" xfId="37" applyFont="1" applyFill="1" applyBorder="1" applyAlignment="1">
      <alignment horizontal="center" vertical="center" wrapText="1"/>
      <protection locked="0"/>
    </xf>
    <xf numFmtId="192" fontId="102" fillId="0" borderId="3" xfId="37" applyFont="1" applyFill="1" applyBorder="1" applyAlignment="1" applyProtection="1">
      <alignment horizontal="center" vertical="center" wrapText="1"/>
    </xf>
    <xf numFmtId="192" fontId="16" fillId="0" borderId="0" xfId="38" applyFont="1" applyFill="1" applyAlignment="1">
      <alignment vertical="center"/>
    </xf>
    <xf numFmtId="0" fontId="13" fillId="0" borderId="3" xfId="299" applyFont="1" applyBorder="1" applyAlignment="1">
      <alignment horizontal="left" vertical="center" wrapText="1"/>
      <protection locked="0"/>
    </xf>
    <xf numFmtId="0" fontId="13" fillId="0" borderId="3" xfId="241" applyFont="1" applyFill="1" applyBorder="1" applyAlignment="1">
      <alignment horizontal="left" vertical="center" wrapText="1"/>
      <protection locked="0"/>
    </xf>
    <xf numFmtId="0" fontId="13" fillId="0" borderId="5" xfId="241" applyFont="1" applyFill="1" applyBorder="1" applyAlignment="1">
      <alignment horizontal="center" vertical="center" wrapText="1" shrinkToFit="1"/>
      <protection locked="0"/>
    </xf>
    <xf numFmtId="192" fontId="4" fillId="0" borderId="3" xfId="37" applyFont="1" applyFill="1" applyBorder="1" applyAlignment="1">
      <alignment horizontal="center" vertical="center" wrapText="1"/>
      <protection locked="0"/>
    </xf>
    <xf numFmtId="192" fontId="16" fillId="0" borderId="0" xfId="37" applyFont="1" applyFill="1" applyAlignment="1">
      <alignment vertical="center"/>
      <protection locked="0"/>
    </xf>
    <xf numFmtId="192" fontId="16" fillId="0" borderId="0" xfId="37" applyFont="1" applyFill="1" applyAlignment="1">
      <alignment horizontal="right" vertical="center"/>
      <protection locked="0"/>
    </xf>
    <xf numFmtId="192" fontId="16" fillId="0" borderId="0" xfId="37" applyFont="1" applyFill="1" applyBorder="1" applyAlignment="1">
      <alignment horizontal="left" vertical="center"/>
      <protection locked="0"/>
    </xf>
    <xf numFmtId="0" fontId="24" fillId="0" borderId="3" xfId="299" applyFont="1" applyBorder="1" applyAlignment="1">
      <alignment horizontal="center" vertical="center" wrapText="1"/>
      <protection locked="0"/>
    </xf>
    <xf numFmtId="0" fontId="13" fillId="0" borderId="3" xfId="258" applyFont="1" applyFill="1" applyBorder="1" applyAlignment="1" applyProtection="1">
      <alignment horizontal="center" vertical="center"/>
      <protection locked="0"/>
    </xf>
    <xf numFmtId="0" fontId="13" fillId="0" borderId="3" xfId="299" applyFont="1" applyFill="1" applyBorder="1" applyAlignment="1">
      <alignment horizontal="center" vertical="center" wrapText="1"/>
      <protection locked="0"/>
    </xf>
    <xf numFmtId="0" fontId="30" fillId="5" borderId="3" xfId="299" applyFont="1" applyFill="1" applyBorder="1" applyAlignment="1" applyProtection="1">
      <alignment vertical="center" wrapText="1"/>
    </xf>
    <xf numFmtId="0" fontId="16" fillId="0" borderId="0" xfId="299" applyFont="1" applyBorder="1" applyAlignment="1">
      <alignment vertical="center"/>
      <protection locked="0"/>
    </xf>
    <xf numFmtId="0" fontId="16" fillId="0" borderId="0" xfId="299" applyFont="1" applyBorder="1" applyAlignment="1">
      <alignment vertical="center" wrapText="1"/>
      <protection locked="0"/>
    </xf>
    <xf numFmtId="0" fontId="16" fillId="0" borderId="0" xfId="32" applyFont="1" applyBorder="1" applyAlignment="1">
      <alignment vertical="center"/>
    </xf>
    <xf numFmtId="0" fontId="16" fillId="4" borderId="0" xfId="0" applyFont="1" applyFill="1" applyBorder="1" applyAlignment="1" applyProtection="1">
      <alignment horizontal="justify" vertical="center" wrapText="1"/>
      <protection locked="0"/>
    </xf>
    <xf numFmtId="0" fontId="16" fillId="4" borderId="0" xfId="0" applyFont="1" applyFill="1" applyAlignment="1" applyProtection="1">
      <alignment horizontal="justify" vertical="center" wrapText="1"/>
      <protection locked="0"/>
    </xf>
    <xf numFmtId="192" fontId="103" fillId="0" borderId="3" xfId="232" applyFont="1" applyFill="1" applyBorder="1" applyAlignment="1" applyProtection="1">
      <alignment vertical="center"/>
    </xf>
    <xf numFmtId="0" fontId="103" fillId="0" borderId="3" xfId="241" applyFont="1" applyBorder="1" applyAlignment="1" applyProtection="1">
      <alignment vertical="center"/>
    </xf>
    <xf numFmtId="43" fontId="103" fillId="0" borderId="3" xfId="34" applyFont="1" applyFill="1" applyBorder="1" applyAlignment="1" applyProtection="1">
      <alignment vertical="center"/>
    </xf>
    <xf numFmtId="192" fontId="103" fillId="0" borderId="3" xfId="232" applyFont="1" applyFill="1" applyBorder="1" applyAlignment="1" applyProtection="1">
      <alignment horizontal="center" vertical="center"/>
    </xf>
    <xf numFmtId="43" fontId="16" fillId="0" borderId="3" xfId="34" applyFont="1" applyBorder="1" applyAlignment="1" applyProtection="1">
      <alignment horizontal="left" vertical="center"/>
      <protection locked="0"/>
    </xf>
    <xf numFmtId="0" fontId="16" fillId="0" borderId="2" xfId="30" applyFont="1" applyBorder="1" applyAlignment="1">
      <alignment horizontal="center" vertical="center"/>
      <protection locked="0"/>
    </xf>
    <xf numFmtId="0" fontId="29" fillId="0" borderId="2" xfId="0" applyFont="1" applyBorder="1" applyAlignment="1" applyProtection="1">
      <alignment horizontal="center" vertical="center"/>
    </xf>
    <xf numFmtId="0" fontId="33" fillId="0" borderId="2" xfId="30" applyFont="1" applyBorder="1" applyAlignment="1">
      <alignment horizontal="justify" wrapText="1"/>
      <protection locked="0"/>
    </xf>
    <xf numFmtId="0" fontId="19" fillId="0" borderId="2" xfId="30" applyFont="1" applyBorder="1">
      <protection locked="0"/>
    </xf>
    <xf numFmtId="0" fontId="8" fillId="0" borderId="2" xfId="30" applyFont="1" applyBorder="1">
      <protection locked="0"/>
    </xf>
    <xf numFmtId="0" fontId="104" fillId="0" borderId="2" xfId="0" applyFont="1" applyBorder="1" applyAlignment="1" applyProtection="1">
      <alignment vertical="center"/>
    </xf>
    <xf numFmtId="0" fontId="13" fillId="0" borderId="0" xfId="0" applyFont="1" applyAlignment="1">
      <alignment vertical="center"/>
      <protection locked="0"/>
    </xf>
    <xf numFmtId="43" fontId="16" fillId="0" borderId="0" xfId="34" applyFont="1" applyBorder="1" applyAlignment="1" applyProtection="1">
      <alignment horizontal="left" vertical="center"/>
      <protection locked="0"/>
    </xf>
    <xf numFmtId="0" fontId="105" fillId="32" borderId="0" xfId="258" applyFont="1" applyFill="1" applyAlignment="1" applyProtection="1">
      <alignment horizontal="left" vertical="top" wrapText="1"/>
      <protection locked="0"/>
    </xf>
    <xf numFmtId="0" fontId="105" fillId="32" borderId="0" xfId="258" applyFont="1" applyFill="1" applyAlignment="1" applyProtection="1">
      <alignment horizontal="left" vertical="center" wrapText="1"/>
      <protection locked="0"/>
    </xf>
    <xf numFmtId="0" fontId="16" fillId="0" borderId="3" xfId="241" applyFont="1" applyBorder="1" applyAlignment="1">
      <alignment horizontal="center" vertical="center" wrapText="1"/>
      <protection locked="0"/>
    </xf>
    <xf numFmtId="0" fontId="97" fillId="0" borderId="0" xfId="0" applyFont="1" applyAlignment="1">
      <alignment horizontal="left" vertical="center"/>
      <protection locked="0"/>
    </xf>
    <xf numFmtId="0" fontId="98" fillId="0" borderId="7" xfId="0" applyFont="1" applyBorder="1" applyAlignment="1">
      <alignment horizontal="justify" vertical="center" wrapText="1"/>
      <protection locked="0"/>
    </xf>
    <xf numFmtId="0" fontId="92" fillId="0" borderId="7" xfId="0" applyFont="1" applyBorder="1" applyAlignment="1">
      <alignment horizontal="justify" vertical="center" wrapText="1"/>
      <protection locked="0"/>
    </xf>
    <xf numFmtId="43" fontId="16" fillId="0" borderId="0" xfId="0" applyNumberFormat="1" applyFont="1" applyAlignment="1">
      <alignment horizontal="right" vertical="center" wrapText="1"/>
      <protection locked="0"/>
    </xf>
    <xf numFmtId="43" fontId="20" fillId="0" borderId="6" xfId="0" applyNumberFormat="1" applyFont="1" applyBorder="1" applyAlignment="1">
      <alignment horizontal="right" vertical="center" wrapText="1"/>
      <protection locked="0"/>
    </xf>
    <xf numFmtId="43" fontId="92" fillId="5" borderId="3" xfId="34" applyFont="1" applyFill="1" applyBorder="1" applyAlignment="1" applyProtection="1">
      <alignment horizontal="center" vertical="center" wrapText="1"/>
      <protection locked="0"/>
    </xf>
    <xf numFmtId="192" fontId="4" fillId="0" borderId="3" xfId="37" applyFont="1" applyFill="1" applyBorder="1" applyAlignment="1">
      <alignment horizontal="center" vertical="center" wrapText="1"/>
      <protection locked="0"/>
    </xf>
    <xf numFmtId="192" fontId="13" fillId="0" borderId="0" xfId="37" applyFont="1" applyFill="1" applyBorder="1" applyAlignment="1">
      <alignment vertical="center"/>
      <protection locked="0"/>
    </xf>
    <xf numFmtId="49" fontId="16" fillId="0" borderId="3" xfId="38" applyNumberFormat="1" applyFont="1" applyFill="1" applyBorder="1" applyAlignment="1">
      <alignment horizontal="center" vertical="center"/>
    </xf>
    <xf numFmtId="0" fontId="13" fillId="0" borderId="3" xfId="241" applyFont="1" applyBorder="1" applyAlignment="1">
      <alignment horizontal="left" vertical="center" wrapText="1"/>
      <protection locked="0"/>
    </xf>
    <xf numFmtId="192" fontId="13" fillId="0" borderId="3" xfId="303" applyFont="1" applyBorder="1" applyAlignment="1">
      <alignment horizontal="left" vertical="center" wrapText="1"/>
      <protection locked="0"/>
    </xf>
    <xf numFmtId="0" fontId="39" fillId="0" borderId="3" xfId="259" applyFont="1" applyFill="1" applyBorder="1" applyAlignment="1">
      <alignment horizontal="center" vertical="center" wrapText="1"/>
    </xf>
    <xf numFmtId="0" fontId="40" fillId="0" borderId="3" xfId="259" applyFont="1" applyFill="1" applyBorder="1" applyAlignment="1">
      <alignment horizontal="center" vertical="center" wrapText="1"/>
    </xf>
    <xf numFmtId="192" fontId="13" fillId="0" borderId="3" xfId="235" applyFont="1" applyBorder="1" applyAlignment="1">
      <alignment horizontal="center" vertical="center" wrapText="1"/>
      <protection locked="0"/>
    </xf>
    <xf numFmtId="192" fontId="18" fillId="0" borderId="0" xfId="235" applyFont="1" applyAlignment="1">
      <alignment vertical="center"/>
      <protection locked="0"/>
    </xf>
    <xf numFmtId="43" fontId="16" fillId="0" borderId="0" xfId="304" applyNumberFormat="1" applyFont="1" applyBorder="1" applyAlignment="1">
      <alignment vertical="center"/>
    </xf>
    <xf numFmtId="192" fontId="16" fillId="0" borderId="0" xfId="235" applyFont="1" applyAlignment="1">
      <alignment vertical="center"/>
      <protection locked="0"/>
    </xf>
    <xf numFmtId="43" fontId="16" fillId="0" borderId="0" xfId="304" applyNumberFormat="1" applyFont="1" applyBorder="1" applyAlignment="1">
      <alignment horizontal="left" vertical="center"/>
    </xf>
    <xf numFmtId="14" fontId="16" fillId="0" borderId="0" xfId="304" applyNumberFormat="1" applyFont="1" applyBorder="1" applyAlignment="1">
      <alignment horizontal="left" vertical="center"/>
    </xf>
    <xf numFmtId="14" fontId="16" fillId="0" borderId="0" xfId="235" applyNumberFormat="1" applyFont="1" applyAlignment="1">
      <alignment vertical="center"/>
      <protection locked="0"/>
    </xf>
    <xf numFmtId="192" fontId="13" fillId="0" borderId="0" xfId="235" applyFont="1" applyAlignment="1">
      <alignment horizontal="right" vertical="center"/>
      <protection locked="0"/>
    </xf>
    <xf numFmtId="49" fontId="16" fillId="0" borderId="0" xfId="304" applyNumberFormat="1" applyFont="1" applyBorder="1" applyAlignment="1">
      <alignment vertical="center"/>
    </xf>
    <xf numFmtId="192" fontId="13" fillId="0" borderId="0" xfId="235" applyFont="1" applyAlignment="1">
      <alignment horizontal="left" vertical="center"/>
      <protection locked="0"/>
    </xf>
    <xf numFmtId="192" fontId="24" fillId="0" borderId="0" xfId="305" applyFont="1" applyAlignment="1">
      <alignment horizontal="left" vertical="center"/>
    </xf>
    <xf numFmtId="192" fontId="20" fillId="0" borderId="0" xfId="305" applyFont="1" applyAlignment="1">
      <alignment horizontal="left" vertical="center"/>
    </xf>
    <xf numFmtId="192" fontId="16" fillId="0" borderId="0" xfId="305" applyFont="1" applyAlignment="1" applyProtection="1">
      <alignment vertical="center"/>
      <protection locked="0"/>
    </xf>
    <xf numFmtId="192" fontId="16" fillId="0" borderId="0" xfId="235" applyFont="1" applyAlignment="1" applyProtection="1">
      <alignment vertical="center"/>
    </xf>
    <xf numFmtId="192" fontId="16" fillId="0" borderId="0" xfId="235" applyFont="1" applyAlignment="1">
      <alignment vertical="center" wrapText="1"/>
      <protection locked="0"/>
    </xf>
    <xf numFmtId="192" fontId="16" fillId="0" borderId="0" xfId="305" applyFont="1" applyBorder="1" applyAlignment="1" applyProtection="1">
      <alignment vertical="center"/>
      <protection locked="0"/>
    </xf>
    <xf numFmtId="192" fontId="24" fillId="0" borderId="0" xfId="305" applyFont="1" applyBorder="1" applyAlignment="1">
      <alignment vertical="center"/>
    </xf>
    <xf numFmtId="192" fontId="21" fillId="0" borderId="0" xfId="305" applyFont="1" applyBorder="1" applyAlignment="1" applyProtection="1">
      <alignment horizontal="center" vertical="center"/>
      <protection hidden="1"/>
    </xf>
    <xf numFmtId="192" fontId="16" fillId="0" borderId="0" xfId="305" applyFont="1" applyBorder="1" applyAlignment="1" applyProtection="1">
      <alignment horizontal="left" vertical="center"/>
      <protection hidden="1"/>
    </xf>
    <xf numFmtId="192" fontId="21" fillId="0" borderId="0" xfId="305" applyFont="1" applyBorder="1" applyAlignment="1" applyProtection="1">
      <alignment horizontal="left" vertical="center"/>
      <protection locked="0"/>
    </xf>
    <xf numFmtId="192" fontId="107" fillId="0" borderId="0" xfId="306" applyFont="1" applyFill="1" applyBorder="1" applyAlignment="1" applyProtection="1">
      <alignment horizontal="left" vertical="center"/>
      <protection locked="0"/>
    </xf>
    <xf numFmtId="192" fontId="24" fillId="0" borderId="20" xfId="305" applyFont="1" applyBorder="1" applyAlignment="1">
      <alignment vertical="center"/>
    </xf>
    <xf numFmtId="192" fontId="16" fillId="0" borderId="20" xfId="305" applyFont="1" applyBorder="1" applyAlignment="1" applyProtection="1">
      <alignment vertical="center"/>
      <protection locked="0"/>
    </xf>
    <xf numFmtId="192" fontId="24" fillId="5" borderId="3" xfId="303" applyFont="1" applyFill="1" applyBorder="1" applyAlignment="1">
      <alignment horizontal="center" vertical="center"/>
      <protection locked="0"/>
    </xf>
    <xf numFmtId="192" fontId="24" fillId="5" borderId="3" xfId="303" applyFont="1" applyFill="1" applyBorder="1" applyAlignment="1">
      <alignment horizontal="center" vertical="center" wrapText="1"/>
      <protection locked="0"/>
    </xf>
    <xf numFmtId="0" fontId="20" fillId="5" borderId="3" xfId="306" applyNumberFormat="1" applyFont="1" applyFill="1" applyBorder="1" applyAlignment="1" applyProtection="1">
      <alignment horizontal="center" vertical="center"/>
      <protection locked="0"/>
    </xf>
    <xf numFmtId="14" fontId="16" fillId="0" borderId="3" xfId="235" applyNumberFormat="1" applyFont="1" applyBorder="1" applyAlignment="1">
      <alignment horizontal="left" vertical="center"/>
      <protection locked="0"/>
    </xf>
    <xf numFmtId="14" fontId="16" fillId="0" borderId="3" xfId="235" applyNumberFormat="1" applyFont="1" applyBorder="1" applyAlignment="1">
      <alignment horizontal="center" vertical="center"/>
      <protection locked="0"/>
    </xf>
    <xf numFmtId="49" fontId="16" fillId="0" borderId="3" xfId="235" applyNumberFormat="1" applyFont="1" applyBorder="1" applyAlignment="1">
      <alignment horizontal="center" vertical="center"/>
      <protection locked="0"/>
    </xf>
    <xf numFmtId="192" fontId="16" fillId="0" borderId="3" xfId="235" applyFont="1" applyBorder="1" applyAlignment="1">
      <alignment vertical="center" wrapText="1"/>
      <protection locked="0"/>
    </xf>
    <xf numFmtId="192" fontId="16" fillId="0" borderId="3" xfId="235" applyFont="1" applyBorder="1" applyAlignment="1">
      <alignment horizontal="left" vertical="center"/>
      <protection locked="0"/>
    </xf>
    <xf numFmtId="192" fontId="16" fillId="0" borderId="3" xfId="306" applyFont="1" applyBorder="1" applyAlignment="1" applyProtection="1">
      <alignment horizontal="center" vertical="center"/>
      <protection locked="0"/>
    </xf>
    <xf numFmtId="49" fontId="16" fillId="0" borderId="3" xfId="303" applyNumberFormat="1" applyFont="1" applyBorder="1" applyAlignment="1">
      <alignment horizontal="center" vertical="center"/>
      <protection locked="0"/>
    </xf>
    <xf numFmtId="49" fontId="16" fillId="0" borderId="3" xfId="303" applyNumberFormat="1" applyFont="1" applyBorder="1" applyAlignment="1">
      <alignment vertical="center"/>
      <protection locked="0"/>
    </xf>
    <xf numFmtId="192" fontId="20" fillId="31" borderId="3" xfId="235" applyFont="1" applyFill="1" applyBorder="1" applyAlignment="1">
      <alignment horizontal="left" vertical="center"/>
      <protection locked="0"/>
    </xf>
    <xf numFmtId="43" fontId="20" fillId="31" borderId="3" xfId="34" applyFont="1" applyFill="1" applyBorder="1" applyAlignment="1" applyProtection="1">
      <alignment horizontal="left" vertical="center"/>
      <protection locked="0"/>
    </xf>
    <xf numFmtId="49" fontId="20" fillId="31" borderId="3" xfId="303" applyNumberFormat="1" applyFont="1" applyFill="1" applyBorder="1" applyAlignment="1">
      <alignment horizontal="center" vertical="center"/>
      <protection locked="0"/>
    </xf>
    <xf numFmtId="192" fontId="20" fillId="31" borderId="3" xfId="306" applyFont="1" applyFill="1" applyBorder="1" applyAlignment="1" applyProtection="1">
      <alignment horizontal="center" vertical="center"/>
      <protection locked="0"/>
    </xf>
    <xf numFmtId="49" fontId="20" fillId="31" borderId="3" xfId="303" applyNumberFormat="1" applyFont="1" applyFill="1" applyBorder="1" applyAlignment="1">
      <alignment vertical="center"/>
      <protection locked="0"/>
    </xf>
    <xf numFmtId="192" fontId="20" fillId="31" borderId="0" xfId="235" applyFont="1" applyFill="1" applyAlignment="1">
      <alignment vertical="center"/>
      <protection locked="0"/>
    </xf>
    <xf numFmtId="192" fontId="107" fillId="0" borderId="0" xfId="235" applyFont="1" applyAlignment="1">
      <alignment horizontal="left" vertical="center"/>
      <protection locked="0"/>
    </xf>
    <xf numFmtId="192" fontId="16" fillId="0" borderId="0" xfId="235" applyFont="1" applyAlignment="1">
      <alignment horizontal="left" vertical="center"/>
      <protection locked="0"/>
    </xf>
    <xf numFmtId="192" fontId="16" fillId="0" borderId="0" xfId="235" applyFont="1" applyAlignment="1">
      <alignment horizontal="center" vertical="center"/>
      <protection locked="0"/>
    </xf>
    <xf numFmtId="192" fontId="20" fillId="0" borderId="0" xfId="235" applyFont="1" applyAlignment="1">
      <alignment vertical="center"/>
      <protection locked="0"/>
    </xf>
    <xf numFmtId="192" fontId="20" fillId="0" borderId="0" xfId="235" applyFont="1" applyAlignment="1">
      <alignment horizontal="left" vertical="center"/>
      <protection locked="0"/>
    </xf>
    <xf numFmtId="192" fontId="24" fillId="0" borderId="0" xfId="235" applyFont="1" applyAlignment="1">
      <alignment vertical="center"/>
      <protection locked="0"/>
    </xf>
    <xf numFmtId="192" fontId="19" fillId="0" borderId="0" xfId="235" applyFont="1" applyAlignment="1">
      <alignment vertical="center"/>
      <protection locked="0"/>
    </xf>
    <xf numFmtId="0" fontId="13" fillId="0" borderId="0" xfId="29" applyFont="1" applyBorder="1" applyAlignment="1">
      <alignment vertical="center"/>
    </xf>
    <xf numFmtId="192" fontId="13" fillId="0" borderId="3" xfId="303" applyFont="1" applyFill="1" applyBorder="1" applyAlignment="1">
      <alignment horizontal="left" vertical="center" wrapText="1"/>
      <protection locked="0"/>
    </xf>
    <xf numFmtId="192" fontId="13" fillId="0" borderId="0" xfId="38" applyFont="1" applyFill="1" applyAlignment="1">
      <alignment vertical="center"/>
    </xf>
    <xf numFmtId="0" fontId="13" fillId="0" borderId="3" xfId="259" applyFont="1" applyFill="1" applyBorder="1" applyAlignment="1" applyProtection="1">
      <alignment horizontal="center" vertical="center"/>
      <protection locked="0"/>
    </xf>
    <xf numFmtId="0" fontId="19" fillId="0" borderId="0" xfId="30" applyFont="1" applyAlignment="1">
      <alignment horizontal="center"/>
      <protection locked="0"/>
    </xf>
    <xf numFmtId="0" fontId="86" fillId="0" borderId="2" xfId="33" applyFont="1" applyBorder="1" applyAlignment="1">
      <alignment vertical="center"/>
      <protection locked="0"/>
    </xf>
    <xf numFmtId="192" fontId="21" fillId="0" borderId="0" xfId="33" applyNumberFormat="1" applyFont="1" applyAlignment="1">
      <alignment vertical="center"/>
      <protection locked="0"/>
    </xf>
    <xf numFmtId="0" fontId="13" fillId="4" borderId="0" xfId="0" applyFont="1" applyFill="1" applyBorder="1" applyAlignment="1" applyProtection="1">
      <alignment horizontal="justify" vertical="center" wrapText="1"/>
      <protection locked="0"/>
    </xf>
    <xf numFmtId="0" fontId="108" fillId="0" borderId="0" xfId="0" applyFont="1" applyAlignment="1" applyProtection="1">
      <alignment horizontal="center" vertical="center"/>
      <protection locked="0"/>
    </xf>
    <xf numFmtId="192" fontId="36" fillId="0" borderId="0" xfId="308" applyFont="1" applyFill="1" applyAlignment="1">
      <alignment horizontal="left" vertical="center"/>
    </xf>
    <xf numFmtId="0" fontId="24" fillId="31" borderId="3" xfId="299" applyFont="1" applyFill="1" applyBorder="1" applyAlignment="1">
      <alignment horizontal="center" vertical="center" wrapText="1"/>
      <protection locked="0"/>
    </xf>
    <xf numFmtId="192" fontId="16" fillId="0" borderId="0" xfId="235" applyFont="1" applyBorder="1" applyAlignment="1">
      <alignment vertical="center"/>
      <protection locked="0"/>
    </xf>
    <xf numFmtId="192" fontId="24" fillId="0" borderId="0" xfId="235" applyFont="1" applyBorder="1" applyAlignment="1">
      <alignment vertical="center"/>
      <protection locked="0"/>
    </xf>
    <xf numFmtId="192" fontId="16" fillId="0" borderId="0" xfId="235" applyFont="1" applyBorder="1" applyAlignment="1">
      <alignment horizontal="center" vertical="center"/>
      <protection locked="0"/>
    </xf>
    <xf numFmtId="192" fontId="16" fillId="0" borderId="0" xfId="235" applyFont="1" applyBorder="1" applyAlignment="1">
      <alignment horizontal="left" vertical="center"/>
      <protection locked="0"/>
    </xf>
    <xf numFmtId="10" fontId="20" fillId="31" borderId="3" xfId="26" applyNumberFormat="1" applyFont="1" applyFill="1" applyBorder="1" applyAlignment="1" applyProtection="1">
      <alignment horizontal="right" vertical="center"/>
      <protection locked="0"/>
    </xf>
    <xf numFmtId="184" fontId="13" fillId="0" borderId="3" xfId="27" applyNumberFormat="1" applyFont="1" applyFill="1" applyBorder="1" applyAlignment="1">
      <alignment horizontal="left" vertical="center" wrapText="1" shrinkToFit="1"/>
    </xf>
    <xf numFmtId="0" fontId="20" fillId="5" borderId="3" xfId="0" applyFont="1" applyFill="1" applyBorder="1" applyAlignment="1">
      <alignment horizontal="center" vertical="center"/>
      <protection locked="0"/>
    </xf>
    <xf numFmtId="10" fontId="16" fillId="5" borderId="3" xfId="26" applyNumberFormat="1" applyFont="1" applyFill="1" applyBorder="1" applyAlignment="1">
      <alignment horizontal="right" vertical="center"/>
    </xf>
    <xf numFmtId="10" fontId="20" fillId="5" borderId="3" xfId="26" applyNumberFormat="1" applyFont="1" applyFill="1" applyBorder="1" applyAlignment="1">
      <alignment horizontal="right" vertical="center"/>
    </xf>
    <xf numFmtId="10" fontId="20" fillId="5" borderId="3" xfId="26" quotePrefix="1" applyNumberFormat="1" applyFont="1" applyFill="1" applyBorder="1" applyAlignment="1">
      <alignment horizontal="right" vertical="center"/>
    </xf>
    <xf numFmtId="0" fontId="16" fillId="5" borderId="0" xfId="0" applyFont="1" applyFill="1" applyAlignment="1">
      <alignment vertical="center"/>
      <protection locked="0"/>
    </xf>
    <xf numFmtId="43" fontId="20" fillId="5" borderId="3" xfId="34" applyFont="1" applyFill="1" applyBorder="1" applyAlignment="1">
      <alignment vertical="center"/>
    </xf>
    <xf numFmtId="184" fontId="13" fillId="0" borderId="3" xfId="27" applyNumberFormat="1" applyFont="1" applyFill="1" applyBorder="1" applyAlignment="1">
      <alignment horizontal="left" vertical="center" wrapText="1"/>
    </xf>
    <xf numFmtId="184" fontId="13" fillId="0" borderId="3" xfId="27" applyNumberFormat="1" applyFont="1" applyFill="1" applyBorder="1" applyAlignment="1">
      <alignment horizontal="center" vertical="center" wrapText="1"/>
    </xf>
    <xf numFmtId="0" fontId="18" fillId="0" borderId="0" xfId="0"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6" fillId="0" borderId="3" xfId="299" applyFont="1" applyBorder="1" applyAlignment="1">
      <alignment horizontal="left" vertical="center" wrapText="1"/>
      <protection locked="0"/>
    </xf>
    <xf numFmtId="0" fontId="20" fillId="5" borderId="3" xfId="299" applyFont="1" applyFill="1" applyBorder="1" applyAlignment="1">
      <alignment horizontal="center" vertical="center" wrapText="1"/>
      <protection locked="0"/>
    </xf>
    <xf numFmtId="0" fontId="13" fillId="0" borderId="3" xfId="299" applyFont="1" applyBorder="1" applyAlignment="1">
      <alignment horizontal="center" vertical="center" wrapText="1"/>
      <protection locked="0"/>
    </xf>
    <xf numFmtId="192" fontId="96" fillId="0" borderId="0" xfId="36" applyFont="1" applyFill="1" applyAlignment="1">
      <alignment horizontal="center" vertical="center"/>
    </xf>
    <xf numFmtId="192" fontId="109" fillId="0" borderId="0" xfId="36" applyFont="1" applyFill="1" applyAlignment="1">
      <alignment horizontal="center" vertical="center"/>
    </xf>
    <xf numFmtId="192" fontId="37" fillId="0" borderId="0" xfId="37" applyFont="1" applyFill="1" applyAlignment="1">
      <alignment horizontal="left" vertical="center"/>
      <protection locked="0"/>
    </xf>
    <xf numFmtId="0" fontId="24" fillId="5" borderId="3" xfId="241" applyFont="1" applyFill="1" applyBorder="1" applyAlignment="1">
      <alignment horizontal="center" vertical="center" wrapText="1"/>
      <protection locked="0"/>
    </xf>
    <xf numFmtId="49" fontId="24" fillId="5" borderId="3" xfId="299" applyNumberFormat="1" applyFont="1" applyFill="1" applyBorder="1" applyAlignment="1">
      <alignment horizontal="center" vertical="center"/>
      <protection locked="0"/>
    </xf>
    <xf numFmtId="0" fontId="24" fillId="5" borderId="3" xfId="259" applyFont="1" applyFill="1" applyBorder="1" applyAlignment="1" applyProtection="1">
      <alignment horizontal="center" vertical="center" wrapText="1"/>
      <protection locked="0"/>
    </xf>
    <xf numFmtId="0" fontId="24" fillId="5" borderId="3" xfId="299" applyFont="1" applyFill="1" applyBorder="1" applyAlignment="1">
      <alignment horizontal="center" vertical="center" wrapText="1"/>
      <protection locked="0"/>
    </xf>
    <xf numFmtId="0" fontId="40" fillId="5" borderId="3" xfId="299" applyFont="1" applyFill="1" applyBorder="1" applyAlignment="1">
      <alignment horizontal="center" vertical="center"/>
      <protection locked="0"/>
    </xf>
    <xf numFmtId="0" fontId="101" fillId="5" borderId="3" xfId="299" applyFont="1" applyFill="1" applyBorder="1" applyAlignment="1">
      <alignment horizontal="center" vertical="center"/>
      <protection locked="0"/>
    </xf>
    <xf numFmtId="0" fontId="36" fillId="0" borderId="0" xfId="27" applyFont="1" applyAlignment="1">
      <alignment vertical="center" wrapText="1"/>
    </xf>
    <xf numFmtId="0" fontId="35" fillId="0" borderId="0" xfId="27" applyFont="1" applyAlignment="1">
      <alignment vertical="center" wrapText="1"/>
    </xf>
    <xf numFmtId="0" fontId="96" fillId="0" borderId="0" xfId="28" applyFont="1" applyAlignment="1">
      <alignment horizontal="center" vertical="center"/>
    </xf>
    <xf numFmtId="0" fontId="109" fillId="0" borderId="0" xfId="28" applyFont="1" applyAlignment="1">
      <alignment horizontal="center" vertical="center"/>
    </xf>
    <xf numFmtId="0" fontId="28" fillId="0" borderId="0" xfId="0" applyFont="1" applyAlignment="1">
      <alignment horizontal="center" vertical="center"/>
      <protection locked="0"/>
    </xf>
    <xf numFmtId="0" fontId="35" fillId="0" borderId="0" xfId="0" applyFont="1" applyAlignment="1" applyProtection="1">
      <alignment horizontal="left" vertical="center" wrapText="1"/>
    </xf>
    <xf numFmtId="0" fontId="14" fillId="0" borderId="0" xfId="0" applyFont="1" applyAlignment="1">
      <alignment horizontal="center" vertical="center"/>
      <protection locked="0"/>
    </xf>
    <xf numFmtId="0" fontId="108" fillId="0" borderId="0" xfId="0" applyFont="1" applyAlignment="1">
      <alignment horizontal="center" vertical="center"/>
      <protection locked="0"/>
    </xf>
    <xf numFmtId="0" fontId="96" fillId="0" borderId="0" xfId="0" applyFont="1" applyAlignment="1">
      <alignment horizontal="center" vertical="center"/>
      <protection locked="0"/>
    </xf>
    <xf numFmtId="0" fontId="109" fillId="0" borderId="0" xfId="0" applyFont="1" applyAlignment="1">
      <alignment horizontal="center" vertical="center"/>
      <protection locked="0"/>
    </xf>
    <xf numFmtId="43" fontId="99" fillId="0" borderId="0" xfId="0" applyNumberFormat="1" applyFont="1" applyAlignment="1" applyProtection="1">
      <alignment horizontal="left" vertical="center" wrapText="1"/>
    </xf>
    <xf numFmtId="43" fontId="96" fillId="0" borderId="0" xfId="31" applyNumberFormat="1" applyFont="1" applyBorder="1" applyAlignment="1">
      <alignment horizontal="center" vertical="center"/>
    </xf>
    <xf numFmtId="43" fontId="108" fillId="0" borderId="0" xfId="31" applyNumberFormat="1" applyFont="1" applyBorder="1" applyAlignment="1">
      <alignment horizontal="center" vertical="center"/>
    </xf>
    <xf numFmtId="43" fontId="34" fillId="0" borderId="0" xfId="31" applyNumberFormat="1" applyFont="1" applyBorder="1" applyAlignment="1">
      <alignment horizontal="center" vertical="center"/>
    </xf>
    <xf numFmtId="0" fontId="95" fillId="0" borderId="0" xfId="299" applyFont="1" applyFill="1" applyBorder="1" applyAlignment="1">
      <alignment horizontal="left" vertical="center" wrapText="1"/>
      <protection locked="0"/>
    </xf>
    <xf numFmtId="0" fontId="19" fillId="0" borderId="0" xfId="299" applyFont="1" applyFill="1" applyBorder="1" applyAlignment="1">
      <alignment horizontal="left" vertical="center" wrapText="1"/>
      <protection locked="0"/>
    </xf>
    <xf numFmtId="192" fontId="14" fillId="0" borderId="0" xfId="235" applyFont="1" applyAlignment="1">
      <alignment horizontal="center" vertical="center"/>
      <protection locked="0"/>
    </xf>
    <xf numFmtId="192" fontId="108" fillId="0" borderId="0" xfId="235" applyFont="1" applyAlignment="1">
      <alignment horizontal="center" vertical="center"/>
      <protection locked="0"/>
    </xf>
    <xf numFmtId="192" fontId="24" fillId="5" borderId="3" xfId="303" applyFont="1" applyFill="1" applyBorder="1" applyAlignment="1">
      <alignment horizontal="center" vertical="center" wrapText="1"/>
      <protection locked="0"/>
    </xf>
    <xf numFmtId="192" fontId="20" fillId="5" borderId="3" xfId="306" applyFont="1" applyFill="1" applyBorder="1" applyAlignment="1" applyProtection="1">
      <alignment horizontal="center" vertical="center"/>
      <protection locked="0"/>
    </xf>
    <xf numFmtId="192" fontId="24" fillId="33" borderId="3" xfId="307" applyFont="1" applyFill="1" applyBorder="1" applyAlignment="1" applyProtection="1">
      <alignment horizontal="center" vertical="center" wrapText="1"/>
    </xf>
    <xf numFmtId="192" fontId="24" fillId="5" borderId="3" xfId="232" applyFont="1" applyFill="1" applyBorder="1" applyAlignment="1">
      <alignment horizontal="center" vertical="center"/>
      <protection locked="0"/>
    </xf>
    <xf numFmtId="192" fontId="20" fillId="5" borderId="3" xfId="232" applyFont="1" applyFill="1" applyBorder="1" applyAlignment="1">
      <alignment horizontal="center" vertical="center"/>
      <protection locked="0"/>
    </xf>
    <xf numFmtId="192" fontId="24" fillId="5" borderId="3" xfId="232" applyFont="1" applyFill="1" applyBorder="1" applyAlignment="1">
      <alignment horizontal="center" vertical="center" wrapText="1"/>
      <protection locked="0"/>
    </xf>
    <xf numFmtId="192" fontId="24" fillId="5" borderId="3" xfId="303" applyFont="1" applyFill="1" applyBorder="1" applyAlignment="1">
      <alignment horizontal="center" vertical="center"/>
      <protection locked="0"/>
    </xf>
    <xf numFmtId="49" fontId="94" fillId="0" borderId="5" xfId="303" applyNumberFormat="1" applyFont="1" applyBorder="1" applyAlignment="1">
      <alignment horizontal="left" vertical="center"/>
      <protection locked="0"/>
    </xf>
    <xf numFmtId="49" fontId="94" fillId="0" borderId="4" xfId="303" applyNumberFormat="1" applyFont="1" applyBorder="1" applyAlignment="1">
      <alignment horizontal="left" vertical="center"/>
      <protection locked="0"/>
    </xf>
    <xf numFmtId="49" fontId="13" fillId="0" borderId="5" xfId="303" applyNumberFormat="1" applyFont="1" applyBorder="1" applyAlignment="1">
      <alignment horizontal="left" vertical="center"/>
      <protection locked="0"/>
    </xf>
    <xf numFmtId="49" fontId="13" fillId="0" borderId="4" xfId="303" applyNumberFormat="1" applyFont="1" applyBorder="1" applyAlignment="1">
      <alignment horizontal="left" vertical="center"/>
      <protection locked="0"/>
    </xf>
    <xf numFmtId="43" fontId="20" fillId="31" borderId="3" xfId="34" applyFont="1" applyFill="1" applyBorder="1" applyAlignment="1" applyProtection="1">
      <alignment horizontal="center" vertical="center"/>
      <protection locked="0"/>
    </xf>
    <xf numFmtId="14" fontId="24" fillId="31" borderId="3" xfId="235" applyNumberFormat="1" applyFont="1" applyFill="1" applyBorder="1" applyAlignment="1">
      <alignment horizontal="center" vertical="center"/>
      <protection locked="0"/>
    </xf>
    <xf numFmtId="43" fontId="20" fillId="31" borderId="5" xfId="34" applyFont="1" applyFill="1" applyBorder="1" applyAlignment="1" applyProtection="1">
      <alignment horizontal="left" vertical="center"/>
      <protection locked="0"/>
    </xf>
    <xf numFmtId="43" fontId="20" fillId="31" borderId="4" xfId="34" applyFont="1" applyFill="1" applyBorder="1" applyAlignment="1" applyProtection="1">
      <alignment horizontal="left" vertical="center"/>
      <protection locked="0"/>
    </xf>
  </cellXfs>
  <cellStyles count="309">
    <cellStyle name="%" xfId="40"/>
    <cellStyle name="?" xfId="41"/>
    <cellStyle name="?餡_x000c_k" xfId="42"/>
    <cellStyle name="?餡_x000c_k?_x000d_^" xfId="43"/>
    <cellStyle name="?餡_x000c_k?_x000d_^黇_x0001_??_x0007__x0001__x0001_" xfId="44"/>
    <cellStyle name="@_text" xfId="1"/>
    <cellStyle name="_2005审计报表及附注-中国建材股份模板（房屋）" xfId="45"/>
    <cellStyle name="_2006年年报审计PBC表-XXX" xfId="46"/>
    <cellStyle name="_2006年年报审计填报资料" xfId="47"/>
    <cellStyle name="_Book1" xfId="48"/>
    <cellStyle name="_J1000-存货-ZHHG" xfId="49"/>
    <cellStyle name="_PBC审核提示" xfId="50"/>
    <cellStyle name="_宝丽华房地产20051231" xfId="51"/>
    <cellStyle name="_保证金-企业填写部分" xfId="52"/>
    <cellStyle name="_北新房屋2004年审-刘" xfId="53"/>
    <cellStyle name="_北新股份2005年审工作底稿" xfId="54"/>
    <cellStyle name="_北新建材关连交易基础表051230（10－12月版）更新稿" xfId="55"/>
    <cellStyle name="_北新建材-会计报表附注模版" xfId="56"/>
    <cellStyle name="_北新龙之星2004年审工作底稿" xfId="57"/>
    <cellStyle name="_北新物流2005底稿-刘" xfId="58"/>
    <cellStyle name="_北新置换memo" xfId="59"/>
    <cellStyle name="_存货结转测试" xfId="60"/>
    <cellStyle name="_存货数量与明细05.12" xfId="61"/>
    <cellStyle name="_动力厂2004年审工作底稿-刘" xfId="62"/>
    <cellStyle name="_分工" xfId="63"/>
    <cellStyle name="_工程施工项目现场审计提示" xfId="64"/>
    <cellStyle name="_关联交易" xfId="65"/>
    <cellStyle name="_关联交易、往来统计表" xfId="66"/>
    <cellStyle name="_建造合同-宜万指（正式版）" xfId="67"/>
    <cellStyle name="_科目核对表" xfId="68"/>
    <cellStyle name="_母PL" xfId="69"/>
    <cellStyle name="_人员分工备忘录" xfId="70"/>
    <cellStyle name="_审计所需资料清单－子公司" xfId="71"/>
    <cellStyle name="_一公司建造合同前5名" xfId="72"/>
    <cellStyle name="_一公司－刘丰收" xfId="73"/>
    <cellStyle name="_长期借款－江阴" xfId="74"/>
    <cellStyle name="_子公司审计提示模版-Liufs" xfId="75"/>
    <cellStyle name="{Comma [0]}" xfId="2"/>
    <cellStyle name="{Comma}" xfId="3"/>
    <cellStyle name="{Date}" xfId="4"/>
    <cellStyle name="{Month}" xfId="5"/>
    <cellStyle name="{Percent}" xfId="6"/>
    <cellStyle name="{Thousand [0]}" xfId="7"/>
    <cellStyle name="{Thousand}" xfId="8"/>
    <cellStyle name="{Z'0000(1 dec)}" xfId="9"/>
    <cellStyle name="{Z'0000(4 dec)}" xfId="10"/>
    <cellStyle name="0%" xfId="76"/>
    <cellStyle name="0.0%" xfId="77"/>
    <cellStyle name="0.00%" xfId="78"/>
    <cellStyle name="20% - Accent1" xfId="79"/>
    <cellStyle name="20% - Accent2" xfId="80"/>
    <cellStyle name="20% - Accent3" xfId="81"/>
    <cellStyle name="20% - Accent4" xfId="82"/>
    <cellStyle name="20% - Accent5" xfId="83"/>
    <cellStyle name="20% - Accent6" xfId="84"/>
    <cellStyle name="40% - Accent1" xfId="85"/>
    <cellStyle name="40% - Accent2" xfId="86"/>
    <cellStyle name="40% - Accent3" xfId="87"/>
    <cellStyle name="40% - Accent4" xfId="88"/>
    <cellStyle name="40% - Accent5" xfId="89"/>
    <cellStyle name="40% - Accent6" xfId="90"/>
    <cellStyle name="60% - Accent1" xfId="91"/>
    <cellStyle name="60% - Accent2" xfId="92"/>
    <cellStyle name="60% - Accent3" xfId="93"/>
    <cellStyle name="60% - Accent4" xfId="94"/>
    <cellStyle name="60% - Accent5" xfId="95"/>
    <cellStyle name="60% - Accent6" xfId="96"/>
    <cellStyle name="Accent1" xfId="97"/>
    <cellStyle name="Accent2" xfId="98"/>
    <cellStyle name="Accent3" xfId="99"/>
    <cellStyle name="Accent4" xfId="100"/>
    <cellStyle name="Accent5" xfId="101"/>
    <cellStyle name="Accent6" xfId="102"/>
    <cellStyle name="Bad" xfId="103"/>
    <cellStyle name="Black" xfId="11"/>
    <cellStyle name="Border" xfId="12"/>
    <cellStyle name="Calc Currency (0)" xfId="104"/>
    <cellStyle name="Calc Currency (2)" xfId="105"/>
    <cellStyle name="Calc Percent (0)" xfId="106"/>
    <cellStyle name="Calc Percent (1)" xfId="107"/>
    <cellStyle name="Calc Percent (2)" xfId="108"/>
    <cellStyle name="Calc Units (0)" xfId="109"/>
    <cellStyle name="Calc Units (1)" xfId="110"/>
    <cellStyle name="Calc Units (2)" xfId="111"/>
    <cellStyle name="Calculation" xfId="112"/>
    <cellStyle name="category" xfId="113"/>
    <cellStyle name="Check Cell" xfId="114"/>
    <cellStyle name="Col Heads" xfId="115"/>
    <cellStyle name="Column_Title" xfId="116"/>
    <cellStyle name="Comma  - Style1" xfId="117"/>
    <cellStyle name="Comma  - Style2" xfId="118"/>
    <cellStyle name="Comma  - Style3" xfId="119"/>
    <cellStyle name="Comma  - Style4" xfId="120"/>
    <cellStyle name="Comma  - Style5" xfId="121"/>
    <cellStyle name="Comma  - Style6" xfId="122"/>
    <cellStyle name="Comma  - Style7" xfId="123"/>
    <cellStyle name="Comma  - Style8" xfId="124"/>
    <cellStyle name="Comma [0]_ rislugp" xfId="125"/>
    <cellStyle name="Comma [00]" xfId="126"/>
    <cellStyle name="Comma 28" xfId="127"/>
    <cellStyle name="comma zerodec" xfId="128"/>
    <cellStyle name="Comma,0" xfId="129"/>
    <cellStyle name="Comma,1" xfId="130"/>
    <cellStyle name="Comma,2" xfId="131"/>
    <cellStyle name="Comma_ rislugp" xfId="132"/>
    <cellStyle name="Currency [0]_ rislugp" xfId="133"/>
    <cellStyle name="Currency [00]" xfId="134"/>
    <cellStyle name="Currency,0" xfId="135"/>
    <cellStyle name="Currency,2" xfId="136"/>
    <cellStyle name="Currency_ rislugp" xfId="137"/>
    <cellStyle name="Currency1" xfId="138"/>
    <cellStyle name="Date Short" xfId="139"/>
    <cellStyle name="Dezimal [0]_laroux" xfId="13"/>
    <cellStyle name="Dezimal_laroux" xfId="14"/>
    <cellStyle name="Dollar (zero dec)" xfId="140"/>
    <cellStyle name="Enter Currency (0)" xfId="141"/>
    <cellStyle name="Enter Currency (2)" xfId="142"/>
    <cellStyle name="Enter Units (0)" xfId="143"/>
    <cellStyle name="Enter Units (1)" xfId="144"/>
    <cellStyle name="Enter Units (2)" xfId="145"/>
    <cellStyle name="entry" xfId="146"/>
    <cellStyle name="entry box" xfId="147"/>
    <cellStyle name="Euro" xfId="15"/>
    <cellStyle name="Explanatory Text" xfId="148"/>
    <cellStyle name="Followed Hyperlink_AheadBehind.xls Chart 23" xfId="16"/>
    <cellStyle name="Good" xfId="149"/>
    <cellStyle name="Grey" xfId="17"/>
    <cellStyle name="HEADER" xfId="150"/>
    <cellStyle name="Header1" xfId="151"/>
    <cellStyle name="Header2" xfId="152"/>
    <cellStyle name="Heading" xfId="153"/>
    <cellStyle name="Heading 1" xfId="154"/>
    <cellStyle name="Heading 2" xfId="155"/>
    <cellStyle name="Heading 3" xfId="156"/>
    <cellStyle name="Heading 4" xfId="157"/>
    <cellStyle name="Hyperlink_AheadBehind.xls Chart 23" xfId="18"/>
    <cellStyle name="Input" xfId="158"/>
    <cellStyle name="Input [yellow]" xfId="19"/>
    <cellStyle name="left" xfId="159"/>
    <cellStyle name="Link Currency (0)" xfId="160"/>
    <cellStyle name="Link Currency (2)" xfId="161"/>
    <cellStyle name="Link Units (0)" xfId="162"/>
    <cellStyle name="Link Units (1)" xfId="163"/>
    <cellStyle name="Link Units (2)" xfId="164"/>
    <cellStyle name="Linked Cell" xfId="165"/>
    <cellStyle name="Millares [0]_laroux" xfId="166"/>
    <cellStyle name="Millares_laroux" xfId="167"/>
    <cellStyle name="Milliers [0]_laroux" xfId="20"/>
    <cellStyle name="Milliers_laroux" xfId="21"/>
    <cellStyle name="Model" xfId="168"/>
    <cellStyle name="Moneda [0]_laroux" xfId="169"/>
    <cellStyle name="Moneda_laroux" xfId="170"/>
    <cellStyle name="Mon閠aire [0]_laroux" xfId="171"/>
    <cellStyle name="Mon閠aire_laroux" xfId="172"/>
    <cellStyle name="Neutral" xfId="173"/>
    <cellStyle name="no dec" xfId="174"/>
    <cellStyle name="Non défini" xfId="22"/>
    <cellStyle name="Normal - Style1" xfId="23"/>
    <cellStyle name="Normal 2" xfId="175"/>
    <cellStyle name="Normal 2 2" xfId="176"/>
    <cellStyle name="Normal 21" xfId="177"/>
    <cellStyle name="Normal 3 2" xfId="178"/>
    <cellStyle name="Normal_ rislugp" xfId="179"/>
    <cellStyle name="Normalny_Arkusz1" xfId="180"/>
    <cellStyle name="Note" xfId="181"/>
    <cellStyle name="Output" xfId="182"/>
    <cellStyle name="Percent (0)" xfId="183"/>
    <cellStyle name="Percent [0]" xfId="184"/>
    <cellStyle name="Percent [00]" xfId="185"/>
    <cellStyle name="Percent [2]" xfId="24"/>
    <cellStyle name="Prefilled" xfId="186"/>
    <cellStyle name="PrePop Currency (0)" xfId="187"/>
    <cellStyle name="PrePop Currency (2)" xfId="188"/>
    <cellStyle name="PrePop Units (0)" xfId="189"/>
    <cellStyle name="PrePop Units (1)" xfId="190"/>
    <cellStyle name="PrePop Units (2)" xfId="191"/>
    <cellStyle name="price" xfId="192"/>
    <cellStyle name="Red" xfId="25"/>
    <cellStyle name="revised" xfId="193"/>
    <cellStyle name="section" xfId="194"/>
    <cellStyle name="SOR" xfId="195"/>
    <cellStyle name="style" xfId="196"/>
    <cellStyle name="style1" xfId="197"/>
    <cellStyle name="style2" xfId="198"/>
    <cellStyle name="subhead" xfId="199"/>
    <cellStyle name="Text Indent A" xfId="200"/>
    <cellStyle name="Text Indent B" xfId="201"/>
    <cellStyle name="Text Indent C" xfId="202"/>
    <cellStyle name="Tickmark" xfId="203"/>
    <cellStyle name="title" xfId="204"/>
    <cellStyle name="Total" xfId="205"/>
    <cellStyle name="Warning Text" xfId="206"/>
    <cellStyle name="wrap" xfId="207"/>
    <cellStyle name="パーセント_laroux" xfId="208"/>
    <cellStyle name="_PLDT" xfId="209"/>
    <cellStyle name="_Total (2)" xfId="210"/>
    <cellStyle name="だ[0]_PLDT" xfId="211"/>
    <cellStyle name="だ_PLDT" xfId="212"/>
    <cellStyle name="だ[0]_Total (2)" xfId="213"/>
    <cellStyle name="だ_Total (2)" xfId="214"/>
    <cellStyle name="百分比" xfId="26" builtinId="5"/>
    <cellStyle name="百分比 2" xfId="215"/>
    <cellStyle name="百分比 2 2" xfId="302"/>
    <cellStyle name="百分比 3" xfId="216"/>
    <cellStyle name="標準_１１月価格表" xfId="217"/>
    <cellStyle name="差_T1000-主营业务收入-LJCH" xfId="218"/>
    <cellStyle name="常规" xfId="0" builtinId="0"/>
    <cellStyle name="常规 10" xfId="219"/>
    <cellStyle name="常规 10 2" xfId="220"/>
    <cellStyle name="常规 10 3" xfId="221"/>
    <cellStyle name="常规 10 4" xfId="222"/>
    <cellStyle name="常规 11 2" xfId="223"/>
    <cellStyle name="常规 11 3" xfId="224"/>
    <cellStyle name="常规 11 4" xfId="225"/>
    <cellStyle name="常规 11 5" xfId="308"/>
    <cellStyle name="常规 12 2" xfId="226"/>
    <cellStyle name="常规 12 3" xfId="227"/>
    <cellStyle name="常规 12 4" xfId="228"/>
    <cellStyle name="常规 13 2" xfId="229"/>
    <cellStyle name="常规 13 3" xfId="230"/>
    <cellStyle name="常规 13 4" xfId="231"/>
    <cellStyle name="常规 2" xfId="37"/>
    <cellStyle name="常规 2 2" xfId="232"/>
    <cellStyle name="常规 2 2 2" xfId="233"/>
    <cellStyle name="常规 2 2 3" xfId="234"/>
    <cellStyle name="常规 2 2 4" xfId="299"/>
    <cellStyle name="常规 2 3" xfId="235"/>
    <cellStyle name="常规 2 3 2" xfId="236"/>
    <cellStyle name="常规 2 3 2 2" xfId="307"/>
    <cellStyle name="常规 2 4" xfId="237"/>
    <cellStyle name="常规 2 5" xfId="238"/>
    <cellStyle name="常规 2 6" xfId="239"/>
    <cellStyle name="常规 2 7" xfId="240"/>
    <cellStyle name="常规 2 8" xfId="241"/>
    <cellStyle name="常规 2 8 2" xfId="303"/>
    <cellStyle name="常规 2_经销商信息-1-原始表" xfId="242"/>
    <cellStyle name="常规 3" xfId="39"/>
    <cellStyle name="常规 3 2" xfId="243"/>
    <cellStyle name="常规 3 3" xfId="244"/>
    <cellStyle name="常规 3 4" xfId="245"/>
    <cellStyle name="常规 4" xfId="246"/>
    <cellStyle name="常规 4 2" xfId="247"/>
    <cellStyle name="常规 4 2 2" xfId="300"/>
    <cellStyle name="常规 4 3" xfId="248"/>
    <cellStyle name="常规 4 4" xfId="249"/>
    <cellStyle name="常规 5" xfId="250"/>
    <cellStyle name="常规 5 2" xfId="251"/>
    <cellStyle name="常规 5 3" xfId="252"/>
    <cellStyle name="常规 5 4" xfId="253"/>
    <cellStyle name="常规 6" xfId="35"/>
    <cellStyle name="常规 6 2" xfId="254"/>
    <cellStyle name="常规 6 3" xfId="255"/>
    <cellStyle name="常规 6 4" xfId="256"/>
    <cellStyle name="常规 6 5" xfId="257"/>
    <cellStyle name="常规 6 6" xfId="306"/>
    <cellStyle name="常规 7" xfId="258"/>
    <cellStyle name="常规 7 2" xfId="259"/>
    <cellStyle name="常规 7 3" xfId="260"/>
    <cellStyle name="常规 7 4" xfId="261"/>
    <cellStyle name="常规 8" xfId="262"/>
    <cellStyle name="常规 8 2" xfId="263"/>
    <cellStyle name="常规 8 3" xfId="264"/>
    <cellStyle name="常规 8 4" xfId="265"/>
    <cellStyle name="常规 9" xfId="266"/>
    <cellStyle name="常规 9 2" xfId="267"/>
    <cellStyle name="常规 9 3" xfId="268"/>
    <cellStyle name="常规 9 4" xfId="269"/>
    <cellStyle name="常规_2-1项目审定表－模板" xfId="27"/>
    <cellStyle name="常规_Book1" xfId="28"/>
    <cellStyle name="常规_Book1 2" xfId="36"/>
    <cellStyle name="常规_进一步审计程序--销售与收款循环" xfId="29"/>
    <cellStyle name="常规_进一步审计程序--销售与收款循环 2" xfId="305"/>
    <cellStyle name="常规_通用表" xfId="30"/>
    <cellStyle name="常规_新审定表" xfId="31"/>
    <cellStyle name="常规_新审定表 2" xfId="304"/>
    <cellStyle name="常规_制造费用" xfId="32"/>
    <cellStyle name="常规_制造费用 2" xfId="38"/>
    <cellStyle name="超级链接_B4-1审计项目工时预算与控制表(集团)" xfId="270"/>
    <cellStyle name="超链接" xfId="33" builtinId="8"/>
    <cellStyle name="超链接 2" xfId="271"/>
    <cellStyle name="超链接 2 2" xfId="272"/>
    <cellStyle name="超链接 2 3" xfId="301"/>
    <cellStyle name="分级显示行_1_4附件二凯旋评估表" xfId="273"/>
    <cellStyle name="好_T1000-主营业务收入" xfId="274"/>
    <cellStyle name="桁区切り [0.00]_１１月価格表" xfId="275"/>
    <cellStyle name="桁区切り_１１月価格表" xfId="276"/>
    <cellStyle name="霓付 [0]_97MBO" xfId="277"/>
    <cellStyle name="霓付_97MBO" xfId="278"/>
    <cellStyle name="烹拳 [0]_97MBO" xfId="279"/>
    <cellStyle name="烹拳_97MBO" xfId="280"/>
    <cellStyle name="砯刽 [0]_PLDT" xfId="281"/>
    <cellStyle name="砯刽_PLDT" xfId="282"/>
    <cellStyle name="普通_ 白土" xfId="283"/>
    <cellStyle name="千分位[0]_ 白土" xfId="284"/>
    <cellStyle name="千分位_ 白土" xfId="285"/>
    <cellStyle name="千位[0]_ 应交税金审定表" xfId="286"/>
    <cellStyle name="千位_ 应交税金审定表" xfId="287"/>
    <cellStyle name="千位分隔" xfId="34" builtinId="3"/>
    <cellStyle name="千位分隔 2" xfId="288"/>
    <cellStyle name="千位分隔 3" xfId="289"/>
    <cellStyle name="钎霖_laroux" xfId="290"/>
    <cellStyle name="通貨 [0.00]_１１月価格表" xfId="291"/>
    <cellStyle name="通貨_１１月価格表" xfId="292"/>
    <cellStyle name="样式 1" xfId="293"/>
    <cellStyle name="콤마 [0]_BOILER-CO1" xfId="294"/>
    <cellStyle name="콤마_BOILER-CO1" xfId="295"/>
    <cellStyle name="통화 [0]_BOILER-CO1" xfId="296"/>
    <cellStyle name="통화_BOILER-CO1" xfId="297"/>
    <cellStyle name="표준_0N-HANDLING " xfId="298"/>
  </cellStyles>
  <dxfs count="4">
    <dxf>
      <font>
        <condense val="0"/>
        <extend val="0"/>
        <color indexed="10"/>
      </font>
    </dxf>
    <dxf>
      <font>
        <condense val="0"/>
        <extend val="0"/>
        <color indexed="10"/>
      </font>
    </dxf>
    <dxf>
      <font>
        <condense val="0"/>
        <extend val="0"/>
        <color indexed="12"/>
      </font>
    </dxf>
    <dxf>
      <font>
        <condense val="0"/>
        <extend val="0"/>
        <color indexed="12"/>
      </font>
    </dxf>
  </dxfs>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38" customWidth="1"/>
    <col min="2" max="2" width="2" style="38" customWidth="1"/>
    <col min="3" max="3" width="2.09765625" style="38" customWidth="1"/>
    <col min="4" max="4" width="6.09765625" style="38" customWidth="1"/>
    <col min="5" max="5" width="26.09765625" style="38" bestFit="1" customWidth="1"/>
    <col min="6" max="6" width="9.59765625" style="191" customWidth="1"/>
    <col min="7" max="16384" width="9" style="38"/>
  </cols>
  <sheetData>
    <row r="1" spans="1:8" s="35" customFormat="1" ht="20.100000000000001" customHeight="1">
      <c r="A1" s="34" t="s">
        <v>61</v>
      </c>
      <c r="F1" s="37"/>
    </row>
    <row r="2" spans="1:8" ht="20.100000000000001" customHeight="1">
      <c r="A2" s="109" t="s">
        <v>211</v>
      </c>
      <c r="B2" s="36"/>
      <c r="C2" s="36"/>
      <c r="D2" s="37"/>
      <c r="E2" s="54"/>
      <c r="F2" s="55"/>
      <c r="G2" s="36"/>
      <c r="H2" s="36"/>
    </row>
    <row r="3" spans="1:8" ht="20.100000000000001" customHeight="1">
      <c r="A3" s="110" t="s">
        <v>221</v>
      </c>
      <c r="B3" s="36"/>
      <c r="C3" s="36"/>
      <c r="D3" s="117" t="s">
        <v>140</v>
      </c>
      <c r="E3" s="117" t="s">
        <v>141</v>
      </c>
      <c r="F3" s="117" t="s">
        <v>142</v>
      </c>
      <c r="G3" s="117" t="s">
        <v>143</v>
      </c>
      <c r="H3" s="40"/>
    </row>
    <row r="4" spans="1:8" ht="20.100000000000001" customHeight="1">
      <c r="A4" s="194" t="s">
        <v>212</v>
      </c>
      <c r="B4" s="39"/>
      <c r="C4" s="39"/>
      <c r="D4" s="116">
        <v>1</v>
      </c>
      <c r="E4" s="71" t="s">
        <v>134</v>
      </c>
      <c r="F4" s="116" t="s">
        <v>205</v>
      </c>
      <c r="G4" s="118"/>
      <c r="H4" s="36"/>
    </row>
    <row r="5" spans="1:8" ht="20.100000000000001" customHeight="1">
      <c r="A5" s="194" t="s">
        <v>213</v>
      </c>
      <c r="D5" s="116">
        <v>2</v>
      </c>
      <c r="E5" s="71" t="s">
        <v>135</v>
      </c>
      <c r="F5" s="116" t="s">
        <v>206</v>
      </c>
      <c r="G5" s="119"/>
      <c r="H5" s="39"/>
    </row>
    <row r="6" spans="1:8" ht="20.100000000000001" customHeight="1">
      <c r="A6" s="194" t="s">
        <v>214</v>
      </c>
      <c r="D6" s="116">
        <v>3</v>
      </c>
      <c r="E6" s="71" t="s">
        <v>136</v>
      </c>
      <c r="F6" s="116"/>
      <c r="G6" s="120"/>
      <c r="H6" s="122" t="s">
        <v>145</v>
      </c>
    </row>
    <row r="7" spans="1:8" ht="20.100000000000001" customHeight="1">
      <c r="A7" s="194" t="s">
        <v>215</v>
      </c>
      <c r="D7" s="116">
        <v>4</v>
      </c>
      <c r="E7" s="71" t="s">
        <v>137</v>
      </c>
      <c r="F7" s="116"/>
      <c r="G7" s="120"/>
      <c r="H7" s="122" t="s">
        <v>146</v>
      </c>
    </row>
    <row r="8" spans="1:8" ht="20.100000000000001" customHeight="1">
      <c r="A8" s="26"/>
      <c r="D8" s="116">
        <v>5</v>
      </c>
      <c r="E8" s="71" t="s">
        <v>138</v>
      </c>
      <c r="F8" s="116" t="s">
        <v>207</v>
      </c>
      <c r="G8" s="119"/>
    </row>
    <row r="9" spans="1:8" ht="19.95" customHeight="1">
      <c r="A9" s="195" t="s">
        <v>222</v>
      </c>
      <c r="D9" s="116">
        <v>6</v>
      </c>
      <c r="E9" s="71" t="s">
        <v>139</v>
      </c>
      <c r="F9" s="116" t="s">
        <v>208</v>
      </c>
      <c r="G9" s="121" t="s">
        <v>144</v>
      </c>
    </row>
    <row r="10" spans="1:8" ht="19.95" customHeight="1">
      <c r="A10" s="212" t="s">
        <v>223</v>
      </c>
      <c r="D10" s="116">
        <v>7</v>
      </c>
      <c r="E10" s="192" t="s">
        <v>204</v>
      </c>
      <c r="F10" s="116" t="s">
        <v>209</v>
      </c>
      <c r="G10" s="119"/>
    </row>
    <row r="11" spans="1:8" ht="19.95" customHeight="1">
      <c r="A11" s="212"/>
      <c r="E11" s="84"/>
    </row>
    <row r="12" spans="1:8" ht="19.95" customHeight="1">
      <c r="A12" s="212"/>
      <c r="E12" s="84"/>
    </row>
    <row r="13" spans="1:8" ht="19.95" customHeight="1">
      <c r="A13" s="212"/>
      <c r="E13" s="84"/>
    </row>
    <row r="14" spans="1:8" ht="19.95" customHeight="1">
      <c r="A14" s="212" t="s">
        <v>224</v>
      </c>
      <c r="E14" s="84"/>
    </row>
    <row r="15" spans="1:8" ht="19.95" customHeight="1">
      <c r="A15" s="212"/>
      <c r="E15" s="84"/>
    </row>
    <row r="16" spans="1:8" ht="19.95" customHeight="1">
      <c r="A16" s="212"/>
      <c r="E16" s="84"/>
    </row>
    <row r="17" spans="1:5" ht="19.95" customHeight="1">
      <c r="A17" s="213" t="s">
        <v>225</v>
      </c>
      <c r="E17" s="84"/>
    </row>
    <row r="18" spans="1:5" ht="19.95" customHeight="1">
      <c r="A18" s="213"/>
    </row>
    <row r="19" spans="1:5" ht="19.95" customHeight="1">
      <c r="A19" s="213"/>
    </row>
  </sheetData>
  <mergeCells count="3">
    <mergeCell ref="A10:A13"/>
    <mergeCell ref="A14:A16"/>
    <mergeCell ref="A17:A19"/>
  </mergeCells>
  <phoneticPr fontId="12" type="noConversion"/>
  <hyperlinks>
    <hyperlink ref="E5" location="'审定表K14-1'!Print_Area" display="审定表"/>
    <hyperlink ref="E6" location="'附注披露信息（上市公司）'!Print_Area" display="附注披露信息（上市公司）"/>
    <hyperlink ref="E8" location="'明细表K14-2'!Print_Area" display="明细表"/>
    <hyperlink ref="E10" location="'营业外支出检查表K14-4'!A1" display="营业外支出检查表"/>
    <hyperlink ref="E4" location="实质性程序表K14A!Print_Area" display="实质性程序表"/>
    <hyperlink ref="E7" location="'附注披露信息（国企）'!Print_Area" display="附注披露信息（国企）"/>
    <hyperlink ref="E9" location="'调整分录汇总K14-3'!Print_Area" display="调整分录汇总"/>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J25"/>
  <sheetViews>
    <sheetView view="pageBreakPreview" zoomScaleSheetLayoutView="100" workbookViewId="0">
      <selection sqref="A1:I1"/>
    </sheetView>
  </sheetViews>
  <sheetFormatPr defaultColWidth="9" defaultRowHeight="30.75" customHeight="1"/>
  <cols>
    <col min="1" max="1" width="5.59765625" style="46" customWidth="1"/>
    <col min="2" max="2" width="64.3984375" style="43" customWidth="1"/>
    <col min="3" max="3" width="11.59765625" style="43" customWidth="1"/>
    <col min="4" max="4" width="5.796875" style="43" customWidth="1"/>
    <col min="5" max="5" width="6.5" style="43" customWidth="1"/>
    <col min="6" max="6" width="6.59765625" style="43" customWidth="1"/>
    <col min="7" max="8" width="5.796875" style="43" customWidth="1"/>
    <col min="9" max="9" width="8.296875" style="43" customWidth="1"/>
    <col min="10" max="10" width="53.69921875" style="43" customWidth="1"/>
    <col min="11" max="16384" width="9" style="43"/>
  </cols>
  <sheetData>
    <row r="1" spans="1:10" s="41" customFormat="1" ht="19.95" customHeight="1">
      <c r="A1" s="217" t="s">
        <v>151</v>
      </c>
      <c r="B1" s="217"/>
      <c r="C1" s="217"/>
      <c r="D1" s="217"/>
      <c r="E1" s="217"/>
      <c r="F1" s="217"/>
      <c r="G1" s="217"/>
      <c r="H1" s="217"/>
      <c r="I1" s="217"/>
    </row>
    <row r="2" spans="1:10" s="41" customFormat="1" ht="19.95" customHeight="1">
      <c r="A2" s="218" t="s">
        <v>152</v>
      </c>
      <c r="B2" s="218"/>
      <c r="C2" s="218"/>
      <c r="D2" s="218"/>
      <c r="E2" s="218"/>
      <c r="F2" s="218"/>
      <c r="G2" s="218"/>
      <c r="H2" s="218"/>
      <c r="I2" s="218"/>
    </row>
    <row r="3" spans="1:10" s="42" customFormat="1" ht="19.95" customHeight="1">
      <c r="A3" s="70" t="str">
        <f>底稿目录!A2</f>
        <v>被审计单位：</v>
      </c>
      <c r="B3" s="70"/>
      <c r="C3" s="70" t="str">
        <f>底稿目录!A4</f>
        <v>编制人：</v>
      </c>
      <c r="D3" s="99"/>
      <c r="E3" s="99" t="str">
        <f>底稿目录!A5</f>
        <v>编制日期：</v>
      </c>
      <c r="G3" s="99"/>
      <c r="H3" s="100" t="s">
        <v>91</v>
      </c>
      <c r="I3" s="193" t="str">
        <f>底稿目录!F4</f>
        <v>K13A</v>
      </c>
    </row>
    <row r="4" spans="1:10" s="42" customFormat="1" ht="19.95" customHeight="1">
      <c r="A4" s="70" t="str">
        <f>底稿目录!A3</f>
        <v>会计期间：202X年度</v>
      </c>
      <c r="B4" s="70"/>
      <c r="C4" s="70" t="str">
        <f>底稿目录!A6</f>
        <v>复核人：</v>
      </c>
      <c r="D4" s="99"/>
      <c r="E4" s="99" t="str">
        <f>底稿目录!A7</f>
        <v>复核日期：</v>
      </c>
      <c r="G4" s="99"/>
      <c r="H4" s="100" t="s">
        <v>92</v>
      </c>
      <c r="I4" s="101"/>
    </row>
    <row r="5" spans="1:10" ht="19.95" customHeight="1">
      <c r="A5" s="219" t="s">
        <v>98</v>
      </c>
      <c r="B5" s="219"/>
    </row>
    <row r="6" spans="1:10" ht="19.95" customHeight="1">
      <c r="A6" s="134" t="s">
        <v>69</v>
      </c>
      <c r="B6" s="91"/>
      <c r="C6" s="91"/>
      <c r="D6" s="91"/>
      <c r="E6" s="91"/>
      <c r="F6" s="91"/>
      <c r="G6" s="91"/>
      <c r="H6" s="91"/>
      <c r="I6" s="91"/>
    </row>
    <row r="7" spans="1:10" s="42" customFormat="1" ht="19.95" customHeight="1">
      <c r="A7" s="87" t="s">
        <v>99</v>
      </c>
      <c r="B7" s="88"/>
      <c r="C7" s="89"/>
    </row>
    <row r="8" spans="1:10" s="42" customFormat="1" ht="19.95" customHeight="1">
      <c r="A8" s="220" t="s">
        <v>100</v>
      </c>
      <c r="B8" s="220"/>
      <c r="C8" s="220"/>
      <c r="D8" s="220"/>
      <c r="E8" s="220"/>
      <c r="F8" s="220"/>
      <c r="G8" s="215" t="s">
        <v>66</v>
      </c>
      <c r="H8" s="215"/>
      <c r="I8" s="215"/>
    </row>
    <row r="9" spans="1:10" s="42" customFormat="1" ht="19.95" customHeight="1">
      <c r="A9" s="214" t="s">
        <v>163</v>
      </c>
      <c r="B9" s="214"/>
      <c r="C9" s="214"/>
      <c r="D9" s="214"/>
      <c r="E9" s="214"/>
      <c r="F9" s="214"/>
      <c r="G9" s="216" t="s">
        <v>67</v>
      </c>
      <c r="H9" s="216"/>
      <c r="I9" s="216"/>
    </row>
    <row r="10" spans="1:10" s="42" customFormat="1" ht="19.95" customHeight="1">
      <c r="A10" s="214" t="s">
        <v>219</v>
      </c>
      <c r="B10" s="214"/>
      <c r="C10" s="214"/>
      <c r="D10" s="214"/>
      <c r="E10" s="214"/>
      <c r="F10" s="214"/>
      <c r="G10" s="216" t="s">
        <v>216</v>
      </c>
      <c r="H10" s="216"/>
      <c r="I10" s="216"/>
    </row>
    <row r="11" spans="1:10" s="42" customFormat="1" ht="19.95" customHeight="1">
      <c r="A11" s="214" t="s">
        <v>164</v>
      </c>
      <c r="B11" s="214"/>
      <c r="C11" s="214"/>
      <c r="D11" s="214"/>
      <c r="E11" s="214"/>
      <c r="F11" s="214"/>
      <c r="G11" s="216" t="s">
        <v>217</v>
      </c>
      <c r="H11" s="216"/>
      <c r="I11" s="216"/>
    </row>
    <row r="12" spans="1:10" s="42" customFormat="1" ht="19.95" customHeight="1">
      <c r="A12" s="214" t="s">
        <v>220</v>
      </c>
      <c r="B12" s="214"/>
      <c r="C12" s="214"/>
      <c r="D12" s="214"/>
      <c r="E12" s="214"/>
      <c r="F12" s="214"/>
      <c r="G12" s="216" t="s">
        <v>218</v>
      </c>
      <c r="H12" s="216"/>
      <c r="I12" s="216"/>
    </row>
    <row r="13" spans="1:10" s="42" customFormat="1" ht="19.95" customHeight="1">
      <c r="A13" s="214" t="s">
        <v>165</v>
      </c>
      <c r="B13" s="214"/>
      <c r="C13" s="214"/>
      <c r="D13" s="214"/>
      <c r="E13" s="214"/>
      <c r="F13" s="214"/>
      <c r="G13" s="216" t="s">
        <v>126</v>
      </c>
      <c r="H13" s="216"/>
      <c r="I13" s="216"/>
    </row>
    <row r="14" spans="1:10" s="42" customFormat="1" ht="19.95" customHeight="1">
      <c r="A14" s="219" t="s">
        <v>68</v>
      </c>
      <c r="B14" s="219"/>
      <c r="C14" s="44"/>
    </row>
    <row r="15" spans="1:10" s="42" customFormat="1" ht="19.95" customHeight="1">
      <c r="A15" s="221" t="s">
        <v>101</v>
      </c>
      <c r="B15" s="222" t="s">
        <v>227</v>
      </c>
      <c r="C15" s="223" t="s">
        <v>102</v>
      </c>
      <c r="D15" s="224" t="s">
        <v>103</v>
      </c>
      <c r="E15" s="225"/>
      <c r="F15" s="225"/>
      <c r="G15" s="225"/>
      <c r="H15" s="225"/>
      <c r="I15" s="220" t="s">
        <v>147</v>
      </c>
    </row>
    <row r="16" spans="1:10" s="42" customFormat="1" ht="19.95" customHeight="1">
      <c r="A16" s="221"/>
      <c r="B16" s="222"/>
      <c r="C16" s="223"/>
      <c r="D16" s="197" t="s">
        <v>104</v>
      </c>
      <c r="E16" s="197" t="s">
        <v>105</v>
      </c>
      <c r="F16" s="197" t="s">
        <v>106</v>
      </c>
      <c r="G16" s="197" t="s">
        <v>107</v>
      </c>
      <c r="H16" s="197" t="s">
        <v>126</v>
      </c>
      <c r="I16" s="220"/>
      <c r="J16" s="196" t="s">
        <v>226</v>
      </c>
    </row>
    <row r="17" spans="1:10" s="94" customFormat="1" ht="33" customHeight="1">
      <c r="A17" s="135" t="s">
        <v>109</v>
      </c>
      <c r="B17" s="95" t="s">
        <v>166</v>
      </c>
      <c r="C17" s="93" t="s">
        <v>108</v>
      </c>
      <c r="D17" s="90" t="s">
        <v>173</v>
      </c>
      <c r="E17" s="90" t="s">
        <v>173</v>
      </c>
      <c r="F17" s="102" t="s">
        <v>174</v>
      </c>
      <c r="G17" s="86"/>
      <c r="H17" s="86"/>
      <c r="I17" s="92" t="s">
        <v>210</v>
      </c>
    </row>
    <row r="18" spans="1:10" s="45" customFormat="1" ht="45.6" customHeight="1">
      <c r="A18" s="135" t="s">
        <v>110</v>
      </c>
      <c r="B18" s="96" t="s">
        <v>122</v>
      </c>
      <c r="C18" s="93" t="s">
        <v>111</v>
      </c>
      <c r="D18" s="86"/>
      <c r="E18" s="102" t="s">
        <v>127</v>
      </c>
      <c r="F18" s="90" t="s">
        <v>127</v>
      </c>
      <c r="G18" s="86"/>
      <c r="H18" s="86"/>
      <c r="I18" s="92" t="s">
        <v>113</v>
      </c>
      <c r="J18" s="124" t="s">
        <v>148</v>
      </c>
    </row>
    <row r="19" spans="1:10" ht="30.6" customHeight="1">
      <c r="A19" s="135" t="s">
        <v>114</v>
      </c>
      <c r="B19" s="95" t="s">
        <v>167</v>
      </c>
      <c r="C19" s="93" t="s">
        <v>115</v>
      </c>
      <c r="D19" s="85"/>
      <c r="E19" s="85"/>
      <c r="F19" s="85"/>
      <c r="G19" s="102" t="s">
        <v>112</v>
      </c>
      <c r="H19" s="86"/>
      <c r="I19" s="92"/>
      <c r="J19" s="125" t="s">
        <v>149</v>
      </c>
    </row>
    <row r="20" spans="1:10" ht="33" customHeight="1">
      <c r="A20" s="135" t="s">
        <v>116</v>
      </c>
      <c r="B20" s="96" t="s">
        <v>124</v>
      </c>
      <c r="C20" s="97" t="s">
        <v>125</v>
      </c>
      <c r="D20" s="138" t="s">
        <v>175</v>
      </c>
      <c r="E20" s="138" t="s">
        <v>174</v>
      </c>
      <c r="F20" s="138" t="s">
        <v>175</v>
      </c>
      <c r="G20" s="90"/>
      <c r="H20" s="98"/>
      <c r="I20" s="92" t="s">
        <v>210</v>
      </c>
    </row>
    <row r="21" spans="1:10" ht="65.400000000000006" customHeight="1">
      <c r="A21" s="135" t="s">
        <v>119</v>
      </c>
      <c r="B21" s="96" t="s">
        <v>168</v>
      </c>
      <c r="C21" s="97" t="s">
        <v>125</v>
      </c>
      <c r="D21" s="138" t="s">
        <v>173</v>
      </c>
      <c r="E21" s="139" t="s">
        <v>174</v>
      </c>
      <c r="F21" s="140" t="s">
        <v>174</v>
      </c>
      <c r="G21" s="90"/>
      <c r="H21" s="133"/>
      <c r="I21" s="92" t="s">
        <v>207</v>
      </c>
    </row>
    <row r="22" spans="1:10" ht="31.2" customHeight="1">
      <c r="A22" s="135" t="s">
        <v>120</v>
      </c>
      <c r="B22" s="95" t="s">
        <v>117</v>
      </c>
      <c r="C22" s="93" t="s">
        <v>118</v>
      </c>
      <c r="D22" s="90" t="s">
        <v>127</v>
      </c>
      <c r="E22" s="103" t="s">
        <v>127</v>
      </c>
      <c r="F22" s="90" t="s">
        <v>127</v>
      </c>
      <c r="G22" s="103" t="s">
        <v>127</v>
      </c>
      <c r="H22" s="86"/>
      <c r="I22" s="92"/>
    </row>
    <row r="23" spans="1:10" ht="31.2" customHeight="1">
      <c r="A23" s="135"/>
      <c r="B23" s="188" t="s">
        <v>202</v>
      </c>
      <c r="C23" s="93" t="s">
        <v>118</v>
      </c>
      <c r="D23" s="102" t="s">
        <v>174</v>
      </c>
      <c r="E23" s="190"/>
      <c r="F23" s="90" t="s">
        <v>203</v>
      </c>
      <c r="G23" s="90" t="s">
        <v>174</v>
      </c>
      <c r="H23" s="86"/>
      <c r="I23" s="92" t="s">
        <v>209</v>
      </c>
      <c r="J23" s="189"/>
    </row>
    <row r="24" spans="1:10" ht="40.200000000000003" customHeight="1">
      <c r="A24" s="135" t="s">
        <v>123</v>
      </c>
      <c r="B24" s="137" t="s">
        <v>169</v>
      </c>
      <c r="C24" s="138" t="s">
        <v>171</v>
      </c>
      <c r="D24" s="90"/>
      <c r="E24" s="90"/>
      <c r="F24" s="90"/>
      <c r="G24" s="90"/>
      <c r="H24" s="104"/>
      <c r="I24" s="92"/>
    </row>
    <row r="25" spans="1:10" ht="33" customHeight="1">
      <c r="A25" s="135" t="s">
        <v>172</v>
      </c>
      <c r="B25" s="136" t="s">
        <v>170</v>
      </c>
      <c r="C25" s="93" t="s">
        <v>121</v>
      </c>
      <c r="D25" s="98"/>
      <c r="E25" s="98"/>
      <c r="F25" s="98"/>
      <c r="G25" s="98"/>
      <c r="H25" s="90" t="s">
        <v>112</v>
      </c>
      <c r="I25" s="126" t="s">
        <v>150</v>
      </c>
    </row>
  </sheetData>
  <mergeCells count="21">
    <mergeCell ref="I15:I16"/>
    <mergeCell ref="A15:A16"/>
    <mergeCell ref="B15:B16"/>
    <mergeCell ref="C15:C16"/>
    <mergeCell ref="A14:B14"/>
    <mergeCell ref="D15:H15"/>
    <mergeCell ref="A1:I1"/>
    <mergeCell ref="A2:I2"/>
    <mergeCell ref="A5:B5"/>
    <mergeCell ref="A8:F8"/>
    <mergeCell ref="A9:F9"/>
    <mergeCell ref="A11:F11"/>
    <mergeCell ref="A12:F12"/>
    <mergeCell ref="A13:F13"/>
    <mergeCell ref="G8:I8"/>
    <mergeCell ref="G9:I9"/>
    <mergeCell ref="G10:I10"/>
    <mergeCell ref="G11:I11"/>
    <mergeCell ref="G12:I12"/>
    <mergeCell ref="G13:I13"/>
    <mergeCell ref="A10:F10"/>
  </mergeCells>
  <phoneticPr fontId="12" type="noConversion"/>
  <hyperlinks>
    <hyperlink ref="I3" location="底稿目录!A1" display="底稿目录!A1"/>
  </hyperlinks>
  <printOptions horizontalCentered="1"/>
  <pageMargins left="0.51181102362204722" right="0.31496062992125984" top="0.55118110236220474" bottom="0.35433070866141736" header="0.51181102362204722" footer="0.19685039370078741"/>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19"/>
  <sheetViews>
    <sheetView view="pageBreakPreview" zoomScaleSheetLayoutView="100" workbookViewId="0">
      <selection sqref="A1:K1"/>
    </sheetView>
  </sheetViews>
  <sheetFormatPr defaultColWidth="9" defaultRowHeight="13.8"/>
  <cols>
    <col min="1" max="1" width="26.09765625" style="2" customWidth="1"/>
    <col min="2" max="2" width="15.5" style="2" customWidth="1"/>
    <col min="3" max="3" width="14.19921875" style="2" customWidth="1"/>
    <col min="4" max="4" width="12.5" style="2" customWidth="1"/>
    <col min="5" max="5" width="13.69921875" style="2" customWidth="1"/>
    <col min="6" max="6" width="9.296875" style="2" customWidth="1"/>
    <col min="7" max="10" width="15.296875" style="2" customWidth="1"/>
    <col min="11" max="11" width="13.69921875" style="2" customWidth="1"/>
    <col min="12" max="16384" width="9" style="2"/>
  </cols>
  <sheetData>
    <row r="1" spans="1:11" s="19" customFormat="1" ht="19.95" customHeight="1">
      <c r="A1" s="228" t="s">
        <v>32</v>
      </c>
      <c r="B1" s="228"/>
      <c r="C1" s="228"/>
      <c r="D1" s="228"/>
      <c r="E1" s="228"/>
      <c r="F1" s="228"/>
      <c r="G1" s="228"/>
      <c r="H1" s="228"/>
      <c r="I1" s="228"/>
      <c r="J1" s="228"/>
      <c r="K1" s="228"/>
    </row>
    <row r="2" spans="1:11" s="1" customFormat="1" ht="19.95" customHeight="1">
      <c r="A2" s="229" t="s">
        <v>153</v>
      </c>
      <c r="B2" s="229"/>
      <c r="C2" s="229"/>
      <c r="D2" s="229"/>
      <c r="E2" s="229"/>
      <c r="F2" s="229"/>
      <c r="G2" s="229"/>
      <c r="H2" s="229"/>
      <c r="I2" s="229"/>
      <c r="J2" s="229"/>
      <c r="K2" s="229"/>
    </row>
    <row r="3" spans="1:11" ht="19.95" customHeight="1">
      <c r="A3" s="5" t="str">
        <f>底稿目录!A2</f>
        <v>被审计单位：</v>
      </c>
      <c r="C3" s="5" t="str">
        <f>底稿目录!A4</f>
        <v>编制人：</v>
      </c>
      <c r="F3" s="5"/>
      <c r="G3" s="5" t="str">
        <f>底稿目录!A5</f>
        <v>编制日期：</v>
      </c>
      <c r="J3" s="72" t="s">
        <v>93</v>
      </c>
      <c r="K3" s="193" t="str">
        <f>底稿目录!F5</f>
        <v>K13-1</v>
      </c>
    </row>
    <row r="4" spans="1:11" ht="19.95" customHeight="1">
      <c r="A4" s="5" t="str">
        <f>底稿目录!A3</f>
        <v>会计期间：202X年度</v>
      </c>
      <c r="C4" s="5" t="str">
        <f>底稿目录!A6</f>
        <v>复核人：</v>
      </c>
      <c r="F4" s="5"/>
      <c r="G4" s="5" t="str">
        <f>底稿目录!A7</f>
        <v>复核日期：</v>
      </c>
      <c r="J4" s="73" t="s">
        <v>33</v>
      </c>
      <c r="K4" s="5"/>
    </row>
    <row r="5" spans="1:11" ht="19.95" customHeight="1">
      <c r="A5" s="29" t="s">
        <v>56</v>
      </c>
      <c r="B5" s="23" t="s">
        <v>62</v>
      </c>
      <c r="C5" s="29" t="s">
        <v>57</v>
      </c>
      <c r="D5" s="29" t="s">
        <v>58</v>
      </c>
      <c r="E5" s="23" t="s">
        <v>63</v>
      </c>
      <c r="F5" s="29" t="s">
        <v>59</v>
      </c>
      <c r="G5" s="23" t="s">
        <v>64</v>
      </c>
      <c r="H5" s="29" t="s">
        <v>57</v>
      </c>
      <c r="I5" s="29" t="s">
        <v>58</v>
      </c>
      <c r="J5" s="23" t="s">
        <v>65</v>
      </c>
      <c r="K5" s="29" t="s">
        <v>60</v>
      </c>
    </row>
    <row r="6" spans="1:11" ht="26.4" customHeight="1">
      <c r="A6" s="210" t="str">
        <f>'明细表K13-2'!A9</f>
        <v>非流动资产毁损报废（扣保险赔款）</v>
      </c>
      <c r="B6" s="74">
        <f>'明细表K13-2'!N9</f>
        <v>0</v>
      </c>
      <c r="C6" s="74">
        <f>'明细表K13-2'!O9</f>
        <v>0</v>
      </c>
      <c r="D6" s="74">
        <f>'明细表K13-2'!P9</f>
        <v>0</v>
      </c>
      <c r="E6" s="74">
        <f t="shared" ref="E6:E9" si="0">B6+C6+D6</f>
        <v>0</v>
      </c>
      <c r="F6" s="3"/>
      <c r="G6" s="74">
        <f>'明细表K13-2'!U9</f>
        <v>0</v>
      </c>
      <c r="H6" s="74">
        <f>'明细表K13-2'!V9</f>
        <v>0</v>
      </c>
      <c r="I6" s="74">
        <f>'明细表K13-2'!W9</f>
        <v>0</v>
      </c>
      <c r="J6" s="74">
        <f t="shared" ref="J6:J12" si="1">G6+H6+I6</f>
        <v>0</v>
      </c>
      <c r="K6" s="3"/>
    </row>
    <row r="7" spans="1:11" ht="19.95" customHeight="1">
      <c r="A7" s="210" t="str">
        <f>'明细表K13-2'!A10</f>
        <v>公益性捐赠</v>
      </c>
      <c r="B7" s="74">
        <f>'明细表K13-2'!N10</f>
        <v>0</v>
      </c>
      <c r="C7" s="74">
        <f>'明细表K13-2'!O10</f>
        <v>0</v>
      </c>
      <c r="D7" s="74">
        <f>'明细表K13-2'!P10</f>
        <v>0</v>
      </c>
      <c r="E7" s="74">
        <f t="shared" si="0"/>
        <v>0</v>
      </c>
      <c r="F7" s="3"/>
      <c r="G7" s="74">
        <f>'明细表K13-2'!U10</f>
        <v>0</v>
      </c>
      <c r="H7" s="74">
        <f>'明细表K13-2'!V10</f>
        <v>0</v>
      </c>
      <c r="I7" s="74">
        <f>'明细表K13-2'!W10</f>
        <v>0</v>
      </c>
      <c r="J7" s="74">
        <f t="shared" si="1"/>
        <v>0</v>
      </c>
      <c r="K7" s="3"/>
    </row>
    <row r="8" spans="1:11" ht="19.95" customHeight="1">
      <c r="A8" s="210" t="str">
        <f>'明细表K13-2'!A11</f>
        <v>盘亏损失（不包括存货盘亏）</v>
      </c>
      <c r="B8" s="74">
        <f>'明细表K13-2'!N11</f>
        <v>0</v>
      </c>
      <c r="C8" s="74">
        <f>'明细表K13-2'!O11</f>
        <v>0</v>
      </c>
      <c r="D8" s="74">
        <f>'明细表K13-2'!P11</f>
        <v>0</v>
      </c>
      <c r="E8" s="74">
        <f t="shared" si="0"/>
        <v>0</v>
      </c>
      <c r="F8" s="3"/>
      <c r="G8" s="74">
        <f>'明细表K13-2'!U11</f>
        <v>0</v>
      </c>
      <c r="H8" s="74">
        <f>'明细表K13-2'!V11</f>
        <v>0</v>
      </c>
      <c r="I8" s="74">
        <f>'明细表K13-2'!W11</f>
        <v>0</v>
      </c>
      <c r="J8" s="74">
        <f t="shared" si="1"/>
        <v>0</v>
      </c>
      <c r="K8" s="3"/>
    </row>
    <row r="9" spans="1:11" ht="27.6" customHeight="1">
      <c r="A9" s="210" t="str">
        <f>'明细表K13-2'!A12</f>
        <v>非常损失（如自然灾害等非常原因造成的存货毁损）</v>
      </c>
      <c r="B9" s="74">
        <f>'明细表K13-2'!N12</f>
        <v>0</v>
      </c>
      <c r="C9" s="74">
        <f>'明细表K13-2'!O12</f>
        <v>0</v>
      </c>
      <c r="D9" s="74">
        <f>'明细表K13-2'!P12</f>
        <v>0</v>
      </c>
      <c r="E9" s="74">
        <f t="shared" si="0"/>
        <v>0</v>
      </c>
      <c r="F9" s="4"/>
      <c r="G9" s="74">
        <f>'明细表K13-2'!U12</f>
        <v>0</v>
      </c>
      <c r="H9" s="74">
        <f>'明细表K13-2'!V12</f>
        <v>0</v>
      </c>
      <c r="I9" s="74">
        <f>'明细表K13-2'!W12</f>
        <v>0</v>
      </c>
      <c r="J9" s="74">
        <f t="shared" si="1"/>
        <v>0</v>
      </c>
      <c r="K9" s="3"/>
    </row>
    <row r="10" spans="1:11" ht="19.95" customHeight="1">
      <c r="A10" s="210" t="str">
        <f>'明细表K13-2'!A13</f>
        <v>碳排放配额使用和注销损失</v>
      </c>
      <c r="B10" s="74">
        <f>'明细表K13-2'!N13</f>
        <v>0</v>
      </c>
      <c r="C10" s="74">
        <f>'明细表K13-2'!O13</f>
        <v>0</v>
      </c>
      <c r="D10" s="74">
        <f>'明细表K13-2'!P13</f>
        <v>0</v>
      </c>
      <c r="E10" s="74">
        <f t="shared" ref="E10:E11" si="2">B10+C10+D10</f>
        <v>0</v>
      </c>
      <c r="F10" s="4"/>
      <c r="G10" s="74">
        <f>'明细表K13-2'!U13</f>
        <v>0</v>
      </c>
      <c r="H10" s="74">
        <f>'明细表K13-2'!V13</f>
        <v>0</v>
      </c>
      <c r="I10" s="74">
        <f>'明细表K13-2'!W13</f>
        <v>0</v>
      </c>
      <c r="J10" s="74">
        <f t="shared" si="1"/>
        <v>0</v>
      </c>
      <c r="K10" s="3"/>
    </row>
    <row r="11" spans="1:11" ht="19.95" customHeight="1">
      <c r="A11" s="210" t="str">
        <f>'明细表K13-2'!A14</f>
        <v>其他</v>
      </c>
      <c r="B11" s="74">
        <f>'明细表K13-2'!N14</f>
        <v>0</v>
      </c>
      <c r="C11" s="74">
        <f>'明细表K13-2'!O14</f>
        <v>0</v>
      </c>
      <c r="D11" s="74">
        <f>'明细表K13-2'!P14</f>
        <v>0</v>
      </c>
      <c r="E11" s="74">
        <f t="shared" si="2"/>
        <v>0</v>
      </c>
      <c r="F11" s="3"/>
      <c r="G11" s="74">
        <f>'明细表K13-2'!U14</f>
        <v>0</v>
      </c>
      <c r="H11" s="74">
        <f>'明细表K13-2'!V14</f>
        <v>0</v>
      </c>
      <c r="I11" s="74">
        <f>'明细表K13-2'!W14</f>
        <v>0</v>
      </c>
      <c r="J11" s="74">
        <f t="shared" si="1"/>
        <v>0</v>
      </c>
      <c r="K11" s="3"/>
    </row>
    <row r="12" spans="1:11" ht="19.95" customHeight="1">
      <c r="A12" s="211"/>
      <c r="B12" s="74">
        <f>'明细表K13-2'!N15</f>
        <v>0</v>
      </c>
      <c r="C12" s="74">
        <f>'明细表K13-2'!O15</f>
        <v>0</v>
      </c>
      <c r="D12" s="74">
        <f>'明细表K13-2'!P15</f>
        <v>0</v>
      </c>
      <c r="E12" s="74">
        <f>B12+C12+D12</f>
        <v>0</v>
      </c>
      <c r="F12" s="3"/>
      <c r="G12" s="74">
        <f>'明细表K13-2'!U15</f>
        <v>0</v>
      </c>
      <c r="H12" s="74">
        <f>'明细表K13-2'!V15</f>
        <v>0</v>
      </c>
      <c r="I12" s="74">
        <f>'明细表K13-2'!W15</f>
        <v>0</v>
      </c>
      <c r="J12" s="74">
        <f t="shared" si="1"/>
        <v>0</v>
      </c>
      <c r="K12" s="3"/>
    </row>
    <row r="13" spans="1:11" ht="19.95" customHeight="1">
      <c r="A13" s="33" t="s">
        <v>48</v>
      </c>
      <c r="B13" s="75">
        <f>SUM(B6:B12)</f>
        <v>0</v>
      </c>
      <c r="C13" s="75">
        <f t="shared" ref="C13:E13" si="3">SUM(C6:C12)</f>
        <v>0</v>
      </c>
      <c r="D13" s="75">
        <f t="shared" si="3"/>
        <v>0</v>
      </c>
      <c r="E13" s="75">
        <f t="shared" si="3"/>
        <v>0</v>
      </c>
      <c r="F13" s="3"/>
      <c r="G13" s="75">
        <f>SUM(G6:G12)</f>
        <v>0</v>
      </c>
      <c r="H13" s="75">
        <f t="shared" ref="H13:J13" si="4">SUM(H6:H12)</f>
        <v>0</v>
      </c>
      <c r="I13" s="75">
        <f t="shared" si="4"/>
        <v>0</v>
      </c>
      <c r="J13" s="75">
        <f t="shared" si="4"/>
        <v>0</v>
      </c>
      <c r="K13" s="3"/>
    </row>
    <row r="14" spans="1:11" ht="19.95" customHeight="1">
      <c r="A14" s="47" t="s">
        <v>70</v>
      </c>
      <c r="B14" s="48"/>
      <c r="C14" s="48"/>
      <c r="D14" s="48"/>
      <c r="E14" s="76"/>
      <c r="F14" s="48"/>
      <c r="G14" s="48"/>
      <c r="H14" s="48"/>
      <c r="I14" s="48"/>
      <c r="J14" s="76"/>
    </row>
    <row r="15" spans="1:11" ht="19.95" customHeight="1">
      <c r="A15" s="47" t="s">
        <v>71</v>
      </c>
      <c r="B15" s="48"/>
      <c r="C15" s="48"/>
      <c r="D15" s="48"/>
      <c r="E15" s="76">
        <f>E13-E14</f>
        <v>0</v>
      </c>
      <c r="F15" s="48"/>
      <c r="G15" s="48"/>
      <c r="H15" s="48"/>
      <c r="I15" s="48"/>
      <c r="J15" s="76">
        <f>J13-J14</f>
        <v>0</v>
      </c>
    </row>
    <row r="17" spans="1:11">
      <c r="A17" s="226" t="s">
        <v>176</v>
      </c>
      <c r="B17" s="227"/>
      <c r="C17" s="227"/>
      <c r="D17" s="227"/>
      <c r="E17" s="227"/>
      <c r="F17" s="227"/>
      <c r="G17" s="227"/>
      <c r="H17" s="227"/>
      <c r="I17" s="227"/>
      <c r="J17" s="227"/>
      <c r="K17" s="227"/>
    </row>
    <row r="18" spans="1:11">
      <c r="A18" s="227"/>
      <c r="B18" s="227"/>
      <c r="C18" s="227"/>
      <c r="D18" s="227"/>
      <c r="E18" s="227"/>
      <c r="F18" s="227"/>
      <c r="G18" s="227"/>
      <c r="H18" s="227"/>
      <c r="I18" s="227"/>
      <c r="J18" s="227"/>
      <c r="K18" s="227"/>
    </row>
    <row r="19" spans="1:11">
      <c r="A19" s="227"/>
      <c r="B19" s="227"/>
      <c r="C19" s="227"/>
      <c r="D19" s="227"/>
      <c r="E19" s="227"/>
      <c r="F19" s="227"/>
      <c r="G19" s="227"/>
      <c r="H19" s="227"/>
      <c r="I19" s="227"/>
      <c r="J19" s="227"/>
      <c r="K19" s="227"/>
    </row>
  </sheetData>
  <mergeCells count="3">
    <mergeCell ref="A17:K19"/>
    <mergeCell ref="A1:K1"/>
    <mergeCell ref="A2:K2"/>
  </mergeCells>
  <phoneticPr fontId="12" type="noConversion"/>
  <hyperlinks>
    <hyperlink ref="K3" location="底稿目录!A1" display="底稿目录!A1"/>
  </hyperlinks>
  <printOptions horizontalCentered="1"/>
  <pageMargins left="0.55118110236220474" right="0.39370078740157483" top="0.6692913385826772" bottom="0.51181102362204722" header="0.51181102362204722" footer="0.35433070866141736"/>
  <pageSetup paperSize="9" scale="77" orientation="landscape"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N30"/>
  <sheetViews>
    <sheetView view="pageBreakPreview" zoomScaleSheetLayoutView="100" workbookViewId="0">
      <selection activeCell="A9" sqref="A9"/>
    </sheetView>
  </sheetViews>
  <sheetFormatPr defaultColWidth="9" defaultRowHeight="12"/>
  <cols>
    <col min="1" max="1" width="26.296875" style="20" customWidth="1"/>
    <col min="2" max="2" width="14.796875" style="20" customWidth="1"/>
    <col min="3" max="3" width="16.796875" style="20" customWidth="1"/>
    <col min="4" max="4" width="31.296875" style="20" customWidth="1"/>
    <col min="5" max="5" width="5.796875" style="20" customWidth="1"/>
    <col min="6" max="16384" width="9" style="20"/>
  </cols>
  <sheetData>
    <row r="1" spans="1:14" s="18" customFormat="1" ht="19.95" customHeight="1">
      <c r="A1" s="232" t="s">
        <v>32</v>
      </c>
      <c r="B1" s="232"/>
      <c r="C1" s="232"/>
      <c r="D1" s="232"/>
      <c r="E1" s="232"/>
      <c r="F1" s="21"/>
      <c r="G1" s="21"/>
      <c r="H1" s="21"/>
    </row>
    <row r="2" spans="1:14" s="14" customFormat="1" ht="19.95" customHeight="1">
      <c r="A2" s="233" t="s">
        <v>1</v>
      </c>
      <c r="B2" s="233"/>
      <c r="C2" s="233"/>
      <c r="D2" s="233"/>
      <c r="E2" s="233"/>
      <c r="F2" s="22"/>
      <c r="G2" s="22"/>
      <c r="H2" s="22"/>
      <c r="I2" s="230"/>
      <c r="J2" s="230"/>
      <c r="K2" s="230"/>
      <c r="L2" s="230"/>
      <c r="M2" s="230"/>
      <c r="N2" s="230"/>
    </row>
    <row r="3" spans="1:14" s="9" customFormat="1" ht="19.95" customHeight="1">
      <c r="A3" s="9" t="str">
        <f>底稿目录!A2</f>
        <v>被审计单位：</v>
      </c>
      <c r="B3" s="15" t="str">
        <f>底稿目录!A4</f>
        <v>编制人：</v>
      </c>
      <c r="C3" s="15" t="str">
        <f>底稿目录!A5</f>
        <v>编制日期：</v>
      </c>
      <c r="D3" s="79" t="s">
        <v>94</v>
      </c>
      <c r="E3" s="123">
        <f>底稿目录!F6</f>
        <v>0</v>
      </c>
    </row>
    <row r="4" spans="1:14" s="9" customFormat="1" ht="19.95" customHeight="1">
      <c r="A4" s="9" t="str">
        <f>底稿目录!A3</f>
        <v>会计期间：202X年度</v>
      </c>
      <c r="B4" s="15" t="str">
        <f>底稿目录!A6</f>
        <v>复核人：</v>
      </c>
      <c r="C4" s="15" t="str">
        <f>底稿目录!A7</f>
        <v>复核日期：</v>
      </c>
      <c r="D4" s="79" t="s">
        <v>31</v>
      </c>
      <c r="E4" s="15"/>
    </row>
    <row r="5" spans="1:14" s="58" customFormat="1" ht="19.95" customHeight="1">
      <c r="A5" s="56" t="s">
        <v>4</v>
      </c>
      <c r="B5" s="57"/>
      <c r="C5" s="57"/>
    </row>
    <row r="6" spans="1:14" s="60" customFormat="1" ht="19.95" customHeight="1" thickBot="1">
      <c r="A6" s="59" t="s">
        <v>88</v>
      </c>
    </row>
    <row r="7" spans="1:14" s="60" customFormat="1" ht="19.95" customHeight="1" thickBot="1">
      <c r="A7" s="61" t="s">
        <v>85</v>
      </c>
      <c r="B7" s="62" t="s">
        <v>86</v>
      </c>
      <c r="C7" s="62" t="s">
        <v>2</v>
      </c>
      <c r="D7" s="62" t="s">
        <v>53</v>
      </c>
      <c r="E7" s="77"/>
    </row>
    <row r="8" spans="1:14" s="60" customFormat="1" ht="19.95" customHeight="1">
      <c r="A8" s="63" t="str">
        <f>'审定表K13-1'!A6</f>
        <v>非流动资产毁损报废（扣保险赔款）</v>
      </c>
      <c r="B8" s="64">
        <f>'审定表K13-1'!E6</f>
        <v>0</v>
      </c>
      <c r="C8" s="64">
        <f>'审定表K13-1'!J6</f>
        <v>0</v>
      </c>
      <c r="D8" s="64">
        <f>'明细表K13-2'!R9</f>
        <v>0</v>
      </c>
      <c r="E8" s="64"/>
    </row>
    <row r="9" spans="1:14" s="60" customFormat="1" ht="19.95" customHeight="1">
      <c r="A9" s="63" t="str">
        <f>'审定表K13-1'!A7</f>
        <v>公益性捐赠</v>
      </c>
      <c r="B9" s="64">
        <f>'审定表K13-1'!E7</f>
        <v>0</v>
      </c>
      <c r="C9" s="64">
        <f>'审定表K13-1'!J7</f>
        <v>0</v>
      </c>
      <c r="D9" s="64">
        <f>'明细表K13-2'!R10</f>
        <v>0</v>
      </c>
      <c r="E9" s="64"/>
    </row>
    <row r="10" spans="1:14" s="60" customFormat="1" ht="19.95" customHeight="1">
      <c r="A10" s="63" t="str">
        <f>'审定表K13-1'!A8</f>
        <v>盘亏损失（不包括存货盘亏）</v>
      </c>
      <c r="B10" s="64">
        <f>'审定表K13-1'!E8</f>
        <v>0</v>
      </c>
      <c r="C10" s="64">
        <f>'审定表K13-1'!J8</f>
        <v>0</v>
      </c>
      <c r="D10" s="64">
        <f>'明细表K13-2'!R11</f>
        <v>0</v>
      </c>
      <c r="E10" s="64"/>
    </row>
    <row r="11" spans="1:14" s="60" customFormat="1" ht="19.95" customHeight="1">
      <c r="A11" s="63" t="str">
        <f>'审定表K13-1'!A9</f>
        <v>非常损失（如自然灾害等非常原因造成的存货毁损）</v>
      </c>
      <c r="B11" s="64">
        <f>'审定表K13-1'!E9</f>
        <v>0</v>
      </c>
      <c r="C11" s="64">
        <f>'审定表K13-1'!J9</f>
        <v>0</v>
      </c>
      <c r="D11" s="64">
        <f>'明细表K13-2'!R12</f>
        <v>0</v>
      </c>
      <c r="E11" s="64"/>
    </row>
    <row r="12" spans="1:14" s="60" customFormat="1" ht="19.95" customHeight="1">
      <c r="A12" s="63" t="str">
        <f>'审定表K13-1'!A10</f>
        <v>碳排放配额使用和注销损失</v>
      </c>
      <c r="B12" s="64">
        <f>'审定表K13-1'!E10</f>
        <v>0</v>
      </c>
      <c r="C12" s="64">
        <f>'审定表K13-1'!J10</f>
        <v>0</v>
      </c>
      <c r="D12" s="64">
        <f>'明细表K13-2'!R14</f>
        <v>0</v>
      </c>
      <c r="E12" s="64"/>
    </row>
    <row r="13" spans="1:14" s="60" customFormat="1" ht="19.95" customHeight="1" thickBot="1">
      <c r="A13" s="63" t="str">
        <f>'审定表K13-1'!A11</f>
        <v>其他</v>
      </c>
      <c r="B13" s="64">
        <f>'审定表K13-1'!E11</f>
        <v>0</v>
      </c>
      <c r="C13" s="64">
        <f>'审定表K13-1'!J11</f>
        <v>0</v>
      </c>
      <c r="D13" s="64">
        <f>'明细表K13-2'!R15</f>
        <v>0</v>
      </c>
      <c r="E13" s="64"/>
    </row>
    <row r="14" spans="1:14" s="60" customFormat="1" ht="19.95" customHeight="1" thickBot="1">
      <c r="A14" s="61" t="s">
        <v>87</v>
      </c>
      <c r="B14" s="65">
        <f>SUM(B8:B13)</f>
        <v>0</v>
      </c>
      <c r="C14" s="65">
        <f t="shared" ref="C14:D14" si="0">SUM(C8:C13)</f>
        <v>0</v>
      </c>
      <c r="D14" s="65">
        <f t="shared" si="0"/>
        <v>0</v>
      </c>
      <c r="E14" s="78"/>
    </row>
    <row r="15" spans="1:14" s="60" customFormat="1" ht="19.95" customHeight="1">
      <c r="A15" s="66" t="s">
        <v>3</v>
      </c>
    </row>
    <row r="16" spans="1:14" s="60" customFormat="1" ht="36.450000000000003" customHeight="1">
      <c r="A16" s="231" t="s">
        <v>157</v>
      </c>
      <c r="B16" s="231"/>
      <c r="C16" s="231"/>
      <c r="D16" s="231"/>
      <c r="E16" s="69"/>
    </row>
    <row r="17" spans="1:5" s="60" customFormat="1" ht="21" customHeight="1">
      <c r="A17" s="231" t="s">
        <v>156</v>
      </c>
      <c r="B17" s="231"/>
      <c r="C17" s="231"/>
      <c r="D17" s="231"/>
      <c r="E17" s="69"/>
    </row>
    <row r="18" spans="1:5" s="27" customFormat="1" ht="15.6"/>
    <row r="19" spans="1:5" s="28" customFormat="1" ht="15.6">
      <c r="A19" s="20"/>
      <c r="B19" s="20"/>
      <c r="C19" s="20"/>
    </row>
    <row r="20" spans="1:5" s="28" customFormat="1" ht="15.6">
      <c r="A20" s="20"/>
      <c r="B20" s="20"/>
      <c r="C20" s="20"/>
    </row>
    <row r="21" spans="1:5" s="28" customFormat="1" ht="15.6">
      <c r="A21" s="20"/>
      <c r="B21" s="20"/>
      <c r="C21" s="20"/>
    </row>
    <row r="22" spans="1:5" s="28" customFormat="1" ht="16.5" customHeight="1">
      <c r="A22" s="20"/>
      <c r="B22" s="20"/>
      <c r="C22" s="20"/>
    </row>
    <row r="23" spans="1:5" s="28" customFormat="1" ht="15.6">
      <c r="A23" s="20"/>
      <c r="B23" s="20"/>
      <c r="C23" s="20"/>
    </row>
    <row r="24" spans="1:5" s="28" customFormat="1" ht="15.6">
      <c r="A24" s="20"/>
      <c r="B24" s="20"/>
      <c r="C24" s="20"/>
    </row>
    <row r="25" spans="1:5" s="28" customFormat="1" ht="18" customHeight="1">
      <c r="A25" s="20"/>
      <c r="B25" s="20"/>
      <c r="C25" s="20"/>
    </row>
    <row r="26" spans="1:5" s="28" customFormat="1" ht="15.6">
      <c r="A26" s="20"/>
      <c r="B26" s="20"/>
      <c r="C26" s="20"/>
    </row>
    <row r="27" spans="1:5" s="28" customFormat="1" ht="15.6">
      <c r="A27" s="20"/>
      <c r="B27" s="20"/>
      <c r="C27" s="20"/>
    </row>
    <row r="28" spans="1:5" s="28" customFormat="1" ht="15.6">
      <c r="A28" s="20"/>
      <c r="B28" s="20"/>
      <c r="C28" s="20"/>
    </row>
    <row r="29" spans="1:5" s="28" customFormat="1" ht="15.6">
      <c r="A29" s="20"/>
      <c r="B29" s="20"/>
      <c r="C29" s="20"/>
    </row>
    <row r="30" spans="1:5" s="28" customFormat="1" ht="15.6">
      <c r="A30" s="20"/>
      <c r="B30" s="20"/>
      <c r="C30" s="20"/>
    </row>
  </sheetData>
  <mergeCells count="5">
    <mergeCell ref="I2:N2"/>
    <mergeCell ref="A16:D16"/>
    <mergeCell ref="A17:D17"/>
    <mergeCell ref="A1:E1"/>
    <mergeCell ref="A2:E2"/>
  </mergeCells>
  <phoneticPr fontId="12" type="noConversion"/>
  <printOptions horizontalCentered="1"/>
  <pageMargins left="0.94488188976377963" right="0.27559055118110237" top="0.62992125984251968" bottom="0.51181102362204722" header="0.51181102362204722" footer="0.35433070866141736"/>
  <pageSetup paperSize="9" scale="88"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18"/>
  <sheetViews>
    <sheetView view="pageBreakPreview" zoomScaleSheetLayoutView="100" workbookViewId="0">
      <selection activeCell="G5" sqref="G5"/>
    </sheetView>
  </sheetViews>
  <sheetFormatPr defaultColWidth="9" defaultRowHeight="15.6"/>
  <cols>
    <col min="1" max="1" width="26.796875" style="26" customWidth="1"/>
    <col min="2" max="2" width="15.59765625" style="26" customWidth="1"/>
    <col min="3" max="3" width="17.3984375" style="26" customWidth="1"/>
    <col min="4" max="4" width="16.19921875" style="26" customWidth="1"/>
    <col min="5" max="5" width="10.09765625" style="26" customWidth="1"/>
    <col min="6" max="16384" width="9" style="26"/>
  </cols>
  <sheetData>
    <row r="1" spans="1:5" ht="19.95" customHeight="1">
      <c r="A1" s="234" t="s">
        <v>32</v>
      </c>
      <c r="B1" s="234"/>
      <c r="C1" s="234"/>
      <c r="D1" s="234"/>
      <c r="E1" s="234"/>
    </row>
    <row r="2" spans="1:5" ht="19.95" customHeight="1">
      <c r="A2" s="235" t="s">
        <v>154</v>
      </c>
      <c r="B2" s="235"/>
      <c r="C2" s="235"/>
      <c r="D2" s="235"/>
      <c r="E2" s="235"/>
    </row>
    <row r="3" spans="1:5" ht="19.95" customHeight="1">
      <c r="A3" s="9" t="str">
        <f>底稿目录!A2</f>
        <v>被审计单位：</v>
      </c>
      <c r="B3" s="15" t="str">
        <f>底稿目录!A4</f>
        <v>编制人：</v>
      </c>
      <c r="C3" s="15" t="str">
        <f>底稿目录!A5</f>
        <v>编制日期：</v>
      </c>
      <c r="D3" s="79" t="s">
        <v>95</v>
      </c>
      <c r="E3" s="123">
        <f>底稿目录!F7</f>
        <v>0</v>
      </c>
    </row>
    <row r="4" spans="1:5" ht="19.95" customHeight="1">
      <c r="A4" s="9" t="str">
        <f>底稿目录!A3</f>
        <v>会计期间：202X年度</v>
      </c>
      <c r="B4" s="15" t="str">
        <f>底稿目录!A6</f>
        <v>复核人：</v>
      </c>
      <c r="C4" s="15" t="str">
        <f>底稿目录!A7</f>
        <v>复核日期：</v>
      </c>
      <c r="D4" s="79" t="s">
        <v>33</v>
      </c>
      <c r="E4" s="15"/>
    </row>
    <row r="5" spans="1:5" s="67" customFormat="1" ht="19.95" customHeight="1">
      <c r="A5" s="17" t="s">
        <v>97</v>
      </c>
      <c r="B5" s="127"/>
      <c r="C5" s="58"/>
      <c r="D5" s="58"/>
    </row>
    <row r="6" spans="1:5" s="68" customFormat="1" ht="19.95" customHeight="1" thickBot="1">
      <c r="A6" s="17" t="s">
        <v>96</v>
      </c>
      <c r="B6" s="59"/>
      <c r="C6" s="60"/>
      <c r="D6" s="60"/>
    </row>
    <row r="7" spans="1:5" s="68" customFormat="1" ht="33.6" customHeight="1" thickBot="1">
      <c r="A7" s="61" t="s">
        <v>85</v>
      </c>
      <c r="B7" s="62" t="s">
        <v>89</v>
      </c>
      <c r="C7" s="62" t="s">
        <v>2</v>
      </c>
      <c r="D7" s="62" t="s">
        <v>84</v>
      </c>
    </row>
    <row r="8" spans="1:5" s="68" customFormat="1" ht="19.95" customHeight="1">
      <c r="A8" s="63" t="str">
        <f>'审定表K13-1'!A6</f>
        <v>非流动资产毁损报废（扣保险赔款）</v>
      </c>
      <c r="B8" s="130">
        <f>'审定表K13-1'!E6</f>
        <v>0</v>
      </c>
      <c r="C8" s="130">
        <f>'审定表K13-1'!J6</f>
        <v>0</v>
      </c>
      <c r="D8" s="130">
        <f>'明细表K13-2'!R9</f>
        <v>0</v>
      </c>
    </row>
    <row r="9" spans="1:5" s="68" customFormat="1" ht="19.95" customHeight="1">
      <c r="A9" s="63" t="str">
        <f>'审定表K13-1'!A7</f>
        <v>公益性捐赠</v>
      </c>
      <c r="B9" s="130">
        <f>'审定表K13-1'!E7</f>
        <v>0</v>
      </c>
      <c r="C9" s="130">
        <f>'审定表K13-1'!J7</f>
        <v>0</v>
      </c>
      <c r="D9" s="130">
        <f>'明细表K13-2'!R10</f>
        <v>0</v>
      </c>
    </row>
    <row r="10" spans="1:5" s="68" customFormat="1" ht="19.95" customHeight="1">
      <c r="A10" s="63" t="str">
        <f>'审定表K13-1'!A8</f>
        <v>盘亏损失（不包括存货盘亏）</v>
      </c>
      <c r="B10" s="130">
        <f>'审定表K13-1'!E8</f>
        <v>0</v>
      </c>
      <c r="C10" s="130">
        <f>'审定表K13-1'!J8</f>
        <v>0</v>
      </c>
      <c r="D10" s="130">
        <f>'明细表K13-2'!R11</f>
        <v>0</v>
      </c>
    </row>
    <row r="11" spans="1:5" s="68" customFormat="1" ht="19.95" customHeight="1">
      <c r="A11" s="63" t="str">
        <f>'审定表K13-1'!A9</f>
        <v>非常损失（如自然灾害等非常原因造成的存货毁损）</v>
      </c>
      <c r="B11" s="130">
        <f>'审定表K13-1'!E9</f>
        <v>0</v>
      </c>
      <c r="C11" s="130">
        <f>'审定表K13-1'!J9</f>
        <v>0</v>
      </c>
      <c r="D11" s="130">
        <f>'明细表K13-2'!R12</f>
        <v>0</v>
      </c>
    </row>
    <row r="12" spans="1:5" s="68" customFormat="1" ht="19.95" customHeight="1">
      <c r="A12" s="63" t="str">
        <f>'审定表K13-1'!A10</f>
        <v>碳排放配额使用和注销损失</v>
      </c>
      <c r="B12" s="130">
        <f>'审定表K13-1'!E10</f>
        <v>0</v>
      </c>
      <c r="C12" s="130">
        <f>'审定表K13-1'!J10</f>
        <v>0</v>
      </c>
      <c r="D12" s="130">
        <f>'明细表K13-2'!R13</f>
        <v>0</v>
      </c>
    </row>
    <row r="13" spans="1:5" s="68" customFormat="1" ht="19.95" customHeight="1">
      <c r="A13" s="63" t="s">
        <v>90</v>
      </c>
      <c r="B13" s="130">
        <f>'审定表K13-1'!E11</f>
        <v>0</v>
      </c>
      <c r="C13" s="130">
        <f>'审定表K13-1'!J11</f>
        <v>0</v>
      </c>
      <c r="D13" s="130">
        <f>'明细表K13-2'!R14</f>
        <v>0</v>
      </c>
    </row>
    <row r="14" spans="1:5" s="68" customFormat="1" ht="19.95" customHeight="1" thickBot="1">
      <c r="A14" s="128" t="s">
        <v>35</v>
      </c>
      <c r="B14" s="130">
        <f>'审定表K13-1'!E12</f>
        <v>0</v>
      </c>
      <c r="C14" s="130">
        <f>'审定表K13-1'!J12</f>
        <v>0</v>
      </c>
      <c r="D14" s="130">
        <f>'明细表K13-2'!R15</f>
        <v>0</v>
      </c>
    </row>
    <row r="15" spans="1:5" s="68" customFormat="1" ht="19.95" customHeight="1" thickBot="1">
      <c r="A15" s="129" t="s">
        <v>87</v>
      </c>
      <c r="B15" s="131">
        <f>SUM(B8:B14)</f>
        <v>0</v>
      </c>
      <c r="C15" s="131">
        <f>SUM(C8:C14)</f>
        <v>0</v>
      </c>
      <c r="D15" s="131">
        <f>SUM(D8:D14)</f>
        <v>0</v>
      </c>
    </row>
    <row r="16" spans="1:5" s="68" customFormat="1" ht="20.100000000000001" customHeight="1">
      <c r="A16" s="236" t="s">
        <v>81</v>
      </c>
      <c r="B16" s="236"/>
      <c r="C16" s="236"/>
      <c r="D16" s="236"/>
      <c r="E16" s="236"/>
    </row>
    <row r="17" spans="1:5" s="68" customFormat="1" ht="30.45" customHeight="1">
      <c r="A17" s="236" t="s">
        <v>82</v>
      </c>
      <c r="B17" s="236"/>
      <c r="C17" s="236"/>
      <c r="D17" s="236"/>
      <c r="E17" s="236"/>
    </row>
    <row r="18" spans="1:5" s="68" customFormat="1" ht="30.45" customHeight="1">
      <c r="A18" s="236" t="s">
        <v>83</v>
      </c>
      <c r="B18" s="236"/>
      <c r="C18" s="236"/>
      <c r="D18" s="236"/>
      <c r="E18" s="236"/>
    </row>
  </sheetData>
  <mergeCells count="5">
    <mergeCell ref="A1:E1"/>
    <mergeCell ref="A2:E2"/>
    <mergeCell ref="A16:E16"/>
    <mergeCell ref="A17:E17"/>
    <mergeCell ref="A18:E18"/>
  </mergeCells>
  <phoneticPr fontId="12" type="noConversion"/>
  <pageMargins left="0.70866141732283472" right="0.70866141732283472" top="0.74803149606299213" bottom="0.74803149606299213" header="0.31496062992125984" footer="0.31496062992125984"/>
  <pageSetup paperSize="9" scale="94"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Z27"/>
  <sheetViews>
    <sheetView view="pageBreakPreview" zoomScaleSheetLayoutView="100" workbookViewId="0">
      <selection sqref="A1:Z1"/>
    </sheetView>
  </sheetViews>
  <sheetFormatPr defaultColWidth="9" defaultRowHeight="13.8"/>
  <cols>
    <col min="1" max="1" width="23.59765625" style="9" customWidth="1"/>
    <col min="2" max="13" width="8" style="9" customWidth="1"/>
    <col min="14" max="14" width="11.3984375" style="9" customWidth="1"/>
    <col min="15" max="15" width="9.296875" style="9" customWidth="1"/>
    <col min="16" max="16" width="10.8984375" style="9" customWidth="1"/>
    <col min="17" max="17" width="11.19921875" style="9" customWidth="1"/>
    <col min="18" max="18" width="10.8984375" style="9" customWidth="1"/>
    <col min="19" max="19" width="9.3984375" style="9" customWidth="1"/>
    <col min="20" max="20" width="6.69921875" style="9" bestFit="1" customWidth="1"/>
    <col min="21" max="21" width="9.69921875" style="9" customWidth="1"/>
    <col min="22" max="22" width="10.296875" style="9" customWidth="1"/>
    <col min="23" max="24" width="10.59765625" style="9" customWidth="1"/>
    <col min="25" max="25" width="8.69921875" style="9" customWidth="1"/>
    <col min="26" max="26" width="9.19921875" style="9" customWidth="1"/>
    <col min="27" max="16384" width="9" style="9"/>
  </cols>
  <sheetData>
    <row r="1" spans="1:26" s="19" customFormat="1" ht="19.95" customHeight="1">
      <c r="A1" s="228" t="s">
        <v>32</v>
      </c>
      <c r="B1" s="228"/>
      <c r="C1" s="228"/>
      <c r="D1" s="228"/>
      <c r="E1" s="228"/>
      <c r="F1" s="228"/>
      <c r="G1" s="228"/>
      <c r="H1" s="228"/>
      <c r="I1" s="228"/>
      <c r="J1" s="228"/>
      <c r="K1" s="228"/>
      <c r="L1" s="228"/>
      <c r="M1" s="228"/>
      <c r="N1" s="228"/>
      <c r="O1" s="228"/>
      <c r="P1" s="228"/>
      <c r="Q1" s="228"/>
      <c r="R1" s="228"/>
      <c r="S1" s="228"/>
      <c r="T1" s="228"/>
      <c r="U1" s="228"/>
      <c r="V1" s="228"/>
      <c r="W1" s="228"/>
      <c r="X1" s="228"/>
      <c r="Y1" s="228"/>
      <c r="Z1" s="228"/>
    </row>
    <row r="2" spans="1:26" s="1" customFormat="1" ht="19.95" customHeight="1">
      <c r="A2" s="229" t="s">
        <v>155</v>
      </c>
      <c r="B2" s="229"/>
      <c r="C2" s="229"/>
      <c r="D2" s="229"/>
      <c r="E2" s="229"/>
      <c r="F2" s="229"/>
      <c r="G2" s="229"/>
      <c r="H2" s="229"/>
      <c r="I2" s="229"/>
      <c r="J2" s="229"/>
      <c r="K2" s="229"/>
      <c r="L2" s="229"/>
      <c r="M2" s="229"/>
      <c r="N2" s="229"/>
      <c r="O2" s="229"/>
      <c r="P2" s="229"/>
      <c r="Q2" s="229"/>
      <c r="R2" s="229"/>
      <c r="S2" s="229"/>
      <c r="T2" s="229"/>
      <c r="U2" s="229"/>
      <c r="V2" s="229"/>
      <c r="W2" s="229"/>
      <c r="X2" s="229"/>
      <c r="Y2" s="229"/>
      <c r="Z2" s="229"/>
    </row>
    <row r="3" spans="1:26" ht="19.95" customHeight="1">
      <c r="A3" s="8" t="str">
        <f>底稿目录!A2</f>
        <v>被审计单位：</v>
      </c>
      <c r="C3" s="10"/>
      <c r="F3" s="8"/>
      <c r="H3" s="8" t="str">
        <f>底稿目录!A4</f>
        <v>编制人：</v>
      </c>
      <c r="Q3" s="8" t="str">
        <f>底稿目录!A5</f>
        <v>编制日期：</v>
      </c>
      <c r="U3" s="8"/>
      <c r="V3" s="8"/>
      <c r="W3" s="8"/>
      <c r="X3" s="8"/>
      <c r="Y3" s="8" t="s">
        <v>36</v>
      </c>
      <c r="Z3" s="193" t="str">
        <f>底稿目录!F8</f>
        <v>K13-2</v>
      </c>
    </row>
    <row r="4" spans="1:26" ht="19.95" customHeight="1">
      <c r="A4" s="8" t="str">
        <f>底稿目录!A3</f>
        <v>会计期间：202X年度</v>
      </c>
      <c r="C4" s="10"/>
      <c r="F4" s="8"/>
      <c r="H4" s="8" t="str">
        <f>底稿目录!A6</f>
        <v>复核人：</v>
      </c>
      <c r="Q4" s="8" t="str">
        <f>底稿目录!A7</f>
        <v>复核日期：</v>
      </c>
      <c r="U4" s="8"/>
      <c r="V4" s="8"/>
      <c r="W4" s="8"/>
      <c r="X4" s="8"/>
      <c r="Y4" s="8" t="s">
        <v>33</v>
      </c>
      <c r="Z4" s="8"/>
    </row>
    <row r="5" spans="1:26" ht="19.95" customHeight="1">
      <c r="A5" s="24" t="s">
        <v>34</v>
      </c>
      <c r="C5" s="10"/>
      <c r="F5" s="8"/>
      <c r="G5" s="8"/>
      <c r="L5" s="8"/>
      <c r="U5" s="8"/>
      <c r="V5" s="8"/>
      <c r="W5" s="8"/>
      <c r="X5" s="8"/>
      <c r="Y5" s="8"/>
      <c r="Z5" s="8"/>
    </row>
    <row r="6" spans="1:26" ht="19.95" customHeight="1">
      <c r="A6" s="106" t="s">
        <v>133</v>
      </c>
      <c r="B6" s="107"/>
      <c r="C6" s="108"/>
      <c r="D6" s="8"/>
      <c r="E6" s="8"/>
      <c r="F6" s="8"/>
      <c r="G6" s="8"/>
      <c r="H6" s="106" t="s">
        <v>131</v>
      </c>
      <c r="L6" s="8"/>
      <c r="Q6" s="106" t="s">
        <v>132</v>
      </c>
      <c r="U6" s="8"/>
      <c r="V6" s="8"/>
      <c r="W6" s="8"/>
      <c r="X6" s="8"/>
      <c r="Y6" s="8"/>
      <c r="Z6" s="8"/>
    </row>
    <row r="7" spans="1:26" ht="19.95" customHeight="1">
      <c r="A7" s="24" t="s">
        <v>37</v>
      </c>
      <c r="C7" s="10"/>
      <c r="F7" s="8"/>
      <c r="G7" s="8"/>
      <c r="L7" s="8"/>
      <c r="U7" s="8"/>
      <c r="V7" s="8"/>
      <c r="W7" s="8"/>
      <c r="X7" s="8"/>
      <c r="Y7" s="8"/>
      <c r="Z7" s="8"/>
    </row>
    <row r="8" spans="1:26" s="11" customFormat="1" ht="50.4" customHeight="1">
      <c r="A8" s="25" t="s">
        <v>38</v>
      </c>
      <c r="B8" s="25" t="s">
        <v>39</v>
      </c>
      <c r="C8" s="25" t="s">
        <v>40</v>
      </c>
      <c r="D8" s="25" t="s">
        <v>5</v>
      </c>
      <c r="E8" s="25" t="s">
        <v>6</v>
      </c>
      <c r="F8" s="25" t="s">
        <v>7</v>
      </c>
      <c r="G8" s="25" t="s">
        <v>8</v>
      </c>
      <c r="H8" s="25" t="s">
        <v>9</v>
      </c>
      <c r="I8" s="25" t="s">
        <v>10</v>
      </c>
      <c r="J8" s="25" t="s">
        <v>11</v>
      </c>
      <c r="K8" s="25" t="s">
        <v>12</v>
      </c>
      <c r="L8" s="25" t="s">
        <v>13</v>
      </c>
      <c r="M8" s="25" t="s">
        <v>14</v>
      </c>
      <c r="N8" s="25" t="s">
        <v>41</v>
      </c>
      <c r="O8" s="23" t="s">
        <v>52</v>
      </c>
      <c r="P8" s="29" t="s">
        <v>42</v>
      </c>
      <c r="Q8" s="29" t="s">
        <v>43</v>
      </c>
      <c r="R8" s="23" t="s">
        <v>54</v>
      </c>
      <c r="S8" s="25" t="s">
        <v>44</v>
      </c>
      <c r="T8" s="25" t="s">
        <v>45</v>
      </c>
      <c r="U8" s="25" t="s">
        <v>46</v>
      </c>
      <c r="V8" s="23" t="s">
        <v>52</v>
      </c>
      <c r="W8" s="29" t="s">
        <v>42</v>
      </c>
      <c r="X8" s="29" t="s">
        <v>47</v>
      </c>
      <c r="Y8" s="132" t="s">
        <v>158</v>
      </c>
      <c r="Z8" s="132" t="s">
        <v>159</v>
      </c>
    </row>
    <row r="9" spans="1:26" ht="27" customHeight="1">
      <c r="A9" s="203" t="s">
        <v>231</v>
      </c>
      <c r="B9" s="12"/>
      <c r="C9" s="12"/>
      <c r="D9" s="12"/>
      <c r="E9" s="12"/>
      <c r="F9" s="12"/>
      <c r="G9" s="12"/>
      <c r="H9" s="12"/>
      <c r="I9" s="12"/>
      <c r="J9" s="12"/>
      <c r="K9" s="12"/>
      <c r="L9" s="12"/>
      <c r="M9" s="12"/>
      <c r="N9" s="80">
        <f t="shared" ref="N9:N15" si="0">SUM(B9:M9)</f>
        <v>0</v>
      </c>
      <c r="O9" s="12"/>
      <c r="P9" s="12"/>
      <c r="Q9" s="80">
        <f t="shared" ref="Q9:Q15" si="1">N9+O9+P9</f>
        <v>0</v>
      </c>
      <c r="R9" s="12"/>
      <c r="S9" s="13"/>
      <c r="T9" s="81">
        <f t="shared" ref="T9:T16" si="2">IF($Q$16=0,0,Q9/$Q$16)</f>
        <v>0</v>
      </c>
      <c r="U9" s="12"/>
      <c r="V9" s="12"/>
      <c r="W9" s="12"/>
      <c r="X9" s="82">
        <f t="shared" ref="X9:X15" si="3">U9+V9+W9</f>
        <v>0</v>
      </c>
      <c r="Y9" s="81">
        <f t="shared" ref="Y9:Y16" si="4">IF($X$16=0,0,X9/$X$16)</f>
        <v>0</v>
      </c>
      <c r="Z9" s="81">
        <f t="shared" ref="Z9:Z16" si="5">IF(AND(X9=0,Q9&gt;0),1,IF(AND(X9=0,Q9=0),0,(Q9-X9)/X9))</f>
        <v>0</v>
      </c>
    </row>
    <row r="10" spans="1:26" ht="19.95" customHeight="1">
      <c r="A10" s="31" t="s">
        <v>232</v>
      </c>
      <c r="B10" s="12"/>
      <c r="C10" s="12"/>
      <c r="D10" s="12"/>
      <c r="E10" s="12"/>
      <c r="F10" s="12"/>
      <c r="G10" s="12"/>
      <c r="H10" s="12"/>
      <c r="I10" s="12"/>
      <c r="J10" s="12"/>
      <c r="K10" s="12"/>
      <c r="L10" s="12"/>
      <c r="M10" s="12"/>
      <c r="N10" s="80">
        <f t="shared" si="0"/>
        <v>0</v>
      </c>
      <c r="O10" s="12"/>
      <c r="P10" s="12"/>
      <c r="Q10" s="80">
        <f t="shared" si="1"/>
        <v>0</v>
      </c>
      <c r="R10" s="12"/>
      <c r="S10" s="13"/>
      <c r="T10" s="81">
        <f t="shared" si="2"/>
        <v>0</v>
      </c>
      <c r="U10" s="12"/>
      <c r="V10" s="12"/>
      <c r="W10" s="12"/>
      <c r="X10" s="82">
        <f t="shared" si="3"/>
        <v>0</v>
      </c>
      <c r="Y10" s="81">
        <f t="shared" si="4"/>
        <v>0</v>
      </c>
      <c r="Z10" s="81">
        <f t="shared" si="5"/>
        <v>0</v>
      </c>
    </row>
    <row r="11" spans="1:26" ht="19.95" customHeight="1">
      <c r="A11" s="31" t="s">
        <v>233</v>
      </c>
      <c r="B11" s="12"/>
      <c r="C11" s="12"/>
      <c r="D11" s="12"/>
      <c r="E11" s="12"/>
      <c r="F11" s="12"/>
      <c r="G11" s="12"/>
      <c r="H11" s="12"/>
      <c r="I11" s="12"/>
      <c r="J11" s="12"/>
      <c r="K11" s="12"/>
      <c r="L11" s="12"/>
      <c r="M11" s="12"/>
      <c r="N11" s="80">
        <f t="shared" si="0"/>
        <v>0</v>
      </c>
      <c r="O11" s="12"/>
      <c r="P11" s="12"/>
      <c r="Q11" s="80">
        <f t="shared" si="1"/>
        <v>0</v>
      </c>
      <c r="R11" s="12"/>
      <c r="S11" s="13"/>
      <c r="T11" s="81">
        <f t="shared" si="2"/>
        <v>0</v>
      </c>
      <c r="U11" s="12"/>
      <c r="V11" s="12"/>
      <c r="W11" s="12"/>
      <c r="X11" s="82">
        <f t="shared" si="3"/>
        <v>0</v>
      </c>
      <c r="Y11" s="81">
        <f t="shared" si="4"/>
        <v>0</v>
      </c>
      <c r="Z11" s="81">
        <f t="shared" si="5"/>
        <v>0</v>
      </c>
    </row>
    <row r="12" spans="1:26" ht="26.4" customHeight="1">
      <c r="A12" s="203" t="s">
        <v>234</v>
      </c>
      <c r="B12" s="12"/>
      <c r="C12" s="12"/>
      <c r="D12" s="12"/>
      <c r="E12" s="12"/>
      <c r="F12" s="12"/>
      <c r="G12" s="12"/>
      <c r="H12" s="12"/>
      <c r="I12" s="12"/>
      <c r="J12" s="12"/>
      <c r="K12" s="12"/>
      <c r="L12" s="12"/>
      <c r="M12" s="12"/>
      <c r="N12" s="80">
        <f t="shared" si="0"/>
        <v>0</v>
      </c>
      <c r="O12" s="12"/>
      <c r="P12" s="12"/>
      <c r="Q12" s="80">
        <f t="shared" si="1"/>
        <v>0</v>
      </c>
      <c r="R12" s="12"/>
      <c r="S12" s="13"/>
      <c r="T12" s="81">
        <f t="shared" si="2"/>
        <v>0</v>
      </c>
      <c r="U12" s="12"/>
      <c r="V12" s="12"/>
      <c r="W12" s="12"/>
      <c r="X12" s="82">
        <f t="shared" si="3"/>
        <v>0</v>
      </c>
      <c r="Y12" s="81">
        <f t="shared" si="4"/>
        <v>0</v>
      </c>
      <c r="Z12" s="81">
        <f t="shared" si="5"/>
        <v>0</v>
      </c>
    </row>
    <row r="13" spans="1:26" ht="19.95" customHeight="1">
      <c r="A13" s="31" t="s">
        <v>235</v>
      </c>
      <c r="B13" s="12"/>
      <c r="C13" s="12"/>
      <c r="D13" s="12"/>
      <c r="E13" s="12"/>
      <c r="F13" s="12"/>
      <c r="G13" s="12"/>
      <c r="H13" s="12"/>
      <c r="I13" s="12"/>
      <c r="J13" s="12"/>
      <c r="K13" s="12"/>
      <c r="L13" s="12"/>
      <c r="M13" s="12"/>
      <c r="N13" s="80">
        <f t="shared" si="0"/>
        <v>0</v>
      </c>
      <c r="O13" s="12"/>
      <c r="P13" s="12"/>
      <c r="Q13" s="80">
        <f t="shared" si="1"/>
        <v>0</v>
      </c>
      <c r="R13" s="12"/>
      <c r="S13" s="13"/>
      <c r="T13" s="81">
        <f t="shared" si="2"/>
        <v>0</v>
      </c>
      <c r="U13" s="12"/>
      <c r="V13" s="12"/>
      <c r="W13" s="12"/>
      <c r="X13" s="82">
        <f t="shared" ref="X13" si="6">U13+V13+W13</f>
        <v>0</v>
      </c>
      <c r="Y13" s="81">
        <f t="shared" si="4"/>
        <v>0</v>
      </c>
      <c r="Z13" s="81">
        <f t="shared" ref="Z13" si="7">IF(AND(X13=0,Q13&gt;0),1,IF(AND(X13=0,Q13=0),0,(Q13-X13)/X13))</f>
        <v>0</v>
      </c>
    </row>
    <row r="14" spans="1:26" ht="19.95" customHeight="1">
      <c r="A14" s="31" t="s">
        <v>55</v>
      </c>
      <c r="B14" s="12"/>
      <c r="C14" s="12"/>
      <c r="D14" s="12"/>
      <c r="E14" s="12"/>
      <c r="F14" s="12"/>
      <c r="G14" s="12"/>
      <c r="H14" s="12"/>
      <c r="I14" s="12"/>
      <c r="J14" s="12"/>
      <c r="K14" s="12"/>
      <c r="L14" s="12"/>
      <c r="M14" s="12"/>
      <c r="N14" s="80">
        <f t="shared" si="0"/>
        <v>0</v>
      </c>
      <c r="O14" s="12"/>
      <c r="P14" s="12"/>
      <c r="Q14" s="80">
        <f t="shared" si="1"/>
        <v>0</v>
      </c>
      <c r="R14" s="12"/>
      <c r="S14" s="13"/>
      <c r="T14" s="81">
        <f t="shared" si="2"/>
        <v>0</v>
      </c>
      <c r="U14" s="12"/>
      <c r="V14" s="12"/>
      <c r="W14" s="12"/>
      <c r="X14" s="82">
        <f t="shared" si="3"/>
        <v>0</v>
      </c>
      <c r="Y14" s="81">
        <f t="shared" si="4"/>
        <v>0</v>
      </c>
      <c r="Z14" s="81">
        <f t="shared" si="5"/>
        <v>0</v>
      </c>
    </row>
    <row r="15" spans="1:26" ht="19.95" customHeight="1">
      <c r="A15" s="32" t="s">
        <v>0</v>
      </c>
      <c r="B15" s="12"/>
      <c r="C15" s="12"/>
      <c r="D15" s="12"/>
      <c r="E15" s="12"/>
      <c r="F15" s="12"/>
      <c r="G15" s="12"/>
      <c r="H15" s="12"/>
      <c r="I15" s="12"/>
      <c r="J15" s="12"/>
      <c r="K15" s="12"/>
      <c r="L15" s="12"/>
      <c r="M15" s="12"/>
      <c r="N15" s="80">
        <f t="shared" si="0"/>
        <v>0</v>
      </c>
      <c r="O15" s="12"/>
      <c r="P15" s="12"/>
      <c r="Q15" s="80">
        <f t="shared" si="1"/>
        <v>0</v>
      </c>
      <c r="R15" s="12"/>
      <c r="S15" s="13"/>
      <c r="T15" s="81">
        <f t="shared" si="2"/>
        <v>0</v>
      </c>
      <c r="U15" s="12"/>
      <c r="V15" s="12"/>
      <c r="W15" s="12"/>
      <c r="X15" s="82">
        <f t="shared" si="3"/>
        <v>0</v>
      </c>
      <c r="Y15" s="81">
        <f t="shared" si="4"/>
        <v>0</v>
      </c>
      <c r="Z15" s="81">
        <f t="shared" si="5"/>
        <v>0</v>
      </c>
    </row>
    <row r="16" spans="1:26" s="208" customFormat="1" ht="19.95" customHeight="1">
      <c r="A16" s="204" t="s">
        <v>48</v>
      </c>
      <c r="B16" s="209">
        <f>SUM(B9:B15)</f>
        <v>0</v>
      </c>
      <c r="C16" s="209">
        <f t="shared" ref="C16:N16" si="8">SUM(C9:C15)</f>
        <v>0</v>
      </c>
      <c r="D16" s="209">
        <f t="shared" si="8"/>
        <v>0</v>
      </c>
      <c r="E16" s="209">
        <f t="shared" si="8"/>
        <v>0</v>
      </c>
      <c r="F16" s="209">
        <f t="shared" si="8"/>
        <v>0</v>
      </c>
      <c r="G16" s="209">
        <f t="shared" si="8"/>
        <v>0</v>
      </c>
      <c r="H16" s="209">
        <f t="shared" si="8"/>
        <v>0</v>
      </c>
      <c r="I16" s="209">
        <f t="shared" si="8"/>
        <v>0</v>
      </c>
      <c r="J16" s="209">
        <f t="shared" si="8"/>
        <v>0</v>
      </c>
      <c r="K16" s="209">
        <f t="shared" si="8"/>
        <v>0</v>
      </c>
      <c r="L16" s="209">
        <f t="shared" si="8"/>
        <v>0</v>
      </c>
      <c r="M16" s="209">
        <f t="shared" si="8"/>
        <v>0</v>
      </c>
      <c r="N16" s="209">
        <f t="shared" si="8"/>
        <v>0</v>
      </c>
      <c r="O16" s="209">
        <f>SUM(O9:O15)</f>
        <v>0</v>
      </c>
      <c r="P16" s="209">
        <f t="shared" ref="P16" si="9">SUM(P9:P15)</f>
        <v>0</v>
      </c>
      <c r="Q16" s="209">
        <f t="shared" ref="Q16" si="10">SUM(Q9:Q15)</f>
        <v>0</v>
      </c>
      <c r="R16" s="209">
        <f t="shared" ref="R16" si="11">SUM(R9:R15)</f>
        <v>0</v>
      </c>
      <c r="S16" s="209">
        <f t="shared" ref="S16" si="12">SUM(S9:S15)</f>
        <v>0</v>
      </c>
      <c r="T16" s="206">
        <f t="shared" si="2"/>
        <v>0</v>
      </c>
      <c r="U16" s="209">
        <f>SUM(U9:U15)</f>
        <v>0</v>
      </c>
      <c r="V16" s="209">
        <f t="shared" ref="V16:X16" si="13">SUM(V9:V15)</f>
        <v>0</v>
      </c>
      <c r="W16" s="209">
        <f t="shared" si="13"/>
        <v>0</v>
      </c>
      <c r="X16" s="209">
        <f t="shared" si="13"/>
        <v>0</v>
      </c>
      <c r="Y16" s="206">
        <f t="shared" si="4"/>
        <v>0</v>
      </c>
      <c r="Z16" s="206">
        <f t="shared" si="5"/>
        <v>0</v>
      </c>
    </row>
    <row r="17" spans="1:26" s="208" customFormat="1" ht="19.95" customHeight="1">
      <c r="A17" s="204" t="s">
        <v>49</v>
      </c>
      <c r="B17" s="205">
        <f>IF($N$16=0,0,B16/$N$16)</f>
        <v>0</v>
      </c>
      <c r="C17" s="205">
        <f>IF($N$16=0,0,C16/$N$16)</f>
        <v>0</v>
      </c>
      <c r="D17" s="205">
        <f t="shared" ref="D17:N17" si="14">IF($N$16=0,0,D16/$N$16)</f>
        <v>0</v>
      </c>
      <c r="E17" s="205">
        <f t="shared" si="14"/>
        <v>0</v>
      </c>
      <c r="F17" s="205">
        <f>IF($N$16=0,0,F16/$N$16)</f>
        <v>0</v>
      </c>
      <c r="G17" s="205">
        <f t="shared" si="14"/>
        <v>0</v>
      </c>
      <c r="H17" s="205">
        <f t="shared" si="14"/>
        <v>0</v>
      </c>
      <c r="I17" s="205">
        <f t="shared" si="14"/>
        <v>0</v>
      </c>
      <c r="J17" s="205">
        <f t="shared" si="14"/>
        <v>0</v>
      </c>
      <c r="K17" s="205">
        <f t="shared" si="14"/>
        <v>0</v>
      </c>
      <c r="L17" s="205">
        <f t="shared" si="14"/>
        <v>0</v>
      </c>
      <c r="M17" s="205">
        <f>IF($N$16=0,0,M16/$N$16)</f>
        <v>0</v>
      </c>
      <c r="N17" s="206">
        <f t="shared" si="14"/>
        <v>0</v>
      </c>
      <c r="O17" s="207"/>
      <c r="P17" s="207"/>
      <c r="Q17" s="207"/>
      <c r="R17" s="207"/>
      <c r="S17" s="207"/>
      <c r="T17" s="207"/>
      <c r="U17" s="207"/>
      <c r="V17" s="207"/>
      <c r="W17" s="207"/>
      <c r="X17" s="207"/>
      <c r="Y17" s="207"/>
      <c r="Z17" s="207"/>
    </row>
    <row r="18" spans="1:26" ht="19.95" customHeight="1">
      <c r="A18" s="16" t="s">
        <v>50</v>
      </c>
      <c r="B18" s="8"/>
      <c r="C18" s="8"/>
      <c r="D18" s="8"/>
      <c r="E18" s="8"/>
      <c r="F18" s="8"/>
      <c r="G18" s="8"/>
      <c r="H18" s="8"/>
      <c r="I18" s="8"/>
      <c r="J18" s="8"/>
      <c r="K18" s="8"/>
      <c r="L18" s="8"/>
      <c r="M18" s="8"/>
      <c r="N18" s="8"/>
      <c r="O18" s="8"/>
      <c r="P18" s="8"/>
      <c r="Q18" s="8"/>
      <c r="R18" s="8"/>
      <c r="S18" s="8"/>
      <c r="T18" s="8"/>
      <c r="U18" s="8"/>
      <c r="V18" s="8"/>
      <c r="W18" s="8"/>
      <c r="X18" s="8"/>
      <c r="Y18" s="8"/>
      <c r="Z18" s="8"/>
    </row>
    <row r="19" spans="1:26" ht="19.9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9.9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9.95" customHeight="1">
      <c r="A21" s="16" t="s">
        <v>51</v>
      </c>
      <c r="B21" s="8"/>
      <c r="C21" s="8"/>
      <c r="D21" s="8"/>
      <c r="E21" s="8"/>
      <c r="F21" s="8"/>
      <c r="G21" s="8"/>
      <c r="H21" s="8"/>
      <c r="I21" s="8"/>
      <c r="J21" s="8"/>
      <c r="K21" s="8"/>
      <c r="L21" s="8"/>
      <c r="M21" s="8"/>
      <c r="N21" s="8"/>
      <c r="O21" s="8"/>
      <c r="P21" s="8"/>
      <c r="Q21" s="8"/>
      <c r="R21" s="8"/>
      <c r="S21" s="8"/>
      <c r="T21" s="8"/>
      <c r="U21" s="8"/>
      <c r="V21" s="8"/>
      <c r="W21" s="8"/>
      <c r="X21" s="8"/>
      <c r="Y21" s="8"/>
      <c r="Z21" s="8"/>
    </row>
    <row r="22" spans="1:26" ht="19.95" customHeight="1">
      <c r="A22" s="16"/>
      <c r="B22" s="8"/>
      <c r="C22" s="8"/>
      <c r="D22" s="8"/>
      <c r="E22" s="8"/>
      <c r="F22" s="8"/>
      <c r="G22" s="8"/>
      <c r="H22" s="8"/>
      <c r="I22" s="8"/>
      <c r="J22" s="8"/>
      <c r="K22" s="8"/>
      <c r="L22" s="8"/>
      <c r="M22" s="8"/>
      <c r="N22" s="8"/>
      <c r="O22" s="8"/>
      <c r="P22" s="8"/>
      <c r="Q22" s="8"/>
      <c r="R22" s="8"/>
      <c r="S22" s="8"/>
      <c r="T22" s="8"/>
      <c r="U22" s="8"/>
      <c r="V22" s="8"/>
      <c r="W22" s="8"/>
      <c r="X22" s="8"/>
      <c r="Y22" s="8"/>
      <c r="Z22" s="8"/>
    </row>
    <row r="25" spans="1:26">
      <c r="A25" s="30" t="s">
        <v>160</v>
      </c>
    </row>
    <row r="26" spans="1:26">
      <c r="A26" s="7" t="s">
        <v>161</v>
      </c>
    </row>
    <row r="27" spans="1:26">
      <c r="A27" s="7"/>
    </row>
  </sheetData>
  <mergeCells count="2">
    <mergeCell ref="A1:Z1"/>
    <mergeCell ref="A2:Z2"/>
  </mergeCells>
  <phoneticPr fontId="12" type="noConversion"/>
  <conditionalFormatting sqref="B17:M17">
    <cfRule type="cellIs" dxfId="3" priority="1" stopIfTrue="1" operator="greaterThanOrEqual">
      <formula>0.3</formula>
    </cfRule>
  </conditionalFormatting>
  <conditionalFormatting sqref="T9:T16 Y9:Y16">
    <cfRule type="cellIs" dxfId="2" priority="2" stopIfTrue="1" operator="greaterThanOrEqual">
      <formula>0.5</formula>
    </cfRule>
  </conditionalFormatting>
  <conditionalFormatting sqref="Z9:Z16">
    <cfRule type="cellIs" dxfId="1" priority="3" stopIfTrue="1" operator="greaterThanOrEqual">
      <formula>0.3</formula>
    </cfRule>
    <cfRule type="cellIs" dxfId="0" priority="4" stopIfTrue="1" operator="lessThanOrEqual">
      <formula>-0.3</formula>
    </cfRule>
  </conditionalFormatting>
  <hyperlinks>
    <hyperlink ref="Z3" location="底稿目录!A1" display="底稿目录!A1"/>
  </hyperlinks>
  <printOptions horizontalCentered="1"/>
  <pageMargins left="0.70866141732283472" right="0.70866141732283472" top="0.74803149606299213" bottom="0.74803149606299213" header="0.31496062992125984" footer="0.31496062992125984"/>
  <pageSetup paperSize="9" scale="49" fitToHeight="100" orientation="landscape" blackAndWhite="1" cellComments="atEnd"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4"/>
  <sheetViews>
    <sheetView view="pageBreakPreview" zoomScaleNormal="100" zoomScaleSheetLayoutView="100" workbookViewId="0">
      <selection sqref="A1:J1"/>
    </sheetView>
  </sheetViews>
  <sheetFormatPr defaultRowHeight="15.6"/>
  <cols>
    <col min="1" max="1" width="17" customWidth="1"/>
    <col min="2" max="2" width="14.8984375" customWidth="1"/>
    <col min="3" max="3" width="11.19921875" customWidth="1"/>
    <col min="4" max="4" width="13.796875" customWidth="1"/>
    <col min="5" max="5" width="13.09765625" customWidth="1"/>
    <col min="7" max="7" width="10.296875" customWidth="1"/>
    <col min="8" max="8" width="10.5" customWidth="1"/>
    <col min="9" max="9" width="9.3984375" customWidth="1"/>
    <col min="10" max="10" width="17.3984375" customWidth="1"/>
  </cols>
  <sheetData>
    <row r="1" spans="1:10" ht="19.95" customHeight="1">
      <c r="A1" s="237" t="s">
        <v>32</v>
      </c>
      <c r="B1" s="237"/>
      <c r="C1" s="237"/>
      <c r="D1" s="237"/>
      <c r="E1" s="237"/>
      <c r="F1" s="237"/>
      <c r="G1" s="237"/>
      <c r="H1" s="237"/>
      <c r="I1" s="237"/>
      <c r="J1" s="237"/>
    </row>
    <row r="2" spans="1:10" ht="19.95" customHeight="1">
      <c r="A2" s="238" t="s">
        <v>80</v>
      </c>
      <c r="B2" s="238"/>
      <c r="C2" s="238"/>
      <c r="D2" s="239"/>
      <c r="E2" s="239"/>
      <c r="F2" s="239"/>
      <c r="G2" s="239"/>
      <c r="H2" s="239"/>
      <c r="I2" s="239"/>
      <c r="J2" s="239"/>
    </row>
    <row r="3" spans="1:10" ht="19.95" customHeight="1">
      <c r="A3" s="6" t="str">
        <f>底稿目录!A2</f>
        <v>被审计单位：</v>
      </c>
      <c r="B3" s="6"/>
      <c r="C3" s="6" t="str">
        <f>底稿目录!A4</f>
        <v>编制人：</v>
      </c>
      <c r="E3" s="6"/>
      <c r="F3" s="49"/>
      <c r="G3" s="6" t="str">
        <f>底稿目录!A5</f>
        <v>编制日期：</v>
      </c>
      <c r="H3" s="6"/>
      <c r="I3" s="6" t="s">
        <v>129</v>
      </c>
      <c r="J3" s="193" t="str">
        <f>底稿目录!F9</f>
        <v>K13-3</v>
      </c>
    </row>
    <row r="4" spans="1:10" ht="19.95" customHeight="1">
      <c r="A4" s="6" t="str">
        <f>底稿目录!A3</f>
        <v>会计期间：202X年度</v>
      </c>
      <c r="B4" s="6"/>
      <c r="C4" s="6" t="str">
        <f>底稿目录!A6</f>
        <v>复核人：</v>
      </c>
      <c r="E4" s="6"/>
      <c r="F4" s="49"/>
      <c r="G4" s="6" t="str">
        <f>底稿目录!A7</f>
        <v>复核日期：</v>
      </c>
      <c r="H4" s="6"/>
      <c r="I4" s="6" t="s">
        <v>128</v>
      </c>
      <c r="J4" s="83"/>
    </row>
    <row r="5" spans="1:10" ht="40.200000000000003" customHeight="1">
      <c r="A5" s="50" t="s">
        <v>72</v>
      </c>
      <c r="B5" s="105" t="s">
        <v>73</v>
      </c>
      <c r="C5" s="51" t="s">
        <v>130</v>
      </c>
      <c r="D5" s="51" t="s">
        <v>74</v>
      </c>
      <c r="E5" s="51" t="s">
        <v>75</v>
      </c>
      <c r="F5" s="52" t="s">
        <v>35</v>
      </c>
      <c r="G5" s="51" t="s">
        <v>76</v>
      </c>
      <c r="H5" s="51" t="s">
        <v>77</v>
      </c>
      <c r="I5" s="51" t="s">
        <v>78</v>
      </c>
      <c r="J5" s="51" t="s">
        <v>79</v>
      </c>
    </row>
    <row r="6" spans="1:10" ht="19.95" customHeight="1">
      <c r="A6" s="111"/>
      <c r="B6" s="111"/>
      <c r="C6" s="112"/>
      <c r="D6" s="111"/>
      <c r="E6" s="111"/>
      <c r="F6" s="111"/>
      <c r="G6" s="113"/>
      <c r="H6" s="113"/>
      <c r="I6" s="114"/>
      <c r="J6" s="111"/>
    </row>
    <row r="7" spans="1:10" ht="19.95" customHeight="1">
      <c r="A7" s="111"/>
      <c r="B7" s="111"/>
      <c r="C7" s="112"/>
      <c r="D7" s="111"/>
      <c r="E7" s="111"/>
      <c r="F7" s="111"/>
      <c r="G7" s="113"/>
      <c r="H7" s="113"/>
      <c r="I7" s="114"/>
      <c r="J7" s="111"/>
    </row>
    <row r="8" spans="1:10" ht="19.95" customHeight="1">
      <c r="A8" s="111"/>
      <c r="B8" s="111"/>
      <c r="C8" s="112"/>
      <c r="D8" s="111"/>
      <c r="E8" s="111"/>
      <c r="F8" s="111"/>
      <c r="G8" s="113"/>
      <c r="H8" s="113"/>
      <c r="I8" s="114"/>
      <c r="J8" s="111"/>
    </row>
    <row r="9" spans="1:10" ht="19.95" customHeight="1">
      <c r="A9" s="111"/>
      <c r="B9" s="111"/>
      <c r="C9" s="112"/>
      <c r="D9" s="111"/>
      <c r="E9" s="111"/>
      <c r="F9" s="111"/>
      <c r="G9" s="113"/>
      <c r="H9" s="113"/>
      <c r="I9" s="114"/>
      <c r="J9" s="111"/>
    </row>
    <row r="10" spans="1:10" ht="19.95" customHeight="1">
      <c r="A10" s="111"/>
      <c r="B10" s="111"/>
      <c r="C10" s="112"/>
      <c r="D10" s="111"/>
      <c r="E10" s="111"/>
      <c r="F10" s="111"/>
      <c r="G10" s="113"/>
      <c r="H10" s="113"/>
      <c r="I10" s="114"/>
      <c r="J10" s="111"/>
    </row>
    <row r="11" spans="1:10" ht="19.95" customHeight="1">
      <c r="A11" s="111"/>
      <c r="B11" s="111"/>
      <c r="C11" s="112"/>
      <c r="D11" s="111"/>
      <c r="E11" s="111"/>
      <c r="F11" s="111"/>
      <c r="G11" s="113"/>
      <c r="H11" s="113"/>
      <c r="I11" s="114"/>
      <c r="J11" s="111"/>
    </row>
    <row r="12" spans="1:10" ht="19.95" customHeight="1">
      <c r="A12" s="111"/>
      <c r="B12" s="111"/>
      <c r="C12" s="112"/>
      <c r="D12" s="111"/>
      <c r="E12" s="111"/>
      <c r="F12" s="111"/>
      <c r="G12" s="113"/>
      <c r="H12" s="113"/>
      <c r="I12" s="114"/>
      <c r="J12" s="111"/>
    </row>
    <row r="13" spans="1:10" ht="19.95" customHeight="1">
      <c r="A13" s="111"/>
      <c r="B13" s="111"/>
      <c r="C13" s="112"/>
      <c r="D13" s="111"/>
      <c r="E13" s="111"/>
      <c r="F13" s="111"/>
      <c r="G13" s="113"/>
      <c r="H13" s="113"/>
      <c r="I13" s="114"/>
      <c r="J13" s="111"/>
    </row>
    <row r="14" spans="1:10" ht="19.95" customHeight="1">
      <c r="A14" s="111"/>
      <c r="B14" s="111"/>
      <c r="C14" s="112"/>
      <c r="D14" s="111"/>
      <c r="E14" s="111"/>
      <c r="F14" s="111"/>
      <c r="G14" s="113"/>
      <c r="H14" s="113"/>
      <c r="I14" s="114"/>
      <c r="J14" s="111"/>
    </row>
    <row r="15" spans="1:10" ht="19.95" customHeight="1">
      <c r="A15" s="111"/>
      <c r="B15" s="111"/>
      <c r="C15" s="112"/>
      <c r="D15" s="111"/>
      <c r="E15" s="111"/>
      <c r="F15" s="111"/>
      <c r="G15" s="113"/>
      <c r="H15" s="113"/>
      <c r="I15" s="114"/>
      <c r="J15" s="111"/>
    </row>
    <row r="16" spans="1:10" ht="19.95" customHeight="1">
      <c r="A16" s="111"/>
      <c r="B16" s="111"/>
      <c r="C16" s="112"/>
      <c r="D16" s="111"/>
      <c r="E16" s="111"/>
      <c r="F16" s="111"/>
      <c r="G16" s="113"/>
      <c r="H16" s="113"/>
      <c r="I16" s="114"/>
      <c r="J16" s="111"/>
    </row>
    <row r="17" spans="1:10" ht="19.95" customHeight="1">
      <c r="A17" s="111"/>
      <c r="B17" s="111"/>
      <c r="C17" s="112"/>
      <c r="D17" s="111"/>
      <c r="E17" s="111"/>
      <c r="F17" s="111"/>
      <c r="G17" s="113"/>
      <c r="H17" s="113"/>
      <c r="I17" s="114"/>
      <c r="J17" s="111"/>
    </row>
    <row r="18" spans="1:10" ht="19.95" customHeight="1">
      <c r="A18" s="111"/>
      <c r="B18" s="111"/>
      <c r="C18" s="112"/>
      <c r="D18" s="111"/>
      <c r="E18" s="111"/>
      <c r="F18" s="111"/>
      <c r="G18" s="113"/>
      <c r="H18" s="113"/>
      <c r="I18" s="114"/>
      <c r="J18" s="111"/>
    </row>
    <row r="19" spans="1:10" ht="19.95" customHeight="1">
      <c r="A19" s="111"/>
      <c r="B19" s="111"/>
      <c r="C19" s="112"/>
      <c r="D19" s="111"/>
      <c r="E19" s="111"/>
      <c r="F19" s="111"/>
      <c r="G19" s="113"/>
      <c r="H19" s="113"/>
      <c r="I19" s="114"/>
      <c r="J19" s="111"/>
    </row>
    <row r="20" spans="1:10" ht="19.95" customHeight="1">
      <c r="A20" s="111"/>
      <c r="B20" s="111"/>
      <c r="C20" s="112"/>
      <c r="D20" s="111"/>
      <c r="E20" s="111"/>
      <c r="F20" s="111"/>
      <c r="G20" s="113"/>
      <c r="H20" s="113"/>
      <c r="I20" s="114"/>
      <c r="J20" s="111"/>
    </row>
    <row r="21" spans="1:10">
      <c r="A21" s="53"/>
      <c r="B21" s="53"/>
      <c r="C21" s="53"/>
      <c r="D21" s="53"/>
      <c r="E21" s="53"/>
      <c r="F21" s="53"/>
      <c r="G21" s="53"/>
      <c r="H21" s="53"/>
      <c r="I21" s="53"/>
      <c r="J21" s="53"/>
    </row>
    <row r="22" spans="1:10">
      <c r="A22" s="53"/>
      <c r="B22" s="53"/>
      <c r="C22" s="53"/>
      <c r="D22" s="53"/>
      <c r="E22" s="53"/>
      <c r="F22" s="53"/>
      <c r="G22" s="53"/>
      <c r="H22" s="53"/>
      <c r="I22" s="53"/>
      <c r="J22" s="53"/>
    </row>
    <row r="23" spans="1:10" ht="34.799999999999997" customHeight="1">
      <c r="A23" s="240" t="s">
        <v>162</v>
      </c>
      <c r="B23" s="241"/>
      <c r="C23" s="241"/>
      <c r="D23" s="241"/>
      <c r="E23" s="241"/>
      <c r="F23" s="241"/>
      <c r="G23" s="241"/>
      <c r="H23" s="241"/>
      <c r="I23" s="241"/>
      <c r="J23" s="241"/>
    </row>
    <row r="24" spans="1:10">
      <c r="A24" s="53"/>
      <c r="B24" s="53"/>
      <c r="C24" s="53"/>
      <c r="D24" s="53"/>
      <c r="E24" s="53"/>
      <c r="F24" s="53"/>
      <c r="G24" s="53"/>
      <c r="H24" s="53"/>
      <c r="I24" s="53"/>
      <c r="J24" s="53"/>
    </row>
  </sheetData>
  <mergeCells count="3">
    <mergeCell ref="A1:J1"/>
    <mergeCell ref="A2:J2"/>
    <mergeCell ref="A23:J23"/>
  </mergeCells>
  <phoneticPr fontId="12"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view="pageBreakPreview" zoomScaleSheetLayoutView="100" workbookViewId="0">
      <selection sqref="A1:Q1"/>
    </sheetView>
  </sheetViews>
  <sheetFormatPr defaultColWidth="8.19921875" defaultRowHeight="15.6"/>
  <cols>
    <col min="1" max="1" width="8.8984375" style="186" customWidth="1"/>
    <col min="2" max="2" width="8.59765625" style="186" bestFit="1" customWidth="1"/>
    <col min="3" max="3" width="8.19921875" style="186"/>
    <col min="4" max="4" width="14.8984375" style="186" customWidth="1"/>
    <col min="5" max="5" width="11.5" style="186" customWidth="1"/>
    <col min="6" max="6" width="12.5" style="186" customWidth="1"/>
    <col min="7" max="7" width="9.59765625" style="186" customWidth="1"/>
    <col min="8" max="8" width="12.3984375" style="186" customWidth="1"/>
    <col min="9" max="9" width="21" style="186" customWidth="1"/>
    <col min="10" max="14" width="4" style="186" customWidth="1"/>
    <col min="15" max="15" width="8.69921875" style="186" customWidth="1"/>
    <col min="16" max="16" width="7" style="186" customWidth="1"/>
    <col min="17" max="16384" width="8.19921875" style="186"/>
  </cols>
  <sheetData>
    <row r="1" spans="1:17" s="141" customFormat="1" ht="19.95" customHeight="1">
      <c r="A1" s="242" t="s">
        <v>32</v>
      </c>
      <c r="B1" s="242"/>
      <c r="C1" s="242"/>
      <c r="D1" s="242"/>
      <c r="E1" s="242"/>
      <c r="F1" s="242"/>
      <c r="G1" s="242"/>
      <c r="H1" s="242"/>
      <c r="I1" s="242"/>
      <c r="J1" s="242"/>
      <c r="K1" s="242"/>
      <c r="L1" s="242"/>
      <c r="M1" s="242"/>
      <c r="N1" s="242"/>
      <c r="O1" s="242"/>
      <c r="P1" s="242"/>
      <c r="Q1" s="242"/>
    </row>
    <row r="2" spans="1:17" s="141" customFormat="1" ht="19.95" customHeight="1">
      <c r="A2" s="243" t="s">
        <v>193</v>
      </c>
      <c r="B2" s="243"/>
      <c r="C2" s="243"/>
      <c r="D2" s="243"/>
      <c r="E2" s="243"/>
      <c r="F2" s="243"/>
      <c r="G2" s="243"/>
      <c r="H2" s="243"/>
      <c r="I2" s="243"/>
      <c r="J2" s="243"/>
      <c r="K2" s="243"/>
      <c r="L2" s="243"/>
      <c r="M2" s="243"/>
      <c r="N2" s="243"/>
      <c r="O2" s="243"/>
      <c r="P2" s="243"/>
      <c r="Q2" s="243"/>
    </row>
    <row r="3" spans="1:17" s="143" customFormat="1" ht="19.95" customHeight="1">
      <c r="A3" s="142" t="str">
        <f>底稿目录!A2</f>
        <v>被审计单位：</v>
      </c>
      <c r="B3" s="142"/>
      <c r="C3" s="142"/>
      <c r="F3" s="144" t="str">
        <f>底稿目录!A4</f>
        <v>编制人：</v>
      </c>
      <c r="I3" s="145" t="str">
        <f>底稿目录!A5</f>
        <v>编制日期：</v>
      </c>
      <c r="J3" s="146"/>
      <c r="K3" s="146"/>
      <c r="P3" s="147" t="s">
        <v>177</v>
      </c>
      <c r="Q3" s="193" t="str">
        <f>底稿目录!F10</f>
        <v>K13-4</v>
      </c>
    </row>
    <row r="4" spans="1:17" s="143" customFormat="1" ht="19.95" customHeight="1">
      <c r="A4" s="142" t="str">
        <f>底稿目录!A3</f>
        <v>会计期间：202X年度</v>
      </c>
      <c r="B4" s="142"/>
      <c r="C4" s="148"/>
      <c r="F4" s="144" t="str">
        <f>底稿目录!A6</f>
        <v>复核人：</v>
      </c>
      <c r="I4" s="145" t="str">
        <f>底稿目录!A7</f>
        <v>复核日期：</v>
      </c>
      <c r="J4" s="146"/>
      <c r="K4" s="146"/>
      <c r="P4" s="147" t="s">
        <v>178</v>
      </c>
      <c r="Q4" s="149"/>
    </row>
    <row r="5" spans="1:17" s="152" customFormat="1" ht="19.95" customHeight="1">
      <c r="A5" s="150" t="s">
        <v>179</v>
      </c>
      <c r="B5" s="150"/>
      <c r="C5" s="151"/>
      <c r="D5" s="151"/>
      <c r="E5" s="151"/>
      <c r="F5" s="151"/>
      <c r="G5" s="151"/>
      <c r="H5" s="151"/>
      <c r="I5" s="151"/>
      <c r="J5" s="151"/>
      <c r="K5" s="151"/>
      <c r="L5" s="151"/>
    </row>
    <row r="6" spans="1:17" s="152" customFormat="1" ht="19.95" customHeight="1">
      <c r="A6" s="153" t="s">
        <v>194</v>
      </c>
      <c r="B6" s="153"/>
      <c r="C6" s="143"/>
      <c r="D6" s="143"/>
      <c r="E6" s="143"/>
      <c r="F6" s="143"/>
      <c r="G6" s="143"/>
      <c r="H6" s="143"/>
      <c r="I6" s="143"/>
      <c r="J6" s="143"/>
      <c r="K6" s="143"/>
      <c r="M6" s="154"/>
    </row>
    <row r="7" spans="1:17" s="152" customFormat="1" ht="19.95" customHeight="1">
      <c r="A7" s="153" t="s">
        <v>195</v>
      </c>
      <c r="B7" s="153"/>
      <c r="C7" s="143"/>
      <c r="D7" s="143"/>
      <c r="E7" s="143"/>
      <c r="F7" s="143"/>
      <c r="G7" s="143"/>
      <c r="H7" s="143"/>
      <c r="I7" s="143"/>
      <c r="J7" s="143"/>
      <c r="K7" s="143"/>
      <c r="M7" s="154"/>
    </row>
    <row r="8" spans="1:17" s="152" customFormat="1" ht="19.95" customHeight="1">
      <c r="A8" s="156" t="s">
        <v>197</v>
      </c>
      <c r="B8" s="156"/>
      <c r="C8" s="187" t="s">
        <v>196</v>
      </c>
      <c r="D8" s="157"/>
      <c r="E8" s="158"/>
      <c r="F8" s="159"/>
      <c r="G8" s="159"/>
      <c r="H8" s="155"/>
      <c r="I8" s="155"/>
      <c r="J8" s="155"/>
      <c r="K8" s="155"/>
      <c r="L8" s="155"/>
      <c r="M8" s="155"/>
      <c r="N8" s="155"/>
      <c r="O8" s="155"/>
      <c r="P8" s="155"/>
      <c r="Q8" s="155"/>
    </row>
    <row r="9" spans="1:17" s="152" customFormat="1" ht="19.95" customHeight="1">
      <c r="A9" s="160" t="s">
        <v>180</v>
      </c>
      <c r="B9" s="161"/>
      <c r="C9" s="157"/>
      <c r="D9" s="157"/>
      <c r="E9" s="158"/>
      <c r="F9" s="159"/>
      <c r="G9" s="159"/>
      <c r="H9" s="155"/>
      <c r="I9" s="162"/>
      <c r="J9" s="162"/>
      <c r="K9" s="162"/>
      <c r="L9" s="162"/>
      <c r="M9" s="162"/>
      <c r="N9" s="162"/>
      <c r="O9" s="162"/>
      <c r="P9" s="162"/>
    </row>
    <row r="10" spans="1:17" s="143" customFormat="1" ht="19.95" customHeight="1">
      <c r="A10" s="244" t="s">
        <v>200</v>
      </c>
      <c r="B10" s="250" t="s">
        <v>181</v>
      </c>
      <c r="C10" s="250"/>
      <c r="D10" s="250"/>
      <c r="E10" s="250"/>
      <c r="F10" s="250"/>
      <c r="G10" s="250"/>
      <c r="H10" s="249" t="s">
        <v>182</v>
      </c>
      <c r="I10" s="249"/>
      <c r="J10" s="245" t="s">
        <v>183</v>
      </c>
      <c r="K10" s="245"/>
      <c r="L10" s="245"/>
      <c r="M10" s="245"/>
      <c r="N10" s="245"/>
      <c r="O10" s="246" t="s">
        <v>184</v>
      </c>
      <c r="P10" s="246" t="s">
        <v>185</v>
      </c>
      <c r="Q10" s="247" t="s">
        <v>186</v>
      </c>
    </row>
    <row r="11" spans="1:17" s="143" customFormat="1" ht="19.95" customHeight="1">
      <c r="A11" s="244"/>
      <c r="B11" s="163" t="s">
        <v>187</v>
      </c>
      <c r="C11" s="163" t="s">
        <v>188</v>
      </c>
      <c r="D11" s="163" t="s">
        <v>189</v>
      </c>
      <c r="E11" s="163" t="s">
        <v>190</v>
      </c>
      <c r="F11" s="163" t="s">
        <v>191</v>
      </c>
      <c r="G11" s="164" t="s">
        <v>192</v>
      </c>
      <c r="H11" s="249"/>
      <c r="I11" s="249"/>
      <c r="J11" s="165">
        <v>1</v>
      </c>
      <c r="K11" s="165">
        <v>2</v>
      </c>
      <c r="L11" s="165">
        <v>3</v>
      </c>
      <c r="M11" s="165">
        <v>4</v>
      </c>
      <c r="N11" s="165">
        <v>5</v>
      </c>
      <c r="O11" s="246"/>
      <c r="P11" s="246"/>
      <c r="Q11" s="248"/>
    </row>
    <row r="12" spans="1:17" s="143" customFormat="1" ht="19.95" customHeight="1">
      <c r="A12" s="166"/>
      <c r="B12" s="167"/>
      <c r="C12" s="168"/>
      <c r="D12" s="169"/>
      <c r="E12" s="170"/>
      <c r="F12" s="170"/>
      <c r="G12" s="115"/>
      <c r="H12" s="251" t="s">
        <v>201</v>
      </c>
      <c r="I12" s="252"/>
      <c r="J12" s="171"/>
      <c r="K12" s="171"/>
      <c r="L12" s="171"/>
      <c r="M12" s="171"/>
      <c r="N12" s="171"/>
      <c r="O12" s="172"/>
      <c r="P12" s="173"/>
      <c r="Q12" s="173"/>
    </row>
    <row r="13" spans="1:17" s="143" customFormat="1" ht="19.95" customHeight="1">
      <c r="A13" s="166"/>
      <c r="B13" s="167"/>
      <c r="C13" s="168"/>
      <c r="D13" s="169"/>
      <c r="E13" s="170"/>
      <c r="F13" s="170"/>
      <c r="G13" s="115"/>
      <c r="H13" s="253"/>
      <c r="I13" s="254"/>
      <c r="J13" s="171"/>
      <c r="K13" s="171"/>
      <c r="L13" s="171"/>
      <c r="M13" s="171"/>
      <c r="N13" s="171"/>
      <c r="O13" s="172"/>
      <c r="P13" s="173"/>
      <c r="Q13" s="173"/>
    </row>
    <row r="14" spans="1:17" s="143" customFormat="1" ht="19.95" customHeight="1">
      <c r="A14" s="166"/>
      <c r="B14" s="167"/>
      <c r="C14" s="168"/>
      <c r="D14" s="169"/>
      <c r="E14" s="170"/>
      <c r="F14" s="170"/>
      <c r="G14" s="115"/>
      <c r="H14" s="253"/>
      <c r="I14" s="254"/>
      <c r="J14" s="171"/>
      <c r="K14" s="171"/>
      <c r="L14" s="171"/>
      <c r="M14" s="171"/>
      <c r="N14" s="171"/>
      <c r="O14" s="172"/>
      <c r="P14" s="173"/>
      <c r="Q14" s="173"/>
    </row>
    <row r="15" spans="1:17" s="143" customFormat="1" ht="19.95" customHeight="1">
      <c r="A15" s="166"/>
      <c r="B15" s="167"/>
      <c r="C15" s="168"/>
      <c r="D15" s="169"/>
      <c r="E15" s="170"/>
      <c r="F15" s="170"/>
      <c r="G15" s="115"/>
      <c r="H15" s="253"/>
      <c r="I15" s="254"/>
      <c r="J15" s="171"/>
      <c r="K15" s="171"/>
      <c r="L15" s="171"/>
      <c r="M15" s="171"/>
      <c r="N15" s="171"/>
      <c r="O15" s="172"/>
      <c r="P15" s="173"/>
      <c r="Q15" s="173"/>
    </row>
    <row r="16" spans="1:17" s="143" customFormat="1" ht="19.95" customHeight="1">
      <c r="A16" s="166"/>
      <c r="B16" s="167"/>
      <c r="C16" s="168"/>
      <c r="D16" s="169"/>
      <c r="E16" s="170"/>
      <c r="F16" s="170"/>
      <c r="G16" s="115"/>
      <c r="H16" s="253"/>
      <c r="I16" s="254"/>
      <c r="J16" s="171"/>
      <c r="K16" s="171"/>
      <c r="L16" s="171"/>
      <c r="M16" s="171"/>
      <c r="N16" s="171"/>
      <c r="O16" s="172"/>
      <c r="P16" s="173"/>
      <c r="Q16" s="173"/>
    </row>
    <row r="17" spans="1:17" s="143" customFormat="1" ht="19.95" customHeight="1">
      <c r="A17" s="166"/>
      <c r="B17" s="167"/>
      <c r="C17" s="168"/>
      <c r="D17" s="169"/>
      <c r="E17" s="170"/>
      <c r="F17" s="170"/>
      <c r="G17" s="115"/>
      <c r="H17" s="253"/>
      <c r="I17" s="254"/>
      <c r="J17" s="171"/>
      <c r="K17" s="171"/>
      <c r="L17" s="171"/>
      <c r="M17" s="171"/>
      <c r="N17" s="171"/>
      <c r="O17" s="172"/>
      <c r="P17" s="173"/>
      <c r="Q17" s="173"/>
    </row>
    <row r="18" spans="1:17" s="143" customFormat="1" ht="19.95" customHeight="1">
      <c r="A18" s="166"/>
      <c r="B18" s="167"/>
      <c r="C18" s="168"/>
      <c r="D18" s="169"/>
      <c r="E18" s="170"/>
      <c r="F18" s="170"/>
      <c r="G18" s="115"/>
      <c r="H18" s="253"/>
      <c r="I18" s="254"/>
      <c r="J18" s="171"/>
      <c r="K18" s="171"/>
      <c r="L18" s="171"/>
      <c r="M18" s="171"/>
      <c r="N18" s="171"/>
      <c r="O18" s="172"/>
      <c r="P18" s="173"/>
      <c r="Q18" s="173"/>
    </row>
    <row r="19" spans="1:17" s="143" customFormat="1" ht="19.95" customHeight="1">
      <c r="A19" s="166"/>
      <c r="B19" s="167"/>
      <c r="C19" s="168"/>
      <c r="D19" s="169"/>
      <c r="E19" s="170"/>
      <c r="F19" s="170"/>
      <c r="G19" s="115"/>
      <c r="H19" s="253"/>
      <c r="I19" s="254"/>
      <c r="J19" s="171"/>
      <c r="K19" s="171"/>
      <c r="L19" s="171"/>
      <c r="M19" s="171"/>
      <c r="N19" s="171"/>
      <c r="O19" s="172"/>
      <c r="P19" s="173"/>
      <c r="Q19" s="173"/>
    </row>
    <row r="20" spans="1:17" s="143" customFormat="1" ht="19.95" customHeight="1">
      <c r="A20" s="166"/>
      <c r="B20" s="167"/>
      <c r="C20" s="168"/>
      <c r="D20" s="169"/>
      <c r="E20" s="170"/>
      <c r="F20" s="170"/>
      <c r="G20" s="115"/>
      <c r="H20" s="253"/>
      <c r="I20" s="254"/>
      <c r="J20" s="171"/>
      <c r="K20" s="171"/>
      <c r="L20" s="171"/>
      <c r="M20" s="171"/>
      <c r="N20" s="171"/>
      <c r="O20" s="172"/>
      <c r="P20" s="173"/>
      <c r="Q20" s="173"/>
    </row>
    <row r="21" spans="1:17" s="143" customFormat="1" ht="19.95" customHeight="1">
      <c r="A21" s="166"/>
      <c r="B21" s="167"/>
      <c r="C21" s="168"/>
      <c r="D21" s="169"/>
      <c r="E21" s="170"/>
      <c r="F21" s="170"/>
      <c r="G21" s="115"/>
      <c r="H21" s="253"/>
      <c r="I21" s="254"/>
      <c r="J21" s="171"/>
      <c r="K21" s="171"/>
      <c r="L21" s="171"/>
      <c r="M21" s="171"/>
      <c r="N21" s="171"/>
      <c r="O21" s="172"/>
      <c r="P21" s="173"/>
      <c r="Q21" s="173"/>
    </row>
    <row r="22" spans="1:17" s="179" customFormat="1" ht="19.95" customHeight="1">
      <c r="A22" s="256" t="s">
        <v>228</v>
      </c>
      <c r="B22" s="256"/>
      <c r="C22" s="256"/>
      <c r="D22" s="256"/>
      <c r="E22" s="174"/>
      <c r="F22" s="174"/>
      <c r="G22" s="175">
        <f>SUM(G12:G21)</f>
        <v>0</v>
      </c>
      <c r="H22" s="255"/>
      <c r="I22" s="255"/>
      <c r="J22" s="177"/>
      <c r="K22" s="177"/>
      <c r="L22" s="177"/>
      <c r="M22" s="177"/>
      <c r="N22" s="177"/>
      <c r="O22" s="176"/>
      <c r="P22" s="178"/>
      <c r="Q22" s="178"/>
    </row>
    <row r="23" spans="1:17" s="179" customFormat="1" ht="19.95" customHeight="1">
      <c r="A23" s="256" t="s">
        <v>229</v>
      </c>
      <c r="B23" s="256"/>
      <c r="C23" s="256"/>
      <c r="D23" s="256"/>
      <c r="E23" s="174"/>
      <c r="F23" s="174"/>
      <c r="G23" s="175">
        <f>'明细表K13-2'!Q16</f>
        <v>0</v>
      </c>
      <c r="H23" s="257"/>
      <c r="I23" s="258"/>
      <c r="J23" s="177"/>
      <c r="K23" s="177"/>
      <c r="L23" s="177"/>
      <c r="M23" s="177"/>
      <c r="N23" s="177"/>
      <c r="O23" s="176"/>
      <c r="P23" s="178"/>
      <c r="Q23" s="178"/>
    </row>
    <row r="24" spans="1:17" s="179" customFormat="1" ht="19.95" customHeight="1">
      <c r="A24" s="256" t="s">
        <v>230</v>
      </c>
      <c r="B24" s="256"/>
      <c r="C24" s="256"/>
      <c r="D24" s="256"/>
      <c r="E24" s="174"/>
      <c r="F24" s="174"/>
      <c r="G24" s="202" t="e">
        <f>G22/G23</f>
        <v>#DIV/0!</v>
      </c>
      <c r="H24" s="257"/>
      <c r="I24" s="258"/>
      <c r="J24" s="177"/>
      <c r="K24" s="177"/>
      <c r="L24" s="177"/>
      <c r="M24" s="177"/>
      <c r="N24" s="177"/>
      <c r="O24" s="176"/>
      <c r="P24" s="178"/>
      <c r="Q24" s="178"/>
    </row>
    <row r="25" spans="1:17" s="143" customFormat="1" ht="19.95" customHeight="1">
      <c r="A25" s="156" t="s">
        <v>198</v>
      </c>
      <c r="B25" s="156"/>
      <c r="C25" s="198"/>
      <c r="D25" s="198"/>
      <c r="E25" s="198"/>
      <c r="F25" s="198"/>
      <c r="G25" s="198"/>
      <c r="H25" s="199"/>
      <c r="I25" s="180"/>
      <c r="J25" s="180"/>
      <c r="K25" s="181"/>
      <c r="L25" s="200"/>
      <c r="M25" s="200"/>
      <c r="N25" s="200"/>
      <c r="O25" s="200"/>
      <c r="P25" s="201"/>
    </row>
    <row r="26" spans="1:17" s="143" customFormat="1" ht="19.95" customHeight="1">
      <c r="I26" s="180"/>
      <c r="J26" s="180"/>
      <c r="K26" s="182"/>
      <c r="L26" s="182"/>
      <c r="M26" s="182"/>
      <c r="N26" s="182"/>
      <c r="O26" s="182"/>
      <c r="P26" s="181"/>
    </row>
    <row r="27" spans="1:17" s="183" customFormat="1" ht="19.95" customHeight="1">
      <c r="I27" s="180"/>
      <c r="J27" s="180"/>
      <c r="K27" s="184"/>
      <c r="L27" s="184"/>
      <c r="M27" s="184"/>
      <c r="N27" s="184"/>
      <c r="O27" s="184"/>
      <c r="P27" s="184"/>
    </row>
    <row r="28" spans="1:17" s="143" customFormat="1" ht="19.95" customHeight="1">
      <c r="A28" s="185" t="s">
        <v>199</v>
      </c>
      <c r="B28" s="185"/>
      <c r="J28" s="181"/>
      <c r="K28" s="181"/>
      <c r="L28" s="181"/>
      <c r="M28" s="181"/>
      <c r="N28" s="181"/>
      <c r="O28" s="181"/>
      <c r="P28" s="181"/>
    </row>
    <row r="29" spans="1:17" s="143" customFormat="1" ht="19.95" customHeight="1">
      <c r="J29" s="181"/>
      <c r="K29" s="181"/>
      <c r="L29" s="181"/>
      <c r="M29" s="181"/>
      <c r="N29" s="181"/>
      <c r="O29" s="181"/>
      <c r="P29" s="181"/>
    </row>
    <row r="30" spans="1:17" s="143" customFormat="1" ht="18" customHeight="1">
      <c r="A30" s="182"/>
      <c r="B30" s="182"/>
      <c r="D30" s="181"/>
      <c r="E30" s="181"/>
      <c r="F30" s="181"/>
      <c r="G30" s="181"/>
      <c r="H30" s="181"/>
      <c r="I30" s="181"/>
      <c r="J30" s="181"/>
      <c r="K30" s="181"/>
      <c r="L30" s="181"/>
      <c r="M30" s="181"/>
      <c r="N30" s="181"/>
      <c r="O30" s="181"/>
      <c r="P30" s="181"/>
    </row>
    <row r="31" spans="1:17" s="143" customFormat="1" ht="18" customHeight="1">
      <c r="A31" s="182"/>
      <c r="B31" s="182"/>
      <c r="D31" s="181"/>
      <c r="E31" s="181"/>
      <c r="F31" s="181"/>
      <c r="G31" s="181"/>
      <c r="H31" s="181"/>
      <c r="I31" s="181"/>
      <c r="J31" s="181"/>
      <c r="K31" s="181"/>
      <c r="L31" s="181"/>
      <c r="M31" s="181"/>
      <c r="N31" s="181"/>
      <c r="O31" s="181"/>
      <c r="P31" s="181"/>
    </row>
  </sheetData>
  <mergeCells count="25">
    <mergeCell ref="H22:I22"/>
    <mergeCell ref="A22:D22"/>
    <mergeCell ref="A23:D23"/>
    <mergeCell ref="A24:D24"/>
    <mergeCell ref="H23:I23"/>
    <mergeCell ref="H24:I24"/>
    <mergeCell ref="H17:I17"/>
    <mergeCell ref="H18:I18"/>
    <mergeCell ref="H19:I19"/>
    <mergeCell ref="H20:I20"/>
    <mergeCell ref="H21:I21"/>
    <mergeCell ref="H12:I12"/>
    <mergeCell ref="H13:I13"/>
    <mergeCell ref="H14:I14"/>
    <mergeCell ref="H15:I15"/>
    <mergeCell ref="H16:I16"/>
    <mergeCell ref="A1:Q1"/>
    <mergeCell ref="A2:Q2"/>
    <mergeCell ref="A10:A11"/>
    <mergeCell ref="J10:N10"/>
    <mergeCell ref="O10:O11"/>
    <mergeCell ref="P10:P11"/>
    <mergeCell ref="Q10:Q11"/>
    <mergeCell ref="H10:I11"/>
    <mergeCell ref="B10:G10"/>
  </mergeCells>
  <phoneticPr fontId="12" type="noConversion"/>
  <dataValidations count="1">
    <dataValidation type="list" allowBlank="1" showInputMessage="1" showErrorMessage="1" sqref="J12:N24">
      <formula1>"√,X"</formula1>
    </dataValidation>
  </dataValidations>
  <hyperlinks>
    <hyperlink ref="Q3" location="底稿目录!A1" display="底稿目录!A1"/>
  </hyperlinks>
  <printOptions horizontalCentered="1"/>
  <pageMargins left="0.39370078740157483" right="0.39370078740157483" top="0.35433070866141736" bottom="0.27559055118110237" header="0.31496062992125984" footer="0.19685039370078741"/>
  <pageSetup paperSize="9" scale="8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8"/>
  <sheetViews>
    <sheetView workbookViewId="0"/>
  </sheetViews>
  <sheetFormatPr defaultRowHeight="15.6"/>
  <sheetData>
    <row r="1" spans="1:2">
      <c r="A1" t="s">
        <v>15</v>
      </c>
      <c r="B1" t="s">
        <v>16</v>
      </c>
    </row>
    <row r="2" spans="1:2">
      <c r="A2" t="s">
        <v>17</v>
      </c>
      <c r="B2" t="s">
        <v>18</v>
      </c>
    </row>
    <row r="3" spans="1:2">
      <c r="A3" t="s">
        <v>19</v>
      </c>
      <c r="B3" t="s">
        <v>20</v>
      </c>
    </row>
    <row r="4" spans="1:2">
      <c r="A4" t="s">
        <v>21</v>
      </c>
      <c r="B4" t="s">
        <v>22</v>
      </c>
    </row>
    <row r="5" spans="1:2">
      <c r="A5" t="s">
        <v>23</v>
      </c>
      <c r="B5" t="s">
        <v>24</v>
      </c>
    </row>
    <row r="6" spans="1:2">
      <c r="A6" t="s">
        <v>25</v>
      </c>
      <c r="B6" t="s">
        <v>26</v>
      </c>
    </row>
    <row r="7" spans="1:2">
      <c r="A7" t="s">
        <v>27</v>
      </c>
      <c r="B7" t="s">
        <v>28</v>
      </c>
    </row>
    <row r="8" spans="1:2">
      <c r="A8" t="s">
        <v>29</v>
      </c>
      <c r="B8" t="s">
        <v>30</v>
      </c>
    </row>
  </sheetData>
  <phoneticPr fontId="1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9</vt:i4>
      </vt:variant>
    </vt:vector>
  </HeadingPairs>
  <TitlesOfParts>
    <vt:vector size="18" baseType="lpstr">
      <vt:lpstr>底稿目录</vt:lpstr>
      <vt:lpstr>实质性程序表K13A</vt:lpstr>
      <vt:lpstr>审定表K13-1</vt:lpstr>
      <vt:lpstr>附注披露信息（上市公司）</vt:lpstr>
      <vt:lpstr>附注披露信息（国企）</vt:lpstr>
      <vt:lpstr>明细表K13-2</vt:lpstr>
      <vt:lpstr>调整分录汇总K13-3</vt:lpstr>
      <vt:lpstr>营业外支出检查表K13-4</vt:lpstr>
      <vt:lpstr>GT_Custom</vt:lpstr>
      <vt:lpstr>实质性程序表K13A!_FilterDatabase</vt:lpstr>
      <vt:lpstr>'调整分录汇总K13-3'!Print_Area</vt:lpstr>
      <vt:lpstr>'附注披露信息（国企）'!Print_Area</vt:lpstr>
      <vt:lpstr>'附注披露信息（上市公司）'!Print_Area</vt:lpstr>
      <vt:lpstr>'明细表K13-2'!Print_Area</vt:lpstr>
      <vt:lpstr>'审定表K13-1'!Print_Area</vt:lpstr>
      <vt:lpstr>实质性程序表K13A!Print_Area</vt:lpstr>
      <vt:lpstr>'营业外支出检查表K13-4'!Print_Area</vt:lpstr>
      <vt:lpstr>实质性程序表K13A!Print_Titles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2025-10-22T03:28:36Z</cp:lastPrinted>
  <dcterms:created xsi:type="dcterms:W3CDTF">2007-05-20T08:51:05Z</dcterms:created>
  <dcterms:modified xsi:type="dcterms:W3CDTF">2025-11-05T07:39:34Z</dcterms:modified>
</cp:coreProperties>
</file>